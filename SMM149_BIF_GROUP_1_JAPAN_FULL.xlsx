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ityuni-my.sharepoint.com/personal/pietro_rota_bayes_city_ac_uk/Documents/Documents/a2025-2026 BAYES/FI - Fixed Income/FI - Coursework/"/>
    </mc:Choice>
  </mc:AlternateContent>
  <xr:revisionPtr revIDLastSave="0" documentId="8_{4AD82911-463D-4F63-9C1E-6D9AAB6A7880}" xr6:coauthVersionLast="47" xr6:coauthVersionMax="47" xr10:uidLastSave="{00000000-0000-0000-0000-000000000000}"/>
  <bookViews>
    <workbookView xWindow="2910" yWindow="2910" windowWidth="16200" windowHeight="9308" tabRatio="860" activeTab="2" xr2:uid="{8D925CCA-EB42-4DA7-81AC-CD0DD71CD8DD}"/>
  </bookViews>
  <sheets>
    <sheet name="Bloomberg (Online)" sheetId="1" r:id="rId1"/>
    <sheet name="Offline" sheetId="4" r:id="rId2"/>
    <sheet name="SORT" sheetId="5" r:id="rId3"/>
    <sheet name="ID filter" sheetId="6" r:id="rId4"/>
    <sheet name="F date&lt;=1" sheetId="12" r:id="rId5"/>
    <sheet name="F coupon&lt;0.5" sheetId="10" r:id="rId6"/>
    <sheet name="NSS" sheetId="11" r:id="rId7"/>
    <sheet name="MANUAL FILTER" sheetId="9" state="hidden" r:id="rId8"/>
  </sheets>
  <externalReferences>
    <externalReference r:id="rId9"/>
    <externalReference r:id="rId10"/>
  </externalReferences>
  <definedNames>
    <definedName name="b0" localSheetId="6">NSS!$C$248</definedName>
    <definedName name="b0">'[1]Nelson Siegel Model'!$B$16</definedName>
    <definedName name="b1_" localSheetId="6">NSS!$C$249</definedName>
    <definedName name="b1_">'[1]Nelson Siegel Model'!$B$17</definedName>
    <definedName name="b2_" localSheetId="6">NSS!$C$250</definedName>
    <definedName name="b2_">'[1]Nelson Siegel Model'!$B$18</definedName>
    <definedName name="b3_" localSheetId="6">NSS!$C$251</definedName>
    <definedName name="b3_">#REF!</definedName>
    <definedName name="solver_adj" localSheetId="6" hidden="1">NSS!$C$248:$C$253</definedName>
    <definedName name="solver_cvg" localSheetId="6" hidden="1">0.0001</definedName>
    <definedName name="solver_drv" localSheetId="6" hidden="1">2</definedName>
    <definedName name="solver_eng" localSheetId="6" hidden="1">1</definedName>
    <definedName name="solver_est" localSheetId="6" hidden="1">1</definedName>
    <definedName name="solver_itr" localSheetId="6" hidden="1">2147483647</definedName>
    <definedName name="solver_lhs1" localSheetId="6" hidden="1">NSS!$C$248</definedName>
    <definedName name="solver_mip" localSheetId="6" hidden="1">2147483647</definedName>
    <definedName name="solver_mni" localSheetId="6" hidden="1">30</definedName>
    <definedName name="solver_mrt" localSheetId="6" hidden="1">0.075</definedName>
    <definedName name="solver_msl" localSheetId="6" hidden="1">2</definedName>
    <definedName name="solver_neg" localSheetId="6" hidden="1">2</definedName>
    <definedName name="solver_nod" localSheetId="6" hidden="1">2147483647</definedName>
    <definedName name="solver_num" localSheetId="6" hidden="1">1</definedName>
    <definedName name="solver_nwt" localSheetId="6" hidden="1">1</definedName>
    <definedName name="solver_opt" localSheetId="6" hidden="1">NSS!$E$249</definedName>
    <definedName name="solver_pre" localSheetId="6" hidden="1">0.0000001</definedName>
    <definedName name="solver_rbv" localSheetId="6" hidden="1">1</definedName>
    <definedName name="solver_rel1" localSheetId="6" hidden="1">3</definedName>
    <definedName name="solver_rhs1" localSheetId="6" hidden="1">0</definedName>
    <definedName name="solver_rlx" localSheetId="6" hidden="1">2</definedName>
    <definedName name="solver_rsd" localSheetId="6" hidden="1">0</definedName>
    <definedName name="solver_scl" localSheetId="6" hidden="1">1</definedName>
    <definedName name="solver_sho" localSheetId="6" hidden="1">2</definedName>
    <definedName name="solver_ssz" localSheetId="6" hidden="1">100</definedName>
    <definedName name="solver_tim" localSheetId="6" hidden="1">2147483647</definedName>
    <definedName name="solver_tol" localSheetId="6" hidden="1">1</definedName>
    <definedName name="solver_typ" localSheetId="6" hidden="1">2</definedName>
    <definedName name="solver_val" localSheetId="6" hidden="1">0</definedName>
    <definedName name="solver_ver" localSheetId="6" hidden="1">3</definedName>
    <definedName name="tau1_" localSheetId="6">NSS!$C$252</definedName>
    <definedName name="tau1_">'[1]Nelson Siegel Model'!$B$19</definedName>
    <definedName name="tau2_" localSheetId="6">NSS!$C$253</definedName>
    <definedName name="tau2_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2" i="11" l="1"/>
  <c r="X2" i="4" l="1"/>
  <c r="X3" i="4"/>
  <c r="Y3" i="4" s="1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S2" i="4" l="1"/>
  <c r="Z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W3" i="4" l="1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2" i="4"/>
  <c r="CN4" i="11" a="1"/>
  <c r="CR3" i="11"/>
  <c r="CQ3" i="11"/>
  <c r="CP3" i="11"/>
  <c r="CO3" i="11"/>
  <c r="K2" i="11" a="1"/>
  <c r="M58" i="1" a="1"/>
  <c r="M58" i="1" s="1"/>
  <c r="L307" i="1" a="1"/>
  <c r="L307" i="1" s="1"/>
  <c r="M319" i="1" a="1"/>
  <c r="M319" i="1" s="1"/>
  <c r="O136" i="1" a="1"/>
  <c r="O136" i="1" s="1"/>
  <c r="H57" i="1" a="1"/>
  <c r="H57" i="1" s="1"/>
  <c r="Q94" i="1" a="1"/>
  <c r="Q94" i="1" s="1"/>
  <c r="D226" i="1" a="1"/>
  <c r="D226" i="1" s="1"/>
  <c r="N84" i="1" a="1"/>
  <c r="N84" i="1" s="1"/>
  <c r="F325" i="1" a="1"/>
  <c r="F325" i="1" s="1"/>
  <c r="J112" i="1" a="1"/>
  <c r="J112" i="1" s="1"/>
  <c r="B309" i="1" a="1"/>
  <c r="B309" i="1" s="1"/>
  <c r="C251" i="1" a="1"/>
  <c r="C251" i="1" s="1"/>
  <c r="R222" i="1" a="1"/>
  <c r="R222" i="1" s="1"/>
  <c r="L302" i="1" a="1"/>
  <c r="L302" i="1" s="1"/>
  <c r="E72" i="1" a="1"/>
  <c r="E72" i="1" s="1"/>
  <c r="J249" i="1" a="1"/>
  <c r="J249" i="1" s="1"/>
  <c r="F311" i="1" a="1"/>
  <c r="F311" i="1" s="1"/>
  <c r="R154" i="1" a="1"/>
  <c r="R154" i="1" s="1"/>
  <c r="C15" i="1" a="1"/>
  <c r="C15" i="1" s="1"/>
  <c r="N66" i="1" a="1"/>
  <c r="N66" i="1" s="1"/>
  <c r="I50" i="1" a="1"/>
  <c r="I50" i="1" s="1"/>
  <c r="N54" i="1" a="1"/>
  <c r="N54" i="1" s="1"/>
  <c r="H56" i="1" a="1"/>
  <c r="H56" i="1" s="1"/>
  <c r="G19" i="1" a="1"/>
  <c r="G19" i="1" s="1"/>
  <c r="B163" i="1" a="1"/>
  <c r="B163" i="1" s="1"/>
  <c r="B93" i="1" a="1"/>
  <c r="B93" i="1" s="1"/>
  <c r="D275" i="1" a="1"/>
  <c r="D275" i="1" s="1"/>
  <c r="E202" i="1" a="1"/>
  <c r="E202" i="1" s="1"/>
  <c r="M156" i="1" a="1"/>
  <c r="M156" i="1" s="1"/>
  <c r="R297" i="1" a="1"/>
  <c r="R297" i="1" s="1"/>
  <c r="N183" i="1" a="1"/>
  <c r="N183" i="1" s="1"/>
  <c r="M327" i="1" a="1"/>
  <c r="M327" i="1" s="1"/>
  <c r="I173" i="1" a="1"/>
  <c r="I173" i="1" s="1"/>
  <c r="R163" i="1" a="1"/>
  <c r="R163" i="1" s="1"/>
  <c r="I68" i="1" a="1"/>
  <c r="I68" i="1" s="1"/>
  <c r="I100" i="1" a="1"/>
  <c r="I100" i="1" s="1"/>
  <c r="N227" i="1" a="1"/>
  <c r="N227" i="1" s="1"/>
  <c r="K221" i="1" a="1"/>
  <c r="K221" i="1" s="1"/>
  <c r="M145" i="1" a="1"/>
  <c r="M145" i="1" s="1"/>
  <c r="Q306" i="1" a="1"/>
  <c r="Q306" i="1" s="1"/>
  <c r="O73" i="1" a="1"/>
  <c r="O73" i="1" s="1"/>
  <c r="H41" i="1" a="1"/>
  <c r="H41" i="1" s="1"/>
  <c r="B114" i="1" a="1"/>
  <c r="B114" i="1" s="1"/>
  <c r="C185" i="1" a="1"/>
  <c r="C185" i="1" s="1"/>
  <c r="D267" i="1" a="1"/>
  <c r="D267" i="1" s="1"/>
  <c r="G307" i="1" a="1"/>
  <c r="G307" i="1" s="1"/>
  <c r="O97" i="1" a="1"/>
  <c r="O97" i="1" s="1"/>
  <c r="F29" i="1" a="1"/>
  <c r="F29" i="1" s="1"/>
  <c r="R146" i="1" a="1"/>
  <c r="R146" i="1" s="1"/>
  <c r="B270" i="1" a="1"/>
  <c r="B270" i="1" s="1"/>
  <c r="B292" i="1" a="1"/>
  <c r="B292" i="1" s="1"/>
  <c r="I107" i="1" a="1"/>
  <c r="I107" i="1" s="1"/>
  <c r="H61" i="1" a="1"/>
  <c r="H61" i="1" s="1"/>
  <c r="I191" i="1" a="1"/>
  <c r="I191" i="1" s="1"/>
  <c r="L40" i="1" a="1"/>
  <c r="L40" i="1" s="1"/>
  <c r="P299" i="1" a="1"/>
  <c r="P299" i="1" s="1"/>
  <c r="B240" i="1" a="1"/>
  <c r="B240" i="1" s="1"/>
  <c r="L282" i="1" a="1"/>
  <c r="L282" i="1" s="1"/>
  <c r="G65" i="1" a="1"/>
  <c r="G65" i="1" s="1"/>
  <c r="B109" i="1" a="1"/>
  <c r="B109" i="1" s="1"/>
  <c r="F252" i="1" a="1"/>
  <c r="F252" i="1" s="1"/>
  <c r="O318" i="1" a="1"/>
  <c r="O318" i="1" s="1"/>
  <c r="C288" i="1" a="1"/>
  <c r="C288" i="1" s="1"/>
  <c r="I264" i="1" a="1"/>
  <c r="I264" i="1" s="1"/>
  <c r="G275" i="1" a="1"/>
  <c r="G275" i="1" s="1"/>
  <c r="P280" i="1" a="1"/>
  <c r="P280" i="1" s="1"/>
  <c r="N47" i="1" a="1"/>
  <c r="N47" i="1" s="1"/>
  <c r="H27" i="1" a="1"/>
  <c r="H27" i="1" s="1"/>
  <c r="C179" i="1" a="1"/>
  <c r="C179" i="1" s="1"/>
  <c r="Q21" i="1" a="1"/>
  <c r="Q21" i="1" s="1"/>
  <c r="P271" i="1" a="1"/>
  <c r="P271" i="1" s="1"/>
  <c r="K326" i="1" a="1"/>
  <c r="K326" i="1" s="1"/>
  <c r="N83" i="1" a="1"/>
  <c r="N83" i="1" s="1"/>
  <c r="L210" i="1" a="1"/>
  <c r="L210" i="1" s="1"/>
  <c r="O64" i="1" a="1"/>
  <c r="O64" i="1" s="1"/>
  <c r="B189" i="1" a="1"/>
  <c r="B189" i="1" s="1"/>
  <c r="C263" i="1" a="1"/>
  <c r="C263" i="1" s="1"/>
  <c r="N81" i="1" a="1"/>
  <c r="N81" i="1" s="1"/>
  <c r="D283" i="1" a="1"/>
  <c r="D283" i="1" s="1"/>
  <c r="O260" i="1" a="1"/>
  <c r="O260" i="1" s="1"/>
  <c r="I222" i="1" a="1"/>
  <c r="I222" i="1" s="1"/>
  <c r="K81" i="1" a="1"/>
  <c r="K81" i="1" s="1"/>
  <c r="F257" i="1" a="1"/>
  <c r="F257" i="1" s="1"/>
  <c r="I155" i="1" a="1"/>
  <c r="I155" i="1" s="1"/>
  <c r="N176" i="1" a="1"/>
  <c r="N176" i="1" s="1"/>
  <c r="N145" i="1" a="1"/>
  <c r="N145" i="1" s="1"/>
  <c r="F4" i="1" a="1"/>
  <c r="F4" i="1" s="1"/>
  <c r="K193" i="1" a="1"/>
  <c r="K193" i="1" s="1"/>
  <c r="M20" i="1" a="1"/>
  <c r="M20" i="1" s="1"/>
  <c r="I47" i="1" a="1"/>
  <c r="I47" i="1" s="1"/>
  <c r="P118" i="1" a="1"/>
  <c r="P118" i="1" s="1"/>
  <c r="L229" i="1" a="1"/>
  <c r="L229" i="1" s="1"/>
  <c r="O34" i="1" a="1"/>
  <c r="O34" i="1" s="1"/>
  <c r="J282" i="1" a="1"/>
  <c r="J282" i="1" s="1"/>
  <c r="I94" i="1" a="1"/>
  <c r="I94" i="1" s="1"/>
  <c r="H108" i="1" a="1"/>
  <c r="H108" i="1" s="1"/>
  <c r="L320" i="1" a="1"/>
  <c r="L320" i="1" s="1"/>
  <c r="K271" i="1" a="1"/>
  <c r="K271" i="1" s="1"/>
  <c r="K186" i="1" a="1"/>
  <c r="K186" i="1" s="1"/>
  <c r="J298" i="1" a="1"/>
  <c r="J298" i="1" s="1"/>
  <c r="F298" i="1" a="1"/>
  <c r="F298" i="1" s="1"/>
  <c r="R202" i="1" a="1"/>
  <c r="R202" i="1" s="1"/>
  <c r="P32" i="1" a="1"/>
  <c r="P32" i="1" s="1"/>
  <c r="O162" i="1" a="1"/>
  <c r="O162" i="1" s="1"/>
  <c r="Q249" i="1" a="1"/>
  <c r="Q249" i="1" s="1"/>
  <c r="P221" i="1" a="1"/>
  <c r="P221" i="1" s="1"/>
  <c r="I249" i="1" a="1"/>
  <c r="I249" i="1" s="1"/>
  <c r="M253" i="1" a="1"/>
  <c r="M253" i="1" s="1"/>
  <c r="P250" i="1" a="1"/>
  <c r="P250" i="1" s="1"/>
  <c r="M9" i="1" a="1"/>
  <c r="M9" i="1" s="1"/>
  <c r="M269" i="1" a="1"/>
  <c r="M269" i="1" s="1"/>
  <c r="I123" i="1" a="1"/>
  <c r="I123" i="1" s="1"/>
  <c r="I316" i="1" a="1"/>
  <c r="I316" i="1" s="1"/>
  <c r="B272" i="1" a="1"/>
  <c r="B272" i="1" s="1"/>
  <c r="P74" i="1" a="1"/>
  <c r="P74" i="1" s="1"/>
  <c r="D130" i="1" a="1"/>
  <c r="D130" i="1" s="1"/>
  <c r="Q228" i="1" a="1"/>
  <c r="Q228" i="1" s="1"/>
  <c r="L71" i="1" a="1"/>
  <c r="L71" i="1" s="1"/>
  <c r="N24" i="1" a="1"/>
  <c r="N24" i="1" s="1"/>
  <c r="H68" i="1" a="1"/>
  <c r="H68" i="1" s="1"/>
  <c r="K2" i="1" a="1"/>
  <c r="K2" i="1" s="1"/>
  <c r="E116" i="1" a="1"/>
  <c r="E116" i="1" s="1"/>
  <c r="C3" i="1" a="1"/>
  <c r="C3" i="1" s="1"/>
  <c r="L3" i="1" a="1"/>
  <c r="L3" i="1" s="1"/>
  <c r="R314" i="1" a="1"/>
  <c r="R314" i="1" s="1"/>
  <c r="L288" i="1" a="1"/>
  <c r="L288" i="1" s="1"/>
  <c r="D293" i="1" a="1"/>
  <c r="D293" i="1" s="1"/>
  <c r="J191" i="1" a="1"/>
  <c r="J191" i="1" s="1"/>
  <c r="L128" i="1" a="1"/>
  <c r="L128" i="1" s="1"/>
  <c r="C166" i="1" a="1"/>
  <c r="C166" i="1" s="1"/>
  <c r="B34" i="1" a="1"/>
  <c r="B34" i="1" s="1"/>
  <c r="F240" i="1" a="1"/>
  <c r="F240" i="1" s="1"/>
  <c r="E267" i="1" a="1"/>
  <c r="E267" i="1" s="1"/>
  <c r="N201" i="1" a="1"/>
  <c r="N201" i="1" s="1"/>
  <c r="C155" i="1" a="1"/>
  <c r="C155" i="1" s="1"/>
  <c r="J125" i="1" a="1"/>
  <c r="J125" i="1" s="1"/>
  <c r="L116" i="1" a="1"/>
  <c r="L116" i="1" s="1"/>
  <c r="P308" i="1" a="1"/>
  <c r="P308" i="1" s="1"/>
  <c r="H257" i="1" a="1"/>
  <c r="H257" i="1" s="1"/>
  <c r="O58" i="1" a="1"/>
  <c r="O58" i="1" s="1"/>
  <c r="O303" i="1" a="1"/>
  <c r="O303" i="1" s="1"/>
  <c r="F199" i="1" a="1"/>
  <c r="F199" i="1" s="1"/>
  <c r="P276" i="1" a="1"/>
  <c r="P276" i="1" s="1"/>
  <c r="K177" i="1" a="1"/>
  <c r="K177" i="1" s="1"/>
  <c r="R325" i="1" a="1"/>
  <c r="R325" i="1" s="1"/>
  <c r="D282" i="1" a="1"/>
  <c r="D282" i="1" s="1"/>
  <c r="B92" i="1" a="1"/>
  <c r="B92" i="1" s="1"/>
  <c r="M276" i="1" a="1"/>
  <c r="M276" i="1" s="1"/>
  <c r="D126" i="1" a="1"/>
  <c r="D126" i="1" s="1"/>
  <c r="N143" i="1" a="1"/>
  <c r="N143" i="1" s="1"/>
  <c r="G126" i="1" a="1"/>
  <c r="G126" i="1" s="1"/>
  <c r="Q175" i="1" a="1"/>
  <c r="Q175" i="1" s="1"/>
  <c r="H52" i="1" a="1"/>
  <c r="H52" i="1" s="1"/>
  <c r="G85" i="1" a="1"/>
  <c r="G85" i="1" s="1"/>
  <c r="B279" i="1" a="1"/>
  <c r="B279" i="1" s="1"/>
  <c r="C186" i="1" a="1"/>
  <c r="C186" i="1" s="1"/>
  <c r="D315" i="1" a="1"/>
  <c r="D315" i="1" s="1"/>
  <c r="I42" i="1" a="1"/>
  <c r="I42" i="1" s="1"/>
  <c r="E224" i="1" a="1"/>
  <c r="E224" i="1" s="1"/>
  <c r="P45" i="1" a="1"/>
  <c r="P45" i="1" s="1"/>
  <c r="O179" i="1" a="1"/>
  <c r="O179" i="1" s="1"/>
  <c r="K212" i="1" a="1"/>
  <c r="K212" i="1" s="1"/>
  <c r="D36" i="1" a="1"/>
  <c r="D36" i="1" s="1"/>
  <c r="O326" i="1" a="1"/>
  <c r="O326" i="1" s="1"/>
  <c r="G234" i="1" a="1"/>
  <c r="G234" i="1" s="1"/>
  <c r="C156" i="1" a="1"/>
  <c r="C156" i="1" s="1"/>
  <c r="D28" i="1" a="1"/>
  <c r="D28" i="1" s="1"/>
  <c r="N72" i="1" a="1"/>
  <c r="N72" i="1" s="1"/>
  <c r="I110" i="1" a="1"/>
  <c r="I110" i="1" s="1"/>
  <c r="N28" i="1" a="1"/>
  <c r="N28" i="1" s="1"/>
  <c r="G210" i="1" a="1"/>
  <c r="G210" i="1" s="1"/>
  <c r="G45" i="1" a="1"/>
  <c r="G45" i="1" s="1"/>
  <c r="B108" i="1" a="1"/>
  <c r="B108" i="1" s="1"/>
  <c r="G199" i="1" a="1"/>
  <c r="G199" i="1" s="1"/>
  <c r="D291" i="1" a="1"/>
  <c r="D291" i="1" s="1"/>
  <c r="L317" i="1" a="1"/>
  <c r="L317" i="1" s="1"/>
  <c r="Q302" i="1" a="1"/>
  <c r="Q302" i="1" s="1"/>
  <c r="H154" i="1" a="1"/>
  <c r="H154" i="1" s="1"/>
  <c r="M308" i="1" a="1"/>
  <c r="M308" i="1" s="1"/>
  <c r="M306" i="1" a="1"/>
  <c r="M306" i="1" s="1"/>
  <c r="M5" i="1" a="1"/>
  <c r="M5" i="1" s="1"/>
  <c r="C198" i="1" a="1"/>
  <c r="C198" i="1" s="1"/>
  <c r="B53" i="1" a="1"/>
  <c r="B53" i="1" s="1"/>
  <c r="R311" i="1" a="1"/>
  <c r="R311" i="1" s="1"/>
  <c r="R82" i="1" a="1"/>
  <c r="R82" i="1" s="1"/>
  <c r="C151" i="1" a="1"/>
  <c r="C151" i="1" s="1"/>
  <c r="H241" i="1" a="1"/>
  <c r="H241" i="1" s="1"/>
  <c r="L50" i="1" a="1"/>
  <c r="L50" i="1" s="1"/>
  <c r="F233" i="1" a="1"/>
  <c r="F233" i="1" s="1"/>
  <c r="E133" i="1" a="1"/>
  <c r="E133" i="1" s="1"/>
  <c r="J229" i="1" a="1"/>
  <c r="J229" i="1" s="1"/>
  <c r="Q11" i="1" a="1"/>
  <c r="Q11" i="1" s="1"/>
  <c r="K236" i="1" a="1"/>
  <c r="K236" i="1" s="1"/>
  <c r="C60" i="1" a="1"/>
  <c r="C60" i="1" s="1"/>
  <c r="R148" i="1" a="1"/>
  <c r="R148" i="1" s="1"/>
  <c r="Q286" i="1" a="1"/>
  <c r="Q286" i="1" s="1"/>
  <c r="K262" i="1" a="1"/>
  <c r="K262" i="1" s="1"/>
  <c r="G20" i="1" a="1"/>
  <c r="G20" i="1" s="1"/>
  <c r="P173" i="1" a="1"/>
  <c r="P173" i="1" s="1"/>
  <c r="E222" i="1" a="1"/>
  <c r="E222" i="1" s="1"/>
  <c r="K37" i="1" a="1"/>
  <c r="K37" i="1" s="1"/>
  <c r="Q67" i="1" a="1"/>
  <c r="Q67" i="1" s="1"/>
  <c r="H137" i="1" a="1"/>
  <c r="H137" i="1" s="1"/>
  <c r="E166" i="1" a="1"/>
  <c r="E166" i="1" s="1"/>
  <c r="F309" i="1" a="1"/>
  <c r="F309" i="1" s="1"/>
  <c r="R268" i="1" a="1"/>
  <c r="R268" i="1" s="1"/>
  <c r="I11" i="1" a="1"/>
  <c r="I11" i="1" s="1"/>
  <c r="H90" i="1" a="1"/>
  <c r="H90" i="1" s="1"/>
  <c r="I63" i="1" a="1"/>
  <c r="I63" i="1" s="1"/>
  <c r="P307" i="1" a="1"/>
  <c r="P307" i="1" s="1"/>
  <c r="F85" i="1" a="1"/>
  <c r="F85" i="1" s="1"/>
  <c r="O166" i="1" a="1"/>
  <c r="O166" i="1" s="1"/>
  <c r="Q271" i="1" a="1"/>
  <c r="Q271" i="1" s="1"/>
  <c r="M239" i="1" a="1"/>
  <c r="M239" i="1" s="1"/>
  <c r="I152" i="1" a="1"/>
  <c r="I152" i="1" s="1"/>
  <c r="B193" i="1" a="1"/>
  <c r="B193" i="1" s="1"/>
  <c r="L176" i="1" a="1"/>
  <c r="L176" i="1" s="1"/>
  <c r="C146" i="1" a="1"/>
  <c r="C146" i="1" s="1"/>
  <c r="D87" i="1" a="1"/>
  <c r="D87" i="1" s="1"/>
  <c r="F160" i="1" a="1"/>
  <c r="F160" i="1" s="1"/>
  <c r="O314" i="1" a="1"/>
  <c r="O314" i="1" s="1"/>
  <c r="O165" i="1" a="1"/>
  <c r="O165" i="1" s="1"/>
  <c r="F63" i="1" a="1"/>
  <c r="F63" i="1" s="1"/>
  <c r="E214" i="1" a="1"/>
  <c r="E214" i="1" s="1"/>
  <c r="F175" i="1" a="1"/>
  <c r="F175" i="1" s="1"/>
  <c r="C79" i="1" a="1"/>
  <c r="C79" i="1" s="1"/>
  <c r="O204" i="1" a="1"/>
  <c r="O204" i="1" s="1"/>
  <c r="F231" i="1" a="1"/>
  <c r="F231" i="1" s="1"/>
  <c r="O76" i="1" a="1"/>
  <c r="O76" i="1" s="1"/>
  <c r="J142" i="1" a="1"/>
  <c r="J142" i="1" s="1"/>
  <c r="I302" i="1" a="1"/>
  <c r="I302" i="1" s="1"/>
  <c r="B284" i="1" a="1"/>
  <c r="B284" i="1" s="1"/>
  <c r="H259" i="1" a="1"/>
  <c r="H259" i="1" s="1"/>
  <c r="C184" i="1" a="1"/>
  <c r="C184" i="1" s="1"/>
  <c r="B35" i="1" a="1"/>
  <c r="B35" i="1" s="1"/>
  <c r="O78" i="1" a="1"/>
  <c r="O78" i="1" s="1"/>
  <c r="D24" i="1" a="1"/>
  <c r="D24" i="1" s="1"/>
  <c r="F50" i="1" a="1"/>
  <c r="F50" i="1" s="1"/>
  <c r="H319" i="1" a="1"/>
  <c r="H319" i="1" s="1"/>
  <c r="I141" i="1" a="1"/>
  <c r="I141" i="1" s="1"/>
  <c r="O186" i="1" a="1"/>
  <c r="O186" i="1" s="1"/>
  <c r="G229" i="1" a="1"/>
  <c r="G229" i="1" s="1"/>
  <c r="F317" i="1" a="1"/>
  <c r="F317" i="1" s="1"/>
  <c r="O199" i="1" a="1"/>
  <c r="O199" i="1" s="1"/>
  <c r="E228" i="1" a="1"/>
  <c r="E228" i="1" s="1"/>
  <c r="D151" i="1" a="1"/>
  <c r="D151" i="1" s="1"/>
  <c r="O174" i="1" a="1"/>
  <c r="O174" i="1" s="1"/>
  <c r="E216" i="1" a="1"/>
  <c r="E216" i="1" s="1"/>
  <c r="H124" i="1" a="1"/>
  <c r="H124" i="1" s="1"/>
  <c r="I40" i="1" a="1"/>
  <c r="I40" i="1" s="1"/>
  <c r="F158" i="1" a="1"/>
  <c r="F158" i="1" s="1"/>
  <c r="F192" i="1" a="1"/>
  <c r="F192" i="1" s="1"/>
  <c r="M299" i="1" a="1"/>
  <c r="M299" i="1" s="1"/>
  <c r="B263" i="1" a="1"/>
  <c r="B263" i="1" s="1"/>
  <c r="N141" i="1" a="1"/>
  <c r="N141" i="1" s="1"/>
  <c r="Q210" i="1" a="1"/>
  <c r="Q210" i="1" s="1"/>
  <c r="J263" i="1" a="1"/>
  <c r="J263" i="1" s="1"/>
  <c r="N160" i="1" a="1"/>
  <c r="N160" i="1" s="1"/>
  <c r="C9" i="1" a="1"/>
  <c r="C9" i="1" s="1"/>
  <c r="G84" i="1" a="1"/>
  <c r="G84" i="1" s="1"/>
  <c r="M316" i="1" a="1"/>
  <c r="M316" i="1" s="1"/>
  <c r="P196" i="1" a="1"/>
  <c r="P196" i="1" s="1"/>
  <c r="F215" i="1" a="1"/>
  <c r="F215" i="1" s="1"/>
  <c r="R167" i="1" a="1"/>
  <c r="R167" i="1" s="1"/>
  <c r="N272" i="1" a="1"/>
  <c r="N272" i="1" s="1"/>
  <c r="P35" i="1" a="1"/>
  <c r="P35" i="1" s="1"/>
  <c r="R121" i="1" a="1"/>
  <c r="R121" i="1" s="1"/>
  <c r="O81" i="1" a="1"/>
  <c r="O81" i="1" s="1"/>
  <c r="N163" i="1" a="1"/>
  <c r="N163" i="1" s="1"/>
  <c r="J302" i="1" a="1"/>
  <c r="J302" i="1" s="1"/>
  <c r="O184" i="1" a="1"/>
  <c r="O184" i="1" s="1"/>
  <c r="B271" i="1" a="1"/>
  <c r="B271" i="1" s="1"/>
  <c r="F102" i="1" a="1"/>
  <c r="F102" i="1" s="1"/>
  <c r="N164" i="1" a="1"/>
  <c r="N164" i="1" s="1"/>
  <c r="Q261" i="1" a="1"/>
  <c r="Q261" i="1" s="1"/>
  <c r="O9" i="1" a="1"/>
  <c r="O9" i="1" s="1"/>
  <c r="R123" i="1" a="1"/>
  <c r="R123" i="1" s="1"/>
  <c r="B89" i="1" a="1"/>
  <c r="B89" i="1" s="1"/>
  <c r="L246" i="1" a="1"/>
  <c r="L246" i="1" s="1"/>
  <c r="M222" i="1" a="1"/>
  <c r="M222" i="1" s="1"/>
  <c r="Q122" i="1" a="1"/>
  <c r="Q122" i="1" s="1"/>
  <c r="O137" i="1" a="1"/>
  <c r="O137" i="1" s="1"/>
  <c r="E191" i="1" a="1"/>
  <c r="E191" i="1" s="1"/>
  <c r="J156" i="1" a="1"/>
  <c r="J156" i="1" s="1"/>
  <c r="Q194" i="1" a="1"/>
  <c r="Q194" i="1" s="1"/>
  <c r="L124" i="1" a="1"/>
  <c r="L124" i="1" s="1"/>
  <c r="I223" i="1" a="1"/>
  <c r="I223" i="1" s="1"/>
  <c r="K77" i="1" a="1"/>
  <c r="K77" i="1" s="1"/>
  <c r="M110" i="1" a="1"/>
  <c r="M110" i="1" s="1"/>
  <c r="J25" i="1" a="1"/>
  <c r="J25" i="1" s="1"/>
  <c r="J256" i="1" a="1"/>
  <c r="J256" i="1" s="1"/>
  <c r="B205" i="1" a="1"/>
  <c r="B205" i="1" s="1"/>
  <c r="R60" i="1" a="1"/>
  <c r="R60" i="1" s="1"/>
  <c r="L227" i="1" a="1"/>
  <c r="L227" i="1" s="1"/>
  <c r="H191" i="1" a="1"/>
  <c r="H191" i="1" s="1"/>
  <c r="G193" i="1" a="1"/>
  <c r="G193" i="1" s="1"/>
  <c r="R231" i="1" a="1"/>
  <c r="R231" i="1" s="1"/>
  <c r="D51" i="1" a="1"/>
  <c r="D51" i="1" s="1"/>
  <c r="J129" i="1" a="1"/>
  <c r="J129" i="1" s="1"/>
  <c r="G324" i="1" a="1"/>
  <c r="G324" i="1" s="1"/>
  <c r="O60" i="1" a="1"/>
  <c r="O60" i="1" s="1"/>
  <c r="N5" i="1" a="1"/>
  <c r="N5" i="1" s="1"/>
  <c r="K194" i="1" a="1"/>
  <c r="K194" i="1" s="1"/>
  <c r="R184" i="1" a="1"/>
  <c r="R184" i="1" s="1"/>
  <c r="F17" i="1" a="1"/>
  <c r="F17" i="1" s="1"/>
  <c r="D100" i="1" a="1"/>
  <c r="D100" i="1" s="1"/>
  <c r="N209" i="1" a="1"/>
  <c r="N209" i="1" s="1"/>
  <c r="I306" i="1" a="1"/>
  <c r="I306" i="1" s="1"/>
  <c r="G131" i="1" a="1"/>
  <c r="G131" i="1" s="1"/>
  <c r="R93" i="1" a="1"/>
  <c r="R93" i="1" s="1"/>
  <c r="R289" i="1" a="1"/>
  <c r="R289" i="1" s="1"/>
  <c r="H183" i="1" a="1"/>
  <c r="H183" i="1" s="1"/>
  <c r="L299" i="1" a="1"/>
  <c r="L299" i="1" s="1"/>
  <c r="F25" i="1" a="1"/>
  <c r="F25" i="1" s="1"/>
  <c r="B295" i="1" a="1"/>
  <c r="B295" i="1" s="1"/>
  <c r="M115" i="1" a="1"/>
  <c r="M115" i="1" s="1"/>
  <c r="C45" i="1" a="1"/>
  <c r="C45" i="1" s="1"/>
  <c r="M159" i="1" a="1"/>
  <c r="M159" i="1" s="1"/>
  <c r="J33" i="1" a="1"/>
  <c r="J33" i="1" s="1"/>
  <c r="B287" i="1" a="1"/>
  <c r="B287" i="1" s="1"/>
  <c r="P34" i="1" a="1"/>
  <c r="P34" i="1" s="1"/>
  <c r="L17" i="1" a="1"/>
  <c r="L17" i="1" s="1"/>
  <c r="G214" i="1" a="1"/>
  <c r="G214" i="1" s="1"/>
  <c r="G198" i="1" a="1"/>
  <c r="G198" i="1" s="1"/>
  <c r="E149" i="1" a="1"/>
  <c r="E149" i="1" s="1"/>
  <c r="I241" i="1" a="1"/>
  <c r="I241" i="1" s="1"/>
  <c r="I13" i="1" a="1"/>
  <c r="I13" i="1" s="1"/>
  <c r="C304" i="1" a="1"/>
  <c r="C304" i="1" s="1"/>
  <c r="K72" i="1" a="1"/>
  <c r="K72" i="1" s="1"/>
  <c r="P204" i="1" a="1"/>
  <c r="P204" i="1" s="1"/>
  <c r="N315" i="1" a="1"/>
  <c r="N315" i="1" s="1"/>
  <c r="O61" i="1" a="1"/>
  <c r="O61" i="1" s="1"/>
  <c r="C134" i="1" a="1"/>
  <c r="C134" i="1" s="1"/>
  <c r="E10" i="1" a="1"/>
  <c r="E10" i="1" s="1"/>
  <c r="N216" i="1" a="1"/>
  <c r="N216" i="1" s="1"/>
  <c r="F104" i="1" a="1"/>
  <c r="F104" i="1" s="1"/>
  <c r="F148" i="1" a="1"/>
  <c r="F148" i="1" s="1"/>
  <c r="I248" i="1" a="1"/>
  <c r="I248" i="1" s="1"/>
  <c r="C87" i="1" a="1"/>
  <c r="C87" i="1" s="1"/>
  <c r="F156" i="1" a="1"/>
  <c r="F156" i="1" s="1"/>
  <c r="R279" i="1" a="1"/>
  <c r="R279" i="1" s="1"/>
  <c r="H144" i="1" a="1"/>
  <c r="H144" i="1" s="1"/>
  <c r="B319" i="1" a="1"/>
  <c r="B319" i="1" s="1"/>
  <c r="F324" i="1" a="1"/>
  <c r="F324" i="1" s="1"/>
  <c r="G263" i="1" a="1"/>
  <c r="G263" i="1" s="1"/>
  <c r="L323" i="1" a="1"/>
  <c r="L323" i="1" s="1"/>
  <c r="J10" i="1" a="1"/>
  <c r="J10" i="1" s="1"/>
  <c r="G283" i="1" a="1"/>
  <c r="G283" i="1" s="1"/>
  <c r="O126" i="1" a="1"/>
  <c r="O126" i="1" s="1"/>
  <c r="M259" i="1" a="1"/>
  <c r="M259" i="1" s="1"/>
  <c r="B241" i="1" a="1"/>
  <c r="B241" i="1" s="1"/>
  <c r="O211" i="1" a="1"/>
  <c r="O211" i="1" s="1"/>
  <c r="G153" i="1" a="1"/>
  <c r="G153" i="1" s="1"/>
  <c r="N132" i="1" a="1"/>
  <c r="N132" i="1" s="1"/>
  <c r="H298" i="1" a="1"/>
  <c r="H298" i="1" s="1"/>
  <c r="H63" i="1" a="1"/>
  <c r="H63" i="1" s="1"/>
  <c r="C132" i="1" a="1"/>
  <c r="C132" i="1" s="1"/>
  <c r="D244" i="1" a="1"/>
  <c r="D244" i="1" s="1"/>
  <c r="Q260" i="1" a="1"/>
  <c r="Q260" i="1" s="1"/>
  <c r="G227" i="1" a="1"/>
  <c r="G227" i="1" s="1"/>
  <c r="F93" i="1" a="1"/>
  <c r="F93" i="1" s="1"/>
  <c r="F289" i="1" a="1"/>
  <c r="F289" i="1" s="1"/>
  <c r="D153" i="1" a="1"/>
  <c r="D153" i="1" s="1"/>
  <c r="K106" i="1" a="1"/>
  <c r="K106" i="1" s="1"/>
  <c r="G25" i="1" a="1"/>
  <c r="G25" i="1" s="1"/>
  <c r="B28" i="1" a="1"/>
  <c r="B28" i="1" s="1"/>
  <c r="L132" i="1" a="1"/>
  <c r="L132" i="1" s="1"/>
  <c r="C159" i="1" a="1"/>
  <c r="C159" i="1" s="1"/>
  <c r="C230" i="1" a="1"/>
  <c r="C230" i="1" s="1"/>
  <c r="E62" i="1" a="1"/>
  <c r="E62" i="1" s="1"/>
  <c r="R207" i="1" a="1"/>
  <c r="R207" i="1" s="1"/>
  <c r="N52" i="1" a="1"/>
  <c r="N52" i="1" s="1"/>
  <c r="Q247" i="1" a="1"/>
  <c r="Q247" i="1" s="1"/>
  <c r="K323" i="1" a="1"/>
  <c r="K323" i="1" s="1"/>
  <c r="F197" i="1" a="1"/>
  <c r="F197" i="1" s="1"/>
  <c r="F209" i="1" a="1"/>
  <c r="F209" i="1" s="1"/>
  <c r="G243" i="1" a="1"/>
  <c r="G243" i="1" s="1"/>
  <c r="P302" i="1" a="1"/>
  <c r="P302" i="1" s="1"/>
  <c r="I167" i="1" a="1"/>
  <c r="I167" i="1" s="1"/>
  <c r="E150" i="1" a="1"/>
  <c r="E150" i="1" s="1"/>
  <c r="N129" i="1" a="1"/>
  <c r="N129" i="1" s="1"/>
  <c r="R5" i="1" a="1"/>
  <c r="R5" i="1" s="1"/>
  <c r="J183" i="1" a="1"/>
  <c r="J183" i="1" s="1"/>
  <c r="B39" i="1" a="1"/>
  <c r="B39" i="1" s="1"/>
  <c r="Q257" i="1" a="1"/>
  <c r="Q257" i="1" s="1"/>
  <c r="C114" i="1" a="1"/>
  <c r="C114" i="1" s="1"/>
  <c r="E170" i="1" a="1"/>
  <c r="E170" i="1" s="1"/>
  <c r="N241" i="1" a="1"/>
  <c r="N241" i="1" s="1"/>
  <c r="Q259" i="1" a="1"/>
  <c r="Q259" i="1" s="1"/>
  <c r="C35" i="1" a="1"/>
  <c r="C35" i="1" s="1"/>
  <c r="I311" i="1" a="1"/>
  <c r="I311" i="1" s="1"/>
  <c r="Q116" i="1" a="1"/>
  <c r="Q116" i="1" s="1"/>
  <c r="F46" i="1" a="1"/>
  <c r="F46" i="1" s="1"/>
  <c r="E9" i="1" a="1"/>
  <c r="E9" i="1" s="1"/>
  <c r="H289" i="1" a="1"/>
  <c r="H289" i="1" s="1"/>
  <c r="D262" i="1" a="1"/>
  <c r="D262" i="1" s="1"/>
  <c r="B42" i="1" a="1"/>
  <c r="B42" i="1" s="1"/>
  <c r="O177" i="1" a="1"/>
  <c r="O177" i="1" s="1"/>
  <c r="K96" i="1" a="1"/>
  <c r="K96" i="1" s="1"/>
  <c r="Q155" i="1" a="1"/>
  <c r="Q155" i="1" s="1"/>
  <c r="G31" i="1" a="1"/>
  <c r="G31" i="1" s="1"/>
  <c r="I201" i="1" a="1"/>
  <c r="I201" i="1" s="1"/>
  <c r="P161" i="1" a="1"/>
  <c r="P161" i="1" s="1"/>
  <c r="I104" i="1" a="1"/>
  <c r="I104" i="1" s="1"/>
  <c r="R111" i="1" a="1"/>
  <c r="R111" i="1" s="1"/>
  <c r="L27" i="1" a="1"/>
  <c r="L27" i="1" s="1"/>
  <c r="C237" i="1" a="1"/>
  <c r="C237" i="1" s="1"/>
  <c r="C189" i="1" a="1"/>
  <c r="C189" i="1" s="1"/>
  <c r="I21" i="1" a="1"/>
  <c r="I21" i="1" s="1"/>
  <c r="N26" i="1" a="1"/>
  <c r="N26" i="1" s="1"/>
  <c r="J162" i="1" a="1"/>
  <c r="J162" i="1" s="1"/>
  <c r="R118" i="1" a="1"/>
  <c r="R118" i="1" s="1"/>
  <c r="G66" i="1" a="1"/>
  <c r="G66" i="1" s="1"/>
  <c r="R136" i="1" a="1"/>
  <c r="R136" i="1" s="1"/>
  <c r="C115" i="1" a="1"/>
  <c r="C115" i="1" s="1"/>
  <c r="N85" i="1" a="1"/>
  <c r="N85" i="1" s="1"/>
  <c r="I208" i="1" a="1"/>
  <c r="I208" i="1" s="1"/>
  <c r="J108" i="1" a="1"/>
  <c r="J108" i="1" s="1"/>
  <c r="P295" i="1" a="1"/>
  <c r="P295" i="1" s="1"/>
  <c r="C5" i="1" a="1"/>
  <c r="C5" i="1" s="1"/>
  <c r="J103" i="1" a="1"/>
  <c r="J103" i="1" s="1"/>
  <c r="B64" i="1" a="1"/>
  <c r="B64" i="1" s="1"/>
  <c r="P54" i="1" a="1"/>
  <c r="P54" i="1" s="1"/>
  <c r="B249" i="1" a="1"/>
  <c r="B249" i="1" s="1"/>
  <c r="E159" i="1" a="1"/>
  <c r="E159" i="1" s="1"/>
  <c r="N124" i="1" a="1"/>
  <c r="N124" i="1" s="1"/>
  <c r="J239" i="1" a="1"/>
  <c r="J239" i="1" s="1"/>
  <c r="N302" i="1" a="1"/>
  <c r="N302" i="1" s="1"/>
  <c r="P296" i="1" a="1"/>
  <c r="P296" i="1" s="1"/>
  <c r="I199" i="1" a="1"/>
  <c r="I199" i="1" s="1"/>
  <c r="Q124" i="1" a="1"/>
  <c r="Q124" i="1" s="1"/>
  <c r="Q304" i="1" a="1"/>
  <c r="Q304" i="1" s="1"/>
  <c r="N300" i="1" a="1"/>
  <c r="N300" i="1" s="1"/>
  <c r="H12" i="1" a="1"/>
  <c r="H12" i="1" s="1"/>
  <c r="M326" i="1" a="1"/>
  <c r="M326" i="1" s="1"/>
  <c r="Q208" i="1" a="1"/>
  <c r="Q208" i="1" s="1"/>
  <c r="L215" i="1" a="1"/>
  <c r="L215" i="1" s="1"/>
  <c r="B196" i="1" a="1"/>
  <c r="B196" i="1" s="1"/>
  <c r="B247" i="1" a="1"/>
  <c r="B247" i="1" s="1"/>
  <c r="C253" i="1" a="1"/>
  <c r="C253" i="1" s="1"/>
  <c r="I162" i="1" a="1"/>
  <c r="I162" i="1" s="1"/>
  <c r="R264" i="1" a="1"/>
  <c r="R264" i="1" s="1"/>
  <c r="P123" i="1" a="1"/>
  <c r="P123" i="1" s="1"/>
  <c r="O266" i="1" a="1"/>
  <c r="O266" i="1" s="1"/>
  <c r="C308" i="1" a="1"/>
  <c r="C308" i="1" s="1"/>
  <c r="R261" i="1" a="1"/>
  <c r="R261" i="1" s="1"/>
  <c r="M102" i="1" a="1"/>
  <c r="M102" i="1" s="1"/>
  <c r="K298" i="1" a="1"/>
  <c r="K298" i="1" s="1"/>
  <c r="L117" i="1" a="1"/>
  <c r="L117" i="1" s="1"/>
  <c r="O89" i="1" a="1"/>
  <c r="O89" i="1" s="1"/>
  <c r="J107" i="1" a="1"/>
  <c r="J107" i="1" s="1"/>
  <c r="Q72" i="1" a="1"/>
  <c r="Q72" i="1" s="1"/>
  <c r="O53" i="1" a="1"/>
  <c r="O53" i="1" s="1"/>
  <c r="P27" i="1" a="1"/>
  <c r="P27" i="1" s="1"/>
  <c r="R66" i="1" a="1"/>
  <c r="R66" i="1" s="1"/>
  <c r="H287" i="1" a="1"/>
  <c r="H287" i="1" s="1"/>
  <c r="G271" i="1" a="1"/>
  <c r="G271" i="1" s="1"/>
  <c r="O275" i="1" a="1"/>
  <c r="O275" i="1" s="1"/>
  <c r="P116" i="1" a="1"/>
  <c r="P116" i="1" s="1"/>
  <c r="L125" i="1" a="1"/>
  <c r="L125" i="1" s="1"/>
  <c r="E230" i="1" a="1"/>
  <c r="E230" i="1" s="1"/>
  <c r="M89" i="1" a="1"/>
  <c r="M89" i="1" s="1"/>
  <c r="P178" i="1" a="1"/>
  <c r="P178" i="1" s="1"/>
  <c r="R300" i="1" a="1"/>
  <c r="R300" i="1" s="1"/>
  <c r="I18" i="1" a="1"/>
  <c r="I18" i="1" s="1"/>
  <c r="Q191" i="1" a="1"/>
  <c r="Q191" i="1" s="1"/>
  <c r="B276" i="1" a="1"/>
  <c r="B276" i="1" s="1"/>
  <c r="K80" i="1" a="1"/>
  <c r="K80" i="1" s="1"/>
  <c r="G129" i="1" a="1"/>
  <c r="G129" i="1" s="1"/>
  <c r="L11" i="1" a="1"/>
  <c r="L11" i="1" s="1"/>
  <c r="C211" i="1" a="1"/>
  <c r="C211" i="1" s="1"/>
  <c r="D320" i="1" a="1"/>
  <c r="D320" i="1" s="1"/>
  <c r="D93" i="1" a="1"/>
  <c r="D93" i="1" s="1"/>
  <c r="Q64" i="1" a="1"/>
  <c r="Q64" i="1" s="1"/>
  <c r="K32" i="1" a="1"/>
  <c r="K32" i="1" s="1"/>
  <c r="I140" i="1" a="1"/>
  <c r="I140" i="1" s="1"/>
  <c r="Q218" i="1" a="1"/>
  <c r="Q218" i="1" s="1"/>
  <c r="J236" i="1" a="1"/>
  <c r="J236" i="1" s="1"/>
  <c r="P224" i="1" a="1"/>
  <c r="P224" i="1" s="1"/>
  <c r="M72" i="1" a="1"/>
  <c r="M72" i="1" s="1"/>
  <c r="K230" i="1" a="1"/>
  <c r="K230" i="1" s="1"/>
  <c r="N324" i="1" a="1"/>
  <c r="N324" i="1" s="1"/>
  <c r="N63" i="1" a="1"/>
  <c r="N63" i="1" s="1"/>
  <c r="M290" i="1" a="1"/>
  <c r="M290" i="1" s="1"/>
  <c r="I229" i="1" a="1"/>
  <c r="I229" i="1" s="1"/>
  <c r="Q53" i="1" a="1"/>
  <c r="Q53" i="1" s="1"/>
  <c r="K50" i="1" a="1"/>
  <c r="K50" i="1" s="1"/>
  <c r="I153" i="1" a="1"/>
  <c r="I153" i="1" s="1"/>
  <c r="Q308" i="1" a="1"/>
  <c r="Q308" i="1" s="1"/>
  <c r="F244" i="1" a="1"/>
  <c r="F244" i="1" s="1"/>
  <c r="L98" i="1" a="1"/>
  <c r="L98" i="1" s="1"/>
  <c r="Q89" i="1" a="1"/>
  <c r="Q89" i="1" s="1"/>
  <c r="P122" i="1" a="1"/>
  <c r="P122" i="1" s="1"/>
  <c r="I120" i="1" a="1"/>
  <c r="I120" i="1" s="1"/>
  <c r="O325" i="1" a="1"/>
  <c r="O325" i="1" s="1"/>
  <c r="F47" i="1" a="1"/>
  <c r="F47" i="1" s="1"/>
  <c r="N282" i="1" a="1"/>
  <c r="N282" i="1" s="1"/>
  <c r="K35" i="1" a="1"/>
  <c r="K35" i="1" s="1"/>
  <c r="C226" i="1" a="1"/>
  <c r="C226" i="1" s="1"/>
  <c r="H267" i="1" a="1"/>
  <c r="H267" i="1" s="1"/>
  <c r="P21" i="1" a="1"/>
  <c r="P21" i="1" s="1"/>
  <c r="Q143" i="1" a="1"/>
  <c r="Q143" i="1" s="1"/>
  <c r="K229" i="1" a="1"/>
  <c r="K229" i="1" s="1"/>
  <c r="N292" i="1" a="1"/>
  <c r="N292" i="1" s="1"/>
  <c r="O85" i="1" a="1"/>
  <c r="O85" i="1" s="1"/>
  <c r="G211" i="1" a="1"/>
  <c r="G211" i="1" s="1"/>
  <c r="F147" i="1" a="1"/>
  <c r="F147" i="1" s="1"/>
  <c r="D63" i="1" a="1"/>
  <c r="D63" i="1" s="1"/>
  <c r="M229" i="1" a="1"/>
  <c r="M229" i="1" s="1"/>
  <c r="B101" i="1" a="1"/>
  <c r="B101" i="1" s="1"/>
  <c r="I267" i="1" a="1"/>
  <c r="I267" i="1" s="1"/>
  <c r="D37" i="1" a="1"/>
  <c r="D37" i="1" s="1"/>
  <c r="Q174" i="1" a="1"/>
  <c r="Q174" i="1" s="1"/>
  <c r="O62" i="1" a="1"/>
  <c r="O62" i="1" s="1"/>
  <c r="Q144" i="1" a="1"/>
  <c r="Q144" i="1" s="1"/>
  <c r="O10" i="1" a="1"/>
  <c r="O10" i="1" s="1"/>
  <c r="I139" i="1" a="1"/>
  <c r="I139" i="1" s="1"/>
  <c r="C119" i="1" a="1"/>
  <c r="C119" i="1" s="1"/>
  <c r="J106" i="1" a="1"/>
  <c r="J106" i="1" s="1"/>
  <c r="P216" i="1" a="1"/>
  <c r="P216" i="1" s="1"/>
  <c r="B57" i="1" a="1"/>
  <c r="B57" i="1" s="1"/>
  <c r="N79" i="1" a="1"/>
  <c r="N79" i="1" s="1"/>
  <c r="M266" i="1" a="1"/>
  <c r="M266" i="1" s="1"/>
  <c r="E127" i="1" a="1"/>
  <c r="E127" i="1" s="1"/>
  <c r="K110" i="1" a="1"/>
  <c r="K110" i="1" s="1"/>
  <c r="R15" i="1" a="1"/>
  <c r="R15" i="1" s="1"/>
  <c r="D82" i="1" a="1"/>
  <c r="D82" i="1" s="1"/>
  <c r="P15" i="1" a="1"/>
  <c r="P15" i="1" s="1"/>
  <c r="H143" i="1" a="1"/>
  <c r="H143" i="1" s="1"/>
  <c r="O236" i="1" a="1"/>
  <c r="O236" i="1" s="1"/>
  <c r="R262" i="1" a="1"/>
  <c r="R262" i="1" s="1"/>
  <c r="H238" i="1" a="1"/>
  <c r="H238" i="1" s="1"/>
  <c r="E28" i="1" a="1"/>
  <c r="E28" i="1" s="1"/>
  <c r="D309" i="1" a="1"/>
  <c r="D309" i="1" s="1"/>
  <c r="J51" i="1" a="1"/>
  <c r="J51" i="1" s="1"/>
  <c r="Q76" i="1" a="1"/>
  <c r="Q76" i="1" s="1"/>
  <c r="J141" i="1" a="1"/>
  <c r="J141" i="1" s="1"/>
  <c r="M6" i="1" a="1"/>
  <c r="M6" i="1" s="1"/>
  <c r="D78" i="1" a="1"/>
  <c r="D78" i="1" s="1"/>
  <c r="H118" i="1" a="1"/>
  <c r="H118" i="1" s="1"/>
  <c r="M63" i="1" a="1"/>
  <c r="M63" i="1" s="1"/>
  <c r="I3" i="1" a="1"/>
  <c r="I3" i="1" s="1"/>
  <c r="G13" i="1" a="1"/>
  <c r="G13" i="1" s="1"/>
  <c r="Q117" i="1" a="1"/>
  <c r="Q117" i="1" s="1"/>
  <c r="M30" i="1" a="1"/>
  <c r="M30" i="1" s="1"/>
  <c r="H196" i="1" a="1"/>
  <c r="H196" i="1" s="1"/>
  <c r="G284" i="1" a="1"/>
  <c r="G284" i="1" s="1"/>
  <c r="Q273" i="1" a="1"/>
  <c r="Q273" i="1" s="1"/>
  <c r="L195" i="1" a="1"/>
  <c r="L195" i="1" s="1"/>
  <c r="R242" i="1" a="1"/>
  <c r="R242" i="1" s="1"/>
  <c r="G315" i="1" a="1"/>
  <c r="G315" i="1" s="1"/>
  <c r="H131" i="1" a="1"/>
  <c r="H131" i="1" s="1"/>
  <c r="N122" i="1" a="1"/>
  <c r="N122" i="1" s="1"/>
  <c r="I175" i="1" a="1"/>
  <c r="I175" i="1" s="1"/>
  <c r="E50" i="1" a="1"/>
  <c r="E50" i="1" s="1"/>
  <c r="H172" i="1" a="1"/>
  <c r="H172" i="1" s="1"/>
  <c r="Q199" i="1" a="1"/>
  <c r="Q199" i="1" s="1"/>
  <c r="R117" i="1" a="1"/>
  <c r="R117" i="1" s="1"/>
  <c r="K129" i="1" a="1"/>
  <c r="K129" i="1" s="1"/>
  <c r="L254" i="1" a="1"/>
  <c r="L254" i="1" s="1"/>
  <c r="E249" i="1" a="1"/>
  <c r="E249" i="1" s="1"/>
  <c r="Q241" i="1" a="1"/>
  <c r="Q241" i="1" s="1"/>
  <c r="E255" i="1" a="1"/>
  <c r="E255" i="1" s="1"/>
  <c r="B296" i="1" a="1"/>
  <c r="B296" i="1" s="1"/>
  <c r="E92" i="1" a="1"/>
  <c r="E92" i="1" s="1"/>
  <c r="R149" i="1" a="1"/>
  <c r="R149" i="1" s="1"/>
  <c r="E13" i="1" a="1"/>
  <c r="E13" i="1" s="1"/>
  <c r="R307" i="1" a="1"/>
  <c r="R307" i="1" s="1"/>
  <c r="J277" i="1" a="1"/>
  <c r="J277" i="1" s="1"/>
  <c r="N25" i="1" a="1"/>
  <c r="N25" i="1" s="1"/>
  <c r="E195" i="1" a="1"/>
  <c r="E195" i="1" s="1"/>
  <c r="G90" i="1" a="1"/>
  <c r="G90" i="1" s="1"/>
  <c r="B306" i="1" a="1"/>
  <c r="B306" i="1" s="1"/>
  <c r="F65" i="1" a="1"/>
  <c r="F65" i="1" s="1"/>
  <c r="M164" i="1" a="1"/>
  <c r="M164" i="1" s="1"/>
  <c r="L45" i="1" a="1"/>
  <c r="L45" i="1" s="1"/>
  <c r="Q54" i="1" a="1"/>
  <c r="Q54" i="1" s="1"/>
  <c r="G120" i="1" a="1"/>
  <c r="G120" i="1" s="1"/>
  <c r="B318" i="1" a="1"/>
  <c r="B318" i="1" s="1"/>
  <c r="M67" i="1" a="1"/>
  <c r="M67" i="1" s="1"/>
  <c r="N207" i="1" a="1"/>
  <c r="N207" i="1" s="1"/>
  <c r="F99" i="1" a="1"/>
  <c r="F99" i="1" s="1"/>
  <c r="B187" i="1" a="1"/>
  <c r="B187" i="1" s="1"/>
  <c r="J80" i="1" a="1"/>
  <c r="J80" i="1" s="1"/>
  <c r="H313" i="1" a="1"/>
  <c r="H313" i="1" s="1"/>
  <c r="B177" i="1" a="1"/>
  <c r="B177" i="1" s="1"/>
  <c r="M217" i="1" a="1"/>
  <c r="M217" i="1" s="1"/>
  <c r="E291" i="1" a="1"/>
  <c r="E291" i="1" s="1"/>
  <c r="H28" i="1" a="1"/>
  <c r="H28" i="1" s="1"/>
  <c r="M158" i="1" a="1"/>
  <c r="M158" i="1" s="1"/>
  <c r="C6" i="1" a="1"/>
  <c r="C6" i="1" s="1"/>
  <c r="L44" i="1" a="1"/>
  <c r="L44" i="1" s="1"/>
  <c r="L245" i="1" a="1"/>
  <c r="L245" i="1" s="1"/>
  <c r="B142" i="1" a="1"/>
  <c r="B142" i="1" s="1"/>
  <c r="I20" i="1" a="1"/>
  <c r="I20" i="1" s="1"/>
  <c r="M288" i="1" a="1"/>
  <c r="M288" i="1" s="1"/>
  <c r="F232" i="1" a="1"/>
  <c r="F232" i="1" s="1"/>
  <c r="Q325" i="1" a="1"/>
  <c r="Q325" i="1" s="1"/>
  <c r="Q316" i="1" a="1"/>
  <c r="Q316" i="1" s="1"/>
  <c r="F132" i="1" a="1"/>
  <c r="F132" i="1" s="1"/>
  <c r="F24" i="1" a="1"/>
  <c r="F24" i="1" s="1"/>
  <c r="M117" i="1" a="1"/>
  <c r="M117" i="1" s="1"/>
  <c r="C152" i="1" a="1"/>
  <c r="C152" i="1" s="1"/>
  <c r="Q170" i="1" a="1"/>
  <c r="Q170" i="1" s="1"/>
  <c r="I197" i="1" a="1"/>
  <c r="I197" i="1" s="1"/>
  <c r="C303" i="1" a="1"/>
  <c r="C303" i="1" s="1"/>
  <c r="O158" i="1" a="1"/>
  <c r="O158" i="1" s="1"/>
  <c r="M244" i="1" a="1"/>
  <c r="M244" i="1" s="1"/>
  <c r="P29" i="1" a="1"/>
  <c r="P29" i="1" s="1"/>
  <c r="M216" i="1" a="1"/>
  <c r="M216" i="1" s="1"/>
  <c r="J311" i="1" a="1"/>
  <c r="J311" i="1" s="1"/>
  <c r="K26" i="1" a="1"/>
  <c r="K26" i="1" s="1"/>
  <c r="J93" i="1" a="1"/>
  <c r="J93" i="1" s="1"/>
  <c r="D38" i="1" a="1"/>
  <c r="D38" i="1" s="1"/>
  <c r="M75" i="1" a="1"/>
  <c r="M75" i="1" s="1"/>
  <c r="B201" i="1" a="1"/>
  <c r="B201" i="1" s="1"/>
  <c r="R24" i="1" a="1"/>
  <c r="R24" i="1" s="1"/>
  <c r="Q166" i="1" a="1"/>
  <c r="Q166" i="1" s="1"/>
  <c r="M262" i="1" a="1"/>
  <c r="M262" i="1" s="1"/>
  <c r="J306" i="1" a="1"/>
  <c r="J306" i="1" s="1"/>
  <c r="L240" i="1" a="1"/>
  <c r="L240" i="1" s="1"/>
  <c r="Q309" i="1" a="1"/>
  <c r="Q309" i="1" s="1"/>
  <c r="H253" i="1" a="1"/>
  <c r="H253" i="1" s="1"/>
  <c r="J299" i="1" a="1"/>
  <c r="J299" i="1" s="1"/>
  <c r="F133" i="1" a="1"/>
  <c r="F133" i="1" s="1"/>
  <c r="H197" i="1" a="1"/>
  <c r="H197" i="1" s="1"/>
  <c r="L80" i="1" a="1"/>
  <c r="L80" i="1" s="1"/>
  <c r="K258" i="1" a="1"/>
  <c r="K258" i="1" s="1"/>
  <c r="I113" i="1" a="1"/>
  <c r="I113" i="1" s="1"/>
  <c r="D300" i="1" a="1"/>
  <c r="D300" i="1" s="1"/>
  <c r="J179" i="1" a="1"/>
  <c r="J179" i="1" s="1"/>
  <c r="H315" i="1" a="1"/>
  <c r="H315" i="1" s="1"/>
  <c r="G68" i="1" a="1"/>
  <c r="G68" i="1" s="1"/>
  <c r="Q138" i="1" a="1"/>
  <c r="Q138" i="1" s="1"/>
  <c r="D194" i="1" a="1"/>
  <c r="D194" i="1" s="1"/>
  <c r="I170" i="1" a="1"/>
  <c r="I170" i="1" s="1"/>
  <c r="H164" i="1" a="1"/>
  <c r="H164" i="1" s="1"/>
  <c r="M120" i="1" a="1"/>
  <c r="M120" i="1" s="1"/>
  <c r="K103" i="1" a="1"/>
  <c r="K103" i="1" s="1"/>
  <c r="N321" i="1" a="1"/>
  <c r="N321" i="1" s="1"/>
  <c r="D44" i="1" a="1"/>
  <c r="D44" i="1" s="1"/>
  <c r="I226" i="1" a="1"/>
  <c r="I226" i="1" s="1"/>
  <c r="P26" i="1" a="1"/>
  <c r="P26" i="1" s="1"/>
  <c r="J230" i="1" a="1"/>
  <c r="J230" i="1" s="1"/>
  <c r="G130" i="1" a="1"/>
  <c r="G130" i="1" s="1"/>
  <c r="L244" i="1" a="1"/>
  <c r="L244" i="1" s="1"/>
  <c r="O279" i="1" a="1"/>
  <c r="O279" i="1" s="1"/>
  <c r="M185" i="1" a="1"/>
  <c r="M185" i="1" s="1"/>
  <c r="K99" i="1" a="1"/>
  <c r="K99" i="1" s="1"/>
  <c r="I169" i="1" a="1"/>
  <c r="I169" i="1" s="1"/>
  <c r="R69" i="1" a="1"/>
  <c r="R69" i="1" s="1"/>
  <c r="P298" i="1" a="1"/>
  <c r="P298" i="1" s="1"/>
  <c r="I62" i="1" a="1"/>
  <c r="I62" i="1" s="1"/>
  <c r="O198" i="1" a="1"/>
  <c r="O198" i="1" s="1"/>
  <c r="J149" i="1" a="1"/>
  <c r="J149" i="1" s="1"/>
  <c r="B86" i="1" a="1"/>
  <c r="B86" i="1" s="1"/>
  <c r="Q176" i="1" a="1"/>
  <c r="Q176" i="1" s="1"/>
  <c r="K192" i="1" a="1"/>
  <c r="K192" i="1" s="1"/>
  <c r="H150" i="1" a="1"/>
  <c r="H150" i="1" s="1"/>
  <c r="B152" i="1" a="1"/>
  <c r="B152" i="1" s="1"/>
  <c r="I211" i="1" a="1"/>
  <c r="I211" i="1" s="1"/>
  <c r="R75" i="1" a="1"/>
  <c r="R75" i="1" s="1"/>
  <c r="F210" i="1" a="1"/>
  <c r="F210" i="1" s="1"/>
  <c r="L236" i="1" a="1"/>
  <c r="L236" i="1" s="1"/>
  <c r="P97" i="1" a="1"/>
  <c r="P97" i="1" s="1"/>
  <c r="R16" i="1" a="1"/>
  <c r="R16" i="1" s="1"/>
  <c r="P2" i="1" a="1"/>
  <c r="P2" i="1" s="1"/>
  <c r="E76" i="1" a="1"/>
  <c r="E76" i="1" s="1"/>
  <c r="N291" i="1" a="1"/>
  <c r="N291" i="1" s="1"/>
  <c r="D225" i="1" a="1"/>
  <c r="D225" i="1" s="1"/>
  <c r="K67" i="1" a="1"/>
  <c r="K67" i="1" s="1"/>
  <c r="L106" i="1" a="1"/>
  <c r="L106" i="1" s="1"/>
  <c r="C274" i="1" a="1"/>
  <c r="C274" i="1" s="1"/>
  <c r="J55" i="1" a="1"/>
  <c r="J55" i="1" s="1"/>
  <c r="M161" i="1" a="1"/>
  <c r="M161" i="1" s="1"/>
  <c r="F159" i="1" a="1"/>
  <c r="F159" i="1" s="1"/>
  <c r="I198" i="1" a="1"/>
  <c r="I198" i="1" s="1"/>
  <c r="P179" i="1" a="1"/>
  <c r="P179" i="1" s="1"/>
  <c r="E168" i="1" a="1"/>
  <c r="E168" i="1" s="1"/>
  <c r="H96" i="1" a="1"/>
  <c r="H96" i="1" s="1"/>
  <c r="C320" i="1" a="1"/>
  <c r="C320" i="1" s="1"/>
  <c r="M26" i="1" a="1"/>
  <c r="M26" i="1" s="1"/>
  <c r="N212" i="1" a="1"/>
  <c r="N212" i="1" s="1"/>
  <c r="B63" i="1" a="1"/>
  <c r="B63" i="1" s="1"/>
  <c r="J104" i="1" a="1"/>
  <c r="J104" i="1" s="1"/>
  <c r="C169" i="1" a="1"/>
  <c r="C169" i="1" s="1"/>
  <c r="N224" i="1" a="1"/>
  <c r="N224" i="1" s="1"/>
  <c r="N232" i="1" a="1"/>
  <c r="N232" i="1" s="1"/>
  <c r="B85" i="1" a="1"/>
  <c r="B85" i="1" s="1"/>
  <c r="L112" i="1" a="1"/>
  <c r="L112" i="1" s="1"/>
  <c r="D129" i="1" a="1"/>
  <c r="D129" i="1" s="1"/>
  <c r="K324" i="1" a="1"/>
  <c r="K324" i="1" s="1"/>
  <c r="I122" i="1" a="1"/>
  <c r="I122" i="1" s="1"/>
  <c r="H232" i="1" a="1"/>
  <c r="H232" i="1" s="1"/>
  <c r="I8" i="1" a="1"/>
  <c r="I8" i="1" s="1"/>
  <c r="G170" i="1" a="1"/>
  <c r="G170" i="1" s="1"/>
  <c r="P144" i="1" a="1"/>
  <c r="P144" i="1" s="1"/>
  <c r="R313" i="1" a="1"/>
  <c r="R313" i="1" s="1"/>
  <c r="R116" i="1" a="1"/>
  <c r="R116" i="1" s="1"/>
  <c r="I143" i="1" a="1"/>
  <c r="I143" i="1" s="1"/>
  <c r="P306" i="1" a="1"/>
  <c r="P306" i="1" s="1"/>
  <c r="G28" i="1" a="1"/>
  <c r="G28" i="1" s="1"/>
  <c r="C290" i="1" a="1"/>
  <c r="C290" i="1" s="1"/>
  <c r="M307" i="1" a="1"/>
  <c r="M307" i="1" s="1"/>
  <c r="G94" i="1" a="1"/>
  <c r="G94" i="1" s="1"/>
  <c r="P168" i="1" a="1"/>
  <c r="P168" i="1" s="1"/>
  <c r="M112" i="1" a="1"/>
  <c r="M112" i="1" s="1"/>
  <c r="F321" i="1" a="1"/>
  <c r="F321" i="1" s="1"/>
  <c r="D216" i="1" a="1"/>
  <c r="D216" i="1" s="1"/>
  <c r="F26" i="1" a="1"/>
  <c r="F26" i="1" s="1"/>
  <c r="F161" i="1" a="1"/>
  <c r="F161" i="1" s="1"/>
  <c r="P176" i="1" a="1"/>
  <c r="P176" i="1" s="1"/>
  <c r="G285" i="1" a="1"/>
  <c r="G285" i="1" s="1"/>
  <c r="N265" i="1" a="1"/>
  <c r="N265" i="1" s="1"/>
  <c r="I250" i="1" a="1"/>
  <c r="I250" i="1" s="1"/>
  <c r="H224" i="1" a="1"/>
  <c r="H224" i="1" s="1"/>
  <c r="I185" i="1" a="1"/>
  <c r="I185" i="1" s="1"/>
  <c r="D305" i="1" a="1"/>
  <c r="D305" i="1" s="1"/>
  <c r="N68" i="1" a="1"/>
  <c r="N68" i="1" s="1"/>
  <c r="L22" i="1" a="1"/>
  <c r="L22" i="1" s="1"/>
  <c r="R259" i="1" a="1"/>
  <c r="R259" i="1" s="1"/>
  <c r="F242" i="1" a="1"/>
  <c r="F242" i="1" s="1"/>
  <c r="P316" i="1" a="1"/>
  <c r="P316" i="1" s="1"/>
  <c r="F154" i="1" a="1"/>
  <c r="F154" i="1" s="1"/>
  <c r="I49" i="1" a="1"/>
  <c r="I49" i="1" s="1"/>
  <c r="R65" i="1" a="1"/>
  <c r="R65" i="1" s="1"/>
  <c r="F312" i="1" a="1"/>
  <c r="F312" i="1" s="1"/>
  <c r="D235" i="1" a="1"/>
  <c r="D235" i="1" s="1"/>
  <c r="J115" i="1" a="1"/>
  <c r="J115" i="1" s="1"/>
  <c r="G59" i="1" a="1"/>
  <c r="G59" i="1" s="1"/>
  <c r="I236" i="1" a="1"/>
  <c r="I236" i="1" s="1"/>
  <c r="N152" i="1" a="1"/>
  <c r="N152" i="1" s="1"/>
  <c r="Q81" i="1" a="1"/>
  <c r="Q81" i="1" s="1"/>
  <c r="L119" i="1" a="1"/>
  <c r="L119" i="1" s="1"/>
  <c r="H74" i="1" a="1"/>
  <c r="H74" i="1" s="1"/>
  <c r="F76" i="1" a="1"/>
  <c r="F76" i="1" s="1"/>
  <c r="H32" i="1" a="1"/>
  <c r="H32" i="1" s="1"/>
  <c r="L73" i="1" a="1"/>
  <c r="L73" i="1" s="1"/>
  <c r="L206" i="1" a="1"/>
  <c r="L206" i="1" s="1"/>
  <c r="J30" i="1" a="1"/>
  <c r="J30" i="1" s="1"/>
  <c r="Q229" i="1" a="1"/>
  <c r="Q229" i="1" s="1"/>
  <c r="H227" i="1" a="1"/>
  <c r="H227" i="1" s="1"/>
  <c r="D6" i="1" a="1"/>
  <c r="D6" i="1" s="1"/>
  <c r="F152" i="1" a="1"/>
  <c r="F152" i="1" s="1"/>
  <c r="P273" i="1" a="1"/>
  <c r="P273" i="1" s="1"/>
  <c r="G299" i="1" a="1"/>
  <c r="G299" i="1" s="1"/>
  <c r="G216" i="1" a="1"/>
  <c r="G216" i="1" s="1"/>
  <c r="K185" i="1" a="1"/>
  <c r="K185" i="1" s="1"/>
  <c r="N102" i="1" a="1"/>
  <c r="N102" i="1" s="1"/>
  <c r="N133" i="1" a="1"/>
  <c r="N133" i="1" s="1"/>
  <c r="E325" i="1" a="1"/>
  <c r="E325" i="1" s="1"/>
  <c r="D154" i="1" a="1"/>
  <c r="D154" i="1" s="1"/>
  <c r="M183" i="1" a="1"/>
  <c r="M183" i="1" s="1"/>
  <c r="C142" i="1" a="1"/>
  <c r="C142" i="1" s="1"/>
  <c r="E19" i="1" a="1"/>
  <c r="E19" i="1" s="1"/>
  <c r="I216" i="1" a="1"/>
  <c r="I216" i="1" s="1"/>
  <c r="K21" i="1" a="1"/>
  <c r="K21" i="1" s="1"/>
  <c r="P95" i="1" a="1"/>
  <c r="P95" i="1" s="1"/>
  <c r="B218" i="1" a="1"/>
  <c r="B218" i="1" s="1"/>
  <c r="H176" i="1" a="1"/>
  <c r="H176" i="1" s="1"/>
  <c r="R196" i="1" a="1"/>
  <c r="R196" i="1" s="1"/>
  <c r="H160" i="1" a="1"/>
  <c r="H160" i="1" s="1"/>
  <c r="J237" i="1" a="1"/>
  <c r="J237" i="1" s="1"/>
  <c r="M48" i="1" a="1"/>
  <c r="M48" i="1" s="1"/>
  <c r="B16" i="1" a="1"/>
  <c r="B16" i="1" s="1"/>
  <c r="D212" i="1" a="1"/>
  <c r="D212" i="1" s="1"/>
  <c r="M210" i="1" a="1"/>
  <c r="M210" i="1" s="1"/>
  <c r="D220" i="1" a="1"/>
  <c r="D220" i="1" s="1"/>
  <c r="L199" i="1" a="1"/>
  <c r="L199" i="1" s="1"/>
  <c r="R129" i="1" a="1"/>
  <c r="R129" i="1" s="1"/>
  <c r="P76" i="1" a="1"/>
  <c r="P76" i="1" s="1"/>
  <c r="B198" i="1" a="1"/>
  <c r="B198" i="1" s="1"/>
  <c r="K57" i="1" a="1"/>
  <c r="K57" i="1" s="1"/>
  <c r="I85" i="1" a="1"/>
  <c r="I85" i="1" s="1"/>
  <c r="C193" i="1" a="1"/>
  <c r="C193" i="1" s="1"/>
  <c r="L212" i="1" a="1"/>
  <c r="L212" i="1" s="1"/>
  <c r="N243" i="1" a="1"/>
  <c r="N243" i="1" s="1"/>
  <c r="I293" i="1" a="1"/>
  <c r="I293" i="1" s="1"/>
  <c r="O187" i="1" a="1"/>
  <c r="O187" i="1" s="1"/>
  <c r="M17" i="1" a="1"/>
  <c r="M17" i="1" s="1"/>
  <c r="E303" i="1" a="1"/>
  <c r="E303" i="1" s="1"/>
  <c r="R47" i="1" a="1"/>
  <c r="R47" i="1" s="1"/>
  <c r="D274" i="1" a="1"/>
  <c r="D274" i="1" s="1"/>
  <c r="K59" i="1" a="1"/>
  <c r="K59" i="1" s="1"/>
  <c r="M36" i="1" a="1"/>
  <c r="M36" i="1" s="1"/>
  <c r="E209" i="1" a="1"/>
  <c r="E209" i="1" s="1"/>
  <c r="F272" i="1" a="1"/>
  <c r="F272" i="1" s="1"/>
  <c r="H170" i="1" a="1"/>
  <c r="H170" i="1" s="1"/>
  <c r="H158" i="1" a="1"/>
  <c r="H158" i="1" s="1"/>
  <c r="M70" i="1" a="1"/>
  <c r="M70" i="1" s="1"/>
  <c r="I117" i="1" a="1"/>
  <c r="I117" i="1" s="1"/>
  <c r="R173" i="1" a="1"/>
  <c r="R173" i="1" s="1"/>
  <c r="D176" i="1" a="1"/>
  <c r="D176" i="1" s="1"/>
  <c r="L301" i="1" a="1"/>
  <c r="L301" i="1" s="1"/>
  <c r="G232" i="1" a="1"/>
  <c r="G232" i="1" s="1"/>
  <c r="R68" i="1" a="1"/>
  <c r="R68" i="1" s="1"/>
  <c r="J159" i="1" a="1"/>
  <c r="J159" i="1" s="1"/>
  <c r="E137" i="1" a="1"/>
  <c r="E137" i="1" s="1"/>
  <c r="K220" i="1" a="1"/>
  <c r="K220" i="1" s="1"/>
  <c r="C26" i="1" a="1"/>
  <c r="C26" i="1" s="1"/>
  <c r="K266" i="1" a="1"/>
  <c r="K266" i="1" s="1"/>
  <c r="G228" i="1" a="1"/>
  <c r="G228" i="1" s="1"/>
  <c r="L114" i="1" a="1"/>
  <c r="L114" i="1" s="1"/>
  <c r="B294" i="1" a="1"/>
  <c r="B294" i="1" s="1"/>
  <c r="H204" i="1" a="1"/>
  <c r="H204" i="1" s="1"/>
  <c r="M24" i="1" a="1"/>
  <c r="M24" i="1" s="1"/>
  <c r="N35" i="1" a="1"/>
  <c r="N35" i="1" s="1"/>
  <c r="R308" i="1" a="1"/>
  <c r="R308" i="1" s="1"/>
  <c r="H94" i="1" a="1"/>
  <c r="H94" i="1" s="1"/>
  <c r="M201" i="1" a="1"/>
  <c r="M201" i="1" s="1"/>
  <c r="D33" i="1" a="1"/>
  <c r="D33" i="1" s="1"/>
  <c r="J312" i="1" a="1"/>
  <c r="J312" i="1" s="1"/>
  <c r="R59" i="1" a="1"/>
  <c r="R59" i="1" s="1"/>
  <c r="L175" i="1" a="1"/>
  <c r="L175" i="1" s="1"/>
  <c r="G244" i="1" a="1"/>
  <c r="G244" i="1" s="1"/>
  <c r="E103" i="1" a="1"/>
  <c r="E103" i="1" s="1"/>
  <c r="R89" i="1" a="1"/>
  <c r="R89" i="1" s="1"/>
  <c r="E287" i="1" a="1"/>
  <c r="E287" i="1" s="1"/>
  <c r="N150" i="1" a="1"/>
  <c r="N150" i="1" s="1"/>
  <c r="B76" i="1" a="1"/>
  <c r="B76" i="1" s="1"/>
  <c r="L86" i="1" a="1"/>
  <c r="L86" i="1" s="1"/>
  <c r="L146" i="1" a="1"/>
  <c r="L146" i="1" s="1"/>
  <c r="I166" i="1" a="1"/>
  <c r="I166" i="1" s="1"/>
  <c r="C271" i="1" a="1"/>
  <c r="C271" i="1" s="1"/>
  <c r="D31" i="1" a="1"/>
  <c r="D31" i="1" s="1"/>
  <c r="D287" i="1" a="1"/>
  <c r="D287" i="1" s="1"/>
  <c r="P69" i="1" a="1"/>
  <c r="P69" i="1" s="1"/>
  <c r="I32" i="1" a="1"/>
  <c r="I32" i="1" s="1"/>
  <c r="K124" i="1" a="1"/>
  <c r="K124" i="1" s="1"/>
  <c r="L286" i="1" a="1"/>
  <c r="L286" i="1" s="1"/>
  <c r="O267" i="1" a="1"/>
  <c r="O267" i="1" s="1"/>
  <c r="O116" i="1" a="1"/>
  <c r="O116" i="1" s="1"/>
  <c r="M194" i="1" a="1"/>
  <c r="M194" i="1" s="1"/>
  <c r="L62" i="1" a="1"/>
  <c r="L62" i="1" s="1"/>
  <c r="O189" i="1" a="1"/>
  <c r="O189" i="1" s="1"/>
  <c r="E35" i="1" a="1"/>
  <c r="E35" i="1" s="1"/>
  <c r="Q29" i="1" a="1"/>
  <c r="Q29" i="1" s="1"/>
  <c r="L159" i="1" a="1"/>
  <c r="L159" i="1" s="1"/>
  <c r="R175" i="1" a="1"/>
  <c r="R175" i="1" s="1"/>
  <c r="P106" i="1" a="1"/>
  <c r="P106" i="1" s="1"/>
  <c r="N245" i="1" a="1"/>
  <c r="N245" i="1" s="1"/>
  <c r="H79" i="1" a="1"/>
  <c r="H79" i="1" s="1"/>
  <c r="J84" i="1" a="1"/>
  <c r="J84" i="1" s="1"/>
  <c r="R272" i="1" a="1"/>
  <c r="R272" i="1" s="1"/>
  <c r="N187" i="1" a="1"/>
  <c r="N187" i="1" s="1"/>
  <c r="K189" i="1" a="1"/>
  <c r="K189" i="1" s="1"/>
  <c r="K63" i="1" a="1"/>
  <c r="K63" i="1" s="1"/>
  <c r="P289" i="1" a="1"/>
  <c r="P289" i="1" s="1"/>
  <c r="K288" i="1" a="1"/>
  <c r="K288" i="1" s="1"/>
  <c r="O221" i="1" a="1"/>
  <c r="O221" i="1" s="1"/>
  <c r="F193" i="1" a="1"/>
  <c r="F193" i="1" s="1"/>
  <c r="E136" i="1" a="1"/>
  <c r="E136" i="1" s="1"/>
  <c r="I228" i="1" a="1"/>
  <c r="I228" i="1" s="1"/>
  <c r="H134" i="1" a="1"/>
  <c r="H134" i="1" s="1"/>
  <c r="G118" i="1" a="1"/>
  <c r="G118" i="1" s="1"/>
  <c r="B124" i="1" a="1"/>
  <c r="B124" i="1" s="1"/>
  <c r="O56" i="1" a="1"/>
  <c r="O56" i="1" s="1"/>
  <c r="D326" i="1" a="1"/>
  <c r="D326" i="1" s="1"/>
  <c r="Q237" i="1" a="1"/>
  <c r="Q237" i="1" s="1"/>
  <c r="H180" i="1" a="1"/>
  <c r="H180" i="1" s="1"/>
  <c r="R230" i="1" a="1"/>
  <c r="R230" i="1" s="1"/>
  <c r="Q240" i="1" a="1"/>
  <c r="Q240" i="1" s="1"/>
  <c r="N161" i="1" a="1"/>
  <c r="N161" i="1" s="1"/>
  <c r="K209" i="1" a="1"/>
  <c r="K209" i="1" s="1"/>
  <c r="G194" i="1" a="1"/>
  <c r="G194" i="1" s="1"/>
  <c r="E160" i="1" a="1"/>
  <c r="E160" i="1" s="1"/>
  <c r="I16" i="1" a="1"/>
  <c r="I16" i="1" s="1"/>
  <c r="H153" i="1" a="1"/>
  <c r="H153" i="1" s="1"/>
  <c r="N121" i="1" a="1"/>
  <c r="N121" i="1" s="1"/>
  <c r="K224" i="1" a="1"/>
  <c r="K224" i="1" s="1"/>
  <c r="M173" i="1" a="1"/>
  <c r="M173" i="1" s="1"/>
  <c r="J206" i="1" a="1"/>
  <c r="J206" i="1" s="1"/>
  <c r="F162" i="1" a="1"/>
  <c r="F162" i="1" s="1"/>
  <c r="P83" i="1" a="1"/>
  <c r="P83" i="1" s="1"/>
  <c r="F39" i="1" a="1"/>
  <c r="F39" i="1" s="1"/>
  <c r="L29" i="1" a="1"/>
  <c r="L29" i="1" s="1"/>
  <c r="D23" i="1" a="1"/>
  <c r="D23" i="1" s="1"/>
  <c r="J9" i="1" a="1"/>
  <c r="J9" i="1" s="1"/>
  <c r="D208" i="1" a="1"/>
  <c r="D208" i="1" s="1"/>
  <c r="H81" i="1" a="1"/>
  <c r="H81" i="1" s="1"/>
  <c r="O298" i="1" a="1"/>
  <c r="O298" i="1" s="1"/>
  <c r="M123" i="1" a="1"/>
  <c r="M123" i="1" s="1"/>
  <c r="D29" i="1" a="1"/>
  <c r="D29" i="1" s="1"/>
  <c r="K125" i="1" a="1"/>
  <c r="K125" i="1" s="1"/>
  <c r="B160" i="1" a="1"/>
  <c r="B160" i="1" s="1"/>
  <c r="K297" i="1" a="1"/>
  <c r="K297" i="1" s="1"/>
  <c r="P181" i="1" a="1"/>
  <c r="P181" i="1" s="1"/>
  <c r="B131" i="1" a="1"/>
  <c r="B131" i="1" s="1"/>
  <c r="R252" i="1" a="1"/>
  <c r="R252" i="1" s="1"/>
  <c r="L39" i="1" a="1"/>
  <c r="L39" i="1" s="1"/>
  <c r="L186" i="1" a="1"/>
  <c r="L186" i="1" s="1"/>
  <c r="H324" i="1" a="1"/>
  <c r="H324" i="1" s="1"/>
  <c r="N131" i="1" a="1"/>
  <c r="N131" i="1" s="1"/>
  <c r="I90" i="1" a="1"/>
  <c r="I90" i="1" s="1"/>
  <c r="H21" i="1" a="1"/>
  <c r="H21" i="1" s="1"/>
  <c r="F263" i="1" a="1"/>
  <c r="F263" i="1" s="1"/>
  <c r="F12" i="1" a="1"/>
  <c r="F12" i="1" s="1"/>
  <c r="P43" i="1" a="1"/>
  <c r="P43" i="1" s="1"/>
  <c r="C174" i="1" a="1"/>
  <c r="C174" i="1" s="1"/>
  <c r="D80" i="1" a="1"/>
  <c r="D80" i="1" s="1"/>
  <c r="E33" i="1" a="1"/>
  <c r="E33" i="1" s="1"/>
  <c r="M301" i="1" a="1"/>
  <c r="M301" i="1" s="1"/>
  <c r="C46" i="1" a="1"/>
  <c r="C46" i="1" s="1"/>
  <c r="Q207" i="1" a="1"/>
  <c r="Q207" i="1" s="1"/>
  <c r="H317" i="1" a="1"/>
  <c r="H317" i="1" s="1"/>
  <c r="M66" i="1" a="1"/>
  <c r="M66" i="1" s="1"/>
  <c r="Q270" i="1" a="1"/>
  <c r="Q270" i="1" s="1"/>
  <c r="F248" i="1" a="1"/>
  <c r="F248" i="1" s="1"/>
  <c r="F61" i="1" a="1"/>
  <c r="F61" i="1" s="1"/>
  <c r="O191" i="1" a="1"/>
  <c r="O191" i="1" s="1"/>
  <c r="D231" i="1" a="1"/>
  <c r="D231" i="1" s="1"/>
  <c r="E3" i="1" a="1"/>
  <c r="E3" i="1" s="1"/>
  <c r="O307" i="1" a="1"/>
  <c r="O307" i="1" s="1"/>
  <c r="K33" i="1" a="1"/>
  <c r="K33" i="1" s="1"/>
  <c r="J133" i="1" a="1"/>
  <c r="J133" i="1" s="1"/>
  <c r="J208" i="1" a="1"/>
  <c r="J208" i="1" s="1"/>
  <c r="B310" i="1" a="1"/>
  <c r="B310" i="1" s="1"/>
  <c r="H106" i="1" a="1"/>
  <c r="H106" i="1" s="1"/>
  <c r="R13" i="1" a="1"/>
  <c r="R13" i="1" s="1"/>
  <c r="M304" i="1" a="1"/>
  <c r="M304" i="1" s="1"/>
  <c r="H75" i="1" a="1"/>
  <c r="H75" i="1" s="1"/>
  <c r="E78" i="1" a="1"/>
  <c r="E78" i="1" s="1"/>
  <c r="O159" i="1" a="1"/>
  <c r="O159" i="1" s="1"/>
  <c r="B31" i="1" a="1"/>
  <c r="B31" i="1" s="1"/>
  <c r="E55" i="1" a="1"/>
  <c r="E55" i="1" s="1"/>
  <c r="F6" i="1" a="1"/>
  <c r="F6" i="1" s="1"/>
  <c r="I96" i="1" a="1"/>
  <c r="I96" i="1" s="1"/>
  <c r="G306" i="1" a="1"/>
  <c r="G306" i="1" s="1"/>
  <c r="G177" i="1" a="1"/>
  <c r="G177" i="1" s="1"/>
  <c r="G150" i="1" a="1"/>
  <c r="G150" i="1" s="1"/>
  <c r="P42" i="1" a="1"/>
  <c r="P42" i="1" s="1"/>
  <c r="C210" i="1" a="1"/>
  <c r="C210" i="1" s="1"/>
  <c r="J285" i="1" a="1"/>
  <c r="J285" i="1" s="1"/>
  <c r="F59" i="1" a="1"/>
  <c r="F59" i="1" s="1"/>
  <c r="H159" i="1" a="1"/>
  <c r="H159" i="1" s="1"/>
  <c r="L148" i="1" a="1"/>
  <c r="L148" i="1" s="1"/>
  <c r="C19" i="1" a="1"/>
  <c r="C19" i="1" s="1"/>
  <c r="E292" i="1" a="1"/>
  <c r="E292" i="1" s="1"/>
  <c r="I33" i="1" a="1"/>
  <c r="I33" i="1" s="1"/>
  <c r="K29" i="1" a="1"/>
  <c r="K29" i="1" s="1"/>
  <c r="G41" i="1" a="1"/>
  <c r="G41" i="1" s="1"/>
  <c r="C20" i="1" a="1"/>
  <c r="C20" i="1" s="1"/>
  <c r="I259" i="1" a="1"/>
  <c r="I259" i="1" s="1"/>
  <c r="C53" i="1" a="1"/>
  <c r="C53" i="1" s="1"/>
  <c r="J6" i="1" a="1"/>
  <c r="J6" i="1" s="1"/>
  <c r="K175" i="1" a="1"/>
  <c r="K175" i="1" s="1"/>
  <c r="M255" i="1" a="1"/>
  <c r="M255" i="1" s="1"/>
  <c r="O40" i="1" a="1"/>
  <c r="O40" i="1" s="1"/>
  <c r="E6" i="1" a="1"/>
  <c r="E6" i="1" s="1"/>
  <c r="E132" i="1" a="1"/>
  <c r="E132" i="1" s="1"/>
  <c r="H306" i="1" a="1"/>
  <c r="H306" i="1" s="1"/>
  <c r="B166" i="1" a="1"/>
  <c r="B166" i="1" s="1"/>
  <c r="K244" i="1" a="1"/>
  <c r="K244" i="1" s="1"/>
  <c r="R301" i="1" a="1"/>
  <c r="R301" i="1" s="1"/>
  <c r="O23" i="1" a="1"/>
  <c r="O23" i="1" s="1"/>
  <c r="O313" i="1" a="1"/>
  <c r="O313" i="1" s="1"/>
  <c r="G124" i="1" a="1"/>
  <c r="G124" i="1" s="1"/>
  <c r="Q321" i="1" a="1"/>
  <c r="Q321" i="1" s="1"/>
  <c r="P238" i="1" a="1"/>
  <c r="P238" i="1" s="1"/>
  <c r="L201" i="1" a="1"/>
  <c r="L201" i="1" s="1"/>
  <c r="R240" i="1" a="1"/>
  <c r="R240" i="1" s="1"/>
  <c r="F283" i="1" a="1"/>
  <c r="F283" i="1" s="1"/>
  <c r="F301" i="1" a="1"/>
  <c r="F301" i="1" s="1"/>
  <c r="M44" i="1" a="1"/>
  <c r="M44" i="1" s="1"/>
  <c r="L140" i="1" a="1"/>
  <c r="L140" i="1" s="1"/>
  <c r="M93" i="1" a="1"/>
  <c r="M93" i="1" s="1"/>
  <c r="F307" i="1" a="1"/>
  <c r="F307" i="1" s="1"/>
  <c r="P96" i="1" a="1"/>
  <c r="P96" i="1" s="1"/>
  <c r="M56" i="1" a="1"/>
  <c r="M56" i="1" s="1"/>
  <c r="N195" i="1" a="1"/>
  <c r="N195" i="1" s="1"/>
  <c r="J119" i="1" a="1"/>
  <c r="J119" i="1" s="1"/>
  <c r="M172" i="1" a="1"/>
  <c r="M172" i="1" s="1"/>
  <c r="M88" i="1" a="1"/>
  <c r="M88" i="1" s="1"/>
  <c r="C136" i="1" a="1"/>
  <c r="C136" i="1" s="1"/>
  <c r="K303" i="1" a="1"/>
  <c r="K303" i="1" s="1"/>
  <c r="J226" i="1" a="1"/>
  <c r="J226" i="1" s="1"/>
  <c r="P265" i="1" a="1"/>
  <c r="P265" i="1" s="1"/>
  <c r="H169" i="1" a="1"/>
  <c r="H169" i="1" s="1"/>
  <c r="J92" i="1" a="1"/>
  <c r="J92" i="1" s="1"/>
  <c r="N308" i="1" a="1"/>
  <c r="N308" i="1" s="1"/>
  <c r="L103" i="1" a="1"/>
  <c r="L103" i="1" s="1"/>
  <c r="L72" i="1" a="1"/>
  <c r="L72" i="1" s="1"/>
  <c r="F306" i="1" a="1"/>
  <c r="F306" i="1" s="1"/>
  <c r="O200" i="1" a="1"/>
  <c r="O200" i="1" s="1"/>
  <c r="D279" i="1" a="1"/>
  <c r="D279" i="1" s="1"/>
  <c r="P58" i="1" a="1"/>
  <c r="P58" i="1" s="1"/>
  <c r="Q248" i="1" a="1"/>
  <c r="Q248" i="1" s="1"/>
  <c r="R6" i="1" a="1"/>
  <c r="R6" i="1" s="1"/>
  <c r="Q46" i="1" a="1"/>
  <c r="Q46" i="1" s="1"/>
  <c r="D245" i="1" a="1"/>
  <c r="D245" i="1" s="1"/>
  <c r="J194" i="1" a="1"/>
  <c r="J194" i="1" s="1"/>
  <c r="B321" i="1" a="1"/>
  <c r="B321" i="1" s="1"/>
  <c r="D114" i="1" a="1"/>
  <c r="D114" i="1" s="1"/>
  <c r="P119" i="1" a="1"/>
  <c r="P119" i="1" s="1"/>
  <c r="F80" i="1" a="1"/>
  <c r="F80" i="1" s="1"/>
  <c r="C306" i="1" a="1"/>
  <c r="C306" i="1" s="1"/>
  <c r="N226" i="1" a="1"/>
  <c r="N226" i="1" s="1"/>
  <c r="B264" i="1" a="1"/>
  <c r="B264" i="1" s="1"/>
  <c r="B246" i="1" a="1"/>
  <c r="B246" i="1" s="1"/>
  <c r="I27" i="1" a="1"/>
  <c r="I27" i="1" s="1"/>
  <c r="N325" i="1" a="1"/>
  <c r="N325" i="1" s="1"/>
  <c r="F196" i="1" a="1"/>
  <c r="F196" i="1" s="1"/>
  <c r="N165" i="1" a="1"/>
  <c r="N165" i="1" s="1"/>
  <c r="I124" i="1" a="1"/>
  <c r="I124" i="1" s="1"/>
  <c r="I172" i="1" a="1"/>
  <c r="I172" i="1" s="1"/>
  <c r="B191" i="1" a="1"/>
  <c r="B191" i="1" s="1"/>
  <c r="O71" i="1" a="1"/>
  <c r="O71" i="1" s="1"/>
  <c r="G320" i="1" a="1"/>
  <c r="G320" i="1" s="1"/>
  <c r="H265" i="1" a="1"/>
  <c r="H265" i="1" s="1"/>
  <c r="K253" i="1" a="1"/>
  <c r="K253" i="1" s="1"/>
  <c r="K259" i="1" a="1"/>
  <c r="K259" i="1" s="1"/>
  <c r="B172" i="1" a="1"/>
  <c r="B172" i="1" s="1"/>
  <c r="H177" i="1" a="1"/>
  <c r="H177" i="1" s="1"/>
  <c r="J241" i="1" a="1"/>
  <c r="J241" i="1" s="1"/>
  <c r="I294" i="1" a="1"/>
  <c r="I294" i="1" s="1"/>
  <c r="L310" i="1" a="1"/>
  <c r="L310" i="1" s="1"/>
  <c r="Q252" i="1" a="1"/>
  <c r="Q252" i="1" s="1"/>
  <c r="G220" i="1" a="1"/>
  <c r="G220" i="1" s="1"/>
  <c r="H76" i="1" a="1"/>
  <c r="H76" i="1" s="1"/>
  <c r="Q322" i="1" a="1"/>
  <c r="Q322" i="1" s="1"/>
  <c r="B99" i="1" a="1"/>
  <c r="B99" i="1" s="1"/>
  <c r="H246" i="1" a="1"/>
  <c r="H246" i="1" s="1"/>
  <c r="Q320" i="1" a="1"/>
  <c r="Q320" i="1" s="1"/>
  <c r="N263" i="1" a="1"/>
  <c r="N263" i="1" s="1"/>
  <c r="E233" i="1" a="1"/>
  <c r="E233" i="1" s="1"/>
  <c r="P18" i="1" a="1"/>
  <c r="P18" i="1" s="1"/>
  <c r="I77" i="1" a="1"/>
  <c r="I77" i="1" s="1"/>
  <c r="E298" i="1" a="1"/>
  <c r="E298" i="1" s="1"/>
  <c r="B19" i="1" a="1"/>
  <c r="B19" i="1" s="1"/>
  <c r="B195" i="1" a="1"/>
  <c r="B195" i="1" s="1"/>
  <c r="K51" i="1" a="1"/>
  <c r="K51" i="1" s="1"/>
  <c r="G97" i="1" a="1"/>
  <c r="G97" i="1" s="1"/>
  <c r="I163" i="1" a="1"/>
  <c r="I163" i="1" s="1"/>
  <c r="R248" i="1" a="1"/>
  <c r="R248" i="1" s="1"/>
  <c r="F254" i="1" a="1"/>
  <c r="F254" i="1" s="1"/>
  <c r="Q269" i="1" a="1"/>
  <c r="Q269" i="1" s="1"/>
  <c r="B223" i="1" a="1"/>
  <c r="B223" i="1" s="1"/>
  <c r="H254" i="1" a="1"/>
  <c r="H254" i="1" s="1"/>
  <c r="I287" i="1" a="1"/>
  <c r="I287" i="1" s="1"/>
  <c r="Q73" i="1" a="1"/>
  <c r="Q73" i="1" s="1"/>
  <c r="D54" i="1" a="1"/>
  <c r="D54" i="1" s="1"/>
  <c r="G165" i="1" a="1"/>
  <c r="G165" i="1" s="1"/>
  <c r="G119" i="1" a="1"/>
  <c r="G119" i="1" s="1"/>
  <c r="G294" i="1" a="1"/>
  <c r="G294" i="1" s="1"/>
  <c r="N198" i="1" a="1"/>
  <c r="N198" i="1" s="1"/>
  <c r="L102" i="1" a="1"/>
  <c r="L102" i="1" s="1"/>
  <c r="H42" i="1" a="1"/>
  <c r="H42" i="1" s="1"/>
  <c r="M200" i="1" a="1"/>
  <c r="M200" i="1" s="1"/>
  <c r="L76" i="1" a="1"/>
  <c r="L76" i="1" s="1"/>
  <c r="M323" i="1" a="1"/>
  <c r="M323" i="1" s="1"/>
  <c r="N312" i="1" a="1"/>
  <c r="N312" i="1" s="1"/>
  <c r="N239" i="1" a="1"/>
  <c r="N239" i="1" s="1"/>
  <c r="R19" i="1" a="1"/>
  <c r="R19" i="1" s="1"/>
  <c r="M71" i="1" a="1"/>
  <c r="M71" i="1" s="1"/>
  <c r="N268" i="1" a="1"/>
  <c r="N268" i="1" s="1"/>
  <c r="L287" i="1" a="1"/>
  <c r="L287" i="1" s="1"/>
  <c r="C65" i="1" a="1"/>
  <c r="C65" i="1" s="1"/>
  <c r="R48" i="1" a="1"/>
  <c r="R48" i="1" s="1"/>
  <c r="C221" i="1" a="1"/>
  <c r="C221" i="1" s="1"/>
  <c r="I10" i="1" a="1"/>
  <c r="I10" i="1" s="1"/>
  <c r="D149" i="1" a="1"/>
  <c r="D149" i="1" s="1"/>
  <c r="C279" i="1" a="1"/>
  <c r="C279" i="1" s="1"/>
  <c r="L31" i="1" a="1"/>
  <c r="L31" i="1" s="1"/>
  <c r="D118" i="1" a="1"/>
  <c r="D118" i="1" s="1"/>
  <c r="I276" i="1" a="1"/>
  <c r="I276" i="1" s="1"/>
  <c r="E117" i="1" a="1"/>
  <c r="E117" i="1" s="1"/>
  <c r="M32" i="1" a="1"/>
  <c r="M32" i="1" s="1"/>
  <c r="J121" i="1" a="1"/>
  <c r="J121" i="1" s="1"/>
  <c r="G152" i="1" a="1"/>
  <c r="G152" i="1" s="1"/>
  <c r="C170" i="1" a="1"/>
  <c r="C170" i="1" s="1"/>
  <c r="R280" i="1" a="1"/>
  <c r="R280" i="1" s="1"/>
  <c r="F220" i="1" a="1"/>
  <c r="F220" i="1" s="1"/>
  <c r="L121" i="1" a="1"/>
  <c r="L121" i="1" s="1"/>
  <c r="Q118" i="1" a="1"/>
  <c r="Q118" i="1" s="1"/>
  <c r="K148" i="1" a="1"/>
  <c r="K148" i="1" s="1"/>
  <c r="H145" i="1" a="1"/>
  <c r="H145" i="1" s="1"/>
  <c r="P154" i="1" a="1"/>
  <c r="P154" i="1" s="1"/>
  <c r="P70" i="1" a="1"/>
  <c r="P70" i="1" s="1"/>
  <c r="M295" i="1" a="1"/>
  <c r="M295" i="1" s="1"/>
  <c r="B10" i="1" a="1"/>
  <c r="B10" i="1" s="1"/>
  <c r="O20" i="1" a="1"/>
  <c r="O20" i="1" s="1"/>
  <c r="H69" i="1" a="1"/>
  <c r="H69" i="1" s="1"/>
  <c r="R41" i="1" a="1"/>
  <c r="R41" i="1" s="1"/>
  <c r="D196" i="1" a="1"/>
  <c r="D196" i="1" s="1"/>
  <c r="F150" i="1" a="1"/>
  <c r="F150" i="1" s="1"/>
  <c r="R36" i="1" a="1"/>
  <c r="R36" i="1" s="1"/>
  <c r="G60" i="1" a="1"/>
  <c r="G60" i="1" s="1"/>
  <c r="B122" i="1" a="1"/>
  <c r="B122" i="1" s="1"/>
  <c r="L36" i="1" a="1"/>
  <c r="L36" i="1" s="1"/>
  <c r="M193" i="1" a="1"/>
  <c r="M193" i="1" s="1"/>
  <c r="N249" i="1" a="1"/>
  <c r="N249" i="1" s="1"/>
  <c r="G51" i="1" a="1"/>
  <c r="G51" i="1" s="1"/>
  <c r="P94" i="1" a="1"/>
  <c r="P94" i="1" s="1"/>
  <c r="P194" i="1" a="1"/>
  <c r="P194" i="1" s="1"/>
  <c r="G312" i="1" a="1"/>
  <c r="G312" i="1" s="1"/>
  <c r="C222" i="1" a="1"/>
  <c r="C222" i="1" s="1"/>
  <c r="N220" i="1" a="1"/>
  <c r="N220" i="1" s="1"/>
  <c r="B286" i="1" a="1"/>
  <c r="B286" i="1" s="1"/>
  <c r="L88" i="1" a="1"/>
  <c r="L88" i="1" s="1"/>
  <c r="P75" i="1" a="1"/>
  <c r="P75" i="1" s="1"/>
  <c r="M57" i="1" a="1"/>
  <c r="M57" i="1" s="1"/>
  <c r="N266" i="1" a="1"/>
  <c r="N266" i="1" s="1"/>
  <c r="D95" i="1" a="1"/>
  <c r="D95" i="1" s="1"/>
  <c r="L100" i="1" a="1"/>
  <c r="L100" i="1" s="1"/>
  <c r="F28" i="1" a="1"/>
  <c r="F28" i="1" s="1"/>
  <c r="C139" i="1" a="1"/>
  <c r="C139" i="1" s="1"/>
  <c r="J47" i="1" a="1"/>
  <c r="J47" i="1" s="1"/>
  <c r="N8" i="1" a="1"/>
  <c r="N8" i="1" s="1"/>
  <c r="F40" i="1" a="1"/>
  <c r="F40" i="1" s="1"/>
  <c r="E179" i="1" a="1"/>
  <c r="E179" i="1" s="1"/>
  <c r="D134" i="1" a="1"/>
  <c r="D134" i="1" s="1"/>
  <c r="L139" i="1" a="1"/>
  <c r="L139" i="1" s="1"/>
  <c r="N322" i="1" a="1"/>
  <c r="N322" i="1" s="1"/>
  <c r="L87" i="1" a="1"/>
  <c r="L87" i="1" s="1"/>
  <c r="P314" i="1" a="1"/>
  <c r="P314" i="1" s="1"/>
  <c r="Q184" i="1" a="1"/>
  <c r="Q184" i="1" s="1"/>
  <c r="O143" i="1" a="1"/>
  <c r="O143" i="1" s="1"/>
  <c r="C162" i="1" a="1"/>
  <c r="C162" i="1" s="1"/>
  <c r="H34" i="1" a="1"/>
  <c r="H34" i="1" s="1"/>
  <c r="B316" i="1" a="1"/>
  <c r="B316" i="1" s="1"/>
  <c r="E84" i="1" a="1"/>
  <c r="E84" i="1" s="1"/>
  <c r="B215" i="1" a="1"/>
  <c r="B215" i="1" s="1"/>
  <c r="Q12" i="1" a="1"/>
  <c r="Q12" i="1" s="1"/>
  <c r="R251" i="1" a="1"/>
  <c r="R251" i="1" s="1"/>
  <c r="P175" i="1" a="1"/>
  <c r="P175" i="1" s="1"/>
  <c r="I101" i="1" a="1"/>
  <c r="I101" i="1" s="1"/>
  <c r="E109" i="1" a="1"/>
  <c r="E109" i="1" s="1"/>
  <c r="C212" i="1" a="1"/>
  <c r="C212" i="1" s="1"/>
  <c r="P209" i="1" a="1"/>
  <c r="P209" i="1" s="1"/>
  <c r="H216" i="1" a="1"/>
  <c r="H216" i="1" s="1"/>
  <c r="O254" i="1" a="1"/>
  <c r="O254" i="1" s="1"/>
  <c r="R317" i="1" a="1"/>
  <c r="R317" i="1" s="1"/>
  <c r="F280" i="1" a="1"/>
  <c r="F280" i="1" s="1"/>
  <c r="R4" i="1" a="1"/>
  <c r="R4" i="1" s="1"/>
  <c r="G162" i="1" a="1"/>
  <c r="G162" i="1" s="1"/>
  <c r="J145" i="1" a="1"/>
  <c r="J145" i="1" s="1"/>
  <c r="K5" i="1" a="1"/>
  <c r="K5" i="1" s="1"/>
  <c r="N273" i="1" a="1"/>
  <c r="N273" i="1" s="1"/>
  <c r="M230" i="1" a="1"/>
  <c r="M230" i="1" s="1"/>
  <c r="G123" i="1" a="1"/>
  <c r="G123" i="1" s="1"/>
  <c r="M50" i="1" a="1"/>
  <c r="M50" i="1" s="1"/>
  <c r="L168" i="1" a="1"/>
  <c r="L168" i="1" s="1"/>
  <c r="H26" i="1" a="1"/>
  <c r="H26" i="1" s="1"/>
  <c r="B158" i="1" a="1"/>
  <c r="B158" i="1" s="1"/>
  <c r="J99" i="1" a="1"/>
  <c r="J99" i="1" s="1"/>
  <c r="R309" i="1" a="1"/>
  <c r="R309" i="1" s="1"/>
  <c r="F318" i="1" a="1"/>
  <c r="F318" i="1" s="1"/>
  <c r="O181" i="1" a="1"/>
  <c r="O181" i="1" s="1"/>
  <c r="J70" i="1" a="1"/>
  <c r="J70" i="1" s="1"/>
  <c r="F90" i="1" a="1"/>
  <c r="F90" i="1" s="1"/>
  <c r="R126" i="1" a="1"/>
  <c r="R126" i="1" s="1"/>
  <c r="F67" i="1" a="1"/>
  <c r="F67" i="1" s="1"/>
  <c r="I213" i="1" a="1"/>
  <c r="I213" i="1" s="1"/>
  <c r="N193" i="1" a="1"/>
  <c r="N193" i="1" s="1"/>
  <c r="M37" i="1" a="1"/>
  <c r="M37" i="1" s="1"/>
  <c r="R265" i="1" a="1"/>
  <c r="R265" i="1" s="1"/>
  <c r="H206" i="1" a="1"/>
  <c r="H206" i="1" s="1"/>
  <c r="F31" i="1" a="1"/>
  <c r="F31" i="1" s="1"/>
  <c r="C321" i="1" a="1"/>
  <c r="C321" i="1" s="1"/>
  <c r="G303" i="1" a="1"/>
  <c r="G303" i="1" s="1"/>
  <c r="G236" i="1" a="1"/>
  <c r="G236" i="1" s="1"/>
  <c r="B238" i="1" a="1"/>
  <c r="B238" i="1" s="1"/>
  <c r="C75" i="1" a="1"/>
  <c r="C75" i="1" s="1"/>
  <c r="F74" i="1" a="1"/>
  <c r="F74" i="1" s="1"/>
  <c r="Q26" i="1" a="1"/>
  <c r="Q26" i="1" s="1"/>
  <c r="G110" i="1" a="1"/>
  <c r="G110" i="1" s="1"/>
  <c r="E271" i="1" a="1"/>
  <c r="E271" i="1" s="1"/>
  <c r="K313" i="1" a="1"/>
  <c r="K313" i="1" s="1"/>
  <c r="N19" i="1" a="1"/>
  <c r="N19" i="1" s="1"/>
  <c r="O216" i="1" a="1"/>
  <c r="O216" i="1" s="1"/>
  <c r="D255" i="1" a="1"/>
  <c r="D255" i="1" s="1"/>
  <c r="I298" i="1" a="1"/>
  <c r="I298" i="1" s="1"/>
  <c r="G254" i="1" a="1"/>
  <c r="G254" i="1" s="1"/>
  <c r="K268" i="1" a="1"/>
  <c r="K268" i="1" s="1"/>
  <c r="K172" i="1" a="1"/>
  <c r="K172" i="1" s="1"/>
  <c r="C153" i="1" a="1"/>
  <c r="C153" i="1" s="1"/>
  <c r="C2" i="1" a="1"/>
  <c r="C2" i="1" s="1"/>
  <c r="G40" i="1" a="1"/>
  <c r="G40" i="1" s="1"/>
  <c r="K20" i="1" a="1"/>
  <c r="K20" i="1" s="1"/>
  <c r="R168" i="1" a="1"/>
  <c r="R168" i="1" s="1"/>
  <c r="N320" i="1" a="1"/>
  <c r="N320" i="1" s="1"/>
  <c r="I261" i="1" a="1"/>
  <c r="I261" i="1" s="1"/>
  <c r="R27" i="1" a="1"/>
  <c r="R27" i="1" s="1"/>
  <c r="B275" i="1" a="1"/>
  <c r="B275" i="1" s="1"/>
  <c r="D43" i="1" a="1"/>
  <c r="D43" i="1" s="1"/>
  <c r="J326" i="1" a="1"/>
  <c r="J326" i="1" s="1"/>
  <c r="D106" i="1" a="1"/>
  <c r="D106" i="1" s="1"/>
  <c r="B139" i="1" a="1"/>
  <c r="B139" i="1" s="1"/>
  <c r="H290" i="1" a="1"/>
  <c r="H290" i="1" s="1"/>
  <c r="Q102" i="1" a="1"/>
  <c r="Q102" i="1" s="1"/>
  <c r="H282" i="1" a="1"/>
  <c r="H282" i="1" s="1"/>
  <c r="M82" i="1" a="1"/>
  <c r="M82" i="1" s="1"/>
  <c r="G209" i="1" a="1"/>
  <c r="G209" i="1" s="1"/>
  <c r="N298" i="1" a="1"/>
  <c r="N298" i="1" s="1"/>
  <c r="N274" i="1" a="1"/>
  <c r="N274" i="1" s="1"/>
  <c r="I184" i="1" a="1"/>
  <c r="I184" i="1" s="1"/>
  <c r="R249" i="1" a="1"/>
  <c r="R249" i="1" s="1"/>
  <c r="H302" i="1" a="1"/>
  <c r="H302" i="1" s="1"/>
  <c r="K69" i="1" a="1"/>
  <c r="K69" i="1" s="1"/>
  <c r="Q30" i="1" a="1"/>
  <c r="Q30" i="1" s="1"/>
  <c r="G200" i="1" a="1"/>
  <c r="G200" i="1" s="1"/>
  <c r="Q55" i="1" a="1"/>
  <c r="Q55" i="1" s="1"/>
  <c r="M144" i="1" a="1"/>
  <c r="M144" i="1" s="1"/>
  <c r="O37" i="1" a="1"/>
  <c r="O37" i="1" s="1"/>
  <c r="H202" i="1" a="1"/>
  <c r="H202" i="1" s="1"/>
  <c r="C218" i="1" a="1"/>
  <c r="C218" i="1" s="1"/>
  <c r="P50" i="1" a="1"/>
  <c r="P50" i="1" s="1"/>
  <c r="D48" i="1" a="1"/>
  <c r="D48" i="1" s="1"/>
  <c r="F38" i="1" a="1"/>
  <c r="F38" i="1" s="1"/>
  <c r="M152" i="1" a="1"/>
  <c r="M152" i="1" s="1"/>
  <c r="D12" i="1" a="1"/>
  <c r="D12" i="1" s="1"/>
  <c r="N317" i="1" a="1"/>
  <c r="N317" i="1" s="1"/>
  <c r="F229" i="1" a="1"/>
  <c r="F229" i="1" s="1"/>
  <c r="C302" i="1" a="1"/>
  <c r="C302" i="1" s="1"/>
  <c r="G222" i="1" a="1"/>
  <c r="G222" i="1" s="1"/>
  <c r="P59" i="1" a="1"/>
  <c r="P59" i="1" s="1"/>
  <c r="R78" i="1" a="1"/>
  <c r="R78" i="1" s="1"/>
  <c r="Q288" i="1" a="1"/>
  <c r="Q288" i="1" s="1"/>
  <c r="M177" i="1" a="1"/>
  <c r="M177" i="1" s="1"/>
  <c r="G195" i="1" a="1"/>
  <c r="G195" i="1" s="1"/>
  <c r="C38" i="1" a="1"/>
  <c r="C38" i="1" s="1"/>
  <c r="N277" i="1" a="1"/>
  <c r="N277" i="1" s="1"/>
  <c r="P259" i="1" a="1"/>
  <c r="P259" i="1" s="1"/>
  <c r="M18" i="1" a="1"/>
  <c r="M18" i="1" s="1"/>
  <c r="P149" i="1" a="1"/>
  <c r="P149" i="1" s="1"/>
  <c r="N188" i="1" a="1"/>
  <c r="N188" i="1" s="1"/>
  <c r="R155" i="1" a="1"/>
  <c r="R155" i="1" s="1"/>
  <c r="R77" i="1" a="1"/>
  <c r="R77" i="1" s="1"/>
  <c r="J174" i="1" a="1"/>
  <c r="J174" i="1" s="1"/>
  <c r="F23" i="1" a="1"/>
  <c r="F23" i="1" s="1"/>
  <c r="N70" i="1" a="1"/>
  <c r="N70" i="1" s="1"/>
  <c r="O309" i="1" a="1"/>
  <c r="O309" i="1" s="1"/>
  <c r="P272" i="1" a="1"/>
  <c r="P272" i="1" s="1"/>
  <c r="C291" i="1" a="1"/>
  <c r="C291" i="1" s="1"/>
  <c r="F214" i="1" a="1"/>
  <c r="F214" i="1" s="1"/>
  <c r="P202" i="1" a="1"/>
  <c r="P202" i="1" s="1"/>
  <c r="I244" i="1" a="1"/>
  <c r="I244" i="1" s="1"/>
  <c r="E156" i="1" a="1"/>
  <c r="E156" i="1" s="1"/>
  <c r="D61" i="1" a="1"/>
  <c r="D61" i="1" s="1"/>
  <c r="B216" i="1" a="1"/>
  <c r="B216" i="1" s="1"/>
  <c r="E295" i="1" a="1"/>
  <c r="E295" i="1" s="1"/>
  <c r="J196" i="1" a="1"/>
  <c r="J196" i="1" s="1"/>
  <c r="D327" i="1" a="1"/>
  <c r="D327" i="1" s="1"/>
  <c r="L298" i="1" a="1"/>
  <c r="L298" i="1" s="1"/>
  <c r="K140" i="1" a="1"/>
  <c r="K140" i="1" s="1"/>
  <c r="L266" i="1" a="1"/>
  <c r="L266" i="1" s="1"/>
  <c r="R232" i="1" a="1"/>
  <c r="R232" i="1" s="1"/>
  <c r="I321" i="1" a="1"/>
  <c r="I321" i="1" s="1"/>
  <c r="H311" i="1" a="1"/>
  <c r="H311" i="1" s="1"/>
  <c r="J210" i="1" a="1"/>
  <c r="J210" i="1" s="1"/>
  <c r="L263" i="1" a="1"/>
  <c r="L263" i="1" s="1"/>
  <c r="J209" i="1" a="1"/>
  <c r="J209" i="1" s="1"/>
  <c r="E247" i="1" a="1"/>
  <c r="E247" i="1" s="1"/>
  <c r="H121" i="1" a="1"/>
  <c r="H121" i="1" s="1"/>
  <c r="O241" i="1" a="1"/>
  <c r="O241" i="1" s="1"/>
  <c r="B116" i="1" a="1"/>
  <c r="B116" i="1" s="1"/>
  <c r="L26" i="1" a="1"/>
  <c r="L26" i="1" s="1"/>
  <c r="K19" i="1" a="1"/>
  <c r="K19" i="1" s="1"/>
  <c r="Q265" i="1" a="1"/>
  <c r="Q265" i="1" s="1"/>
  <c r="G174" i="1" a="1"/>
  <c r="G174" i="1" s="1"/>
  <c r="O128" i="1" a="1"/>
  <c r="O128" i="1" s="1"/>
  <c r="R170" i="1" a="1"/>
  <c r="R170" i="1" s="1"/>
  <c r="D26" i="1" a="1"/>
  <c r="D26" i="1" s="1"/>
  <c r="J244" i="1" a="1"/>
  <c r="J244" i="1" s="1"/>
  <c r="P33" i="1" a="1"/>
  <c r="P33" i="1" s="1"/>
  <c r="H193" i="1" a="1"/>
  <c r="H193" i="1" s="1"/>
  <c r="P102" i="1" a="1"/>
  <c r="P102" i="1" s="1"/>
  <c r="L49" i="1" a="1"/>
  <c r="L49" i="1" s="1"/>
  <c r="O22" i="1" a="1"/>
  <c r="O22" i="1" s="1"/>
  <c r="Q305" i="1" a="1"/>
  <c r="Q305" i="1" s="1"/>
  <c r="K100" i="1" a="1"/>
  <c r="K100" i="1" s="1"/>
  <c r="F227" i="1" a="1"/>
  <c r="F227" i="1" s="1"/>
  <c r="O2" i="1" a="1"/>
  <c r="O2" i="1" s="1"/>
  <c r="L238" i="1" a="1"/>
  <c r="L238" i="1" s="1"/>
  <c r="N172" i="1" a="1"/>
  <c r="N172" i="1" s="1"/>
  <c r="G79" i="1" a="1"/>
  <c r="G79" i="1" s="1"/>
  <c r="J58" i="1" a="1"/>
  <c r="J58" i="1" s="1"/>
  <c r="M163" i="1" a="1"/>
  <c r="M163" i="1" s="1"/>
  <c r="O118" i="1" a="1"/>
  <c r="O118" i="1" s="1"/>
  <c r="J253" i="1" a="1"/>
  <c r="J253" i="1" s="1"/>
  <c r="L324" i="1" a="1"/>
  <c r="L324" i="1" s="1"/>
  <c r="L169" i="1" a="1"/>
  <c r="L169" i="1" s="1"/>
  <c r="H161" i="1" a="1"/>
  <c r="H161" i="1" s="1"/>
  <c r="C104" i="1" a="1"/>
  <c r="C104" i="1" s="1"/>
  <c r="B184" i="1" a="1"/>
  <c r="B184" i="1" s="1"/>
  <c r="P22" i="1" a="1"/>
  <c r="P22" i="1" s="1"/>
  <c r="Q200" i="1" a="1"/>
  <c r="Q200" i="1" s="1"/>
  <c r="O300" i="1" a="1"/>
  <c r="O300" i="1" s="1"/>
  <c r="I258" i="1" a="1"/>
  <c r="I258" i="1" s="1"/>
  <c r="M243" i="1" a="1"/>
  <c r="M243" i="1" s="1"/>
  <c r="M249" i="1" a="1"/>
  <c r="M249" i="1" s="1"/>
  <c r="E313" i="1" a="1"/>
  <c r="E313" i="1" s="1"/>
  <c r="Q112" i="1" a="1"/>
  <c r="Q112" i="1" s="1"/>
  <c r="D302" i="1" a="1"/>
  <c r="D302" i="1" s="1"/>
  <c r="F34" i="1" a="1"/>
  <c r="F34" i="1" s="1"/>
  <c r="P40" i="1" a="1"/>
  <c r="P40" i="1" s="1"/>
  <c r="L166" i="1" a="1"/>
  <c r="L166" i="1" s="1"/>
  <c r="D165" i="1" a="1"/>
  <c r="D165" i="1" s="1"/>
  <c r="H187" i="1" a="1"/>
  <c r="H187" i="1" s="1"/>
  <c r="G35" i="1" a="1"/>
  <c r="G35" i="1" s="1"/>
  <c r="D72" i="1" a="1"/>
  <c r="D72" i="1" s="1"/>
  <c r="I322" i="1" a="1"/>
  <c r="I322" i="1" s="1"/>
  <c r="D259" i="1" a="1"/>
  <c r="D259" i="1" s="1"/>
  <c r="I239" i="1" a="1"/>
  <c r="I239" i="1" s="1"/>
  <c r="J284" i="1" a="1"/>
  <c r="J284" i="1" s="1"/>
  <c r="Q130" i="1" a="1"/>
  <c r="Q130" i="1" s="1"/>
  <c r="I164" i="1" a="1"/>
  <c r="I164" i="1" s="1"/>
  <c r="N177" i="1" a="1"/>
  <c r="N177" i="1" s="1"/>
  <c r="F44" i="1" a="1"/>
  <c r="F44" i="1" s="1"/>
  <c r="B3" i="1" a="1"/>
  <c r="B3" i="1" s="1"/>
  <c r="G122" i="1" a="1"/>
  <c r="G122" i="1" s="1"/>
  <c r="I75" i="1" a="1"/>
  <c r="I75" i="1" s="1"/>
  <c r="N142" i="1" a="1"/>
  <c r="N142" i="1" s="1"/>
  <c r="J275" i="1" a="1"/>
  <c r="J275" i="1" s="1"/>
  <c r="E80" i="1" a="1"/>
  <c r="E80" i="1" s="1"/>
  <c r="N94" i="1" a="1"/>
  <c r="N94" i="1" s="1"/>
  <c r="G145" i="1" a="1"/>
  <c r="G145" i="1" s="1"/>
  <c r="P104" i="1" a="1"/>
  <c r="P104" i="1" s="1"/>
  <c r="G273" i="1" a="1"/>
  <c r="G273" i="1" s="1"/>
  <c r="B74" i="1" a="1"/>
  <c r="B74" i="1" s="1"/>
  <c r="N257" i="1" a="1"/>
  <c r="N257" i="1" s="1"/>
  <c r="J260" i="1" a="1"/>
  <c r="J260" i="1" s="1"/>
  <c r="C296" i="1" a="1"/>
  <c r="C296" i="1" s="1"/>
  <c r="I319" i="1" a="1"/>
  <c r="I319" i="1" s="1"/>
  <c r="E61" i="1" a="1"/>
  <c r="E61" i="1" s="1"/>
  <c r="O131" i="1" a="1"/>
  <c r="O131" i="1" s="1"/>
  <c r="L285" i="1" a="1"/>
  <c r="L285" i="1" s="1"/>
  <c r="P251" i="1" a="1"/>
  <c r="P251" i="1" s="1"/>
  <c r="H165" i="1" a="1"/>
  <c r="H165" i="1" s="1"/>
  <c r="P256" i="1" a="1"/>
  <c r="P256" i="1" s="1"/>
  <c r="F9" i="1" a="1"/>
  <c r="F9" i="1" s="1"/>
  <c r="J11" i="1" a="1"/>
  <c r="J11" i="1" s="1"/>
  <c r="M27" i="1" a="1"/>
  <c r="M27" i="1" s="1"/>
  <c r="F296" i="1" a="1"/>
  <c r="F296" i="1" s="1"/>
  <c r="M283" i="1" a="1"/>
  <c r="M283" i="1" s="1"/>
  <c r="C311" i="1" a="1"/>
  <c r="C311" i="1" s="1"/>
  <c r="N21" i="1" a="1"/>
  <c r="N21" i="1" s="1"/>
  <c r="E142" i="1" a="1"/>
  <c r="E142" i="1" s="1"/>
  <c r="K52" i="1" a="1"/>
  <c r="K52" i="1" s="1"/>
  <c r="B317" i="1" a="1"/>
  <c r="B317" i="1" s="1"/>
  <c r="Q227" i="1" a="1"/>
  <c r="Q227" i="1" s="1"/>
  <c r="Q92" i="1" a="1"/>
  <c r="Q92" i="1" s="1"/>
  <c r="B228" i="1" a="1"/>
  <c r="B228" i="1" s="1"/>
  <c r="Q201" i="1" a="1"/>
  <c r="Q201" i="1" s="1"/>
  <c r="J296" i="1" a="1"/>
  <c r="J296" i="1" s="1"/>
  <c r="N43" i="1" a="1"/>
  <c r="N43" i="1" s="1"/>
  <c r="O230" i="1" a="1"/>
  <c r="O230" i="1" s="1"/>
  <c r="R80" i="1" a="1"/>
  <c r="R80" i="1" s="1"/>
  <c r="B2" i="1" a="1"/>
  <c r="B2" i="1" s="1"/>
  <c r="M272" i="1" a="1"/>
  <c r="M272" i="1" s="1"/>
  <c r="E207" i="1" a="1"/>
  <c r="E207" i="1" s="1"/>
  <c r="M263" i="1" a="1"/>
  <c r="M263" i="1" s="1"/>
  <c r="P252" i="1" a="1"/>
  <c r="P252" i="1" s="1"/>
  <c r="B83" i="1" a="1"/>
  <c r="B83" i="1" s="1"/>
  <c r="Q115" i="1" a="1"/>
  <c r="Q115" i="1" s="1"/>
  <c r="J321" i="1" a="1"/>
  <c r="J321" i="1" s="1"/>
  <c r="E284" i="1" a="1"/>
  <c r="E284" i="1" s="1"/>
  <c r="I320" i="1" a="1"/>
  <c r="I320" i="1" s="1"/>
  <c r="L20" i="1" a="1"/>
  <c r="L20" i="1" s="1"/>
  <c r="E227" i="1" a="1"/>
  <c r="E227" i="1" s="1"/>
  <c r="I111" i="1" a="1"/>
  <c r="I111" i="1" s="1"/>
  <c r="B183" i="1" a="1"/>
  <c r="B183" i="1" s="1"/>
  <c r="Q310" i="1" a="1"/>
  <c r="Q310" i="1" s="1"/>
  <c r="F172" i="1" a="1"/>
  <c r="F172" i="1" s="1"/>
  <c r="C34" i="1" a="1"/>
  <c r="C34" i="1" s="1"/>
  <c r="Q22" i="1" a="1"/>
  <c r="Q22" i="1" s="1"/>
  <c r="G221" i="1" a="1"/>
  <c r="G221" i="1" s="1"/>
  <c r="R9" i="1" a="1"/>
  <c r="R9" i="1" s="1"/>
  <c r="N246" i="1" a="1"/>
  <c r="N246" i="1" s="1"/>
  <c r="I67" i="1" a="1"/>
  <c r="I67" i="1" s="1"/>
  <c r="I128" i="1" a="1"/>
  <c r="I128" i="1" s="1"/>
  <c r="I242" i="1" a="1"/>
  <c r="I242" i="1" s="1"/>
  <c r="F78" i="1" a="1"/>
  <c r="F78" i="1" s="1"/>
  <c r="Q107" i="1" a="1"/>
  <c r="Q107" i="1" s="1"/>
  <c r="P155" i="1" a="1"/>
  <c r="P155" i="1" s="1"/>
  <c r="L243" i="1" a="1"/>
  <c r="L243" i="1" s="1"/>
  <c r="G301" i="1" a="1"/>
  <c r="G301" i="1" s="1"/>
  <c r="G186" i="1" a="1"/>
  <c r="G186" i="1" s="1"/>
  <c r="K174" i="1" a="1"/>
  <c r="K174" i="1" s="1"/>
  <c r="F239" i="1" a="1"/>
  <c r="F239" i="1" s="1"/>
  <c r="J27" i="1" a="1"/>
  <c r="J27" i="1" s="1"/>
  <c r="E129" i="1" a="1"/>
  <c r="E129" i="1" s="1"/>
  <c r="O272" i="1" a="1"/>
  <c r="O272" i="1" s="1"/>
  <c r="H92" i="1" a="1"/>
  <c r="H92" i="1" s="1"/>
  <c r="J205" i="1" a="1"/>
  <c r="J205" i="1" s="1"/>
  <c r="K269" i="1" a="1"/>
  <c r="K269" i="1" s="1"/>
  <c r="G4" i="1" a="1"/>
  <c r="G4" i="1" s="1"/>
  <c r="Q61" i="1" a="1"/>
  <c r="Q61" i="1" s="1"/>
  <c r="N9" i="1" a="1"/>
  <c r="N9" i="1" s="1"/>
  <c r="O57" i="1" a="1"/>
  <c r="O57" i="1" s="1"/>
  <c r="P220" i="1" a="1"/>
  <c r="P220" i="1" s="1"/>
  <c r="B255" i="1" a="1"/>
  <c r="B255" i="1" s="1"/>
  <c r="N147" i="1" a="1"/>
  <c r="N147" i="1" s="1"/>
  <c r="E248" i="1" a="1"/>
  <c r="E248" i="1" s="1"/>
  <c r="B148" i="1" a="1"/>
  <c r="B148" i="1" s="1"/>
  <c r="N2" i="1" a="1"/>
  <c r="N2" i="1" s="1"/>
  <c r="R181" i="1" a="1"/>
  <c r="R181" i="1" s="1"/>
  <c r="P260" i="1" a="1"/>
  <c r="P260" i="1" s="1"/>
  <c r="R49" i="1" a="1"/>
  <c r="R49" i="1" s="1"/>
  <c r="D169" i="1" a="1"/>
  <c r="D169" i="1" s="1"/>
  <c r="P167" i="1" a="1"/>
  <c r="P167" i="1" s="1"/>
  <c r="Q189" i="1" a="1"/>
  <c r="Q189" i="1" s="1"/>
  <c r="H91" i="1" a="1"/>
  <c r="H91" i="1" s="1"/>
  <c r="K261" i="1" a="1"/>
  <c r="K261" i="1" s="1"/>
  <c r="G39" i="1" a="1"/>
  <c r="G39" i="1" s="1"/>
  <c r="E177" i="1" a="1"/>
  <c r="E177" i="1" s="1"/>
  <c r="P266" i="1" a="1"/>
  <c r="P266" i="1" s="1"/>
  <c r="I137" i="1" a="1"/>
  <c r="I137" i="1" s="1"/>
  <c r="O38" i="1" a="1"/>
  <c r="O38" i="1" s="1"/>
  <c r="J251" i="1" a="1"/>
  <c r="J251" i="1" s="1"/>
  <c r="B222" i="1" a="1"/>
  <c r="B222" i="1" s="1"/>
  <c r="P79" i="1" a="1"/>
  <c r="P79" i="1" s="1"/>
  <c r="O319" i="1" a="1"/>
  <c r="O319" i="1" s="1"/>
  <c r="K231" i="1" a="1"/>
  <c r="K231" i="1" s="1"/>
  <c r="Q294" i="1" a="1"/>
  <c r="Q294" i="1" s="1"/>
  <c r="F57" i="1" a="1"/>
  <c r="F57" i="1" s="1"/>
  <c r="J95" i="1" a="1"/>
  <c r="J95" i="1" s="1"/>
  <c r="C168" i="1" a="1"/>
  <c r="C168" i="1" s="1"/>
  <c r="L208" i="1" a="1"/>
  <c r="L208" i="1" s="1"/>
  <c r="H54" i="1" a="1"/>
  <c r="H54" i="1" s="1"/>
  <c r="Q2" i="1" a="1"/>
  <c r="Q2" i="1" s="1"/>
  <c r="I132" i="1" a="1"/>
  <c r="I132" i="1" s="1"/>
  <c r="P210" i="1" a="1"/>
  <c r="P210" i="1" s="1"/>
  <c r="J254" i="1" a="1"/>
  <c r="J254" i="1" s="1"/>
  <c r="M131" i="1" a="1"/>
  <c r="M131" i="1" s="1"/>
  <c r="I55" i="1" a="1"/>
  <c r="I55" i="1" s="1"/>
  <c r="O235" i="1" a="1"/>
  <c r="O235" i="1" s="1"/>
  <c r="K215" i="1" a="1"/>
  <c r="K215" i="1" s="1"/>
  <c r="K213" i="1" a="1"/>
  <c r="K213" i="1" s="1"/>
  <c r="B106" i="1" a="1"/>
  <c r="B106" i="1" s="1"/>
  <c r="I161" i="1" a="1"/>
  <c r="I161" i="1" s="1"/>
  <c r="Q95" i="1" a="1"/>
  <c r="Q95" i="1" s="1"/>
  <c r="J320" i="1" a="1"/>
  <c r="J320" i="1" s="1"/>
  <c r="N244" i="1" a="1"/>
  <c r="N244" i="1" s="1"/>
  <c r="M129" i="1" a="1"/>
  <c r="M129" i="1" s="1"/>
  <c r="R90" i="1" a="1"/>
  <c r="R90" i="1" s="1"/>
  <c r="E114" i="1" a="1"/>
  <c r="E114" i="1" s="1"/>
  <c r="D81" i="1" a="1"/>
  <c r="D81" i="1" s="1"/>
  <c r="C202" i="1" a="1"/>
  <c r="C202" i="1" s="1"/>
  <c r="F226" i="1" a="1"/>
  <c r="F226" i="1" s="1"/>
  <c r="H73" i="1" a="1"/>
  <c r="H73" i="1" s="1"/>
  <c r="C21" i="1" a="1"/>
  <c r="C21" i="1" s="1"/>
  <c r="D146" i="1" a="1"/>
  <c r="D146" i="1" s="1"/>
  <c r="G239" i="1" a="1"/>
  <c r="G239" i="1" s="1"/>
  <c r="G207" i="1" a="1"/>
  <c r="G207" i="1" s="1"/>
  <c r="K150" i="1" a="1"/>
  <c r="K150" i="1" s="1"/>
  <c r="R104" i="1" a="1"/>
  <c r="R104" i="1" s="1"/>
  <c r="C241" i="1" a="1"/>
  <c r="C241" i="1" s="1"/>
  <c r="C141" i="1" a="1"/>
  <c r="C141" i="1" s="1"/>
  <c r="I44" i="1" a="1"/>
  <c r="I44" i="1" s="1"/>
  <c r="N71" i="1" a="1"/>
  <c r="N71" i="1" s="1"/>
  <c r="J148" i="1" a="1"/>
  <c r="J148" i="1" s="1"/>
  <c r="B244" i="1" a="1"/>
  <c r="B244" i="1" s="1"/>
  <c r="Q235" i="1" a="1"/>
  <c r="Q235" i="1" s="1"/>
  <c r="B48" i="1" a="1"/>
  <c r="B48" i="1" s="1"/>
  <c r="C28" i="1" a="1"/>
  <c r="C28" i="1" s="1"/>
  <c r="F113" i="1" a="1"/>
  <c r="F113" i="1" s="1"/>
  <c r="G176" i="1" a="1"/>
  <c r="G176" i="1" s="1"/>
  <c r="G266" i="1" a="1"/>
  <c r="G266" i="1" s="1"/>
  <c r="D218" i="1" a="1"/>
  <c r="D218" i="1" s="1"/>
  <c r="B41" i="1" a="1"/>
  <c r="B41" i="1" s="1"/>
  <c r="I126" i="1" a="1"/>
  <c r="I126" i="1" s="1"/>
  <c r="M134" i="1" a="1"/>
  <c r="M134" i="1" s="1"/>
  <c r="N104" i="1" a="1"/>
  <c r="N104" i="1" s="1"/>
  <c r="M251" i="1" a="1"/>
  <c r="M251" i="1" s="1"/>
  <c r="J198" i="1" a="1"/>
  <c r="J198" i="1" s="1"/>
  <c r="E71" i="1" a="1"/>
  <c r="E71" i="1" s="1"/>
  <c r="E48" i="1" a="1"/>
  <c r="E48" i="1" s="1"/>
  <c r="D57" i="1" a="1"/>
  <c r="D57" i="1" s="1"/>
  <c r="L145" i="1" a="1"/>
  <c r="L145" i="1" s="1"/>
  <c r="J56" i="1" a="1"/>
  <c r="J56" i="1" s="1"/>
  <c r="P93" i="1" a="1"/>
  <c r="P93" i="1" s="1"/>
  <c r="I245" i="1" a="1"/>
  <c r="I245" i="1" s="1"/>
  <c r="L165" i="1" a="1"/>
  <c r="L165" i="1" s="1"/>
  <c r="I80" i="1" a="1"/>
  <c r="I80" i="1" s="1"/>
  <c r="O315" i="1" a="1"/>
  <c r="O315" i="1" s="1"/>
  <c r="G197" i="1" a="1"/>
  <c r="G197" i="1" s="1"/>
  <c r="M108" i="1" a="1"/>
  <c r="M108" i="1" s="1"/>
  <c r="J168" i="1" a="1"/>
  <c r="J168" i="1" s="1"/>
  <c r="F171" i="1" a="1"/>
  <c r="F171" i="1" s="1"/>
  <c r="C18" i="1" a="1"/>
  <c r="C18" i="1" s="1"/>
  <c r="J116" i="1" a="1"/>
  <c r="J116" i="1" s="1"/>
  <c r="M28" i="1" a="1"/>
  <c r="M28" i="1" s="1"/>
  <c r="R205" i="1" a="1"/>
  <c r="R205" i="1" s="1"/>
  <c r="F222" i="1" a="1"/>
  <c r="F222" i="1" s="1"/>
  <c r="B96" i="1" a="1"/>
  <c r="B96" i="1" s="1"/>
  <c r="Q162" i="1" a="1"/>
  <c r="Q162" i="1" s="1"/>
  <c r="P201" i="1" a="1"/>
  <c r="P201" i="1" s="1"/>
  <c r="G98" i="1" a="1"/>
  <c r="G98" i="1" s="1"/>
  <c r="P183" i="1" a="1"/>
  <c r="P183" i="1" s="1"/>
  <c r="I297" i="1" a="1"/>
  <c r="I297" i="1" s="1"/>
  <c r="N33" i="1" a="1"/>
  <c r="N33" i="1" s="1"/>
  <c r="Q33" i="1" a="1"/>
  <c r="Q33" i="1" s="1"/>
  <c r="I254" i="1" a="1"/>
  <c r="I254" i="1" s="1"/>
  <c r="P31" i="1" a="1"/>
  <c r="P31" i="1" s="1"/>
  <c r="E307" i="1" a="1"/>
  <c r="E307" i="1" s="1"/>
  <c r="J134" i="1" a="1"/>
  <c r="J134" i="1" s="1"/>
  <c r="G250" i="1" a="1"/>
  <c r="G250" i="1" s="1"/>
  <c r="G132" i="1" a="1"/>
  <c r="G132" i="1" s="1"/>
  <c r="H93" i="1" a="1"/>
  <c r="H93" i="1" s="1"/>
  <c r="C239" i="1" a="1"/>
  <c r="C239" i="1" s="1"/>
  <c r="P208" i="1" a="1"/>
  <c r="P208" i="1" s="1"/>
  <c r="M311" i="1" a="1"/>
  <c r="M311" i="1" s="1"/>
  <c r="J291" i="1" a="1"/>
  <c r="J291" i="1" s="1"/>
  <c r="Q84" i="1" a="1"/>
  <c r="Q84" i="1" s="1"/>
  <c r="B212" i="1" a="1"/>
  <c r="B212" i="1" s="1"/>
  <c r="M314" i="1" a="1"/>
  <c r="M314" i="1" s="1"/>
  <c r="K246" i="1" a="1"/>
  <c r="K246" i="1" s="1"/>
  <c r="K277" i="1" a="1"/>
  <c r="K277" i="1" s="1"/>
  <c r="M103" i="1" a="1"/>
  <c r="M103" i="1" s="1"/>
  <c r="J126" i="1" a="1"/>
  <c r="J126" i="1" s="1"/>
  <c r="F165" i="1" a="1"/>
  <c r="F165" i="1" s="1"/>
  <c r="I112" i="1" a="1"/>
  <c r="I112" i="1" s="1"/>
  <c r="D301" i="1" a="1"/>
  <c r="D301" i="1" s="1"/>
  <c r="H229" i="1" a="1"/>
  <c r="H229" i="1" s="1"/>
  <c r="P301" i="1" a="1"/>
  <c r="P301" i="1" s="1"/>
  <c r="N174" i="1" a="1"/>
  <c r="N174" i="1" s="1"/>
  <c r="C269" i="1" a="1"/>
  <c r="C269" i="1" s="1"/>
  <c r="N151" i="1" a="1"/>
  <c r="N151" i="1" s="1"/>
  <c r="F218" i="1" a="1"/>
  <c r="F218" i="1" s="1"/>
  <c r="H48" i="1" a="1"/>
  <c r="H48" i="1" s="1"/>
  <c r="M140" i="1" a="1"/>
  <c r="M140" i="1" s="1"/>
  <c r="L306" i="1" a="1"/>
  <c r="L306" i="1" s="1"/>
  <c r="P127" i="1" a="1"/>
  <c r="P127" i="1" s="1"/>
  <c r="B254" i="1" a="1"/>
  <c r="B254" i="1" s="1"/>
  <c r="O285" i="1" a="1"/>
  <c r="O285" i="1" s="1"/>
  <c r="C191" i="1" a="1"/>
  <c r="C191" i="1" s="1"/>
  <c r="Q104" i="1" a="1"/>
  <c r="Q104" i="1" s="1"/>
  <c r="L28" i="1" a="1"/>
  <c r="L28" i="1" s="1"/>
  <c r="M176" i="1" a="1"/>
  <c r="M176" i="1" s="1"/>
  <c r="I95" i="1" a="1"/>
  <c r="I95" i="1" s="1"/>
  <c r="R57" i="1" a="1"/>
  <c r="R57" i="1" s="1"/>
  <c r="N144" i="1" a="1"/>
  <c r="N144" i="1" s="1"/>
  <c r="B168" i="1" a="1"/>
  <c r="B168" i="1" s="1"/>
  <c r="C173" i="1" a="1"/>
  <c r="C173" i="1" s="1"/>
  <c r="K183" i="1" a="1"/>
  <c r="K183" i="1" s="1"/>
  <c r="N170" i="1" a="1"/>
  <c r="N170" i="1" s="1"/>
  <c r="L91" i="1" a="1"/>
  <c r="L91" i="1" s="1"/>
  <c r="K127" i="1" a="1"/>
  <c r="K127" i="1" s="1"/>
  <c r="N306" i="1" a="1"/>
  <c r="N306" i="1" s="1"/>
  <c r="Q145" i="1" a="1"/>
  <c r="Q145" i="1" s="1"/>
  <c r="M277" i="1" a="1"/>
  <c r="M277" i="1" s="1"/>
  <c r="G264" i="1" a="1"/>
  <c r="G264" i="1" s="1"/>
  <c r="H326" i="1" a="1"/>
  <c r="H326" i="1" s="1"/>
  <c r="E47" i="1" a="1"/>
  <c r="E47" i="1" s="1"/>
  <c r="O95" i="1" a="1"/>
  <c r="O95" i="1" s="1"/>
  <c r="N166" i="1" a="1"/>
  <c r="N166" i="1" s="1"/>
  <c r="K173" i="1" a="1"/>
  <c r="K173" i="1" s="1"/>
  <c r="F163" i="1" a="1"/>
  <c r="F163" i="1" s="1"/>
  <c r="O296" i="1" a="1"/>
  <c r="O296" i="1" s="1"/>
  <c r="F211" i="1" a="1"/>
  <c r="F211" i="1" s="1"/>
  <c r="P4" i="1" a="1"/>
  <c r="P4" i="1" s="1"/>
  <c r="D74" i="1" a="1"/>
  <c r="D74" i="1" s="1"/>
  <c r="Q134" i="1" a="1"/>
  <c r="Q134" i="1" s="1"/>
  <c r="M99" i="1" a="1"/>
  <c r="M99" i="1" s="1"/>
  <c r="M51" i="1" a="1"/>
  <c r="M51" i="1" s="1"/>
  <c r="K91" i="1" a="1"/>
  <c r="K91" i="1" s="1"/>
  <c r="N197" i="1" a="1"/>
  <c r="N197" i="1" s="1"/>
  <c r="G12" i="1" a="1"/>
  <c r="G12" i="1" s="1"/>
  <c r="H288" i="1" a="1"/>
  <c r="H288" i="1" s="1"/>
  <c r="J272" i="1" a="1"/>
  <c r="J272" i="1" s="1"/>
  <c r="K44" i="1" a="1"/>
  <c r="K44" i="1" s="1"/>
  <c r="H230" i="1" a="1"/>
  <c r="H230" i="1" s="1"/>
  <c r="D35" i="1" a="1"/>
  <c r="D35" i="1" s="1"/>
  <c r="I154" i="1" a="1"/>
  <c r="I154" i="1" s="1"/>
  <c r="O66" i="1" a="1"/>
  <c r="O66" i="1" s="1"/>
  <c r="E212" i="1" a="1"/>
  <c r="E212" i="1" s="1"/>
  <c r="D62" i="1" a="1"/>
  <c r="D62" i="1" s="1"/>
  <c r="M220" i="1" a="1"/>
  <c r="M220" i="1" s="1"/>
  <c r="P323" i="1" a="1"/>
  <c r="P323" i="1" s="1"/>
  <c r="L235" i="1" a="1"/>
  <c r="L235" i="1" s="1"/>
  <c r="R2" i="1" a="1"/>
  <c r="R2" i="1" s="1"/>
  <c r="N179" i="1" a="1"/>
  <c r="N179" i="1" s="1"/>
  <c r="D3" i="1" a="1"/>
  <c r="D3" i="1" s="1"/>
  <c r="N258" i="1" a="1"/>
  <c r="N258" i="1" s="1"/>
  <c r="G2" i="1" a="1"/>
  <c r="G2" i="1" s="1"/>
  <c r="O88" i="1" a="1"/>
  <c r="O88" i="1" s="1"/>
  <c r="J34" i="1" a="1"/>
  <c r="J34" i="1" s="1"/>
  <c r="D163" i="1" a="1"/>
  <c r="D163" i="1" s="1"/>
  <c r="C233" i="1" a="1"/>
  <c r="C233" i="1" s="1"/>
  <c r="Q301" i="1" a="1"/>
  <c r="Q301" i="1" s="1"/>
  <c r="M171" i="1" a="1"/>
  <c r="M171" i="1" s="1"/>
  <c r="D120" i="1" a="1"/>
  <c r="D120" i="1" s="1"/>
  <c r="I266" i="1" a="1"/>
  <c r="I266" i="1" s="1"/>
  <c r="G191" i="1" a="1"/>
  <c r="G191" i="1" s="1"/>
  <c r="C243" i="1" a="1"/>
  <c r="C243" i="1" s="1"/>
  <c r="J136" i="1" a="1"/>
  <c r="J136" i="1" s="1"/>
  <c r="H49" i="1" a="1"/>
  <c r="H49" i="1" s="1"/>
  <c r="O123" i="1" a="1"/>
  <c r="O123" i="1" s="1"/>
  <c r="E22" i="1" a="1"/>
  <c r="E22" i="1" s="1"/>
  <c r="L311" i="1" a="1"/>
  <c r="L311" i="1" s="1"/>
  <c r="R177" i="1" a="1"/>
  <c r="R177" i="1" s="1"/>
  <c r="K43" i="1" a="1"/>
  <c r="K43" i="1" s="1"/>
  <c r="N221" i="1" a="1"/>
  <c r="N221" i="1" s="1"/>
  <c r="N60" i="1" a="1"/>
  <c r="N60" i="1" s="1"/>
  <c r="F51" i="1" a="1"/>
  <c r="F51" i="1" s="1"/>
  <c r="O41" i="1" a="1"/>
  <c r="O41" i="1" s="1"/>
  <c r="C164" i="1" a="1"/>
  <c r="C164" i="1" s="1"/>
  <c r="L110" i="1" a="1"/>
  <c r="L110" i="1" s="1"/>
  <c r="E97" i="1" a="1"/>
  <c r="E97" i="1" s="1"/>
  <c r="N288" i="1" a="1"/>
  <c r="N288" i="1" s="1"/>
  <c r="D17" i="1" a="1"/>
  <c r="D17" i="1" s="1"/>
  <c r="R130" i="1" a="1"/>
  <c r="R130" i="1" s="1"/>
  <c r="J3" i="1" a="1"/>
  <c r="J3" i="1" s="1"/>
  <c r="P3" i="1" a="1"/>
  <c r="P3" i="1" s="1"/>
  <c r="Q140" i="1" a="1"/>
  <c r="Q140" i="1" s="1"/>
  <c r="E20" i="1" a="1"/>
  <c r="E20" i="1" s="1"/>
  <c r="N262" i="1" a="1"/>
  <c r="N262" i="1" s="1"/>
  <c r="B143" i="1" a="1"/>
  <c r="B143" i="1" s="1"/>
  <c r="P66" i="1" a="1"/>
  <c r="P66" i="1" s="1"/>
  <c r="R293" i="1" a="1"/>
  <c r="R293" i="1" s="1"/>
  <c r="H36" i="1" a="1"/>
  <c r="H36" i="1" s="1"/>
  <c r="O180" i="1" a="1"/>
  <c r="O180" i="1" s="1"/>
  <c r="C313" i="1" a="1"/>
  <c r="C313" i="1" s="1"/>
  <c r="I88" i="1" a="1"/>
  <c r="I88" i="1" s="1"/>
  <c r="N97" i="1" a="1"/>
  <c r="N97" i="1" s="1"/>
  <c r="F303" i="1" a="1"/>
  <c r="F303" i="1" s="1"/>
  <c r="R164" i="1" a="1"/>
  <c r="R164" i="1" s="1"/>
  <c r="O168" i="1" a="1"/>
  <c r="O168" i="1" s="1"/>
  <c r="F136" i="1" a="1"/>
  <c r="F136" i="1" s="1"/>
  <c r="B7" i="1" a="1"/>
  <c r="B7" i="1" s="1"/>
  <c r="E314" i="1" a="1"/>
  <c r="E314" i="1" s="1"/>
  <c r="M242" i="1" a="1"/>
  <c r="M242" i="1" s="1"/>
  <c r="R282" i="1" a="1"/>
  <c r="R282" i="1" s="1"/>
  <c r="H179" i="1" a="1"/>
  <c r="H179" i="1" s="1"/>
  <c r="B234" i="1" a="1"/>
  <c r="B234" i="1" s="1"/>
  <c r="L325" i="1" a="1"/>
  <c r="L325" i="1" s="1"/>
  <c r="F142" i="1" a="1"/>
  <c r="F142" i="1" s="1"/>
  <c r="L316" i="1" a="1"/>
  <c r="L316" i="1" s="1"/>
  <c r="I280" i="1" a="1"/>
  <c r="I280" i="1" s="1"/>
  <c r="G44" i="1" a="1"/>
  <c r="G44" i="1" s="1"/>
  <c r="P56" i="1" a="1"/>
  <c r="P56" i="1" s="1"/>
  <c r="I218" i="1" a="1"/>
  <c r="I218" i="1" s="1"/>
  <c r="J274" i="1" a="1"/>
  <c r="J274" i="1" s="1"/>
  <c r="N194" i="1" a="1"/>
  <c r="N194" i="1" s="1"/>
  <c r="L276" i="1" a="1"/>
  <c r="L276" i="1" s="1"/>
  <c r="I36" i="1" a="1"/>
  <c r="I36" i="1" s="1"/>
  <c r="Q99" i="1" a="1"/>
  <c r="Q99" i="1" s="1"/>
  <c r="N186" i="1" a="1"/>
  <c r="N186" i="1" s="1"/>
  <c r="P159" i="1" a="1"/>
  <c r="P159" i="1" s="1"/>
  <c r="E51" i="1" a="1"/>
  <c r="E51" i="1" s="1"/>
  <c r="O286" i="1" a="1"/>
  <c r="O286" i="1" s="1"/>
  <c r="M231" i="1" a="1"/>
  <c r="M231" i="1" s="1"/>
  <c r="R124" i="1" a="1"/>
  <c r="R124" i="1" s="1"/>
  <c r="L250" i="1" a="1"/>
  <c r="L250" i="1" s="1"/>
  <c r="Q23" i="1" a="1"/>
  <c r="Q23" i="1" s="1"/>
  <c r="K40" i="1" a="1"/>
  <c r="K40" i="1" s="1"/>
  <c r="E294" i="1" a="1"/>
  <c r="E294" i="1" s="1"/>
  <c r="J57" i="1" a="1"/>
  <c r="J57" i="1" s="1"/>
  <c r="E252" i="1" a="1"/>
  <c r="E252" i="1" s="1"/>
  <c r="J216" i="1" a="1"/>
  <c r="J216" i="1" s="1"/>
  <c r="R270" i="1" a="1"/>
  <c r="R270" i="1" s="1"/>
  <c r="Q137" i="1" a="1"/>
  <c r="Q137" i="1" s="1"/>
  <c r="Q258" i="1" a="1"/>
  <c r="Q258" i="1" s="1"/>
  <c r="E242" i="1" a="1"/>
  <c r="E242" i="1" s="1"/>
  <c r="O247" i="1" a="1"/>
  <c r="O247" i="1" s="1"/>
  <c r="C83" i="1" a="1"/>
  <c r="C83" i="1" s="1"/>
  <c r="H310" i="1" a="1"/>
  <c r="H310" i="1" s="1"/>
  <c r="D228" i="1" a="1"/>
  <c r="D228" i="1" s="1"/>
  <c r="P318" i="1" a="1"/>
  <c r="P318" i="1" s="1"/>
  <c r="I119" i="1" a="1"/>
  <c r="I119" i="1" s="1"/>
  <c r="L85" i="1" a="1"/>
  <c r="L85" i="1" s="1"/>
  <c r="D97" i="1" a="1"/>
  <c r="D97" i="1" s="1"/>
  <c r="M147" i="1" a="1"/>
  <c r="M147" i="1" s="1"/>
  <c r="G255" i="1" a="1"/>
  <c r="G255" i="1" s="1"/>
  <c r="C97" i="1" a="1"/>
  <c r="C97" i="1" s="1"/>
  <c r="E320" i="1" a="1"/>
  <c r="E320" i="1" s="1"/>
  <c r="K170" i="1" a="1"/>
  <c r="K170" i="1" s="1"/>
  <c r="F224" i="1" a="1"/>
  <c r="F224" i="1" s="1"/>
  <c r="E176" i="1" a="1"/>
  <c r="E176" i="1" s="1"/>
  <c r="G134" i="1" a="1"/>
  <c r="G134" i="1" s="1"/>
  <c r="O311" i="1" a="1"/>
  <c r="O311" i="1" s="1"/>
  <c r="D10" i="1" a="1"/>
  <c r="D10" i="1" s="1"/>
  <c r="M284" i="1" a="1"/>
  <c r="M284" i="1" s="1"/>
  <c r="G298" i="1" a="1"/>
  <c r="G298" i="1" s="1"/>
  <c r="J200" i="1" a="1"/>
  <c r="J200" i="1" s="1"/>
  <c r="C52" i="1" a="1"/>
  <c r="C52" i="1" s="1"/>
  <c r="N218" i="1" a="1"/>
  <c r="N218" i="1" s="1"/>
  <c r="L69" i="1" a="1"/>
  <c r="L69" i="1" s="1"/>
  <c r="J43" i="1" a="1"/>
  <c r="J43" i="1" s="1"/>
  <c r="C50" i="1" a="1"/>
  <c r="C50" i="1" s="1"/>
  <c r="D32" i="1" a="1"/>
  <c r="D32" i="1" s="1"/>
  <c r="P297" i="1" a="1"/>
  <c r="P297" i="1" s="1"/>
  <c r="L209" i="1" a="1"/>
  <c r="L209" i="1" s="1"/>
  <c r="D65" i="1" a="1"/>
  <c r="D65" i="1" s="1"/>
  <c r="E118" i="1" a="1"/>
  <c r="E118" i="1" s="1"/>
  <c r="I7" i="1" a="1"/>
  <c r="I7" i="1" s="1"/>
  <c r="F69" i="1" a="1"/>
  <c r="F69" i="1" s="1"/>
  <c r="F106" i="1" a="1"/>
  <c r="F106" i="1" s="1"/>
  <c r="L319" i="1" a="1"/>
  <c r="L319" i="1" s="1"/>
  <c r="P51" i="1" a="1"/>
  <c r="P51" i="1" s="1"/>
  <c r="F107" i="1" a="1"/>
  <c r="F107" i="1" s="1"/>
  <c r="D53" i="1" a="1"/>
  <c r="D53" i="1" s="1"/>
  <c r="I275" i="1" a="1"/>
  <c r="I275" i="1" s="1"/>
  <c r="M81" i="1" a="1"/>
  <c r="M81" i="1" s="1"/>
  <c r="H65" i="1" a="1"/>
  <c r="H65" i="1" s="1"/>
  <c r="K245" i="1" a="1"/>
  <c r="K245" i="1" s="1"/>
  <c r="R253" i="1" a="1"/>
  <c r="R253" i="1" s="1"/>
  <c r="L283" i="1" a="1"/>
  <c r="L283" i="1" s="1"/>
  <c r="O30" i="1" a="1"/>
  <c r="O30" i="1" s="1"/>
  <c r="D323" i="1" a="1"/>
  <c r="D323" i="1" s="1"/>
  <c r="F187" i="1" a="1"/>
  <c r="F187" i="1" s="1"/>
  <c r="C217" i="1" a="1"/>
  <c r="C217" i="1" s="1"/>
  <c r="J325" i="1" a="1"/>
  <c r="J325" i="1" s="1"/>
  <c r="C322" i="1" a="1"/>
  <c r="C322" i="1" s="1"/>
  <c r="J63" i="1" a="1"/>
  <c r="J63" i="1" s="1"/>
  <c r="C10" i="1" a="1"/>
  <c r="C10" i="1" s="1"/>
  <c r="O257" i="1" a="1"/>
  <c r="O257" i="1" s="1"/>
  <c r="F149" i="1" a="1"/>
  <c r="F149" i="1" s="1"/>
  <c r="J74" i="1" a="1"/>
  <c r="J74" i="1" s="1"/>
  <c r="B130" i="1" a="1"/>
  <c r="B130" i="1" s="1"/>
  <c r="E70" i="1" a="1"/>
  <c r="E70" i="1" s="1"/>
  <c r="G291" i="1" a="1"/>
  <c r="G291" i="1" s="1"/>
  <c r="O120" i="1" a="1"/>
  <c r="O120" i="1" s="1"/>
  <c r="K204" i="1" a="1"/>
  <c r="K204" i="1" s="1"/>
  <c r="K232" i="1" a="1"/>
  <c r="K232" i="1" s="1"/>
  <c r="Q48" i="1" a="1"/>
  <c r="Q48" i="1" s="1"/>
  <c r="M146" i="1" a="1"/>
  <c r="M146" i="1" s="1"/>
  <c r="C82" i="1" a="1"/>
  <c r="C82" i="1" s="1"/>
  <c r="L46" i="1" a="1"/>
  <c r="L46" i="1" s="1"/>
  <c r="I51" i="1" a="1"/>
  <c r="I51" i="1" s="1"/>
  <c r="F127" i="1" a="1"/>
  <c r="F127" i="1" s="1"/>
  <c r="R186" i="1" a="1"/>
  <c r="R186" i="1" s="1"/>
  <c r="D186" i="1" a="1"/>
  <c r="D186" i="1" s="1"/>
  <c r="C86" i="1" a="1"/>
  <c r="C86" i="1" s="1"/>
  <c r="P88" i="1" a="1"/>
  <c r="P88" i="1" s="1"/>
  <c r="B97" i="1" a="1"/>
  <c r="B97" i="1" s="1"/>
  <c r="L89" i="1" a="1"/>
  <c r="L89" i="1" s="1"/>
  <c r="Q193" i="1" a="1"/>
  <c r="Q193" i="1" s="1"/>
  <c r="L264" i="1" a="1"/>
  <c r="L264" i="1" s="1"/>
  <c r="D277" i="1" a="1"/>
  <c r="D277" i="1" s="1"/>
  <c r="M116" i="1" a="1"/>
  <c r="M116" i="1" s="1"/>
  <c r="E306" i="1" a="1"/>
  <c r="E306" i="1" s="1"/>
  <c r="N55" i="1" a="1"/>
  <c r="N55" i="1" s="1"/>
  <c r="M226" i="1" a="1"/>
  <c r="M226" i="1" s="1"/>
  <c r="P47" i="1" a="1"/>
  <c r="P47" i="1" s="1"/>
  <c r="H125" i="1" a="1"/>
  <c r="H125" i="1" s="1"/>
  <c r="I285" i="1" a="1"/>
  <c r="I285" i="1" s="1"/>
  <c r="I255" i="1" a="1"/>
  <c r="I255" i="1" s="1"/>
  <c r="Q98" i="1" a="1"/>
  <c r="Q98" i="1" s="1"/>
  <c r="B59" i="1" a="1"/>
  <c r="B59" i="1" s="1"/>
  <c r="I299" i="1" a="1"/>
  <c r="I299" i="1" s="1"/>
  <c r="R235" i="1" a="1"/>
  <c r="R235" i="1" s="1"/>
  <c r="O228" i="1" a="1"/>
  <c r="O228" i="1" s="1"/>
  <c r="H60" i="1" a="1"/>
  <c r="H60" i="1" s="1"/>
  <c r="Q91" i="1" a="1"/>
  <c r="Q91" i="1" s="1"/>
  <c r="C4" i="1" a="1"/>
  <c r="C4" i="1" s="1"/>
  <c r="K322" i="1" a="1"/>
  <c r="K322" i="1" s="1"/>
  <c r="O142" i="1" a="1"/>
  <c r="O142" i="1" s="1"/>
  <c r="F143" i="1" a="1"/>
  <c r="F143" i="1" s="1"/>
  <c r="E138" i="1" a="1"/>
  <c r="E138" i="1" s="1"/>
  <c r="P206" i="1" a="1"/>
  <c r="P206" i="1" s="1"/>
  <c r="M150" i="1" a="1"/>
  <c r="M150" i="1" s="1"/>
  <c r="G225" i="1" a="1"/>
  <c r="G225" i="1" s="1"/>
  <c r="F167" i="1" a="1"/>
  <c r="F167" i="1" s="1"/>
  <c r="E23" i="1" a="1"/>
  <c r="E23" i="1" s="1"/>
  <c r="O67" i="1" a="1"/>
  <c r="O67" i="1" s="1"/>
  <c r="G106" i="1" a="1"/>
  <c r="G106" i="1" s="1"/>
  <c r="M114" i="1" a="1"/>
  <c r="M114" i="1" s="1"/>
  <c r="R215" i="1" a="1"/>
  <c r="R215" i="1" s="1"/>
  <c r="N304" i="1" a="1"/>
  <c r="N304" i="1" s="1"/>
  <c r="F327" i="1" a="1"/>
  <c r="F327" i="1" s="1"/>
  <c r="K12" i="1" a="1"/>
  <c r="K12" i="1" s="1"/>
  <c r="B112" i="1" a="1"/>
  <c r="B112" i="1" s="1"/>
  <c r="C94" i="1" a="1"/>
  <c r="C94" i="1" s="1"/>
  <c r="C145" i="1" a="1"/>
  <c r="C145" i="1" s="1"/>
  <c r="I46" i="1" a="1"/>
  <c r="I46" i="1" s="1"/>
  <c r="N38" i="1" a="1"/>
  <c r="N38" i="1" s="1"/>
  <c r="L83" i="1" a="1"/>
  <c r="L83" i="1" s="1"/>
  <c r="C300" i="1" a="1"/>
  <c r="C300" i="1" s="1"/>
  <c r="R226" i="1" a="1"/>
  <c r="R226" i="1" s="1"/>
  <c r="N309" i="1" a="1"/>
  <c r="N309" i="1" s="1"/>
  <c r="M245" i="1" a="1"/>
  <c r="M245" i="1" s="1"/>
  <c r="H261" i="1" a="1"/>
  <c r="H261" i="1" s="1"/>
  <c r="I234" i="1" a="1"/>
  <c r="I234" i="1" s="1"/>
  <c r="L205" i="1" a="1"/>
  <c r="L205" i="1" s="1"/>
  <c r="O213" i="1" a="1"/>
  <c r="O213" i="1" s="1"/>
  <c r="P253" i="1" a="1"/>
  <c r="P253" i="1" s="1"/>
  <c r="I136" i="1" a="1"/>
  <c r="I136" i="1" s="1"/>
  <c r="F168" i="1" a="1"/>
  <c r="F168" i="1" s="1"/>
  <c r="D314" i="1" a="1"/>
  <c r="D314" i="1" s="1"/>
  <c r="I318" i="1" a="1"/>
  <c r="I318" i="1" s="1"/>
  <c r="B100" i="1" a="1"/>
  <c r="B100" i="1" s="1"/>
  <c r="D222" i="1" a="1"/>
  <c r="D222" i="1" s="1"/>
  <c r="H155" i="1" a="1"/>
  <c r="H155" i="1" s="1"/>
  <c r="H78" i="1" a="1"/>
  <c r="H78" i="1" s="1"/>
  <c r="K58" i="1" a="1"/>
  <c r="K58" i="1" s="1"/>
  <c r="O270" i="1" a="1"/>
  <c r="O270" i="1" s="1"/>
  <c r="M107" i="1" a="1"/>
  <c r="M107" i="1" s="1"/>
  <c r="C101" i="1" a="1"/>
  <c r="C101" i="1" s="1"/>
  <c r="R29" i="1" a="1"/>
  <c r="R29" i="1" s="1"/>
  <c r="M153" i="1" a="1"/>
  <c r="M153" i="1" s="1"/>
  <c r="K98" i="1" a="1"/>
  <c r="K98" i="1" s="1"/>
  <c r="H84" i="1" a="1"/>
  <c r="H84" i="1" s="1"/>
  <c r="D2" i="1" a="1"/>
  <c r="D2" i="1" s="1"/>
  <c r="G158" i="1" a="1"/>
  <c r="G158" i="1" s="1"/>
  <c r="N171" i="1" a="1"/>
  <c r="N171" i="1" s="1"/>
  <c r="B151" i="1" a="1"/>
  <c r="B151" i="1" s="1"/>
  <c r="I79" i="1" a="1"/>
  <c r="I79" i="1" s="1"/>
  <c r="N252" i="1" a="1"/>
  <c r="N252" i="1" s="1"/>
  <c r="K285" i="1" a="1"/>
  <c r="K285" i="1" s="1"/>
  <c r="H116" i="1" a="1"/>
  <c r="H116" i="1" s="1"/>
  <c r="G183" i="1" a="1"/>
  <c r="G183" i="1" s="1"/>
  <c r="D88" i="1" a="1"/>
  <c r="D88" i="1" s="1"/>
  <c r="O112" i="1" a="1"/>
  <c r="O112" i="1" s="1"/>
  <c r="J50" i="1" a="1"/>
  <c r="J50" i="1" s="1"/>
  <c r="D70" i="1" a="1"/>
  <c r="D70" i="1" s="1"/>
  <c r="N159" i="1" a="1"/>
  <c r="N159" i="1" s="1"/>
  <c r="N77" i="1" a="1"/>
  <c r="N77" i="1" s="1"/>
  <c r="Q156" i="1" a="1"/>
  <c r="Q156" i="1" s="1"/>
  <c r="O252" i="1" a="1"/>
  <c r="O252" i="1" s="1"/>
  <c r="H115" i="1" a="1"/>
  <c r="H115" i="1" s="1"/>
  <c r="O161" i="1" a="1"/>
  <c r="O161" i="1" s="1"/>
  <c r="C109" i="1" a="1"/>
  <c r="C109" i="1" s="1"/>
  <c r="F118" i="1" a="1"/>
  <c r="F118" i="1" s="1"/>
  <c r="G77" i="1" a="1"/>
  <c r="G77" i="1" s="1"/>
  <c r="L262" i="1" a="1"/>
  <c r="L262" i="1" s="1"/>
  <c r="L131" i="1" a="1"/>
  <c r="L131" i="1" s="1"/>
  <c r="J171" i="1" a="1"/>
  <c r="J171" i="1" s="1"/>
  <c r="B127" i="1" a="1"/>
  <c r="B127" i="1" s="1"/>
  <c r="N41" i="1" a="1"/>
  <c r="N41" i="1" s="1"/>
  <c r="G204" i="1" a="1"/>
  <c r="G204" i="1" s="1"/>
  <c r="M54" i="1" a="1"/>
  <c r="M54" i="1" s="1"/>
  <c r="G58" i="1" a="1"/>
  <c r="G58" i="1" s="1"/>
  <c r="G76" i="1" a="1"/>
  <c r="G76" i="1" s="1"/>
  <c r="C240" i="1" a="1"/>
  <c r="C240" i="1" s="1"/>
  <c r="M292" i="1" a="1"/>
  <c r="M292" i="1" s="1"/>
  <c r="E38" i="1" a="1"/>
  <c r="E38" i="1" s="1"/>
  <c r="P226" i="1" a="1"/>
  <c r="P226" i="1" s="1"/>
  <c r="Q52" i="1" a="1"/>
  <c r="Q52" i="1" s="1"/>
  <c r="M119" i="1" a="1"/>
  <c r="M119" i="1" s="1"/>
  <c r="E68" i="1" a="1"/>
  <c r="E68" i="1" s="1"/>
  <c r="R108" i="1" a="1"/>
  <c r="R108" i="1" s="1"/>
  <c r="P49" i="1" a="1"/>
  <c r="P49" i="1" s="1"/>
  <c r="L42" i="1" a="1"/>
  <c r="L42" i="1" s="1"/>
  <c r="P185" i="1" a="1"/>
  <c r="P185" i="1" s="1"/>
  <c r="E44" i="1" a="1"/>
  <c r="E44" i="1" s="1"/>
  <c r="B170" i="1" a="1"/>
  <c r="B170" i="1" s="1"/>
  <c r="N34" i="1" a="1"/>
  <c r="N34" i="1" s="1"/>
  <c r="B314" i="1" a="1"/>
  <c r="B314" i="1" s="1"/>
  <c r="P62" i="1" a="1"/>
  <c r="P62" i="1" s="1"/>
  <c r="J169" i="1" a="1"/>
  <c r="J169" i="1" s="1"/>
  <c r="H264" i="1" a="1"/>
  <c r="H264" i="1" s="1"/>
  <c r="K228" i="1" a="1"/>
  <c r="K228" i="1" s="1"/>
  <c r="P213" i="1" a="1"/>
  <c r="P213" i="1" s="1"/>
  <c r="G305" i="1" a="1"/>
  <c r="G305" i="1" s="1"/>
  <c r="N110" i="1" a="1"/>
  <c r="N110" i="1" s="1"/>
  <c r="G282" i="1" a="1"/>
  <c r="G282" i="1" s="1"/>
  <c r="N128" i="1" a="1"/>
  <c r="N128" i="1" s="1"/>
  <c r="G233" i="1" a="1"/>
  <c r="G233" i="1" s="1"/>
  <c r="E293" i="1" a="1"/>
  <c r="E293" i="1" s="1"/>
  <c r="N214" i="1" a="1"/>
  <c r="N214" i="1" s="1"/>
  <c r="C47" i="1" a="1"/>
  <c r="C47" i="1" s="1"/>
  <c r="F293" i="1" a="1"/>
  <c r="F293" i="1" s="1"/>
  <c r="K136" i="1" a="1"/>
  <c r="K136" i="1" s="1"/>
  <c r="G38" i="1" a="1"/>
  <c r="G38" i="1" s="1"/>
  <c r="C289" i="1" a="1"/>
  <c r="C289" i="1" s="1"/>
  <c r="O152" i="1" a="1"/>
  <c r="O152" i="1" s="1"/>
  <c r="B194" i="1" a="1"/>
  <c r="B194" i="1" s="1"/>
  <c r="K310" i="1" a="1"/>
  <c r="K310" i="1" s="1"/>
  <c r="P193" i="1" a="1"/>
  <c r="P193" i="1" s="1"/>
  <c r="D13" i="1" a="1"/>
  <c r="D13" i="1" s="1"/>
  <c r="B94" i="1" a="1"/>
  <c r="B94" i="1" s="1"/>
  <c r="G140" i="1" a="1"/>
  <c r="G140" i="1" s="1"/>
  <c r="E277" i="1" a="1"/>
  <c r="E277" i="1" s="1"/>
  <c r="C131" i="1" a="1"/>
  <c r="C131" i="1" s="1"/>
  <c r="G112" i="1" a="1"/>
  <c r="G112" i="1" s="1"/>
  <c r="C220" i="1" a="1"/>
  <c r="C220" i="1" s="1"/>
  <c r="H4" i="1" a="1"/>
  <c r="H4" i="1" s="1"/>
  <c r="N149" i="1" a="1"/>
  <c r="N149" i="1" s="1"/>
  <c r="M97" i="1" a="1"/>
  <c r="M97" i="1" s="1"/>
  <c r="F33" i="1" a="1"/>
  <c r="F33" i="1" s="1"/>
  <c r="N271" i="1" a="1"/>
  <c r="N271" i="1" s="1"/>
  <c r="K31" i="1" a="1"/>
  <c r="K31" i="1" s="1"/>
  <c r="B262" i="1" a="1"/>
  <c r="B262" i="1" s="1"/>
  <c r="I93" i="1" a="1"/>
  <c r="I93" i="1" s="1"/>
  <c r="G259" i="1" a="1"/>
  <c r="G259" i="1" s="1"/>
  <c r="K159" i="1" a="1"/>
  <c r="K159" i="1" s="1"/>
  <c r="Q212" i="1" a="1"/>
  <c r="Q212" i="1" s="1"/>
  <c r="R256" i="1" a="1"/>
  <c r="R256" i="1" s="1"/>
  <c r="L126" i="1" a="1"/>
  <c r="L126" i="1" s="1"/>
  <c r="B55" i="1" a="1"/>
  <c r="B55" i="1" s="1"/>
  <c r="C63" i="1" a="1"/>
  <c r="C63" i="1" s="1"/>
  <c r="J242" i="1" a="1"/>
  <c r="J242" i="1" s="1"/>
  <c r="D241" i="1" a="1"/>
  <c r="D241" i="1" s="1"/>
  <c r="F269" i="1" a="1"/>
  <c r="F269" i="1" s="1"/>
  <c r="F141" i="1" a="1"/>
  <c r="F141" i="1" s="1"/>
  <c r="N313" i="1" a="1"/>
  <c r="N313" i="1" s="1"/>
  <c r="H231" i="1" a="1"/>
  <c r="H231" i="1" s="1"/>
  <c r="D160" i="1" a="1"/>
  <c r="D160" i="1" s="1"/>
  <c r="B46" i="1" a="1"/>
  <c r="B46" i="1" s="1"/>
  <c r="I57" i="1" a="1"/>
  <c r="I57" i="1" s="1"/>
  <c r="K87" i="1" a="1"/>
  <c r="K87" i="1" s="1"/>
  <c r="O28" i="1" a="1"/>
  <c r="O28" i="1" s="1"/>
  <c r="K18" i="1" a="1"/>
  <c r="K18" i="1" s="1"/>
  <c r="L213" i="1" a="1"/>
  <c r="L213" i="1" s="1"/>
  <c r="E245" i="1" a="1"/>
  <c r="E245" i="1" s="1"/>
  <c r="L55" i="1" a="1"/>
  <c r="L55" i="1" s="1"/>
  <c r="J20" i="1" a="1"/>
  <c r="J20" i="1" s="1"/>
  <c r="I12" i="1" a="1"/>
  <c r="I12" i="1" s="1"/>
  <c r="K291" i="1" a="1"/>
  <c r="K291" i="1" s="1"/>
  <c r="Q256" i="1" a="1"/>
  <c r="Q256" i="1" s="1"/>
  <c r="L133" i="1" a="1"/>
  <c r="L133" i="1" s="1"/>
  <c r="J317" i="1" a="1"/>
  <c r="J317" i="1" s="1"/>
  <c r="K225" i="1" a="1"/>
  <c r="K225" i="1" s="1"/>
  <c r="M261" i="1" a="1"/>
  <c r="M261" i="1" s="1"/>
  <c r="J28" i="1" a="1"/>
  <c r="J28" i="1" s="1"/>
  <c r="B61" i="1" a="1"/>
  <c r="B61" i="1" s="1"/>
  <c r="E58" i="1" a="1"/>
  <c r="E58" i="1" s="1"/>
  <c r="P275" i="1" a="1"/>
  <c r="P275" i="1" s="1"/>
  <c r="G297" i="1" a="1"/>
  <c r="G297" i="1" s="1"/>
  <c r="C40" i="1" a="1"/>
  <c r="C40" i="1" s="1"/>
  <c r="E235" i="1" a="1"/>
  <c r="E235" i="1" s="1"/>
  <c r="O258" i="1" a="1"/>
  <c r="O258" i="1" s="1"/>
  <c r="K195" i="1" a="1"/>
  <c r="K195" i="1" s="1"/>
  <c r="O282" i="1" a="1"/>
  <c r="O282" i="1" s="1"/>
  <c r="P5" i="1" a="1"/>
  <c r="P5" i="1" s="1"/>
  <c r="J318" i="1" a="1"/>
  <c r="J318" i="1" s="1"/>
  <c r="G277" i="1" a="1"/>
  <c r="G277" i="1" s="1"/>
  <c r="J316" i="1" a="1"/>
  <c r="J316" i="1" s="1"/>
  <c r="N222" i="1" a="1"/>
  <c r="N222" i="1" s="1"/>
  <c r="G208" i="1" a="1"/>
  <c r="G208" i="1" s="1"/>
  <c r="E124" i="1" a="1"/>
  <c r="E124" i="1" s="1"/>
  <c r="M46" i="1" a="1"/>
  <c r="M46" i="1" s="1"/>
  <c r="H58" i="1" a="1"/>
  <c r="H58" i="1" s="1"/>
  <c r="C323" i="1" a="1"/>
  <c r="C323" i="1" s="1"/>
  <c r="Q277" i="1" a="1"/>
  <c r="Q277" i="1" s="1"/>
  <c r="D158" i="1" a="1"/>
  <c r="D158" i="1" s="1"/>
  <c r="I271" i="1" a="1"/>
  <c r="I271" i="1" s="1"/>
  <c r="L67" i="1" a="1"/>
  <c r="L67" i="1" s="1"/>
  <c r="B229" i="1" a="1"/>
  <c r="B229" i="1" s="1"/>
  <c r="N134" i="1" a="1"/>
  <c r="N134" i="1" s="1"/>
  <c r="R33" i="1" a="1"/>
  <c r="R33" i="1" s="1"/>
  <c r="C247" i="1" a="1"/>
  <c r="C247" i="1" s="1"/>
  <c r="G37" i="1" a="1"/>
  <c r="G37" i="1" s="1"/>
  <c r="B95" i="1" a="1"/>
  <c r="B95" i="1" s="1"/>
  <c r="E17" i="1" a="1"/>
  <c r="E17" i="1" s="1"/>
  <c r="M275" i="1" a="1"/>
  <c r="M275" i="1" s="1"/>
  <c r="O150" i="1" a="1"/>
  <c r="O150" i="1" s="1"/>
  <c r="L109" i="1" a="1"/>
  <c r="L109" i="1" s="1"/>
  <c r="I295" i="1" a="1"/>
  <c r="I295" i="1" s="1"/>
  <c r="H152" i="1" a="1"/>
  <c r="H152" i="1" s="1"/>
  <c r="D8" i="1" a="1"/>
  <c r="D8" i="1" s="1"/>
  <c r="E183" i="1" a="1"/>
  <c r="E183" i="1" s="1"/>
  <c r="R234" i="1" a="1"/>
  <c r="R234" i="1" s="1"/>
  <c r="L147" i="1" a="1"/>
  <c r="L147" i="1" s="1"/>
  <c r="C103" i="1" a="1"/>
  <c r="C103" i="1" s="1"/>
  <c r="G217" i="1" a="1"/>
  <c r="G217" i="1" s="1"/>
  <c r="P160" i="1" a="1"/>
  <c r="P160" i="1" s="1"/>
  <c r="C84" i="1" a="1"/>
  <c r="C84" i="1" s="1"/>
  <c r="D192" i="1" a="1"/>
  <c r="D192" i="1" s="1"/>
  <c r="D45" i="1" a="1"/>
  <c r="D45" i="1" s="1"/>
  <c r="I327" i="1" a="1"/>
  <c r="I327" i="1" s="1"/>
  <c r="K325" i="1" a="1"/>
  <c r="K325" i="1" s="1"/>
  <c r="J152" i="1" a="1"/>
  <c r="J152" i="1" s="1"/>
  <c r="B230" i="1" a="1"/>
  <c r="B230" i="1" s="1"/>
  <c r="H188" i="1" a="1"/>
  <c r="H188" i="1" s="1"/>
  <c r="J124" i="1" a="1"/>
  <c r="J124" i="1" s="1"/>
  <c r="D230" i="1" a="1"/>
  <c r="D230" i="1" s="1"/>
  <c r="R40" i="1" a="1"/>
  <c r="R40" i="1" s="1"/>
  <c r="G290" i="1" a="1"/>
  <c r="G290" i="1" s="1"/>
  <c r="R112" i="1" a="1"/>
  <c r="R112" i="1" s="1"/>
  <c r="R254" i="1" a="1"/>
  <c r="R254" i="1" s="1"/>
  <c r="F2" i="1" a="1"/>
  <c r="F2" i="1" s="1"/>
  <c r="F30" i="1" a="1"/>
  <c r="F30" i="1" s="1"/>
  <c r="K95" i="1" a="1"/>
  <c r="K95" i="1" s="1"/>
  <c r="O147" i="1" a="1"/>
  <c r="O147" i="1" s="1"/>
  <c r="M204" i="1" a="1"/>
  <c r="M204" i="1" s="1"/>
  <c r="O276" i="1" a="1"/>
  <c r="O276" i="1" s="1"/>
  <c r="L267" i="1" a="1"/>
  <c r="L267" i="1" s="1"/>
  <c r="H140" i="1" a="1"/>
  <c r="H140" i="1" s="1"/>
  <c r="G230" i="1" a="1"/>
  <c r="G230" i="1" s="1"/>
  <c r="B145" i="1" a="1"/>
  <c r="B145" i="1" s="1"/>
  <c r="R142" i="1" a="1"/>
  <c r="R142" i="1" s="1"/>
  <c r="I206" i="1" a="1"/>
  <c r="I206" i="1" s="1"/>
  <c r="P197" i="1" a="1"/>
  <c r="P197" i="1" s="1"/>
  <c r="M202" i="1" a="1"/>
  <c r="M202" i="1" s="1"/>
  <c r="L226" i="1" a="1"/>
  <c r="L226" i="1" s="1"/>
  <c r="P207" i="1" a="1"/>
  <c r="P207" i="1" s="1"/>
  <c r="J211" i="1" a="1"/>
  <c r="J211" i="1" s="1"/>
  <c r="G93" i="1" a="1"/>
  <c r="G93" i="1" s="1"/>
  <c r="G71" i="1" a="1"/>
  <c r="G71" i="1" s="1"/>
  <c r="O185" i="1" a="1"/>
  <c r="O185" i="1" s="1"/>
  <c r="C314" i="1" a="1"/>
  <c r="C314" i="1" s="1"/>
  <c r="K282" i="1" a="1"/>
  <c r="K282" i="1" s="1"/>
  <c r="L172" i="1" a="1"/>
  <c r="L172" i="1" s="1"/>
  <c r="R51" i="1" a="1"/>
  <c r="R51" i="1" s="1"/>
  <c r="B185" i="1" a="1"/>
  <c r="B185" i="1" s="1"/>
  <c r="J17" i="1" a="1"/>
  <c r="J17" i="1" s="1"/>
  <c r="D280" i="1" a="1"/>
  <c r="D280" i="1" s="1"/>
  <c r="Q128" i="1" a="1"/>
  <c r="Q128" i="1" s="1"/>
  <c r="N204" i="1" a="1"/>
  <c r="N204" i="1" s="1"/>
  <c r="D273" i="1" a="1"/>
  <c r="D273" i="1" s="1"/>
  <c r="P169" i="1" a="1"/>
  <c r="P169" i="1" s="1"/>
  <c r="J118" i="1" a="1"/>
  <c r="J118" i="1" s="1"/>
  <c r="F270" i="1" a="1"/>
  <c r="F270" i="1" s="1"/>
  <c r="K114" i="1" a="1"/>
  <c r="K114" i="1" s="1"/>
  <c r="L257" i="1" a="1"/>
  <c r="L257" i="1" s="1"/>
  <c r="D325" i="1" a="1"/>
  <c r="D325" i="1" s="1"/>
  <c r="H292" i="1" a="1"/>
  <c r="H292" i="1" s="1"/>
  <c r="G180" i="1" a="1"/>
  <c r="G180" i="1" s="1"/>
  <c r="E300" i="1" a="1"/>
  <c r="E300" i="1" s="1"/>
  <c r="J215" i="1" a="1"/>
  <c r="J215" i="1" s="1"/>
  <c r="I217" i="1" a="1"/>
  <c r="I217" i="1" s="1"/>
  <c r="L122" i="1" a="1"/>
  <c r="L122" i="1" s="1"/>
  <c r="C319" i="1" a="1"/>
  <c r="C319" i="1" s="1"/>
  <c r="P270" i="1" a="1"/>
  <c r="P270" i="1" s="1"/>
  <c r="O129" i="1" a="1"/>
  <c r="O129" i="1" s="1"/>
  <c r="B301" i="1" a="1"/>
  <c r="B301" i="1" s="1"/>
  <c r="D20" i="1" a="1"/>
  <c r="D20" i="1" s="1"/>
  <c r="B67" i="1" a="1"/>
  <c r="B67" i="1" s="1"/>
  <c r="M167" i="1" a="1"/>
  <c r="M167" i="1" s="1"/>
  <c r="K38" i="1" a="1"/>
  <c r="K38" i="1" s="1"/>
  <c r="H323" i="1" a="1"/>
  <c r="H323" i="1" s="1"/>
  <c r="K75" i="1" a="1"/>
  <c r="K75" i="1" s="1"/>
  <c r="B315" i="1" a="1"/>
  <c r="B315" i="1" s="1"/>
  <c r="B179" i="1" a="1"/>
  <c r="B179" i="1" s="1"/>
  <c r="M74" i="1" a="1"/>
  <c r="M74" i="1" s="1"/>
  <c r="N123" i="1" a="1"/>
  <c r="N123" i="1" s="1"/>
  <c r="K208" i="1" a="1"/>
  <c r="K208" i="1" s="1"/>
  <c r="I86" i="1" a="1"/>
  <c r="I86" i="1" s="1"/>
  <c r="P304" i="1" a="1"/>
  <c r="P304" i="1" s="1"/>
  <c r="R294" i="1" a="1"/>
  <c r="R294" i="1" s="1"/>
  <c r="B186" i="1" a="1"/>
  <c r="B186" i="1" s="1"/>
  <c r="L77" i="1" a="1"/>
  <c r="L77" i="1" s="1"/>
  <c r="K61" i="1" a="1"/>
  <c r="K61" i="1" s="1"/>
  <c r="N20" i="1" a="1"/>
  <c r="N20" i="1" s="1"/>
  <c r="B84" i="1" a="1"/>
  <c r="B84" i="1" s="1"/>
  <c r="J181" i="1" a="1"/>
  <c r="J181" i="1" s="1"/>
  <c r="Q90" i="1" a="1"/>
  <c r="Q90" i="1" s="1"/>
  <c r="L183" i="1" a="1"/>
  <c r="L183" i="1" s="1"/>
  <c r="G311" i="1" a="1"/>
  <c r="G311" i="1" s="1"/>
  <c r="K280" i="1" a="1"/>
  <c r="K280" i="1" s="1"/>
  <c r="B4" i="1" a="1"/>
  <c r="B4" i="1" s="1"/>
  <c r="G128" i="1" a="1"/>
  <c r="G128" i="1" s="1"/>
  <c r="J294" i="1" a="1"/>
  <c r="J294" i="1" s="1"/>
  <c r="P191" i="1" a="1"/>
  <c r="P191" i="1" s="1"/>
  <c r="E259" i="1" a="1"/>
  <c r="E259" i="1" s="1"/>
  <c r="D265" i="1" a="1"/>
  <c r="D265" i="1" s="1"/>
  <c r="N236" i="1" a="1"/>
  <c r="N236" i="1" s="1"/>
  <c r="L144" i="1" a="1"/>
  <c r="L144" i="1" s="1"/>
  <c r="L167" i="1" a="1"/>
  <c r="L167" i="1" s="1"/>
  <c r="H83" i="1" a="1"/>
  <c r="H83" i="1" s="1"/>
  <c r="M125" i="1" a="1"/>
  <c r="M125" i="1" s="1"/>
  <c r="N259" i="1" a="1"/>
  <c r="N259" i="1" s="1"/>
  <c r="Q17" i="1" a="1"/>
  <c r="Q17" i="1" s="1"/>
  <c r="N57" i="1" a="1"/>
  <c r="N57" i="1" s="1"/>
  <c r="J139" i="1" a="1"/>
  <c r="J139" i="1" s="1"/>
  <c r="G146" i="1" a="1"/>
  <c r="G146" i="1" s="1"/>
  <c r="E2" i="1" a="1"/>
  <c r="E2" i="1" s="1"/>
  <c r="C283" i="1" a="1"/>
  <c r="C283" i="1" s="1"/>
  <c r="N240" i="1" a="1"/>
  <c r="N240" i="1" s="1"/>
  <c r="M260" i="1" a="1"/>
  <c r="M260" i="1" s="1"/>
  <c r="O77" i="1" a="1"/>
  <c r="O77" i="1" s="1"/>
  <c r="D125" i="1" a="1"/>
  <c r="D125" i="1" s="1"/>
  <c r="F48" i="1" a="1"/>
  <c r="F48" i="1" s="1"/>
  <c r="P107" i="1" a="1"/>
  <c r="P107" i="1" s="1"/>
  <c r="M320" i="1" a="1"/>
  <c r="M320" i="1" s="1"/>
  <c r="J323" i="1" a="1"/>
  <c r="J323" i="1" s="1"/>
  <c r="D214" i="1" a="1"/>
  <c r="D214" i="1" s="1"/>
  <c r="M232" i="1" a="1"/>
  <c r="M232" i="1" s="1"/>
  <c r="N297" i="1" a="1"/>
  <c r="N297" i="1" s="1"/>
  <c r="B268" i="1" a="1"/>
  <c r="B268" i="1" s="1"/>
  <c r="B243" i="1" a="1"/>
  <c r="B243" i="1" s="1"/>
  <c r="D175" i="1" a="1"/>
  <c r="D175" i="1" s="1"/>
  <c r="I174" i="1" a="1"/>
  <c r="I174" i="1" s="1"/>
  <c r="H205" i="1" a="1"/>
  <c r="H205" i="1" s="1"/>
  <c r="R193" i="1" a="1"/>
  <c r="R193" i="1" s="1"/>
  <c r="Q236" i="1" a="1"/>
  <c r="Q236" i="1" s="1"/>
  <c r="K191" i="1" a="1"/>
  <c r="K191" i="1" s="1"/>
  <c r="H293" i="1" a="1"/>
  <c r="H293" i="1" s="1"/>
  <c r="G89" i="1" a="1"/>
  <c r="G89" i="1" s="1"/>
  <c r="D221" i="1" a="1"/>
  <c r="D221" i="1" s="1"/>
  <c r="D89" i="1" a="1"/>
  <c r="D89" i="1" s="1"/>
  <c r="Q106" i="1" a="1"/>
  <c r="Q106" i="1" s="1"/>
  <c r="I224" i="1" a="1"/>
  <c r="I224" i="1" s="1"/>
  <c r="K70" i="1" a="1"/>
  <c r="K70" i="1" s="1"/>
  <c r="C181" i="1" a="1"/>
  <c r="C181" i="1" s="1"/>
  <c r="F19" i="1" a="1"/>
  <c r="F19" i="1" s="1"/>
  <c r="D213" i="1" a="1"/>
  <c r="D213" i="1" s="1"/>
  <c r="C95" i="1" a="1"/>
  <c r="C95" i="1" s="1"/>
  <c r="I270" i="1" a="1"/>
  <c r="I270" i="1" s="1"/>
  <c r="B291" i="1" a="1"/>
  <c r="B291" i="1" s="1"/>
  <c r="H72" i="1" a="1"/>
  <c r="H72" i="1" s="1"/>
  <c r="O167" i="1" a="1"/>
  <c r="O167" i="1" s="1"/>
  <c r="O103" i="1" a="1"/>
  <c r="O103" i="1" s="1"/>
  <c r="N316" i="1" a="1"/>
  <c r="N316" i="1" s="1"/>
  <c r="C254" i="1" a="1"/>
  <c r="C254" i="1" s="1"/>
  <c r="I34" i="1" a="1"/>
  <c r="I34" i="1" s="1"/>
  <c r="D19" i="1" a="1"/>
  <c r="D19" i="1" s="1"/>
  <c r="P294" i="1" a="1"/>
  <c r="P294" i="1" s="1"/>
  <c r="M160" i="1" a="1"/>
  <c r="M160" i="1" s="1"/>
  <c r="J186" i="1" a="1"/>
  <c r="J186" i="1" s="1"/>
  <c r="P132" i="1" a="1"/>
  <c r="P132" i="1" s="1"/>
  <c r="M53" i="1" a="1"/>
  <c r="M53" i="1" s="1"/>
  <c r="D9" i="1" a="1"/>
  <c r="D9" i="1" s="1"/>
  <c r="N75" i="1" a="1"/>
  <c r="N75" i="1" s="1"/>
  <c r="G280" i="1" a="1"/>
  <c r="G280" i="1" s="1"/>
  <c r="G245" i="1" a="1"/>
  <c r="G245" i="1" s="1"/>
  <c r="H31" i="1" a="1"/>
  <c r="H31" i="1" s="1"/>
  <c r="L308" i="1" a="1"/>
  <c r="L308" i="1" s="1"/>
  <c r="M23" i="1" a="1"/>
  <c r="M23" i="1" s="1"/>
  <c r="R58" i="1" a="1"/>
  <c r="R58" i="1" s="1"/>
  <c r="C250" i="1" a="1"/>
  <c r="C250" i="1" s="1"/>
  <c r="P162" i="1" a="1"/>
  <c r="P162" i="1" s="1"/>
  <c r="K73" i="1" a="1"/>
  <c r="K73" i="1" s="1"/>
  <c r="L197" i="1" a="1"/>
  <c r="L197" i="1" s="1"/>
  <c r="B213" i="1" a="1"/>
  <c r="B213" i="1" s="1"/>
  <c r="O176" i="1" a="1"/>
  <c r="O176" i="1" s="1"/>
  <c r="L171" i="1" a="1"/>
  <c r="L171" i="1" s="1"/>
  <c r="M12" i="1" a="1"/>
  <c r="M12" i="1" s="1"/>
  <c r="L51" i="1" a="1"/>
  <c r="L51" i="1" s="1"/>
  <c r="E144" i="1" a="1"/>
  <c r="E144" i="1" s="1"/>
  <c r="H86" i="1" a="1"/>
  <c r="H86" i="1" s="1"/>
  <c r="M41" i="1" a="1"/>
  <c r="M41" i="1" s="1"/>
  <c r="O11" i="1" a="1"/>
  <c r="O11" i="1" s="1"/>
  <c r="N200" i="1" a="1"/>
  <c r="N200" i="1" s="1"/>
  <c r="G288" i="1" a="1"/>
  <c r="G288" i="1" s="1"/>
  <c r="D22" i="1" a="1"/>
  <c r="D22" i="1" s="1"/>
  <c r="F54" i="1" a="1"/>
  <c r="F54" i="1" s="1"/>
  <c r="D205" i="1" a="1"/>
  <c r="D205" i="1" s="1"/>
  <c r="D253" i="1" a="1"/>
  <c r="D253" i="1" s="1"/>
  <c r="R38" i="1" a="1"/>
  <c r="R38" i="1" s="1"/>
  <c r="H181" i="1" a="1"/>
  <c r="H181" i="1" s="1"/>
  <c r="P91" i="1" a="1"/>
  <c r="P91" i="1" s="1"/>
  <c r="B298" i="1" a="1"/>
  <c r="B298" i="1" s="1"/>
  <c r="G74" i="1" a="1"/>
  <c r="G74" i="1" s="1"/>
  <c r="R22" i="1" a="1"/>
  <c r="R22" i="1" s="1"/>
  <c r="L54" i="1" a="1"/>
  <c r="L54" i="1" s="1"/>
  <c r="D25" i="1" a="1"/>
  <c r="D25" i="1" s="1"/>
  <c r="N80" i="1" a="1"/>
  <c r="N80" i="1" s="1"/>
  <c r="B111" i="1" a="1"/>
  <c r="B111" i="1" s="1"/>
  <c r="H146" i="1" a="1"/>
  <c r="H146" i="1" s="1"/>
  <c r="B224" i="1" a="1"/>
  <c r="B224" i="1" s="1"/>
  <c r="E250" i="1" a="1"/>
  <c r="E250" i="1" s="1"/>
  <c r="N181" i="1" a="1"/>
  <c r="N181" i="1" s="1"/>
  <c r="F56" i="1" a="1"/>
  <c r="F56" i="1" s="1"/>
  <c r="M268" i="1" a="1"/>
  <c r="M268" i="1" s="1"/>
  <c r="L273" i="1" a="1"/>
  <c r="L273" i="1" s="1"/>
  <c r="K162" i="1" a="1"/>
  <c r="K162" i="1" s="1"/>
  <c r="O323" i="1" a="1"/>
  <c r="O323" i="1" s="1"/>
  <c r="E223" i="1" a="1"/>
  <c r="E223" i="1" s="1"/>
  <c r="C260" i="1" a="1"/>
  <c r="C260" i="1" s="1"/>
  <c r="E4" i="1" a="1"/>
  <c r="E4" i="1" s="1"/>
  <c r="E304" i="1" a="1"/>
  <c r="E304" i="1" s="1"/>
  <c r="D260" i="1" a="1"/>
  <c r="D260" i="1" s="1"/>
  <c r="R206" i="1" a="1"/>
  <c r="R206" i="1" s="1"/>
  <c r="Q327" i="1" a="1"/>
  <c r="Q327" i="1" s="1"/>
  <c r="M310" i="1" a="1"/>
  <c r="M310" i="1" s="1"/>
  <c r="R179" i="1" a="1"/>
  <c r="R179" i="1" s="1"/>
  <c r="I265" i="1" a="1"/>
  <c r="I265" i="1" s="1"/>
  <c r="Q233" i="1" a="1"/>
  <c r="Q233" i="1" s="1"/>
  <c r="K270" i="1" a="1"/>
  <c r="K270" i="1" s="1"/>
  <c r="P125" i="1" a="1"/>
  <c r="P125" i="1" s="1"/>
  <c r="R62" i="1" a="1"/>
  <c r="R62" i="1" s="1"/>
  <c r="M196" i="1" a="1"/>
  <c r="M196" i="1" s="1"/>
  <c r="R195" i="1" a="1"/>
  <c r="R195" i="1" s="1"/>
  <c r="I9" i="1" a="1"/>
  <c r="I9" i="1" s="1"/>
  <c r="P139" i="1" a="1"/>
  <c r="P139" i="1" s="1"/>
  <c r="P46" i="1" a="1"/>
  <c r="P46" i="1" s="1"/>
  <c r="N120" i="1" a="1"/>
  <c r="N120" i="1" s="1"/>
  <c r="O207" i="1" a="1"/>
  <c r="O207" i="1" s="1"/>
  <c r="C214" i="1" a="1"/>
  <c r="C214" i="1" s="1"/>
  <c r="K286" i="1" a="1"/>
  <c r="K286" i="1" s="1"/>
  <c r="E128" i="1" a="1"/>
  <c r="E128" i="1" s="1"/>
  <c r="F62" i="1" a="1"/>
  <c r="F62" i="1" s="1"/>
  <c r="K171" i="1" a="1"/>
  <c r="K171" i="1" s="1"/>
  <c r="Q123" i="1" a="1"/>
  <c r="Q123" i="1" s="1"/>
  <c r="H98" i="1" a="1"/>
  <c r="H98" i="1" s="1"/>
  <c r="K314" i="1" a="1"/>
  <c r="K314" i="1" s="1"/>
  <c r="Q255" i="1" a="1"/>
  <c r="Q255" i="1" s="1"/>
  <c r="Q204" i="1" a="1"/>
  <c r="Q204" i="1" s="1"/>
  <c r="E153" i="1" a="1"/>
  <c r="E153" i="1" s="1"/>
  <c r="G212" i="1" a="1"/>
  <c r="G212" i="1" s="1"/>
  <c r="C100" i="1" a="1"/>
  <c r="C100" i="1" s="1"/>
  <c r="G296" i="1" a="1"/>
  <c r="G296" i="1" s="1"/>
  <c r="L300" i="1" a="1"/>
  <c r="L300" i="1" s="1"/>
  <c r="L7" i="1" a="1"/>
  <c r="L7" i="1" s="1"/>
  <c r="B77" i="1" a="1"/>
  <c r="B77" i="1" s="1"/>
  <c r="Q78" i="1" a="1"/>
  <c r="Q78" i="1" s="1"/>
  <c r="M22" i="1" a="1"/>
  <c r="M22" i="1" s="1"/>
  <c r="E193" i="1" a="1"/>
  <c r="E193" i="1" s="1"/>
  <c r="F58" i="1" a="1"/>
  <c r="F58" i="1" s="1"/>
  <c r="H40" i="1" a="1"/>
  <c r="H40" i="1" s="1"/>
  <c r="H126" i="1" a="1"/>
  <c r="H126" i="1" s="1"/>
  <c r="R23" i="1" a="1"/>
  <c r="R23" i="1" s="1"/>
  <c r="N254" i="1" a="1"/>
  <c r="N254" i="1" s="1"/>
  <c r="F92" i="1" a="1"/>
  <c r="F92" i="1" s="1"/>
  <c r="P82" i="1" a="1"/>
  <c r="P82" i="1" s="1"/>
  <c r="O139" i="1" a="1"/>
  <c r="O139" i="1" s="1"/>
  <c r="D138" i="1" a="1"/>
  <c r="D138" i="1" s="1"/>
  <c r="G82" i="1" a="1"/>
  <c r="G82" i="1" s="1"/>
  <c r="H222" i="1" a="1"/>
  <c r="H222" i="1" s="1"/>
  <c r="J309" i="1" a="1"/>
  <c r="J309" i="1" s="1"/>
  <c r="I131" i="1" a="1"/>
  <c r="I131" i="1" s="1"/>
  <c r="B258" i="1" a="1"/>
  <c r="B258" i="1" s="1"/>
  <c r="G202" i="1" a="1"/>
  <c r="G202" i="1" s="1"/>
  <c r="J45" i="1" a="1"/>
  <c r="J45" i="1" s="1"/>
  <c r="G304" i="1" a="1"/>
  <c r="G304" i="1" s="1"/>
  <c r="Q150" i="1" a="1"/>
  <c r="Q150" i="1" s="1"/>
  <c r="J314" i="1" a="1"/>
  <c r="J314" i="1" s="1"/>
  <c r="K117" i="1" a="1"/>
  <c r="K117" i="1" s="1"/>
  <c r="H71" i="1" a="1"/>
  <c r="H71" i="1" s="1"/>
  <c r="L279" i="1" a="1"/>
  <c r="L279" i="1" s="1"/>
  <c r="B248" i="1" a="1"/>
  <c r="B248" i="1" s="1"/>
  <c r="J165" i="1" a="1"/>
  <c r="J165" i="1" s="1"/>
  <c r="R255" i="1" a="1"/>
  <c r="R255" i="1" s="1"/>
  <c r="M94" i="1" a="1"/>
  <c r="M94" i="1" s="1"/>
  <c r="N46" i="1" a="1"/>
  <c r="N46" i="1" s="1"/>
  <c r="H51" i="1" a="1"/>
  <c r="H51" i="1" s="1"/>
  <c r="N156" i="1" a="1"/>
  <c r="N156" i="1" s="1"/>
  <c r="R96" i="1" a="1"/>
  <c r="R96" i="1" s="1"/>
  <c r="G260" i="1" a="1"/>
  <c r="G260" i="1" s="1"/>
  <c r="B73" i="1" a="1"/>
  <c r="B73" i="1" s="1"/>
  <c r="C292" i="1" a="1"/>
  <c r="C292" i="1" s="1"/>
  <c r="K122" i="1" a="1"/>
  <c r="K122" i="1" s="1"/>
  <c r="E60" i="1" a="1"/>
  <c r="E60" i="1" s="1"/>
  <c r="B250" i="1" a="1"/>
  <c r="B250" i="1" s="1"/>
  <c r="I150" i="1" a="1"/>
  <c r="I150" i="1" s="1"/>
  <c r="Q35" i="1" a="1"/>
  <c r="Q35" i="1" s="1"/>
  <c r="P171" i="1" a="1"/>
  <c r="P171" i="1" s="1"/>
  <c r="G164" i="1" a="1"/>
  <c r="G164" i="1" s="1"/>
  <c r="P163" i="1" a="1"/>
  <c r="P163" i="1" s="1"/>
  <c r="K295" i="1" a="1"/>
  <c r="K295" i="1" s="1"/>
  <c r="P134" i="1" a="1"/>
  <c r="P134" i="1" s="1"/>
  <c r="D113" i="1" a="1"/>
  <c r="D113" i="1" s="1"/>
  <c r="F282" i="1" a="1"/>
  <c r="F282" i="1" s="1"/>
  <c r="K79" i="1" a="1"/>
  <c r="K79" i="1" s="1"/>
  <c r="J243" i="1" a="1"/>
  <c r="J243" i="1" s="1"/>
  <c r="G237" i="1" a="1"/>
  <c r="G237" i="1" s="1"/>
  <c r="J158" i="1" a="1"/>
  <c r="J158" i="1" s="1"/>
  <c r="P327" i="1" a="1"/>
  <c r="P327" i="1" s="1"/>
  <c r="L24" i="1" a="1"/>
  <c r="L24" i="1" s="1"/>
  <c r="F174" i="1" a="1"/>
  <c r="F174" i="1" s="1"/>
  <c r="G69" i="1" a="1"/>
  <c r="G69" i="1" s="1"/>
  <c r="I304" i="1" a="1"/>
  <c r="I304" i="1" s="1"/>
  <c r="M143" i="1" a="1"/>
  <c r="M143" i="1" s="1"/>
  <c r="J146" i="1" a="1"/>
  <c r="J146" i="1" s="1"/>
  <c r="J319" i="1" a="1"/>
  <c r="J319" i="1" s="1"/>
  <c r="K254" i="1" a="1"/>
  <c r="K254" i="1" s="1"/>
  <c r="H213" i="1" a="1"/>
  <c r="H213" i="1" s="1"/>
  <c r="F103" i="1" a="1"/>
  <c r="F103" i="1" s="1"/>
  <c r="M168" i="1" a="1"/>
  <c r="M168" i="1" s="1"/>
  <c r="G108" i="1" a="1"/>
  <c r="G108" i="1" s="1"/>
  <c r="G33" i="1" a="1"/>
  <c r="G33" i="1" s="1"/>
  <c r="O249" i="1" a="1"/>
  <c r="O249" i="1" s="1"/>
  <c r="K163" i="1" a="1"/>
  <c r="K163" i="1" s="1"/>
  <c r="K250" i="1" a="1"/>
  <c r="K250" i="1" s="1"/>
  <c r="B267" i="1" a="1"/>
  <c r="B267" i="1" s="1"/>
  <c r="J270" i="1" a="1"/>
  <c r="J270" i="1" s="1"/>
  <c r="F267" i="1" a="1"/>
  <c r="F267" i="1" s="1"/>
  <c r="J35" i="1" a="1"/>
  <c r="J35" i="1" s="1"/>
  <c r="Q317" i="1" a="1"/>
  <c r="Q317" i="1" s="1"/>
  <c r="F27" i="1" a="1"/>
  <c r="F27" i="1" s="1"/>
  <c r="H263" i="1" a="1"/>
  <c r="H263" i="1" s="1"/>
  <c r="O35" i="1" a="1"/>
  <c r="O35" i="1" s="1"/>
  <c r="O138" i="1" a="1"/>
  <c r="O138" i="1" s="1"/>
  <c r="B25" i="1" a="1"/>
  <c r="B25" i="1" s="1"/>
  <c r="O208" i="1" a="1"/>
  <c r="O208" i="1" s="1"/>
  <c r="B176" i="1" a="1"/>
  <c r="B176" i="1" s="1"/>
  <c r="N50" i="1" a="1"/>
  <c r="N50" i="1" s="1"/>
  <c r="C178" i="1" a="1"/>
  <c r="C178" i="1" s="1"/>
  <c r="I89" i="1" a="1"/>
  <c r="I89" i="1" s="1"/>
  <c r="G161" i="1" a="1"/>
  <c r="G161" i="1" s="1"/>
  <c r="E122" i="1" a="1"/>
  <c r="E122" i="1" s="1"/>
  <c r="K7" i="1" a="1"/>
  <c r="K7" i="1" s="1"/>
  <c r="R169" i="1" a="1"/>
  <c r="R169" i="1" s="1"/>
  <c r="D284" i="1" a="1"/>
  <c r="D284" i="1" s="1"/>
  <c r="O178" i="1" a="1"/>
  <c r="O178" i="1" s="1"/>
  <c r="G308" i="1" a="1"/>
  <c r="G308" i="1" s="1"/>
  <c r="R156" i="1" a="1"/>
  <c r="R156" i="1" s="1"/>
  <c r="D115" i="1" a="1"/>
  <c r="D115" i="1" s="1"/>
  <c r="Q82" i="1" a="1"/>
  <c r="Q82" i="1" s="1"/>
  <c r="Q38" i="1" a="1"/>
  <c r="Q38" i="1" s="1"/>
  <c r="I25" i="1" a="1"/>
  <c r="I25" i="1" s="1"/>
  <c r="K176" i="1" a="1"/>
  <c r="K176" i="1" s="1"/>
  <c r="M19" i="1" a="1"/>
  <c r="M19" i="1" s="1"/>
  <c r="E210" i="1" a="1"/>
  <c r="E210" i="1" s="1"/>
  <c r="B71" i="1" a="1"/>
  <c r="B71" i="1" s="1"/>
  <c r="K243" i="1" a="1"/>
  <c r="K243" i="1" s="1"/>
  <c r="N111" i="1" a="1"/>
  <c r="N111" i="1" s="1"/>
  <c r="G53" i="1" a="1"/>
  <c r="G53" i="1" s="1"/>
  <c r="R70" i="1" a="1"/>
  <c r="R70" i="1" s="1"/>
  <c r="Q188" i="1" a="1"/>
  <c r="Q188" i="1" s="1"/>
  <c r="M151" i="1" a="1"/>
  <c r="M151" i="1" s="1"/>
  <c r="B259" i="1" a="1"/>
  <c r="B259" i="1" s="1"/>
  <c r="C235" i="1" a="1"/>
  <c r="C235" i="1" s="1"/>
  <c r="M127" i="1" a="1"/>
  <c r="M127" i="1" s="1"/>
  <c r="H166" i="1" a="1"/>
  <c r="H166" i="1" s="1"/>
  <c r="M198" i="1" a="1"/>
  <c r="M198" i="1" s="1"/>
  <c r="O223" i="1" a="1"/>
  <c r="O223" i="1" s="1"/>
  <c r="R220" i="1" a="1"/>
  <c r="R220" i="1" s="1"/>
  <c r="F115" i="1" a="1"/>
  <c r="F115" i="1" s="1"/>
  <c r="P198" i="1" a="1"/>
  <c r="P198" i="1" s="1"/>
  <c r="G88" i="1" a="1"/>
  <c r="G88" i="1" s="1"/>
  <c r="K155" i="1" a="1"/>
  <c r="K155" i="1" s="1"/>
  <c r="H139" i="1" a="1"/>
  <c r="H139" i="1" s="1"/>
  <c r="I69" i="1" a="1"/>
  <c r="I69" i="1" s="1"/>
  <c r="L252" i="1" a="1"/>
  <c r="L252" i="1" s="1"/>
  <c r="P12" i="1" a="1"/>
  <c r="P12" i="1" s="1"/>
  <c r="M34" i="1" a="1"/>
  <c r="M34" i="1" s="1"/>
  <c r="G235" i="1" a="1"/>
  <c r="G235" i="1" s="1"/>
  <c r="R187" i="1" a="1"/>
  <c r="R187" i="1" s="1"/>
  <c r="L82" i="1" a="1"/>
  <c r="L82" i="1" s="1"/>
  <c r="E289" i="1" a="1"/>
  <c r="E289" i="1" s="1"/>
  <c r="C201" i="1" a="1"/>
  <c r="C201" i="1" s="1"/>
  <c r="E322" i="1" a="1"/>
  <c r="E322" i="1" s="1"/>
  <c r="G302" i="1" a="1"/>
  <c r="G302" i="1" s="1"/>
  <c r="B251" i="1" a="1"/>
  <c r="B251" i="1" s="1"/>
  <c r="N169" i="1" a="1"/>
  <c r="N169" i="1" s="1"/>
  <c r="D83" i="1" a="1"/>
  <c r="D83" i="1" s="1"/>
  <c r="Q280" i="1" a="1"/>
  <c r="Q280" i="1" s="1"/>
  <c r="M280" i="1" a="1"/>
  <c r="M280" i="1" s="1"/>
  <c r="O111" i="1" a="1"/>
  <c r="O111" i="1" s="1"/>
  <c r="K188" i="1" a="1"/>
  <c r="K188" i="1" s="1"/>
  <c r="P236" i="1" a="1"/>
  <c r="P236" i="1" s="1"/>
  <c r="J138" i="1" a="1"/>
  <c r="J138" i="1" s="1"/>
  <c r="O92" i="1" a="1"/>
  <c r="O92" i="1" s="1"/>
  <c r="D30" i="1" a="1"/>
  <c r="D30" i="1" s="1"/>
  <c r="H214" i="1" a="1"/>
  <c r="H214" i="1" s="1"/>
  <c r="F320" i="1" a="1"/>
  <c r="F320" i="1" s="1"/>
  <c r="J212" i="1" a="1"/>
  <c r="J212" i="1" s="1"/>
  <c r="E198" i="1" a="1"/>
  <c r="E198" i="1" s="1"/>
  <c r="I165" i="1" a="1"/>
  <c r="I165" i="1" s="1"/>
  <c r="J120" i="1" a="1"/>
  <c r="J120" i="1" s="1"/>
  <c r="J98" i="1" a="1"/>
  <c r="J98" i="1" s="1"/>
  <c r="H80" i="1" a="1"/>
  <c r="H80" i="1" s="1"/>
  <c r="L228" i="1" a="1"/>
  <c r="L228" i="1" s="1"/>
  <c r="I256" i="1" a="1"/>
  <c r="I256" i="1" s="1"/>
  <c r="M59" i="1" a="1"/>
  <c r="M59" i="1" s="1"/>
  <c r="O87" i="1" a="1"/>
  <c r="O87" i="1" s="1"/>
  <c r="F20" i="1" a="1"/>
  <c r="F20" i="1" s="1"/>
  <c r="B288" i="1" a="1"/>
  <c r="B288" i="1" s="1"/>
  <c r="G83" i="1" a="1"/>
  <c r="G83" i="1" s="1"/>
  <c r="D298" i="1" a="1"/>
  <c r="D298" i="1" s="1"/>
  <c r="F87" i="1" a="1"/>
  <c r="F87" i="1" s="1"/>
  <c r="M15" i="1" a="1"/>
  <c r="M15" i="1" s="1"/>
  <c r="Q97" i="1" a="1"/>
  <c r="Q97" i="1" s="1"/>
  <c r="F237" i="1" a="1"/>
  <c r="F237" i="1" s="1"/>
  <c r="P242" i="1" a="1"/>
  <c r="P242" i="1" s="1"/>
  <c r="H262" i="1" a="1"/>
  <c r="H262" i="1" s="1"/>
  <c r="E79" i="1" a="1"/>
  <c r="E79" i="1" s="1"/>
  <c r="D101" i="1" a="1"/>
  <c r="D101" i="1" s="1"/>
  <c r="L207" i="1" a="1"/>
  <c r="L207" i="1" s="1"/>
  <c r="D69" i="1" a="1"/>
  <c r="D69" i="1" s="1"/>
  <c r="L115" i="1" a="1"/>
  <c r="L115" i="1" s="1"/>
  <c r="K23" i="1" a="1"/>
  <c r="K23" i="1" s="1"/>
  <c r="G213" i="1" a="1"/>
  <c r="G213" i="1" s="1"/>
  <c r="J217" i="1" a="1"/>
  <c r="J217" i="1" s="1"/>
  <c r="K233" i="1" a="1"/>
  <c r="K233" i="1" s="1"/>
  <c r="N7" i="1" a="1"/>
  <c r="N7" i="1" s="1"/>
  <c r="E321" i="1" a="1"/>
  <c r="E321" i="1" s="1"/>
  <c r="C30" i="1" a="1"/>
  <c r="C30" i="1" s="1"/>
  <c r="I71" i="1" a="1"/>
  <c r="I71" i="1" s="1"/>
  <c r="L322" i="1" a="1"/>
  <c r="L322" i="1" s="1"/>
  <c r="M240" i="1" a="1"/>
  <c r="M240" i="1" s="1"/>
  <c r="K108" i="1" a="1"/>
  <c r="K108" i="1" s="1"/>
  <c r="G50" i="1" a="1"/>
  <c r="G50" i="1" s="1"/>
  <c r="G326" i="1" a="1"/>
  <c r="G326" i="1" s="1"/>
  <c r="H55" i="1" a="1"/>
  <c r="H55" i="1" s="1"/>
  <c r="Q40" i="1" a="1"/>
  <c r="Q40" i="1" s="1"/>
  <c r="J252" i="1" a="1"/>
  <c r="J252" i="1" s="1"/>
  <c r="I97" i="1" a="1"/>
  <c r="I97" i="1" s="1"/>
  <c r="B102" i="1" a="1"/>
  <c r="B102" i="1" s="1"/>
  <c r="D59" i="1" a="1"/>
  <c r="D59" i="1" s="1"/>
  <c r="F265" i="1" a="1"/>
  <c r="F265" i="1" s="1"/>
  <c r="P192" i="1" a="1"/>
  <c r="P192" i="1" s="1"/>
  <c r="K92" i="1" a="1"/>
  <c r="K92" i="1" s="1"/>
  <c r="N307" i="1" a="1"/>
  <c r="N307" i="1" s="1"/>
  <c r="E57" i="1" a="1"/>
  <c r="E57" i="1" s="1"/>
  <c r="M298" i="1" a="1"/>
  <c r="M298" i="1" s="1"/>
  <c r="D98" i="1" a="1"/>
  <c r="D98" i="1" s="1"/>
  <c r="I283" i="1" a="1"/>
  <c r="I283" i="1" s="1"/>
  <c r="N69" i="1" a="1"/>
  <c r="N69" i="1" s="1"/>
  <c r="J214" i="1" a="1"/>
  <c r="J214" i="1" s="1"/>
  <c r="L48" i="1" a="1"/>
  <c r="L48" i="1" s="1"/>
  <c r="O308" i="1" a="1"/>
  <c r="O308" i="1" s="1"/>
  <c r="Q63" i="1" a="1"/>
  <c r="Q63" i="1" s="1"/>
  <c r="E197" i="1" a="1"/>
  <c r="E197" i="1" s="1"/>
  <c r="E18" i="1" a="1"/>
  <c r="E18" i="1" s="1"/>
  <c r="R131" i="1" a="1"/>
  <c r="R131" i="1" s="1"/>
  <c r="D239" i="1" a="1"/>
  <c r="D239" i="1" s="1"/>
  <c r="J180" i="1" a="1"/>
  <c r="J180" i="1" s="1"/>
  <c r="M189" i="1" a="1"/>
  <c r="M189" i="1" s="1"/>
  <c r="Q250" i="1" a="1"/>
  <c r="Q250" i="1" s="1"/>
  <c r="O48" i="1" a="1"/>
  <c r="O48" i="1" s="1"/>
  <c r="P243" i="1" a="1"/>
  <c r="P243" i="1" s="1"/>
  <c r="Q254" i="1" a="1"/>
  <c r="Q254" i="1" s="1"/>
  <c r="I125" i="1" a="1"/>
  <c r="I125" i="1" s="1"/>
  <c r="R277" i="1" a="1"/>
  <c r="R277" i="1" s="1"/>
  <c r="P145" i="1" a="1"/>
  <c r="P145" i="1" s="1"/>
  <c r="M312" i="1" a="1"/>
  <c r="M312" i="1" s="1"/>
  <c r="M273" i="1" a="1"/>
  <c r="M273" i="1" s="1"/>
  <c r="O39" i="1" a="1"/>
  <c r="O39" i="1" s="1"/>
  <c r="I148" i="1" a="1"/>
  <c r="I148" i="1" s="1"/>
  <c r="O237" i="1" a="1"/>
  <c r="O237" i="1" s="1"/>
  <c r="F183" i="1" a="1"/>
  <c r="F183" i="1" s="1"/>
  <c r="I28" i="1" a="1"/>
  <c r="I28" i="1" s="1"/>
  <c r="J228" i="1" a="1"/>
  <c r="J228" i="1" s="1"/>
  <c r="N189" i="1" a="1"/>
  <c r="N189" i="1" s="1"/>
  <c r="D206" i="1" a="1"/>
  <c r="D206" i="1" s="1"/>
  <c r="D49" i="1" a="1"/>
  <c r="D49" i="1" s="1"/>
  <c r="C317" i="1" a="1"/>
  <c r="C317" i="1" s="1"/>
  <c r="H9" i="1" a="1"/>
  <c r="H9" i="1" s="1"/>
  <c r="Q3" i="1" a="1"/>
  <c r="Q3" i="1" s="1"/>
  <c r="B90" i="1" a="1"/>
  <c r="B90" i="1" s="1"/>
  <c r="P257" i="1" a="1"/>
  <c r="P257" i="1" s="1"/>
  <c r="Q253" i="1" a="1"/>
  <c r="Q253" i="1" s="1"/>
  <c r="E243" i="1" a="1"/>
  <c r="E243" i="1" s="1"/>
  <c r="I59" i="1" a="1"/>
  <c r="I59" i="1" s="1"/>
  <c r="N299" i="1" a="1"/>
  <c r="N299" i="1" s="1"/>
  <c r="O225" i="1" a="1"/>
  <c r="O225" i="1" s="1"/>
  <c r="N211" i="1" a="1"/>
  <c r="N211" i="1" s="1"/>
  <c r="M39" i="1" a="1"/>
  <c r="M39" i="1" s="1"/>
  <c r="E318" i="1" a="1"/>
  <c r="E318" i="1" s="1"/>
  <c r="D254" i="1" a="1"/>
  <c r="D254" i="1" s="1"/>
  <c r="I35" i="1" a="1"/>
  <c r="I35" i="1" s="1"/>
  <c r="G9" i="1" a="1"/>
  <c r="G9" i="1" s="1"/>
  <c r="C258" i="1" a="1"/>
  <c r="C258" i="1" s="1"/>
  <c r="G181" i="1" a="1"/>
  <c r="G181" i="1" s="1"/>
  <c r="M43" i="1" a="1"/>
  <c r="M43" i="1" s="1"/>
  <c r="H250" i="1" a="1"/>
  <c r="H250" i="1" s="1"/>
  <c r="C69" i="1" a="1"/>
  <c r="C69" i="1" s="1"/>
  <c r="Q245" i="1" a="1"/>
  <c r="Q245" i="1" s="1"/>
  <c r="J41" i="1" a="1"/>
  <c r="J41" i="1" s="1"/>
  <c r="G102" i="1" a="1"/>
  <c r="G102" i="1" s="1"/>
  <c r="R161" i="1" a="1"/>
  <c r="R161" i="1" s="1"/>
  <c r="D178" i="1" a="1"/>
  <c r="D178" i="1" s="1"/>
  <c r="C56" i="1" a="1"/>
  <c r="C56" i="1" s="1"/>
  <c r="M154" i="1" a="1"/>
  <c r="M154" i="1" s="1"/>
  <c r="Q20" i="1" a="1"/>
  <c r="Q20" i="1" s="1"/>
  <c r="F73" i="1" a="1"/>
  <c r="F73" i="1" s="1"/>
  <c r="M45" i="1" a="1"/>
  <c r="M45" i="1" s="1"/>
  <c r="D55" i="1" a="1"/>
  <c r="D55" i="1" s="1"/>
  <c r="D179" i="1" a="1"/>
  <c r="D179" i="1" s="1"/>
  <c r="I323" i="1" a="1"/>
  <c r="I323" i="1" s="1"/>
  <c r="K160" i="1" a="1"/>
  <c r="K160" i="1" s="1"/>
  <c r="G5" i="1" a="1"/>
  <c r="G5" i="1" s="1"/>
  <c r="L202" i="1" a="1"/>
  <c r="L202" i="1" s="1"/>
  <c r="O291" i="1" a="1"/>
  <c r="O291" i="1" s="1"/>
  <c r="R7" i="1" a="1"/>
  <c r="R7" i="1" s="1"/>
  <c r="P89" i="1" a="1"/>
  <c r="P89" i="1" s="1"/>
  <c r="H207" i="1" a="1"/>
  <c r="H207" i="1" s="1"/>
  <c r="C231" i="1" a="1"/>
  <c r="C231" i="1" s="1"/>
  <c r="L196" i="1" a="1"/>
  <c r="L196" i="1" s="1"/>
  <c r="I176" i="1" a="1"/>
  <c r="I176" i="1" s="1"/>
  <c r="C326" i="1" a="1"/>
  <c r="C326" i="1" s="1"/>
  <c r="E102" i="1" a="1"/>
  <c r="E102" i="1" s="1"/>
  <c r="G48" i="1" a="1"/>
  <c r="G48" i="1" s="1"/>
  <c r="L234" i="1" a="1"/>
  <c r="L234" i="1" s="1"/>
  <c r="C248" i="1" a="1"/>
  <c r="C248" i="1" s="1"/>
  <c r="D317" i="1" a="1"/>
  <c r="D317" i="1" s="1"/>
  <c r="I60" i="1" a="1"/>
  <c r="I60" i="1" s="1"/>
  <c r="H62" i="1" a="1"/>
  <c r="H62" i="1" s="1"/>
  <c r="G159" i="1" a="1"/>
  <c r="G159" i="1" s="1"/>
  <c r="M170" i="1" a="1"/>
  <c r="M170" i="1" s="1"/>
  <c r="K11" i="1" a="1"/>
  <c r="K11" i="1" s="1"/>
  <c r="H270" i="1" a="1"/>
  <c r="H270" i="1" s="1"/>
  <c r="J154" i="1" a="1"/>
  <c r="J154" i="1" s="1"/>
  <c r="G137" i="1" a="1"/>
  <c r="G137" i="1" s="1"/>
  <c r="L295" i="1" a="1"/>
  <c r="L295" i="1" s="1"/>
  <c r="F75" i="1" a="1"/>
  <c r="F75" i="1" s="1"/>
  <c r="F279" i="1" a="1"/>
  <c r="F279" i="1" s="1"/>
  <c r="L272" i="1" a="1"/>
  <c r="L272" i="1" s="1"/>
  <c r="K25" i="1" a="1"/>
  <c r="K25" i="1" s="1"/>
  <c r="O312" i="1" a="1"/>
  <c r="O312" i="1" s="1"/>
  <c r="R322" i="1" a="1"/>
  <c r="R322" i="1" s="1"/>
  <c r="D237" i="1" a="1"/>
  <c r="D237" i="1" s="1"/>
  <c r="F326" i="1" a="1"/>
  <c r="F326" i="1" s="1"/>
  <c r="M126" i="1" a="1"/>
  <c r="M126" i="1" s="1"/>
  <c r="E258" i="1" a="1"/>
  <c r="E258" i="1" s="1"/>
  <c r="R110" i="1" a="1"/>
  <c r="R110" i="1" s="1"/>
  <c r="L37" i="1" a="1"/>
  <c r="L37" i="1" s="1"/>
  <c r="L34" i="1" a="1"/>
  <c r="L34" i="1" s="1"/>
  <c r="P152" i="1" a="1"/>
  <c r="P152" i="1" s="1"/>
  <c r="P291" i="1" a="1"/>
  <c r="P291" i="1" s="1"/>
  <c r="Q264" i="1" a="1"/>
  <c r="Q264" i="1" s="1"/>
  <c r="H186" i="1" a="1"/>
  <c r="H186" i="1" s="1"/>
  <c r="E104" i="1" a="1"/>
  <c r="E104" i="1" s="1"/>
  <c r="E73" i="1" a="1"/>
  <c r="E73" i="1" s="1"/>
  <c r="K302" i="1" a="1"/>
  <c r="K302" i="1" s="1"/>
  <c r="C58" i="1" a="1"/>
  <c r="C58" i="1" s="1"/>
  <c r="J173" i="1" a="1"/>
  <c r="J173" i="1" s="1"/>
  <c r="F287" i="1" a="1"/>
  <c r="F287" i="1" s="1"/>
  <c r="E192" i="1" a="1"/>
  <c r="E192" i="1" s="1"/>
  <c r="E263" i="1" a="1"/>
  <c r="E263" i="1" s="1"/>
  <c r="J245" i="1" a="1"/>
  <c r="J245" i="1" s="1"/>
  <c r="Q87" i="1" a="1"/>
  <c r="Q87" i="1" s="1"/>
  <c r="N217" i="1" a="1"/>
  <c r="N217" i="1" s="1"/>
  <c r="I45" i="1" a="1"/>
  <c r="I45" i="1" s="1"/>
  <c r="E312" i="1" a="1"/>
  <c r="E312" i="1" s="1"/>
  <c r="N87" i="1" a="1"/>
  <c r="N87" i="1" s="1"/>
  <c r="R100" i="1" a="1"/>
  <c r="R100" i="1" s="1"/>
  <c r="K149" i="1" a="1"/>
  <c r="K149" i="1" s="1"/>
  <c r="K3" i="1" a="1"/>
  <c r="K3" i="1" s="1"/>
  <c r="O295" i="1" a="1"/>
  <c r="O295" i="1" s="1"/>
  <c r="J187" i="1" a="1"/>
  <c r="J187" i="1" s="1"/>
  <c r="F285" i="1" a="1"/>
  <c r="F285" i="1" s="1"/>
  <c r="H189" i="1" a="1"/>
  <c r="H189" i="1" s="1"/>
  <c r="C143" i="1" a="1"/>
  <c r="C143" i="1" s="1"/>
  <c r="B20" i="1" a="1"/>
  <c r="B20" i="1" s="1"/>
  <c r="Q173" i="1" a="1"/>
  <c r="Q173" i="1" s="1"/>
  <c r="R200" i="1" a="1"/>
  <c r="R200" i="1" s="1"/>
  <c r="J89" i="1" a="1"/>
  <c r="J89" i="1" s="1"/>
  <c r="L141" i="1" a="1"/>
  <c r="L141" i="1" s="1"/>
  <c r="J130" i="1" a="1"/>
  <c r="J130" i="1" s="1"/>
  <c r="J46" i="1" a="1"/>
  <c r="J46" i="1" s="1"/>
  <c r="M294" i="1" a="1"/>
  <c r="M294" i="1" s="1"/>
  <c r="Q34" i="1" a="1"/>
  <c r="Q34" i="1" s="1"/>
  <c r="D122" i="1" a="1"/>
  <c r="D122" i="1" s="1"/>
  <c r="E256" i="1" a="1"/>
  <c r="E256" i="1" s="1"/>
  <c r="M188" i="1" a="1"/>
  <c r="M188" i="1" s="1"/>
  <c r="D177" i="1" a="1"/>
  <c r="D177" i="1" s="1"/>
  <c r="G318" i="1" a="1"/>
  <c r="G318" i="1" s="1"/>
  <c r="R199" i="1" a="1"/>
  <c r="R199" i="1" s="1"/>
  <c r="E213" i="1" a="1"/>
  <c r="E213" i="1" s="1"/>
  <c r="H38" i="1" a="1"/>
  <c r="H38" i="1" s="1"/>
  <c r="G293" i="1" a="1"/>
  <c r="G293" i="1" s="1"/>
  <c r="Q39" i="1" a="1"/>
  <c r="Q39" i="1" s="1"/>
  <c r="B119" i="1" a="1"/>
  <c r="B119" i="1" s="1"/>
  <c r="E272" i="1" a="1"/>
  <c r="E272" i="1" s="1"/>
  <c r="M68" i="1" a="1"/>
  <c r="M68" i="1" s="1"/>
  <c r="K139" i="1" a="1"/>
  <c r="K139" i="1" s="1"/>
  <c r="F292" i="1" a="1"/>
  <c r="F292" i="1" s="1"/>
  <c r="J199" i="1" a="1"/>
  <c r="J199" i="1" s="1"/>
  <c r="H248" i="1" a="1"/>
  <c r="H248" i="1" s="1"/>
  <c r="K55" i="1" a="1"/>
  <c r="K55" i="1" s="1"/>
  <c r="P73" i="1" a="1"/>
  <c r="P73" i="1" s="1"/>
  <c r="J60" i="1" a="1"/>
  <c r="J60" i="1" s="1"/>
  <c r="O133" i="1" a="1"/>
  <c r="O133" i="1" s="1"/>
  <c r="B225" i="1" a="1"/>
  <c r="B225" i="1" s="1"/>
  <c r="L94" i="1" a="1"/>
  <c r="L94" i="1" s="1"/>
  <c r="L12" i="1" a="1"/>
  <c r="L12" i="1" s="1"/>
  <c r="G289" i="1" a="1"/>
  <c r="G289" i="1" s="1"/>
  <c r="E185" i="1" a="1"/>
  <c r="E185" i="1" s="1"/>
  <c r="R189" i="1" a="1"/>
  <c r="R189" i="1" s="1"/>
  <c r="P254" i="1" a="1"/>
  <c r="P254" i="1" s="1"/>
  <c r="C232" i="1" a="1"/>
  <c r="C232" i="1" s="1"/>
  <c r="N130" i="1" a="1"/>
  <c r="N130" i="1" s="1"/>
  <c r="P293" i="1" a="1"/>
  <c r="P293" i="1" s="1"/>
  <c r="R45" i="1" a="1"/>
  <c r="R45" i="1" s="1"/>
  <c r="D11" i="1" a="1"/>
  <c r="D11" i="1" s="1"/>
  <c r="F21" i="1" a="1"/>
  <c r="F21" i="1" s="1"/>
  <c r="B236" i="1" a="1"/>
  <c r="B236" i="1" s="1"/>
  <c r="E234" i="1" a="1"/>
  <c r="E234" i="1" s="1"/>
  <c r="P217" i="1" a="1"/>
  <c r="P217" i="1" s="1"/>
  <c r="M270" i="1" a="1"/>
  <c r="M270" i="1" s="1"/>
  <c r="Q65" i="1" a="1"/>
  <c r="Q65" i="1" s="1"/>
  <c r="C315" i="1" a="1"/>
  <c r="C315" i="1" s="1"/>
  <c r="B217" i="1" a="1"/>
  <c r="B217" i="1" s="1"/>
  <c r="E200" i="1" a="1"/>
  <c r="E200" i="1" s="1"/>
  <c r="O263" i="1" a="1"/>
  <c r="O263" i="1" s="1"/>
  <c r="L56" i="1" a="1"/>
  <c r="L56" i="1" s="1"/>
  <c r="F122" i="1" a="1"/>
  <c r="F122" i="1" s="1"/>
  <c r="H256" i="1" a="1"/>
  <c r="H256" i="1" s="1"/>
  <c r="L111" i="1" a="1"/>
  <c r="L111" i="1" s="1"/>
  <c r="Q225" i="1" a="1"/>
  <c r="Q225" i="1" s="1"/>
  <c r="H260" i="1" a="1"/>
  <c r="H260" i="1" s="1"/>
  <c r="N30" i="1" a="1"/>
  <c r="N30" i="1" s="1"/>
  <c r="M133" i="1" a="1"/>
  <c r="M133" i="1" s="1"/>
  <c r="C275" i="1" a="1"/>
  <c r="C275" i="1" s="1"/>
  <c r="R257" i="1" a="1"/>
  <c r="R257" i="1" s="1"/>
  <c r="R191" i="1" a="1"/>
  <c r="R191" i="1" s="1"/>
  <c r="M211" i="1" a="1"/>
  <c r="M211" i="1" s="1"/>
  <c r="I194" i="1" a="1"/>
  <c r="I194" i="1" s="1"/>
  <c r="O197" i="1" a="1"/>
  <c r="O197" i="1" s="1"/>
  <c r="I309" i="1" a="1"/>
  <c r="I309" i="1" s="1"/>
  <c r="D263" i="1" a="1"/>
  <c r="D263" i="1" s="1"/>
  <c r="D181" i="1" a="1"/>
  <c r="D181" i="1" s="1"/>
  <c r="P215" i="1" a="1"/>
  <c r="P215" i="1" s="1"/>
  <c r="Q276" i="1" a="1"/>
  <c r="Q276" i="1" s="1"/>
  <c r="F258" i="1" a="1"/>
  <c r="F258" i="1" s="1"/>
  <c r="H70" i="1" a="1"/>
  <c r="H70" i="1" s="1"/>
  <c r="K301" i="1" a="1"/>
  <c r="K301" i="1" s="1"/>
  <c r="G80" i="1" a="1"/>
  <c r="G80" i="1" s="1"/>
  <c r="H114" i="1" a="1"/>
  <c r="H114" i="1" s="1"/>
  <c r="P111" i="1" a="1"/>
  <c r="P111" i="1" s="1"/>
  <c r="Q222" i="1" a="1"/>
  <c r="Q222" i="1" s="1"/>
  <c r="Q169" i="1" a="1"/>
  <c r="Q169" i="1" s="1"/>
  <c r="M206" i="1" a="1"/>
  <c r="M206" i="1" s="1"/>
  <c r="R56" i="1" a="1"/>
  <c r="R56" i="1" s="1"/>
  <c r="R158" i="1" a="1"/>
  <c r="R158" i="1" s="1"/>
  <c r="I23" i="1" a="1"/>
  <c r="I23" i="1" s="1"/>
  <c r="C121" i="1" a="1"/>
  <c r="C121" i="1" s="1"/>
  <c r="F316" i="1" a="1"/>
  <c r="F316" i="1" s="1"/>
  <c r="C262" i="1" a="1"/>
  <c r="C262" i="1" s="1"/>
  <c r="D308" i="1" a="1"/>
  <c r="D308" i="1" s="1"/>
  <c r="I325" i="1" a="1"/>
  <c r="I325" i="1" s="1"/>
  <c r="H220" i="1" a="1"/>
  <c r="H220" i="1" s="1"/>
  <c r="O72" i="1" a="1"/>
  <c r="O72" i="1" s="1"/>
  <c r="O16" i="1" a="1"/>
  <c r="O16" i="1" s="1"/>
  <c r="J300" i="1" a="1"/>
  <c r="J300" i="1" s="1"/>
  <c r="C264" i="1" a="1"/>
  <c r="C264" i="1" s="1"/>
  <c r="C77" i="1" a="1"/>
  <c r="C77" i="1" s="1"/>
  <c r="G16" i="1" a="1"/>
  <c r="G16" i="1" s="1"/>
  <c r="R243" i="1" a="1"/>
  <c r="R243" i="1" s="1"/>
  <c r="K234" i="1" a="1"/>
  <c r="K234" i="1" s="1"/>
  <c r="J123" i="1" a="1"/>
  <c r="J123" i="1" s="1"/>
  <c r="P186" i="1" a="1"/>
  <c r="P186" i="1" s="1"/>
  <c r="B149" i="1" a="1"/>
  <c r="B149" i="1" s="1"/>
  <c r="C299" i="1" a="1"/>
  <c r="C299" i="1" s="1"/>
  <c r="G224" i="1" a="1"/>
  <c r="G224" i="1" s="1"/>
  <c r="O50" i="1" a="1"/>
  <c r="O50" i="1" s="1"/>
  <c r="E151" i="1" a="1"/>
  <c r="E151" i="1" s="1"/>
  <c r="O210" i="1" a="1"/>
  <c r="O210" i="1" s="1"/>
  <c r="I158" i="1" a="1"/>
  <c r="I158" i="1" s="1"/>
  <c r="G171" i="1" a="1"/>
  <c r="G171" i="1" s="1"/>
  <c r="D84" i="1" a="1"/>
  <c r="D84" i="1" s="1"/>
  <c r="H208" i="1" a="1"/>
  <c r="H208" i="1" s="1"/>
  <c r="E26" i="1" a="1"/>
  <c r="E26" i="1" s="1"/>
  <c r="R46" i="1" a="1"/>
  <c r="R46" i="1" s="1"/>
  <c r="K45" i="1" a="1"/>
  <c r="K45" i="1" s="1"/>
  <c r="D116" i="1" a="1"/>
  <c r="D116" i="1" s="1"/>
  <c r="P255" i="1" a="1"/>
  <c r="P255" i="1" s="1"/>
  <c r="O171" i="1" a="1"/>
  <c r="O171" i="1" s="1"/>
  <c r="D173" i="1" a="1"/>
  <c r="D173" i="1" s="1"/>
  <c r="N314" i="1" a="1"/>
  <c r="N314" i="1" s="1"/>
  <c r="B237" i="1" a="1"/>
  <c r="B237" i="1" s="1"/>
  <c r="K107" i="1" a="1"/>
  <c r="K107" i="1" s="1"/>
  <c r="E178" i="1" a="1"/>
  <c r="E178" i="1" s="1"/>
  <c r="E113" i="1" a="1"/>
  <c r="E113" i="1" s="1"/>
  <c r="G78" i="1" a="1"/>
  <c r="G78" i="1" s="1"/>
  <c r="J189" i="1" a="1"/>
  <c r="J189" i="1" s="1"/>
  <c r="G91" i="1" a="1"/>
  <c r="G91" i="1" s="1"/>
  <c r="R302" i="1" a="1"/>
  <c r="R302" i="1" s="1"/>
  <c r="Q221" i="1" a="1"/>
  <c r="Q221" i="1" s="1"/>
  <c r="K22" i="1" a="1"/>
  <c r="K22" i="1" s="1"/>
  <c r="L38" i="1" a="1"/>
  <c r="L38" i="1" s="1"/>
  <c r="K64" i="1" a="1"/>
  <c r="K64" i="1" s="1"/>
  <c r="I83" i="1" a="1"/>
  <c r="I83" i="1" s="1"/>
  <c r="F130" i="1" a="1"/>
  <c r="F130" i="1" s="1"/>
  <c r="J2" i="1" a="1"/>
  <c r="J2" i="1" s="1"/>
  <c r="E155" i="1" a="1"/>
  <c r="E155" i="1" s="1"/>
  <c r="Q120" i="1" a="1"/>
  <c r="Q120" i="1" s="1"/>
  <c r="D108" i="1" a="1"/>
  <c r="D108" i="1" s="1"/>
  <c r="M95" i="1" a="1"/>
  <c r="M95" i="1" s="1"/>
  <c r="K24" i="1" a="1"/>
  <c r="K24" i="1" s="1"/>
  <c r="G192" i="1" a="1"/>
  <c r="G192" i="1" s="1"/>
  <c r="O240" i="1" a="1"/>
  <c r="O240" i="1" s="1"/>
  <c r="K255" i="1" a="1"/>
  <c r="K255" i="1" s="1"/>
  <c r="H303" i="1" a="1"/>
  <c r="H303" i="1" s="1"/>
  <c r="O201" i="1" a="1"/>
  <c r="O201" i="1" s="1"/>
  <c r="L170" i="1" a="1"/>
  <c r="L170" i="1" s="1"/>
  <c r="B43" i="1" a="1"/>
  <c r="B43" i="1" s="1"/>
  <c r="B297" i="1" a="1"/>
  <c r="B297" i="1" s="1"/>
  <c r="P263" i="1" a="1"/>
  <c r="P263" i="1" s="1"/>
  <c r="L211" i="1" a="1"/>
  <c r="L211" i="1" s="1"/>
  <c r="N206" i="1" a="1"/>
  <c r="N206" i="1" s="1"/>
  <c r="J303" i="1" a="1"/>
  <c r="J303" i="1" s="1"/>
  <c r="O220" i="1" a="1"/>
  <c r="O220" i="1" s="1"/>
  <c r="K118" i="1" a="1"/>
  <c r="K118" i="1" s="1"/>
  <c r="E220" i="1" a="1"/>
  <c r="E220" i="1" s="1"/>
  <c r="J276" i="1" a="1"/>
  <c r="J276" i="1" s="1"/>
  <c r="O170" i="1" a="1"/>
  <c r="O170" i="1" s="1"/>
  <c r="R326" i="1" a="1"/>
  <c r="R326" i="1" s="1"/>
  <c r="J170" i="1" a="1"/>
  <c r="J170" i="1" s="1"/>
  <c r="R296" i="1" a="1"/>
  <c r="R296" i="1" s="1"/>
  <c r="B192" i="1" a="1"/>
  <c r="B192" i="1" s="1"/>
  <c r="L260" i="1" a="1"/>
  <c r="L260" i="1" s="1"/>
  <c r="K287" i="1" a="1"/>
  <c r="K287" i="1" s="1"/>
  <c r="E130" i="1" a="1"/>
  <c r="E130" i="1" s="1"/>
  <c r="N74" i="1" a="1"/>
  <c r="N74" i="1" s="1"/>
  <c r="Q125" i="1" a="1"/>
  <c r="Q125" i="1" s="1"/>
  <c r="D56" i="1" a="1"/>
  <c r="D56" i="1" s="1"/>
  <c r="F66" i="1" a="1"/>
  <c r="F66" i="1" s="1"/>
  <c r="O44" i="1" a="1"/>
  <c r="O44" i="1" s="1"/>
  <c r="L78" i="1" a="1"/>
  <c r="L78" i="1" s="1"/>
  <c r="Q220" i="1" a="1"/>
  <c r="Q220" i="1" s="1"/>
  <c r="K283" i="1" a="1"/>
  <c r="K283" i="1" s="1"/>
  <c r="E107" i="1" a="1"/>
  <c r="E107" i="1" s="1"/>
  <c r="L113" i="1" a="1"/>
  <c r="L113" i="1" s="1"/>
  <c r="P285" i="1" a="1"/>
  <c r="P285" i="1" s="1"/>
  <c r="I326" i="1" a="1"/>
  <c r="I326" i="1" s="1"/>
  <c r="J193" i="1" a="1"/>
  <c r="J193" i="1" s="1"/>
  <c r="B17" i="1" a="1"/>
  <c r="B17" i="1" s="1"/>
  <c r="E218" i="1" a="1"/>
  <c r="E218" i="1" s="1"/>
  <c r="N16" i="1" a="1"/>
  <c r="N16" i="1" s="1"/>
  <c r="R18" i="1" a="1"/>
  <c r="R18" i="1" s="1"/>
  <c r="H209" i="1" a="1"/>
  <c r="H209" i="1" s="1"/>
  <c r="Q178" i="1" a="1"/>
  <c r="Q178" i="1" s="1"/>
  <c r="F235" i="1" a="1"/>
  <c r="F235" i="1" s="1"/>
  <c r="P234" i="1" a="1"/>
  <c r="P234" i="1" s="1"/>
  <c r="D152" i="1" a="1"/>
  <c r="D152" i="1" s="1"/>
  <c r="I291" i="1" a="1"/>
  <c r="I291" i="1" s="1"/>
  <c r="R102" i="1" a="1"/>
  <c r="R102" i="1" s="1"/>
  <c r="M237" i="1" a="1"/>
  <c r="M237" i="1" s="1"/>
  <c r="E204" i="1" a="1"/>
  <c r="E204" i="1" s="1"/>
  <c r="P200" i="1" a="1"/>
  <c r="P200" i="1" s="1"/>
  <c r="J257" i="1" a="1"/>
  <c r="J257" i="1" s="1"/>
  <c r="B161" i="1" a="1"/>
  <c r="B161" i="1" s="1"/>
  <c r="L35" i="1" a="1"/>
  <c r="L35" i="1" s="1"/>
  <c r="L129" i="1" a="1"/>
  <c r="L129" i="1" s="1"/>
  <c r="I54" i="1" a="1"/>
  <c r="I54" i="1" s="1"/>
  <c r="R85" i="1" a="1"/>
  <c r="R85" i="1" s="1"/>
  <c r="P72" i="1" a="1"/>
  <c r="P72" i="1" s="1"/>
  <c r="R99" i="1" a="1"/>
  <c r="R99" i="1" s="1"/>
  <c r="Q198" i="1" a="1"/>
  <c r="Q198" i="1" s="1"/>
  <c r="O288" i="1" a="1"/>
  <c r="O288" i="1" s="1"/>
  <c r="J72" i="1" a="1"/>
  <c r="J72" i="1" s="1"/>
  <c r="C37" i="1" a="1"/>
  <c r="C37" i="1" s="1"/>
  <c r="N32" i="1" a="1"/>
  <c r="N32" i="1" s="1"/>
  <c r="C325" i="1" a="1"/>
  <c r="C325" i="1" s="1"/>
  <c r="H175" i="1" a="1"/>
  <c r="H175" i="1" s="1"/>
  <c r="I251" i="1" a="1"/>
  <c r="I251" i="1" s="1"/>
  <c r="B144" i="1" a="1"/>
  <c r="B144" i="1" s="1"/>
  <c r="C327" i="1" a="1"/>
  <c r="C327" i="1" s="1"/>
  <c r="I147" i="1" a="1"/>
  <c r="I147" i="1" s="1"/>
  <c r="I243" i="1" a="1"/>
  <c r="I243" i="1" s="1"/>
  <c r="K248" i="1" a="1"/>
  <c r="K248" i="1" s="1"/>
  <c r="K321" i="1" a="1"/>
  <c r="K321" i="1" s="1"/>
  <c r="I260" i="1" a="1"/>
  <c r="I260" i="1" s="1"/>
  <c r="C228" i="1" a="1"/>
  <c r="C228" i="1" s="1"/>
  <c r="L270" i="1" a="1"/>
  <c r="L270" i="1" s="1"/>
  <c r="C12" i="1" a="1"/>
  <c r="C12" i="1" s="1"/>
  <c r="I246" i="1" a="1"/>
  <c r="I246" i="1" s="1"/>
  <c r="L151" i="1" a="1"/>
  <c r="L151" i="1" s="1"/>
  <c r="G189" i="1" a="1"/>
  <c r="G189" i="1" s="1"/>
  <c r="M47" i="1" a="1"/>
  <c r="M47" i="1" s="1"/>
  <c r="C74" i="1" a="1"/>
  <c r="C74" i="1" s="1"/>
  <c r="N112" i="1" a="1"/>
  <c r="N112" i="1" s="1"/>
  <c r="G62" i="1" a="1"/>
  <c r="G62" i="1" s="1"/>
  <c r="E175" i="1" a="1"/>
  <c r="E175" i="1" s="1"/>
  <c r="J222" i="1" a="1"/>
  <c r="J222" i="1" s="1"/>
  <c r="O154" i="1" a="1"/>
  <c r="O154" i="1" s="1"/>
  <c r="L178" i="1" a="1"/>
  <c r="L178" i="1" s="1"/>
  <c r="P214" i="1" a="1"/>
  <c r="P214" i="1" s="1"/>
  <c r="C209" i="1" a="1"/>
  <c r="C209" i="1" s="1"/>
  <c r="M258" i="1" a="1"/>
  <c r="M258" i="1" s="1"/>
  <c r="P172" i="1" a="1"/>
  <c r="P172" i="1" s="1"/>
  <c r="K161" i="1" a="1"/>
  <c r="K161" i="1" s="1"/>
  <c r="J185" i="1" a="1"/>
  <c r="J185" i="1" s="1"/>
  <c r="M257" i="1" a="1"/>
  <c r="M257" i="1" s="1"/>
  <c r="J280" i="1" a="1"/>
  <c r="J280" i="1" s="1"/>
  <c r="P7" i="1" a="1"/>
  <c r="P7" i="1" s="1"/>
  <c r="P165" i="1" a="1"/>
  <c r="P165" i="1" s="1"/>
  <c r="E25" i="1" a="1"/>
  <c r="E25" i="1" s="1"/>
  <c r="P114" i="1" a="1"/>
  <c r="P114" i="1" s="1"/>
  <c r="I262" i="1" a="1"/>
  <c r="I262" i="1" s="1"/>
  <c r="L312" i="1" a="1"/>
  <c r="L312" i="1" s="1"/>
  <c r="H19" i="1" a="1"/>
  <c r="H19" i="1" s="1"/>
  <c r="F42" i="1" a="1"/>
  <c r="F42" i="1" s="1"/>
  <c r="C172" i="1" a="1"/>
  <c r="C172" i="1" s="1"/>
  <c r="C224" i="1" a="1"/>
  <c r="C224" i="1" s="1"/>
  <c r="E253" i="1" a="1"/>
  <c r="E253" i="1" s="1"/>
  <c r="I138" i="1" a="1"/>
  <c r="I138" i="1" s="1"/>
  <c r="H6" i="1" a="1"/>
  <c r="H6" i="1" s="1"/>
  <c r="G173" i="1" a="1"/>
  <c r="G173" i="1" s="1"/>
  <c r="O202" i="1" a="1"/>
  <c r="O202" i="1" s="1"/>
  <c r="K180" i="1" a="1"/>
  <c r="K180" i="1" s="1"/>
  <c r="G103" i="1" a="1"/>
  <c r="G103" i="1" s="1"/>
  <c r="H174" i="1" a="1"/>
  <c r="H174" i="1" s="1"/>
  <c r="F84" i="1" a="1"/>
  <c r="F84" i="1" s="1"/>
  <c r="Q163" i="1" a="1"/>
  <c r="Q163" i="1" s="1"/>
  <c r="I180" i="1" a="1"/>
  <c r="I180" i="1" s="1"/>
  <c r="F124" i="1" a="1"/>
  <c r="F124" i="1" s="1"/>
  <c r="I43" i="1" a="1"/>
  <c r="I43" i="1" s="1"/>
  <c r="I145" i="1" a="1"/>
  <c r="I145" i="1" s="1"/>
  <c r="O290" i="1" a="1"/>
  <c r="O290" i="1" s="1"/>
  <c r="I39" i="1" a="1"/>
  <c r="I39" i="1" s="1"/>
  <c r="H100" i="1" a="1"/>
  <c r="H100" i="1" s="1"/>
  <c r="D188" i="1" a="1"/>
  <c r="D188" i="1" s="1"/>
  <c r="R319" i="1" a="1"/>
  <c r="R319" i="1" s="1"/>
  <c r="J109" i="1" a="1"/>
  <c r="J109" i="1" s="1"/>
  <c r="N82" i="1" a="1"/>
  <c r="N82" i="1" s="1"/>
  <c r="N118" i="1" a="1"/>
  <c r="N118" i="1" s="1"/>
  <c r="C294" i="1" a="1"/>
  <c r="C294" i="1" s="1"/>
  <c r="C216" i="1" a="1"/>
  <c r="C216" i="1" s="1"/>
  <c r="F170" i="1" a="1"/>
  <c r="F170" i="1" s="1"/>
  <c r="Q77" i="1" a="1"/>
  <c r="Q77" i="1" s="1"/>
  <c r="J147" i="1" a="1"/>
  <c r="J147" i="1" s="1"/>
  <c r="H228" i="1" a="1"/>
  <c r="H228" i="1" s="1"/>
  <c r="O274" i="1" a="1"/>
  <c r="O274" i="1" s="1"/>
  <c r="K84" i="1" a="1"/>
  <c r="K84" i="1" s="1"/>
  <c r="Q311" i="1" a="1"/>
  <c r="Q311" i="1" s="1"/>
  <c r="I81" i="1" a="1"/>
  <c r="I81" i="1" s="1"/>
  <c r="L223" i="1" a="1"/>
  <c r="L223" i="1" s="1"/>
  <c r="K327" i="1" a="1"/>
  <c r="K327" i="1" s="1"/>
  <c r="F8" i="1" a="1"/>
  <c r="F8" i="1" s="1"/>
  <c r="O125" i="1" a="1"/>
  <c r="O125" i="1" s="1"/>
  <c r="D303" i="1" a="1"/>
  <c r="D303" i="1" s="1"/>
  <c r="I151" i="1" a="1"/>
  <c r="I151" i="1" s="1"/>
  <c r="B104" i="1" a="1"/>
  <c r="B104" i="1" s="1"/>
  <c r="L187" i="1" a="1"/>
  <c r="L187" i="1" s="1"/>
  <c r="Q296" i="1" a="1"/>
  <c r="Q296" i="1" s="1"/>
  <c r="F179" i="1" a="1"/>
  <c r="F179" i="1" s="1"/>
  <c r="G104" i="1" a="1"/>
  <c r="G104" i="1" s="1"/>
  <c r="F241" i="1" a="1"/>
  <c r="F241" i="1" s="1"/>
  <c r="O283" i="1" a="1"/>
  <c r="O283" i="1" s="1"/>
  <c r="J301" i="1" a="1"/>
  <c r="J301" i="1" s="1"/>
  <c r="P269" i="1" a="1"/>
  <c r="P269" i="1" s="1"/>
  <c r="P324" i="1" a="1"/>
  <c r="P324" i="1" s="1"/>
  <c r="K116" i="1" a="1"/>
  <c r="K116" i="1" s="1"/>
  <c r="N64" i="1" a="1"/>
  <c r="N64" i="1" s="1"/>
  <c r="I65" i="1" a="1"/>
  <c r="I65" i="1" s="1"/>
  <c r="R42" i="1" a="1"/>
  <c r="R42" i="1" s="1"/>
  <c r="C223" i="1" a="1"/>
  <c r="C223" i="1" s="1"/>
  <c r="B174" i="1" a="1"/>
  <c r="B174" i="1" s="1"/>
  <c r="K113" i="1" a="1"/>
  <c r="K113" i="1" s="1"/>
  <c r="M142" i="1" a="1"/>
  <c r="M142" i="1" s="1"/>
  <c r="L217" i="1" a="1"/>
  <c r="L217" i="1" s="1"/>
  <c r="L64" i="1" a="1"/>
  <c r="L64" i="1" s="1"/>
  <c r="J88" i="1" a="1"/>
  <c r="J88" i="1" s="1"/>
  <c r="J32" i="1" a="1"/>
  <c r="J32" i="1" s="1"/>
  <c r="B269" i="1" a="1"/>
  <c r="B269" i="1" s="1"/>
  <c r="F185" i="1" a="1"/>
  <c r="F185" i="1" s="1"/>
  <c r="I189" i="1" a="1"/>
  <c r="I189" i="1" s="1"/>
  <c r="C177" i="1" a="1"/>
  <c r="C177" i="1" s="1"/>
  <c r="C266" i="1" a="1"/>
  <c r="C266" i="1" s="1"/>
  <c r="N137" i="1" a="1"/>
  <c r="N137" i="1" s="1"/>
  <c r="N301" i="1" a="1"/>
  <c r="N301" i="1" s="1"/>
  <c r="L326" i="1" a="1"/>
  <c r="L326" i="1" s="1"/>
  <c r="D159" i="1" a="1"/>
  <c r="D159" i="1" s="1"/>
  <c r="C81" i="1" a="1"/>
  <c r="C81" i="1" s="1"/>
  <c r="G114" i="1" a="1"/>
  <c r="G114" i="1" s="1"/>
  <c r="H314" i="1" a="1"/>
  <c r="H314" i="1" s="1"/>
  <c r="J327" i="1" a="1"/>
  <c r="J327" i="1" s="1"/>
  <c r="G141" i="1" a="1"/>
  <c r="G141" i="1" s="1"/>
  <c r="L258" i="1" a="1"/>
  <c r="L258" i="1" s="1"/>
  <c r="I257" i="1" a="1"/>
  <c r="I257" i="1" s="1"/>
  <c r="H280" i="1" a="1"/>
  <c r="H280" i="1" s="1"/>
  <c r="K164" i="1" a="1"/>
  <c r="K164" i="1" s="1"/>
  <c r="F114" i="1" a="1"/>
  <c r="F114" i="1" s="1"/>
  <c r="F305" i="1" a="1"/>
  <c r="F305" i="1" s="1"/>
  <c r="C207" i="1" a="1"/>
  <c r="C207" i="1" s="1"/>
  <c r="L32" i="1" a="1"/>
  <c r="L32" i="1" s="1"/>
  <c r="R291" i="1" a="1"/>
  <c r="R291" i="1" s="1"/>
  <c r="H285" i="1" a="1"/>
  <c r="H285" i="1" s="1"/>
  <c r="E53" i="1" a="1"/>
  <c r="E53" i="1" s="1"/>
  <c r="Q293" i="1" a="1"/>
  <c r="Q293" i="1" s="1"/>
  <c r="G86" i="1" a="1"/>
  <c r="G86" i="1" s="1"/>
  <c r="F79" i="1" a="1"/>
  <c r="F79" i="1" s="1"/>
  <c r="M77" i="1" a="1"/>
  <c r="M77" i="1" s="1"/>
  <c r="C305" i="1" a="1"/>
  <c r="C305" i="1" s="1"/>
  <c r="C206" i="1" a="1"/>
  <c r="C206" i="1" s="1"/>
  <c r="B208" i="1" a="1"/>
  <c r="B208" i="1" s="1"/>
  <c r="C107" i="1" a="1"/>
  <c r="C107" i="1" s="1"/>
  <c r="P305" i="1" a="1"/>
  <c r="P305" i="1" s="1"/>
  <c r="I196" i="1" a="1"/>
  <c r="I196" i="1" s="1"/>
  <c r="R103" i="1" a="1"/>
  <c r="R103" i="1" s="1"/>
  <c r="H163" i="1" a="1"/>
  <c r="H163" i="1" s="1"/>
  <c r="O322" i="1" a="1"/>
  <c r="O322" i="1" s="1"/>
  <c r="C199" i="1" a="1"/>
  <c r="C199" i="1" s="1"/>
  <c r="R227" i="1" a="1"/>
  <c r="R227" i="1" s="1"/>
  <c r="J264" i="1" a="1"/>
  <c r="J264" i="1" s="1"/>
  <c r="H47" i="1" a="1"/>
  <c r="H47" i="1" s="1"/>
  <c r="G215" i="1" a="1"/>
  <c r="G215" i="1" s="1"/>
  <c r="J79" i="1" a="1"/>
  <c r="J79" i="1" s="1"/>
  <c r="G121" i="1" a="1"/>
  <c r="G121" i="1" s="1"/>
  <c r="G179" i="1" a="1"/>
  <c r="G179" i="1" s="1"/>
  <c r="I181" i="1" a="1"/>
  <c r="I181" i="1" s="1"/>
  <c r="P188" i="1" a="1"/>
  <c r="P188" i="1" s="1"/>
  <c r="E201" i="1" a="1"/>
  <c r="E201" i="1" s="1"/>
  <c r="E145" i="1" a="1"/>
  <c r="E145" i="1" s="1"/>
  <c r="D252" i="1" a="1"/>
  <c r="D252" i="1" s="1"/>
  <c r="J155" i="1" a="1"/>
  <c r="J155" i="1" s="1"/>
  <c r="P222" i="1" a="1"/>
  <c r="P222" i="1" s="1"/>
  <c r="P126" i="1" a="1"/>
  <c r="P126" i="1" s="1"/>
  <c r="L242" i="1" a="1"/>
  <c r="L242" i="1" s="1"/>
  <c r="N95" i="1" a="1"/>
  <c r="N95" i="1" s="1"/>
  <c r="M254" i="1" a="1"/>
  <c r="M254" i="1" s="1"/>
  <c r="J53" i="1" a="1"/>
  <c r="J53" i="1" s="1"/>
  <c r="R98" i="1" a="1"/>
  <c r="R98" i="1" s="1"/>
  <c r="L224" i="1" a="1"/>
  <c r="L224" i="1" s="1"/>
  <c r="B11" i="1" a="1"/>
  <c r="B11" i="1" s="1"/>
  <c r="R183" i="1" a="1"/>
  <c r="R183" i="1" s="1"/>
  <c r="B227" i="1" a="1"/>
  <c r="B227" i="1" s="1"/>
  <c r="K89" i="1" a="1"/>
  <c r="K89" i="1" s="1"/>
  <c r="G292" i="1" a="1"/>
  <c r="G292" i="1" s="1"/>
  <c r="L107" i="1" a="1"/>
  <c r="L107" i="1" s="1"/>
  <c r="F245" i="1" a="1"/>
  <c r="F245" i="1" s="1"/>
  <c r="J295" i="1" a="1"/>
  <c r="J295" i="1" s="1"/>
  <c r="P61" i="1" a="1"/>
  <c r="P61" i="1" s="1"/>
  <c r="F202" i="1" a="1"/>
  <c r="F202" i="1" s="1"/>
  <c r="F41" i="1" a="1"/>
  <c r="F41" i="1" s="1"/>
  <c r="G265" i="1" a="1"/>
  <c r="G265" i="1" s="1"/>
  <c r="J143" i="1" a="1"/>
  <c r="J143" i="1" s="1"/>
  <c r="E297" i="1" a="1"/>
  <c r="E297" i="1" s="1"/>
  <c r="C287" i="1" a="1"/>
  <c r="C287" i="1" s="1"/>
  <c r="E276" i="1" a="1"/>
  <c r="E276" i="1" s="1"/>
  <c r="D288" i="1" a="1"/>
  <c r="D288" i="1" s="1"/>
  <c r="K27" i="1" a="1"/>
  <c r="K27" i="1" s="1"/>
  <c r="J227" i="1" a="1"/>
  <c r="J227" i="1" s="1"/>
  <c r="J267" i="1" a="1"/>
  <c r="J267" i="1" s="1"/>
  <c r="P319" i="1" a="1"/>
  <c r="P319" i="1" s="1"/>
  <c r="B180" i="1" a="1"/>
  <c r="B180" i="1" s="1"/>
  <c r="P129" i="1" a="1"/>
  <c r="P129" i="1" s="1"/>
  <c r="M11" i="1" a="1"/>
  <c r="M11" i="1" s="1"/>
  <c r="B171" i="1" a="1"/>
  <c r="B171" i="1" s="1"/>
  <c r="N125" i="1" a="1"/>
  <c r="N125" i="1" s="1"/>
  <c r="L52" i="1" a="1"/>
  <c r="L52" i="1" s="1"/>
  <c r="G133" i="1" a="1"/>
  <c r="G133" i="1" s="1"/>
  <c r="C295" i="1" a="1"/>
  <c r="C295" i="1" s="1"/>
  <c r="C128" i="1" a="1"/>
  <c r="C128" i="1" s="1"/>
  <c r="C318" i="1" a="1"/>
  <c r="C318" i="1" s="1"/>
  <c r="G169" i="1" a="1"/>
  <c r="G169" i="1" s="1"/>
  <c r="J29" i="1" a="1"/>
  <c r="J29" i="1" s="1"/>
  <c r="R145" i="1" a="1"/>
  <c r="R145" i="1" s="1"/>
  <c r="D306" i="1" a="1"/>
  <c r="D306" i="1" s="1"/>
  <c r="R74" i="1" a="1"/>
  <c r="R74" i="1" s="1"/>
  <c r="L327" i="1" a="1"/>
  <c r="L327" i="1" s="1"/>
  <c r="Q19" i="1" a="1"/>
  <c r="Q19" i="1" s="1"/>
  <c r="E141" i="1" a="1"/>
  <c r="E141" i="1" s="1"/>
  <c r="P85" i="1" a="1"/>
  <c r="P85" i="1" s="1"/>
  <c r="C138" i="1" a="1"/>
  <c r="C138" i="1" s="1"/>
  <c r="H120" i="1" a="1"/>
  <c r="H120" i="1" s="1"/>
  <c r="K10" i="1" a="1"/>
  <c r="K10" i="1" s="1"/>
  <c r="I118" i="1" a="1"/>
  <c r="I118" i="1" s="1"/>
  <c r="F45" i="1" a="1"/>
  <c r="F45" i="1" s="1"/>
  <c r="N280" i="1" a="1"/>
  <c r="N280" i="1" s="1"/>
  <c r="D243" i="1" a="1"/>
  <c r="D243" i="1" s="1"/>
  <c r="O4" i="1" a="1"/>
  <c r="O4" i="1" s="1"/>
  <c r="C255" i="1" a="1"/>
  <c r="C255" i="1" s="1"/>
  <c r="K218" i="1" a="1"/>
  <c r="K218" i="1" s="1"/>
  <c r="Q267" i="1" a="1"/>
  <c r="Q267" i="1" s="1"/>
  <c r="J8" i="1" a="1"/>
  <c r="J8" i="1" s="1"/>
  <c r="G270" i="1" a="1"/>
  <c r="G270" i="1" s="1"/>
  <c r="R125" i="1" a="1"/>
  <c r="R125" i="1" s="1"/>
  <c r="J71" i="1" a="1"/>
  <c r="J71" i="1" s="1"/>
  <c r="L142" i="1" a="1"/>
  <c r="L142" i="1" s="1"/>
  <c r="K36" i="1" a="1"/>
  <c r="K36" i="1" s="1"/>
  <c r="N140" i="1" a="1"/>
  <c r="N140" i="1" s="1"/>
  <c r="L177" i="1" a="1"/>
  <c r="L177" i="1" s="1"/>
  <c r="J13" i="1" a="1"/>
  <c r="J13" i="1" s="1"/>
  <c r="H10" i="1" a="1"/>
  <c r="H10" i="1" s="1"/>
  <c r="I186" i="1" a="1"/>
  <c r="I186" i="1" s="1"/>
  <c r="O17" i="1" a="1"/>
  <c r="O17" i="1" s="1"/>
  <c r="B239" i="1" a="1"/>
  <c r="B239" i="1" s="1"/>
  <c r="I204" i="1" a="1"/>
  <c r="I204" i="1" s="1"/>
  <c r="J69" i="1" a="1"/>
  <c r="J69" i="1" s="1"/>
  <c r="N184" i="1" a="1"/>
  <c r="N184" i="1" s="1"/>
  <c r="B322" i="1" a="1"/>
  <c r="B322" i="1" s="1"/>
  <c r="J160" i="1" a="1"/>
  <c r="J160" i="1" s="1"/>
  <c r="L108" i="1" a="1"/>
  <c r="L108" i="1" s="1"/>
  <c r="M104" i="1" a="1"/>
  <c r="M104" i="1" s="1"/>
  <c r="F314" i="1" a="1"/>
  <c r="F314" i="1" s="1"/>
  <c r="M274" i="1" a="1"/>
  <c r="M274" i="1" s="1"/>
  <c r="K144" i="1" a="1"/>
  <c r="K144" i="1" s="1"/>
  <c r="F230" i="1" a="1"/>
  <c r="F230" i="1" s="1"/>
  <c r="F297" i="1" a="1"/>
  <c r="F297" i="1" s="1"/>
  <c r="F68" i="1" a="1"/>
  <c r="F68" i="1" s="1"/>
  <c r="R178" i="1" a="1"/>
  <c r="R178" i="1" s="1"/>
  <c r="K296" i="1" a="1"/>
  <c r="K296" i="1" s="1"/>
  <c r="D73" i="1" a="1"/>
  <c r="D73" i="1" s="1"/>
  <c r="D5" i="1" a="1"/>
  <c r="D5" i="1" s="1"/>
  <c r="O273" i="1" a="1"/>
  <c r="O273" i="1" s="1"/>
  <c r="L92" i="1" a="1"/>
  <c r="L92" i="1" s="1"/>
  <c r="C99" i="1" a="1"/>
  <c r="C99" i="1" s="1"/>
  <c r="D124" i="1" a="1"/>
  <c r="D124" i="1" s="1"/>
  <c r="D103" i="1" a="1"/>
  <c r="D103" i="1" s="1"/>
  <c r="J231" i="1" a="1"/>
  <c r="J231" i="1" s="1"/>
  <c r="I195" i="1" a="1"/>
  <c r="I195" i="1" s="1"/>
  <c r="Q303" i="1" a="1"/>
  <c r="Q303" i="1" s="1"/>
  <c r="K263" i="1" a="1"/>
  <c r="K263" i="1" s="1"/>
  <c r="H67" i="1" a="1"/>
  <c r="H67" i="1" s="1"/>
  <c r="P322" i="1" a="1"/>
  <c r="P322" i="1" s="1"/>
  <c r="M187" i="1" a="1"/>
  <c r="M187" i="1" s="1"/>
  <c r="D104" i="1" a="1"/>
  <c r="D104" i="1" s="1"/>
  <c r="L241" i="1" a="1"/>
  <c r="L241" i="1" s="1"/>
  <c r="K93" i="1" a="1"/>
  <c r="K93" i="1" s="1"/>
  <c r="D145" i="1" a="1"/>
  <c r="D145" i="1" s="1"/>
  <c r="O109" i="1" a="1"/>
  <c r="O109" i="1" s="1"/>
  <c r="H16" i="1" a="1"/>
  <c r="H16" i="1" s="1"/>
  <c r="R8" i="1" a="1"/>
  <c r="R8" i="1" s="1"/>
  <c r="D161" i="1" a="1"/>
  <c r="D161" i="1" s="1"/>
  <c r="H53" i="1" a="1"/>
  <c r="H53" i="1" s="1"/>
  <c r="I290" i="1" a="1"/>
  <c r="I290" i="1" s="1"/>
  <c r="F81" i="1" a="1"/>
  <c r="F81" i="1" s="1"/>
  <c r="C90" i="1" a="1"/>
  <c r="C90" i="1" s="1"/>
  <c r="H122" i="1" a="1"/>
  <c r="H122" i="1" s="1"/>
  <c r="F120" i="1" a="1"/>
  <c r="F120" i="1" s="1"/>
  <c r="F228" i="1" a="1"/>
  <c r="F228" i="1" s="1"/>
  <c r="M118" i="1" a="1"/>
  <c r="M118" i="1" s="1"/>
  <c r="F217" i="1" a="1"/>
  <c r="F217" i="1" s="1"/>
  <c r="D42" i="1" a="1"/>
  <c r="D42" i="1" s="1"/>
  <c r="P23" i="1" a="1"/>
  <c r="P23" i="1" s="1"/>
  <c r="R285" i="1" a="1"/>
  <c r="R285" i="1" s="1"/>
  <c r="C215" i="1" a="1"/>
  <c r="C215" i="1" s="1"/>
  <c r="K6" i="1" a="1"/>
  <c r="K6" i="1" s="1"/>
  <c r="J305" i="1" a="1"/>
  <c r="J305" i="1" s="1"/>
  <c r="Q183" i="1" a="1"/>
  <c r="Q183" i="1" s="1"/>
  <c r="N13" i="1" a="1"/>
  <c r="N13" i="1" s="1"/>
  <c r="R288" i="1" a="1"/>
  <c r="R288" i="1" s="1"/>
  <c r="K216" i="1" a="1"/>
  <c r="K216" i="1" s="1"/>
  <c r="O256" i="1" a="1"/>
  <c r="O256" i="1" s="1"/>
  <c r="F291" i="1" a="1"/>
  <c r="F291" i="1" s="1"/>
  <c r="E7" i="1" a="1"/>
  <c r="E7" i="1" s="1"/>
  <c r="F204" i="1" a="1"/>
  <c r="F204" i="1" s="1"/>
  <c r="M318" i="1" a="1"/>
  <c r="M318" i="1" s="1"/>
  <c r="H103" i="1" a="1"/>
  <c r="H103" i="1" s="1"/>
  <c r="E134" i="1" a="1"/>
  <c r="E134" i="1" s="1"/>
  <c r="I146" i="1" a="1"/>
  <c r="I146" i="1" s="1"/>
  <c r="D68" i="1" a="1"/>
  <c r="D68" i="1" s="1"/>
  <c r="F319" i="1" a="1"/>
  <c r="F319" i="1" s="1"/>
  <c r="P277" i="1" a="1"/>
  <c r="P277" i="1" s="1"/>
  <c r="B252" i="1" a="1"/>
  <c r="B252" i="1" s="1"/>
  <c r="P19" i="1" a="1"/>
  <c r="P19" i="1" s="1"/>
  <c r="E229" i="1" a="1"/>
  <c r="E229" i="1" s="1"/>
  <c r="N98" i="1" a="1"/>
  <c r="N98" i="1" s="1"/>
  <c r="Q274" i="1" a="1"/>
  <c r="Q274" i="1" s="1"/>
  <c r="C62" i="1" a="1"/>
  <c r="C62" i="1" s="1"/>
  <c r="F262" i="1" a="1"/>
  <c r="F262" i="1" s="1"/>
  <c r="H212" i="1" a="1"/>
  <c r="H212" i="1" s="1"/>
  <c r="F288" i="1" a="1"/>
  <c r="F288" i="1" s="1"/>
  <c r="M85" i="1" a="1"/>
  <c r="M85" i="1" s="1"/>
  <c r="H22" i="1" a="1"/>
  <c r="H22" i="1" s="1"/>
  <c r="B13" i="1" a="1"/>
  <c r="B13" i="1" s="1"/>
  <c r="R283" i="1" a="1"/>
  <c r="R283" i="1" s="1"/>
  <c r="P64" i="1" a="1"/>
  <c r="P64" i="1" s="1"/>
  <c r="P195" i="1" a="1"/>
  <c r="P195" i="1" s="1"/>
  <c r="E254" i="1" a="1"/>
  <c r="E254" i="1" s="1"/>
  <c r="R244" i="1" a="1"/>
  <c r="R244" i="1" s="1"/>
  <c r="K78" i="1" a="1"/>
  <c r="K78" i="1" s="1"/>
  <c r="L218" i="1" a="1"/>
  <c r="L218" i="1" s="1"/>
  <c r="D75" i="1" a="1"/>
  <c r="D75" i="1" s="1"/>
  <c r="J131" i="1" a="1"/>
  <c r="J131" i="1" s="1"/>
  <c r="O246" i="1" a="1"/>
  <c r="O246" i="1" s="1"/>
  <c r="B141" i="1" a="1"/>
  <c r="B141" i="1" s="1"/>
  <c r="R140" i="1" a="1"/>
  <c r="R140" i="1" s="1"/>
  <c r="Q217" i="1" a="1"/>
  <c r="Q217" i="1" s="1"/>
  <c r="C70" i="1" a="1"/>
  <c r="C70" i="1" s="1"/>
  <c r="O293" i="1" a="1"/>
  <c r="O293" i="1" s="1"/>
  <c r="B188" i="1" a="1"/>
  <c r="B188" i="1" s="1"/>
  <c r="E148" i="1" a="1"/>
  <c r="E148" i="1" s="1"/>
  <c r="J164" i="1" a="1"/>
  <c r="J164" i="1" s="1"/>
  <c r="G321" i="1" a="1"/>
  <c r="G321" i="1" s="1"/>
  <c r="Q69" i="1" a="1"/>
  <c r="Q69" i="1" s="1"/>
  <c r="Q262" i="1" a="1"/>
  <c r="Q262" i="1" s="1"/>
  <c r="I212" i="1" a="1"/>
  <c r="I212" i="1" s="1"/>
  <c r="Q103" i="1" a="1"/>
  <c r="Q103" i="1" s="1"/>
  <c r="I279" i="1" a="1"/>
  <c r="I279" i="1" s="1"/>
  <c r="E270" i="1" a="1"/>
  <c r="E270" i="1" s="1"/>
  <c r="D111" i="1" a="1"/>
  <c r="D111" i="1" s="1"/>
  <c r="C8" i="1" a="1"/>
  <c r="C8" i="1" s="1"/>
  <c r="E54" i="1" a="1"/>
  <c r="E54" i="1" s="1"/>
  <c r="J238" i="1" a="1"/>
  <c r="J238" i="1" s="1"/>
  <c r="J127" i="1" a="1"/>
  <c r="J127" i="1" s="1"/>
  <c r="H243" i="1" a="1"/>
  <c r="H243" i="1" s="1"/>
  <c r="N154" i="1" a="1"/>
  <c r="N154" i="1" s="1"/>
  <c r="Q196" i="1" a="1"/>
  <c r="Q196" i="1" s="1"/>
  <c r="R174" i="1" a="1"/>
  <c r="R174" i="1" s="1"/>
  <c r="B154" i="1" a="1"/>
  <c r="B154" i="1" s="1"/>
  <c r="D156" i="1" a="1"/>
  <c r="D156" i="1" s="1"/>
  <c r="G172" i="1" a="1"/>
  <c r="G172" i="1" s="1"/>
  <c r="G61" i="1" a="1"/>
  <c r="G61" i="1" s="1"/>
  <c r="D319" i="1" a="1"/>
  <c r="D319" i="1" s="1"/>
  <c r="P241" i="1" a="1"/>
  <c r="P241" i="1" s="1"/>
  <c r="K196" i="1" a="1"/>
  <c r="K196" i="1" s="1"/>
  <c r="P92" i="1" a="1"/>
  <c r="P92" i="1" s="1"/>
  <c r="O15" i="1" a="1"/>
  <c r="O15" i="1" s="1"/>
  <c r="C167" i="1" a="1"/>
  <c r="C167" i="1" s="1"/>
  <c r="L247" i="1" a="1"/>
  <c r="L247" i="1" s="1"/>
  <c r="E264" i="1" a="1"/>
  <c r="E264" i="1" s="1"/>
  <c r="D204" i="1" a="1"/>
  <c r="D204" i="1" s="1"/>
  <c r="N205" i="1" a="1"/>
  <c r="N205" i="1" s="1"/>
  <c r="J246" i="1" a="1"/>
  <c r="J246" i="1" s="1"/>
  <c r="H136" i="1" a="1"/>
  <c r="H136" i="1" s="1"/>
  <c r="F313" i="1" a="1"/>
  <c r="F313" i="1" s="1"/>
  <c r="I232" i="1" a="1"/>
  <c r="I232" i="1" s="1"/>
  <c r="H45" i="1" a="1"/>
  <c r="H45" i="1" s="1"/>
  <c r="F295" i="1" a="1"/>
  <c r="F295" i="1" s="1"/>
  <c r="G11" i="1" a="1"/>
  <c r="G11" i="1" s="1"/>
  <c r="D128" i="1" a="1"/>
  <c r="D128" i="1" s="1"/>
  <c r="O6" i="1" a="1"/>
  <c r="O6" i="1" s="1"/>
  <c r="Q164" i="1" a="1"/>
  <c r="Q164" i="1" s="1"/>
  <c r="F3" i="1" a="1"/>
  <c r="F3" i="1" s="1"/>
  <c r="C312" i="1" a="1"/>
  <c r="C312" i="1" s="1"/>
  <c r="M109" i="1" a="1"/>
  <c r="M109" i="1" s="1"/>
  <c r="I288" i="1" a="1"/>
  <c r="I288" i="1" s="1"/>
  <c r="I99" i="1" a="1"/>
  <c r="I99" i="1" s="1"/>
  <c r="C252" i="1" a="1"/>
  <c r="C252" i="1" s="1"/>
  <c r="D133" i="1" a="1"/>
  <c r="D133" i="1" s="1"/>
  <c r="Q151" i="1" a="1"/>
  <c r="Q151" i="1" s="1"/>
  <c r="J96" i="1" a="1"/>
  <c r="J96" i="1" s="1"/>
  <c r="L289" i="1" a="1"/>
  <c r="L289" i="1" s="1"/>
  <c r="Q27" i="1" a="1"/>
  <c r="Q27" i="1" s="1"/>
  <c r="E8" i="1" a="1"/>
  <c r="E8" i="1" s="1"/>
  <c r="B5" i="1" a="1"/>
  <c r="B5" i="1" s="1"/>
  <c r="R92" i="1" a="1"/>
  <c r="R92" i="1" s="1"/>
  <c r="R67" i="1" a="1"/>
  <c r="R67" i="1" s="1"/>
  <c r="D168" i="1" a="1"/>
  <c r="D168" i="1" s="1"/>
  <c r="P223" i="1" a="1"/>
  <c r="P223" i="1" s="1"/>
  <c r="D248" i="1" a="1"/>
  <c r="D248" i="1" s="1"/>
  <c r="I263" i="1" a="1"/>
  <c r="I263" i="1" s="1"/>
  <c r="H251" i="1" a="1"/>
  <c r="H251" i="1" s="1"/>
  <c r="G49" i="1" a="1"/>
  <c r="G49" i="1" s="1"/>
  <c r="I78" i="1" a="1"/>
  <c r="I78" i="1" s="1"/>
  <c r="R197" i="1" a="1"/>
  <c r="R197" i="1" s="1"/>
  <c r="O115" i="1" a="1"/>
  <c r="O115" i="1" s="1"/>
  <c r="D132" i="1" a="1"/>
  <c r="D132" i="1" s="1"/>
  <c r="O26" i="1" a="1"/>
  <c r="O26" i="1" s="1"/>
  <c r="L162" i="1" a="1"/>
  <c r="L162" i="1" s="1"/>
  <c r="H184" i="1" a="1"/>
  <c r="H184" i="1" s="1"/>
  <c r="H235" i="1" a="1"/>
  <c r="H235" i="1" s="1"/>
  <c r="L309" i="1" a="1"/>
  <c r="L309" i="1" s="1"/>
  <c r="N228" i="1" a="1"/>
  <c r="N228" i="1" s="1"/>
  <c r="O102" i="1" a="1"/>
  <c r="O102" i="1" s="1"/>
  <c r="B21" i="1" a="1"/>
  <c r="B21" i="1" s="1"/>
  <c r="K101" i="1" a="1"/>
  <c r="K101" i="1" s="1"/>
  <c r="O233" i="1" a="1"/>
  <c r="O233" i="1" s="1"/>
  <c r="L194" i="1" a="1"/>
  <c r="L194" i="1" s="1"/>
  <c r="D297" i="1" a="1"/>
  <c r="D297" i="1" s="1"/>
  <c r="H138" i="1" a="1"/>
  <c r="H138" i="1" s="1"/>
  <c r="K252" i="1" a="1"/>
  <c r="K252" i="1" s="1"/>
  <c r="O52" i="1" a="1"/>
  <c r="O52" i="1" s="1"/>
  <c r="J132" i="1" a="1"/>
  <c r="J132" i="1" s="1"/>
  <c r="R260" i="1" a="1"/>
  <c r="R260" i="1" s="1"/>
  <c r="B54" i="1" a="1"/>
  <c r="B54" i="1" s="1"/>
  <c r="D180" i="1" a="1"/>
  <c r="D180" i="1" s="1"/>
  <c r="P67" i="1" a="1"/>
  <c r="P67" i="1" s="1"/>
  <c r="G6" i="1" a="1"/>
  <c r="G6" i="1" s="1"/>
  <c r="I127" i="1" a="1"/>
  <c r="I127" i="1" s="1"/>
  <c r="D321" i="1" a="1"/>
  <c r="D321" i="1" s="1"/>
  <c r="H128" i="1" a="1"/>
  <c r="H128" i="1" s="1"/>
  <c r="D258" i="1" a="1"/>
  <c r="D258" i="1" s="1"/>
  <c r="D224" i="1" a="1"/>
  <c r="D224" i="1" s="1"/>
  <c r="R115" i="1" a="1"/>
  <c r="R115" i="1" s="1"/>
  <c r="R192" i="1" a="1"/>
  <c r="R192" i="1" s="1"/>
  <c r="L191" i="1" a="1"/>
  <c r="L191" i="1" s="1"/>
  <c r="K76" i="1" a="1"/>
  <c r="K76" i="1" s="1"/>
  <c r="P48" i="1" a="1"/>
  <c r="P48" i="1" s="1"/>
  <c r="F274" i="1" a="1"/>
  <c r="F274" i="1" s="1"/>
  <c r="G54" i="1" a="1"/>
  <c r="G54" i="1" s="1"/>
  <c r="K222" i="1" a="1"/>
  <c r="K222" i="1" s="1"/>
  <c r="C238" i="1" a="1"/>
  <c r="C238" i="1" s="1"/>
  <c r="L294" i="1" a="1"/>
  <c r="L294" i="1" s="1"/>
  <c r="J304" i="1" a="1"/>
  <c r="J304" i="1" s="1"/>
  <c r="E257" i="1" a="1"/>
  <c r="E257" i="1" s="1"/>
  <c r="R119" i="1" a="1"/>
  <c r="R119" i="1" s="1"/>
  <c r="R324" i="1" a="1"/>
  <c r="R324" i="1" s="1"/>
  <c r="L173" i="1" a="1"/>
  <c r="L173" i="1" s="1"/>
  <c r="N146" i="1" a="1"/>
  <c r="N146" i="1" s="1"/>
  <c r="E93" i="1" a="1"/>
  <c r="E93" i="1" s="1"/>
  <c r="O234" i="1" a="1"/>
  <c r="O234" i="1" s="1"/>
  <c r="I22" i="1" a="1"/>
  <c r="I22" i="1" s="1"/>
  <c r="D144" i="1" a="1"/>
  <c r="D144" i="1" s="1"/>
  <c r="C273" i="1" a="1"/>
  <c r="C273" i="1" s="1"/>
  <c r="O243" i="1" a="1"/>
  <c r="O243" i="1" s="1"/>
  <c r="O140" i="1" a="1"/>
  <c r="O140" i="1" s="1"/>
  <c r="B147" i="1" a="1"/>
  <c r="B147" i="1" s="1"/>
  <c r="I253" i="1" a="1"/>
  <c r="I253" i="1" s="1"/>
  <c r="N96" i="1" a="1"/>
  <c r="N96" i="1" s="1"/>
  <c r="R214" i="1" a="1"/>
  <c r="R214" i="1" s="1"/>
  <c r="C160" i="1" a="1"/>
  <c r="C160" i="1" s="1"/>
  <c r="K201" i="1" a="1"/>
  <c r="K201" i="1" s="1"/>
  <c r="N310" i="1" a="1"/>
  <c r="N310" i="1" s="1"/>
  <c r="Q83" i="1" a="1"/>
  <c r="Q83" i="1" s="1"/>
  <c r="P199" i="1" a="1"/>
  <c r="P199" i="1" s="1"/>
  <c r="C187" i="1" a="1"/>
  <c r="C187" i="1" s="1"/>
  <c r="I313" i="1" a="1"/>
  <c r="I313" i="1" s="1"/>
  <c r="I277" i="1" a="1"/>
  <c r="I277" i="1" s="1"/>
  <c r="B260" i="1" a="1"/>
  <c r="B260" i="1" s="1"/>
  <c r="D136" i="1" a="1"/>
  <c r="D136" i="1" s="1"/>
  <c r="H226" i="1" a="1"/>
  <c r="H226" i="1" s="1"/>
  <c r="Q93" i="1" a="1"/>
  <c r="Q93" i="1" s="1"/>
  <c r="H309" i="1" a="1"/>
  <c r="H309" i="1" s="1"/>
  <c r="O193" i="1" a="1"/>
  <c r="O193" i="1" s="1"/>
  <c r="G142" i="1" a="1"/>
  <c r="G142" i="1" s="1"/>
  <c r="L204" i="1" a="1"/>
  <c r="L204" i="1" s="1"/>
  <c r="K260" i="1" a="1"/>
  <c r="K260" i="1" s="1"/>
  <c r="J166" i="1" a="1"/>
  <c r="J166" i="1" s="1"/>
  <c r="J265" i="1" a="1"/>
  <c r="J265" i="1" s="1"/>
  <c r="L58" i="1" a="1"/>
  <c r="L58" i="1" s="1"/>
  <c r="R43" i="1" a="1"/>
  <c r="R43" i="1" s="1"/>
  <c r="O289" i="1" a="1"/>
  <c r="O289" i="1" s="1"/>
  <c r="J310" i="1" a="1"/>
  <c r="J310" i="1" s="1"/>
  <c r="H7" i="1" a="1"/>
  <c r="H7" i="1" s="1"/>
  <c r="O217" i="1" a="1"/>
  <c r="O217" i="1" s="1"/>
  <c r="F223" i="1" a="1"/>
  <c r="F223" i="1" s="1"/>
  <c r="P138" i="1" a="1"/>
  <c r="P138" i="1" s="1"/>
  <c r="E86" i="1" a="1"/>
  <c r="E86" i="1" s="1"/>
  <c r="Q59" i="1" a="1"/>
  <c r="Q59" i="1" s="1"/>
  <c r="D223" i="1" a="1"/>
  <c r="D223" i="1" s="1"/>
  <c r="Q195" i="1" a="1"/>
  <c r="Q195" i="1" s="1"/>
  <c r="P101" i="1" a="1"/>
  <c r="P101" i="1" s="1"/>
  <c r="O70" i="1" a="1"/>
  <c r="O70" i="1" s="1"/>
  <c r="H198" i="1" a="1"/>
  <c r="H198" i="1" s="1"/>
  <c r="L53" i="1" a="1"/>
  <c r="L53" i="1" s="1"/>
  <c r="H117" i="1" a="1"/>
  <c r="H117" i="1" s="1"/>
  <c r="O84" i="1" a="1"/>
  <c r="O84" i="1" s="1"/>
  <c r="H43" i="1" a="1"/>
  <c r="H43" i="1" s="1"/>
  <c r="Q230" i="1" a="1"/>
  <c r="Q230" i="1" s="1"/>
  <c r="H178" i="1" a="1"/>
  <c r="H178" i="1" s="1"/>
  <c r="M100" i="1" a="1"/>
  <c r="M100" i="1" s="1"/>
  <c r="J322" i="1" a="1"/>
  <c r="J322" i="1" s="1"/>
  <c r="O264" i="1" a="1"/>
  <c r="O264" i="1" s="1"/>
  <c r="P156" i="1" a="1"/>
  <c r="P156" i="1" s="1"/>
  <c r="K153" i="1" a="1"/>
  <c r="K153" i="1" s="1"/>
  <c r="C41" i="1" a="1"/>
  <c r="C41" i="1" s="1"/>
  <c r="J269" i="1" a="1"/>
  <c r="J269" i="1" s="1"/>
  <c r="I272" i="1" a="1"/>
  <c r="I272" i="1" s="1"/>
  <c r="C147" i="1" a="1"/>
  <c r="C147" i="1" s="1"/>
  <c r="M265" i="1" a="1"/>
  <c r="M265" i="1" s="1"/>
  <c r="F5" i="1" a="1"/>
  <c r="F5" i="1" s="1"/>
  <c r="Q149" i="1" a="1"/>
  <c r="Q149" i="1" s="1"/>
  <c r="P41" i="1" a="1"/>
  <c r="P41" i="1" s="1"/>
  <c r="D121" i="1" a="1"/>
  <c r="D121" i="1" s="1"/>
  <c r="O155" i="1" a="1"/>
  <c r="O155" i="1" s="1"/>
  <c r="R267" i="1" a="1"/>
  <c r="R267" i="1" s="1"/>
  <c r="O49" i="1" a="1"/>
  <c r="O49" i="1" s="1"/>
  <c r="D76" i="1" a="1"/>
  <c r="D76" i="1" s="1"/>
  <c r="L155" i="1" a="1"/>
  <c r="L155" i="1" s="1"/>
  <c r="K156" i="1" a="1"/>
  <c r="K156" i="1" s="1"/>
  <c r="E302" i="1" a="1"/>
  <c r="E302" i="1" s="1"/>
  <c r="F36" i="1" a="1"/>
  <c r="F36" i="1" s="1"/>
  <c r="N106" i="1" a="1"/>
  <c r="N106" i="1" s="1"/>
  <c r="E12" i="1" a="1"/>
  <c r="E12" i="1" s="1"/>
  <c r="C102" i="1" a="1"/>
  <c r="C102" i="1" s="1"/>
  <c r="O145" i="1" a="1"/>
  <c r="O145" i="1" s="1"/>
  <c r="G46" i="1" a="1"/>
  <c r="G46" i="1" s="1"/>
  <c r="D311" i="1" a="1"/>
  <c r="D311" i="1" s="1"/>
  <c r="B207" i="1" a="1"/>
  <c r="B207" i="1" s="1"/>
  <c r="Q71" i="1" a="1"/>
  <c r="Q71" i="1" s="1"/>
  <c r="M124" i="1" a="1"/>
  <c r="M124" i="1" s="1"/>
  <c r="M40" i="1" a="1"/>
  <c r="M40" i="1" s="1"/>
  <c r="B293" i="1" a="1"/>
  <c r="B293" i="1" s="1"/>
  <c r="N283" i="1" a="1"/>
  <c r="N283" i="1" s="1"/>
  <c r="Q205" i="1" a="1"/>
  <c r="Q205" i="1" s="1"/>
  <c r="L265" i="1" a="1"/>
  <c r="L265" i="1" s="1"/>
  <c r="H109" i="1" a="1"/>
  <c r="H109" i="1" s="1"/>
  <c r="R323" i="1" a="1"/>
  <c r="R323" i="1" s="1"/>
  <c r="E30" i="1" a="1"/>
  <c r="E30" i="1" s="1"/>
  <c r="N100" i="1" a="1"/>
  <c r="N100" i="1" s="1"/>
  <c r="Q268" i="1" a="1"/>
  <c r="Q268" i="1" s="1"/>
  <c r="G34" i="1" a="1"/>
  <c r="G34" i="1" s="1"/>
  <c r="I312" i="1" a="1"/>
  <c r="I312" i="1" s="1"/>
  <c r="N88" i="1" a="1"/>
  <c r="N88" i="1" s="1"/>
  <c r="B78" i="1" a="1"/>
  <c r="B78" i="1" s="1"/>
  <c r="G313" i="1" a="1"/>
  <c r="G313" i="1" s="1"/>
  <c r="K299" i="1" a="1"/>
  <c r="K299" i="1" s="1"/>
  <c r="G279" i="1" a="1"/>
  <c r="G279" i="1" s="1"/>
  <c r="E27" i="1" a="1"/>
  <c r="E27" i="1" s="1"/>
  <c r="H2" i="1" a="1"/>
  <c r="H2" i="1" s="1"/>
  <c r="B197" i="1" a="1"/>
  <c r="B197" i="1" s="1"/>
  <c r="C127" i="1" a="1"/>
  <c r="C127" i="1" s="1"/>
  <c r="I87" i="1" a="1"/>
  <c r="I87" i="1" s="1"/>
  <c r="E89" i="1" a="1"/>
  <c r="E89" i="1" s="1"/>
  <c r="G163" i="1" a="1"/>
  <c r="G163" i="1" s="1"/>
  <c r="F60" i="1" a="1"/>
  <c r="F60" i="1" s="1"/>
  <c r="O25" i="1" a="1"/>
  <c r="O25" i="1" s="1"/>
  <c r="C242" i="1" a="1"/>
  <c r="C242" i="1" s="1"/>
  <c r="C33" i="1" a="1"/>
  <c r="C33" i="1" s="1"/>
  <c r="L8" i="1" a="1"/>
  <c r="L8" i="1" s="1"/>
  <c r="I74" i="1" a="1"/>
  <c r="I74" i="1" s="1"/>
  <c r="N93" i="1" a="1"/>
  <c r="N93" i="1" s="1"/>
  <c r="O169" i="1" a="1"/>
  <c r="O169" i="1" s="1"/>
  <c r="M297" i="1" a="1"/>
  <c r="M297" i="1" s="1"/>
  <c r="N22" i="1" a="1"/>
  <c r="N22" i="1" s="1"/>
  <c r="K134" i="1" a="1"/>
  <c r="K134" i="1" s="1"/>
  <c r="N29" i="1" a="1"/>
  <c r="N29" i="1" s="1"/>
  <c r="G166" i="1" a="1"/>
  <c r="G166" i="1" s="1"/>
  <c r="Q279" i="1" a="1"/>
  <c r="Q279" i="1" s="1"/>
  <c r="F125" i="1" a="1"/>
  <c r="F125" i="1" s="1"/>
  <c r="G115" i="1" a="1"/>
  <c r="G115" i="1" s="1"/>
  <c r="R159" i="1" a="1"/>
  <c r="R159" i="1" s="1"/>
  <c r="O153" i="1" a="1"/>
  <c r="O153" i="1" s="1"/>
  <c r="D117" i="1" a="1"/>
  <c r="D117" i="1" s="1"/>
  <c r="C66" i="1" a="1"/>
  <c r="C66" i="1" s="1"/>
  <c r="C25" i="1" a="1"/>
  <c r="C25" i="1" s="1"/>
  <c r="C55" i="1" a="1"/>
  <c r="C55" i="1" s="1"/>
  <c r="E280" i="1" a="1"/>
  <c r="E280" i="1" s="1"/>
  <c r="M300" i="1" a="1"/>
  <c r="M300" i="1" s="1"/>
  <c r="E83" i="1" a="1"/>
  <c r="E83" i="1" s="1"/>
  <c r="E42" i="1" a="1"/>
  <c r="E42" i="1" s="1"/>
  <c r="D127" i="1" a="1"/>
  <c r="D127" i="1" s="1"/>
  <c r="B289" i="1" a="1"/>
  <c r="B289" i="1" s="1"/>
  <c r="G178" i="1" a="1"/>
  <c r="G178" i="1" s="1"/>
  <c r="B98" i="1" a="1"/>
  <c r="B98" i="1" s="1"/>
  <c r="P287" i="1" a="1"/>
  <c r="P287" i="1" s="1"/>
  <c r="J31" i="1" a="1"/>
  <c r="J31" i="1" s="1"/>
  <c r="D246" i="1" a="1"/>
  <c r="D246" i="1" s="1"/>
  <c r="G148" i="1" a="1"/>
  <c r="G148" i="1" s="1"/>
  <c r="Q25" i="1" a="1"/>
  <c r="Q25" i="1" s="1"/>
  <c r="H296" i="1" a="1"/>
  <c r="H296" i="1" s="1"/>
  <c r="N191" i="1" a="1"/>
  <c r="N191" i="1" s="1"/>
  <c r="R44" i="1" a="1"/>
  <c r="R44" i="1" s="1"/>
  <c r="G242" i="1" a="1"/>
  <c r="G242" i="1" s="1"/>
  <c r="R151" i="1" a="1"/>
  <c r="R151" i="1" s="1"/>
  <c r="C196" i="1" a="1"/>
  <c r="C196" i="1" s="1"/>
  <c r="F322" i="1" a="1"/>
  <c r="F322" i="1" s="1"/>
  <c r="P81" i="1" a="1"/>
  <c r="P81" i="1" s="1"/>
  <c r="H129" i="1" a="1"/>
  <c r="H129" i="1" s="1"/>
  <c r="M309" i="1" a="1"/>
  <c r="M309" i="1" s="1"/>
  <c r="F191" i="1" a="1"/>
  <c r="F191" i="1" s="1"/>
  <c r="G248" i="1" a="1"/>
  <c r="G248" i="1" s="1"/>
  <c r="O238" i="1" a="1"/>
  <c r="O238" i="1" s="1"/>
  <c r="C183" i="1" a="1"/>
  <c r="C183" i="1" s="1"/>
  <c r="H321" i="1" a="1"/>
  <c r="H321" i="1" s="1"/>
  <c r="C125" i="1" a="1"/>
  <c r="C125" i="1" s="1"/>
  <c r="N6" i="1" a="1"/>
  <c r="N6" i="1" s="1"/>
  <c r="P310" i="1" a="1"/>
  <c r="P310" i="1" s="1"/>
  <c r="Q113" i="1" a="1"/>
  <c r="Q113" i="1" s="1"/>
  <c r="M175" i="1" a="1"/>
  <c r="M175" i="1" s="1"/>
  <c r="R274" i="1" a="1"/>
  <c r="R274" i="1" s="1"/>
  <c r="M184" i="1" a="1"/>
  <c r="M184" i="1" s="1"/>
  <c r="B308" i="1" a="1"/>
  <c r="B308" i="1" s="1"/>
  <c r="R71" i="1" a="1"/>
  <c r="R71" i="1" s="1"/>
  <c r="L150" i="1" a="1"/>
  <c r="L150" i="1" s="1"/>
  <c r="P38" i="1" a="1"/>
  <c r="P38" i="1" s="1"/>
  <c r="L296" i="1" a="1"/>
  <c r="L296" i="1" s="1"/>
  <c r="C57" i="1" a="1"/>
  <c r="C57" i="1" s="1"/>
  <c r="O83" i="1" a="1"/>
  <c r="O83" i="1" s="1"/>
  <c r="L292" i="1" a="1"/>
  <c r="L292" i="1" s="1"/>
  <c r="Q172" i="1" a="1"/>
  <c r="Q172" i="1" s="1"/>
  <c r="N153" i="1" a="1"/>
  <c r="N153" i="1" s="1"/>
  <c r="H104" i="1" a="1"/>
  <c r="H104" i="1" s="1"/>
  <c r="F308" i="1" a="1"/>
  <c r="F308" i="1" s="1"/>
  <c r="I31" i="1" a="1"/>
  <c r="I31" i="1" s="1"/>
  <c r="Q68" i="1" a="1"/>
  <c r="Q68" i="1" s="1"/>
  <c r="L60" i="1" a="1"/>
  <c r="L60" i="1" s="1"/>
  <c r="K142" i="1" a="1"/>
  <c r="K142" i="1" s="1"/>
  <c r="P205" i="1" a="1"/>
  <c r="P205" i="1" s="1"/>
  <c r="N231" i="1" a="1"/>
  <c r="N231" i="1" s="1"/>
  <c r="C112" i="1" a="1"/>
  <c r="C112" i="1" s="1"/>
  <c r="E126" i="1" a="1"/>
  <c r="E126" i="1" s="1"/>
  <c r="M213" i="1" a="1"/>
  <c r="M213" i="1" s="1"/>
  <c r="P237" i="1" a="1"/>
  <c r="P237" i="1" s="1"/>
  <c r="P121" i="1" a="1"/>
  <c r="P121" i="1" s="1"/>
  <c r="M61" i="1" a="1"/>
  <c r="M61" i="1" s="1"/>
  <c r="Q4" i="1" a="1"/>
  <c r="Q4" i="1" s="1"/>
  <c r="K145" i="1" a="1"/>
  <c r="K145" i="1" s="1"/>
  <c r="F188" i="1" a="1"/>
  <c r="F188" i="1" s="1"/>
  <c r="J225" i="1" a="1"/>
  <c r="J225" i="1" s="1"/>
  <c r="O209" i="1" a="1"/>
  <c r="O209" i="1" s="1"/>
  <c r="R72" i="1" a="1"/>
  <c r="R72" i="1" s="1"/>
  <c r="D184" i="1" a="1"/>
  <c r="D184" i="1" s="1"/>
  <c r="L291" i="1" a="1"/>
  <c r="L291" i="1" s="1"/>
  <c r="J23" i="1" a="1"/>
  <c r="J23" i="1" s="1"/>
  <c r="D40" i="1" a="1"/>
  <c r="D40" i="1" s="1"/>
  <c r="H3" i="1" a="1"/>
  <c r="H3" i="1" s="1"/>
  <c r="K197" i="1" a="1"/>
  <c r="K197" i="1" s="1"/>
  <c r="C297" i="1" a="1"/>
  <c r="C297" i="1" s="1"/>
  <c r="M42" i="1" a="1"/>
  <c r="M42" i="1" s="1"/>
  <c r="E90" i="1" a="1"/>
  <c r="E90" i="1" s="1"/>
  <c r="F110" i="1" a="1"/>
  <c r="F110" i="1" s="1"/>
  <c r="D50" i="1" a="1"/>
  <c r="D50" i="1" s="1"/>
  <c r="B115" i="1" a="1"/>
  <c r="B115" i="1" s="1"/>
  <c r="N3" i="1" a="1"/>
  <c r="N3" i="1" s="1"/>
  <c r="E169" i="1" a="1"/>
  <c r="E169" i="1" s="1"/>
  <c r="R107" i="1" a="1"/>
  <c r="R107" i="1" s="1"/>
  <c r="J122" i="1" a="1"/>
  <c r="J122" i="1" s="1"/>
  <c r="B110" i="1" a="1"/>
  <c r="B110" i="1" s="1"/>
  <c r="M208" i="1" a="1"/>
  <c r="M208" i="1" s="1"/>
  <c r="C204" i="1" a="1"/>
  <c r="C204" i="1" s="1"/>
  <c r="O195" i="1" a="1"/>
  <c r="O195" i="1" s="1"/>
  <c r="O63" i="1" a="1"/>
  <c r="O63" i="1" s="1"/>
  <c r="B283" i="1" a="1"/>
  <c r="B283" i="1" s="1"/>
  <c r="E273" i="1" a="1"/>
  <c r="E273" i="1" s="1"/>
  <c r="P11" i="1" a="1"/>
  <c r="P11" i="1" s="1"/>
  <c r="F310" i="1" a="1"/>
  <c r="F310" i="1" s="1"/>
  <c r="K306" i="1" a="1"/>
  <c r="K306" i="1" s="1"/>
  <c r="I205" i="1" a="1"/>
  <c r="I205" i="1" s="1"/>
  <c r="L143" i="1" a="1"/>
  <c r="L143" i="1" s="1"/>
  <c r="D167" i="1" a="1"/>
  <c r="D167" i="1" s="1"/>
  <c r="N116" i="1" a="1"/>
  <c r="N116" i="1" s="1"/>
  <c r="B9" i="1" a="1"/>
  <c r="B9" i="1" s="1"/>
  <c r="O173" i="1" a="1"/>
  <c r="O173" i="1" s="1"/>
  <c r="M132" i="1" a="1"/>
  <c r="M132" i="1" s="1"/>
  <c r="F169" i="1" a="1"/>
  <c r="F169" i="1" s="1"/>
  <c r="K42" i="1" a="1"/>
  <c r="K42" i="1" s="1"/>
  <c r="C309" i="1" a="1"/>
  <c r="C309" i="1" s="1"/>
  <c r="H236" i="1" a="1"/>
  <c r="H236" i="1" s="1"/>
  <c r="H320" i="1" a="1"/>
  <c r="H320" i="1" s="1"/>
  <c r="L163" i="1" a="1"/>
  <c r="L163" i="1" s="1"/>
  <c r="M264" i="1" a="1"/>
  <c r="M264" i="1" s="1"/>
  <c r="F139" i="1" a="1"/>
  <c r="F139" i="1" s="1"/>
  <c r="B265" i="1" a="1"/>
  <c r="B265" i="1" s="1"/>
  <c r="O280" i="1" a="1"/>
  <c r="O280" i="1" s="1"/>
  <c r="P309" i="1" a="1"/>
  <c r="P309" i="1" s="1"/>
  <c r="B72" i="1" a="1"/>
  <c r="B72" i="1" s="1"/>
  <c r="I5" i="1" a="1"/>
  <c r="I5" i="1" s="1"/>
  <c r="F13" i="1" a="1"/>
  <c r="F13" i="1" s="1"/>
  <c r="C194" i="1" a="1"/>
  <c r="C194" i="1" s="1"/>
  <c r="H171" i="1" a="1"/>
  <c r="H171" i="1" s="1"/>
  <c r="F315" i="1" a="1"/>
  <c r="F315" i="1" s="1"/>
  <c r="O12" i="1" a="1"/>
  <c r="O12" i="1" s="1"/>
  <c r="E34" i="1" a="1"/>
  <c r="E34" i="1" s="1"/>
  <c r="L237" i="1" a="1"/>
  <c r="L237" i="1" s="1"/>
  <c r="R221" i="1" a="1"/>
  <c r="R221" i="1" s="1"/>
  <c r="N233" i="1" a="1"/>
  <c r="N233" i="1" s="1"/>
  <c r="O214" i="1" a="1"/>
  <c r="O214" i="1" s="1"/>
  <c r="H218" i="1" a="1"/>
  <c r="H218" i="1" s="1"/>
  <c r="P20" i="1" a="1"/>
  <c r="P20" i="1" s="1"/>
  <c r="F86" i="1" a="1"/>
  <c r="F86" i="1" s="1"/>
  <c r="D195" i="1" a="1"/>
  <c r="D195" i="1" s="1"/>
  <c r="R20" i="1" a="1"/>
  <c r="R20" i="1" s="1"/>
  <c r="H211" i="1" a="1"/>
  <c r="H211" i="1" s="1"/>
  <c r="I171" i="1" a="1"/>
  <c r="I171" i="1" s="1"/>
  <c r="H318" i="1" a="1"/>
  <c r="H318" i="1" s="1"/>
  <c r="F144" i="1" a="1"/>
  <c r="F144" i="1" s="1"/>
  <c r="F164" i="1" a="1"/>
  <c r="F164" i="1" s="1"/>
  <c r="D147" i="1" a="1"/>
  <c r="D147" i="1" s="1"/>
  <c r="M236" i="1" a="1"/>
  <c r="M236" i="1" s="1"/>
  <c r="C27" i="1" a="1"/>
  <c r="C27" i="1" s="1"/>
  <c r="M191" i="1" a="1"/>
  <c r="M191" i="1" s="1"/>
  <c r="N251" i="1" a="1"/>
  <c r="N251" i="1" s="1"/>
  <c r="R185" i="1" a="1"/>
  <c r="R185" i="1" s="1"/>
  <c r="F225" i="1" a="1"/>
  <c r="F225" i="1" s="1"/>
  <c r="N158" i="1" a="1"/>
  <c r="N158" i="1" s="1"/>
  <c r="I72" i="1" a="1"/>
  <c r="I72" i="1" s="1"/>
  <c r="P84" i="1" a="1"/>
  <c r="P84" i="1" s="1"/>
  <c r="R247" i="1" a="1"/>
  <c r="R247" i="1" s="1"/>
  <c r="M285" i="1" a="1"/>
  <c r="M285" i="1" s="1"/>
  <c r="G185" i="1" a="1"/>
  <c r="G185" i="1" s="1"/>
  <c r="C225" i="1" a="1"/>
  <c r="C225" i="1" s="1"/>
  <c r="P115" i="1" a="1"/>
  <c r="P115" i="1" s="1"/>
  <c r="F277" i="1" a="1"/>
  <c r="F277" i="1" s="1"/>
  <c r="B91" i="1" a="1"/>
  <c r="B91" i="1" s="1"/>
  <c r="J85" i="1" a="1"/>
  <c r="J85" i="1" s="1"/>
  <c r="K168" i="1" a="1"/>
  <c r="K168" i="1" s="1"/>
  <c r="M13" i="1" a="1"/>
  <c r="M13" i="1" s="1"/>
  <c r="J289" i="1" a="1"/>
  <c r="J289" i="1" s="1"/>
  <c r="F234" i="1" a="1"/>
  <c r="F234" i="1" s="1"/>
  <c r="E211" i="1" a="1"/>
  <c r="E211" i="1" s="1"/>
  <c r="D240" i="1" a="1"/>
  <c r="D240" i="1" s="1"/>
  <c r="Q187" i="1" a="1"/>
  <c r="Q187" i="1" s="1"/>
  <c r="L189" i="1" a="1"/>
  <c r="L189" i="1" s="1"/>
  <c r="L95" i="1" a="1"/>
  <c r="L95" i="1" s="1"/>
  <c r="E115" i="1" a="1"/>
  <c r="E115" i="1" s="1"/>
  <c r="C129" i="1" a="1"/>
  <c r="C129" i="1" s="1"/>
  <c r="N168" i="1" a="1"/>
  <c r="N168" i="1" s="1"/>
  <c r="J153" i="1" a="1"/>
  <c r="J153" i="1" s="1"/>
  <c r="D91" i="1" a="1"/>
  <c r="D91" i="1" s="1"/>
  <c r="M87" i="1" a="1"/>
  <c r="M87" i="1" s="1"/>
  <c r="G246" i="1" a="1"/>
  <c r="G246" i="1" s="1"/>
  <c r="H245" i="1" a="1"/>
  <c r="H245" i="1" s="1"/>
  <c r="B113" i="1" a="1"/>
  <c r="B113" i="1" s="1"/>
  <c r="N107" i="1" a="1"/>
  <c r="N107" i="1" s="1"/>
  <c r="O299" i="1" a="1"/>
  <c r="O299" i="1" s="1"/>
  <c r="F15" i="1" a="1"/>
  <c r="F15" i="1" s="1"/>
  <c r="K275" i="1" a="1"/>
  <c r="K275" i="1" s="1"/>
  <c r="G240" i="1" a="1"/>
  <c r="G240" i="1" s="1"/>
  <c r="C234" i="1" a="1"/>
  <c r="C234" i="1" s="1"/>
  <c r="E63" i="1" a="1"/>
  <c r="E63" i="1" s="1"/>
  <c r="J161" i="1" a="1"/>
  <c r="J161" i="1" s="1"/>
  <c r="G167" i="1" a="1"/>
  <c r="G167" i="1" s="1"/>
  <c r="K238" i="1" a="1"/>
  <c r="K238" i="1" s="1"/>
  <c r="P143" i="1" a="1"/>
  <c r="P143" i="1" s="1"/>
  <c r="H130" i="1" a="1"/>
  <c r="H130" i="1" s="1"/>
  <c r="I179" i="1" a="1"/>
  <c r="I179" i="1" s="1"/>
  <c r="Q211" i="1" a="1"/>
  <c r="Q211" i="1" s="1"/>
  <c r="N99" i="1" a="1"/>
  <c r="N99" i="1" s="1"/>
  <c r="R87" i="1" a="1"/>
  <c r="R87" i="1" s="1"/>
  <c r="D312" i="1" a="1"/>
  <c r="D312" i="1" s="1"/>
  <c r="Q275" i="1" a="1"/>
  <c r="Q275" i="1" s="1"/>
  <c r="H95" i="1" a="1"/>
  <c r="H95" i="1" s="1"/>
  <c r="O324" i="1" a="1"/>
  <c r="O324" i="1" s="1"/>
  <c r="L231" i="1" a="1"/>
  <c r="L231" i="1" s="1"/>
  <c r="M248" i="1" a="1"/>
  <c r="M248" i="1" s="1"/>
  <c r="F266" i="1" a="1"/>
  <c r="F266" i="1" s="1"/>
  <c r="G249" i="1" a="1"/>
  <c r="G249" i="1" s="1"/>
  <c r="Q50" i="1" a="1"/>
  <c r="Q50" i="1" s="1"/>
  <c r="P228" i="1" a="1"/>
  <c r="P228" i="1" s="1"/>
  <c r="N39" i="1" a="1"/>
  <c r="N39" i="1" s="1"/>
  <c r="K82" i="1" a="1"/>
  <c r="K82" i="1" s="1"/>
  <c r="N4" i="1" a="1"/>
  <c r="N4" i="1" s="1"/>
  <c r="B256" i="1" a="1"/>
  <c r="B256" i="1" s="1"/>
  <c r="B118" i="1" a="1"/>
  <c r="B118" i="1" s="1"/>
  <c r="I53" i="1" a="1"/>
  <c r="I53" i="1" s="1"/>
  <c r="E110" i="1" a="1"/>
  <c r="E110" i="1" s="1"/>
  <c r="L164" i="1" a="1"/>
  <c r="L164" i="1" s="1"/>
  <c r="Q96" i="1" a="1"/>
  <c r="Q96" i="1" s="1"/>
  <c r="L321" i="1" a="1"/>
  <c r="L321" i="1" s="1"/>
  <c r="J279" i="1" a="1"/>
  <c r="J279" i="1" s="1"/>
  <c r="E315" i="1" a="1"/>
  <c r="E315" i="1" s="1"/>
  <c r="K62" i="1" a="1"/>
  <c r="K62" i="1" s="1"/>
  <c r="L268" i="1" a="1"/>
  <c r="L268" i="1" s="1"/>
  <c r="O151" i="1" a="1"/>
  <c r="O151" i="1" s="1"/>
  <c r="O86" i="1" a="1"/>
  <c r="O86" i="1" s="1"/>
  <c r="J73" i="1" a="1"/>
  <c r="J73" i="1" s="1"/>
  <c r="E161" i="1" a="1"/>
  <c r="E161" i="1" s="1"/>
  <c r="L290" i="1" a="1"/>
  <c r="L290" i="1" s="1"/>
  <c r="F98" i="1" a="1"/>
  <c r="F98" i="1" s="1"/>
  <c r="Q197" i="1" a="1"/>
  <c r="Q197" i="1" s="1"/>
  <c r="M214" i="1" a="1"/>
  <c r="M214" i="1" s="1"/>
  <c r="O121" i="1" a="1"/>
  <c r="O121" i="1" s="1"/>
  <c r="M224" i="1" a="1"/>
  <c r="M224" i="1" s="1"/>
  <c r="I29" i="1" a="1"/>
  <c r="I29" i="1" s="1"/>
  <c r="N284" i="1" a="1"/>
  <c r="N284" i="1" s="1"/>
  <c r="O316" i="1" a="1"/>
  <c r="O316" i="1" s="1"/>
  <c r="Q186" i="1" a="1"/>
  <c r="Q186" i="1" s="1"/>
  <c r="L269" i="1" a="1"/>
  <c r="L269" i="1" s="1"/>
  <c r="B15" i="1" a="1"/>
  <c r="B15" i="1" s="1"/>
  <c r="G18" i="1" a="1"/>
  <c r="G18" i="1" s="1"/>
  <c r="H244" i="1" a="1"/>
  <c r="H244" i="1" s="1"/>
  <c r="C188" i="1" a="1"/>
  <c r="C188" i="1" s="1"/>
  <c r="R246" i="1" a="1"/>
  <c r="R246" i="1" s="1"/>
  <c r="L68" i="1" a="1"/>
  <c r="L68" i="1" s="1"/>
  <c r="B58" i="1" a="1"/>
  <c r="B58" i="1" s="1"/>
  <c r="E282" i="1" a="1"/>
  <c r="E282" i="1" s="1"/>
  <c r="E244" i="1" a="1"/>
  <c r="E244" i="1" s="1"/>
  <c r="E196" i="1" a="1"/>
  <c r="E196" i="1" s="1"/>
  <c r="Q119" i="1" a="1"/>
  <c r="Q119" i="1" s="1"/>
  <c r="I231" i="1" a="1"/>
  <c r="I231" i="1" s="1"/>
  <c r="C144" i="1" a="1"/>
  <c r="C144" i="1" s="1"/>
  <c r="O188" i="1" a="1"/>
  <c r="O188" i="1" s="1"/>
  <c r="F121" i="1" a="1"/>
  <c r="F121" i="1" s="1"/>
  <c r="K202" i="1" a="1"/>
  <c r="K202" i="1" s="1"/>
  <c r="J21" i="1" a="1"/>
  <c r="J21" i="1" s="1"/>
  <c r="N180" i="1" a="1"/>
  <c r="N180" i="1" s="1"/>
  <c r="Q231" i="1" a="1"/>
  <c r="Q231" i="1" s="1"/>
  <c r="O106" i="1" a="1"/>
  <c r="O106" i="1" s="1"/>
  <c r="G47" i="1" a="1"/>
  <c r="G47" i="1" s="1"/>
  <c r="C180" i="1" a="1"/>
  <c r="C180" i="1" s="1"/>
  <c r="M10" i="1" a="1"/>
  <c r="M10" i="1" s="1"/>
  <c r="E45" i="1" a="1"/>
  <c r="E45" i="1" s="1"/>
  <c r="J290" i="1" a="1"/>
  <c r="J290" i="1" s="1"/>
  <c r="Q16" i="1" a="1"/>
  <c r="Q16" i="1" s="1"/>
  <c r="R320" i="1" a="1"/>
  <c r="R320" i="1" s="1"/>
  <c r="Q323" i="1" a="1"/>
  <c r="Q323" i="1" s="1"/>
  <c r="D34" i="1" a="1"/>
  <c r="D34" i="1" s="1"/>
  <c r="D215" i="1" a="1"/>
  <c r="D215" i="1" s="1"/>
  <c r="I289" i="1" a="1"/>
  <c r="I289" i="1" s="1"/>
  <c r="R194" i="1" a="1"/>
  <c r="R194" i="1" s="1"/>
  <c r="G327" i="1" a="1"/>
  <c r="G327" i="1" s="1"/>
  <c r="P153" i="1" a="1"/>
  <c r="P153" i="1" s="1"/>
  <c r="F37" i="1" a="1"/>
  <c r="F37" i="1" s="1"/>
  <c r="D232" i="1" a="1"/>
  <c r="D232" i="1" s="1"/>
  <c r="B214" i="1" a="1"/>
  <c r="B214" i="1" s="1"/>
  <c r="C137" i="1" a="1"/>
  <c r="C137" i="1" s="1"/>
  <c r="E16" i="1" a="1"/>
  <c r="E16" i="1" s="1"/>
  <c r="G64" i="1" a="1"/>
  <c r="G64" i="1" s="1"/>
  <c r="D270" i="1" a="1"/>
  <c r="D270" i="1" s="1"/>
  <c r="M3" i="1" a="1"/>
  <c r="M3" i="1" s="1"/>
  <c r="J111" i="1" a="1"/>
  <c r="J111" i="1" s="1"/>
  <c r="R10" i="1" a="1"/>
  <c r="R10" i="1" s="1"/>
  <c r="J83" i="1" a="1"/>
  <c r="J83" i="1" s="1"/>
  <c r="M137" i="1" a="1"/>
  <c r="M137" i="1" s="1"/>
  <c r="K264" i="1" a="1"/>
  <c r="K264" i="1" s="1"/>
  <c r="B320" i="1" a="1"/>
  <c r="B320" i="1" s="1"/>
  <c r="F16" i="1" a="1"/>
  <c r="F16" i="1" s="1"/>
  <c r="M296" i="1" a="1"/>
  <c r="M296" i="1" s="1"/>
  <c r="R213" i="1" a="1"/>
  <c r="R213" i="1" s="1"/>
  <c r="I129" i="1" a="1"/>
  <c r="I129" i="1" s="1"/>
  <c r="O212" i="1" a="1"/>
  <c r="O212" i="1" s="1"/>
  <c r="N53" i="1" a="1"/>
  <c r="N53" i="1" s="1"/>
  <c r="O242" i="1" a="1"/>
  <c r="O242" i="1" s="1"/>
  <c r="E240" i="1" a="1"/>
  <c r="E240" i="1" s="1"/>
  <c r="E173" i="1" a="1"/>
  <c r="E173" i="1" s="1"/>
  <c r="C286" i="1" a="1"/>
  <c r="C286" i="1" s="1"/>
  <c r="B123" i="1" a="1"/>
  <c r="B123" i="1" s="1"/>
  <c r="H25" i="1" a="1"/>
  <c r="H25" i="1" s="1"/>
  <c r="L222" i="1" a="1"/>
  <c r="L222" i="1" s="1"/>
  <c r="M4" i="1" a="1"/>
  <c r="M4" i="1" s="1"/>
  <c r="I237" i="1" a="1"/>
  <c r="I237" i="1" s="1"/>
  <c r="P28" i="1" a="1"/>
  <c r="P28" i="1" s="1"/>
  <c r="G43" i="1" a="1"/>
  <c r="G43" i="1" s="1"/>
  <c r="R137" i="1" a="1"/>
  <c r="R137" i="1" s="1"/>
  <c r="E326" i="1" a="1"/>
  <c r="E326" i="1" s="1"/>
  <c r="F137" i="1" a="1"/>
  <c r="F137" i="1" s="1"/>
  <c r="H252" i="1" a="1"/>
  <c r="H252" i="1" s="1"/>
  <c r="M141" i="1" a="1"/>
  <c r="M141" i="1" s="1"/>
  <c r="K265" i="1" a="1"/>
  <c r="K265" i="1" s="1"/>
  <c r="D7" i="1" a="1"/>
  <c r="D7" i="1" s="1"/>
  <c r="I233" i="1" a="1"/>
  <c r="I233" i="1" s="1"/>
  <c r="R53" i="1" a="1"/>
  <c r="R53" i="1" s="1"/>
  <c r="L315" i="1" a="1"/>
  <c r="L315" i="1" s="1"/>
  <c r="O93" i="1" a="1"/>
  <c r="O93" i="1" s="1"/>
  <c r="G201" i="1" a="1"/>
  <c r="G201" i="1" s="1"/>
  <c r="F189" i="1" a="1"/>
  <c r="F189" i="1" s="1"/>
  <c r="D139" i="1" a="1"/>
  <c r="D139" i="1" s="1"/>
  <c r="O175" i="1" a="1"/>
  <c r="O175" i="1" s="1"/>
  <c r="G325" i="1" a="1"/>
  <c r="G325" i="1" s="1"/>
  <c r="P218" i="1" a="1"/>
  <c r="P218" i="1" s="1"/>
  <c r="R150" i="1" a="1"/>
  <c r="R150" i="1" s="1"/>
  <c r="Q146" i="1" a="1"/>
  <c r="Q146" i="1" s="1"/>
  <c r="C236" i="1" a="1"/>
  <c r="C236" i="1" s="1"/>
  <c r="C123" i="1" a="1"/>
  <c r="C123" i="1" s="1"/>
  <c r="G113" i="1" a="1"/>
  <c r="G113" i="1" s="1"/>
  <c r="O229" i="1" a="1"/>
  <c r="O229" i="1" s="1"/>
  <c r="K41" i="1" a="1"/>
  <c r="K41" i="1" s="1"/>
  <c r="C249" i="1" a="1"/>
  <c r="C249" i="1" s="1"/>
  <c r="B129" i="1" a="1"/>
  <c r="B129" i="1" s="1"/>
  <c r="Q282" i="1" a="1"/>
  <c r="Q282" i="1" s="1"/>
  <c r="O224" i="1" a="1"/>
  <c r="O224" i="1" s="1"/>
  <c r="F286" i="1" a="1"/>
  <c r="F286" i="1" s="1"/>
  <c r="O321" i="1" a="1"/>
  <c r="O321" i="1" s="1"/>
  <c r="R266" i="1" a="1"/>
  <c r="R266" i="1" s="1"/>
  <c r="F134" i="1" a="1"/>
  <c r="F134" i="1" s="1"/>
  <c r="I317" i="1" a="1"/>
  <c r="I317" i="1" s="1"/>
  <c r="J82" i="1" a="1"/>
  <c r="J82" i="1" s="1"/>
  <c r="M271" i="1" a="1"/>
  <c r="M271" i="1" s="1"/>
  <c r="Q32" i="1" a="1"/>
  <c r="Q32" i="1" s="1"/>
  <c r="G107" i="1" a="1"/>
  <c r="G107" i="1" s="1"/>
  <c r="F145" i="1" a="1"/>
  <c r="F145" i="1" s="1"/>
  <c r="G256" i="1" a="1"/>
  <c r="G256" i="1" s="1"/>
  <c r="D15" i="1" a="1"/>
  <c r="D15" i="1" s="1"/>
  <c r="D271" i="1" a="1"/>
  <c r="D271" i="1" s="1"/>
  <c r="M218" i="1" a="1"/>
  <c r="M218" i="1" s="1"/>
  <c r="G22" i="1" a="1"/>
  <c r="G22" i="1" s="1"/>
  <c r="L161" i="1" a="1"/>
  <c r="L161" i="1" s="1"/>
  <c r="L15" i="1" a="1"/>
  <c r="L15" i="1" s="1"/>
  <c r="K294" i="1" a="1"/>
  <c r="K294" i="1" s="1"/>
  <c r="G100" i="1" a="1"/>
  <c r="G100" i="1" s="1"/>
  <c r="J324" i="1" a="1"/>
  <c r="J324" i="1" s="1"/>
  <c r="P37" i="1" a="1"/>
  <c r="P37" i="1" s="1"/>
  <c r="H59" i="1" a="1"/>
  <c r="H59" i="1" s="1"/>
  <c r="K56" i="1" a="1"/>
  <c r="K56" i="1" s="1"/>
  <c r="J201" i="1" a="1"/>
  <c r="J201" i="1" s="1"/>
  <c r="Q108" i="1" a="1"/>
  <c r="Q108" i="1" s="1"/>
  <c r="O149" i="1" a="1"/>
  <c r="O149" i="1" s="1"/>
  <c r="K88" i="1" a="1"/>
  <c r="K88" i="1" s="1"/>
  <c r="J90" i="1" a="1"/>
  <c r="J90" i="1" s="1"/>
  <c r="R204" i="1" a="1"/>
  <c r="R204" i="1" s="1"/>
  <c r="I116" i="1" a="1"/>
  <c r="I116" i="1" s="1"/>
  <c r="I210" i="1" a="1"/>
  <c r="I210" i="1" s="1"/>
  <c r="J16" i="1" a="1"/>
  <c r="J16" i="1" s="1"/>
  <c r="E238" i="1" a="1"/>
  <c r="E238" i="1" s="1"/>
  <c r="Q132" i="1" a="1"/>
  <c r="Q132" i="1" s="1"/>
  <c r="B178" i="1" a="1"/>
  <c r="B178" i="1" s="1"/>
  <c r="P170" i="1" a="1"/>
  <c r="P170" i="1" s="1"/>
  <c r="G147" i="1" a="1"/>
  <c r="G147" i="1" s="1"/>
  <c r="B173" i="1" a="1"/>
  <c r="B173" i="1" s="1"/>
  <c r="M122" i="1" a="1"/>
  <c r="M122" i="1" s="1"/>
  <c r="B82" i="1" a="1"/>
  <c r="B82" i="1" s="1"/>
  <c r="D64" i="1" a="1"/>
  <c r="D64" i="1" s="1"/>
  <c r="R138" i="1" a="1"/>
  <c r="R138" i="1" s="1"/>
  <c r="P158" i="1" a="1"/>
  <c r="P158" i="1" s="1"/>
  <c r="O8" i="1" a="1"/>
  <c r="O8" i="1" s="1"/>
  <c r="F129" i="1" a="1"/>
  <c r="F129" i="1" s="1"/>
  <c r="P86" i="1" a="1"/>
  <c r="P86" i="1" s="1"/>
  <c r="O91" i="1" a="1"/>
  <c r="O91" i="1" s="1"/>
  <c r="N294" i="1" a="1"/>
  <c r="N294" i="1" s="1"/>
  <c r="B32" i="1" a="1"/>
  <c r="B32" i="1" s="1"/>
  <c r="C293" i="1" a="1"/>
  <c r="C293" i="1" s="1"/>
  <c r="K49" i="1" a="1"/>
  <c r="K49" i="1" s="1"/>
  <c r="H195" i="1" a="1"/>
  <c r="H195" i="1" s="1"/>
  <c r="I61" i="1" a="1"/>
  <c r="I61" i="1" s="1"/>
  <c r="G316" i="1" a="1"/>
  <c r="G316" i="1" s="1"/>
  <c r="G10" i="1" a="1"/>
  <c r="G10" i="1" s="1"/>
  <c r="K242" i="1" a="1"/>
  <c r="K242" i="1" s="1"/>
  <c r="E301" i="1" a="1"/>
  <c r="E301" i="1" s="1"/>
  <c r="M69" i="1" a="1"/>
  <c r="M69" i="1" s="1"/>
  <c r="K227" i="1" a="1"/>
  <c r="K227" i="1" s="1"/>
  <c r="Q297" i="1" a="1"/>
  <c r="Q297" i="1" s="1"/>
  <c r="E296" i="1" a="1"/>
  <c r="E296" i="1" s="1"/>
  <c r="E171" i="1" a="1"/>
  <c r="E171" i="1" s="1"/>
  <c r="Q209" i="1" a="1"/>
  <c r="Q209" i="1" s="1"/>
  <c r="Q127" i="1" a="1"/>
  <c r="Q127" i="1" s="1"/>
  <c r="R321" i="1" a="1"/>
  <c r="R321" i="1" s="1"/>
  <c r="J308" i="1" a="1"/>
  <c r="J308" i="1" s="1"/>
  <c r="C133" i="1" a="1"/>
  <c r="C133" i="1" s="1"/>
  <c r="L181" i="1" a="1"/>
  <c r="L181" i="1" s="1"/>
  <c r="M165" i="1" a="1"/>
  <c r="M165" i="1" s="1"/>
  <c r="E184" i="1" a="1"/>
  <c r="E184" i="1" s="1"/>
  <c r="H133" i="1" a="1"/>
  <c r="H133" i="1" s="1"/>
  <c r="H151" i="1" a="1"/>
  <c r="H151" i="1" s="1"/>
  <c r="L214" i="1" a="1"/>
  <c r="L214" i="1" s="1"/>
  <c r="B304" i="1" a="1"/>
  <c r="B304" i="1" s="1"/>
  <c r="O54" i="1" a="1"/>
  <c r="O54" i="1" s="1"/>
  <c r="F207" i="1" a="1"/>
  <c r="F207" i="1" s="1"/>
  <c r="F276" i="1" a="1"/>
  <c r="F276" i="1" s="1"/>
  <c r="M252" i="1" a="1"/>
  <c r="M252" i="1" s="1"/>
  <c r="H201" i="1" a="1"/>
  <c r="H201" i="1" s="1"/>
  <c r="R122" i="1" a="1"/>
  <c r="R122" i="1" s="1"/>
  <c r="H39" i="1" a="1"/>
  <c r="H39" i="1" s="1"/>
  <c r="I324" i="1" a="1"/>
  <c r="I324" i="1" s="1"/>
  <c r="G95" i="1" a="1"/>
  <c r="G95" i="1" s="1"/>
  <c r="C118" i="1" a="1"/>
  <c r="C118" i="1" s="1"/>
  <c r="H168" i="1" a="1"/>
  <c r="H168" i="1" s="1"/>
  <c r="I64" i="1" a="1"/>
  <c r="I64" i="1" s="1"/>
  <c r="G187" i="1" a="1"/>
  <c r="G187" i="1" s="1"/>
  <c r="J218" i="1" a="1"/>
  <c r="J218" i="1" s="1"/>
  <c r="C16" i="1" a="1"/>
  <c r="C16" i="1" s="1"/>
  <c r="G70" i="1" a="1"/>
  <c r="G70" i="1" s="1"/>
  <c r="K65" i="1" a="1"/>
  <c r="K65" i="1" s="1"/>
  <c r="Q177" i="1" a="1"/>
  <c r="Q177" i="1" s="1"/>
  <c r="C122" i="1" a="1"/>
  <c r="C122" i="1" s="1"/>
  <c r="D296" i="1" a="1"/>
  <c r="D296" i="1" s="1"/>
  <c r="M197" i="1" a="1"/>
  <c r="M197" i="1" s="1"/>
  <c r="D238" i="1" a="1"/>
  <c r="D238" i="1" s="1"/>
  <c r="F64" i="1" a="1"/>
  <c r="F64" i="1" s="1"/>
  <c r="E283" i="1" a="1"/>
  <c r="E283" i="1" s="1"/>
  <c r="C54" i="1" a="1"/>
  <c r="C54" i="1" s="1"/>
  <c r="J266" i="1" a="1"/>
  <c r="J266" i="1" s="1"/>
  <c r="M302" i="1" a="1"/>
  <c r="M302" i="1" s="1"/>
  <c r="N59" i="1" a="1"/>
  <c r="N59" i="1" s="1"/>
  <c r="I159" i="1" a="1"/>
  <c r="I159" i="1" s="1"/>
  <c r="C192" i="1" a="1"/>
  <c r="C192" i="1" s="1"/>
  <c r="P146" i="1" a="1"/>
  <c r="P146" i="1" s="1"/>
  <c r="B128" i="1" a="1"/>
  <c r="B128" i="1" s="1"/>
  <c r="N65" i="1" a="1"/>
  <c r="N65" i="1" s="1"/>
  <c r="E162" i="1" a="1"/>
  <c r="E162" i="1" s="1"/>
  <c r="K13" i="1" a="1"/>
  <c r="K13" i="1" s="1"/>
  <c r="K305" i="1" a="1"/>
  <c r="K305" i="1" s="1"/>
  <c r="B37" i="1" a="1"/>
  <c r="B37" i="1" s="1"/>
  <c r="N199" i="1" a="1"/>
  <c r="N199" i="1" s="1"/>
  <c r="P311" i="1" a="1"/>
  <c r="P311" i="1" s="1"/>
  <c r="M92" i="1" a="1"/>
  <c r="M92" i="1" s="1"/>
  <c r="F181" i="1" a="1"/>
  <c r="F181" i="1" s="1"/>
  <c r="C72" i="1" a="1"/>
  <c r="C72" i="1" s="1"/>
  <c r="M267" i="1" a="1"/>
  <c r="M267" i="1" s="1"/>
  <c r="M221" i="1" a="1"/>
  <c r="M221" i="1" s="1"/>
  <c r="L200" i="1" a="1"/>
  <c r="L200" i="1" s="1"/>
  <c r="L136" i="1" a="1"/>
  <c r="L136" i="1" s="1"/>
  <c r="H110" i="1" a="1"/>
  <c r="H110" i="1" s="1"/>
  <c r="G196" i="1" a="1"/>
  <c r="G196" i="1" s="1"/>
  <c r="N237" i="1" a="1"/>
  <c r="N237" i="1" s="1"/>
  <c r="O164" i="1" a="1"/>
  <c r="O164" i="1" s="1"/>
  <c r="R32" i="1" a="1"/>
  <c r="R32" i="1" s="1"/>
  <c r="O55" i="1" a="1"/>
  <c r="O55" i="1" s="1"/>
  <c r="C301" i="1" a="1"/>
  <c r="C301" i="1" s="1"/>
  <c r="B181" i="1" a="1"/>
  <c r="B181" i="1" s="1"/>
  <c r="Q298" i="1" a="1"/>
  <c r="Q298" i="1" s="1"/>
  <c r="K8" i="1" a="1"/>
  <c r="K8" i="1" s="1"/>
  <c r="F111" i="1" a="1"/>
  <c r="F111" i="1" s="1"/>
  <c r="E65" i="1" a="1"/>
  <c r="E65" i="1" s="1"/>
  <c r="K66" i="1" a="1"/>
  <c r="K66" i="1" s="1"/>
  <c r="N327" i="1" a="1"/>
  <c r="N327" i="1" s="1"/>
  <c r="Q192" i="1" a="1"/>
  <c r="Q192" i="1" s="1"/>
  <c r="Q232" i="1" a="1"/>
  <c r="Q232" i="1" s="1"/>
  <c r="R210" i="1" a="1"/>
  <c r="R210" i="1" s="1"/>
  <c r="B326" i="1" a="1"/>
  <c r="B326" i="1" s="1"/>
  <c r="N42" i="1" a="1"/>
  <c r="N42" i="1" s="1"/>
  <c r="O302" i="1" a="1"/>
  <c r="O302" i="1" s="1"/>
  <c r="Q319" i="1" a="1"/>
  <c r="Q319" i="1" s="1"/>
  <c r="G241" i="1" a="1"/>
  <c r="G241" i="1" s="1"/>
  <c r="I300" i="1" a="1"/>
  <c r="I300" i="1" s="1"/>
  <c r="C48" i="1" a="1"/>
  <c r="C48" i="1" s="1"/>
  <c r="K71" i="1" a="1"/>
  <c r="K71" i="1" s="1"/>
  <c r="R271" i="1" a="1"/>
  <c r="R271" i="1" s="1"/>
  <c r="Q148" i="1" a="1"/>
  <c r="Q148" i="1" s="1"/>
  <c r="Q307" i="1" a="1"/>
  <c r="Q307" i="1" s="1"/>
  <c r="L275" i="1" a="1"/>
  <c r="L275" i="1" s="1"/>
  <c r="K152" i="1" a="1"/>
  <c r="K152" i="1" s="1"/>
  <c r="P313" i="1" a="1"/>
  <c r="P313" i="1" s="1"/>
  <c r="M215" i="1" a="1"/>
  <c r="M215" i="1" s="1"/>
  <c r="R127" i="1" a="1"/>
  <c r="R127" i="1" s="1"/>
  <c r="D94" i="1" a="1"/>
  <c r="D94" i="1" s="1"/>
  <c r="B137" i="1" a="1"/>
  <c r="B137" i="1" s="1"/>
  <c r="B261" i="1" a="1"/>
  <c r="B261" i="1" s="1"/>
  <c r="E24" i="1" a="1"/>
  <c r="E24" i="1" s="1"/>
  <c r="E11" i="1" a="1"/>
  <c r="E11" i="1" s="1"/>
  <c r="K17" i="1" a="1"/>
  <c r="K17" i="1" s="1"/>
  <c r="R3" i="1" a="1"/>
  <c r="R3" i="1" s="1"/>
  <c r="R208" i="1" a="1"/>
  <c r="R208" i="1" s="1"/>
  <c r="H30" i="1" a="1"/>
  <c r="H30" i="1" s="1"/>
  <c r="G231" i="1" a="1"/>
  <c r="G231" i="1" s="1"/>
  <c r="I130" i="1" a="1"/>
  <c r="I130" i="1" s="1"/>
  <c r="C229" i="1" a="1"/>
  <c r="C229" i="1" s="1"/>
  <c r="G63" i="1" a="1"/>
  <c r="G63" i="1" s="1"/>
  <c r="N238" i="1" a="1"/>
  <c r="N238" i="1" s="1"/>
  <c r="R54" i="1" a="1"/>
  <c r="R54" i="1" s="1"/>
  <c r="B29" i="1" a="1"/>
  <c r="B29" i="1" s="1"/>
  <c r="C64" i="1" a="1"/>
  <c r="C64" i="1" s="1"/>
  <c r="B300" i="1" a="1"/>
  <c r="B300" i="1" s="1"/>
  <c r="M212" i="1" a="1"/>
  <c r="M212" i="1" s="1"/>
  <c r="I149" i="1" a="1"/>
  <c r="I149" i="1" s="1"/>
  <c r="F173" i="1" a="1"/>
  <c r="F173" i="1" s="1"/>
  <c r="C298" i="1" a="1"/>
  <c r="C298" i="1" s="1"/>
  <c r="D137" i="1" a="1"/>
  <c r="D137" i="1" s="1"/>
  <c r="L120" i="1" a="1"/>
  <c r="L120" i="1" s="1"/>
  <c r="H82" i="1" a="1"/>
  <c r="H82" i="1" s="1"/>
  <c r="K34" i="1" a="1"/>
  <c r="K34" i="1" s="1"/>
  <c r="O32" i="1" a="1"/>
  <c r="O32" i="1" s="1"/>
  <c r="R209" i="1" a="1"/>
  <c r="R209" i="1" s="1"/>
  <c r="I84" i="1" a="1"/>
  <c r="I84" i="1" s="1"/>
  <c r="P212" i="1" a="1"/>
  <c r="P212" i="1" s="1"/>
  <c r="E189" i="1" a="1"/>
  <c r="E189" i="1" s="1"/>
  <c r="Q41" i="1" a="1"/>
  <c r="Q41" i="1" s="1"/>
  <c r="N12" i="1" a="1"/>
  <c r="N12" i="1" s="1"/>
  <c r="O21" i="1" a="1"/>
  <c r="O21" i="1" s="1"/>
  <c r="L57" i="1" a="1"/>
  <c r="L57" i="1" s="1"/>
  <c r="E165" i="1" a="1"/>
  <c r="E165" i="1" s="1"/>
  <c r="K94" i="1" a="1"/>
  <c r="K94" i="1" s="1"/>
  <c r="E232" i="1" a="1"/>
  <c r="E232" i="1" s="1"/>
  <c r="K53" i="1" a="1"/>
  <c r="K53" i="1" s="1"/>
  <c r="O82" i="1" a="1"/>
  <c r="O82" i="1" s="1"/>
  <c r="Q216" i="1" a="1"/>
  <c r="Q216" i="1" s="1"/>
  <c r="N51" i="1" a="1"/>
  <c r="N51" i="1" s="1"/>
  <c r="F153" i="1" a="1"/>
  <c r="F153" i="1" s="1"/>
  <c r="P87" i="1" a="1"/>
  <c r="P87" i="1" s="1"/>
  <c r="I41" i="1" a="1"/>
  <c r="I41" i="1" s="1"/>
  <c r="F180" i="1" a="1"/>
  <c r="F180" i="1" s="1"/>
  <c r="N178" i="1" a="1"/>
  <c r="N178" i="1" s="1"/>
  <c r="N31" i="1" a="1"/>
  <c r="N31" i="1" s="1"/>
  <c r="H301" i="1" a="1"/>
  <c r="H301" i="1" s="1"/>
  <c r="M101" i="1" a="1"/>
  <c r="M101" i="1" s="1"/>
  <c r="O3" i="1" a="1"/>
  <c r="O3" i="1" s="1"/>
  <c r="I268" i="1" a="1"/>
  <c r="I268" i="1" s="1"/>
  <c r="N230" i="1" a="1"/>
  <c r="N230" i="1" s="1"/>
  <c r="P244" i="1" a="1"/>
  <c r="P244" i="1" s="1"/>
  <c r="G258" i="1" a="1"/>
  <c r="G258" i="1" s="1"/>
  <c r="I214" i="1" a="1"/>
  <c r="I214" i="1" s="1"/>
  <c r="D285" i="1" a="1"/>
  <c r="D285" i="1" s="1"/>
  <c r="I273" i="1" a="1"/>
  <c r="I273" i="1" s="1"/>
  <c r="R144" i="1" a="1"/>
  <c r="R144" i="1" s="1"/>
  <c r="R35" i="1" a="1"/>
  <c r="R35" i="1" s="1"/>
  <c r="J18" i="1" a="1"/>
  <c r="J18" i="1" s="1"/>
  <c r="P141" i="1" a="1"/>
  <c r="P141" i="1" s="1"/>
  <c r="N103" i="1" a="1"/>
  <c r="N103" i="1" s="1"/>
  <c r="P261" i="1" a="1"/>
  <c r="P261" i="1" s="1"/>
  <c r="B138" i="1" a="1"/>
  <c r="B138" i="1" s="1"/>
  <c r="P131" i="1" a="1"/>
  <c r="P131" i="1" s="1"/>
  <c r="K138" i="1" a="1"/>
  <c r="K138" i="1" s="1"/>
  <c r="H225" i="1" a="1"/>
  <c r="H225" i="1" s="1"/>
  <c r="P52" i="1" a="1"/>
  <c r="P52" i="1" s="1"/>
  <c r="R25" i="1" a="1"/>
  <c r="R25" i="1" s="1"/>
  <c r="C89" i="1" a="1"/>
  <c r="C89" i="1" s="1"/>
  <c r="B44" i="1" a="1"/>
  <c r="B44" i="1" s="1"/>
  <c r="K241" i="1" a="1"/>
  <c r="K241" i="1" s="1"/>
  <c r="K151" i="1" a="1"/>
  <c r="K151" i="1" s="1"/>
  <c r="Q315" i="1" a="1"/>
  <c r="Q315" i="1" s="1"/>
  <c r="D150" i="1" a="1"/>
  <c r="D150" i="1" s="1"/>
  <c r="E188" i="1" a="1"/>
  <c r="E188" i="1" s="1"/>
  <c r="I26" i="1" a="1"/>
  <c r="I26" i="1" s="1"/>
  <c r="C124" i="1" a="1"/>
  <c r="C124" i="1" s="1"/>
  <c r="R63" i="1" a="1"/>
  <c r="R63" i="1" s="1"/>
  <c r="E36" i="1" a="1"/>
  <c r="E36" i="1" s="1"/>
  <c r="Q159" i="1" a="1"/>
  <c r="Q159" i="1" s="1"/>
  <c r="G253" i="1" a="1"/>
  <c r="G253" i="1" s="1"/>
  <c r="M49" i="1" a="1"/>
  <c r="M49" i="1" s="1"/>
  <c r="H11" i="1" a="1"/>
  <c r="H11" i="1" s="1"/>
  <c r="F101" i="1" a="1"/>
  <c r="F101" i="1" s="1"/>
  <c r="L97" i="1" a="1"/>
  <c r="L97" i="1" s="1"/>
  <c r="J137" i="1" a="1"/>
  <c r="J137" i="1" s="1"/>
  <c r="Q287" i="1" a="1"/>
  <c r="Q287" i="1" s="1"/>
  <c r="J247" i="1" a="1"/>
  <c r="J247" i="1" s="1"/>
  <c r="H275" i="1" a="1"/>
  <c r="H275" i="1" s="1"/>
  <c r="G36" i="1" a="1"/>
  <c r="G36" i="1" s="1"/>
  <c r="P174" i="1" a="1"/>
  <c r="P174" i="1" s="1"/>
  <c r="M241" i="1" a="1"/>
  <c r="M241" i="1" s="1"/>
  <c r="P133" i="1" a="1"/>
  <c r="P133" i="1" s="1"/>
  <c r="L74" i="1" a="1"/>
  <c r="L74" i="1" s="1"/>
  <c r="C257" i="1" a="1"/>
  <c r="C257" i="1" s="1"/>
  <c r="J240" i="1" a="1"/>
  <c r="J240" i="1" s="1"/>
  <c r="D141" i="1" a="1"/>
  <c r="D141" i="1" s="1"/>
  <c r="J307" i="1" a="1"/>
  <c r="J307" i="1" s="1"/>
  <c r="F88" i="1" a="1"/>
  <c r="F88" i="1" s="1"/>
  <c r="B26" i="1" a="1"/>
  <c r="B26" i="1" s="1"/>
  <c r="J128" i="1" a="1"/>
  <c r="J128" i="1" s="1"/>
  <c r="O287" i="1" a="1"/>
  <c r="O287" i="1" s="1"/>
  <c r="B327" i="1" a="1"/>
  <c r="B327" i="1" s="1"/>
  <c r="O244" i="1" a="1"/>
  <c r="O244" i="1" s="1"/>
  <c r="N89" i="1" a="1"/>
  <c r="N89" i="1" s="1"/>
  <c r="J100" i="1" a="1"/>
  <c r="J100" i="1" s="1"/>
  <c r="F206" i="1" a="1"/>
  <c r="F206" i="1" s="1"/>
  <c r="D131" i="1" a="1"/>
  <c r="D131" i="1" s="1"/>
  <c r="O227" i="1" a="1"/>
  <c r="O227" i="1" s="1"/>
  <c r="C140" i="1" a="1"/>
  <c r="C140" i="1" s="1"/>
  <c r="F304" i="1" a="1"/>
  <c r="F304" i="1" s="1"/>
  <c r="G117" i="1" a="1"/>
  <c r="G117" i="1" s="1"/>
  <c r="K251" i="1" a="1"/>
  <c r="K251" i="1" s="1"/>
  <c r="D211" i="1" a="1"/>
  <c r="D211" i="1" s="1"/>
  <c r="K207" i="1" a="1"/>
  <c r="K207" i="1" s="1"/>
  <c r="L174" i="1" a="1"/>
  <c r="L174" i="1" s="1"/>
  <c r="F43" i="1" a="1"/>
  <c r="F43" i="1" s="1"/>
  <c r="Q142" i="1" a="1"/>
  <c r="Q142" i="1" s="1"/>
  <c r="K240" i="1" a="1"/>
  <c r="K240" i="1" s="1"/>
  <c r="Q167" i="1" a="1"/>
  <c r="Q167" i="1" s="1"/>
  <c r="M286" i="1" a="1"/>
  <c r="M286" i="1" s="1"/>
  <c r="F138" i="1" a="1"/>
  <c r="F138" i="1" s="1"/>
  <c r="Q49" i="1" a="1"/>
  <c r="Q49" i="1" s="1"/>
  <c r="M303" i="1" a="1"/>
  <c r="M303" i="1" s="1"/>
  <c r="L66" i="1" a="1"/>
  <c r="L66" i="1" s="1"/>
  <c r="R327" i="1" a="1"/>
  <c r="R327" i="1" s="1"/>
  <c r="B121" i="1" a="1"/>
  <c r="B121" i="1" s="1"/>
  <c r="G223" i="1" a="1"/>
  <c r="G223" i="1" s="1"/>
  <c r="L47" i="1" a="1"/>
  <c r="L47" i="1" s="1"/>
  <c r="Q75" i="1" a="1"/>
  <c r="Q75" i="1" s="1"/>
  <c r="H221" i="1" a="1"/>
  <c r="H221" i="1" s="1"/>
  <c r="I168" i="1" a="1"/>
  <c r="I168" i="1" s="1"/>
  <c r="R171" i="1" a="1"/>
  <c r="R171" i="1" s="1"/>
  <c r="F116" i="1" a="1"/>
  <c r="F116" i="1" s="1"/>
  <c r="L261" i="1" a="1"/>
  <c r="L261" i="1" s="1"/>
  <c r="B134" i="1" a="1"/>
  <c r="B134" i="1" s="1"/>
  <c r="P303" i="1" a="1"/>
  <c r="P303" i="1" s="1"/>
  <c r="O250" i="1" a="1"/>
  <c r="O250" i="1" s="1"/>
  <c r="E112" i="1" a="1"/>
  <c r="E112" i="1" s="1"/>
  <c r="L248" i="1" a="1"/>
  <c r="L248" i="1" s="1"/>
  <c r="M86" i="1" a="1"/>
  <c r="M86" i="1" s="1"/>
  <c r="E106" i="1" a="1"/>
  <c r="E106" i="1" s="1"/>
  <c r="J255" i="1" a="1"/>
  <c r="J255" i="1" s="1"/>
  <c r="Q171" i="1" a="1"/>
  <c r="Q171" i="1" s="1"/>
  <c r="J177" i="1" a="1"/>
  <c r="J177" i="1" s="1"/>
  <c r="H215" i="1" a="1"/>
  <c r="H215" i="1" s="1"/>
  <c r="Q272" i="1" a="1"/>
  <c r="Q272" i="1" s="1"/>
  <c r="H312" i="1" a="1"/>
  <c r="H312" i="1" s="1"/>
  <c r="O222" i="1" a="1"/>
  <c r="O222" i="1" s="1"/>
  <c r="L221" i="1" a="1"/>
  <c r="L221" i="1" s="1"/>
  <c r="O119" i="1" a="1"/>
  <c r="O119" i="1" s="1"/>
  <c r="I305" i="1" a="1"/>
  <c r="I305" i="1" s="1"/>
  <c r="H147" i="1" a="1"/>
  <c r="H147" i="1" s="1"/>
  <c r="M148" i="1" a="1"/>
  <c r="M148" i="1" s="1"/>
  <c r="C22" i="1" a="1"/>
  <c r="C22" i="1" s="1"/>
  <c r="R153" i="1" a="1"/>
  <c r="R153" i="1" s="1"/>
  <c r="D16" i="1" a="1"/>
  <c r="D16" i="1" s="1"/>
  <c r="H142" i="1" a="1"/>
  <c r="H142" i="1" s="1"/>
  <c r="H291" i="1" a="1"/>
  <c r="H291" i="1" s="1"/>
  <c r="O24" i="1" a="1"/>
  <c r="O24" i="1" s="1"/>
  <c r="G75" i="1" a="1"/>
  <c r="G75" i="1" s="1"/>
  <c r="N213" i="1" a="1"/>
  <c r="N213" i="1" s="1"/>
  <c r="R241" i="1" a="1"/>
  <c r="R241" i="1" s="1"/>
  <c r="J178" i="1" a="1"/>
  <c r="J178" i="1" s="1"/>
  <c r="K211" i="1" a="1"/>
  <c r="K211" i="1" s="1"/>
  <c r="E152" i="1" a="1"/>
  <c r="E152" i="1" s="1"/>
  <c r="F250" i="1" a="1"/>
  <c r="F250" i="1" s="1"/>
  <c r="N117" i="1" a="1"/>
  <c r="N117" i="1" s="1"/>
  <c r="D313" i="1" a="1"/>
  <c r="D313" i="1" s="1"/>
  <c r="N208" i="1" a="1"/>
  <c r="N208" i="1" s="1"/>
  <c r="R239" i="1" a="1"/>
  <c r="R239" i="1" s="1"/>
  <c r="B232" i="1" a="1"/>
  <c r="B232" i="1" s="1"/>
  <c r="B27" i="1" a="1"/>
  <c r="B27" i="1" s="1"/>
  <c r="K300" i="1" a="1"/>
  <c r="K300" i="1" s="1"/>
  <c r="O101" i="1" a="1"/>
  <c r="O101" i="1" s="1"/>
  <c r="I102" i="1" a="1"/>
  <c r="I102" i="1" s="1"/>
  <c r="P240" i="1" a="1"/>
  <c r="P240" i="1" s="1"/>
  <c r="E208" i="1" a="1"/>
  <c r="E208" i="1" s="1"/>
  <c r="R188" i="1" a="1"/>
  <c r="R188" i="1" s="1"/>
  <c r="F177" i="1" a="1"/>
  <c r="F177" i="1" s="1"/>
  <c r="E111" i="1" a="1"/>
  <c r="E111" i="1" s="1"/>
  <c r="L305" i="1" a="1"/>
  <c r="L305" i="1" s="1"/>
  <c r="C73" i="1" a="1"/>
  <c r="C73" i="1" s="1"/>
  <c r="G268" i="1" a="1"/>
  <c r="G268" i="1" s="1"/>
  <c r="B159" i="1" a="1"/>
  <c r="B159" i="1" s="1"/>
  <c r="L188" i="1" a="1"/>
  <c r="L188" i="1" s="1"/>
  <c r="J4" i="1" a="1"/>
  <c r="J4" i="1" s="1"/>
  <c r="I220" i="1" a="1"/>
  <c r="I220" i="1" s="1"/>
  <c r="H35" i="1" a="1"/>
  <c r="H35" i="1" s="1"/>
  <c r="K200" i="1" a="1"/>
  <c r="K200" i="1" s="1"/>
  <c r="O245" i="1" a="1"/>
  <c r="O245" i="1" s="1"/>
  <c r="P137" i="1" a="1"/>
  <c r="P137" i="1" s="1"/>
  <c r="O284" i="1" a="1"/>
  <c r="O284" i="1" s="1"/>
  <c r="Q62" i="1" a="1"/>
  <c r="Q62" i="1" s="1"/>
  <c r="G92" i="1" a="1"/>
  <c r="G92" i="1" s="1"/>
  <c r="J184" i="1" a="1"/>
  <c r="J184" i="1" s="1"/>
  <c r="N127" i="1" a="1"/>
  <c r="N127" i="1" s="1"/>
  <c r="P229" i="1" a="1"/>
  <c r="P229" i="1" s="1"/>
  <c r="N296" i="1" a="1"/>
  <c r="N296" i="1" s="1"/>
  <c r="M55" i="1" a="1"/>
  <c r="M55" i="1" s="1"/>
  <c r="N311" i="1" a="1"/>
  <c r="N311" i="1" s="1"/>
  <c r="Q31" i="1" a="1"/>
  <c r="Q31" i="1" s="1"/>
  <c r="J24" i="1" a="1"/>
  <c r="J24" i="1" s="1"/>
  <c r="R316" i="1" a="1"/>
  <c r="R316" i="1" s="1"/>
  <c r="J64" i="1" a="1"/>
  <c r="J64" i="1" s="1"/>
  <c r="N48" i="1" a="1"/>
  <c r="N48" i="1" s="1"/>
  <c r="Q234" i="1" a="1"/>
  <c r="Q234" i="1" s="1"/>
  <c r="O110" i="1" a="1"/>
  <c r="O110" i="1" s="1"/>
  <c r="J293" i="1" a="1"/>
  <c r="J293" i="1" s="1"/>
  <c r="F323" i="1" a="1"/>
  <c r="F323" i="1" s="1"/>
  <c r="G247" i="1" a="1"/>
  <c r="G247" i="1" s="1"/>
  <c r="H50" i="1" a="1"/>
  <c r="H50" i="1" s="1"/>
  <c r="L314" i="1" a="1"/>
  <c r="L314" i="1" s="1"/>
  <c r="L61" i="1" a="1"/>
  <c r="L61" i="1" s="1"/>
  <c r="C68" i="1" a="1"/>
  <c r="C68" i="1" s="1"/>
  <c r="D242" i="1" a="1"/>
  <c r="D242" i="1" s="1"/>
  <c r="B45" i="1" a="1"/>
  <c r="B45" i="1" s="1"/>
  <c r="L5" i="1" a="1"/>
  <c r="L5" i="1" s="1"/>
  <c r="O69" i="1" a="1"/>
  <c r="O69" i="1" s="1"/>
  <c r="C246" i="1" a="1"/>
  <c r="C246" i="1" s="1"/>
  <c r="E31" i="1" a="1"/>
  <c r="E31" i="1" s="1"/>
  <c r="J197" i="1" a="1"/>
  <c r="J197" i="1" s="1"/>
  <c r="M149" i="1" a="1"/>
  <c r="M149" i="1" s="1"/>
  <c r="H274" i="1" a="1"/>
  <c r="H274" i="1" s="1"/>
  <c r="K237" i="1" a="1"/>
  <c r="K237" i="1" s="1"/>
  <c r="B165" i="1" a="1"/>
  <c r="B165" i="1" s="1"/>
  <c r="H223" i="1" a="1"/>
  <c r="H223" i="1" s="1"/>
  <c r="G295" i="1" a="1"/>
  <c r="G295" i="1" s="1"/>
  <c r="F184" i="1" a="1"/>
  <c r="F184" i="1" s="1"/>
  <c r="I178" i="1" a="1"/>
  <c r="I178" i="1" s="1"/>
  <c r="H266" i="1" a="1"/>
  <c r="H266" i="1" s="1"/>
  <c r="C67" i="1" a="1"/>
  <c r="C67" i="1" s="1"/>
  <c r="L225" i="1" a="1"/>
  <c r="L225" i="1" s="1"/>
  <c r="D316" i="1" a="1"/>
  <c r="D316" i="1" s="1"/>
  <c r="H286" i="1" a="1"/>
  <c r="H286" i="1" s="1"/>
  <c r="O74" i="1" a="1"/>
  <c r="O74" i="1" s="1"/>
  <c r="P90" i="1" a="1"/>
  <c r="P90" i="1" s="1"/>
  <c r="P109" i="1" a="1"/>
  <c r="P109" i="1" s="1"/>
  <c r="G155" i="1" a="1"/>
  <c r="G155" i="1" s="1"/>
  <c r="C276" i="1" a="1"/>
  <c r="C276" i="1" s="1"/>
  <c r="N223" i="1" a="1"/>
  <c r="N223" i="1" s="1"/>
  <c r="H156" i="1" a="1"/>
  <c r="H156" i="1" s="1"/>
  <c r="P136" i="1" a="1"/>
  <c r="P136" i="1" s="1"/>
  <c r="L2" i="1" a="1"/>
  <c r="L2" i="1" s="1"/>
  <c r="R211" i="1" a="1"/>
  <c r="R211" i="1" s="1"/>
  <c r="H327" i="1" a="1"/>
  <c r="H327" i="1" s="1"/>
  <c r="R113" i="1" a="1"/>
  <c r="R113" i="1" s="1"/>
  <c r="N167" i="1" a="1"/>
  <c r="N167" i="1" s="1"/>
  <c r="Q285" i="1" a="1"/>
  <c r="Q285" i="1" s="1"/>
  <c r="H99" i="1" a="1"/>
  <c r="H99" i="1" s="1"/>
  <c r="H173" i="1" a="1"/>
  <c r="H173" i="1" s="1"/>
  <c r="J15" i="1" a="1"/>
  <c r="J15" i="1" s="1"/>
  <c r="G274" i="1" a="1"/>
  <c r="G274" i="1" s="1"/>
  <c r="H269" i="1" a="1"/>
  <c r="H269" i="1" s="1"/>
  <c r="D171" i="1" a="1"/>
  <c r="D171" i="1" s="1"/>
  <c r="P211" i="1" a="1"/>
  <c r="P211" i="1" s="1"/>
  <c r="I209" i="1" a="1"/>
  <c r="I209" i="1" s="1"/>
  <c r="D322" i="1" a="1"/>
  <c r="D322" i="1" s="1"/>
  <c r="E261" i="1" a="1"/>
  <c r="E261" i="1" s="1"/>
  <c r="N260" i="1" a="1"/>
  <c r="N260" i="1" s="1"/>
  <c r="H300" i="1" a="1"/>
  <c r="H300" i="1" s="1"/>
  <c r="N253" i="1" a="1"/>
  <c r="N253" i="1" s="1"/>
  <c r="Q147" i="1" a="1"/>
  <c r="Q147" i="1" s="1"/>
  <c r="B169" i="1" a="1"/>
  <c r="B169" i="1" s="1"/>
  <c r="N45" i="1" a="1"/>
  <c r="N45" i="1" s="1"/>
  <c r="K178" i="1" a="1"/>
  <c r="K178" i="1" s="1"/>
  <c r="K320" i="1" a="1"/>
  <c r="K320" i="1" s="1"/>
  <c r="P128" i="1" a="1"/>
  <c r="P128" i="1" s="1"/>
  <c r="L255" i="1" a="1"/>
  <c r="L255" i="1" s="1"/>
  <c r="J271" i="1" a="1"/>
  <c r="J271" i="1" s="1"/>
  <c r="I30" i="1" a="1"/>
  <c r="I30" i="1" s="1"/>
  <c r="R180" i="1" a="1"/>
  <c r="R180" i="1" s="1"/>
  <c r="L65" i="1" a="1"/>
  <c r="L65" i="1" s="1"/>
  <c r="F178" i="1" a="1"/>
  <c r="F178" i="1" s="1"/>
  <c r="H272" i="1" a="1"/>
  <c r="H272" i="1" s="1"/>
  <c r="C324" i="1" a="1"/>
  <c r="C324" i="1" s="1"/>
  <c r="I56" i="1" a="1"/>
  <c r="I56" i="1" s="1"/>
  <c r="M179" i="1" a="1"/>
  <c r="M179" i="1" s="1"/>
  <c r="H29" i="1" a="1"/>
  <c r="H29" i="1" s="1"/>
  <c r="E91" i="1" a="1"/>
  <c r="E91" i="1" s="1"/>
  <c r="H8" i="1" a="1"/>
  <c r="H8" i="1" s="1"/>
  <c r="B204" i="1" a="1"/>
  <c r="B204" i="1" s="1"/>
  <c r="R55" i="1" a="1"/>
  <c r="R55" i="1" s="1"/>
  <c r="C17" i="1" a="1"/>
  <c r="C17" i="1" s="1"/>
  <c r="H127" i="1" a="1"/>
  <c r="H127" i="1" s="1"/>
  <c r="O134" i="1" a="1"/>
  <c r="O134" i="1" s="1"/>
  <c r="E139" i="1" a="1"/>
  <c r="E139" i="1" s="1"/>
  <c r="F246" i="1" a="1"/>
  <c r="F246" i="1" s="1"/>
  <c r="F109" i="1" a="1"/>
  <c r="F109" i="1" s="1"/>
  <c r="K130" i="1" a="1"/>
  <c r="K130" i="1" s="1"/>
  <c r="E32" i="1" a="1"/>
  <c r="E32" i="1" s="1"/>
  <c r="F126" i="1" a="1"/>
  <c r="F126" i="1" s="1"/>
  <c r="O36" i="1" a="1"/>
  <c r="O36" i="1" s="1"/>
  <c r="P16" i="1" a="1"/>
  <c r="P16" i="1" s="1"/>
  <c r="B22" i="1" a="1"/>
  <c r="B22" i="1" s="1"/>
  <c r="K184" i="1" a="1"/>
  <c r="K184" i="1" s="1"/>
  <c r="E231" i="1" a="1"/>
  <c r="E231" i="1" s="1"/>
  <c r="H308" i="1" a="1"/>
  <c r="H308" i="1" s="1"/>
  <c r="O144" i="1" a="1"/>
  <c r="O144" i="1" s="1"/>
  <c r="Q57" i="1" a="1"/>
  <c r="Q57" i="1" s="1"/>
  <c r="O107" i="1" a="1"/>
  <c r="O107" i="1" s="1"/>
  <c r="N305" i="1" a="1"/>
  <c r="N305" i="1" s="1"/>
  <c r="M7" i="1" a="1"/>
  <c r="M7" i="1" s="1"/>
  <c r="J234" i="1" a="1"/>
  <c r="J234" i="1" s="1"/>
  <c r="R176" i="1" a="1"/>
  <c r="R176" i="1" s="1"/>
  <c r="D155" i="1" a="1"/>
  <c r="D155" i="1" s="1"/>
  <c r="L220" i="1" a="1"/>
  <c r="L220" i="1" s="1"/>
  <c r="L96" i="1" a="1"/>
  <c r="L96" i="1" s="1"/>
  <c r="O42" i="1" a="1"/>
  <c r="O42" i="1" s="1"/>
  <c r="H87" i="1" a="1"/>
  <c r="H87" i="1" s="1"/>
  <c r="M111" i="1" a="1"/>
  <c r="M111" i="1" s="1"/>
  <c r="H299" i="1" a="1"/>
  <c r="H299" i="1" s="1"/>
  <c r="I252" i="1" a="1"/>
  <c r="I252" i="1" s="1"/>
  <c r="R12" i="1" a="1"/>
  <c r="R12" i="1" s="1"/>
  <c r="K143" i="1" a="1"/>
  <c r="K143" i="1" s="1"/>
  <c r="G314" i="1" a="1"/>
  <c r="G314" i="1" s="1"/>
  <c r="E206" i="1" a="1"/>
  <c r="E206" i="1" s="1"/>
  <c r="E88" i="1" a="1"/>
  <c r="E88" i="1" s="1"/>
  <c r="E37" i="1" a="1"/>
  <c r="E37" i="1" s="1"/>
  <c r="R269" i="1" a="1"/>
  <c r="R269" i="1" s="1"/>
  <c r="M121" i="1" a="1"/>
  <c r="M121" i="1" s="1"/>
  <c r="B8" i="1" a="1"/>
  <c r="B8" i="1" s="1"/>
  <c r="D52" i="1" a="1"/>
  <c r="D52" i="1" s="1"/>
  <c r="N92" i="1" a="1"/>
  <c r="N92" i="1" s="1"/>
  <c r="R218" i="1" a="1"/>
  <c r="R218" i="1" s="1"/>
  <c r="J40" i="1" a="1"/>
  <c r="J40" i="1" s="1"/>
  <c r="E299" i="1" a="1"/>
  <c r="E299" i="1" s="1"/>
  <c r="E241" i="1" a="1"/>
  <c r="E241" i="1" s="1"/>
  <c r="O194" i="1" a="1"/>
  <c r="O194" i="1" s="1"/>
  <c r="M180" i="1" a="1"/>
  <c r="M180" i="1" s="1"/>
  <c r="D170" i="1" a="1"/>
  <c r="D170" i="1" s="1"/>
  <c r="R233" i="1" a="1"/>
  <c r="R233" i="1" s="1"/>
  <c r="K274" i="1" a="1"/>
  <c r="K274" i="1" s="1"/>
  <c r="J262" i="1" a="1"/>
  <c r="J262" i="1" s="1"/>
  <c r="H255" i="1" a="1"/>
  <c r="H255" i="1" s="1"/>
  <c r="L303" i="1" a="1"/>
  <c r="L303" i="1" s="1"/>
  <c r="I17" i="1" a="1"/>
  <c r="I17" i="1" s="1"/>
  <c r="D172" i="1" a="1"/>
  <c r="D172" i="1" s="1"/>
  <c r="D210" i="1" a="1"/>
  <c r="D210" i="1" s="1"/>
  <c r="B125" i="1" a="1"/>
  <c r="B125" i="1" s="1"/>
  <c r="K16" i="1" a="1"/>
  <c r="K16" i="1" s="1"/>
  <c r="N318" i="1" a="1"/>
  <c r="N318" i="1" s="1"/>
  <c r="G139" i="1" a="1"/>
  <c r="G139" i="1" s="1"/>
  <c r="G286" i="1" a="1"/>
  <c r="G286" i="1" s="1"/>
  <c r="F238" i="1" a="1"/>
  <c r="F238" i="1" s="1"/>
  <c r="D85" i="1" a="1"/>
  <c r="D85" i="1" s="1"/>
  <c r="J42" i="1" a="1"/>
  <c r="J42" i="1" s="1"/>
  <c r="D286" i="1" a="1"/>
  <c r="D286" i="1" s="1"/>
  <c r="K90" i="1" a="1"/>
  <c r="K90" i="1" s="1"/>
  <c r="I225" i="1" a="1"/>
  <c r="I225" i="1" s="1"/>
  <c r="D236" i="1" a="1"/>
  <c r="D236" i="1" s="1"/>
  <c r="F264" i="1" a="1"/>
  <c r="F264" i="1" s="1"/>
  <c r="F128" i="1" a="1"/>
  <c r="F128" i="1" s="1"/>
  <c r="M166" i="1" a="1"/>
  <c r="M166" i="1" s="1"/>
  <c r="Q152" i="1" a="1"/>
  <c r="Q152" i="1" s="1"/>
  <c r="C71" i="1" a="1"/>
  <c r="C71" i="1" s="1"/>
  <c r="J287" i="1" a="1"/>
  <c r="J287" i="1" s="1"/>
  <c r="N326" i="1" a="1"/>
  <c r="N326" i="1" s="1"/>
  <c r="K317" i="1" a="1"/>
  <c r="K317" i="1" s="1"/>
  <c r="F195" i="1" a="1"/>
  <c r="F195" i="1" s="1"/>
  <c r="P80" i="1" a="1"/>
  <c r="P80" i="1" s="1"/>
  <c r="B52" i="1" a="1"/>
  <c r="B52" i="1" s="1"/>
  <c r="K39" i="1" a="1"/>
  <c r="K39" i="1" s="1"/>
  <c r="P65" i="1" a="1"/>
  <c r="P65" i="1" s="1"/>
  <c r="E226" i="1" a="1"/>
  <c r="E226" i="1" s="1"/>
  <c r="O304" i="1" a="1"/>
  <c r="O304" i="1" s="1"/>
  <c r="K319" i="1" a="1"/>
  <c r="K319" i="1" s="1"/>
  <c r="M279" i="1" a="1"/>
  <c r="M279" i="1" s="1"/>
  <c r="O18" i="1" a="1"/>
  <c r="O18" i="1" s="1"/>
  <c r="L239" i="1" a="1"/>
  <c r="L239" i="1" s="1"/>
  <c r="G138" i="1" a="1"/>
  <c r="G138" i="1" s="1"/>
  <c r="P98" i="1" a="1"/>
  <c r="P98" i="1" s="1"/>
  <c r="K235" i="1" a="1"/>
  <c r="K235" i="1" s="1"/>
  <c r="K284" i="1" a="1"/>
  <c r="K284" i="1" s="1"/>
  <c r="R212" i="1" a="1"/>
  <c r="R212" i="1" s="1"/>
  <c r="O19" i="1" a="1"/>
  <c r="O19" i="1" s="1"/>
  <c r="H97" i="1" a="1"/>
  <c r="H97" i="1" s="1"/>
  <c r="F89" i="1" a="1"/>
  <c r="F89" i="1" s="1"/>
  <c r="E66" i="1" a="1"/>
  <c r="E66" i="1" s="1"/>
  <c r="N287" i="1" a="1"/>
  <c r="N287" i="1" s="1"/>
  <c r="K4" i="1" a="1"/>
  <c r="K4" i="1" s="1"/>
  <c r="D292" i="1" a="1"/>
  <c r="D292" i="1" s="1"/>
  <c r="B220" i="1" a="1"/>
  <c r="B220" i="1" s="1"/>
  <c r="C7" i="1" a="1"/>
  <c r="C7" i="1" s="1"/>
  <c r="I76" i="1" a="1"/>
  <c r="I76" i="1" s="1"/>
  <c r="O122" i="1" a="1"/>
  <c r="O122" i="1" s="1"/>
  <c r="Q324" i="1" a="1"/>
  <c r="Q324" i="1" s="1"/>
  <c r="K214" i="1" a="1"/>
  <c r="K214" i="1" s="1"/>
  <c r="J144" i="1" a="1"/>
  <c r="J144" i="1" s="1"/>
  <c r="I238" i="1" a="1"/>
  <c r="I238" i="1" s="1"/>
  <c r="E187" i="1" a="1"/>
  <c r="E187" i="1" s="1"/>
  <c r="H113" i="1" a="1"/>
  <c r="H113" i="1" s="1"/>
  <c r="D264" i="1" a="1"/>
  <c r="D264" i="1" s="1"/>
  <c r="R94" i="1" a="1"/>
  <c r="R94" i="1" s="1"/>
  <c r="G310" i="1" a="1"/>
  <c r="G310" i="1" s="1"/>
  <c r="L4" i="1" a="1"/>
  <c r="L4" i="1" s="1"/>
  <c r="R95" i="1" a="1"/>
  <c r="R95" i="1" s="1"/>
  <c r="Q18" i="1" a="1"/>
  <c r="Q18" i="1" s="1"/>
  <c r="H322" i="1" a="1"/>
  <c r="H322" i="1" s="1"/>
  <c r="H66" i="1" a="1"/>
  <c r="H66" i="1" s="1"/>
  <c r="P264" i="1" a="1"/>
  <c r="P264" i="1" s="1"/>
  <c r="H112" i="1" a="1"/>
  <c r="H112" i="1" s="1"/>
  <c r="P117" i="1" a="1"/>
  <c r="P117" i="1" s="1"/>
  <c r="R39" i="1" a="1"/>
  <c r="R39" i="1" s="1"/>
  <c r="R229" i="1" a="1"/>
  <c r="R229" i="1" s="1"/>
  <c r="N286" i="1" a="1"/>
  <c r="N286" i="1" s="1"/>
  <c r="R61" i="1" a="1"/>
  <c r="R61" i="1" s="1"/>
  <c r="C165" i="1" a="1"/>
  <c r="C165" i="1" s="1"/>
  <c r="G27" i="1" a="1"/>
  <c r="G27" i="1" s="1"/>
  <c r="C200" i="1" a="1"/>
  <c r="C200" i="1" s="1"/>
  <c r="R50" i="1" a="1"/>
  <c r="R50" i="1" s="1"/>
  <c r="G262" i="1" a="1"/>
  <c r="G262" i="1" s="1"/>
  <c r="B81" i="1" a="1"/>
  <c r="B81" i="1" s="1"/>
  <c r="K304" i="1" a="1"/>
  <c r="K304" i="1" s="1"/>
  <c r="K307" i="1" a="1"/>
  <c r="K307" i="1" s="1"/>
  <c r="R26" i="1" a="1"/>
  <c r="R26" i="1" s="1"/>
  <c r="R86" i="1" a="1"/>
  <c r="R86" i="1" s="1"/>
  <c r="I144" i="1" a="1"/>
  <c r="I144" i="1" s="1"/>
  <c r="F243" i="1" a="1"/>
  <c r="F243" i="1" s="1"/>
  <c r="D202" i="1" a="1"/>
  <c r="D202" i="1" s="1"/>
  <c r="I115" i="1" a="1"/>
  <c r="I115" i="1" s="1"/>
  <c r="D256" i="1" a="1"/>
  <c r="D256" i="1" s="1"/>
  <c r="D304" i="1" a="1"/>
  <c r="D304" i="1" s="1"/>
  <c r="I274" i="1" a="1"/>
  <c r="I274" i="1" s="1"/>
  <c r="E146" i="1" a="1"/>
  <c r="E146" i="1" s="1"/>
  <c r="P71" i="1" a="1"/>
  <c r="P71" i="1" s="1"/>
  <c r="R299" i="1" a="1"/>
  <c r="R299" i="1" s="1"/>
  <c r="D257" i="1" a="1"/>
  <c r="D257" i="1" s="1"/>
  <c r="O292" i="1" a="1"/>
  <c r="O292" i="1" s="1"/>
  <c r="P9" i="1" a="1"/>
  <c r="P9" i="1" s="1"/>
  <c r="Q56" i="1" a="1"/>
  <c r="Q56" i="1" s="1"/>
  <c r="C39" i="1" a="1"/>
  <c r="C39" i="1" s="1"/>
  <c r="P150" i="1" a="1"/>
  <c r="P150" i="1" s="1"/>
  <c r="E96" i="1" a="1"/>
  <c r="E96" i="1" s="1"/>
  <c r="I192" i="1" a="1"/>
  <c r="I192" i="1" s="1"/>
  <c r="H276" i="1" a="1"/>
  <c r="H276" i="1" s="1"/>
  <c r="J66" i="1" a="1"/>
  <c r="J66" i="1" s="1"/>
  <c r="R306" i="1" a="1"/>
  <c r="R306" i="1" s="1"/>
  <c r="Q290" i="1" a="1"/>
  <c r="Q290" i="1" s="1"/>
  <c r="G57" i="1" a="1"/>
  <c r="G57" i="1" s="1"/>
  <c r="J167" i="1" a="1"/>
  <c r="J167" i="1" s="1"/>
  <c r="K276" i="1" a="1"/>
  <c r="K276" i="1" s="1"/>
  <c r="Q85" i="1" a="1"/>
  <c r="Q85" i="1" s="1"/>
  <c r="G116" i="1" a="1"/>
  <c r="G116" i="1" s="1"/>
  <c r="B38" i="1" a="1"/>
  <c r="B38" i="1" s="1"/>
  <c r="I70" i="1" a="1"/>
  <c r="I70" i="1" s="1"/>
  <c r="P177" i="1" a="1"/>
  <c r="P177" i="1" s="1"/>
  <c r="E269" i="1" a="1"/>
  <c r="E269" i="1" s="1"/>
  <c r="G252" i="1" a="1"/>
  <c r="G252" i="1" s="1"/>
  <c r="Q181" i="1" a="1"/>
  <c r="Q181" i="1" s="1"/>
  <c r="L18" i="1" a="1"/>
  <c r="L18" i="1" s="1"/>
  <c r="G32" i="1" a="1"/>
  <c r="G32" i="1" s="1"/>
  <c r="E119" i="1" a="1"/>
  <c r="E119" i="1" s="1"/>
  <c r="O5" i="1" a="1"/>
  <c r="O5" i="1" s="1"/>
  <c r="I247" i="1" a="1"/>
  <c r="I247" i="1" s="1"/>
  <c r="N10" i="1" a="1"/>
  <c r="N10" i="1" s="1"/>
  <c r="E246" i="1" a="1"/>
  <c r="E246" i="1" s="1"/>
  <c r="F271" i="1" a="1"/>
  <c r="F271" i="1" s="1"/>
  <c r="D71" i="1" a="1"/>
  <c r="D71" i="1" s="1"/>
  <c r="M136" i="1" a="1"/>
  <c r="M136" i="1" s="1"/>
  <c r="B66" i="1" a="1"/>
  <c r="B66" i="1" s="1"/>
  <c r="R132" i="1" a="1"/>
  <c r="R132" i="1" s="1"/>
  <c r="I303" i="1" a="1"/>
  <c r="I303" i="1" s="1"/>
  <c r="O100" i="1" a="1"/>
  <c r="O100" i="1" s="1"/>
  <c r="G143" i="1" a="1"/>
  <c r="G143" i="1" s="1"/>
  <c r="D294" i="1" a="1"/>
  <c r="D294" i="1" s="1"/>
  <c r="J26" i="1" a="1"/>
  <c r="J26" i="1" s="1"/>
  <c r="R198" i="1" a="1"/>
  <c r="R198" i="1" s="1"/>
  <c r="K267" i="1" a="1"/>
  <c r="K267" i="1" s="1"/>
  <c r="R310" i="1" a="1"/>
  <c r="R310" i="1" s="1"/>
  <c r="N101" i="1" a="1"/>
  <c r="N101" i="1" s="1"/>
  <c r="E101" i="1" a="1"/>
  <c r="E101" i="1" s="1"/>
  <c r="E94" i="1" a="1"/>
  <c r="E94" i="1" s="1"/>
  <c r="P147" i="1" a="1"/>
  <c r="P147" i="1" s="1"/>
  <c r="P78" i="1" a="1"/>
  <c r="P78" i="1" s="1"/>
  <c r="Q158" i="1" a="1"/>
  <c r="Q158" i="1" s="1"/>
  <c r="E279" i="1" a="1"/>
  <c r="E279" i="1" s="1"/>
  <c r="I52" i="1" a="1"/>
  <c r="I52" i="1" s="1"/>
  <c r="E268" i="1" a="1"/>
  <c r="E268" i="1" s="1"/>
  <c r="P112" i="1" a="1"/>
  <c r="P112" i="1" s="1"/>
  <c r="M78" i="1" a="1"/>
  <c r="M78" i="1" s="1"/>
  <c r="F72" i="1" a="1"/>
  <c r="F72" i="1" s="1"/>
  <c r="O90" i="1" a="1"/>
  <c r="O90" i="1" s="1"/>
  <c r="O269" i="1" a="1"/>
  <c r="O269" i="1" s="1"/>
  <c r="I92" i="1" a="1"/>
  <c r="I92" i="1" s="1"/>
  <c r="B175" i="1" a="1"/>
  <c r="B175" i="1" s="1"/>
  <c r="M83" i="1" a="1"/>
  <c r="M83" i="1" s="1"/>
  <c r="D99" i="1" a="1"/>
  <c r="D99" i="1" s="1"/>
  <c r="C93" i="1" a="1"/>
  <c r="C93" i="1" s="1"/>
  <c r="P148" i="1" a="1"/>
  <c r="P148" i="1" s="1"/>
  <c r="H279" i="1" a="1"/>
  <c r="H279" i="1" s="1"/>
  <c r="H247" i="1" a="1"/>
  <c r="H247" i="1" s="1"/>
  <c r="F35" i="1" a="1"/>
  <c r="F35" i="1" s="1"/>
  <c r="D90" i="1" a="1"/>
  <c r="D90" i="1" s="1"/>
  <c r="Q214" i="1" a="1"/>
  <c r="Q214" i="1" s="1"/>
  <c r="R128" i="1" a="1"/>
  <c r="R128" i="1" s="1"/>
  <c r="J268" i="1" a="1"/>
  <c r="J268" i="1" s="1"/>
  <c r="D272" i="1" a="1"/>
  <c r="D272" i="1" s="1"/>
  <c r="P39" i="1" a="1"/>
  <c r="P39" i="1" s="1"/>
  <c r="Q215" i="1" a="1"/>
  <c r="Q215" i="1" s="1"/>
  <c r="G24" i="1" a="1"/>
  <c r="G24" i="1" s="1"/>
  <c r="I301" i="1" a="1"/>
  <c r="I301" i="1" s="1"/>
  <c r="E100" i="1" a="1"/>
  <c r="E100" i="1" s="1"/>
  <c r="J297" i="1" a="1"/>
  <c r="J297" i="1" s="1"/>
  <c r="Q242" i="1" a="1"/>
  <c r="Q242" i="1" s="1"/>
  <c r="J220" i="1" a="1"/>
  <c r="J220" i="1" s="1"/>
  <c r="Q168" i="1" a="1"/>
  <c r="Q168" i="1" s="1"/>
  <c r="N173" i="1" a="1"/>
  <c r="N173" i="1" s="1"/>
  <c r="I4" i="1" a="1"/>
  <c r="I4" i="1" s="1"/>
  <c r="B209" i="1" a="1"/>
  <c r="B209" i="1" s="1"/>
  <c r="M16" i="1" a="1"/>
  <c r="M16" i="1" s="1"/>
  <c r="E41" i="1" a="1"/>
  <c r="E41" i="1" s="1"/>
  <c r="O104" i="1" a="1"/>
  <c r="O104" i="1" s="1"/>
  <c r="B162" i="1" a="1"/>
  <c r="B162" i="1" s="1"/>
  <c r="P267" i="1" a="1"/>
  <c r="P267" i="1" s="1"/>
  <c r="C213" i="1" a="1"/>
  <c r="C213" i="1" s="1"/>
  <c r="Q238" i="1" a="1"/>
  <c r="Q238" i="1" s="1"/>
  <c r="J261" i="1" a="1"/>
  <c r="J261" i="1" s="1"/>
  <c r="H64" i="1" a="1"/>
  <c r="H64" i="1" s="1"/>
  <c r="L256" i="1" a="1"/>
  <c r="L256" i="1" s="1"/>
  <c r="N261" i="1" a="1"/>
  <c r="N261" i="1" s="1"/>
  <c r="L81" i="1" a="1"/>
  <c r="L81" i="1" s="1"/>
  <c r="N73" i="1" a="1"/>
  <c r="N73" i="1" s="1"/>
  <c r="B120" i="1" a="1"/>
  <c r="B120" i="1" s="1"/>
  <c r="L75" i="1" a="1"/>
  <c r="L75" i="1" s="1"/>
  <c r="G52" i="1" a="1"/>
  <c r="G52" i="1" s="1"/>
  <c r="Q45" i="1" a="1"/>
  <c r="Q45" i="1" s="1"/>
  <c r="G99" i="1" a="1"/>
  <c r="G99" i="1" s="1"/>
  <c r="G323" i="1" a="1"/>
  <c r="G323" i="1" s="1"/>
  <c r="D193" i="1" a="1"/>
  <c r="D193" i="1" s="1"/>
  <c r="D162" i="1" a="1"/>
  <c r="D162" i="1" s="1"/>
  <c r="D47" i="1" a="1"/>
  <c r="D47" i="1" s="1"/>
  <c r="Q326" i="1" a="1"/>
  <c r="Q326" i="1" s="1"/>
  <c r="J62" i="1" a="1"/>
  <c r="J62" i="1" s="1"/>
  <c r="R201" i="1" a="1"/>
  <c r="R201" i="1" s="1"/>
  <c r="P103" i="1" a="1"/>
  <c r="P103" i="1" s="1"/>
  <c r="P36" i="1" a="1"/>
  <c r="P36" i="1" s="1"/>
  <c r="K315" i="1" a="1"/>
  <c r="K315" i="1" s="1"/>
  <c r="N185" i="1" a="1"/>
  <c r="N185" i="1" s="1"/>
  <c r="R228" i="1" a="1"/>
  <c r="R228" i="1" s="1"/>
  <c r="M293" i="1" a="1"/>
  <c r="M293" i="1" s="1"/>
  <c r="C205" i="1" a="1"/>
  <c r="C205" i="1" s="1"/>
  <c r="N234" i="1" a="1"/>
  <c r="N234" i="1" s="1"/>
  <c r="K308" i="1" a="1"/>
  <c r="K308" i="1" s="1"/>
  <c r="R97" i="1" a="1"/>
  <c r="R97" i="1" s="1"/>
  <c r="M139" i="1" a="1"/>
  <c r="M139" i="1" s="1"/>
  <c r="B311" i="1" a="1"/>
  <c r="B311" i="1" s="1"/>
  <c r="E174" i="1" a="1"/>
  <c r="E174" i="1" s="1"/>
  <c r="I156" i="1" a="1"/>
  <c r="I156" i="1" s="1"/>
  <c r="M233" i="1" a="1"/>
  <c r="M233" i="1" s="1"/>
  <c r="O80" i="1" a="1"/>
  <c r="O80" i="1" s="1"/>
  <c r="M315" i="1" a="1"/>
  <c r="M315" i="1" s="1"/>
  <c r="O310" i="1" a="1"/>
  <c r="O310" i="1" s="1"/>
  <c r="K273" i="1" a="1"/>
  <c r="K273" i="1" s="1"/>
  <c r="G136" i="1" a="1"/>
  <c r="G136" i="1" s="1"/>
  <c r="D310" i="1" a="1"/>
  <c r="D310" i="1" s="1"/>
  <c r="J22" i="1" a="1"/>
  <c r="J22" i="1" s="1"/>
  <c r="H233" i="1" a="1"/>
  <c r="H233" i="1" s="1"/>
  <c r="O46" i="1" a="1"/>
  <c r="O46" i="1" s="1"/>
  <c r="I292" i="1" a="1"/>
  <c r="I292" i="1" s="1"/>
  <c r="G55" i="1" a="1"/>
  <c r="G55" i="1" s="1"/>
  <c r="L99" i="1" a="1"/>
  <c r="L99" i="1" s="1"/>
  <c r="G96" i="1" a="1"/>
  <c r="G96" i="1" s="1"/>
  <c r="H119" i="1" a="1"/>
  <c r="H119" i="1" s="1"/>
  <c r="N242" i="1" a="1"/>
  <c r="N242" i="1" s="1"/>
  <c r="K15" i="1" a="1"/>
  <c r="K15" i="1" s="1"/>
  <c r="G111" i="1" a="1"/>
  <c r="G111" i="1" s="1"/>
  <c r="B69" i="1" a="1"/>
  <c r="B69" i="1" s="1"/>
  <c r="K289" i="1" a="1"/>
  <c r="K289" i="1" s="1"/>
  <c r="F131" i="1" a="1"/>
  <c r="F131" i="1" s="1"/>
  <c r="P279" i="1" a="1"/>
  <c r="P279" i="1" s="1"/>
  <c r="N256" i="1" a="1"/>
  <c r="N256" i="1" s="1"/>
  <c r="F11" i="1" a="1"/>
  <c r="F11" i="1" s="1"/>
  <c r="D112" i="1" a="1"/>
  <c r="D112" i="1" s="1"/>
  <c r="N303" i="1" a="1"/>
  <c r="N303" i="1" s="1"/>
  <c r="E275" i="1" a="1"/>
  <c r="E275" i="1" s="1"/>
  <c r="N295" i="1" a="1"/>
  <c r="N295" i="1" s="1"/>
  <c r="I310" i="1" a="1"/>
  <c r="I310" i="1" s="1"/>
  <c r="B273" i="1" a="1"/>
  <c r="B273" i="1" s="1"/>
  <c r="K249" i="1" a="1"/>
  <c r="K249" i="1" s="1"/>
  <c r="J97" i="1" a="1"/>
  <c r="J97" i="1" s="1"/>
  <c r="C44" i="1" a="1"/>
  <c r="C44" i="1" s="1"/>
  <c r="P189" i="1" a="1"/>
  <c r="P189" i="1" s="1"/>
  <c r="P164" i="1" a="1"/>
  <c r="P164" i="1" s="1"/>
  <c r="O141" i="1" a="1"/>
  <c r="O141" i="1" s="1"/>
  <c r="J94" i="1" a="1"/>
  <c r="J94" i="1" s="1"/>
  <c r="J59" i="1" a="1"/>
  <c r="J59" i="1" s="1"/>
  <c r="I284" i="1" a="1"/>
  <c r="I284" i="1" s="1"/>
  <c r="N108" i="1" a="1"/>
  <c r="N108" i="1" s="1"/>
  <c r="R238" i="1" a="1"/>
  <c r="R238" i="1" s="1"/>
  <c r="G319" i="1" a="1"/>
  <c r="G319" i="1" s="1"/>
  <c r="K198" i="1" a="1"/>
  <c r="K198" i="1" s="1"/>
  <c r="F213" i="1" a="1"/>
  <c r="F213" i="1" s="1"/>
  <c r="D79" i="1" a="1"/>
  <c r="D79" i="1" s="1"/>
  <c r="R52" i="1" a="1"/>
  <c r="R52" i="1" s="1"/>
  <c r="K48" i="1" a="1"/>
  <c r="K48" i="1" s="1"/>
  <c r="O47" i="1" a="1"/>
  <c r="O47" i="1" s="1"/>
  <c r="L230" i="1" a="1"/>
  <c r="L230" i="1" s="1"/>
  <c r="N275" i="1" a="1"/>
  <c r="N275" i="1" s="1"/>
  <c r="J48" i="1" a="1"/>
  <c r="J48" i="1" s="1"/>
  <c r="P274" i="1" a="1"/>
  <c r="P274" i="1" s="1"/>
  <c r="R21" i="1" a="1"/>
  <c r="R21" i="1" s="1"/>
  <c r="L19" i="1" a="1"/>
  <c r="L19" i="1" s="1"/>
  <c r="Q160" i="1" a="1"/>
  <c r="Q160" i="1" s="1"/>
  <c r="G144" i="1" a="1"/>
  <c r="G144" i="1" s="1"/>
  <c r="F201" i="1" a="1"/>
  <c r="F201" i="1" s="1"/>
  <c r="P258" i="1" a="1"/>
  <c r="P258" i="1" s="1"/>
  <c r="Q292" i="1" a="1"/>
  <c r="Q292" i="1" s="1"/>
  <c r="J235" i="1" a="1"/>
  <c r="J235" i="1" s="1"/>
  <c r="K223" i="1" a="1"/>
  <c r="K223" i="1" s="1"/>
  <c r="N76" i="1" a="1"/>
  <c r="N76" i="1" s="1"/>
  <c r="K154" i="1" a="1"/>
  <c r="K154" i="1" s="1"/>
  <c r="I193" i="1" a="1"/>
  <c r="I193" i="1" s="1"/>
  <c r="R165" i="1" a="1"/>
  <c r="R165" i="1" s="1"/>
  <c r="E108" i="1" a="1"/>
  <c r="E108" i="1" s="1"/>
  <c r="M106" i="1" a="1"/>
  <c r="M106" i="1" s="1"/>
  <c r="N276" i="1" a="1"/>
  <c r="N276" i="1" s="1"/>
  <c r="B280" i="1" a="1"/>
  <c r="B280" i="1" s="1"/>
  <c r="P282" i="1" a="1"/>
  <c r="P282" i="1" s="1"/>
  <c r="E285" i="1" a="1"/>
  <c r="E285" i="1" s="1"/>
  <c r="L25" i="1" a="1"/>
  <c r="L25" i="1" s="1"/>
  <c r="H46" i="1" a="1"/>
  <c r="H46" i="1" s="1"/>
  <c r="R73" i="1" a="1"/>
  <c r="R73" i="1" s="1"/>
  <c r="N255" i="1" a="1"/>
  <c r="N255" i="1" s="1"/>
  <c r="H33" i="1" a="1"/>
  <c r="H33" i="1" s="1"/>
  <c r="M38" i="1" a="1"/>
  <c r="M38" i="1" s="1"/>
  <c r="H123" i="1" a="1"/>
  <c r="H123" i="1" s="1"/>
  <c r="F221" i="1" a="1"/>
  <c r="F221" i="1" s="1"/>
  <c r="D41" i="1" a="1"/>
  <c r="D41" i="1" s="1"/>
  <c r="R134" i="1" a="1"/>
  <c r="R134" i="1" s="1"/>
  <c r="L253" i="1" a="1"/>
  <c r="L253" i="1" s="1"/>
  <c r="I286" i="1" a="1"/>
  <c r="I286" i="1" s="1"/>
  <c r="L84" i="1" a="1"/>
  <c r="L84" i="1" s="1"/>
  <c r="E260" i="1" a="1"/>
  <c r="E260" i="1" s="1"/>
  <c r="J78" i="1" a="1"/>
  <c r="J78" i="1" s="1"/>
  <c r="E324" i="1" a="1"/>
  <c r="E324" i="1" s="1"/>
  <c r="K309" i="1" a="1"/>
  <c r="K309" i="1" s="1"/>
  <c r="D185" i="1" a="1"/>
  <c r="D185" i="1" s="1"/>
  <c r="D148" i="1" a="1"/>
  <c r="D148" i="1" s="1"/>
  <c r="C265" i="1" a="1"/>
  <c r="C265" i="1" s="1"/>
  <c r="D268" i="1" a="1"/>
  <c r="D268" i="1" s="1"/>
  <c r="R109" i="1" a="1"/>
  <c r="R109" i="1" s="1"/>
  <c r="Q299" i="1" a="1"/>
  <c r="Q299" i="1" s="1"/>
  <c r="J151" i="1" a="1"/>
  <c r="J151" i="1" s="1"/>
  <c r="I58" i="1" a="1"/>
  <c r="I58" i="1" s="1"/>
  <c r="L123" i="1" a="1"/>
  <c r="L123" i="1" s="1"/>
  <c r="G175" i="1" a="1"/>
  <c r="G175" i="1" s="1"/>
  <c r="R298" i="1" a="1"/>
  <c r="R298" i="1" s="1"/>
  <c r="B126" i="1" a="1"/>
  <c r="B126" i="1" s="1"/>
  <c r="K47" i="1" a="1"/>
  <c r="K47" i="1" s="1"/>
  <c r="R286" i="1" a="1"/>
  <c r="R286" i="1" s="1"/>
  <c r="E199" i="1" a="1"/>
  <c r="E199" i="1" s="1"/>
  <c r="K165" i="1" a="1"/>
  <c r="K165" i="1" s="1"/>
  <c r="L154" i="1" a="1"/>
  <c r="L154" i="1" s="1"/>
  <c r="B257" i="1" a="1"/>
  <c r="B257" i="1" s="1"/>
  <c r="Q28" i="1" a="1"/>
  <c r="Q28" i="1" s="1"/>
  <c r="M79" i="1" a="1"/>
  <c r="M79" i="1" s="1"/>
  <c r="Q8" i="1" a="1"/>
  <c r="Q8" i="1" s="1"/>
  <c r="E21" i="1" a="1"/>
  <c r="E21" i="1" s="1"/>
  <c r="Q111" i="1" a="1"/>
  <c r="Q111" i="1" s="1"/>
  <c r="N293" i="1" a="1"/>
  <c r="N293" i="1" s="1"/>
  <c r="J12" i="1" a="1"/>
  <c r="J12" i="1" s="1"/>
  <c r="P55" i="1" a="1"/>
  <c r="P55" i="1" s="1"/>
  <c r="I134" i="1" a="1"/>
  <c r="I134" i="1" s="1"/>
  <c r="J5" i="1" a="1"/>
  <c r="J5" i="1" s="1"/>
  <c r="D318" i="1" a="1"/>
  <c r="D318" i="1" s="1"/>
  <c r="I215" i="1" a="1"/>
  <c r="I215" i="1" s="1"/>
  <c r="D307" i="1" a="1"/>
  <c r="D307" i="1" s="1"/>
  <c r="R114" i="1" a="1"/>
  <c r="R114" i="1" s="1"/>
  <c r="J313" i="1" a="1"/>
  <c r="J313" i="1" s="1"/>
  <c r="P292" i="1" a="1"/>
  <c r="P292" i="1" s="1"/>
  <c r="D251" i="1" a="1"/>
  <c r="D251" i="1" s="1"/>
  <c r="F236" i="1" a="1"/>
  <c r="F236" i="1" s="1"/>
  <c r="E46" i="1" a="1"/>
  <c r="E46" i="1" s="1"/>
  <c r="K104" i="1" a="1"/>
  <c r="K104" i="1" s="1"/>
  <c r="R237" i="1" a="1"/>
  <c r="R237" i="1" s="1"/>
  <c r="P268" i="1" a="1"/>
  <c r="P268" i="1" s="1"/>
  <c r="B107" i="1" a="1"/>
  <c r="B107" i="1" s="1"/>
  <c r="J221" i="1" a="1"/>
  <c r="J221" i="1" s="1"/>
  <c r="D96" i="1" a="1"/>
  <c r="D96" i="1" s="1"/>
  <c r="J172" i="1" a="1"/>
  <c r="J172" i="1" s="1"/>
  <c r="I282" i="1" a="1"/>
  <c r="I282" i="1" s="1"/>
  <c r="P68" i="1" a="1"/>
  <c r="P68" i="1" s="1"/>
  <c r="C96" i="1" a="1"/>
  <c r="C96" i="1" s="1"/>
  <c r="O261" i="1" a="1"/>
  <c r="O261" i="1" s="1"/>
  <c r="F260" i="1" a="1"/>
  <c r="F260" i="1" s="1"/>
  <c r="F83" i="1" a="1"/>
  <c r="F83" i="1" s="1"/>
  <c r="E319" i="1" a="1"/>
  <c r="E319" i="1" s="1"/>
  <c r="O163" i="1" a="1"/>
  <c r="O163" i="1" s="1"/>
  <c r="H249" i="1" a="1"/>
  <c r="H249" i="1" s="1"/>
  <c r="E123" i="1" a="1"/>
  <c r="E123" i="1" s="1"/>
  <c r="E274" i="1" a="1"/>
  <c r="E274" i="1" s="1"/>
  <c r="D18" i="1" a="1"/>
  <c r="D18" i="1" s="1"/>
  <c r="C148" i="1" a="1"/>
  <c r="C148" i="1" s="1"/>
  <c r="F155" i="1" a="1"/>
  <c r="F155" i="1" s="1"/>
  <c r="H141" i="1" a="1"/>
  <c r="H141" i="1" s="1"/>
  <c r="L271" i="1" a="1"/>
  <c r="L271" i="1" s="1"/>
  <c r="O43" i="1" a="1"/>
  <c r="O43" i="1" s="1"/>
  <c r="O156" i="1" a="1"/>
  <c r="O156" i="1" s="1"/>
  <c r="E49" i="1" a="1"/>
  <c r="E49" i="1" s="1"/>
  <c r="M186" i="1" a="1"/>
  <c r="M186" i="1" s="1"/>
  <c r="K239" i="1" a="1"/>
  <c r="K239" i="1" s="1"/>
  <c r="E221" i="1" a="1"/>
  <c r="E221" i="1" s="1"/>
  <c r="I307" i="1" a="1"/>
  <c r="I307" i="1" s="1"/>
  <c r="I177" i="1" a="1"/>
  <c r="I177" i="1" s="1"/>
  <c r="O13" i="1" a="1"/>
  <c r="O13" i="1" s="1"/>
  <c r="O196" i="1" a="1"/>
  <c r="O196" i="1" s="1"/>
  <c r="K68" i="1" a="1"/>
  <c r="K68" i="1" s="1"/>
  <c r="L156" i="1" a="1"/>
  <c r="L156" i="1" s="1"/>
  <c r="E317" i="1" a="1"/>
  <c r="E317" i="1" s="1"/>
  <c r="E316" i="1" a="1"/>
  <c r="E316" i="1" s="1"/>
  <c r="B103" i="1" a="1"/>
  <c r="B103" i="1" s="1"/>
  <c r="E194" i="1" a="1"/>
  <c r="E194" i="1" s="1"/>
  <c r="M35" i="1" a="1"/>
  <c r="M35" i="1" s="1"/>
  <c r="H305" i="1" a="1"/>
  <c r="H305" i="1" s="1"/>
  <c r="Q126" i="1" a="1"/>
  <c r="Q126" i="1" s="1"/>
  <c r="B245" i="1" a="1"/>
  <c r="B245" i="1" s="1"/>
  <c r="M317" i="1" a="1"/>
  <c r="M317" i="1" s="1"/>
  <c r="D207" i="1" a="1"/>
  <c r="D207" i="1" s="1"/>
  <c r="K247" i="1" a="1"/>
  <c r="K247" i="1" s="1"/>
  <c r="I235" i="1" a="1"/>
  <c r="I235" i="1" s="1"/>
  <c r="F7" i="1" a="1"/>
  <c r="F7" i="1" s="1"/>
  <c r="C11" i="1" a="1"/>
  <c r="C11" i="1" s="1"/>
  <c r="L293" i="1" a="1"/>
  <c r="L293" i="1" s="1"/>
  <c r="H283" i="1" a="1"/>
  <c r="H283" i="1" s="1"/>
  <c r="E147" i="1" a="1"/>
  <c r="E147" i="1" s="1"/>
  <c r="B30" i="1" a="1"/>
  <c r="B30" i="1" s="1"/>
  <c r="M90" i="1" a="1"/>
  <c r="M90" i="1" s="1"/>
  <c r="G261" i="1" a="1"/>
  <c r="G261" i="1" s="1"/>
  <c r="G3" i="1" a="1"/>
  <c r="G3" i="1" s="1"/>
  <c r="D198" i="1" a="1"/>
  <c r="D198" i="1" s="1"/>
  <c r="D39" i="1" a="1"/>
  <c r="D39" i="1" s="1"/>
  <c r="J204" i="1" a="1"/>
  <c r="J204" i="1" s="1"/>
  <c r="D276" i="1" a="1"/>
  <c r="D276" i="1" s="1"/>
  <c r="H37" i="1" a="1"/>
  <c r="H37" i="1" s="1"/>
  <c r="R11" i="1" a="1"/>
  <c r="R11" i="1" s="1"/>
  <c r="R141" i="1" a="1"/>
  <c r="R141" i="1" s="1"/>
  <c r="Q7" i="1" a="1"/>
  <c r="Q7" i="1" s="1"/>
  <c r="P13" i="1" a="1"/>
  <c r="P13" i="1" s="1"/>
  <c r="H44" i="1" a="1"/>
  <c r="H44" i="1" s="1"/>
  <c r="E186" i="1" a="1"/>
  <c r="E186" i="1" s="1"/>
  <c r="H132" i="1" a="1"/>
  <c r="H132" i="1" s="1"/>
  <c r="K166" i="1" a="1"/>
  <c r="K166" i="1" s="1"/>
  <c r="D289" i="1" a="1"/>
  <c r="D289" i="1" s="1"/>
  <c r="D67" i="1" a="1"/>
  <c r="D67" i="1" s="1"/>
  <c r="O239" i="1" a="1"/>
  <c r="O239" i="1" s="1"/>
  <c r="C268" i="1" a="1"/>
  <c r="C268" i="1" s="1"/>
  <c r="M282" i="1" a="1"/>
  <c r="M282" i="1" s="1"/>
  <c r="R292" i="1" a="1"/>
  <c r="R292" i="1" s="1"/>
  <c r="C110" i="1" a="1"/>
  <c r="C110" i="1" s="1"/>
  <c r="C32" i="1" a="1"/>
  <c r="C32" i="1" s="1"/>
  <c r="B24" i="1" a="1"/>
  <c r="B24" i="1" s="1"/>
  <c r="K121" i="1" a="1"/>
  <c r="K121" i="1" s="1"/>
  <c r="K74" i="1" a="1"/>
  <c r="K74" i="1" s="1"/>
  <c r="B210" i="1" a="1"/>
  <c r="B210" i="1" s="1"/>
  <c r="J283" i="1" a="1"/>
  <c r="J283" i="1" s="1"/>
  <c r="F82" i="1" a="1"/>
  <c r="F82" i="1" s="1"/>
  <c r="N248" i="1" a="1"/>
  <c r="N248" i="1" s="1"/>
  <c r="K112" i="1" a="1"/>
  <c r="K112" i="1" s="1"/>
  <c r="I227" i="1" a="1"/>
  <c r="I227" i="1" s="1"/>
  <c r="M235" i="1" a="1"/>
  <c r="M235" i="1" s="1"/>
  <c r="B88" i="1" a="1"/>
  <c r="B88" i="1" s="1"/>
  <c r="Q313" i="1" a="1"/>
  <c r="Q313" i="1" s="1"/>
  <c r="N289" i="1" a="1"/>
  <c r="N289" i="1" s="1"/>
  <c r="B49" i="1" a="1"/>
  <c r="B49" i="1" s="1"/>
  <c r="O59" i="1" a="1"/>
  <c r="O59" i="1" s="1"/>
  <c r="E95" i="1" a="1"/>
  <c r="E95" i="1" s="1"/>
  <c r="K9" i="1" a="1"/>
  <c r="K9" i="1" s="1"/>
  <c r="E75" i="1" a="1"/>
  <c r="E75" i="1" s="1"/>
  <c r="I121" i="1" a="1"/>
  <c r="I121" i="1" s="1"/>
  <c r="J288" i="1" a="1"/>
  <c r="J288" i="1" s="1"/>
  <c r="I37" i="1" a="1"/>
  <c r="I37" i="1" s="1"/>
  <c r="B167" i="1" a="1"/>
  <c r="B167" i="1" s="1"/>
  <c r="N15" i="1" a="1"/>
  <c r="N15" i="1" s="1"/>
  <c r="O320" i="1" a="1"/>
  <c r="O320" i="1" s="1"/>
  <c r="N175" i="1" a="1"/>
  <c r="N175" i="1" s="1"/>
  <c r="K292" i="1" a="1"/>
  <c r="K292" i="1" s="1"/>
  <c r="O127" i="1" a="1"/>
  <c r="O127" i="1" s="1"/>
  <c r="N229" i="1" a="1"/>
  <c r="N229" i="1" s="1"/>
  <c r="G160" i="1" a="1"/>
  <c r="G160" i="1" s="1"/>
  <c r="B324" i="1" a="1"/>
  <c r="B324" i="1" s="1"/>
  <c r="D197" i="1" a="1"/>
  <c r="D197" i="1" s="1"/>
  <c r="J91" i="1" a="1"/>
  <c r="J91" i="1" s="1"/>
  <c r="K217" i="1" a="1"/>
  <c r="K217" i="1" s="1"/>
  <c r="F151" i="1" a="1"/>
  <c r="F151" i="1" s="1"/>
  <c r="O215" i="1" a="1"/>
  <c r="O215" i="1" s="1"/>
  <c r="J258" i="1" a="1"/>
  <c r="J258" i="1" s="1"/>
  <c r="G218" i="1" a="1"/>
  <c r="G218" i="1" s="1"/>
  <c r="E29" i="1" a="1"/>
  <c r="E29" i="1" s="1"/>
  <c r="H102" i="1" a="1"/>
  <c r="H102" i="1" s="1"/>
  <c r="R91" i="1" a="1"/>
  <c r="R91" i="1" s="1"/>
  <c r="R162" i="1" a="1"/>
  <c r="R162" i="1" s="1"/>
  <c r="B226" i="1" a="1"/>
  <c r="B226" i="1" s="1"/>
  <c r="D217" i="1" a="1"/>
  <c r="D217" i="1" s="1"/>
  <c r="N78" i="1" a="1"/>
  <c r="N78" i="1" s="1"/>
  <c r="N62" i="1" a="1"/>
  <c r="N62" i="1" s="1"/>
  <c r="C316" i="1" a="1"/>
  <c r="C316" i="1" s="1"/>
  <c r="K60" i="1" a="1"/>
  <c r="K60" i="1" s="1"/>
  <c r="D86" i="1" a="1"/>
  <c r="D86" i="1" s="1"/>
  <c r="M207" i="1" a="1"/>
  <c r="M207" i="1" s="1"/>
  <c r="B133" i="1" a="1"/>
  <c r="B133" i="1" s="1"/>
  <c r="P140" i="1" a="1"/>
  <c r="P140" i="1" s="1"/>
  <c r="E158" i="1" a="1"/>
  <c r="E158" i="1" s="1"/>
  <c r="P300" i="1" a="1"/>
  <c r="P300" i="1" s="1"/>
  <c r="P100" i="1" a="1"/>
  <c r="P100" i="1" s="1"/>
  <c r="C245" i="1" a="1"/>
  <c r="C245" i="1" s="1"/>
  <c r="G309" i="1" a="1"/>
  <c r="G309" i="1" s="1"/>
  <c r="L318" i="1" a="1"/>
  <c r="L318" i="1" s="1"/>
  <c r="G168" i="1" a="1"/>
  <c r="G168" i="1" s="1"/>
  <c r="P225" i="1" a="1"/>
  <c r="P225" i="1" s="1"/>
  <c r="E308" i="1" a="1"/>
  <c r="E308" i="1" s="1"/>
  <c r="Q114" i="1" a="1"/>
  <c r="Q114" i="1" s="1"/>
  <c r="K120" i="1" a="1"/>
  <c r="K120" i="1" s="1"/>
  <c r="N270" i="1" a="1"/>
  <c r="N270" i="1" s="1"/>
  <c r="E310" i="1" a="1"/>
  <c r="E310" i="1" s="1"/>
  <c r="L79" i="1" a="1"/>
  <c r="L79" i="1" s="1"/>
  <c r="F255" i="1" a="1"/>
  <c r="F255" i="1" s="1"/>
  <c r="G257" i="1" a="1"/>
  <c r="G257" i="1" s="1"/>
  <c r="D200" i="1" a="1"/>
  <c r="D200" i="1" s="1"/>
  <c r="R258" i="1" a="1"/>
  <c r="R258" i="1" s="1"/>
  <c r="N138" i="1" a="1"/>
  <c r="N138" i="1" s="1"/>
  <c r="D201" i="1" a="1"/>
  <c r="D201" i="1" s="1"/>
  <c r="C13" i="1" a="1"/>
  <c r="C13" i="1" s="1"/>
  <c r="F96" i="1" a="1"/>
  <c r="F96" i="1" s="1"/>
  <c r="J54" i="1" a="1"/>
  <c r="J54" i="1" s="1"/>
  <c r="B62" i="1" a="1"/>
  <c r="B62" i="1" s="1"/>
  <c r="E305" i="1" a="1"/>
  <c r="E305" i="1" s="1"/>
  <c r="R225" i="1" a="1"/>
  <c r="R225" i="1" s="1"/>
  <c r="B290" i="1" a="1"/>
  <c r="B290" i="1" s="1"/>
  <c r="B60" i="1" a="1"/>
  <c r="B60" i="1" s="1"/>
  <c r="M62" i="1" a="1"/>
  <c r="M62" i="1" s="1"/>
  <c r="C116" i="1" a="1"/>
  <c r="C116" i="1" s="1"/>
  <c r="C76" i="1" a="1"/>
  <c r="C76" i="1" s="1"/>
  <c r="B202" i="1" a="1"/>
  <c r="B202" i="1" s="1"/>
  <c r="H162" i="1" a="1"/>
  <c r="H162" i="1" s="1"/>
  <c r="O117" i="1" a="1"/>
  <c r="O117" i="1" s="1"/>
  <c r="H88" i="1" a="1"/>
  <c r="H88" i="1" s="1"/>
  <c r="Q314" i="1" a="1"/>
  <c r="Q314" i="1" s="1"/>
  <c r="K85" i="1" a="1"/>
  <c r="K85" i="1" s="1"/>
  <c r="E288" i="1" a="1"/>
  <c r="E288" i="1" s="1"/>
  <c r="O124" i="1" a="1"/>
  <c r="O124" i="1" s="1"/>
  <c r="F108" i="1" a="1"/>
  <c r="F108" i="1" s="1"/>
  <c r="B75" i="1" a="1"/>
  <c r="B75" i="1" s="1"/>
  <c r="K181" i="1" a="1"/>
  <c r="K181" i="1" s="1"/>
  <c r="G26" i="1" a="1"/>
  <c r="G26" i="1" s="1"/>
  <c r="C24" i="1" a="1"/>
  <c r="C24" i="1" s="1"/>
  <c r="R287" i="1" a="1"/>
  <c r="R287" i="1" s="1"/>
  <c r="I114" i="1" a="1"/>
  <c r="I114" i="1" s="1"/>
  <c r="Q44" i="1" a="1"/>
  <c r="Q44" i="1" s="1"/>
  <c r="F22" i="1" a="1"/>
  <c r="F22" i="1" s="1"/>
  <c r="O113" i="1" a="1"/>
  <c r="O113" i="1" s="1"/>
  <c r="Q9" i="1" a="1"/>
  <c r="Q9" i="1" s="1"/>
  <c r="D58" i="1" a="1"/>
  <c r="D58" i="1" s="1"/>
  <c r="L179" i="1" a="1"/>
  <c r="L179" i="1" s="1"/>
  <c r="E59" i="1" a="1"/>
  <c r="E59" i="1" s="1"/>
  <c r="P315" i="1" a="1"/>
  <c r="P315" i="1" s="1"/>
  <c r="I200" i="1" a="1"/>
  <c r="I200" i="1" s="1"/>
  <c r="L313" i="1" a="1"/>
  <c r="L313" i="1" s="1"/>
  <c r="R143" i="1" a="1"/>
  <c r="R143" i="1" s="1"/>
  <c r="I103" i="1" a="1"/>
  <c r="I103" i="1" s="1"/>
  <c r="O255" i="1" a="1"/>
  <c r="O255" i="1" s="1"/>
  <c r="J36" i="1" a="1"/>
  <c r="J36" i="1" s="1"/>
  <c r="N56" i="1" a="1"/>
  <c r="N56" i="1" s="1"/>
  <c r="M155" i="1" a="1"/>
  <c r="M155" i="1" s="1"/>
  <c r="N215" i="1" a="1"/>
  <c r="N215" i="1" s="1"/>
  <c r="B47" i="1" a="1"/>
  <c r="B47" i="1" s="1"/>
  <c r="R160" i="1" a="1"/>
  <c r="R160" i="1" s="1"/>
  <c r="J315" i="1" a="1"/>
  <c r="J315" i="1" s="1"/>
  <c r="K257" i="1" a="1"/>
  <c r="K257" i="1" s="1"/>
  <c r="B68" i="1" a="1"/>
  <c r="B68" i="1" s="1"/>
  <c r="P247" i="1" a="1"/>
  <c r="P247" i="1" s="1"/>
  <c r="M91" i="1" a="1"/>
  <c r="M91" i="1" s="1"/>
  <c r="N250" i="1" a="1"/>
  <c r="N250" i="1" s="1"/>
  <c r="Q129" i="1" a="1"/>
  <c r="Q129" i="1" s="1"/>
  <c r="N269" i="1" a="1"/>
  <c r="N269" i="1" s="1"/>
  <c r="F49" i="1" a="1"/>
  <c r="F49" i="1" s="1"/>
  <c r="B156" i="1" a="1"/>
  <c r="B156" i="1" s="1"/>
  <c r="E266" i="1" a="1"/>
  <c r="E266" i="1" s="1"/>
  <c r="J44" i="1" a="1"/>
  <c r="J44" i="1" s="1"/>
  <c r="Q101" i="1" a="1"/>
  <c r="Q101" i="1" s="1"/>
  <c r="I19" i="1" a="1"/>
  <c r="I19" i="1" s="1"/>
  <c r="O94" i="1" a="1"/>
  <c r="O94" i="1" s="1"/>
  <c r="N290" i="1" a="1"/>
  <c r="N290" i="1" s="1"/>
  <c r="G226" i="1" a="1"/>
  <c r="G226" i="1" s="1"/>
  <c r="M174" i="1" a="1"/>
  <c r="M174" i="1" s="1"/>
  <c r="Q10" i="1" a="1"/>
  <c r="Q10" i="1" s="1"/>
  <c r="F97" i="1" a="1"/>
  <c r="F97" i="1" s="1"/>
  <c r="P151" i="1" a="1"/>
  <c r="P151" i="1" s="1"/>
  <c r="R76" i="1" a="1"/>
  <c r="R76" i="1" s="1"/>
  <c r="M76" i="1" a="1"/>
  <c r="M76" i="1" s="1"/>
  <c r="L137" i="1" a="1"/>
  <c r="L137" i="1" s="1"/>
  <c r="R83" i="1" a="1"/>
  <c r="R83" i="1" s="1"/>
  <c r="N40" i="1" a="1"/>
  <c r="N40" i="1" s="1"/>
  <c r="R318" i="1" a="1"/>
  <c r="R318" i="1" s="1"/>
  <c r="H23" i="1" a="1"/>
  <c r="H23" i="1" s="1"/>
  <c r="M321" i="1" a="1"/>
  <c r="M321" i="1" s="1"/>
  <c r="K226" i="1" a="1"/>
  <c r="K226" i="1" s="1"/>
  <c r="N196" i="1" a="1"/>
  <c r="N196" i="1" s="1"/>
  <c r="L63" i="1" a="1"/>
  <c r="L63" i="1" s="1"/>
  <c r="J286" i="1" a="1"/>
  <c r="J286" i="1" s="1"/>
  <c r="G8" i="1" a="1"/>
  <c r="G8" i="1" s="1"/>
  <c r="M225" i="1" a="1"/>
  <c r="M225" i="1" s="1"/>
  <c r="F77" i="1" a="1"/>
  <c r="F77" i="1" s="1"/>
  <c r="Q283" i="1" a="1"/>
  <c r="Q283" i="1" s="1"/>
  <c r="I296" i="1" a="1"/>
  <c r="I296" i="1" s="1"/>
  <c r="R217" i="1" a="1"/>
  <c r="R217" i="1" s="1"/>
  <c r="P245" i="1" a="1"/>
  <c r="P245" i="1" s="1"/>
  <c r="O51" i="1" a="1"/>
  <c r="O51" i="1" s="1"/>
  <c r="O301" i="1" a="1"/>
  <c r="O301" i="1" s="1"/>
  <c r="I187" i="1" a="1"/>
  <c r="I187" i="1" s="1"/>
  <c r="D107" i="1" a="1"/>
  <c r="D107" i="1" s="1"/>
  <c r="P10" i="1" a="1"/>
  <c r="P10" i="1" s="1"/>
  <c r="H101" i="1" a="1"/>
  <c r="H101" i="1" s="1"/>
  <c r="R224" i="1" a="1"/>
  <c r="R224" i="1" s="1"/>
  <c r="B199" i="1" a="1"/>
  <c r="B199" i="1" s="1"/>
  <c r="B65" i="1" a="1"/>
  <c r="B65" i="1" s="1"/>
  <c r="Q312" i="1" a="1"/>
  <c r="Q312" i="1" s="1"/>
  <c r="C149" i="1" a="1"/>
  <c r="C149" i="1" s="1"/>
  <c r="R81" i="1" a="1"/>
  <c r="R81" i="1" s="1"/>
  <c r="O265" i="1" a="1"/>
  <c r="O265" i="1" s="1"/>
  <c r="L216" i="1" a="1"/>
  <c r="L216" i="1" s="1"/>
  <c r="Q300" i="1" a="1"/>
  <c r="Q300" i="1" s="1"/>
  <c r="M73" i="1" a="1"/>
  <c r="M73" i="1" s="1"/>
  <c r="Q224" i="1" a="1"/>
  <c r="Q224" i="1" s="1"/>
  <c r="G101" i="1" a="1"/>
  <c r="G101" i="1" s="1"/>
  <c r="I106" i="1" a="1"/>
  <c r="I106" i="1" s="1"/>
  <c r="R304" i="1" a="1"/>
  <c r="R304" i="1" s="1"/>
  <c r="G127" i="1" a="1"/>
  <c r="G127" i="1" s="1"/>
  <c r="D250" i="1" a="1"/>
  <c r="D250" i="1" s="1"/>
  <c r="D27" i="1" a="1"/>
  <c r="D27" i="1" s="1"/>
  <c r="I66" i="1" a="1"/>
  <c r="I66" i="1" s="1"/>
  <c r="R295" i="1" a="1"/>
  <c r="R295" i="1" s="1"/>
  <c r="I188" i="1" a="1"/>
  <c r="I188" i="1" s="1"/>
  <c r="H199" i="1" a="1"/>
  <c r="H199" i="1" s="1"/>
  <c r="C36" i="1" a="1"/>
  <c r="C36" i="1" s="1"/>
  <c r="C78" i="1" a="1"/>
  <c r="C78" i="1" s="1"/>
  <c r="B51" i="1" a="1"/>
  <c r="B51" i="1" s="1"/>
  <c r="P44" i="1" a="1"/>
  <c r="P44" i="1" s="1"/>
  <c r="Q139" i="1" a="1"/>
  <c r="Q139" i="1" s="1"/>
  <c r="E56" i="1" a="1"/>
  <c r="E56" i="1" s="1"/>
  <c r="J38" i="1" a="1"/>
  <c r="J38" i="1" s="1"/>
  <c r="O259" i="1" a="1"/>
  <c r="O259" i="1" s="1"/>
  <c r="K210" i="1" a="1"/>
  <c r="K210" i="1" s="1"/>
  <c r="E251" i="1" a="1"/>
  <c r="E251" i="1" s="1"/>
  <c r="C208" i="1" a="1"/>
  <c r="C208" i="1" s="1"/>
  <c r="Q51" i="1" a="1"/>
  <c r="Q51" i="1" s="1"/>
  <c r="P184" i="1" a="1"/>
  <c r="P184" i="1" s="1"/>
  <c r="M130" i="1" a="1"/>
  <c r="M130" i="1" s="1"/>
  <c r="J75" i="1" a="1"/>
  <c r="J75" i="1" s="1"/>
  <c r="E237" i="1" a="1"/>
  <c r="E237" i="1" s="1"/>
  <c r="C98" i="1" a="1"/>
  <c r="C98" i="1" s="1"/>
  <c r="M228" i="1" a="1"/>
  <c r="M228" i="1" s="1"/>
  <c r="L93" i="1" a="1"/>
  <c r="L93" i="1" s="1"/>
  <c r="C176" i="1" a="1"/>
  <c r="C176" i="1" s="1"/>
  <c r="D261" i="1" a="1"/>
  <c r="D261" i="1" s="1"/>
  <c r="F205" i="1" a="1"/>
  <c r="F205" i="1" s="1"/>
  <c r="Q131" i="1" a="1"/>
  <c r="Q131" i="1" s="1"/>
  <c r="L90" i="1" a="1"/>
  <c r="L90" i="1" s="1"/>
  <c r="L13" i="1" a="1"/>
  <c r="L13" i="1" s="1"/>
  <c r="Q74" i="1" a="1"/>
  <c r="Q74" i="1" s="1"/>
  <c r="H297" i="1" a="1"/>
  <c r="H297" i="1" s="1"/>
  <c r="R28" i="1" a="1"/>
  <c r="R28" i="1" s="1"/>
  <c r="D166" i="1" a="1"/>
  <c r="D166" i="1" s="1"/>
  <c r="J113" i="1" a="1"/>
  <c r="J113" i="1" s="1"/>
  <c r="E67" i="1" a="1"/>
  <c r="E67" i="1" s="1"/>
  <c r="G21" i="1" a="1"/>
  <c r="G21" i="1" s="1"/>
  <c r="F112" i="1" a="1"/>
  <c r="F112" i="1" s="1"/>
  <c r="F294" i="1" a="1"/>
  <c r="F294" i="1" s="1"/>
  <c r="L152" i="1" a="1"/>
  <c r="L152" i="1" s="1"/>
  <c r="C272" i="1" a="1"/>
  <c r="C272" i="1" s="1"/>
  <c r="M247" i="1" a="1"/>
  <c r="M247" i="1" s="1"/>
  <c r="B50" i="1" a="1"/>
  <c r="B50" i="1" s="1"/>
  <c r="J117" i="1" a="1"/>
  <c r="J117" i="1" s="1"/>
  <c r="C111" i="1" a="1"/>
  <c r="C111" i="1" s="1"/>
  <c r="J150" i="1" a="1"/>
  <c r="J150" i="1" s="1"/>
  <c r="O232" i="1" a="1"/>
  <c r="O232" i="1" s="1"/>
  <c r="J61" i="1" a="1"/>
  <c r="J61" i="1" s="1"/>
  <c r="D164" i="1" a="1"/>
  <c r="D164" i="1" s="1"/>
  <c r="L33" i="1" a="1"/>
  <c r="L33" i="1" s="1"/>
  <c r="E77" i="1" a="1"/>
  <c r="E77" i="1" s="1"/>
  <c r="Q141" i="1" a="1"/>
  <c r="Q141" i="1" s="1"/>
  <c r="E120" i="1" a="1"/>
  <c r="E120" i="1" s="1"/>
  <c r="B266" i="1" a="1"/>
  <c r="B266" i="1" s="1"/>
  <c r="B117" i="1" a="1"/>
  <c r="B117" i="1" s="1"/>
  <c r="F166" i="1" a="1"/>
  <c r="F166" i="1" s="1"/>
  <c r="G29" i="1" a="1"/>
  <c r="G29" i="1" s="1"/>
  <c r="R236" i="1" a="1"/>
  <c r="R236" i="1" s="1"/>
  <c r="P290" i="1" a="1"/>
  <c r="P290" i="1" s="1"/>
  <c r="L280" i="1" a="1"/>
  <c r="L280" i="1" s="1"/>
  <c r="P166" i="1" a="1"/>
  <c r="P166" i="1" s="1"/>
  <c r="J110" i="1" a="1"/>
  <c r="J110" i="1" s="1"/>
  <c r="O65" i="1" a="1"/>
  <c r="O65" i="1" s="1"/>
  <c r="J233" i="1" a="1"/>
  <c r="J233" i="1" s="1"/>
  <c r="R284" i="1" a="1"/>
  <c r="R284" i="1" s="1"/>
  <c r="Q213" i="1" a="1"/>
  <c r="Q213" i="1" s="1"/>
  <c r="B23" i="1" a="1"/>
  <c r="B23" i="1" s="1"/>
  <c r="I108" i="1" a="1"/>
  <c r="I108" i="1" s="1"/>
  <c r="F123" i="1" a="1"/>
  <c r="F123" i="1" s="1"/>
  <c r="K123" i="1" a="1"/>
  <c r="K123" i="1" s="1"/>
  <c r="H304" i="1" a="1"/>
  <c r="H304" i="1" s="1"/>
  <c r="J223" i="1" a="1"/>
  <c r="J223" i="1" s="1"/>
  <c r="K256" i="1" a="1"/>
  <c r="K256" i="1" s="1"/>
  <c r="E180" i="1" a="1"/>
  <c r="E180" i="1" s="1"/>
  <c r="K169" i="1" a="1"/>
  <c r="K169" i="1" s="1"/>
  <c r="I142" i="1" a="1"/>
  <c r="I142" i="1" s="1"/>
  <c r="P30" i="1" a="1"/>
  <c r="P30" i="1" s="1"/>
  <c r="C154" i="1" a="1"/>
  <c r="C154" i="1" s="1"/>
  <c r="N49" i="1" a="1"/>
  <c r="N49" i="1" s="1"/>
  <c r="H107" i="1" a="1"/>
  <c r="H107" i="1" s="1"/>
  <c r="P288" i="1" a="1"/>
  <c r="P288" i="1" s="1"/>
  <c r="D183" i="1" a="1"/>
  <c r="D183" i="1" s="1"/>
  <c r="E172" i="1" a="1"/>
  <c r="E172" i="1" s="1"/>
  <c r="M227" i="1" a="1"/>
  <c r="M227" i="1" s="1"/>
  <c r="Q246" i="1" a="1"/>
  <c r="Q246" i="1" s="1"/>
  <c r="M223" i="1" a="1"/>
  <c r="M223" i="1" s="1"/>
  <c r="I38" i="1" a="1"/>
  <c r="I38" i="1" s="1"/>
  <c r="M128" i="1" a="1"/>
  <c r="M128" i="1" s="1"/>
  <c r="M80" i="1" a="1"/>
  <c r="M80" i="1" s="1"/>
  <c r="L284" i="1" a="1"/>
  <c r="L284" i="1" s="1"/>
  <c r="M325" i="1" a="1"/>
  <c r="M325" i="1" s="1"/>
  <c r="K206" i="1" a="1"/>
  <c r="K206" i="1" s="1"/>
  <c r="B153" i="1" a="1"/>
  <c r="B153" i="1" s="1"/>
  <c r="E311" i="1" a="1"/>
  <c r="E311" i="1" s="1"/>
  <c r="G151" i="1" a="1"/>
  <c r="G151" i="1" s="1"/>
  <c r="J232" i="1" a="1"/>
  <c r="J232" i="1" s="1"/>
  <c r="C307" i="1" a="1"/>
  <c r="C307" i="1" s="1"/>
  <c r="P25" i="1" a="1"/>
  <c r="P25" i="1" s="1"/>
  <c r="J65" i="1" a="1"/>
  <c r="J65" i="1" s="1"/>
  <c r="B299" i="1" a="1"/>
  <c r="B299" i="1" s="1"/>
  <c r="F18" i="1" a="1"/>
  <c r="F18" i="1" s="1"/>
  <c r="F290" i="1" a="1"/>
  <c r="F290" i="1" s="1"/>
  <c r="Q37" i="1" a="1"/>
  <c r="Q37" i="1" s="1"/>
  <c r="J292" i="1" a="1"/>
  <c r="J292" i="1" s="1"/>
  <c r="K86" i="1" a="1"/>
  <c r="K86" i="1" s="1"/>
  <c r="L259" i="1" a="1"/>
  <c r="L259" i="1" s="1"/>
  <c r="R263" i="1" a="1"/>
  <c r="R263" i="1" s="1"/>
  <c r="M65" i="1" a="1"/>
  <c r="M65" i="1" s="1"/>
  <c r="Q43" i="1" a="1"/>
  <c r="Q43" i="1" s="1"/>
  <c r="K272" i="1" a="1"/>
  <c r="K272" i="1" s="1"/>
  <c r="M256" i="1" a="1"/>
  <c r="M256" i="1" s="1"/>
  <c r="H24" i="1" a="1"/>
  <c r="H24" i="1" s="1"/>
  <c r="E85" i="1" a="1"/>
  <c r="E85" i="1" s="1"/>
  <c r="E121" i="1" a="1"/>
  <c r="E121" i="1" s="1"/>
  <c r="M96" i="1" a="1"/>
  <c r="M96" i="1" s="1"/>
  <c r="B231" i="1" a="1"/>
  <c r="B231" i="1" s="1"/>
  <c r="Q13" i="1" a="1"/>
  <c r="Q13" i="1" s="1"/>
  <c r="I314" i="1" a="1"/>
  <c r="I314" i="1" s="1"/>
  <c r="N18" i="1" a="1"/>
  <c r="N18" i="1" s="1"/>
  <c r="O205" i="1" a="1"/>
  <c r="O205" i="1" s="1"/>
  <c r="H89" i="1" a="1"/>
  <c r="H89" i="1" s="1"/>
  <c r="P77" i="1" a="1"/>
  <c r="P77" i="1" s="1"/>
  <c r="C85" i="1" a="1"/>
  <c r="C85" i="1" s="1"/>
  <c r="E265" i="1" a="1"/>
  <c r="E265" i="1" s="1"/>
  <c r="E5" i="1" a="1"/>
  <c r="E5" i="1" s="1"/>
  <c r="P283" i="1" a="1"/>
  <c r="P283" i="1" s="1"/>
  <c r="D110" i="1" a="1"/>
  <c r="D110" i="1" s="1"/>
  <c r="Q239" i="1" a="1"/>
  <c r="Q239" i="1" s="1"/>
  <c r="F253" i="1" a="1"/>
  <c r="F253" i="1" s="1"/>
  <c r="N162" i="1" a="1"/>
  <c r="N162" i="1" s="1"/>
  <c r="E290" i="1" a="1"/>
  <c r="E290" i="1" s="1"/>
  <c r="J224" i="1" a="1"/>
  <c r="J224" i="1" s="1"/>
  <c r="N23" i="1" a="1"/>
  <c r="N23" i="1" s="1"/>
  <c r="G72" i="1" a="1"/>
  <c r="G72" i="1" s="1"/>
  <c r="G56" i="1" a="1"/>
  <c r="G56" i="1" s="1"/>
  <c r="E323" i="1" a="1"/>
  <c r="E323" i="1" s="1"/>
  <c r="G42" i="1" a="1"/>
  <c r="G42" i="1" s="1"/>
  <c r="C108" i="1" a="1"/>
  <c r="C108" i="1" s="1"/>
  <c r="E327" i="1" a="1"/>
  <c r="E327" i="1" s="1"/>
  <c r="F249" i="1" a="1"/>
  <c r="F249" i="1" s="1"/>
  <c r="B87" i="1" a="1"/>
  <c r="B87" i="1" s="1"/>
  <c r="N210" i="1" a="1"/>
  <c r="N210" i="1" s="1"/>
  <c r="G109" i="1" a="1"/>
  <c r="G109" i="1" s="1"/>
  <c r="I133" i="1" a="1"/>
  <c r="I133" i="1" s="1"/>
  <c r="G7" i="1" a="1"/>
  <c r="G7" i="1" s="1"/>
  <c r="K30" i="1" a="1"/>
  <c r="K30" i="1" s="1"/>
  <c r="H210" i="1" a="1"/>
  <c r="H210" i="1" s="1"/>
  <c r="N264" i="1" a="1"/>
  <c r="N264" i="1" s="1"/>
  <c r="D46" i="1" a="1"/>
  <c r="D46" i="1" s="1"/>
  <c r="E167" i="1" a="1"/>
  <c r="E167" i="1" s="1"/>
  <c r="O132" i="1" a="1"/>
  <c r="O132" i="1" s="1"/>
  <c r="P326" i="1" a="1"/>
  <c r="P326" i="1" s="1"/>
  <c r="R312" i="1" a="1"/>
  <c r="R312" i="1" s="1"/>
  <c r="H194" i="1" a="1"/>
  <c r="H194" i="1" s="1"/>
  <c r="C49" i="1" a="1"/>
  <c r="C49" i="1" s="1"/>
  <c r="K316" i="1" a="1"/>
  <c r="K316" i="1" s="1"/>
  <c r="I202" i="1" a="1"/>
  <c r="I202" i="1" s="1"/>
  <c r="Q161" i="1" a="1"/>
  <c r="Q161" i="1" s="1"/>
  <c r="M33" i="1" a="1"/>
  <c r="M33" i="1" s="1"/>
  <c r="M98" i="1" a="1"/>
  <c r="M98" i="1" s="1"/>
  <c r="M192" i="1" a="1"/>
  <c r="M192" i="1" s="1"/>
  <c r="P63" i="1" a="1"/>
  <c r="P63" i="1" s="1"/>
  <c r="J163" i="1" a="1"/>
  <c r="J163" i="1" s="1"/>
  <c r="E98" i="1" a="1"/>
  <c r="E98" i="1" s="1"/>
  <c r="O183" i="1" a="1"/>
  <c r="O183" i="1" s="1"/>
  <c r="K54" i="1" a="1"/>
  <c r="K54" i="1" s="1"/>
  <c r="N114" i="1" a="1"/>
  <c r="N114" i="1" s="1"/>
  <c r="K146" i="1" a="1"/>
  <c r="K146" i="1" s="1"/>
  <c r="C59" i="1" a="1"/>
  <c r="C59" i="1" s="1"/>
  <c r="F140" i="1" a="1"/>
  <c r="F140" i="1" s="1"/>
  <c r="K167" i="1" a="1"/>
  <c r="K167" i="1" s="1"/>
  <c r="K205" i="1" a="1"/>
  <c r="K205" i="1" s="1"/>
  <c r="F176" i="1" a="1"/>
  <c r="F176" i="1" s="1"/>
  <c r="F302" i="1" a="1"/>
  <c r="F302" i="1" s="1"/>
  <c r="L127" i="1" a="1"/>
  <c r="L127" i="1" s="1"/>
  <c r="I98" i="1" a="1"/>
  <c r="I98" i="1" s="1"/>
  <c r="M291" i="1" a="1"/>
  <c r="M291" i="1" s="1"/>
  <c r="P110" i="1" a="1"/>
  <c r="P110" i="1" s="1"/>
  <c r="K279" i="1" a="1"/>
  <c r="K279" i="1" s="1"/>
  <c r="Q251" i="1" a="1"/>
  <c r="Q251" i="1" s="1"/>
  <c r="N115" i="1" a="1"/>
  <c r="N115" i="1" s="1"/>
  <c r="O268" i="1" a="1"/>
  <c r="O268" i="1" s="1"/>
  <c r="K128" i="1" a="1"/>
  <c r="K128" i="1" s="1"/>
  <c r="Q80" i="1" a="1"/>
  <c r="Q80" i="1" s="1"/>
  <c r="F212" i="1" a="1"/>
  <c r="F212" i="1" s="1"/>
  <c r="N139" i="1" a="1"/>
  <c r="N139" i="1" s="1"/>
  <c r="B277" i="1" a="1"/>
  <c r="B277" i="1" s="1"/>
  <c r="K102" i="1" a="1"/>
  <c r="K102" i="1" s="1"/>
  <c r="M2" i="1" a="1"/>
  <c r="M2" i="1" s="1"/>
  <c r="E181" i="1" a="1"/>
  <c r="E181" i="1" s="1"/>
  <c r="E262" i="1" a="1"/>
  <c r="E262" i="1" s="1"/>
  <c r="N225" i="1" a="1"/>
  <c r="N225" i="1" s="1"/>
  <c r="J7" i="1" a="1"/>
  <c r="J7" i="1" s="1"/>
  <c r="Q109" i="1" a="1"/>
  <c r="Q109" i="1" s="1"/>
  <c r="P262" i="1" a="1"/>
  <c r="P262" i="1" s="1"/>
  <c r="N192" i="1" a="1"/>
  <c r="N192" i="1" s="1"/>
  <c r="P227" i="1" a="1"/>
  <c r="P227" i="1" s="1"/>
  <c r="L21" i="1" a="1"/>
  <c r="L21" i="1" s="1"/>
  <c r="F259" i="1" a="1"/>
  <c r="F259" i="1" s="1"/>
  <c r="J248" i="1" a="1"/>
  <c r="J248" i="1" s="1"/>
  <c r="M322" i="1" a="1"/>
  <c r="M322" i="1" s="1"/>
  <c r="C244" i="1" a="1"/>
  <c r="C244" i="1" s="1"/>
  <c r="I91" i="1" a="1"/>
  <c r="I91" i="1" s="1"/>
  <c r="H13" i="1" a="1"/>
  <c r="H13" i="1" s="1"/>
  <c r="P235" i="1" a="1"/>
  <c r="P235" i="1" s="1"/>
  <c r="H200" i="1" a="1"/>
  <c r="H200" i="1" s="1"/>
  <c r="C197" i="1" a="1"/>
  <c r="C197" i="1" s="1"/>
  <c r="R290" i="1" a="1"/>
  <c r="R290" i="1" s="1"/>
  <c r="D77" i="1" a="1"/>
  <c r="D77" i="1" s="1"/>
  <c r="P180" i="1" a="1"/>
  <c r="P180" i="1" s="1"/>
  <c r="I24" i="1" a="1"/>
  <c r="I24" i="1" s="1"/>
  <c r="O96" i="1" a="1"/>
  <c r="O96" i="1" s="1"/>
  <c r="M178" i="1" a="1"/>
  <c r="M178" i="1" s="1"/>
  <c r="O226" i="1" a="1"/>
  <c r="O226" i="1" s="1"/>
  <c r="O231" i="1" a="1"/>
  <c r="O231" i="1" s="1"/>
  <c r="E52" i="1" a="1"/>
  <c r="E52" i="1" s="1"/>
  <c r="E39" i="1" a="1"/>
  <c r="E39" i="1" s="1"/>
  <c r="B40" i="1" a="1"/>
  <c r="B40" i="1" s="1"/>
  <c r="L277" i="1" a="1"/>
  <c r="L277" i="1" s="1"/>
  <c r="G317" i="1" a="1"/>
  <c r="G317" i="1" s="1"/>
  <c r="Q136" i="1" a="1"/>
  <c r="Q136" i="1" s="1"/>
  <c r="E163" i="1" a="1"/>
  <c r="E163" i="1" s="1"/>
  <c r="O7" i="1" a="1"/>
  <c r="O7" i="1" s="1"/>
  <c r="Q86" i="1" a="1"/>
  <c r="Q86" i="1" s="1"/>
  <c r="C285" i="1" a="1"/>
  <c r="C285" i="1" s="1"/>
  <c r="I240" i="1" a="1"/>
  <c r="I240" i="1" s="1"/>
  <c r="L249" i="1" a="1"/>
  <c r="L249" i="1" s="1"/>
  <c r="Q121" i="1" a="1"/>
  <c r="Q121" i="1" s="1"/>
  <c r="M162" i="1" a="1"/>
  <c r="M162" i="1" s="1"/>
  <c r="N58" i="1" a="1"/>
  <c r="N58" i="1" s="1"/>
  <c r="G30" i="1" a="1"/>
  <c r="G30" i="1" s="1"/>
  <c r="O277" i="1" a="1"/>
  <c r="O277" i="1" s="1"/>
  <c r="N37" i="1" a="1"/>
  <c r="N37" i="1" s="1"/>
  <c r="R120" i="1" a="1"/>
  <c r="R120" i="1" s="1"/>
  <c r="I160" i="1" a="1"/>
  <c r="I160" i="1" s="1"/>
  <c r="H273" i="1" a="1"/>
  <c r="H273" i="1" s="1"/>
  <c r="R275" i="1" a="1"/>
  <c r="R275" i="1" s="1"/>
  <c r="K111" i="1" a="1"/>
  <c r="K111" i="1" s="1"/>
  <c r="B233" i="1" a="1"/>
  <c r="B233" i="1" s="1"/>
  <c r="L153" i="1" a="1"/>
  <c r="L153" i="1" s="1"/>
  <c r="L149" i="1" a="1"/>
  <c r="L149" i="1" s="1"/>
  <c r="L10" i="1" a="1"/>
  <c r="L10" i="1" s="1"/>
  <c r="J273" i="1" a="1"/>
  <c r="J273" i="1" s="1"/>
  <c r="C284" i="1" a="1"/>
  <c r="C284" i="1" s="1"/>
  <c r="J81" i="1" a="1"/>
  <c r="J81" i="1" s="1"/>
  <c r="H18" i="1" a="1"/>
  <c r="H18" i="1" s="1"/>
  <c r="N247" i="1" a="1"/>
  <c r="N247" i="1" s="1"/>
  <c r="Q153" i="1" a="1"/>
  <c r="Q153" i="1" s="1"/>
  <c r="P312" i="1" a="1"/>
  <c r="P312" i="1" s="1"/>
  <c r="B33" i="1" a="1"/>
  <c r="B33" i="1" s="1"/>
  <c r="B323" i="1" a="1"/>
  <c r="B323" i="1" s="1"/>
  <c r="G81" i="1" a="1"/>
  <c r="G81" i="1" s="1"/>
  <c r="E309" i="1" a="1"/>
  <c r="E309" i="1" s="1"/>
  <c r="M25" i="1" a="1"/>
  <c r="M25" i="1" s="1"/>
  <c r="L184" i="1" a="1"/>
  <c r="L184" i="1" s="1"/>
  <c r="C117" i="1" a="1"/>
  <c r="C117" i="1" s="1"/>
  <c r="D249" i="1" a="1"/>
  <c r="D249" i="1" s="1"/>
  <c r="C161" i="1" a="1"/>
  <c r="C161" i="1" s="1"/>
  <c r="F275" i="1" a="1"/>
  <c r="F275" i="1" s="1"/>
  <c r="C267" i="1" a="1"/>
  <c r="C267" i="1" s="1"/>
  <c r="G15" i="1" a="1"/>
  <c r="G15" i="1" s="1"/>
  <c r="C126" i="1" a="1"/>
  <c r="C126" i="1" s="1"/>
  <c r="O79" i="1" a="1"/>
  <c r="O79" i="1" s="1"/>
  <c r="Q60" i="1" a="1"/>
  <c r="Q60" i="1" s="1"/>
  <c r="F70" i="1" a="1"/>
  <c r="F70" i="1" s="1"/>
  <c r="C171" i="1" a="1"/>
  <c r="C171" i="1" s="1"/>
  <c r="H240" i="1" a="1"/>
  <c r="H240" i="1" s="1"/>
  <c r="Q24" i="1" a="1"/>
  <c r="Q24" i="1" s="1"/>
  <c r="B302" i="1" a="1"/>
  <c r="B302" i="1" s="1"/>
  <c r="D233" i="1" a="1"/>
  <c r="D233" i="1" s="1"/>
  <c r="L41" i="1" a="1"/>
  <c r="L41" i="1" s="1"/>
  <c r="O45" i="1" a="1"/>
  <c r="O45" i="1" s="1"/>
  <c r="L6" i="1" a="1"/>
  <c r="L6" i="1" s="1"/>
  <c r="O305" i="1" a="1"/>
  <c r="O305" i="1" s="1"/>
  <c r="E236" i="1" a="1"/>
  <c r="E236" i="1" s="1"/>
  <c r="P113" i="1" a="1"/>
  <c r="P113" i="1" s="1"/>
  <c r="I183" i="1" a="1"/>
  <c r="I183" i="1" s="1"/>
  <c r="C158" i="1" a="1"/>
  <c r="C158" i="1" s="1"/>
  <c r="H316" i="1" a="1"/>
  <c r="H316" i="1" s="1"/>
  <c r="I207" i="1" a="1"/>
  <c r="I207" i="1" s="1"/>
  <c r="G188" i="1" a="1"/>
  <c r="G188" i="1" s="1"/>
  <c r="D290" i="1" a="1"/>
  <c r="D290" i="1" s="1"/>
  <c r="D142" i="1" a="1"/>
  <c r="D142" i="1" s="1"/>
  <c r="P187" i="1" a="1"/>
  <c r="P187" i="1" s="1"/>
  <c r="J259" i="1" a="1"/>
  <c r="J259" i="1" s="1"/>
  <c r="E99" i="1" a="1"/>
  <c r="E99" i="1" s="1"/>
  <c r="J188" i="1" a="1"/>
  <c r="J188" i="1" s="1"/>
  <c r="B253" i="1" a="1"/>
  <c r="B253" i="1" s="1"/>
  <c r="P108" i="1" a="1"/>
  <c r="P108" i="1" s="1"/>
  <c r="D234" i="1" a="1"/>
  <c r="D234" i="1" s="1"/>
  <c r="G300" i="1" a="1"/>
  <c r="G300" i="1" s="1"/>
  <c r="E164" i="1" a="1"/>
  <c r="E164" i="1" s="1"/>
  <c r="H149" i="1" a="1"/>
  <c r="H149" i="1" s="1"/>
  <c r="Q47" i="1" a="1"/>
  <c r="Q47" i="1" s="1"/>
  <c r="F117" i="1" a="1"/>
  <c r="F117" i="1" s="1"/>
  <c r="N90" i="1" a="1"/>
  <c r="N90" i="1" s="1"/>
  <c r="M169" i="1" a="1"/>
  <c r="M169" i="1" s="1"/>
  <c r="P53" i="1" a="1"/>
  <c r="P53" i="1" s="1"/>
  <c r="P142" i="1" a="1"/>
  <c r="P142" i="1" s="1"/>
  <c r="E15" i="1" a="1"/>
  <c r="E15" i="1" s="1"/>
  <c r="L198" i="1" a="1"/>
  <c r="L198" i="1" s="1"/>
  <c r="B313" i="1" a="1"/>
  <c r="B313" i="1" s="1"/>
  <c r="D102" i="1" a="1"/>
  <c r="D102" i="1" s="1"/>
  <c r="G184" i="1" a="1"/>
  <c r="G184" i="1" s="1"/>
  <c r="Q42" i="1" a="1"/>
  <c r="Q42" i="1" s="1"/>
  <c r="H234" i="1" a="1"/>
  <c r="H234" i="1" s="1"/>
  <c r="M246" i="1" a="1"/>
  <c r="M246" i="1" s="1"/>
  <c r="F94" i="1" a="1"/>
  <c r="F94" i="1" s="1"/>
  <c r="R216" i="1" a="1"/>
  <c r="R216" i="1" s="1"/>
  <c r="D247" i="1" a="1"/>
  <c r="D247" i="1" s="1"/>
  <c r="O99" i="1" a="1"/>
  <c r="O99" i="1" s="1"/>
  <c r="K187" i="1" a="1"/>
  <c r="K187" i="1" s="1"/>
  <c r="N148" i="1" a="1"/>
  <c r="N148" i="1" s="1"/>
  <c r="C42" i="1" a="1"/>
  <c r="C42" i="1" s="1"/>
  <c r="N61" i="1" a="1"/>
  <c r="N61" i="1" s="1"/>
  <c r="B12" i="1" a="1"/>
  <c r="B12" i="1" s="1"/>
  <c r="J19" i="1" a="1"/>
  <c r="J19" i="1" s="1"/>
  <c r="H258" i="1" a="1"/>
  <c r="H258" i="1" s="1"/>
  <c r="C61" i="1" a="1"/>
  <c r="C61" i="1" s="1"/>
  <c r="H77" i="1" a="1"/>
  <c r="H77" i="1" s="1"/>
  <c r="P325" i="1" a="1"/>
  <c r="P325" i="1" s="1"/>
  <c r="Q66" i="1" a="1"/>
  <c r="Q66" i="1" s="1"/>
  <c r="H242" i="1" a="1"/>
  <c r="H242" i="1" s="1"/>
  <c r="F194" i="1" a="1"/>
  <c r="F194" i="1" s="1"/>
  <c r="L70" i="1" a="1"/>
  <c r="L70" i="1" s="1"/>
  <c r="E205" i="1" a="1"/>
  <c r="E205" i="1" s="1"/>
  <c r="P286" i="1" a="1"/>
  <c r="P286" i="1" s="1"/>
  <c r="I308" i="1" a="1"/>
  <c r="I308" i="1" s="1"/>
  <c r="B307" i="1" a="1"/>
  <c r="B307" i="1" s="1"/>
  <c r="N119" i="1" a="1"/>
  <c r="N119" i="1" s="1"/>
  <c r="H85" i="1" a="1"/>
  <c r="H85" i="1" s="1"/>
  <c r="H295" i="1" a="1"/>
  <c r="H295" i="1" s="1"/>
  <c r="L59" i="1" a="1"/>
  <c r="L59" i="1" s="1"/>
  <c r="I6" i="1" a="1"/>
  <c r="I6" i="1" s="1"/>
  <c r="H5" i="1" a="1"/>
  <c r="H5" i="1" s="1"/>
  <c r="C88" i="1" a="1"/>
  <c r="C88" i="1" s="1"/>
  <c r="B200" i="1" a="1"/>
  <c r="B200" i="1" s="1"/>
  <c r="J207" i="1" a="1"/>
  <c r="J207" i="1" s="1"/>
  <c r="G67" i="1" a="1"/>
  <c r="G67" i="1" s="1"/>
  <c r="R147" i="1" a="1"/>
  <c r="R147" i="1" s="1"/>
  <c r="N323" i="1" a="1"/>
  <c r="N323" i="1" s="1"/>
  <c r="M209" i="1" a="1"/>
  <c r="M209" i="1" s="1"/>
  <c r="H148" i="1" a="1"/>
  <c r="H148" i="1" s="1"/>
  <c r="O271" i="1" a="1"/>
  <c r="O271" i="1" s="1"/>
  <c r="Q165" i="1" a="1"/>
  <c r="Q165" i="1" s="1"/>
  <c r="P60" i="1" a="1"/>
  <c r="P60" i="1" s="1"/>
  <c r="C227" i="1" a="1"/>
  <c r="C227" i="1" s="1"/>
  <c r="Q154" i="1" a="1"/>
  <c r="Q154" i="1" s="1"/>
  <c r="O29" i="1" a="1"/>
  <c r="O29" i="1" s="1"/>
  <c r="D174" i="1" a="1"/>
  <c r="D174" i="1" s="1"/>
  <c r="P249" i="1" a="1"/>
  <c r="P249" i="1" s="1"/>
  <c r="N109" i="1" a="1"/>
  <c r="N109" i="1" s="1"/>
  <c r="D227" i="1" a="1"/>
  <c r="D227" i="1" s="1"/>
  <c r="I109" i="1" a="1"/>
  <c r="I109" i="1" s="1"/>
  <c r="F119" i="1" a="1"/>
  <c r="F119" i="1" s="1"/>
  <c r="O218" i="1" a="1"/>
  <c r="O218" i="1" s="1"/>
  <c r="F32" i="1" a="1"/>
  <c r="F32" i="1" s="1"/>
  <c r="P232" i="1" a="1"/>
  <c r="P232" i="1" s="1"/>
  <c r="N67" i="1" a="1"/>
  <c r="N67" i="1" s="1"/>
  <c r="L158" i="1" a="1"/>
  <c r="L158" i="1" s="1"/>
  <c r="G73" i="1" a="1"/>
  <c r="G73" i="1" s="1"/>
  <c r="F55" i="1" a="1"/>
  <c r="F55" i="1" s="1"/>
  <c r="O130" i="1" a="1"/>
  <c r="O130" i="1" s="1"/>
  <c r="R166" i="1" a="1"/>
  <c r="R166" i="1" s="1"/>
  <c r="F256" i="1" a="1"/>
  <c r="F256" i="1" s="1"/>
  <c r="F261" i="1" a="1"/>
  <c r="F261" i="1" s="1"/>
  <c r="F208" i="1" a="1"/>
  <c r="F208" i="1" s="1"/>
  <c r="F91" i="1" a="1"/>
  <c r="F91" i="1" s="1"/>
  <c r="C280" i="1" a="1"/>
  <c r="C280" i="1" s="1"/>
  <c r="C80" i="1" a="1"/>
  <c r="C80" i="1" s="1"/>
  <c r="H271" i="1" a="1"/>
  <c r="H271" i="1" s="1"/>
  <c r="O33" i="1" a="1"/>
  <c r="O33" i="1" s="1"/>
  <c r="P130" i="1" a="1"/>
  <c r="P130" i="1" s="1"/>
  <c r="B136" i="1" a="1"/>
  <c r="B136" i="1" s="1"/>
  <c r="K119" i="1" a="1"/>
  <c r="K119" i="1" s="1"/>
  <c r="F300" i="1" a="1"/>
  <c r="F300" i="1" s="1"/>
  <c r="M138" i="1" a="1"/>
  <c r="M138" i="1" s="1"/>
  <c r="B221" i="1" a="1"/>
  <c r="B221" i="1" s="1"/>
  <c r="Q185" i="1" a="1"/>
  <c r="Q185" i="1" s="1"/>
  <c r="B150" i="1" a="1"/>
  <c r="B150" i="1" s="1"/>
  <c r="H167" i="1" a="1"/>
  <c r="H167" i="1" s="1"/>
  <c r="O160" i="1" a="1"/>
  <c r="O160" i="1" s="1"/>
  <c r="L23" i="1" a="1"/>
  <c r="L23" i="1" s="1"/>
  <c r="N136" i="1" a="1"/>
  <c r="N136" i="1" s="1"/>
  <c r="B79" i="1" a="1"/>
  <c r="B79" i="1" s="1"/>
  <c r="P321" i="1" a="1"/>
  <c r="P321" i="1" s="1"/>
  <c r="R101" i="1" a="1"/>
  <c r="R101" i="1" s="1"/>
  <c r="O262" i="1" a="1"/>
  <c r="O262" i="1" s="1"/>
  <c r="C29" i="1" a="1"/>
  <c r="C29" i="1" s="1"/>
  <c r="H185" i="1" a="1"/>
  <c r="H185" i="1" s="1"/>
  <c r="R152" i="1" a="1"/>
  <c r="R152" i="1" s="1"/>
  <c r="M199" i="1" a="1"/>
  <c r="M199" i="1" s="1"/>
  <c r="F200" i="1" a="1"/>
  <c r="F200" i="1" s="1"/>
  <c r="P246" i="1" a="1"/>
  <c r="P246" i="1" s="1"/>
  <c r="M21" i="1" a="1"/>
  <c r="M21" i="1" s="1"/>
  <c r="L134" i="1" a="1"/>
  <c r="L134" i="1" s="1"/>
  <c r="E215" i="1" a="1"/>
  <c r="E215" i="1" s="1"/>
  <c r="G205" i="1" a="1"/>
  <c r="G205" i="1" s="1"/>
  <c r="D123" i="1" a="1"/>
  <c r="D123" i="1" s="1"/>
  <c r="C23" i="1" a="1"/>
  <c r="C23" i="1" s="1"/>
  <c r="O146" i="1" a="1"/>
  <c r="O146" i="1" s="1"/>
  <c r="F95" i="1" a="1"/>
  <c r="F95" i="1" s="1"/>
  <c r="J37" i="1" a="1"/>
  <c r="J37" i="1" s="1"/>
  <c r="R305" i="1" a="1"/>
  <c r="R305" i="1" s="1"/>
  <c r="C120" i="1" a="1"/>
  <c r="C120" i="1" s="1"/>
  <c r="R30" i="1" a="1"/>
  <c r="R30" i="1" s="1"/>
  <c r="G156" i="1" a="1"/>
  <c r="G156" i="1" s="1"/>
  <c r="K83" i="1" a="1"/>
  <c r="K83" i="1" s="1"/>
  <c r="J213" i="1" a="1"/>
  <c r="J213" i="1" s="1"/>
  <c r="L43" i="1" a="1"/>
  <c r="L43" i="1" s="1"/>
  <c r="J140" i="1" a="1"/>
  <c r="J140" i="1" s="1"/>
  <c r="D109" i="1" a="1"/>
  <c r="D109" i="1" s="1"/>
  <c r="K312" i="1" a="1"/>
  <c r="K312" i="1" s="1"/>
  <c r="P233" i="1" a="1"/>
  <c r="P233" i="1" s="1"/>
  <c r="K46" i="1" a="1"/>
  <c r="K46" i="1" s="1"/>
  <c r="C130" i="1" a="1"/>
  <c r="C130" i="1" s="1"/>
  <c r="E74" i="1" a="1"/>
  <c r="E74" i="1" s="1"/>
  <c r="O108" i="1" a="1"/>
  <c r="O108" i="1" s="1"/>
  <c r="G322" i="1" a="1"/>
  <c r="G322" i="1" s="1"/>
  <c r="F71" i="1" a="1"/>
  <c r="F71" i="1" s="1"/>
  <c r="N27" i="1" a="1"/>
  <c r="N27" i="1" s="1"/>
  <c r="M234" i="1" a="1"/>
  <c r="M234" i="1" s="1"/>
  <c r="K199" i="1" a="1"/>
  <c r="K199" i="1" s="1"/>
  <c r="B155" i="1" a="1"/>
  <c r="B155" i="1" s="1"/>
  <c r="L251" i="1" a="1"/>
  <c r="L251" i="1" s="1"/>
  <c r="O75" i="1" a="1"/>
  <c r="O75" i="1" s="1"/>
  <c r="Q243" i="1" a="1"/>
  <c r="Q243" i="1" s="1"/>
  <c r="O206" i="1" a="1"/>
  <c r="O206" i="1" s="1"/>
  <c r="I48" i="1" a="1"/>
  <c r="I48" i="1" s="1"/>
  <c r="I269" i="1" a="1"/>
  <c r="I269" i="1" s="1"/>
  <c r="E239" i="1" a="1"/>
  <c r="E239" i="1" s="1"/>
  <c r="H17" i="1" a="1"/>
  <c r="H17" i="1" s="1"/>
  <c r="N155" i="1" a="1"/>
  <c r="N155" i="1" s="1"/>
  <c r="R17" i="1" a="1"/>
  <c r="R17" i="1" s="1"/>
  <c r="Q223" i="1" a="1"/>
  <c r="Q223" i="1" s="1"/>
  <c r="L304" i="1" a="1"/>
  <c r="L304" i="1" s="1"/>
  <c r="L180" i="1" a="1"/>
  <c r="L180" i="1" s="1"/>
  <c r="M195" i="1" a="1"/>
  <c r="M195" i="1" s="1"/>
  <c r="C277" i="1" a="1"/>
  <c r="C277" i="1" s="1"/>
  <c r="D66" i="1" a="1"/>
  <c r="D66" i="1" s="1"/>
  <c r="E154" i="1" a="1"/>
  <c r="E154" i="1" s="1"/>
  <c r="J67" i="1" a="1"/>
  <c r="J67" i="1" s="1"/>
  <c r="L192" i="1" a="1"/>
  <c r="L192" i="1" s="1"/>
  <c r="R139" i="1" a="1"/>
  <c r="R139" i="1" s="1"/>
  <c r="F284" i="1" a="1"/>
  <c r="F284" i="1" s="1"/>
  <c r="G87" i="1" a="1"/>
  <c r="G87" i="1" s="1"/>
  <c r="J202" i="1" a="1"/>
  <c r="J202" i="1" s="1"/>
  <c r="E286" i="1" a="1"/>
  <c r="E286" i="1" s="1"/>
  <c r="K131" i="1" a="1"/>
  <c r="K131" i="1" s="1"/>
  <c r="B80" i="1" a="1"/>
  <c r="B80" i="1" s="1"/>
  <c r="Q6" i="1" a="1"/>
  <c r="Q6" i="1" s="1"/>
  <c r="B206" i="1" a="1"/>
  <c r="B206" i="1" s="1"/>
  <c r="Q244" i="1" a="1"/>
  <c r="Q244" i="1" s="1"/>
  <c r="R133" i="1" a="1"/>
  <c r="R133" i="1" s="1"/>
  <c r="D92" i="1" a="1"/>
  <c r="D92" i="1" s="1"/>
  <c r="E140" i="1" a="1"/>
  <c r="E140" i="1" s="1"/>
  <c r="J102" i="1" a="1"/>
  <c r="J102" i="1" s="1"/>
  <c r="C259" i="1" a="1"/>
  <c r="C259" i="1" s="1"/>
  <c r="G238" i="1" a="1"/>
  <c r="G238" i="1" s="1"/>
  <c r="P317" i="1" a="1"/>
  <c r="P317" i="1" s="1"/>
  <c r="K115" i="1" a="1"/>
  <c r="K115" i="1" s="1"/>
  <c r="N17" i="1" a="1"/>
  <c r="N17" i="1" s="1"/>
  <c r="B303" i="1" a="1"/>
  <c r="B303" i="1" s="1"/>
  <c r="Q318" i="1" a="1"/>
  <c r="Q318" i="1" s="1"/>
  <c r="I230" i="1" a="1"/>
  <c r="I230" i="1" s="1"/>
  <c r="N44" i="1" a="1"/>
  <c r="N44" i="1" s="1"/>
  <c r="M29" i="1" a="1"/>
  <c r="M29" i="1" s="1"/>
  <c r="E87" i="1" a="1"/>
  <c r="E87" i="1" s="1"/>
  <c r="R31" i="1" a="1"/>
  <c r="R31" i="1" s="1"/>
  <c r="R315" i="1" a="1"/>
  <c r="R315" i="1" s="1"/>
  <c r="M113" i="1" a="1"/>
  <c r="M113" i="1" s="1"/>
  <c r="L160" i="1" a="1"/>
  <c r="L160" i="1" s="1"/>
  <c r="K97" i="1" a="1"/>
  <c r="K97" i="1" s="1"/>
  <c r="D143" i="1" a="1"/>
  <c r="D143" i="1" s="1"/>
  <c r="Q58" i="1" a="1"/>
  <c r="Q58" i="1" s="1"/>
  <c r="D266" i="1" a="1"/>
  <c r="D266" i="1" s="1"/>
  <c r="J86" i="1" a="1"/>
  <c r="J86" i="1" s="1"/>
  <c r="M313" i="1" a="1"/>
  <c r="M313" i="1" s="1"/>
  <c r="K137" i="1" a="1"/>
  <c r="K137" i="1" s="1"/>
  <c r="Q36" i="1" a="1"/>
  <c r="Q36" i="1" s="1"/>
  <c r="J175" i="1" a="1"/>
  <c r="J175" i="1" s="1"/>
  <c r="F198" i="1" a="1"/>
  <c r="F198" i="1" s="1"/>
  <c r="M324" i="1" a="1"/>
  <c r="M324" i="1" s="1"/>
  <c r="H294" i="1" a="1"/>
  <c r="H294" i="1" s="1"/>
  <c r="O98" i="1" a="1"/>
  <c r="O98" i="1" s="1"/>
  <c r="O172" i="1" a="1"/>
  <c r="O172" i="1" s="1"/>
  <c r="Q70" i="1" a="1"/>
  <c r="Q70" i="1" s="1"/>
  <c r="B132" i="1" a="1"/>
  <c r="B132" i="1" s="1"/>
  <c r="Q295" i="1" a="1"/>
  <c r="Q295" i="1" s="1"/>
  <c r="B140" i="1" a="1"/>
  <c r="B140" i="1" s="1"/>
  <c r="P57" i="1" a="1"/>
  <c r="P57" i="1" s="1"/>
  <c r="E64" i="1" a="1"/>
  <c r="E64" i="1" s="1"/>
  <c r="I73" i="1" a="1"/>
  <c r="I73" i="1" s="1"/>
  <c r="K290" i="1" a="1"/>
  <c r="K290" i="1" s="1"/>
  <c r="Q179" i="1" a="1"/>
  <c r="Q179" i="1" s="1"/>
  <c r="N91" i="1" a="1"/>
  <c r="N91" i="1" s="1"/>
  <c r="B56" i="1" a="1"/>
  <c r="B56" i="1" s="1"/>
  <c r="H192" i="1" a="1"/>
  <c r="H192" i="1" s="1"/>
  <c r="I315" i="1" a="1"/>
  <c r="I315" i="1" s="1"/>
  <c r="D209" i="1" a="1"/>
  <c r="D209" i="1" s="1"/>
  <c r="I82" i="1" a="1"/>
  <c r="I82" i="1" s="1"/>
  <c r="O306" i="1" a="1"/>
  <c r="O306" i="1" s="1"/>
  <c r="C270" i="1" a="1"/>
  <c r="C270" i="1" s="1"/>
  <c r="P231" i="1" a="1"/>
  <c r="P231" i="1" s="1"/>
  <c r="L130" i="1" a="1"/>
  <c r="L130" i="1" s="1"/>
  <c r="L118" i="1" a="1"/>
  <c r="L118" i="1" s="1"/>
  <c r="D191" i="1" a="1"/>
  <c r="D191" i="1" s="1"/>
  <c r="O114" i="1" a="1"/>
  <c r="O114" i="1" s="1"/>
  <c r="J87" i="1" a="1"/>
  <c r="J87" i="1" s="1"/>
  <c r="R64" i="1" a="1"/>
  <c r="R64" i="1" s="1"/>
  <c r="K311" i="1" a="1"/>
  <c r="K311" i="1" s="1"/>
  <c r="J76" i="1" a="1"/>
  <c r="J76" i="1" s="1"/>
  <c r="K141" i="1" a="1"/>
  <c r="K141" i="1" s="1"/>
  <c r="J192" i="1" a="1"/>
  <c r="J192" i="1" s="1"/>
  <c r="O248" i="1" a="1"/>
  <c r="O248" i="1" s="1"/>
  <c r="G276" i="1" a="1"/>
  <c r="G276" i="1" s="1"/>
  <c r="D295" i="1" a="1"/>
  <c r="D295" i="1" s="1"/>
  <c r="P99" i="1" a="1"/>
  <c r="P99" i="1" s="1"/>
  <c r="F52" i="1" a="1"/>
  <c r="F52" i="1" s="1"/>
  <c r="N36" i="1" a="1"/>
  <c r="N36" i="1" s="1"/>
  <c r="O31" i="1" a="1"/>
  <c r="O31" i="1" s="1"/>
  <c r="J176" i="1" a="1"/>
  <c r="J176" i="1" s="1"/>
  <c r="B70" i="1" a="1"/>
  <c r="B70" i="1" s="1"/>
  <c r="N202" i="1" a="1"/>
  <c r="N202" i="1" s="1"/>
  <c r="R79" i="1" a="1"/>
  <c r="R79" i="1" s="1"/>
  <c r="E43" i="1" a="1"/>
  <c r="E43" i="1" s="1"/>
  <c r="K293" i="1" a="1"/>
  <c r="K293" i="1" s="1"/>
  <c r="Q284" i="1" a="1"/>
  <c r="Q284" i="1" s="1"/>
  <c r="H284" i="1" a="1"/>
  <c r="H284" i="1" s="1"/>
  <c r="Q79" i="1" a="1"/>
  <c r="Q79" i="1" s="1"/>
  <c r="F273" i="1" a="1"/>
  <c r="F273" i="1" s="1"/>
  <c r="R276" i="1" a="1"/>
  <c r="R276" i="1" s="1"/>
  <c r="F299" i="1" a="1"/>
  <c r="F299" i="1" s="1"/>
  <c r="G287" i="1" a="1"/>
  <c r="G287" i="1" s="1"/>
  <c r="L232" i="1" a="1"/>
  <c r="L232" i="1" s="1"/>
  <c r="L30" i="1" a="1"/>
  <c r="L30" i="1" s="1"/>
  <c r="E217" i="1" a="1"/>
  <c r="E217" i="1" s="1"/>
  <c r="F186" i="1" a="1"/>
  <c r="F186" i="1" s="1"/>
  <c r="C91" i="1" a="1"/>
  <c r="C91" i="1" s="1"/>
  <c r="O294" i="1" a="1"/>
  <c r="O294" i="1" s="1"/>
  <c r="B18" i="1" a="1"/>
  <c r="B18" i="1" s="1"/>
  <c r="B312" i="1" a="1"/>
  <c r="B312" i="1" s="1"/>
  <c r="R303" i="1" a="1"/>
  <c r="R303" i="1" s="1"/>
  <c r="K109" i="1" a="1"/>
  <c r="K109" i="1" s="1"/>
  <c r="F247" i="1" a="1"/>
  <c r="F247" i="1" s="1"/>
  <c r="D21" i="1" a="1"/>
  <c r="D21" i="1" s="1"/>
  <c r="B6" i="1" a="1"/>
  <c r="B6" i="1" s="1"/>
  <c r="P284" i="1" a="1"/>
  <c r="P284" i="1" s="1"/>
  <c r="F268" i="1" a="1"/>
  <c r="F268" i="1" s="1"/>
  <c r="B235" i="1" a="1"/>
  <c r="B235" i="1" s="1"/>
  <c r="Q110" i="1" a="1"/>
  <c r="Q110" i="1" s="1"/>
  <c r="M31" i="1" a="1"/>
  <c r="M31" i="1" s="1"/>
  <c r="Q5" i="1" a="1"/>
  <c r="Q5" i="1" s="1"/>
  <c r="O27" i="1" a="1"/>
  <c r="O27" i="1" s="1"/>
  <c r="C261" i="1" a="1"/>
  <c r="C261" i="1" s="1"/>
  <c r="B325" i="1" a="1"/>
  <c r="B325" i="1" s="1"/>
  <c r="L274" i="1" a="1"/>
  <c r="L274" i="1" s="1"/>
  <c r="P8" i="1" a="1"/>
  <c r="P8" i="1" s="1"/>
  <c r="H239" i="1" a="1"/>
  <c r="H239" i="1" s="1"/>
  <c r="H15" i="1" a="1"/>
  <c r="H15" i="1" s="1"/>
  <c r="F251" i="1" a="1"/>
  <c r="F251" i="1" s="1"/>
  <c r="H111" i="1" a="1"/>
  <c r="H111" i="1" s="1"/>
  <c r="D324" i="1" a="1"/>
  <c r="D324" i="1" s="1"/>
  <c r="R37" i="1" a="1"/>
  <c r="R37" i="1" s="1"/>
  <c r="L185" i="1" a="1"/>
  <c r="L185" i="1" s="1"/>
  <c r="G23" i="1" a="1"/>
  <c r="G23" i="1" s="1"/>
  <c r="J195" i="1" a="1"/>
  <c r="J195" i="1" s="1"/>
  <c r="M60" i="1" a="1"/>
  <c r="M60" i="1" s="1"/>
  <c r="Q180" i="1" a="1"/>
  <c r="Q180" i="1" s="1"/>
  <c r="O251" i="1" a="1"/>
  <c r="O251" i="1" s="1"/>
  <c r="Q226" i="1" a="1"/>
  <c r="Q226" i="1" s="1"/>
  <c r="N11" i="1" a="1"/>
  <c r="N11" i="1" s="1"/>
  <c r="K147" i="1" a="1"/>
  <c r="K147" i="1" s="1"/>
  <c r="G149" i="1" a="1"/>
  <c r="G149" i="1" s="1"/>
  <c r="L16" i="1" a="1"/>
  <c r="L16" i="1" s="1"/>
  <c r="B242" i="1" a="1"/>
  <c r="B242" i="1" s="1"/>
  <c r="Q266" i="1" a="1"/>
  <c r="Q266" i="1" s="1"/>
  <c r="M238" i="1" a="1"/>
  <c r="M238" i="1" s="1"/>
  <c r="F10" i="1" a="1"/>
  <c r="F10" i="1" s="1"/>
  <c r="C43" i="1" a="1"/>
  <c r="C43" i="1" s="1"/>
  <c r="Q263" i="1" a="1"/>
  <c r="Q263" i="1" s="1"/>
  <c r="G269" i="1" a="1"/>
  <c r="G269" i="1" s="1"/>
  <c r="P17" i="1" a="1"/>
  <c r="P17" i="1" s="1"/>
  <c r="L193" i="1" a="1"/>
  <c r="L193" i="1" s="1"/>
  <c r="K126" i="1" a="1"/>
  <c r="K126" i="1" s="1"/>
  <c r="C150" i="1" a="1"/>
  <c r="C150" i="1" s="1"/>
  <c r="M52" i="1" a="1"/>
  <c r="M52" i="1" s="1"/>
  <c r="E125" i="1" a="1"/>
  <c r="E125" i="1" s="1"/>
  <c r="J101" i="1" a="1"/>
  <c r="J101" i="1" s="1"/>
  <c r="E40" i="1" a="1"/>
  <c r="E40" i="1" s="1"/>
  <c r="E225" i="1" a="1"/>
  <c r="E225" i="1" s="1"/>
  <c r="N267" i="1" a="1"/>
  <c r="N267" i="1" s="1"/>
  <c r="B285" i="1" a="1"/>
  <c r="B285" i="1" s="1"/>
  <c r="H237" i="1" a="1"/>
  <c r="H237" i="1" s="1"/>
  <c r="G272" i="1" a="1"/>
  <c r="G272" i="1" s="1"/>
  <c r="R250" i="1" a="1"/>
  <c r="R250" i="1" s="1"/>
  <c r="C310" i="1" a="1"/>
  <c r="C310" i="1" s="1"/>
  <c r="M84" i="1" a="1"/>
  <c r="M84" i="1" s="1"/>
  <c r="I2" i="1" a="1"/>
  <c r="I2" i="1" s="1"/>
  <c r="F100" i="1" a="1"/>
  <c r="F100" i="1" s="1"/>
  <c r="D189" i="1" a="1"/>
  <c r="D189" i="1" s="1"/>
  <c r="B282" i="1" a="1"/>
  <c r="B282" i="1" s="1"/>
  <c r="F146" i="1" a="1"/>
  <c r="F146" i="1" s="1"/>
  <c r="E82" i="1" a="1"/>
  <c r="E82" i="1" s="1"/>
  <c r="C31" i="1" a="1"/>
  <c r="C31" i="1" s="1"/>
  <c r="E81" i="1" a="1"/>
  <c r="E81" i="1" s="1"/>
  <c r="J39" i="1" a="1"/>
  <c r="J39" i="1" s="1"/>
  <c r="N279" i="1" a="1"/>
  <c r="N279" i="1" s="1"/>
  <c r="D199" i="1" a="1"/>
  <c r="D199" i="1" s="1"/>
  <c r="Q100" i="1" a="1"/>
  <c r="Q100" i="1" s="1"/>
  <c r="C282" i="1" a="1"/>
  <c r="C282" i="1" s="1"/>
  <c r="O192" i="1" a="1"/>
  <c r="O192" i="1" s="1"/>
  <c r="N235" i="1" a="1"/>
  <c r="N235" i="1" s="1"/>
  <c r="P230" i="1" a="1"/>
  <c r="P230" i="1" s="1"/>
  <c r="N86" i="1" a="1"/>
  <c r="N86" i="1" s="1"/>
  <c r="K28" i="1" a="1"/>
  <c r="K28" i="1" s="1"/>
  <c r="J250" i="1" a="1"/>
  <c r="J250" i="1" s="1"/>
  <c r="H307" i="1" a="1"/>
  <c r="H307" i="1" s="1"/>
  <c r="R106" i="1" a="1"/>
  <c r="R106" i="1" s="1"/>
  <c r="L104" i="1" a="1"/>
  <c r="L104" i="1" s="1"/>
  <c r="Q88" i="1" a="1"/>
  <c r="Q88" i="1" s="1"/>
  <c r="L138" i="1" a="1"/>
  <c r="L138" i="1" s="1"/>
  <c r="C113" i="1" a="1"/>
  <c r="C113" i="1" s="1"/>
  <c r="Q15" i="1" a="1"/>
  <c r="Q15" i="1" s="1"/>
  <c r="K133" i="1" a="1"/>
  <c r="K133" i="1" s="1"/>
  <c r="E143" i="1" a="1"/>
  <c r="E143" i="1" s="1"/>
  <c r="M305" i="1" a="1"/>
  <c r="M305" i="1" s="1"/>
  <c r="F216" i="1" a="1"/>
  <c r="F216" i="1" s="1"/>
  <c r="B36" i="1" a="1"/>
  <c r="B36" i="1" s="1"/>
  <c r="G154" i="1" a="1"/>
  <c r="G154" i="1" s="1"/>
  <c r="C256" i="1" a="1"/>
  <c r="C256" i="1" s="1"/>
  <c r="I221" i="1" a="1"/>
  <c r="I221" i="1" s="1"/>
  <c r="C163" i="1" a="1"/>
  <c r="C163" i="1" s="1"/>
  <c r="M64" i="1" a="1"/>
  <c r="M64" i="1" s="1"/>
  <c r="D60" i="1" a="1"/>
  <c r="D60" i="1" s="1"/>
  <c r="P124" i="1" a="1"/>
  <c r="P124" i="1" s="1"/>
  <c r="R88" i="1" a="1"/>
  <c r="R88" i="1" s="1"/>
  <c r="K132" i="1" a="1"/>
  <c r="K132" i="1" s="1"/>
  <c r="M205" i="1" a="1"/>
  <c r="M205" i="1" s="1"/>
  <c r="Q291" i="1" a="1"/>
  <c r="Q291" i="1" s="1"/>
  <c r="E69" i="1" a="1"/>
  <c r="E69" i="1" s="1"/>
  <c r="R223" i="1" a="1"/>
  <c r="R223" i="1" s="1"/>
  <c r="G251" i="1" a="1"/>
  <c r="G251" i="1" s="1"/>
  <c r="N285" i="1" a="1"/>
  <c r="N285" i="1" s="1"/>
  <c r="K318" i="1" a="1"/>
  <c r="K318" i="1" s="1"/>
  <c r="L9" i="1" a="1"/>
  <c r="L9" i="1" s="1"/>
  <c r="Q133" i="1" a="1"/>
  <c r="Q133" i="1" s="1"/>
  <c r="C92" i="1" a="1"/>
  <c r="C92" i="1" s="1"/>
  <c r="P239" i="1" a="1"/>
  <c r="P239" i="1" s="1"/>
  <c r="B146" i="1" a="1"/>
  <c r="B146" i="1" s="1"/>
  <c r="E131" i="1" a="1"/>
  <c r="E131" i="1" s="1"/>
  <c r="O148" i="1" a="1"/>
  <c r="O148" i="1" s="1"/>
  <c r="Q202" i="1" a="1"/>
  <c r="Q202" i="1" s="1"/>
  <c r="C195" i="1" a="1"/>
  <c r="C195" i="1" s="1"/>
  <c r="C106" i="1" a="1"/>
  <c r="C106" i="1" s="1"/>
  <c r="C51" i="1" a="1"/>
  <c r="C51" i="1" s="1"/>
  <c r="P120" i="1" a="1"/>
  <c r="P120" i="1" s="1"/>
  <c r="P24" i="1" a="1"/>
  <c r="P24" i="1" s="1"/>
  <c r="J114" i="1" a="1"/>
  <c r="J114" i="1" s="1"/>
  <c r="D4" i="1" a="1"/>
  <c r="D4" i="1" s="1"/>
  <c r="R84" i="1" a="1"/>
  <c r="R84" i="1" s="1"/>
  <c r="L101" i="1" a="1"/>
  <c r="L101" i="1" s="1"/>
  <c r="K179" i="1" a="1"/>
  <c r="K179" i="1" s="1"/>
  <c r="P248" i="1" a="1"/>
  <c r="P248" i="1" s="1"/>
  <c r="H268" i="1" a="1"/>
  <c r="H268" i="1" s="1"/>
  <c r="N319" i="1" a="1"/>
  <c r="N319" i="1" s="1"/>
  <c r="O297" i="1" a="1"/>
  <c r="O297" i="1" s="1"/>
  <c r="G125" i="1" a="1"/>
  <c r="G125" i="1" s="1"/>
  <c r="R34" i="1" a="1"/>
  <c r="R34" i="1" s="1"/>
  <c r="J49" i="1" a="1"/>
  <c r="J49" i="1" s="1"/>
  <c r="H277" i="1" a="1"/>
  <c r="H277" i="1" s="1"/>
  <c r="N126" i="1" a="1"/>
  <c r="N126" i="1" s="1"/>
  <c r="M181" i="1" a="1"/>
  <c r="M181" i="1" s="1"/>
  <c r="B211" i="1" a="1"/>
  <c r="B211" i="1" s="1"/>
  <c r="G17" i="1" a="1"/>
  <c r="G17" i="1" s="1"/>
  <c r="Q206" i="1" a="1"/>
  <c r="Q206" i="1" s="1"/>
  <c r="R172" i="1" a="1"/>
  <c r="R172" i="1" s="1"/>
  <c r="D269" i="1" a="1"/>
  <c r="D269" i="1" s="1"/>
  <c r="H325" i="1" a="1"/>
  <c r="H325" i="1" s="1"/>
  <c r="O253" i="1" a="1"/>
  <c r="O253" i="1" s="1"/>
  <c r="M287" i="1" a="1"/>
  <c r="M287" i="1" s="1"/>
  <c r="L233" i="1" a="1"/>
  <c r="L233" i="1" s="1"/>
  <c r="D229" i="1" a="1"/>
  <c r="D229" i="1" s="1"/>
  <c r="H217" i="1" a="1"/>
  <c r="H217" i="1" s="1"/>
  <c r="J68" i="1" a="1"/>
  <c r="J68" i="1" s="1"/>
  <c r="M250" i="1" a="1"/>
  <c r="M250" i="1" s="1"/>
  <c r="J52" i="1" a="1"/>
  <c r="J52" i="1" s="1"/>
  <c r="D187" i="1" a="1"/>
  <c r="D187" i="1" s="1"/>
  <c r="B305" i="1" a="1"/>
  <c r="B305" i="1" s="1"/>
  <c r="R273" i="1" a="1"/>
  <c r="R273" i="1" s="1"/>
  <c r="M8" i="1" a="1"/>
  <c r="M8" i="1" s="1"/>
  <c r="K158" i="1" a="1"/>
  <c r="K158" i="1" s="1"/>
  <c r="F53" i="1" a="1"/>
  <c r="F53" i="1" s="1"/>
  <c r="D119" i="1" a="1"/>
  <c r="D119" i="1" s="1"/>
  <c r="D299" i="1" a="1"/>
  <c r="D299" i="1" s="1"/>
  <c r="H20" i="1" a="1"/>
  <c r="H20" i="1" s="1"/>
  <c r="L297" i="1" a="1"/>
  <c r="L297" i="1" s="1"/>
  <c r="M289" i="1" a="1"/>
  <c r="M289" i="1" s="1"/>
  <c r="I15" i="1" a="1"/>
  <c r="I15" i="1" s="1"/>
  <c r="Q289" i="1" a="1"/>
  <c r="Q289" i="1" s="1"/>
  <c r="O327" i="1" a="1"/>
  <c r="O327" i="1" s="1"/>
  <c r="G267" i="1" a="1"/>
  <c r="G267" i="1" s="1"/>
  <c r="J77" i="1" a="1"/>
  <c r="J77" i="1" s="1"/>
  <c r="B274" i="1" a="1"/>
  <c r="B274" i="1" s="1"/>
  <c r="C175" i="1" a="1"/>
  <c r="C175" i="1" s="1"/>
  <c r="B164" i="1" a="1"/>
  <c r="B164" i="1" s="1"/>
  <c r="P320" i="1" a="1"/>
  <c r="P320" i="1" s="1"/>
  <c r="N113" i="1" a="1"/>
  <c r="N113" i="1" s="1"/>
  <c r="P6" i="1" a="1"/>
  <c r="P6" i="1" s="1"/>
  <c r="R245" i="1" a="1"/>
  <c r="R245" i="1" s="1"/>
  <c r="G206" i="1" a="1"/>
  <c r="G206" i="1" s="1"/>
  <c r="O317" i="1" a="1"/>
  <c r="O317" i="1" s="1"/>
  <c r="D140" i="1" a="1"/>
  <c r="D140" i="1" s="1"/>
  <c r="O68" i="1" a="1"/>
  <c r="O68" i="1" s="1"/>
  <c r="B182" i="1" a="1"/>
  <c r="B182" i="1" s="1"/>
  <c r="M203" i="1" a="1"/>
  <c r="M203" i="1" s="1"/>
  <c r="Q182" i="1" a="1"/>
  <c r="Q182" i="1" s="1"/>
  <c r="P203" i="1" a="1"/>
  <c r="P203" i="1" s="1"/>
  <c r="R182" i="1" a="1"/>
  <c r="R182" i="1" s="1"/>
  <c r="M157" i="1" a="1"/>
  <c r="M157" i="1" s="1"/>
  <c r="G105" i="1" a="1"/>
  <c r="G105" i="1" s="1"/>
  <c r="L190" i="1" a="1"/>
  <c r="L190" i="1" s="1"/>
  <c r="K182" i="1" a="1"/>
  <c r="K182" i="1" s="1"/>
  <c r="M281" i="1" a="1"/>
  <c r="M281" i="1" s="1"/>
  <c r="G182" i="1" a="1"/>
  <c r="G182" i="1" s="1"/>
  <c r="K219" i="1" a="1"/>
  <c r="K219" i="1" s="1"/>
  <c r="I278" i="1" a="1"/>
  <c r="I278" i="1" s="1"/>
  <c r="N219" i="1" a="1"/>
  <c r="N219" i="1" s="1"/>
  <c r="M105" i="1" a="1"/>
  <c r="M105" i="1" s="1"/>
  <c r="H278" i="1" a="1"/>
  <c r="H278" i="1" s="1"/>
  <c r="I157" i="1" a="1"/>
  <c r="I157" i="1" s="1"/>
  <c r="J281" i="1" a="1"/>
  <c r="J281" i="1" s="1"/>
  <c r="I182" i="1" a="1"/>
  <c r="I182" i="1" s="1"/>
  <c r="B281" i="1" a="1"/>
  <c r="B281" i="1" s="1"/>
  <c r="C105" i="1" a="1"/>
  <c r="C105" i="1" s="1"/>
  <c r="N281" i="1" a="1"/>
  <c r="N281" i="1" s="1"/>
  <c r="B203" i="1" a="1"/>
  <c r="B203" i="1" s="1"/>
  <c r="Q157" i="1" a="1"/>
  <c r="Q157" i="1" s="1"/>
  <c r="Q219" i="1" a="1"/>
  <c r="Q219" i="1" s="1"/>
  <c r="I190" i="1" a="1"/>
  <c r="I190" i="1" s="1"/>
  <c r="D278" i="1" a="1"/>
  <c r="D278" i="1" s="1"/>
  <c r="P190" i="1" a="1"/>
  <c r="P190" i="1" s="1"/>
  <c r="I281" i="1" a="1"/>
  <c r="I281" i="1" s="1"/>
  <c r="H182" i="1" a="1"/>
  <c r="H182" i="1" s="1"/>
  <c r="I105" i="1" a="1"/>
  <c r="I105" i="1" s="1"/>
  <c r="C135" i="1" a="1"/>
  <c r="C135" i="1" s="1"/>
  <c r="B105" i="1" a="1"/>
  <c r="B105" i="1" s="1"/>
  <c r="N135" i="1" a="1"/>
  <c r="N135" i="1" s="1"/>
  <c r="R135" i="1" a="1"/>
  <c r="R135" i="1" s="1"/>
  <c r="K190" i="1" a="1"/>
  <c r="K190" i="1" s="1"/>
  <c r="K278" i="1" a="1"/>
  <c r="K278" i="1" s="1"/>
  <c r="F278" i="1" a="1"/>
  <c r="F278" i="1" s="1"/>
  <c r="P182" i="1" a="1"/>
  <c r="P182" i="1" s="1"/>
  <c r="M278" i="1" a="1"/>
  <c r="M278" i="1" s="1"/>
  <c r="I203" i="1" a="1"/>
  <c r="I203" i="1" s="1"/>
  <c r="L105" i="1" a="1"/>
  <c r="L105" i="1" s="1"/>
  <c r="C219" i="1" a="1"/>
  <c r="C219" i="1" s="1"/>
  <c r="J190" i="1" a="1"/>
  <c r="J190" i="1" s="1"/>
  <c r="L281" i="1" a="1"/>
  <c r="L281" i="1" s="1"/>
  <c r="J157" i="1" a="1"/>
  <c r="J157" i="1" s="1"/>
  <c r="R157" i="1" a="1"/>
  <c r="R157" i="1" s="1"/>
  <c r="D135" i="1" a="1"/>
  <c r="D135" i="1" s="1"/>
  <c r="O219" i="1" a="1"/>
  <c r="O219" i="1" s="1"/>
  <c r="J278" i="1" a="1"/>
  <c r="J278" i="1" s="1"/>
  <c r="L135" i="1" a="1"/>
  <c r="L135" i="1" s="1"/>
  <c r="O105" i="1" a="1"/>
  <c r="O105" i="1" s="1"/>
  <c r="O182" i="1" a="1"/>
  <c r="O182" i="1" s="1"/>
  <c r="N105" i="1" a="1"/>
  <c r="N105" i="1" s="1"/>
  <c r="M190" i="1" a="1"/>
  <c r="M190" i="1" s="1"/>
  <c r="G278" i="1" a="1"/>
  <c r="G278" i="1" s="1"/>
  <c r="R278" i="1" a="1"/>
  <c r="R278" i="1" s="1"/>
  <c r="R281" i="1" a="1"/>
  <c r="R281" i="1" s="1"/>
  <c r="P157" i="1" a="1"/>
  <c r="P157" i="1" s="1"/>
  <c r="L157" i="1" a="1"/>
  <c r="L157" i="1" s="1"/>
  <c r="C190" i="1" a="1"/>
  <c r="C190" i="1" s="1"/>
  <c r="D14" i="1" a="1"/>
  <c r="D14" i="1" s="1"/>
  <c r="F190" i="1" a="1"/>
  <c r="F190" i="1" s="1"/>
  <c r="C157" i="1" a="1"/>
  <c r="C157" i="1" s="1"/>
  <c r="K105" i="1" a="1"/>
  <c r="K105" i="1" s="1"/>
  <c r="G219" i="1" a="1"/>
  <c r="G219" i="1" s="1"/>
  <c r="I135" i="1" a="1"/>
  <c r="I135" i="1" s="1"/>
  <c r="D203" i="1" a="1"/>
  <c r="D203" i="1" s="1"/>
  <c r="H105" i="1" a="1"/>
  <c r="H105" i="1" s="1"/>
  <c r="D182" i="1" a="1"/>
  <c r="D182" i="1" s="1"/>
  <c r="P14" i="1" a="1"/>
  <c r="P14" i="1" s="1"/>
  <c r="N157" i="1" a="1"/>
  <c r="N157" i="1" s="1"/>
  <c r="R219" i="1" a="1"/>
  <c r="R219" i="1" s="1"/>
  <c r="D219" i="1" a="1"/>
  <c r="D219" i="1" s="1"/>
  <c r="N278" i="1" a="1"/>
  <c r="N278" i="1" s="1"/>
  <c r="J105" i="1" a="1"/>
  <c r="J105" i="1" s="1"/>
  <c r="Q281" i="1" a="1"/>
  <c r="Q281" i="1" s="1"/>
  <c r="M14" i="1" a="1"/>
  <c r="M14" i="1" s="1"/>
  <c r="D281" i="1" a="1"/>
  <c r="D281" i="1" s="1"/>
  <c r="E182" i="1" a="1"/>
  <c r="E182" i="1" s="1"/>
  <c r="O190" i="1" a="1"/>
  <c r="O190" i="1" s="1"/>
  <c r="E190" i="1" a="1"/>
  <c r="E190" i="1" s="1"/>
  <c r="J14" i="1" a="1"/>
  <c r="J14" i="1" s="1"/>
  <c r="D105" i="1" a="1"/>
  <c r="D105" i="1" s="1"/>
  <c r="E135" i="1" a="1"/>
  <c r="E135" i="1" s="1"/>
  <c r="O14" i="1" a="1"/>
  <c r="O14" i="1" s="1"/>
  <c r="G190" i="1" a="1"/>
  <c r="G190" i="1" s="1"/>
  <c r="G203" i="1" a="1"/>
  <c r="G203" i="1" s="1"/>
  <c r="P105" i="1" a="1"/>
  <c r="P105" i="1" s="1"/>
  <c r="G135" i="1" a="1"/>
  <c r="G135" i="1" s="1"/>
  <c r="H157" i="1" a="1"/>
  <c r="H157" i="1" s="1"/>
  <c r="O135" i="1" a="1"/>
  <c r="O135" i="1" s="1"/>
  <c r="L203" i="1" a="1"/>
  <c r="L203" i="1" s="1"/>
  <c r="N203" i="1" a="1"/>
  <c r="N203" i="1" s="1"/>
  <c r="R105" i="1" a="1"/>
  <c r="R105" i="1" s="1"/>
  <c r="Q105" i="1" a="1"/>
  <c r="Q105" i="1" s="1"/>
  <c r="M182" i="1" a="1"/>
  <c r="M182" i="1" s="1"/>
  <c r="C182" i="1" a="1"/>
  <c r="C182" i="1" s="1"/>
  <c r="J219" i="1" a="1"/>
  <c r="J219" i="1" s="1"/>
  <c r="L219" i="1" a="1"/>
  <c r="L219" i="1" s="1"/>
  <c r="F14" i="1" a="1"/>
  <c r="F14" i="1" s="1"/>
  <c r="H219" i="1" a="1"/>
  <c r="H219" i="1" s="1"/>
  <c r="B135" i="1" a="1"/>
  <c r="B135" i="1" s="1"/>
  <c r="N14" i="1" a="1"/>
  <c r="N14" i="1" s="1"/>
  <c r="H203" i="1" a="1"/>
  <c r="H203" i="1" s="1"/>
  <c r="L182" i="1" a="1"/>
  <c r="L182" i="1" s="1"/>
  <c r="B278" i="1" a="1"/>
  <c r="B278" i="1" s="1"/>
  <c r="O203" i="1" a="1"/>
  <c r="O203" i="1" s="1"/>
  <c r="B14" i="1" a="1"/>
  <c r="B14" i="1" s="1"/>
  <c r="Q14" i="1" a="1"/>
  <c r="Q14" i="1" s="1"/>
  <c r="E219" i="1" a="1"/>
  <c r="E219" i="1" s="1"/>
  <c r="J135" i="1" a="1"/>
  <c r="J135" i="1" s="1"/>
  <c r="P278" i="1" a="1"/>
  <c r="P278" i="1" s="1"/>
  <c r="I219" i="1" a="1"/>
  <c r="I219" i="1" s="1"/>
  <c r="E14" i="1" a="1"/>
  <c r="E14" i="1" s="1"/>
  <c r="P135" i="1" a="1"/>
  <c r="P135" i="1" s="1"/>
  <c r="R203" i="1" a="1"/>
  <c r="R203" i="1" s="1"/>
  <c r="M135" i="1" a="1"/>
  <c r="M135" i="1" s="1"/>
  <c r="O157" i="1" a="1"/>
  <c r="O157" i="1" s="1"/>
  <c r="E105" i="1" a="1"/>
  <c r="E105" i="1" s="1"/>
  <c r="Q190" i="1" a="1"/>
  <c r="Q190" i="1" s="1"/>
  <c r="H281" i="1" a="1"/>
  <c r="H281" i="1" s="1"/>
  <c r="K14" i="1" a="1"/>
  <c r="K14" i="1" s="1"/>
  <c r="E281" i="1" a="1"/>
  <c r="E281" i="1" s="1"/>
  <c r="H14" i="1" a="1"/>
  <c r="H14" i="1" s="1"/>
  <c r="R14" i="1" a="1"/>
  <c r="R14" i="1" s="1"/>
  <c r="M219" i="1" a="1"/>
  <c r="M219" i="1" s="1"/>
  <c r="P219" i="1" a="1"/>
  <c r="P219" i="1" s="1"/>
  <c r="Q203" i="1" a="1"/>
  <c r="Q203" i="1" s="1"/>
  <c r="K157" i="1" a="1"/>
  <c r="K157" i="1" s="1"/>
  <c r="R190" i="1" a="1"/>
  <c r="R190" i="1" s="1"/>
  <c r="K281" i="1" a="1"/>
  <c r="K281" i="1" s="1"/>
  <c r="E157" i="1" a="1"/>
  <c r="E157" i="1" s="1"/>
  <c r="D157" i="1" a="1"/>
  <c r="D157" i="1" s="1"/>
  <c r="Q135" i="1" a="1"/>
  <c r="Q135" i="1" s="1"/>
  <c r="N182" i="1" a="1"/>
  <c r="N182" i="1" s="1"/>
  <c r="O278" i="1" a="1"/>
  <c r="O278" i="1" s="1"/>
  <c r="E203" i="1" a="1"/>
  <c r="E203" i="1" s="1"/>
  <c r="F157" i="1" a="1"/>
  <c r="F157" i="1" s="1"/>
  <c r="E278" i="1" a="1"/>
  <c r="E278" i="1" s="1"/>
  <c r="J203" i="1" a="1"/>
  <c r="J203" i="1" s="1"/>
  <c r="F135" i="1" a="1"/>
  <c r="F135" i="1" s="1"/>
  <c r="F281" i="1" a="1"/>
  <c r="F281" i="1" s="1"/>
  <c r="D190" i="1" a="1"/>
  <c r="D190" i="1" s="1"/>
  <c r="B219" i="1" a="1"/>
  <c r="B219" i="1" s="1"/>
  <c r="H190" i="1" a="1"/>
  <c r="H190" i="1" s="1"/>
  <c r="C281" i="1" a="1"/>
  <c r="C281" i="1" s="1"/>
  <c r="N190" i="1" a="1"/>
  <c r="N190" i="1" s="1"/>
  <c r="C278" i="1" a="1"/>
  <c r="C278" i="1" s="1"/>
  <c r="Q278" i="1" a="1"/>
  <c r="Q278" i="1" s="1"/>
  <c r="G157" i="1" a="1"/>
  <c r="G157" i="1" s="1"/>
  <c r="C203" i="1" a="1"/>
  <c r="C203" i="1" s="1"/>
  <c r="H135" i="1" a="1"/>
  <c r="H135" i="1" s="1"/>
  <c r="K203" i="1" a="1"/>
  <c r="K203" i="1" s="1"/>
  <c r="I14" i="1" a="1"/>
  <c r="I14" i="1" s="1"/>
  <c r="F182" i="1" a="1"/>
  <c r="F182" i="1" s="1"/>
  <c r="L14" i="1" a="1"/>
  <c r="L14" i="1" s="1"/>
  <c r="G14" i="1" a="1"/>
  <c r="G14" i="1" s="1"/>
  <c r="F203" i="1" a="1"/>
  <c r="F203" i="1" s="1"/>
  <c r="J182" i="1" a="1"/>
  <c r="J182" i="1" s="1"/>
  <c r="O281" i="1" a="1"/>
  <c r="O281" i="1" s="1"/>
  <c r="B157" i="1" a="1"/>
  <c r="B157" i="1" s="1"/>
  <c r="P281" i="1" a="1"/>
  <c r="P281" i="1" s="1"/>
  <c r="B190" i="1" a="1"/>
  <c r="B190" i="1" s="1"/>
  <c r="F219" i="1" a="1"/>
  <c r="F219" i="1" s="1"/>
  <c r="K135" i="1" a="1"/>
  <c r="K135" i="1" s="1"/>
  <c r="L278" i="1" a="1"/>
  <c r="L278" i="1" s="1"/>
  <c r="C14" i="1" a="1"/>
  <c r="C14" i="1" s="1"/>
  <c r="G281" i="1" a="1"/>
  <c r="G281" i="1" s="1"/>
  <c r="F105" i="1" a="1"/>
  <c r="F105" i="1" s="1"/>
  <c r="B2" i="9"/>
  <c r="U2" i="4" a="1"/>
  <c r="U2" i="4" s="1"/>
  <c r="L248" i="11" l="1"/>
  <c r="L249" i="11" s="1"/>
  <c r="Y95" i="4"/>
  <c r="Y80" i="4"/>
  <c r="Y98" i="4"/>
  <c r="Y97" i="4"/>
  <c r="Y256" i="4"/>
  <c r="Y303" i="4"/>
  <c r="Y254" i="4"/>
  <c r="Y194" i="4"/>
  <c r="Y145" i="4"/>
  <c r="Y290" i="4"/>
  <c r="Y190" i="4"/>
  <c r="Y130" i="4"/>
  <c r="Y81" i="4"/>
  <c r="Y32" i="4"/>
  <c r="Y238" i="4"/>
  <c r="Y176" i="4"/>
  <c r="Y127" i="4"/>
  <c r="Y78" i="4"/>
  <c r="Y18" i="4"/>
  <c r="Y273" i="4"/>
  <c r="Y65" i="4"/>
  <c r="Y16" i="4"/>
  <c r="Y320" i="4"/>
  <c r="Y271" i="4"/>
  <c r="Y222" i="4"/>
  <c r="Y162" i="4"/>
  <c r="Y318" i="4"/>
  <c r="Y258" i="4"/>
  <c r="Y209" i="4"/>
  <c r="Y160" i="4"/>
  <c r="Y111" i="4"/>
  <c r="Y62" i="4"/>
  <c r="Y252" i="4"/>
  <c r="Y236" i="4"/>
  <c r="Y220" i="4"/>
  <c r="Y204" i="4"/>
  <c r="Y188" i="4"/>
  <c r="Y172" i="4"/>
  <c r="Y44" i="4"/>
  <c r="Y317" i="4"/>
  <c r="Y237" i="4"/>
  <c r="Y141" i="4"/>
  <c r="Y13" i="4"/>
  <c r="Y123" i="4"/>
  <c r="Y301" i="4"/>
  <c r="Y10" i="4"/>
  <c r="Y313" i="4"/>
  <c r="Y297" i="4"/>
  <c r="Y281" i="4"/>
  <c r="Y249" i="4"/>
  <c r="Y73" i="4"/>
  <c r="Y57" i="4"/>
  <c r="Y41" i="4"/>
  <c r="Y25" i="4"/>
  <c r="Y9" i="4"/>
  <c r="Y125" i="4"/>
  <c r="Y314" i="4"/>
  <c r="Y282" i="4"/>
  <c r="Y250" i="4"/>
  <c r="Y218" i="4"/>
  <c r="Y186" i="4"/>
  <c r="Y154" i="4"/>
  <c r="Y167" i="4"/>
  <c r="Y151" i="4"/>
  <c r="Y119" i="4"/>
  <c r="Y205" i="4"/>
  <c r="Y267" i="4"/>
  <c r="Y251" i="4"/>
  <c r="Y235" i="4"/>
  <c r="Y219" i="4"/>
  <c r="Y203" i="4"/>
  <c r="Y187" i="4"/>
  <c r="Y269" i="4"/>
  <c r="Y61" i="4"/>
  <c r="Y283" i="4"/>
  <c r="Y43" i="4"/>
  <c r="Y42" i="4"/>
  <c r="Y325" i="4"/>
  <c r="Y101" i="4"/>
  <c r="Y69" i="4"/>
  <c r="Y90" i="4"/>
  <c r="Y260" i="4"/>
  <c r="Y244" i="4"/>
  <c r="Y212" i="4"/>
  <c r="Y4" i="4"/>
  <c r="Y253" i="4"/>
  <c r="Y157" i="4"/>
  <c r="Y45" i="4"/>
  <c r="Y27" i="4"/>
  <c r="Y179" i="4"/>
  <c r="Y163" i="4"/>
  <c r="Y147" i="4"/>
  <c r="Y115" i="4"/>
  <c r="CS3" i="11"/>
  <c r="CI248" i="11"/>
  <c r="BS248" i="11"/>
  <c r="BC248" i="11"/>
  <c r="AM248" i="11"/>
  <c r="W248" i="11"/>
  <c r="CH248" i="11"/>
  <c r="BR248" i="11"/>
  <c r="BB248" i="11"/>
  <c r="AL248" i="11"/>
  <c r="V248" i="11"/>
  <c r="CG248" i="11"/>
  <c r="BQ248" i="11"/>
  <c r="BA248" i="11"/>
  <c r="AK248" i="11"/>
  <c r="U248" i="11"/>
  <c r="CF248" i="11"/>
  <c r="BP248" i="11"/>
  <c r="AZ248" i="11"/>
  <c r="AJ248" i="11"/>
  <c r="T248" i="11"/>
  <c r="CE248" i="11"/>
  <c r="BO248" i="11"/>
  <c r="AY248" i="11"/>
  <c r="AI248" i="11"/>
  <c r="S248" i="11"/>
  <c r="CD248" i="11"/>
  <c r="BN248" i="11"/>
  <c r="AX248" i="11"/>
  <c r="AH248" i="11"/>
  <c r="R248" i="11"/>
  <c r="CC248" i="11"/>
  <c r="BM248" i="11"/>
  <c r="AW248" i="11"/>
  <c r="AG248" i="11"/>
  <c r="Q248" i="11"/>
  <c r="CB248" i="11"/>
  <c r="BL248" i="11"/>
  <c r="AV248" i="11"/>
  <c r="AF248" i="11"/>
  <c r="P248" i="11"/>
  <c r="CA248" i="11"/>
  <c r="BK248" i="11"/>
  <c r="AU248" i="11"/>
  <c r="AE248" i="11"/>
  <c r="O248" i="11"/>
  <c r="BV248" i="11"/>
  <c r="AN248" i="11"/>
  <c r="BU248" i="11"/>
  <c r="AD248" i="11"/>
  <c r="BT248" i="11"/>
  <c r="AC248" i="11"/>
  <c r="BJ248" i="11"/>
  <c r="AB248" i="11"/>
  <c r="BI248" i="11"/>
  <c r="AA248" i="11"/>
  <c r="BH248" i="11"/>
  <c r="Z248" i="11"/>
  <c r="BG248" i="11"/>
  <c r="Y248" i="11"/>
  <c r="BF248" i="11"/>
  <c r="X248" i="11"/>
  <c r="BE248" i="11"/>
  <c r="N248" i="11"/>
  <c r="CJ248" i="11"/>
  <c r="BZ248" i="11"/>
  <c r="BY248" i="11"/>
  <c r="BX248" i="11"/>
  <c r="BW248" i="11"/>
  <c r="BD248" i="11"/>
  <c r="AT248" i="11"/>
  <c r="AS248" i="11"/>
  <c r="CK248" i="11"/>
  <c r="AR248" i="11"/>
  <c r="AQ248" i="11"/>
  <c r="AP248" i="11"/>
  <c r="M248" i="11"/>
  <c r="M249" i="11" s="1"/>
  <c r="AO248" i="11"/>
  <c r="K2" i="11"/>
  <c r="CN4" i="11"/>
  <c r="CO4" i="11" s="1" a="1"/>
  <c r="A1" i="5" a="1"/>
  <c r="T3" i="4"/>
  <c r="T4" i="4"/>
  <c r="T5" i="4"/>
  <c r="Y5" i="4" s="1"/>
  <c r="T6" i="4"/>
  <c r="Y6" i="4" s="1"/>
  <c r="T7" i="4"/>
  <c r="Y7" i="4" s="1"/>
  <c r="T8" i="4"/>
  <c r="Y8" i="4" s="1"/>
  <c r="T9" i="4"/>
  <c r="T10" i="4"/>
  <c r="T11" i="4"/>
  <c r="Y11" i="4" s="1"/>
  <c r="T12" i="4"/>
  <c r="Y12" i="4" s="1"/>
  <c r="T13" i="4"/>
  <c r="T14" i="4"/>
  <c r="Y14" i="4" s="1"/>
  <c r="T15" i="4"/>
  <c r="Y15" i="4" s="1"/>
  <c r="T16" i="4"/>
  <c r="T17" i="4"/>
  <c r="Y17" i="4" s="1"/>
  <c r="T18" i="4"/>
  <c r="T19" i="4"/>
  <c r="Y19" i="4" s="1"/>
  <c r="T20" i="4"/>
  <c r="Y20" i="4" s="1"/>
  <c r="T21" i="4"/>
  <c r="Y21" i="4" s="1"/>
  <c r="T22" i="4"/>
  <c r="Y22" i="4" s="1"/>
  <c r="T23" i="4"/>
  <c r="Y23" i="4" s="1"/>
  <c r="T24" i="4"/>
  <c r="Y24" i="4" s="1"/>
  <c r="T25" i="4"/>
  <c r="T26" i="4"/>
  <c r="Y26" i="4" s="1"/>
  <c r="T27" i="4"/>
  <c r="T28" i="4"/>
  <c r="Y28" i="4" s="1"/>
  <c r="T29" i="4"/>
  <c r="Y29" i="4" s="1"/>
  <c r="T30" i="4"/>
  <c r="Y30" i="4" s="1"/>
  <c r="T31" i="4"/>
  <c r="Y31" i="4" s="1"/>
  <c r="T32" i="4"/>
  <c r="T33" i="4"/>
  <c r="Y33" i="4" s="1"/>
  <c r="T34" i="4"/>
  <c r="Y34" i="4" s="1"/>
  <c r="T35" i="4"/>
  <c r="Y35" i="4" s="1"/>
  <c r="T36" i="4"/>
  <c r="Y36" i="4" s="1"/>
  <c r="T37" i="4"/>
  <c r="Y37" i="4" s="1"/>
  <c r="T38" i="4"/>
  <c r="Y38" i="4" s="1"/>
  <c r="T39" i="4"/>
  <c r="Y39" i="4" s="1"/>
  <c r="T40" i="4"/>
  <c r="Y40" i="4" s="1"/>
  <c r="T41" i="4"/>
  <c r="T42" i="4"/>
  <c r="T43" i="4"/>
  <c r="T44" i="4"/>
  <c r="T45" i="4"/>
  <c r="T46" i="4"/>
  <c r="Y46" i="4" s="1"/>
  <c r="T47" i="4"/>
  <c r="Y47" i="4" s="1"/>
  <c r="T48" i="4"/>
  <c r="Y48" i="4" s="1"/>
  <c r="T49" i="4"/>
  <c r="Y49" i="4" s="1"/>
  <c r="T50" i="4"/>
  <c r="Y50" i="4" s="1"/>
  <c r="T51" i="4"/>
  <c r="Y51" i="4" s="1"/>
  <c r="T52" i="4"/>
  <c r="Y52" i="4" s="1"/>
  <c r="T53" i="4"/>
  <c r="Y53" i="4" s="1"/>
  <c r="T54" i="4"/>
  <c r="Y54" i="4" s="1"/>
  <c r="T55" i="4"/>
  <c r="Y55" i="4" s="1"/>
  <c r="T56" i="4"/>
  <c r="Y56" i="4" s="1"/>
  <c r="T57" i="4"/>
  <c r="T58" i="4"/>
  <c r="Y58" i="4" s="1"/>
  <c r="T59" i="4"/>
  <c r="Y59" i="4" s="1"/>
  <c r="T60" i="4"/>
  <c r="Y60" i="4" s="1"/>
  <c r="T61" i="4"/>
  <c r="T62" i="4"/>
  <c r="T63" i="4"/>
  <c r="Y63" i="4" s="1"/>
  <c r="T64" i="4"/>
  <c r="Y64" i="4" s="1"/>
  <c r="T65" i="4"/>
  <c r="T66" i="4"/>
  <c r="Y66" i="4" s="1"/>
  <c r="T67" i="4"/>
  <c r="Y67" i="4" s="1"/>
  <c r="T68" i="4"/>
  <c r="Y68" i="4" s="1"/>
  <c r="T69" i="4"/>
  <c r="T70" i="4"/>
  <c r="Y70" i="4" s="1"/>
  <c r="T71" i="4"/>
  <c r="Y71" i="4" s="1"/>
  <c r="T72" i="4"/>
  <c r="Y72" i="4" s="1"/>
  <c r="T73" i="4"/>
  <c r="T74" i="4"/>
  <c r="Y74" i="4" s="1"/>
  <c r="T75" i="4"/>
  <c r="Y75" i="4" s="1"/>
  <c r="T76" i="4"/>
  <c r="Y76" i="4" s="1"/>
  <c r="T77" i="4"/>
  <c r="Y77" i="4" s="1"/>
  <c r="T78" i="4"/>
  <c r="T79" i="4"/>
  <c r="Y79" i="4" s="1"/>
  <c r="T80" i="4"/>
  <c r="T81" i="4"/>
  <c r="T82" i="4"/>
  <c r="Y82" i="4" s="1"/>
  <c r="T83" i="4"/>
  <c r="Y83" i="4" s="1"/>
  <c r="T84" i="4"/>
  <c r="Y84" i="4" s="1"/>
  <c r="T85" i="4"/>
  <c r="Y85" i="4" s="1"/>
  <c r="T86" i="4"/>
  <c r="Y86" i="4" s="1"/>
  <c r="T87" i="4"/>
  <c r="Y87" i="4" s="1"/>
  <c r="T88" i="4"/>
  <c r="Y88" i="4" s="1"/>
  <c r="T89" i="4"/>
  <c r="Y89" i="4" s="1"/>
  <c r="T90" i="4"/>
  <c r="T91" i="4"/>
  <c r="Y91" i="4" s="1"/>
  <c r="T92" i="4"/>
  <c r="Y92" i="4" s="1"/>
  <c r="T93" i="4"/>
  <c r="Y93" i="4" s="1"/>
  <c r="T94" i="4"/>
  <c r="Y94" i="4" s="1"/>
  <c r="T95" i="4"/>
  <c r="T96" i="4"/>
  <c r="Y96" i="4" s="1"/>
  <c r="T97" i="4"/>
  <c r="T98" i="4"/>
  <c r="T99" i="4"/>
  <c r="Y99" i="4" s="1"/>
  <c r="T100" i="4"/>
  <c r="Y100" i="4" s="1"/>
  <c r="T101" i="4"/>
  <c r="T102" i="4"/>
  <c r="Y102" i="4" s="1"/>
  <c r="T103" i="4"/>
  <c r="Y103" i="4" s="1"/>
  <c r="T104" i="4"/>
  <c r="Y104" i="4" s="1"/>
  <c r="T105" i="4"/>
  <c r="Y105" i="4" s="1"/>
  <c r="T106" i="4"/>
  <c r="Y106" i="4" s="1"/>
  <c r="T107" i="4"/>
  <c r="Y107" i="4" s="1"/>
  <c r="T108" i="4"/>
  <c r="Y108" i="4" s="1"/>
  <c r="T109" i="4"/>
  <c r="Y109" i="4" s="1"/>
  <c r="T110" i="4"/>
  <c r="Y110" i="4" s="1"/>
  <c r="T111" i="4"/>
  <c r="T112" i="4"/>
  <c r="Y112" i="4" s="1"/>
  <c r="T113" i="4"/>
  <c r="Y113" i="4" s="1"/>
  <c r="T114" i="4"/>
  <c r="Y114" i="4" s="1"/>
  <c r="T115" i="4"/>
  <c r="T116" i="4"/>
  <c r="Y116" i="4" s="1"/>
  <c r="T117" i="4"/>
  <c r="Y117" i="4" s="1"/>
  <c r="T118" i="4"/>
  <c r="Y118" i="4" s="1"/>
  <c r="T119" i="4"/>
  <c r="T120" i="4"/>
  <c r="Y120" i="4" s="1"/>
  <c r="T121" i="4"/>
  <c r="Y121" i="4" s="1"/>
  <c r="T122" i="4"/>
  <c r="Y122" i="4" s="1"/>
  <c r="T123" i="4"/>
  <c r="T124" i="4"/>
  <c r="Y124" i="4" s="1"/>
  <c r="T125" i="4"/>
  <c r="T126" i="4"/>
  <c r="Y126" i="4" s="1"/>
  <c r="T127" i="4"/>
  <c r="T128" i="4"/>
  <c r="Y128" i="4" s="1"/>
  <c r="T129" i="4"/>
  <c r="Y129" i="4" s="1"/>
  <c r="T130" i="4"/>
  <c r="T131" i="4"/>
  <c r="Y131" i="4" s="1"/>
  <c r="T132" i="4"/>
  <c r="Y132" i="4" s="1"/>
  <c r="T133" i="4"/>
  <c r="Y133" i="4" s="1"/>
  <c r="T134" i="4"/>
  <c r="Y134" i="4" s="1"/>
  <c r="T135" i="4"/>
  <c r="Y135" i="4" s="1"/>
  <c r="T136" i="4"/>
  <c r="Y136" i="4" s="1"/>
  <c r="T137" i="4"/>
  <c r="Y137" i="4" s="1"/>
  <c r="T138" i="4"/>
  <c r="Y138" i="4" s="1"/>
  <c r="T139" i="4"/>
  <c r="Y139" i="4" s="1"/>
  <c r="T140" i="4"/>
  <c r="Y140" i="4" s="1"/>
  <c r="T141" i="4"/>
  <c r="T142" i="4"/>
  <c r="Y142" i="4" s="1"/>
  <c r="T143" i="4"/>
  <c r="Y143" i="4" s="1"/>
  <c r="T144" i="4"/>
  <c r="Y144" i="4" s="1"/>
  <c r="T145" i="4"/>
  <c r="T146" i="4"/>
  <c r="Y146" i="4" s="1"/>
  <c r="T147" i="4"/>
  <c r="T148" i="4"/>
  <c r="Y148" i="4" s="1"/>
  <c r="T149" i="4"/>
  <c r="Y149" i="4" s="1"/>
  <c r="T150" i="4"/>
  <c r="Y150" i="4" s="1"/>
  <c r="T151" i="4"/>
  <c r="T152" i="4"/>
  <c r="Y152" i="4" s="1"/>
  <c r="T153" i="4"/>
  <c r="Y153" i="4" s="1"/>
  <c r="T154" i="4"/>
  <c r="T155" i="4"/>
  <c r="Y155" i="4" s="1"/>
  <c r="T156" i="4"/>
  <c r="Y156" i="4" s="1"/>
  <c r="T157" i="4"/>
  <c r="T158" i="4"/>
  <c r="Y158" i="4" s="1"/>
  <c r="T159" i="4"/>
  <c r="Y159" i="4" s="1"/>
  <c r="T160" i="4"/>
  <c r="T161" i="4"/>
  <c r="Y161" i="4" s="1"/>
  <c r="T162" i="4"/>
  <c r="T163" i="4"/>
  <c r="T164" i="4"/>
  <c r="Y164" i="4" s="1"/>
  <c r="T165" i="4"/>
  <c r="Y165" i="4" s="1"/>
  <c r="T166" i="4"/>
  <c r="Y166" i="4" s="1"/>
  <c r="T167" i="4"/>
  <c r="T168" i="4"/>
  <c r="Y168" i="4" s="1"/>
  <c r="T169" i="4"/>
  <c r="Y169" i="4" s="1"/>
  <c r="T170" i="4"/>
  <c r="Y170" i="4" s="1"/>
  <c r="T171" i="4"/>
  <c r="Y171" i="4" s="1"/>
  <c r="T172" i="4"/>
  <c r="T173" i="4"/>
  <c r="Y173" i="4" s="1"/>
  <c r="T174" i="4"/>
  <c r="Y174" i="4" s="1"/>
  <c r="T175" i="4"/>
  <c r="Y175" i="4" s="1"/>
  <c r="T176" i="4"/>
  <c r="T177" i="4"/>
  <c r="Y177" i="4" s="1"/>
  <c r="T178" i="4"/>
  <c r="Y178" i="4" s="1"/>
  <c r="T179" i="4"/>
  <c r="T180" i="4"/>
  <c r="Y180" i="4" s="1"/>
  <c r="T181" i="4"/>
  <c r="Y181" i="4" s="1"/>
  <c r="T182" i="4"/>
  <c r="Y182" i="4" s="1"/>
  <c r="T183" i="4"/>
  <c r="Y183" i="4" s="1"/>
  <c r="T184" i="4"/>
  <c r="Y184" i="4" s="1"/>
  <c r="T185" i="4"/>
  <c r="Y185" i="4" s="1"/>
  <c r="T186" i="4"/>
  <c r="T187" i="4"/>
  <c r="T188" i="4"/>
  <c r="T189" i="4"/>
  <c r="Y189" i="4" s="1"/>
  <c r="T190" i="4"/>
  <c r="T191" i="4"/>
  <c r="Y191" i="4" s="1"/>
  <c r="T192" i="4"/>
  <c r="Y192" i="4" s="1"/>
  <c r="T193" i="4"/>
  <c r="Y193" i="4" s="1"/>
  <c r="T194" i="4"/>
  <c r="T195" i="4"/>
  <c r="Y195" i="4" s="1"/>
  <c r="T196" i="4"/>
  <c r="Y196" i="4" s="1"/>
  <c r="T197" i="4"/>
  <c r="Y197" i="4" s="1"/>
  <c r="T198" i="4"/>
  <c r="Y198" i="4" s="1"/>
  <c r="T199" i="4"/>
  <c r="Y199" i="4" s="1"/>
  <c r="T200" i="4"/>
  <c r="Y200" i="4" s="1"/>
  <c r="T201" i="4"/>
  <c r="Y201" i="4" s="1"/>
  <c r="T202" i="4"/>
  <c r="Y202" i="4" s="1"/>
  <c r="T203" i="4"/>
  <c r="T204" i="4"/>
  <c r="T205" i="4"/>
  <c r="T206" i="4"/>
  <c r="Y206" i="4" s="1"/>
  <c r="T207" i="4"/>
  <c r="Y207" i="4" s="1"/>
  <c r="T208" i="4"/>
  <c r="Y208" i="4" s="1"/>
  <c r="T209" i="4"/>
  <c r="T210" i="4"/>
  <c r="Y210" i="4" s="1"/>
  <c r="T211" i="4"/>
  <c r="Y211" i="4" s="1"/>
  <c r="T212" i="4"/>
  <c r="T213" i="4"/>
  <c r="Y213" i="4" s="1"/>
  <c r="T214" i="4"/>
  <c r="Y214" i="4" s="1"/>
  <c r="T215" i="4"/>
  <c r="Y215" i="4" s="1"/>
  <c r="T216" i="4"/>
  <c r="Y216" i="4" s="1"/>
  <c r="T217" i="4"/>
  <c r="Y217" i="4" s="1"/>
  <c r="T218" i="4"/>
  <c r="T219" i="4"/>
  <c r="T220" i="4"/>
  <c r="T221" i="4"/>
  <c r="Y221" i="4" s="1"/>
  <c r="T222" i="4"/>
  <c r="T223" i="4"/>
  <c r="Y223" i="4" s="1"/>
  <c r="T224" i="4"/>
  <c r="Y224" i="4" s="1"/>
  <c r="T225" i="4"/>
  <c r="Y225" i="4" s="1"/>
  <c r="T226" i="4"/>
  <c r="Y226" i="4" s="1"/>
  <c r="T227" i="4"/>
  <c r="Y227" i="4" s="1"/>
  <c r="T228" i="4"/>
  <c r="Y228" i="4" s="1"/>
  <c r="T229" i="4"/>
  <c r="Y229" i="4" s="1"/>
  <c r="T230" i="4"/>
  <c r="Y230" i="4" s="1"/>
  <c r="T231" i="4"/>
  <c r="Y231" i="4" s="1"/>
  <c r="T232" i="4"/>
  <c r="Y232" i="4" s="1"/>
  <c r="T233" i="4"/>
  <c r="Y233" i="4" s="1"/>
  <c r="T234" i="4"/>
  <c r="Y234" i="4" s="1"/>
  <c r="T235" i="4"/>
  <c r="T236" i="4"/>
  <c r="T237" i="4"/>
  <c r="T238" i="4"/>
  <c r="T239" i="4"/>
  <c r="Y239" i="4" s="1"/>
  <c r="T240" i="4"/>
  <c r="Y240" i="4" s="1"/>
  <c r="T241" i="4"/>
  <c r="Y241" i="4" s="1"/>
  <c r="T242" i="4"/>
  <c r="Y242" i="4" s="1"/>
  <c r="T243" i="4"/>
  <c r="Y243" i="4" s="1"/>
  <c r="T244" i="4"/>
  <c r="T245" i="4"/>
  <c r="Y245" i="4" s="1"/>
  <c r="T246" i="4"/>
  <c r="Y246" i="4" s="1"/>
  <c r="T247" i="4"/>
  <c r="Y247" i="4" s="1"/>
  <c r="T248" i="4"/>
  <c r="Y248" i="4" s="1"/>
  <c r="T249" i="4"/>
  <c r="T250" i="4"/>
  <c r="T251" i="4"/>
  <c r="T252" i="4"/>
  <c r="T253" i="4"/>
  <c r="T254" i="4"/>
  <c r="T255" i="4"/>
  <c r="Y255" i="4" s="1"/>
  <c r="T256" i="4"/>
  <c r="T257" i="4"/>
  <c r="Y257" i="4" s="1"/>
  <c r="T258" i="4"/>
  <c r="T259" i="4"/>
  <c r="Y259" i="4" s="1"/>
  <c r="T260" i="4"/>
  <c r="T261" i="4"/>
  <c r="Y261" i="4" s="1"/>
  <c r="T262" i="4"/>
  <c r="Y262" i="4" s="1"/>
  <c r="T263" i="4"/>
  <c r="Y263" i="4" s="1"/>
  <c r="T264" i="4"/>
  <c r="Y264" i="4" s="1"/>
  <c r="T265" i="4"/>
  <c r="Y265" i="4" s="1"/>
  <c r="T266" i="4"/>
  <c r="Y266" i="4" s="1"/>
  <c r="T267" i="4"/>
  <c r="T268" i="4"/>
  <c r="Y268" i="4" s="1"/>
  <c r="T269" i="4"/>
  <c r="T270" i="4"/>
  <c r="Y270" i="4" s="1"/>
  <c r="T271" i="4"/>
  <c r="T272" i="4"/>
  <c r="Y272" i="4" s="1"/>
  <c r="T273" i="4"/>
  <c r="T274" i="4"/>
  <c r="Y274" i="4" s="1"/>
  <c r="T275" i="4"/>
  <c r="Y275" i="4" s="1"/>
  <c r="T276" i="4"/>
  <c r="Y276" i="4" s="1"/>
  <c r="T277" i="4"/>
  <c r="Y277" i="4" s="1"/>
  <c r="T278" i="4"/>
  <c r="Y278" i="4" s="1"/>
  <c r="T279" i="4"/>
  <c r="Y279" i="4" s="1"/>
  <c r="T280" i="4"/>
  <c r="Y280" i="4" s="1"/>
  <c r="T281" i="4"/>
  <c r="T282" i="4"/>
  <c r="T283" i="4"/>
  <c r="T284" i="4"/>
  <c r="Y284" i="4" s="1"/>
  <c r="T285" i="4"/>
  <c r="Y285" i="4" s="1"/>
  <c r="T286" i="4"/>
  <c r="Y286" i="4" s="1"/>
  <c r="T287" i="4"/>
  <c r="Y287" i="4" s="1"/>
  <c r="T288" i="4"/>
  <c r="Y288" i="4" s="1"/>
  <c r="T289" i="4"/>
  <c r="Y289" i="4" s="1"/>
  <c r="T290" i="4"/>
  <c r="T291" i="4"/>
  <c r="Y291" i="4" s="1"/>
  <c r="T292" i="4"/>
  <c r="Y292" i="4" s="1"/>
  <c r="T293" i="4"/>
  <c r="Y293" i="4" s="1"/>
  <c r="T294" i="4"/>
  <c r="Y294" i="4" s="1"/>
  <c r="T295" i="4"/>
  <c r="Y295" i="4" s="1"/>
  <c r="T296" i="4"/>
  <c r="Y296" i="4" s="1"/>
  <c r="T297" i="4"/>
  <c r="T298" i="4"/>
  <c r="Y298" i="4" s="1"/>
  <c r="T299" i="4"/>
  <c r="Y299" i="4" s="1"/>
  <c r="T300" i="4"/>
  <c r="Y300" i="4" s="1"/>
  <c r="T301" i="4"/>
  <c r="T302" i="4"/>
  <c r="Y302" i="4" s="1"/>
  <c r="T303" i="4"/>
  <c r="T304" i="4"/>
  <c r="Y304" i="4" s="1"/>
  <c r="T305" i="4"/>
  <c r="Y305" i="4" s="1"/>
  <c r="T306" i="4"/>
  <c r="Y306" i="4" s="1"/>
  <c r="T307" i="4"/>
  <c r="Y307" i="4" s="1"/>
  <c r="T308" i="4"/>
  <c r="Y308" i="4" s="1"/>
  <c r="T309" i="4"/>
  <c r="Y309" i="4" s="1"/>
  <c r="T310" i="4"/>
  <c r="Y310" i="4" s="1"/>
  <c r="T311" i="4"/>
  <c r="Y311" i="4" s="1"/>
  <c r="T312" i="4"/>
  <c r="Y312" i="4" s="1"/>
  <c r="T313" i="4"/>
  <c r="T314" i="4"/>
  <c r="T315" i="4"/>
  <c r="Y315" i="4" s="1"/>
  <c r="T316" i="4"/>
  <c r="Y316" i="4" s="1"/>
  <c r="T317" i="4"/>
  <c r="T318" i="4"/>
  <c r="T319" i="4"/>
  <c r="Y319" i="4" s="1"/>
  <c r="T320" i="4"/>
  <c r="T321" i="4"/>
  <c r="Y321" i="4" s="1"/>
  <c r="T322" i="4"/>
  <c r="Y322" i="4" s="1"/>
  <c r="T323" i="4"/>
  <c r="Y323" i="4" s="1"/>
  <c r="T324" i="4"/>
  <c r="Y324" i="4" s="1"/>
  <c r="T325" i="4"/>
  <c r="T326" i="4"/>
  <c r="Y326" i="4" s="1"/>
  <c r="T327" i="4"/>
  <c r="Y327" i="4" s="1"/>
  <c r="T2" i="4"/>
  <c r="Y2" i="4" s="1"/>
  <c r="O249" i="11" l="1"/>
  <c r="O250" i="11" s="1"/>
  <c r="O251" i="11" s="1"/>
  <c r="O252" i="11"/>
  <c r="BZ249" i="11"/>
  <c r="BZ252" i="11"/>
  <c r="CG249" i="11"/>
  <c r="CG252" i="11"/>
  <c r="BP249" i="11"/>
  <c r="BP252" i="11"/>
  <c r="BU249" i="11"/>
  <c r="BU252" i="11"/>
  <c r="U249" i="11"/>
  <c r="U252" i="11"/>
  <c r="BK249" i="11"/>
  <c r="BK252" i="11"/>
  <c r="Z249" i="11"/>
  <c r="Z252" i="11"/>
  <c r="AK249" i="11"/>
  <c r="AK252" i="11"/>
  <c r="BA249" i="11"/>
  <c r="BA252" i="11"/>
  <c r="BF249" i="11"/>
  <c r="BF252" i="11"/>
  <c r="V249" i="11"/>
  <c r="V252" i="11"/>
  <c r="S249" i="11"/>
  <c r="S252" i="11"/>
  <c r="CK249" i="11"/>
  <c r="CK252" i="11"/>
  <c r="BH249" i="11"/>
  <c r="BH252" i="11"/>
  <c r="P249" i="11"/>
  <c r="P252" i="11"/>
  <c r="AI249" i="11"/>
  <c r="AI252" i="11"/>
  <c r="BB249" i="11"/>
  <c r="BB252" i="11"/>
  <c r="AD249" i="11"/>
  <c r="AD252" i="11"/>
  <c r="CF249" i="11"/>
  <c r="CF252" i="11"/>
  <c r="AN249" i="11"/>
  <c r="AN252" i="11"/>
  <c r="BV249" i="11"/>
  <c r="BV252" i="11"/>
  <c r="AH249" i="11"/>
  <c r="AH252" i="11"/>
  <c r="BG249" i="11"/>
  <c r="BG252" i="11"/>
  <c r="CA249" i="11"/>
  <c r="CA252" i="11"/>
  <c r="AS249" i="11"/>
  <c r="AS252" i="11"/>
  <c r="AA249" i="11"/>
  <c r="AA252" i="11"/>
  <c r="AF249" i="11"/>
  <c r="AF252" i="11"/>
  <c r="AY249" i="11"/>
  <c r="AY252" i="11"/>
  <c r="BR249" i="11"/>
  <c r="BR252" i="11"/>
  <c r="AO249" i="11"/>
  <c r="AO252" i="11"/>
  <c r="AP249" i="11"/>
  <c r="AP252" i="11"/>
  <c r="CD249" i="11"/>
  <c r="CD252" i="11"/>
  <c r="AR249" i="11"/>
  <c r="AR252" i="11"/>
  <c r="AL249" i="11"/>
  <c r="AL252" i="11"/>
  <c r="AT249" i="11"/>
  <c r="AT252" i="11"/>
  <c r="BI249" i="11"/>
  <c r="BI252" i="11"/>
  <c r="AV249" i="11"/>
  <c r="AV252" i="11"/>
  <c r="BO249" i="11"/>
  <c r="BO252" i="11"/>
  <c r="CH249" i="11"/>
  <c r="CH252" i="11"/>
  <c r="BQ249" i="11"/>
  <c r="BQ252" i="11"/>
  <c r="Y249" i="11"/>
  <c r="Y252" i="11"/>
  <c r="AB249" i="11"/>
  <c r="AB252" i="11"/>
  <c r="BL249" i="11"/>
  <c r="BL252" i="11"/>
  <c r="CE249" i="11"/>
  <c r="CE252" i="11"/>
  <c r="W249" i="11"/>
  <c r="W252" i="11"/>
  <c r="AW249" i="11"/>
  <c r="AW252" i="11"/>
  <c r="CJ249" i="11"/>
  <c r="CJ252" i="11"/>
  <c r="N249" i="11"/>
  <c r="N250" i="11" s="1"/>
  <c r="N251" i="11" s="1"/>
  <c r="N252" i="11"/>
  <c r="AX249" i="11"/>
  <c r="AX252" i="11"/>
  <c r="AU249" i="11"/>
  <c r="AU252" i="11"/>
  <c r="BD249" i="11"/>
  <c r="BD252" i="11"/>
  <c r="AM249" i="11"/>
  <c r="AM252" i="11"/>
  <c r="BM249" i="11"/>
  <c r="BM252" i="11"/>
  <c r="CC249" i="11"/>
  <c r="CC252" i="11"/>
  <c r="BE249" i="11"/>
  <c r="BE252" i="11"/>
  <c r="AE249" i="11"/>
  <c r="AE252" i="11"/>
  <c r="AQ249" i="11"/>
  <c r="AQ252" i="11"/>
  <c r="BJ249" i="11"/>
  <c r="BJ252" i="11"/>
  <c r="T249" i="11"/>
  <c r="T252" i="11"/>
  <c r="BX249" i="11"/>
  <c r="BX252" i="11"/>
  <c r="AC249" i="11"/>
  <c r="AC252" i="11"/>
  <c r="Q249" i="11"/>
  <c r="Q252" i="11"/>
  <c r="AJ249" i="11"/>
  <c r="AJ252" i="11"/>
  <c r="BC249" i="11"/>
  <c r="BC252" i="11"/>
  <c r="CI249" i="11"/>
  <c r="CI252" i="11"/>
  <c r="R249" i="11"/>
  <c r="R252" i="11"/>
  <c r="X249" i="11"/>
  <c r="X252" i="11"/>
  <c r="BN249" i="11"/>
  <c r="BN252" i="11"/>
  <c r="BW249" i="11"/>
  <c r="BW252" i="11"/>
  <c r="CB249" i="11"/>
  <c r="CB252" i="11"/>
  <c r="BY249" i="11"/>
  <c r="BY252" i="11"/>
  <c r="BT249" i="11"/>
  <c r="BT252" i="11"/>
  <c r="AG249" i="11"/>
  <c r="AG252" i="11"/>
  <c r="AZ249" i="11"/>
  <c r="AZ252" i="11"/>
  <c r="BS249" i="11"/>
  <c r="BS252" i="11"/>
  <c r="CQ4" i="11" a="1"/>
  <c r="CQ4" i="11" s="1"/>
  <c r="CP4" i="11" a="1"/>
  <c r="CR4" i="11" a="1"/>
  <c r="CR4" i="11" s="1"/>
  <c r="CO4" i="11"/>
  <c r="A1" i="5"/>
  <c r="B1" i="10" s="1" a="1"/>
  <c r="CS66" i="11" l="1"/>
  <c r="CS190" i="11"/>
  <c r="CS246" i="11"/>
  <c r="CS174" i="11"/>
  <c r="CS200" i="11"/>
  <c r="CS385" i="11"/>
  <c r="CS129" i="11"/>
  <c r="CS320" i="11"/>
  <c r="CS495" i="11"/>
  <c r="CS239" i="11"/>
  <c r="CS414" i="11"/>
  <c r="CS158" i="11"/>
  <c r="CS333" i="11"/>
  <c r="CS77" i="11"/>
  <c r="CS252" i="11"/>
  <c r="CS427" i="11"/>
  <c r="CS171" i="11"/>
  <c r="CS346" i="11"/>
  <c r="CS90" i="11"/>
  <c r="CS265" i="11"/>
  <c r="CS440" i="11"/>
  <c r="CS184" i="11"/>
  <c r="CS375" i="11"/>
  <c r="CS470" i="11"/>
  <c r="CS214" i="11"/>
  <c r="CS421" i="11"/>
  <c r="CS165" i="11"/>
  <c r="CS372" i="11"/>
  <c r="CS116" i="11"/>
  <c r="CS323" i="11"/>
  <c r="CS67" i="11"/>
  <c r="CS274" i="11"/>
  <c r="CS109" i="11"/>
  <c r="CS99" i="11"/>
  <c r="CS80" i="11"/>
  <c r="CS142" i="11"/>
  <c r="CS155" i="11"/>
  <c r="CS330" i="11"/>
  <c r="CS74" i="11"/>
  <c r="CS249" i="11"/>
  <c r="CS424" i="11"/>
  <c r="CS168" i="11"/>
  <c r="CS359" i="11"/>
  <c r="CS454" i="11"/>
  <c r="CS198" i="11"/>
  <c r="CS405" i="11"/>
  <c r="CS149" i="11"/>
  <c r="CS356" i="11"/>
  <c r="CS100" i="11"/>
  <c r="CS307" i="11"/>
  <c r="CS247" i="11"/>
  <c r="CS258" i="11"/>
  <c r="CS352" i="11"/>
  <c r="CS122" i="11"/>
  <c r="CS404" i="11"/>
  <c r="CS401" i="11"/>
  <c r="CS230" i="11"/>
  <c r="CS288" i="11"/>
  <c r="CS126" i="11"/>
  <c r="CS489" i="11"/>
  <c r="CS233" i="11"/>
  <c r="CS408" i="11"/>
  <c r="CS152" i="11"/>
  <c r="CS343" i="11"/>
  <c r="CS438" i="11"/>
  <c r="CS182" i="11"/>
  <c r="CS389" i="11"/>
  <c r="CS133" i="11"/>
  <c r="CS340" i="11"/>
  <c r="CS84" i="11"/>
  <c r="CS291" i="11"/>
  <c r="CS498" i="11"/>
  <c r="CS242" i="11"/>
  <c r="CS93" i="11"/>
  <c r="CS362" i="11"/>
  <c r="CS456" i="11"/>
  <c r="CS290" i="11"/>
  <c r="CS411" i="11"/>
  <c r="CS207" i="11"/>
  <c r="CS337" i="11"/>
  <c r="CS81" i="11"/>
  <c r="CS272" i="11"/>
  <c r="CS447" i="11"/>
  <c r="CS191" i="11"/>
  <c r="CS366" i="11"/>
  <c r="CS110" i="11"/>
  <c r="CS285" i="11"/>
  <c r="CS460" i="11"/>
  <c r="CS204" i="11"/>
  <c r="CS379" i="11"/>
  <c r="CS123" i="11"/>
  <c r="CS298" i="11"/>
  <c r="CS473" i="11"/>
  <c r="CS217" i="11"/>
  <c r="CS392" i="11"/>
  <c r="CS136" i="11"/>
  <c r="CS311" i="11"/>
  <c r="CS422" i="11"/>
  <c r="CS166" i="11"/>
  <c r="CS373" i="11"/>
  <c r="CS117" i="11"/>
  <c r="CS324" i="11"/>
  <c r="CS68" i="11"/>
  <c r="CS275" i="11"/>
  <c r="CS482" i="11"/>
  <c r="CS226" i="11"/>
  <c r="CS378" i="11"/>
  <c r="CS148" i="11"/>
  <c r="CS268" i="11"/>
  <c r="CS437" i="11"/>
  <c r="CS398" i="11"/>
  <c r="CS220" i="11"/>
  <c r="CS321" i="11"/>
  <c r="CS151" i="11"/>
  <c r="CS256" i="11"/>
  <c r="CS431" i="11"/>
  <c r="CS175" i="11"/>
  <c r="CS350" i="11"/>
  <c r="CS94" i="11"/>
  <c r="CS269" i="11"/>
  <c r="CS444" i="11"/>
  <c r="CS188" i="11"/>
  <c r="CS363" i="11"/>
  <c r="CS107" i="11"/>
  <c r="CS282" i="11"/>
  <c r="CS457" i="11"/>
  <c r="CS201" i="11"/>
  <c r="CS376" i="11"/>
  <c r="CS120" i="11"/>
  <c r="CS295" i="11"/>
  <c r="CS406" i="11"/>
  <c r="CS150" i="11"/>
  <c r="CS357" i="11"/>
  <c r="CS101" i="11"/>
  <c r="CS308" i="11"/>
  <c r="CS279" i="11"/>
  <c r="CS259" i="11"/>
  <c r="CS466" i="11"/>
  <c r="CS210" i="11"/>
  <c r="CS417" i="11"/>
  <c r="CS297" i="11"/>
  <c r="CS355" i="11"/>
  <c r="CS443" i="11"/>
  <c r="CS391" i="11"/>
  <c r="CS369" i="11"/>
  <c r="CS492" i="11"/>
  <c r="CS463" i="11"/>
  <c r="CS305" i="11"/>
  <c r="CS496" i="11"/>
  <c r="CS240" i="11"/>
  <c r="CS415" i="11"/>
  <c r="CS159" i="11"/>
  <c r="CS334" i="11"/>
  <c r="CS78" i="11"/>
  <c r="CS253" i="11"/>
  <c r="CS428" i="11"/>
  <c r="CS172" i="11"/>
  <c r="CS347" i="11"/>
  <c r="CS91" i="11"/>
  <c r="CS266" i="11"/>
  <c r="CS441" i="11"/>
  <c r="CS185" i="11"/>
  <c r="CS360" i="11"/>
  <c r="CS104" i="11"/>
  <c r="CS263" i="11"/>
  <c r="CS390" i="11"/>
  <c r="CS134" i="11"/>
  <c r="CS341" i="11"/>
  <c r="CS85" i="11"/>
  <c r="CS292" i="11"/>
  <c r="CS499" i="11"/>
  <c r="CS243" i="11"/>
  <c r="CS450" i="11"/>
  <c r="CS194" i="11"/>
  <c r="CS459" i="11"/>
  <c r="CS197" i="11"/>
  <c r="CS430" i="11"/>
  <c r="CS281" i="11"/>
  <c r="CS339" i="11"/>
  <c r="CS236" i="11"/>
  <c r="CS353" i="11"/>
  <c r="CS382" i="11"/>
  <c r="CS289" i="11"/>
  <c r="CS480" i="11"/>
  <c r="CS224" i="11"/>
  <c r="CS399" i="11"/>
  <c r="CS143" i="11"/>
  <c r="CS318" i="11"/>
  <c r="CS493" i="11"/>
  <c r="CS237" i="11"/>
  <c r="CS412" i="11"/>
  <c r="CS156" i="11"/>
  <c r="CS331" i="11"/>
  <c r="CS75" i="11"/>
  <c r="CS250" i="11"/>
  <c r="CS425" i="11"/>
  <c r="CS169" i="11"/>
  <c r="CS344" i="11"/>
  <c r="CS88" i="11"/>
  <c r="CS215" i="11"/>
  <c r="CS374" i="11"/>
  <c r="CS118" i="11"/>
  <c r="CS325" i="11"/>
  <c r="CS69" i="11"/>
  <c r="CS276" i="11"/>
  <c r="CS483" i="11"/>
  <c r="CS227" i="11"/>
  <c r="CS434" i="11"/>
  <c r="CS178" i="11"/>
  <c r="CS203" i="11"/>
  <c r="CS453" i="11"/>
  <c r="CS336" i="11"/>
  <c r="CS388" i="11"/>
  <c r="CS304" i="11"/>
  <c r="CS139" i="11"/>
  <c r="CS273" i="11"/>
  <c r="CS464" i="11"/>
  <c r="CS208" i="11"/>
  <c r="CS383" i="11"/>
  <c r="CS127" i="11"/>
  <c r="CS302" i="11"/>
  <c r="CS477" i="11"/>
  <c r="CS221" i="11"/>
  <c r="CS396" i="11"/>
  <c r="CS140" i="11"/>
  <c r="CS315" i="11"/>
  <c r="CS490" i="11"/>
  <c r="CS234" i="11"/>
  <c r="CS409" i="11"/>
  <c r="CS153" i="11"/>
  <c r="CS328" i="11"/>
  <c r="CS72" i="11"/>
  <c r="CS199" i="11"/>
  <c r="CS358" i="11"/>
  <c r="CS102" i="11"/>
  <c r="CS309" i="11"/>
  <c r="CS167" i="11"/>
  <c r="CS260" i="11"/>
  <c r="CS467" i="11"/>
  <c r="CS211" i="11"/>
  <c r="CS418" i="11"/>
  <c r="CS162" i="11"/>
  <c r="CS96" i="11"/>
  <c r="CS284" i="11"/>
  <c r="CS472" i="11"/>
  <c r="CS187" i="11"/>
  <c r="CS83" i="11"/>
  <c r="CS479" i="11"/>
  <c r="CS395" i="11"/>
  <c r="CS327" i="11"/>
  <c r="CS257" i="11"/>
  <c r="CS448" i="11"/>
  <c r="CS192" i="11"/>
  <c r="CS367" i="11"/>
  <c r="CS111" i="11"/>
  <c r="CS286" i="11"/>
  <c r="CS461" i="11"/>
  <c r="CS205" i="11"/>
  <c r="CS380" i="11"/>
  <c r="CS124" i="11"/>
  <c r="CS299" i="11"/>
  <c r="CS474" i="11"/>
  <c r="CS218" i="11"/>
  <c r="CS393" i="11"/>
  <c r="CS137" i="11"/>
  <c r="CS312" i="11"/>
  <c r="CS503" i="11"/>
  <c r="CS183" i="11"/>
  <c r="CS342" i="11"/>
  <c r="CS86" i="11"/>
  <c r="CS293" i="11"/>
  <c r="CS500" i="11"/>
  <c r="CS244" i="11"/>
  <c r="CS451" i="11"/>
  <c r="CS195" i="11"/>
  <c r="CS402" i="11"/>
  <c r="CS146" i="11"/>
  <c r="CS271" i="11"/>
  <c r="CS502" i="11"/>
  <c r="CS255" i="11"/>
  <c r="CS106" i="11"/>
  <c r="CS486" i="11"/>
  <c r="CS113" i="11"/>
  <c r="CS314" i="11"/>
  <c r="AR250" i="11"/>
  <c r="AR251" i="11" s="1"/>
  <c r="R250" i="11"/>
  <c r="R251" i="11" s="1"/>
  <c r="AB250" i="11"/>
  <c r="AB251" i="11" s="1"/>
  <c r="CS497" i="11"/>
  <c r="CS241" i="11"/>
  <c r="CS432" i="11"/>
  <c r="CS176" i="11"/>
  <c r="CS351" i="11"/>
  <c r="CS95" i="11"/>
  <c r="CS270" i="11"/>
  <c r="CS445" i="11"/>
  <c r="CS189" i="11"/>
  <c r="CS364" i="11"/>
  <c r="CS108" i="11"/>
  <c r="CS283" i="11"/>
  <c r="CS458" i="11"/>
  <c r="CS202" i="11"/>
  <c r="CS377" i="11"/>
  <c r="CS121" i="11"/>
  <c r="CS296" i="11"/>
  <c r="CS487" i="11"/>
  <c r="CS119" i="11"/>
  <c r="CS326" i="11"/>
  <c r="CS70" i="11"/>
  <c r="CS277" i="11"/>
  <c r="CS484" i="11"/>
  <c r="CS228" i="11"/>
  <c r="CS435" i="11"/>
  <c r="CS179" i="11"/>
  <c r="CS386" i="11"/>
  <c r="CS130" i="11"/>
  <c r="CS446" i="11"/>
  <c r="CS216" i="11"/>
  <c r="CS145" i="11"/>
  <c r="CS132" i="11"/>
  <c r="CS223" i="11"/>
  <c r="CS301" i="11"/>
  <c r="CS481" i="11"/>
  <c r="CS225" i="11"/>
  <c r="CS416" i="11"/>
  <c r="CS160" i="11"/>
  <c r="CS335" i="11"/>
  <c r="CS79" i="11"/>
  <c r="CS254" i="11"/>
  <c r="CS429" i="11"/>
  <c r="CS173" i="11"/>
  <c r="CS348" i="11"/>
  <c r="CS92" i="11"/>
  <c r="CS267" i="11"/>
  <c r="CS442" i="11"/>
  <c r="CS186" i="11"/>
  <c r="CS361" i="11"/>
  <c r="CS105" i="11"/>
  <c r="CS280" i="11"/>
  <c r="CS471" i="11"/>
  <c r="CS103" i="11"/>
  <c r="CS310" i="11"/>
  <c r="CS135" i="11"/>
  <c r="CS261" i="11"/>
  <c r="CS468" i="11"/>
  <c r="CS212" i="11"/>
  <c r="CS419" i="11"/>
  <c r="CS163" i="11"/>
  <c r="CS370" i="11"/>
  <c r="CS114" i="11"/>
  <c r="CS161" i="11"/>
  <c r="CS306" i="11"/>
  <c r="CE250" i="11"/>
  <c r="CE251" i="11" s="1"/>
  <c r="AQ250" i="11"/>
  <c r="AQ251" i="11" s="1"/>
  <c r="BJ250" i="11"/>
  <c r="BJ251" i="11" s="1"/>
  <c r="CS465" i="11"/>
  <c r="CS209" i="11"/>
  <c r="CS400" i="11"/>
  <c r="CS144" i="11"/>
  <c r="CS319" i="11"/>
  <c r="CS494" i="11"/>
  <c r="CS238" i="11"/>
  <c r="CS413" i="11"/>
  <c r="CS157" i="11"/>
  <c r="CS332" i="11"/>
  <c r="CS76" i="11"/>
  <c r="CS251" i="11"/>
  <c r="CS426" i="11"/>
  <c r="CS170" i="11"/>
  <c r="CS345" i="11"/>
  <c r="CS89" i="11"/>
  <c r="CS264" i="11"/>
  <c r="CS455" i="11"/>
  <c r="CS87" i="11"/>
  <c r="CS294" i="11"/>
  <c r="CS501" i="11"/>
  <c r="CS245" i="11"/>
  <c r="CS452" i="11"/>
  <c r="CS196" i="11"/>
  <c r="CS403" i="11"/>
  <c r="CS147" i="11"/>
  <c r="CS354" i="11"/>
  <c r="CS98" i="11"/>
  <c r="CS365" i="11"/>
  <c r="CS407" i="11"/>
  <c r="CS349" i="11"/>
  <c r="CS181" i="11"/>
  <c r="CS317" i="11"/>
  <c r="CS97" i="11"/>
  <c r="CS476" i="11"/>
  <c r="AS250" i="11"/>
  <c r="AS251" i="11" s="1"/>
  <c r="CS449" i="11"/>
  <c r="CS193" i="11"/>
  <c r="CS384" i="11"/>
  <c r="CS128" i="11"/>
  <c r="CS303" i="11"/>
  <c r="CS478" i="11"/>
  <c r="CS222" i="11"/>
  <c r="CS397" i="11"/>
  <c r="CS141" i="11"/>
  <c r="CS316" i="11"/>
  <c r="CS491" i="11"/>
  <c r="CS235" i="11"/>
  <c r="CS410" i="11"/>
  <c r="CS154" i="11"/>
  <c r="CS329" i="11"/>
  <c r="CS73" i="11"/>
  <c r="CS248" i="11"/>
  <c r="CS439" i="11"/>
  <c r="CS71" i="11"/>
  <c r="CS278" i="11"/>
  <c r="CS485" i="11"/>
  <c r="CS229" i="11"/>
  <c r="CS436" i="11"/>
  <c r="CS180" i="11"/>
  <c r="CS387" i="11"/>
  <c r="CS131" i="11"/>
  <c r="CS338" i="11"/>
  <c r="CS82" i="11"/>
  <c r="CS433" i="11"/>
  <c r="CS177" i="11"/>
  <c r="CS368" i="11"/>
  <c r="CS112" i="11"/>
  <c r="CS287" i="11"/>
  <c r="CS462" i="11"/>
  <c r="CS206" i="11"/>
  <c r="CS381" i="11"/>
  <c r="CS125" i="11"/>
  <c r="CS300" i="11"/>
  <c r="CS475" i="11"/>
  <c r="CS219" i="11"/>
  <c r="CS394" i="11"/>
  <c r="CS138" i="11"/>
  <c r="CS313" i="11"/>
  <c r="CS488" i="11"/>
  <c r="CS232" i="11"/>
  <c r="CS423" i="11"/>
  <c r="CS231" i="11"/>
  <c r="CS262" i="11"/>
  <c r="CS469" i="11"/>
  <c r="CS213" i="11"/>
  <c r="CS420" i="11"/>
  <c r="CS164" i="11"/>
  <c r="CS371" i="11"/>
  <c r="CS115" i="11"/>
  <c r="CS322" i="11"/>
  <c r="CG250" i="11"/>
  <c r="CG251" i="11" s="1"/>
  <c r="S250" i="11"/>
  <c r="S251" i="11" s="1"/>
  <c r="AY250" i="11"/>
  <c r="AY251" i="11" s="1"/>
  <c r="Y250" i="11"/>
  <c r="Y251" i="11" s="1"/>
  <c r="BZ250" i="11"/>
  <c r="BZ251" i="11" s="1"/>
  <c r="BP250" i="11"/>
  <c r="BP251" i="11" s="1"/>
  <c r="BA250" i="11"/>
  <c r="BA251" i="11" s="1"/>
  <c r="CA250" i="11"/>
  <c r="CA251" i="11" s="1"/>
  <c r="BQ250" i="11"/>
  <c r="BQ251" i="11" s="1"/>
  <c r="AE250" i="11"/>
  <c r="AE251" i="11" s="1"/>
  <c r="CD250" i="11"/>
  <c r="CD251" i="11" s="1"/>
  <c r="BT250" i="11"/>
  <c r="BT251" i="11" s="1"/>
  <c r="AI250" i="11"/>
  <c r="AI251" i="11" s="1"/>
  <c r="BI250" i="11"/>
  <c r="BI251" i="11" s="1"/>
  <c r="AK250" i="11"/>
  <c r="AK251" i="11" s="1"/>
  <c r="AX250" i="11"/>
  <c r="AX251" i="11" s="1"/>
  <c r="BF250" i="11"/>
  <c r="BF251" i="11" s="1"/>
  <c r="AD250" i="11"/>
  <c r="AD251" i="11" s="1"/>
  <c r="V250" i="11"/>
  <c r="V251" i="11" s="1"/>
  <c r="BM250" i="11"/>
  <c r="BM251" i="11" s="1"/>
  <c r="BB250" i="11"/>
  <c r="BB251" i="11" s="1"/>
  <c r="BY250" i="11"/>
  <c r="BY251" i="11" s="1"/>
  <c r="AJ250" i="11"/>
  <c r="AJ251" i="11" s="1"/>
  <c r="BU250" i="11"/>
  <c r="BU251" i="11" s="1"/>
  <c r="BE250" i="11"/>
  <c r="BE251" i="11" s="1"/>
  <c r="BX250" i="11"/>
  <c r="BX251" i="11" s="1"/>
  <c r="CJ250" i="11"/>
  <c r="CJ251" i="11" s="1"/>
  <c r="BK250" i="11"/>
  <c r="BK251" i="11" s="1"/>
  <c r="Z250" i="11"/>
  <c r="Z251" i="11" s="1"/>
  <c r="BN250" i="11"/>
  <c r="BN251" i="11" s="1"/>
  <c r="BL250" i="11"/>
  <c r="BL251" i="11" s="1"/>
  <c r="BR250" i="11"/>
  <c r="BR251" i="11" s="1"/>
  <c r="AN250" i="11"/>
  <c r="AN251" i="11" s="1"/>
  <c r="AC250" i="11"/>
  <c r="AC251" i="11" s="1"/>
  <c r="AF250" i="11"/>
  <c r="AF251" i="11" s="1"/>
  <c r="BH250" i="11"/>
  <c r="BH251" i="11" s="1"/>
  <c r="CH250" i="11"/>
  <c r="CH251" i="11" s="1"/>
  <c r="AW250" i="11"/>
  <c r="AW251" i="11" s="1"/>
  <c r="AZ250" i="11"/>
  <c r="AZ251" i="11" s="1"/>
  <c r="CI250" i="11"/>
  <c r="CI251" i="11" s="1"/>
  <c r="T250" i="11"/>
  <c r="T251" i="11" s="1"/>
  <c r="AA250" i="11"/>
  <c r="AA251" i="11" s="1"/>
  <c r="AT250" i="11"/>
  <c r="AT251" i="11" s="1"/>
  <c r="AU250" i="11"/>
  <c r="AU251" i="11" s="1"/>
  <c r="BD250" i="11"/>
  <c r="BD251" i="11" s="1"/>
  <c r="BC250" i="11"/>
  <c r="BC251" i="11" s="1"/>
  <c r="BO250" i="11"/>
  <c r="BO251" i="11" s="1"/>
  <c r="W250" i="11"/>
  <c r="W251" i="11" s="1"/>
  <c r="BW250" i="11"/>
  <c r="BW251" i="11" s="1"/>
  <c r="AH250" i="11"/>
  <c r="AH251" i="11" s="1"/>
  <c r="CK250" i="11"/>
  <c r="CK251" i="11" s="1"/>
  <c r="BV250" i="11"/>
  <c r="BV251" i="11" s="1"/>
  <c r="CB250" i="11"/>
  <c r="CB251" i="11" s="1"/>
  <c r="AO250" i="11"/>
  <c r="AO251" i="11" s="1"/>
  <c r="U250" i="11"/>
  <c r="U251" i="11" s="1"/>
  <c r="X250" i="11"/>
  <c r="X251" i="11" s="1"/>
  <c r="P250" i="11"/>
  <c r="P251" i="11" s="1"/>
  <c r="BS250" i="11"/>
  <c r="BS251" i="11" s="1"/>
  <c r="CF250" i="11"/>
  <c r="CF251" i="11" s="1"/>
  <c r="CC250" i="11"/>
  <c r="CC251" i="11" s="1"/>
  <c r="AM250" i="11"/>
  <c r="AM251" i="11" s="1"/>
  <c r="AP250" i="11"/>
  <c r="AP251" i="11" s="1"/>
  <c r="AV250" i="11"/>
  <c r="AV251" i="11" s="1"/>
  <c r="AG250" i="11"/>
  <c r="AG251" i="11" s="1"/>
  <c r="AL250" i="11"/>
  <c r="AL251" i="11" s="1"/>
  <c r="BG250" i="11"/>
  <c r="BG251" i="11" s="1"/>
  <c r="Q250" i="11"/>
  <c r="Q251" i="11" s="1"/>
  <c r="CP4" i="11"/>
  <c r="CS4" i="11" s="1"/>
  <c r="B1" i="12" a="1"/>
  <c r="B1" i="10"/>
  <c r="AE1" i="10" s="1" a="1"/>
  <c r="AE1" i="10" s="1"/>
  <c r="CS12" i="11"/>
  <c r="CS43" i="11"/>
  <c r="CS41" i="11"/>
  <c r="CS18" i="11"/>
  <c r="CS10" i="11"/>
  <c r="CS65" i="11"/>
  <c r="CS17" i="11"/>
  <c r="CS55" i="11"/>
  <c r="CS19" i="11"/>
  <c r="CS21" i="11"/>
  <c r="CS14" i="11"/>
  <c r="CS28" i="11"/>
  <c r="CS57" i="11"/>
  <c r="CS44" i="11"/>
  <c r="CS9" i="11"/>
  <c r="CS46" i="11"/>
  <c r="CS26" i="11"/>
  <c r="CS42" i="11"/>
  <c r="CS16" i="11"/>
  <c r="CS63" i="11"/>
  <c r="CS23" i="11"/>
  <c r="CS50" i="11"/>
  <c r="CS22" i="11"/>
  <c r="CS33" i="11"/>
  <c r="CS35" i="11"/>
  <c r="CS48" i="11"/>
  <c r="CS31" i="11"/>
  <c r="CS58" i="11"/>
  <c r="CS51" i="11"/>
  <c r="CS5" i="11"/>
  <c r="CS29" i="11"/>
  <c r="CS49" i="11"/>
  <c r="CS39" i="11"/>
  <c r="CS25" i="11"/>
  <c r="CS36" i="11"/>
  <c r="CS40" i="11"/>
  <c r="CS61" i="11"/>
  <c r="CS52" i="11"/>
  <c r="CS62" i="11"/>
  <c r="CS59" i="11"/>
  <c r="CS8" i="11"/>
  <c r="CS30" i="11"/>
  <c r="CS54" i="11"/>
  <c r="CS27" i="11"/>
  <c r="CS6" i="11"/>
  <c r="CS34" i="11"/>
  <c r="B1" i="6" a="1"/>
  <c r="B1" i="6" s="1"/>
  <c r="CS20" i="11"/>
  <c r="CS24" i="11"/>
  <c r="CS47" i="11"/>
  <c r="CS56" i="11"/>
  <c r="CS38" i="11"/>
  <c r="CS45" i="11"/>
  <c r="CS64" i="11"/>
  <c r="G1" i="9" a="1"/>
  <c r="G1" i="9" s="1"/>
  <c r="CS11" i="11"/>
  <c r="CS7" i="11"/>
  <c r="CS32" i="11"/>
  <c r="CS60" i="11"/>
  <c r="CS53" i="11"/>
  <c r="CS13" i="11"/>
  <c r="CS15" i="11"/>
  <c r="CS37" i="11"/>
  <c r="U6" i="1"/>
  <c r="B1" i="12" l="1"/>
  <c r="AD1" i="12" s="1" a="1"/>
  <c r="AD1" i="12" s="1"/>
  <c r="S3" i="4" l="1"/>
  <c r="S4" i="4"/>
  <c r="V4" i="4" s="1"/>
  <c r="S5" i="4"/>
  <c r="V5" i="4" s="1"/>
  <c r="S6" i="4"/>
  <c r="V6" i="4" s="1"/>
  <c r="S7" i="4"/>
  <c r="V7" i="4" s="1"/>
  <c r="S8" i="4"/>
  <c r="V8" i="4" s="1"/>
  <c r="S9" i="4"/>
  <c r="V9" i="4" s="1"/>
  <c r="S10" i="4"/>
  <c r="V10" i="4" s="1"/>
  <c r="S11" i="4"/>
  <c r="V11" i="4" s="1"/>
  <c r="S12" i="4"/>
  <c r="V12" i="4" s="1"/>
  <c r="S13" i="4"/>
  <c r="V13" i="4" s="1"/>
  <c r="S14" i="4"/>
  <c r="V14" i="4" s="1"/>
  <c r="S15" i="4"/>
  <c r="V15" i="4" s="1"/>
  <c r="S16" i="4"/>
  <c r="V16" i="4" s="1"/>
  <c r="S17" i="4"/>
  <c r="V17" i="4" s="1"/>
  <c r="S18" i="4"/>
  <c r="V18" i="4" s="1"/>
  <c r="S19" i="4"/>
  <c r="V19" i="4" s="1"/>
  <c r="S20" i="4"/>
  <c r="V20" i="4" s="1"/>
  <c r="S21" i="4"/>
  <c r="V21" i="4" s="1"/>
  <c r="S22" i="4"/>
  <c r="V22" i="4" s="1"/>
  <c r="S23" i="4"/>
  <c r="V23" i="4" s="1"/>
  <c r="S24" i="4"/>
  <c r="V24" i="4" s="1"/>
  <c r="S25" i="4"/>
  <c r="V25" i="4" s="1"/>
  <c r="S26" i="4"/>
  <c r="V26" i="4" s="1"/>
  <c r="S27" i="4"/>
  <c r="V27" i="4" s="1"/>
  <c r="S28" i="4"/>
  <c r="V28" i="4" s="1"/>
  <c r="S29" i="4"/>
  <c r="V29" i="4" s="1"/>
  <c r="S30" i="4"/>
  <c r="V30" i="4" s="1"/>
  <c r="S31" i="4"/>
  <c r="V31" i="4" s="1"/>
  <c r="S32" i="4"/>
  <c r="V32" i="4" s="1"/>
  <c r="S33" i="4"/>
  <c r="V33" i="4" s="1"/>
  <c r="S34" i="4"/>
  <c r="V34" i="4" s="1"/>
  <c r="S35" i="4"/>
  <c r="V35" i="4" s="1"/>
  <c r="S36" i="4"/>
  <c r="V36" i="4" s="1"/>
  <c r="S37" i="4"/>
  <c r="V37" i="4" s="1"/>
  <c r="S38" i="4"/>
  <c r="V38" i="4" s="1"/>
  <c r="S39" i="4"/>
  <c r="V39" i="4" s="1"/>
  <c r="S40" i="4"/>
  <c r="V40" i="4" s="1"/>
  <c r="S41" i="4"/>
  <c r="V41" i="4" s="1"/>
  <c r="S42" i="4"/>
  <c r="V42" i="4" s="1"/>
  <c r="S43" i="4"/>
  <c r="V43" i="4" s="1"/>
  <c r="S44" i="4"/>
  <c r="V44" i="4" s="1"/>
  <c r="S45" i="4"/>
  <c r="V45" i="4" s="1"/>
  <c r="S46" i="4"/>
  <c r="V46" i="4" s="1"/>
  <c r="S47" i="4"/>
  <c r="V47" i="4" s="1"/>
  <c r="S48" i="4"/>
  <c r="V48" i="4" s="1"/>
  <c r="S49" i="4"/>
  <c r="V49" i="4" s="1"/>
  <c r="S50" i="4"/>
  <c r="V50" i="4" s="1"/>
  <c r="S51" i="4"/>
  <c r="V51" i="4" s="1"/>
  <c r="S52" i="4"/>
  <c r="V52" i="4" s="1"/>
  <c r="S53" i="4"/>
  <c r="V53" i="4" s="1"/>
  <c r="S54" i="4"/>
  <c r="V54" i="4" s="1"/>
  <c r="S55" i="4"/>
  <c r="V55" i="4" s="1"/>
  <c r="S56" i="4"/>
  <c r="V56" i="4" s="1"/>
  <c r="S57" i="4"/>
  <c r="V57" i="4" s="1"/>
  <c r="S58" i="4"/>
  <c r="V58" i="4" s="1"/>
  <c r="S59" i="4"/>
  <c r="V59" i="4" s="1"/>
  <c r="S60" i="4"/>
  <c r="V60" i="4" s="1"/>
  <c r="S61" i="4"/>
  <c r="V61" i="4" s="1"/>
  <c r="S62" i="4"/>
  <c r="V62" i="4" s="1"/>
  <c r="S63" i="4"/>
  <c r="V63" i="4" s="1"/>
  <c r="S64" i="4"/>
  <c r="V64" i="4" s="1"/>
  <c r="S65" i="4"/>
  <c r="V65" i="4" s="1"/>
  <c r="S66" i="4"/>
  <c r="V66" i="4" s="1"/>
  <c r="S67" i="4"/>
  <c r="V67" i="4" s="1"/>
  <c r="S68" i="4"/>
  <c r="V68" i="4" s="1"/>
  <c r="S69" i="4"/>
  <c r="V69" i="4" s="1"/>
  <c r="S70" i="4"/>
  <c r="V70" i="4" s="1"/>
  <c r="S71" i="4"/>
  <c r="V71" i="4" s="1"/>
  <c r="S72" i="4"/>
  <c r="V72" i="4" s="1"/>
  <c r="S73" i="4"/>
  <c r="V73" i="4" s="1"/>
  <c r="S74" i="4"/>
  <c r="V74" i="4" s="1"/>
  <c r="S75" i="4"/>
  <c r="V75" i="4" s="1"/>
  <c r="S76" i="4"/>
  <c r="V76" i="4" s="1"/>
  <c r="S77" i="4"/>
  <c r="V77" i="4" s="1"/>
  <c r="S78" i="4"/>
  <c r="V78" i="4" s="1"/>
  <c r="S79" i="4"/>
  <c r="V79" i="4" s="1"/>
  <c r="S80" i="4"/>
  <c r="V80" i="4" s="1"/>
  <c r="S81" i="4"/>
  <c r="V81" i="4" s="1"/>
  <c r="S82" i="4"/>
  <c r="V82" i="4" s="1"/>
  <c r="S83" i="4"/>
  <c r="V83" i="4" s="1"/>
  <c r="S84" i="4"/>
  <c r="V84" i="4" s="1"/>
  <c r="S85" i="4"/>
  <c r="V85" i="4" s="1"/>
  <c r="S86" i="4"/>
  <c r="V86" i="4" s="1"/>
  <c r="S87" i="4"/>
  <c r="V87" i="4" s="1"/>
  <c r="S88" i="4"/>
  <c r="V88" i="4" s="1"/>
  <c r="S89" i="4"/>
  <c r="V89" i="4" s="1"/>
  <c r="S90" i="4"/>
  <c r="V90" i="4" s="1"/>
  <c r="S91" i="4"/>
  <c r="V91" i="4" s="1"/>
  <c r="S92" i="4"/>
  <c r="V92" i="4" s="1"/>
  <c r="S93" i="4"/>
  <c r="V93" i="4" s="1"/>
  <c r="S94" i="4"/>
  <c r="V94" i="4" s="1"/>
  <c r="S95" i="4"/>
  <c r="V95" i="4" s="1"/>
  <c r="S96" i="4"/>
  <c r="V96" i="4" s="1"/>
  <c r="S97" i="4"/>
  <c r="V97" i="4" s="1"/>
  <c r="S98" i="4"/>
  <c r="V98" i="4" s="1"/>
  <c r="S99" i="4"/>
  <c r="V99" i="4" s="1"/>
  <c r="S100" i="4"/>
  <c r="V100" i="4" s="1"/>
  <c r="S101" i="4"/>
  <c r="V101" i="4" s="1"/>
  <c r="S102" i="4"/>
  <c r="V102" i="4" s="1"/>
  <c r="S103" i="4"/>
  <c r="V103" i="4" s="1"/>
  <c r="S104" i="4"/>
  <c r="V104" i="4" s="1"/>
  <c r="S105" i="4"/>
  <c r="V105" i="4" s="1"/>
  <c r="S106" i="4"/>
  <c r="V106" i="4" s="1"/>
  <c r="S107" i="4"/>
  <c r="V107" i="4" s="1"/>
  <c r="S108" i="4"/>
  <c r="V108" i="4" s="1"/>
  <c r="S109" i="4"/>
  <c r="V109" i="4" s="1"/>
  <c r="S110" i="4"/>
  <c r="V110" i="4" s="1"/>
  <c r="S111" i="4"/>
  <c r="V111" i="4" s="1"/>
  <c r="S112" i="4"/>
  <c r="V112" i="4" s="1"/>
  <c r="S113" i="4"/>
  <c r="V113" i="4" s="1"/>
  <c r="S114" i="4"/>
  <c r="V114" i="4" s="1"/>
  <c r="S115" i="4"/>
  <c r="V115" i="4" s="1"/>
  <c r="S116" i="4"/>
  <c r="V116" i="4" s="1"/>
  <c r="S117" i="4"/>
  <c r="V117" i="4" s="1"/>
  <c r="S118" i="4"/>
  <c r="V118" i="4" s="1"/>
  <c r="S119" i="4"/>
  <c r="V119" i="4" s="1"/>
  <c r="S120" i="4"/>
  <c r="V120" i="4" s="1"/>
  <c r="S121" i="4"/>
  <c r="V121" i="4" s="1"/>
  <c r="S122" i="4"/>
  <c r="V122" i="4" s="1"/>
  <c r="S123" i="4"/>
  <c r="V123" i="4" s="1"/>
  <c r="S124" i="4"/>
  <c r="V124" i="4" s="1"/>
  <c r="S125" i="4"/>
  <c r="V125" i="4" s="1"/>
  <c r="S126" i="4"/>
  <c r="V126" i="4" s="1"/>
  <c r="S127" i="4"/>
  <c r="V127" i="4" s="1"/>
  <c r="S128" i="4"/>
  <c r="V128" i="4" s="1"/>
  <c r="S129" i="4"/>
  <c r="V129" i="4" s="1"/>
  <c r="S130" i="4"/>
  <c r="V130" i="4" s="1"/>
  <c r="S131" i="4"/>
  <c r="V131" i="4" s="1"/>
  <c r="S132" i="4"/>
  <c r="V132" i="4" s="1"/>
  <c r="S133" i="4"/>
  <c r="V133" i="4" s="1"/>
  <c r="S134" i="4"/>
  <c r="V134" i="4" s="1"/>
  <c r="S135" i="4"/>
  <c r="V135" i="4" s="1"/>
  <c r="S136" i="4"/>
  <c r="V136" i="4" s="1"/>
  <c r="S137" i="4"/>
  <c r="V137" i="4" s="1"/>
  <c r="S138" i="4"/>
  <c r="V138" i="4" s="1"/>
  <c r="S139" i="4"/>
  <c r="V139" i="4" s="1"/>
  <c r="S140" i="4"/>
  <c r="V140" i="4" s="1"/>
  <c r="S141" i="4"/>
  <c r="V141" i="4" s="1"/>
  <c r="S142" i="4"/>
  <c r="V142" i="4" s="1"/>
  <c r="S143" i="4"/>
  <c r="V143" i="4" s="1"/>
  <c r="S144" i="4"/>
  <c r="V144" i="4" s="1"/>
  <c r="S145" i="4"/>
  <c r="V145" i="4" s="1"/>
  <c r="S146" i="4"/>
  <c r="V146" i="4" s="1"/>
  <c r="S147" i="4"/>
  <c r="V147" i="4" s="1"/>
  <c r="S148" i="4"/>
  <c r="V148" i="4" s="1"/>
  <c r="S149" i="4"/>
  <c r="V149" i="4" s="1"/>
  <c r="S150" i="4"/>
  <c r="V150" i="4" s="1"/>
  <c r="S151" i="4"/>
  <c r="V151" i="4" s="1"/>
  <c r="S152" i="4"/>
  <c r="V152" i="4" s="1"/>
  <c r="S153" i="4"/>
  <c r="V153" i="4" s="1"/>
  <c r="S154" i="4"/>
  <c r="V154" i="4" s="1"/>
  <c r="S155" i="4"/>
  <c r="V155" i="4" s="1"/>
  <c r="S156" i="4"/>
  <c r="V156" i="4" s="1"/>
  <c r="S157" i="4"/>
  <c r="V157" i="4" s="1"/>
  <c r="S158" i="4"/>
  <c r="V158" i="4" s="1"/>
  <c r="S159" i="4"/>
  <c r="V159" i="4" s="1"/>
  <c r="S160" i="4"/>
  <c r="V160" i="4" s="1"/>
  <c r="S161" i="4"/>
  <c r="V161" i="4" s="1"/>
  <c r="S162" i="4"/>
  <c r="V162" i="4" s="1"/>
  <c r="S163" i="4"/>
  <c r="V163" i="4" s="1"/>
  <c r="S164" i="4"/>
  <c r="V164" i="4" s="1"/>
  <c r="S165" i="4"/>
  <c r="V165" i="4" s="1"/>
  <c r="S166" i="4"/>
  <c r="V166" i="4" s="1"/>
  <c r="S167" i="4"/>
  <c r="V167" i="4" s="1"/>
  <c r="S168" i="4"/>
  <c r="V168" i="4" s="1"/>
  <c r="S169" i="4"/>
  <c r="V169" i="4" s="1"/>
  <c r="S170" i="4"/>
  <c r="V170" i="4" s="1"/>
  <c r="S171" i="4"/>
  <c r="V171" i="4" s="1"/>
  <c r="S172" i="4"/>
  <c r="V172" i="4" s="1"/>
  <c r="S173" i="4"/>
  <c r="V173" i="4" s="1"/>
  <c r="S174" i="4"/>
  <c r="V174" i="4" s="1"/>
  <c r="S175" i="4"/>
  <c r="V175" i="4" s="1"/>
  <c r="S176" i="4"/>
  <c r="V176" i="4" s="1"/>
  <c r="S177" i="4"/>
  <c r="V177" i="4" s="1"/>
  <c r="S178" i="4"/>
  <c r="V178" i="4" s="1"/>
  <c r="S179" i="4"/>
  <c r="V179" i="4" s="1"/>
  <c r="S180" i="4"/>
  <c r="V180" i="4" s="1"/>
  <c r="S181" i="4"/>
  <c r="V181" i="4" s="1"/>
  <c r="S182" i="4"/>
  <c r="V182" i="4" s="1"/>
  <c r="S183" i="4"/>
  <c r="V183" i="4" s="1"/>
  <c r="S184" i="4"/>
  <c r="V184" i="4" s="1"/>
  <c r="S185" i="4"/>
  <c r="V185" i="4" s="1"/>
  <c r="S186" i="4"/>
  <c r="V186" i="4" s="1"/>
  <c r="S187" i="4"/>
  <c r="V187" i="4" s="1"/>
  <c r="S188" i="4"/>
  <c r="V188" i="4" s="1"/>
  <c r="S189" i="4"/>
  <c r="V189" i="4" s="1"/>
  <c r="S190" i="4"/>
  <c r="V190" i="4" s="1"/>
  <c r="S191" i="4"/>
  <c r="V191" i="4" s="1"/>
  <c r="S192" i="4"/>
  <c r="V192" i="4" s="1"/>
  <c r="S193" i="4"/>
  <c r="V193" i="4" s="1"/>
  <c r="S194" i="4"/>
  <c r="V194" i="4" s="1"/>
  <c r="S195" i="4"/>
  <c r="V195" i="4" s="1"/>
  <c r="S196" i="4"/>
  <c r="V196" i="4" s="1"/>
  <c r="S197" i="4"/>
  <c r="V197" i="4" s="1"/>
  <c r="S198" i="4"/>
  <c r="V198" i="4" s="1"/>
  <c r="S199" i="4"/>
  <c r="V199" i="4" s="1"/>
  <c r="S200" i="4"/>
  <c r="V200" i="4" s="1"/>
  <c r="S201" i="4"/>
  <c r="V201" i="4" s="1"/>
  <c r="S202" i="4"/>
  <c r="V202" i="4" s="1"/>
  <c r="S203" i="4"/>
  <c r="V203" i="4" s="1"/>
  <c r="S204" i="4"/>
  <c r="V204" i="4" s="1"/>
  <c r="S205" i="4"/>
  <c r="V205" i="4" s="1"/>
  <c r="S206" i="4"/>
  <c r="V206" i="4" s="1"/>
  <c r="S207" i="4"/>
  <c r="V207" i="4" s="1"/>
  <c r="S208" i="4"/>
  <c r="V208" i="4" s="1"/>
  <c r="S209" i="4"/>
  <c r="V209" i="4" s="1"/>
  <c r="S210" i="4"/>
  <c r="V210" i="4" s="1"/>
  <c r="S211" i="4"/>
  <c r="V211" i="4" s="1"/>
  <c r="S212" i="4"/>
  <c r="V212" i="4" s="1"/>
  <c r="S213" i="4"/>
  <c r="V213" i="4" s="1"/>
  <c r="S214" i="4"/>
  <c r="V214" i="4" s="1"/>
  <c r="S215" i="4"/>
  <c r="V215" i="4" s="1"/>
  <c r="S216" i="4"/>
  <c r="V216" i="4" s="1"/>
  <c r="S217" i="4"/>
  <c r="V217" i="4" s="1"/>
  <c r="S218" i="4"/>
  <c r="V218" i="4" s="1"/>
  <c r="S219" i="4"/>
  <c r="V219" i="4" s="1"/>
  <c r="S220" i="4"/>
  <c r="V220" i="4" s="1"/>
  <c r="S221" i="4"/>
  <c r="V221" i="4" s="1"/>
  <c r="S222" i="4"/>
  <c r="V222" i="4" s="1"/>
  <c r="S223" i="4"/>
  <c r="V223" i="4" s="1"/>
  <c r="S224" i="4"/>
  <c r="V224" i="4" s="1"/>
  <c r="S225" i="4"/>
  <c r="V225" i="4" s="1"/>
  <c r="S226" i="4"/>
  <c r="V226" i="4" s="1"/>
  <c r="S227" i="4"/>
  <c r="V227" i="4" s="1"/>
  <c r="S228" i="4"/>
  <c r="V228" i="4" s="1"/>
  <c r="S229" i="4"/>
  <c r="V229" i="4" s="1"/>
  <c r="S230" i="4"/>
  <c r="V230" i="4" s="1"/>
  <c r="S231" i="4"/>
  <c r="V231" i="4" s="1"/>
  <c r="S232" i="4"/>
  <c r="V232" i="4" s="1"/>
  <c r="S233" i="4"/>
  <c r="V233" i="4" s="1"/>
  <c r="S234" i="4"/>
  <c r="V234" i="4" s="1"/>
  <c r="S235" i="4"/>
  <c r="V235" i="4" s="1"/>
  <c r="S236" i="4"/>
  <c r="V236" i="4" s="1"/>
  <c r="S237" i="4"/>
  <c r="V237" i="4" s="1"/>
  <c r="S238" i="4"/>
  <c r="V238" i="4" s="1"/>
  <c r="S239" i="4"/>
  <c r="V239" i="4" s="1"/>
  <c r="S240" i="4"/>
  <c r="V240" i="4" s="1"/>
  <c r="S241" i="4"/>
  <c r="V241" i="4" s="1"/>
  <c r="S242" i="4"/>
  <c r="V242" i="4" s="1"/>
  <c r="S243" i="4"/>
  <c r="V243" i="4" s="1"/>
  <c r="S244" i="4"/>
  <c r="V244" i="4" s="1"/>
  <c r="S245" i="4"/>
  <c r="V245" i="4" s="1"/>
  <c r="S246" i="4"/>
  <c r="V246" i="4" s="1"/>
  <c r="S247" i="4"/>
  <c r="V247" i="4" s="1"/>
  <c r="S248" i="4"/>
  <c r="V248" i="4" s="1"/>
  <c r="S249" i="4"/>
  <c r="V249" i="4" s="1"/>
  <c r="S250" i="4"/>
  <c r="V250" i="4" s="1"/>
  <c r="S251" i="4"/>
  <c r="V251" i="4" s="1"/>
  <c r="S252" i="4"/>
  <c r="V252" i="4" s="1"/>
  <c r="S253" i="4"/>
  <c r="V253" i="4" s="1"/>
  <c r="S254" i="4"/>
  <c r="V254" i="4" s="1"/>
  <c r="S255" i="4"/>
  <c r="V255" i="4" s="1"/>
  <c r="S256" i="4"/>
  <c r="V256" i="4" s="1"/>
  <c r="S257" i="4"/>
  <c r="V257" i="4" s="1"/>
  <c r="S258" i="4"/>
  <c r="V258" i="4" s="1"/>
  <c r="S259" i="4"/>
  <c r="V259" i="4" s="1"/>
  <c r="S260" i="4"/>
  <c r="V260" i="4" s="1"/>
  <c r="S261" i="4"/>
  <c r="V261" i="4" s="1"/>
  <c r="S262" i="4"/>
  <c r="V262" i="4" s="1"/>
  <c r="S263" i="4"/>
  <c r="V263" i="4" s="1"/>
  <c r="S264" i="4"/>
  <c r="V264" i="4" s="1"/>
  <c r="S265" i="4"/>
  <c r="V265" i="4" s="1"/>
  <c r="S266" i="4"/>
  <c r="V266" i="4" s="1"/>
  <c r="S267" i="4"/>
  <c r="V267" i="4" s="1"/>
  <c r="S268" i="4"/>
  <c r="V268" i="4" s="1"/>
  <c r="S269" i="4"/>
  <c r="V269" i="4" s="1"/>
  <c r="S270" i="4"/>
  <c r="V270" i="4" s="1"/>
  <c r="S271" i="4"/>
  <c r="V271" i="4" s="1"/>
  <c r="S272" i="4"/>
  <c r="V272" i="4" s="1"/>
  <c r="S273" i="4"/>
  <c r="V273" i="4" s="1"/>
  <c r="S274" i="4"/>
  <c r="V274" i="4" s="1"/>
  <c r="S275" i="4"/>
  <c r="V275" i="4" s="1"/>
  <c r="S276" i="4"/>
  <c r="V276" i="4" s="1"/>
  <c r="S277" i="4"/>
  <c r="V277" i="4" s="1"/>
  <c r="S278" i="4"/>
  <c r="V278" i="4" s="1"/>
  <c r="S279" i="4"/>
  <c r="V279" i="4" s="1"/>
  <c r="S280" i="4"/>
  <c r="V280" i="4" s="1"/>
  <c r="S281" i="4"/>
  <c r="V281" i="4" s="1"/>
  <c r="S282" i="4"/>
  <c r="V282" i="4" s="1"/>
  <c r="S283" i="4"/>
  <c r="V283" i="4" s="1"/>
  <c r="S284" i="4"/>
  <c r="V284" i="4" s="1"/>
  <c r="S285" i="4"/>
  <c r="V285" i="4" s="1"/>
  <c r="S286" i="4"/>
  <c r="V286" i="4" s="1"/>
  <c r="S287" i="4"/>
  <c r="V287" i="4" s="1"/>
  <c r="S288" i="4"/>
  <c r="V288" i="4" s="1"/>
  <c r="S289" i="4"/>
  <c r="V289" i="4" s="1"/>
  <c r="S290" i="4"/>
  <c r="V290" i="4" s="1"/>
  <c r="S291" i="4"/>
  <c r="V291" i="4" s="1"/>
  <c r="S292" i="4"/>
  <c r="V292" i="4" s="1"/>
  <c r="S293" i="4"/>
  <c r="V293" i="4" s="1"/>
  <c r="S294" i="4"/>
  <c r="V294" i="4" s="1"/>
  <c r="S295" i="4"/>
  <c r="V295" i="4" s="1"/>
  <c r="S296" i="4"/>
  <c r="V296" i="4" s="1"/>
  <c r="S297" i="4"/>
  <c r="V297" i="4" s="1"/>
  <c r="S298" i="4"/>
  <c r="V298" i="4" s="1"/>
  <c r="S299" i="4"/>
  <c r="V299" i="4" s="1"/>
  <c r="S300" i="4"/>
  <c r="V300" i="4" s="1"/>
  <c r="S301" i="4"/>
  <c r="V301" i="4" s="1"/>
  <c r="S302" i="4"/>
  <c r="V302" i="4" s="1"/>
  <c r="S303" i="4"/>
  <c r="V303" i="4" s="1"/>
  <c r="S304" i="4"/>
  <c r="V304" i="4" s="1"/>
  <c r="S305" i="4"/>
  <c r="V305" i="4" s="1"/>
  <c r="S306" i="4"/>
  <c r="V306" i="4" s="1"/>
  <c r="S307" i="4"/>
  <c r="V307" i="4" s="1"/>
  <c r="S308" i="4"/>
  <c r="V308" i="4" s="1"/>
  <c r="S309" i="4"/>
  <c r="V309" i="4" s="1"/>
  <c r="S310" i="4"/>
  <c r="V310" i="4" s="1"/>
  <c r="S311" i="4"/>
  <c r="V311" i="4" s="1"/>
  <c r="S312" i="4"/>
  <c r="V312" i="4" s="1"/>
  <c r="S313" i="4"/>
  <c r="V313" i="4" s="1"/>
  <c r="S314" i="4"/>
  <c r="V314" i="4" s="1"/>
  <c r="S315" i="4"/>
  <c r="V315" i="4" s="1"/>
  <c r="S316" i="4"/>
  <c r="V316" i="4" s="1"/>
  <c r="S317" i="4"/>
  <c r="V317" i="4" s="1"/>
  <c r="S318" i="4"/>
  <c r="V318" i="4" s="1"/>
  <c r="S319" i="4"/>
  <c r="V319" i="4" s="1"/>
  <c r="S320" i="4"/>
  <c r="V320" i="4" s="1"/>
  <c r="S321" i="4"/>
  <c r="V321" i="4" s="1"/>
  <c r="S322" i="4"/>
  <c r="V322" i="4" s="1"/>
  <c r="S323" i="4"/>
  <c r="V323" i="4" s="1"/>
  <c r="S324" i="4"/>
  <c r="V324" i="4" s="1"/>
  <c r="S325" i="4"/>
  <c r="V325" i="4" s="1"/>
  <c r="S326" i="4"/>
  <c r="V326" i="4" s="1"/>
  <c r="S327" i="4"/>
  <c r="V327" i="4" s="1"/>
  <c r="V2" i="4"/>
  <c r="S6" i="1"/>
  <c r="T6" i="1" s="1"/>
  <c r="V3" i="4" l="1"/>
  <c r="A2" i="5" a="1"/>
  <c r="AD2" i="12" l="1" a="1"/>
  <c r="AD2" i="12" s="1"/>
  <c r="D2" i="9" a="1"/>
  <c r="D2" i="9" s="1"/>
  <c r="C2" i="9" a="1"/>
  <c r="A2" i="5"/>
  <c r="AE2" i="10" s="1" a="1"/>
  <c r="AE2" i="10" s="1"/>
  <c r="B2" i="10" l="1" a="1"/>
  <c r="B7" i="6" a="1"/>
  <c r="B7" i="6" s="1"/>
  <c r="B13" i="6" a="1"/>
  <c r="B13" i="6" s="1"/>
  <c r="B19" i="6" a="1"/>
  <c r="B19" i="6" s="1"/>
  <c r="B25" i="6" a="1"/>
  <c r="B25" i="6" s="1"/>
  <c r="B31" i="6" a="1"/>
  <c r="B31" i="6" s="1"/>
  <c r="B37" i="6" a="1"/>
  <c r="B37" i="6" s="1"/>
  <c r="B43" i="6" a="1"/>
  <c r="B43" i="6" s="1"/>
  <c r="B49" i="6" a="1"/>
  <c r="B49" i="6" s="1"/>
  <c r="B55" i="6" a="1"/>
  <c r="B55" i="6" s="1"/>
  <c r="B61" i="6" a="1"/>
  <c r="B61" i="6" s="1"/>
  <c r="B67" i="6" a="1"/>
  <c r="B67" i="6" s="1"/>
  <c r="B41" i="6" a="1"/>
  <c r="B41" i="6" s="1"/>
  <c r="B8" i="6" a="1"/>
  <c r="B8" i="6" s="1"/>
  <c r="B14" i="6" a="1"/>
  <c r="B14" i="6" s="1"/>
  <c r="B26" i="6" a="1"/>
  <c r="B26" i="6" s="1"/>
  <c r="B38" i="6" a="1"/>
  <c r="B38" i="6" s="1"/>
  <c r="B50" i="6" a="1"/>
  <c r="B50" i="6" s="1"/>
  <c r="B56" i="6" a="1"/>
  <c r="B56" i="6" s="1"/>
  <c r="B68" i="6" a="1"/>
  <c r="B68" i="6" s="1"/>
  <c r="B5" i="6" a="1"/>
  <c r="B5" i="6" s="1"/>
  <c r="B65" i="6" a="1"/>
  <c r="B65" i="6" s="1"/>
  <c r="B2" i="6" a="1"/>
  <c r="B2" i="6" s="1"/>
  <c r="B20" i="6" a="1"/>
  <c r="B20" i="6" s="1"/>
  <c r="B32" i="6" a="1"/>
  <c r="B32" i="6" s="1"/>
  <c r="B44" i="6" a="1"/>
  <c r="B44" i="6" s="1"/>
  <c r="B62" i="6" a="1"/>
  <c r="B62" i="6" s="1"/>
  <c r="B29" i="6" a="1"/>
  <c r="B29" i="6" s="1"/>
  <c r="B47" i="6" a="1"/>
  <c r="B47" i="6" s="1"/>
  <c r="B9" i="6" a="1"/>
  <c r="B9" i="6" s="1"/>
  <c r="B27" i="6" a="1"/>
  <c r="B27" i="6" s="1"/>
  <c r="B39" i="6" a="1"/>
  <c r="B39" i="6" s="1"/>
  <c r="B51" i="6" a="1"/>
  <c r="B51" i="6" s="1"/>
  <c r="B63" i="6" a="1"/>
  <c r="B63" i="6" s="1"/>
  <c r="B23" i="6" a="1"/>
  <c r="B23" i="6" s="1"/>
  <c r="B3" i="6" a="1"/>
  <c r="B3" i="6" s="1"/>
  <c r="B15" i="6" a="1"/>
  <c r="B15" i="6" s="1"/>
  <c r="B21" i="6" a="1"/>
  <c r="B21" i="6" s="1"/>
  <c r="B33" i="6" a="1"/>
  <c r="B33" i="6" s="1"/>
  <c r="B45" i="6" a="1"/>
  <c r="B45" i="6" s="1"/>
  <c r="B57" i="6" a="1"/>
  <c r="B57" i="6" s="1"/>
  <c r="B69" i="6" a="1"/>
  <c r="B69" i="6" s="1"/>
  <c r="B11" i="6" a="1"/>
  <c r="B11" i="6" s="1"/>
  <c r="B59" i="6" a="1"/>
  <c r="B59" i="6" s="1"/>
  <c r="B10" i="6" a="1"/>
  <c r="B10" i="6" s="1"/>
  <c r="B28" i="6" a="1"/>
  <c r="B28" i="6" s="1"/>
  <c r="B40" i="6" a="1"/>
  <c r="B40" i="6" s="1"/>
  <c r="B52" i="6" a="1"/>
  <c r="B52" i="6" s="1"/>
  <c r="B64" i="6" a="1"/>
  <c r="B64" i="6" s="1"/>
  <c r="B35" i="6" a="1"/>
  <c r="B35" i="6" s="1"/>
  <c r="B53" i="6" a="1"/>
  <c r="B53" i="6" s="1"/>
  <c r="B4" i="6" a="1"/>
  <c r="B4" i="6" s="1"/>
  <c r="B16" i="6" a="1"/>
  <c r="B16" i="6" s="1"/>
  <c r="B22" i="6" a="1"/>
  <c r="B22" i="6" s="1"/>
  <c r="B34" i="6" a="1"/>
  <c r="B34" i="6" s="1"/>
  <c r="B46" i="6" a="1"/>
  <c r="B46" i="6" s="1"/>
  <c r="B58" i="6" a="1"/>
  <c r="B58" i="6" s="1"/>
  <c r="B17" i="6" a="1"/>
  <c r="B17" i="6" s="1"/>
  <c r="B6" i="6" a="1"/>
  <c r="B6" i="6" s="1"/>
  <c r="B12" i="6" a="1"/>
  <c r="B12" i="6" s="1"/>
  <c r="B18" i="6" a="1"/>
  <c r="B18" i="6" s="1"/>
  <c r="B24" i="6" a="1"/>
  <c r="B24" i="6" s="1"/>
  <c r="B30" i="6" a="1"/>
  <c r="B30" i="6" s="1"/>
  <c r="B36" i="6" a="1"/>
  <c r="B36" i="6" s="1"/>
  <c r="B42" i="6" a="1"/>
  <c r="B42" i="6" s="1"/>
  <c r="B48" i="6" a="1"/>
  <c r="B48" i="6" s="1"/>
  <c r="B54" i="6" a="1"/>
  <c r="B54" i="6" s="1"/>
  <c r="B60" i="6" a="1"/>
  <c r="B60" i="6" s="1"/>
  <c r="B66" i="6" a="1"/>
  <c r="B66" i="6" s="1"/>
  <c r="C2" i="9"/>
  <c r="E2" i="9" s="1"/>
  <c r="E3" i="9"/>
  <c r="E4" i="9"/>
  <c r="E16" i="9"/>
  <c r="E28" i="9"/>
  <c r="E40" i="9"/>
  <c r="E52" i="9"/>
  <c r="E64" i="9"/>
  <c r="E76" i="9"/>
  <c r="E88" i="9"/>
  <c r="E100" i="9"/>
  <c r="E112" i="9"/>
  <c r="E124" i="9"/>
  <c r="E136" i="9"/>
  <c r="E148" i="9"/>
  <c r="E160" i="9"/>
  <c r="E172" i="9"/>
  <c r="E184" i="9"/>
  <c r="E196" i="9"/>
  <c r="E208" i="9"/>
  <c r="E220" i="9"/>
  <c r="E232" i="9"/>
  <c r="E244" i="9"/>
  <c r="E256" i="9"/>
  <c r="E268" i="9"/>
  <c r="E280" i="9"/>
  <c r="E292" i="9"/>
  <c r="E304" i="9"/>
  <c r="E316" i="9"/>
  <c r="E19" i="9"/>
  <c r="E43" i="9"/>
  <c r="E91" i="9"/>
  <c r="E127" i="9"/>
  <c r="E163" i="9"/>
  <c r="E175" i="9"/>
  <c r="E211" i="9"/>
  <c r="E247" i="9"/>
  <c r="E271" i="9"/>
  <c r="E319" i="9"/>
  <c r="E237" i="9"/>
  <c r="E297" i="9"/>
  <c r="E312" i="9"/>
  <c r="E49" i="9"/>
  <c r="E145" i="9"/>
  <c r="E217" i="9"/>
  <c r="E277" i="9"/>
  <c r="E14" i="9"/>
  <c r="E134" i="9"/>
  <c r="E218" i="9"/>
  <c r="E290" i="9"/>
  <c r="E15" i="9"/>
  <c r="E123" i="9"/>
  <c r="E219" i="9"/>
  <c r="E303" i="9"/>
  <c r="E5" i="9"/>
  <c r="E17" i="9"/>
  <c r="E29" i="9"/>
  <c r="E41" i="9"/>
  <c r="E53" i="9"/>
  <c r="E65" i="9"/>
  <c r="E77" i="9"/>
  <c r="E89" i="9"/>
  <c r="E101" i="9"/>
  <c r="E113" i="9"/>
  <c r="E125" i="9"/>
  <c r="E137" i="9"/>
  <c r="E149" i="9"/>
  <c r="E161" i="9"/>
  <c r="E173" i="9"/>
  <c r="E185" i="9"/>
  <c r="E197" i="9"/>
  <c r="E209" i="9"/>
  <c r="E221" i="9"/>
  <c r="E233" i="9"/>
  <c r="E245" i="9"/>
  <c r="E257" i="9"/>
  <c r="E269" i="9"/>
  <c r="E281" i="9"/>
  <c r="E293" i="9"/>
  <c r="E305" i="9"/>
  <c r="E317" i="9"/>
  <c r="E31" i="9"/>
  <c r="E55" i="9"/>
  <c r="E79" i="9"/>
  <c r="E115" i="9"/>
  <c r="E151" i="9"/>
  <c r="E187" i="9"/>
  <c r="E223" i="9"/>
  <c r="E259" i="9"/>
  <c r="E295" i="9"/>
  <c r="E307" i="9"/>
  <c r="E249" i="9"/>
  <c r="E321" i="9"/>
  <c r="E25" i="9"/>
  <c r="E109" i="9"/>
  <c r="E193" i="9"/>
  <c r="E301" i="9"/>
  <c r="E74" i="9"/>
  <c r="E158" i="9"/>
  <c r="E230" i="9"/>
  <c r="E326" i="9"/>
  <c r="E87" i="9"/>
  <c r="E183" i="9"/>
  <c r="E243" i="9"/>
  <c r="E327" i="9"/>
  <c r="E6" i="9"/>
  <c r="E18" i="9"/>
  <c r="E30" i="9"/>
  <c r="E42" i="9"/>
  <c r="E54" i="9"/>
  <c r="E66" i="9"/>
  <c r="E78" i="9"/>
  <c r="E90" i="9"/>
  <c r="E102" i="9"/>
  <c r="E114" i="9"/>
  <c r="E126" i="9"/>
  <c r="E138" i="9"/>
  <c r="E150" i="9"/>
  <c r="E162" i="9"/>
  <c r="E174" i="9"/>
  <c r="E186" i="9"/>
  <c r="E198" i="9"/>
  <c r="E210" i="9"/>
  <c r="E222" i="9"/>
  <c r="E234" i="9"/>
  <c r="E246" i="9"/>
  <c r="E258" i="9"/>
  <c r="E270" i="9"/>
  <c r="E282" i="9"/>
  <c r="E294" i="9"/>
  <c r="E306" i="9"/>
  <c r="E318" i="9"/>
  <c r="E7" i="9"/>
  <c r="E67" i="9"/>
  <c r="E103" i="9"/>
  <c r="E139" i="9"/>
  <c r="E199" i="9"/>
  <c r="E235" i="9"/>
  <c r="E283" i="9"/>
  <c r="E261" i="9"/>
  <c r="E276" i="9"/>
  <c r="E73" i="9"/>
  <c r="E169" i="9"/>
  <c r="E265" i="9"/>
  <c r="E50" i="9"/>
  <c r="E146" i="9"/>
  <c r="E242" i="9"/>
  <c r="E63" i="9"/>
  <c r="E171" i="9"/>
  <c r="E267" i="9"/>
  <c r="E99" i="9"/>
  <c r="E8" i="9"/>
  <c r="E20" i="9"/>
  <c r="E32" i="9"/>
  <c r="E44" i="9"/>
  <c r="E56" i="9"/>
  <c r="E68" i="9"/>
  <c r="E80" i="9"/>
  <c r="E92" i="9"/>
  <c r="E104" i="9"/>
  <c r="E116" i="9"/>
  <c r="E128" i="9"/>
  <c r="E140" i="9"/>
  <c r="E152" i="9"/>
  <c r="E164" i="9"/>
  <c r="E176" i="9"/>
  <c r="E188" i="9"/>
  <c r="E200" i="9"/>
  <c r="E212" i="9"/>
  <c r="E224" i="9"/>
  <c r="E236" i="9"/>
  <c r="E248" i="9"/>
  <c r="E260" i="9"/>
  <c r="E272" i="9"/>
  <c r="E284" i="9"/>
  <c r="E296" i="9"/>
  <c r="E308" i="9"/>
  <c r="E320" i="9"/>
  <c r="E21" i="9"/>
  <c r="E33" i="9"/>
  <c r="E45" i="9"/>
  <c r="E57" i="9"/>
  <c r="E69" i="9"/>
  <c r="E81" i="9"/>
  <c r="E105" i="9"/>
  <c r="E117" i="9"/>
  <c r="E141" i="9"/>
  <c r="E165" i="9"/>
  <c r="E177" i="9"/>
  <c r="E201" i="9"/>
  <c r="E225" i="9"/>
  <c r="E285" i="9"/>
  <c r="E309" i="9"/>
  <c r="E13" i="9"/>
  <c r="E133" i="9"/>
  <c r="E229" i="9"/>
  <c r="E289" i="9"/>
  <c r="E38" i="9"/>
  <c r="E98" i="9"/>
  <c r="E182" i="9"/>
  <c r="E254" i="9"/>
  <c r="E27" i="9"/>
  <c r="E147" i="9"/>
  <c r="E231" i="9"/>
  <c r="E315" i="9"/>
  <c r="E9" i="9"/>
  <c r="E93" i="9"/>
  <c r="E129" i="9"/>
  <c r="E153" i="9"/>
  <c r="E189" i="9"/>
  <c r="E213" i="9"/>
  <c r="E273" i="9"/>
  <c r="E324" i="9"/>
  <c r="E85" i="9"/>
  <c r="E157" i="9"/>
  <c r="E241" i="9"/>
  <c r="E325" i="9"/>
  <c r="E86" i="9"/>
  <c r="E170" i="9"/>
  <c r="E266" i="9"/>
  <c r="E51" i="9"/>
  <c r="E159" i="9"/>
  <c r="E255" i="9"/>
  <c r="E10" i="9"/>
  <c r="E22" i="9"/>
  <c r="E34" i="9"/>
  <c r="E46" i="9"/>
  <c r="E58" i="9"/>
  <c r="E70" i="9"/>
  <c r="E82" i="9"/>
  <c r="E94" i="9"/>
  <c r="E106" i="9"/>
  <c r="E118" i="9"/>
  <c r="E130" i="9"/>
  <c r="E142" i="9"/>
  <c r="E154" i="9"/>
  <c r="E166" i="9"/>
  <c r="E178" i="9"/>
  <c r="E190" i="9"/>
  <c r="E202" i="9"/>
  <c r="E214" i="9"/>
  <c r="E226" i="9"/>
  <c r="E238" i="9"/>
  <c r="E250" i="9"/>
  <c r="E262" i="9"/>
  <c r="E274" i="9"/>
  <c r="E286" i="9"/>
  <c r="E298" i="9"/>
  <c r="E310" i="9"/>
  <c r="E322" i="9"/>
  <c r="E12" i="9"/>
  <c r="E36" i="9"/>
  <c r="E60" i="9"/>
  <c r="E84" i="9"/>
  <c r="E108" i="9"/>
  <c r="E132" i="9"/>
  <c r="E156" i="9"/>
  <c r="E180" i="9"/>
  <c r="E192" i="9"/>
  <c r="E216" i="9"/>
  <c r="E240" i="9"/>
  <c r="E264" i="9"/>
  <c r="E300" i="9"/>
  <c r="E61" i="9"/>
  <c r="E121" i="9"/>
  <c r="E205" i="9"/>
  <c r="E313" i="9"/>
  <c r="E62" i="9"/>
  <c r="E122" i="9"/>
  <c r="E194" i="9"/>
  <c r="E302" i="9"/>
  <c r="E39" i="9"/>
  <c r="E111" i="9"/>
  <c r="E195" i="9"/>
  <c r="E279" i="9"/>
  <c r="E11" i="9"/>
  <c r="E23" i="9"/>
  <c r="E35" i="9"/>
  <c r="E47" i="9"/>
  <c r="E59" i="9"/>
  <c r="E71" i="9"/>
  <c r="E83" i="9"/>
  <c r="E95" i="9"/>
  <c r="E107" i="9"/>
  <c r="E119" i="9"/>
  <c r="E131" i="9"/>
  <c r="E143" i="9"/>
  <c r="E155" i="9"/>
  <c r="E167" i="9"/>
  <c r="E179" i="9"/>
  <c r="E191" i="9"/>
  <c r="E203" i="9"/>
  <c r="E215" i="9"/>
  <c r="E227" i="9"/>
  <c r="E239" i="9"/>
  <c r="E251" i="9"/>
  <c r="E263" i="9"/>
  <c r="E275" i="9"/>
  <c r="E287" i="9"/>
  <c r="E299" i="9"/>
  <c r="E311" i="9"/>
  <c r="E323" i="9"/>
  <c r="E24" i="9"/>
  <c r="E48" i="9"/>
  <c r="E72" i="9"/>
  <c r="E96" i="9"/>
  <c r="E120" i="9"/>
  <c r="E144" i="9"/>
  <c r="E168" i="9"/>
  <c r="E204" i="9"/>
  <c r="E228" i="9"/>
  <c r="E252" i="9"/>
  <c r="E288" i="9"/>
  <c r="E37" i="9"/>
  <c r="E97" i="9"/>
  <c r="E181" i="9"/>
  <c r="E253" i="9"/>
  <c r="E26" i="9"/>
  <c r="E110" i="9"/>
  <c r="E206" i="9"/>
  <c r="E278" i="9"/>
  <c r="E314" i="9"/>
  <c r="E75" i="9"/>
  <c r="E135" i="9"/>
  <c r="E207" i="9"/>
  <c r="E291" i="9"/>
  <c r="C3" i="11" a="1"/>
  <c r="ED2" i="11" a="1"/>
  <c r="EC2" i="11" a="1"/>
  <c r="EE2" i="11" a="1"/>
  <c r="EE2" i="11" l="1"/>
  <c r="ED2" i="11"/>
  <c r="EC2" i="11"/>
  <c r="C3" i="11"/>
  <c r="B2" i="12" a="1"/>
  <c r="B2" i="10"/>
  <c r="G2" i="9" a="1"/>
  <c r="G2" i="9" s="1"/>
  <c r="S26" i="1"/>
  <c r="T26" i="1" s="1"/>
  <c r="U26" i="1"/>
  <c r="S245" i="1"/>
  <c r="T245" i="1" s="1"/>
  <c r="U245" i="1"/>
  <c r="S85" i="1"/>
  <c r="T85" i="1" s="1"/>
  <c r="U85" i="1"/>
  <c r="S129" i="1"/>
  <c r="T129" i="1" s="1"/>
  <c r="U129" i="1"/>
  <c r="S216" i="1"/>
  <c r="T216" i="1" s="1"/>
  <c r="U216" i="1"/>
  <c r="S232" i="1"/>
  <c r="T232" i="1" s="1"/>
  <c r="U232" i="1"/>
  <c r="S281" i="1"/>
  <c r="T281" i="1" s="1"/>
  <c r="U281" i="1"/>
  <c r="S220" i="1"/>
  <c r="T220" i="1" s="1"/>
  <c r="U220" i="1"/>
  <c r="S132" i="1"/>
  <c r="T132" i="1" s="1"/>
  <c r="U132" i="1"/>
  <c r="S185" i="1"/>
  <c r="T185" i="1" s="1"/>
  <c r="U185" i="1"/>
  <c r="S257" i="1"/>
  <c r="T257" i="1" s="1"/>
  <c r="U257" i="1"/>
  <c r="S215" i="1"/>
  <c r="T215" i="1" s="1"/>
  <c r="U215" i="1"/>
  <c r="S236" i="1"/>
  <c r="T236" i="1" s="1"/>
  <c r="U236" i="1"/>
  <c r="S78" i="1"/>
  <c r="T78" i="1" s="1"/>
  <c r="U78" i="1"/>
  <c r="S207" i="1"/>
  <c r="T207" i="1" s="1"/>
  <c r="U207" i="1"/>
  <c r="S30" i="1"/>
  <c r="T30" i="1" s="1"/>
  <c r="U30" i="1"/>
  <c r="S98" i="1"/>
  <c r="T98" i="1" s="1"/>
  <c r="U98" i="1"/>
  <c r="S243" i="1"/>
  <c r="T243" i="1" s="1"/>
  <c r="U243" i="1"/>
  <c r="S186" i="1"/>
  <c r="T186" i="1" s="1"/>
  <c r="U186" i="1"/>
  <c r="S96" i="1"/>
  <c r="T96" i="1" s="1"/>
  <c r="U96" i="1"/>
  <c r="S3" i="1"/>
  <c r="T3" i="1" s="1"/>
  <c r="U3" i="1"/>
  <c r="S233" i="1"/>
  <c r="T233" i="1" s="1"/>
  <c r="U233" i="1"/>
  <c r="S265" i="1"/>
  <c r="T265" i="1" s="1"/>
  <c r="U265" i="1"/>
  <c r="S166" i="1"/>
  <c r="T166" i="1" s="1"/>
  <c r="U166" i="1"/>
  <c r="S218" i="1"/>
  <c r="T218" i="1" s="1"/>
  <c r="U218" i="1"/>
  <c r="S206" i="1"/>
  <c r="T206" i="1" s="1"/>
  <c r="U206" i="1"/>
  <c r="S86" i="1"/>
  <c r="T86" i="1" s="1"/>
  <c r="U86" i="1"/>
  <c r="S249" i="1"/>
  <c r="T249" i="1" s="1"/>
  <c r="U249" i="1"/>
  <c r="S288" i="1"/>
  <c r="T288" i="1" s="1"/>
  <c r="U288" i="1"/>
  <c r="S66" i="1"/>
  <c r="T66" i="1" s="1"/>
  <c r="U66" i="1"/>
  <c r="S164" i="1"/>
  <c r="T164" i="1" s="1"/>
  <c r="U164" i="1"/>
  <c r="S10" i="1"/>
  <c r="T10" i="1" s="1"/>
  <c r="U10" i="1"/>
  <c r="S118" i="1"/>
  <c r="T118" i="1" s="1"/>
  <c r="U118" i="1"/>
  <c r="S301" i="1"/>
  <c r="T301" i="1" s="1"/>
  <c r="U301" i="1"/>
  <c r="S87" i="1"/>
  <c r="T87" i="1" s="1"/>
  <c r="U87" i="1"/>
  <c r="S312" i="1"/>
  <c r="T312" i="1" s="1"/>
  <c r="U312" i="1"/>
  <c r="S324" i="1"/>
  <c r="T324" i="1" s="1"/>
  <c r="U324" i="1"/>
  <c r="S29" i="1"/>
  <c r="T29" i="1" s="1"/>
  <c r="U29" i="1"/>
  <c r="S285" i="1"/>
  <c r="T285" i="1" s="1"/>
  <c r="U285" i="1"/>
  <c r="S97" i="1"/>
  <c r="T97" i="1" s="1"/>
  <c r="U97" i="1"/>
  <c r="S294" i="1"/>
  <c r="T294" i="1" s="1"/>
  <c r="U294" i="1"/>
  <c r="S122" i="1"/>
  <c r="T122" i="1" s="1"/>
  <c r="U122" i="1"/>
  <c r="S270" i="1"/>
  <c r="T270" i="1" s="1"/>
  <c r="U270" i="1"/>
  <c r="S92" i="1"/>
  <c r="T92" i="1" s="1"/>
  <c r="U92" i="1"/>
  <c r="S250" i="1"/>
  <c r="T250" i="1" s="1"/>
  <c r="U250" i="1"/>
  <c r="S234" i="1"/>
  <c r="T234" i="1" s="1"/>
  <c r="U234" i="1"/>
  <c r="S146" i="1"/>
  <c r="T146" i="1" s="1"/>
  <c r="U146" i="1"/>
  <c r="S213" i="1"/>
  <c r="T213" i="1" s="1"/>
  <c r="U213" i="1"/>
  <c r="S180" i="1"/>
  <c r="T180" i="1" s="1"/>
  <c r="U180" i="1"/>
  <c r="S309" i="1"/>
  <c r="T309" i="1" s="1"/>
  <c r="U309" i="1"/>
  <c r="S282" i="1"/>
  <c r="T282" i="1" s="1"/>
  <c r="U282" i="1"/>
  <c r="S106" i="1"/>
  <c r="T106" i="1" s="1"/>
  <c r="U106" i="1"/>
  <c r="S28" i="1"/>
  <c r="T28" i="1" s="1"/>
  <c r="U28" i="1"/>
  <c r="S327" i="1"/>
  <c r="T327" i="1" s="1"/>
  <c r="U327" i="1"/>
  <c r="S8" i="1"/>
  <c r="T8" i="1" s="1"/>
  <c r="U8" i="1"/>
  <c r="S267" i="1"/>
  <c r="T267" i="1" s="1"/>
  <c r="U267" i="1"/>
  <c r="S173" i="1"/>
  <c r="T173" i="1" s="1"/>
  <c r="U173" i="1"/>
  <c r="S235" i="1"/>
  <c r="T235" i="1" s="1"/>
  <c r="U235" i="1"/>
  <c r="S298" i="1"/>
  <c r="T298" i="1" s="1"/>
  <c r="U298" i="1"/>
  <c r="S193" i="1"/>
  <c r="T193" i="1" s="1"/>
  <c r="U193" i="1"/>
  <c r="S7" i="1"/>
  <c r="T7" i="1" s="1"/>
  <c r="U7" i="1"/>
  <c r="S4" i="1"/>
  <c r="T4" i="1" s="1"/>
  <c r="U4" i="1"/>
  <c r="S283" i="1"/>
  <c r="T283" i="1" s="1"/>
  <c r="U283" i="1"/>
  <c r="S61" i="1"/>
  <c r="T61" i="1" s="1"/>
  <c r="U61" i="1"/>
  <c r="S59" i="1"/>
  <c r="T59" i="1" s="1"/>
  <c r="U59" i="1"/>
  <c r="S99" i="1"/>
  <c r="T99" i="1" s="1"/>
  <c r="U99" i="1"/>
  <c r="S19" i="1"/>
  <c r="T19" i="1" s="1"/>
  <c r="U19" i="1"/>
  <c r="S308" i="1"/>
  <c r="T308" i="1" s="1"/>
  <c r="U308" i="1"/>
  <c r="S277" i="1"/>
  <c r="T277" i="1" s="1"/>
  <c r="U277" i="1"/>
  <c r="S202" i="1"/>
  <c r="T202" i="1" s="1"/>
  <c r="U202" i="1"/>
  <c r="S171" i="1"/>
  <c r="T171" i="1" s="1"/>
  <c r="U171" i="1"/>
  <c r="S256" i="1"/>
  <c r="T256" i="1" s="1"/>
  <c r="U256" i="1"/>
  <c r="S183" i="1"/>
  <c r="T183" i="1" s="1"/>
  <c r="U183" i="1"/>
  <c r="S228" i="1"/>
  <c r="T228" i="1" s="1"/>
  <c r="U228" i="1"/>
  <c r="S23" i="1"/>
  <c r="T23" i="1" s="1"/>
  <c r="U23" i="1"/>
  <c r="S73" i="1"/>
  <c r="T73" i="1" s="1"/>
  <c r="U73" i="1"/>
  <c r="S123" i="1"/>
  <c r="T123" i="1" s="1"/>
  <c r="U123" i="1"/>
  <c r="S244" i="1"/>
  <c r="T244" i="1" s="1"/>
  <c r="U244" i="1"/>
  <c r="S89" i="1"/>
  <c r="T89" i="1" s="1"/>
  <c r="U89" i="1"/>
  <c r="S74" i="1"/>
  <c r="T74" i="1" s="1"/>
  <c r="U74" i="1"/>
  <c r="S121" i="1"/>
  <c r="T121" i="1" s="1"/>
  <c r="U121" i="1"/>
  <c r="S12" i="1"/>
  <c r="T12" i="1" s="1"/>
  <c r="U12" i="1"/>
  <c r="S178" i="1"/>
  <c r="T178" i="1" s="1"/>
  <c r="U178" i="1"/>
  <c r="S33" i="1"/>
  <c r="T33" i="1" s="1"/>
  <c r="U33" i="1"/>
  <c r="S40" i="1"/>
  <c r="T40" i="1" s="1"/>
  <c r="U40" i="1"/>
  <c r="S314" i="1"/>
  <c r="T314" i="1" s="1"/>
  <c r="U314" i="1"/>
  <c r="S105" i="1"/>
  <c r="T105" i="1" s="1"/>
  <c r="U105" i="1"/>
  <c r="S137" i="1"/>
  <c r="T137" i="1" s="1"/>
  <c r="U137" i="1"/>
  <c r="S82" i="1"/>
  <c r="T82" i="1" s="1"/>
  <c r="U82" i="1"/>
  <c r="S84" i="1"/>
  <c r="T84" i="1" s="1"/>
  <c r="U84" i="1"/>
  <c r="S100" i="1"/>
  <c r="T100" i="1" s="1"/>
  <c r="U100" i="1"/>
  <c r="S231" i="1"/>
  <c r="T231" i="1" s="1"/>
  <c r="U231" i="1"/>
  <c r="S242" i="1"/>
  <c r="T242" i="1" s="1"/>
  <c r="U242" i="1"/>
  <c r="S307" i="1"/>
  <c r="T307" i="1" s="1"/>
  <c r="U307" i="1"/>
  <c r="S153" i="1"/>
  <c r="T153" i="1" s="1"/>
  <c r="U153" i="1"/>
  <c r="S181" i="1"/>
  <c r="T181" i="1" s="1"/>
  <c r="U181" i="1"/>
  <c r="S239" i="1"/>
  <c r="T239" i="1" s="1"/>
  <c r="U239" i="1"/>
  <c r="S60" i="1"/>
  <c r="T60" i="1" s="1"/>
  <c r="U60" i="1"/>
  <c r="S316" i="1"/>
  <c r="T316" i="1" s="1"/>
  <c r="U316" i="1"/>
  <c r="S62" i="1"/>
  <c r="T62" i="1" s="1"/>
  <c r="U62" i="1"/>
  <c r="S21" i="1"/>
  <c r="T21" i="1" s="1"/>
  <c r="U21" i="1"/>
  <c r="S56" i="1"/>
  <c r="T56" i="1" s="1"/>
  <c r="U56" i="1"/>
  <c r="S247" i="1"/>
  <c r="T247" i="1" s="1"/>
  <c r="U247" i="1"/>
  <c r="S210" i="1"/>
  <c r="T210" i="1" s="1"/>
  <c r="U210" i="1"/>
  <c r="S71" i="1"/>
  <c r="T71" i="1" s="1"/>
  <c r="U71" i="1"/>
  <c r="S274" i="1"/>
  <c r="T274" i="1" s="1"/>
  <c r="U274" i="1"/>
  <c r="S275" i="1"/>
  <c r="T275" i="1" s="1"/>
  <c r="U275" i="1"/>
  <c r="S24" i="1"/>
  <c r="T24" i="1" s="1"/>
  <c r="U24" i="1"/>
  <c r="S112" i="1"/>
  <c r="T112" i="1" s="1"/>
  <c r="U112" i="1"/>
  <c r="S48" i="1"/>
  <c r="T48" i="1" s="1"/>
  <c r="U48" i="1"/>
  <c r="S110" i="1"/>
  <c r="T110" i="1" s="1"/>
  <c r="U110" i="1"/>
  <c r="S155" i="1"/>
  <c r="T155" i="1" s="1"/>
  <c r="U155" i="1"/>
  <c r="S43" i="1"/>
  <c r="T43" i="1" s="1"/>
  <c r="U43" i="1"/>
  <c r="S208" i="1"/>
  <c r="T208" i="1" s="1"/>
  <c r="U208" i="1"/>
  <c r="S271" i="1"/>
  <c r="T271" i="1" s="1"/>
  <c r="U271" i="1"/>
  <c r="S204" i="1"/>
  <c r="T204" i="1" s="1"/>
  <c r="U204" i="1"/>
  <c r="S258" i="1"/>
  <c r="T258" i="1" s="1"/>
  <c r="U258" i="1"/>
  <c r="S194" i="1"/>
  <c r="T194" i="1" s="1"/>
  <c r="U194" i="1"/>
  <c r="S201" i="1"/>
  <c r="T201" i="1" s="1"/>
  <c r="U201" i="1"/>
  <c r="S88" i="1"/>
  <c r="T88" i="1" s="1"/>
  <c r="U88" i="1"/>
  <c r="S141" i="1"/>
  <c r="T141" i="1" s="1"/>
  <c r="U141" i="1"/>
  <c r="S269" i="1"/>
  <c r="T269" i="1" s="1"/>
  <c r="U269" i="1"/>
  <c r="S293" i="1"/>
  <c r="T293" i="1" s="1"/>
  <c r="U293" i="1"/>
  <c r="S41" i="1"/>
  <c r="T41" i="1" s="1"/>
  <c r="U41" i="1"/>
  <c r="S296" i="1"/>
  <c r="T296" i="1" s="1"/>
  <c r="U296" i="1"/>
  <c r="S11" i="1"/>
  <c r="T11" i="1" s="1"/>
  <c r="U11" i="1"/>
  <c r="S209" i="1"/>
  <c r="T209" i="1" s="1"/>
  <c r="U209" i="1"/>
  <c r="S111" i="1"/>
  <c r="T111" i="1" s="1"/>
  <c r="U111" i="1"/>
  <c r="S251" i="1"/>
  <c r="T251" i="1" s="1"/>
  <c r="U251" i="1"/>
  <c r="S32" i="1"/>
  <c r="T32" i="1" s="1"/>
  <c r="U32" i="1"/>
  <c r="S37" i="1"/>
  <c r="T37" i="1" s="1"/>
  <c r="U37" i="1"/>
  <c r="S144" i="1"/>
  <c r="T144" i="1" s="1"/>
  <c r="U144" i="1"/>
  <c r="S95" i="1"/>
  <c r="T95" i="1" s="1"/>
  <c r="U95" i="1"/>
  <c r="S44" i="1"/>
  <c r="T44" i="1" s="1"/>
  <c r="U44" i="1"/>
  <c r="S54" i="1"/>
  <c r="T54" i="1" s="1"/>
  <c r="U54" i="1"/>
  <c r="S46" i="1"/>
  <c r="T46" i="1" s="1"/>
  <c r="U46" i="1"/>
  <c r="S83" i="1"/>
  <c r="T83" i="1" s="1"/>
  <c r="U83" i="1"/>
  <c r="S77" i="1"/>
  <c r="T77" i="1" s="1"/>
  <c r="U77" i="1"/>
  <c r="S152" i="1"/>
  <c r="T152" i="1" s="1"/>
  <c r="U152" i="1"/>
  <c r="S50" i="1"/>
  <c r="T50" i="1" s="1"/>
  <c r="U50" i="1"/>
  <c r="S225" i="1"/>
  <c r="T225" i="1" s="1"/>
  <c r="U225" i="1"/>
  <c r="S280" i="1"/>
  <c r="T280" i="1" s="1"/>
  <c r="U280" i="1"/>
  <c r="S268" i="1"/>
  <c r="T268" i="1" s="1"/>
  <c r="U268" i="1"/>
  <c r="S317" i="1"/>
  <c r="T317" i="1" s="1"/>
  <c r="U317" i="1"/>
  <c r="S169" i="1"/>
  <c r="T169" i="1" s="1"/>
  <c r="U169" i="1"/>
  <c r="S22" i="1"/>
  <c r="T22" i="1" s="1"/>
  <c r="U22" i="1"/>
  <c r="S211" i="1"/>
  <c r="T211" i="1" s="1"/>
  <c r="U211" i="1"/>
  <c r="S276" i="1"/>
  <c r="T276" i="1" s="1"/>
  <c r="U276" i="1"/>
  <c r="S174" i="1"/>
  <c r="T174" i="1" s="1"/>
  <c r="U174" i="1"/>
  <c r="S302" i="1"/>
  <c r="T302" i="1" s="1"/>
  <c r="U302" i="1"/>
  <c r="S69" i="1"/>
  <c r="T69" i="1" s="1"/>
  <c r="U69" i="1"/>
  <c r="S252" i="1"/>
  <c r="T252" i="1" s="1"/>
  <c r="U252" i="1"/>
  <c r="S212" i="1"/>
  <c r="T212" i="1" s="1"/>
  <c r="U212" i="1"/>
  <c r="S57" i="1"/>
  <c r="T57" i="1" s="1"/>
  <c r="U57" i="1"/>
  <c r="S158" i="1"/>
  <c r="T158" i="1" s="1"/>
  <c r="U158" i="1"/>
  <c r="S203" i="1"/>
  <c r="T203" i="1" s="1"/>
  <c r="U203" i="1"/>
  <c r="S195" i="1"/>
  <c r="T195" i="1" s="1"/>
  <c r="U195" i="1"/>
  <c r="S217" i="1"/>
  <c r="T217" i="1" s="1"/>
  <c r="U217" i="1"/>
  <c r="S226" i="1"/>
  <c r="T226" i="1" s="1"/>
  <c r="U226" i="1"/>
  <c r="S264" i="1"/>
  <c r="T264" i="1" s="1"/>
  <c r="U264" i="1"/>
  <c r="S140" i="1"/>
  <c r="T140" i="1" s="1"/>
  <c r="U140" i="1"/>
  <c r="S320" i="1"/>
  <c r="T320" i="1" s="1"/>
  <c r="U320" i="1"/>
  <c r="S286" i="1"/>
  <c r="T286" i="1" s="1"/>
  <c r="U286" i="1"/>
  <c r="S42" i="1"/>
  <c r="T42" i="1" s="1"/>
  <c r="U42" i="1"/>
  <c r="S305" i="1"/>
  <c r="T305" i="1" s="1"/>
  <c r="U305" i="1"/>
  <c r="S189" i="1"/>
  <c r="T189" i="1" s="1"/>
  <c r="U189" i="1"/>
  <c r="S167" i="1"/>
  <c r="T167" i="1" s="1"/>
  <c r="U167" i="1"/>
  <c r="S94" i="1"/>
  <c r="T94" i="1" s="1"/>
  <c r="U94" i="1"/>
  <c r="S51" i="1"/>
  <c r="T51" i="1" s="1"/>
  <c r="U51" i="1"/>
  <c r="S254" i="1"/>
  <c r="T254" i="1" s="1"/>
  <c r="U254" i="1"/>
  <c r="S168" i="1"/>
  <c r="T168" i="1" s="1"/>
  <c r="U168" i="1"/>
  <c r="S17" i="1"/>
  <c r="T17" i="1" s="1"/>
  <c r="U17" i="1"/>
  <c r="S323" i="1"/>
  <c r="T323" i="1" s="1"/>
  <c r="U323" i="1"/>
  <c r="S260" i="1"/>
  <c r="T260" i="1" s="1"/>
  <c r="U260" i="1"/>
  <c r="S45" i="1"/>
  <c r="T45" i="1" s="1"/>
  <c r="U45" i="1"/>
  <c r="S154" i="1"/>
  <c r="T154" i="1" s="1"/>
  <c r="U154" i="1"/>
  <c r="S64" i="1"/>
  <c r="T64" i="1" s="1"/>
  <c r="U64" i="1"/>
  <c r="S163" i="1"/>
  <c r="T163" i="1" s="1"/>
  <c r="U163" i="1"/>
  <c r="S321" i="1"/>
  <c r="T321" i="1" s="1"/>
  <c r="U321" i="1"/>
  <c r="S109" i="1"/>
  <c r="T109" i="1" s="1"/>
  <c r="U109" i="1"/>
  <c r="S156" i="1"/>
  <c r="T156" i="1" s="1"/>
  <c r="U156" i="1"/>
  <c r="S326" i="1"/>
  <c r="T326" i="1" s="1"/>
  <c r="U326" i="1"/>
  <c r="S102" i="1"/>
  <c r="T102" i="1" s="1"/>
  <c r="U102" i="1"/>
  <c r="S318" i="1"/>
  <c r="T318" i="1" s="1"/>
  <c r="U318" i="1"/>
  <c r="S67" i="1"/>
  <c r="T67" i="1" s="1"/>
  <c r="U67" i="1"/>
  <c r="S190" i="1"/>
  <c r="T190" i="1" s="1"/>
  <c r="U190" i="1"/>
  <c r="S58" i="1"/>
  <c r="T58" i="1" s="1"/>
  <c r="U58" i="1"/>
  <c r="S80" i="1"/>
  <c r="T80" i="1" s="1"/>
  <c r="U80" i="1"/>
  <c r="S25" i="1"/>
  <c r="T25" i="1" s="1"/>
  <c r="U25" i="1"/>
  <c r="S91" i="1"/>
  <c r="T91" i="1" s="1"/>
  <c r="U91" i="1"/>
  <c r="S136" i="1"/>
  <c r="T136" i="1" s="1"/>
  <c r="U136" i="1"/>
  <c r="S63" i="1"/>
  <c r="T63" i="1" s="1"/>
  <c r="U63" i="1"/>
  <c r="S292" i="1"/>
  <c r="T292" i="1" s="1"/>
  <c r="U292" i="1"/>
  <c r="S272" i="1"/>
  <c r="T272" i="1" s="1"/>
  <c r="U272" i="1"/>
  <c r="S149" i="1"/>
  <c r="T149" i="1" s="1"/>
  <c r="U149" i="1"/>
  <c r="S125" i="1"/>
  <c r="T125" i="1" s="1"/>
  <c r="U125" i="1"/>
  <c r="S2" i="1"/>
  <c r="T2" i="1" s="1"/>
  <c r="U2" i="1"/>
  <c r="S117" i="1"/>
  <c r="T117" i="1" s="1"/>
  <c r="U117" i="1"/>
  <c r="S133" i="1"/>
  <c r="T133" i="1" s="1"/>
  <c r="U133" i="1"/>
  <c r="S5" i="1"/>
  <c r="T5" i="1" s="1"/>
  <c r="U5" i="1"/>
  <c r="S241" i="1"/>
  <c r="T241" i="1" s="1"/>
  <c r="U241" i="1"/>
  <c r="S49" i="1"/>
  <c r="T49" i="1" s="1"/>
  <c r="U49" i="1"/>
  <c r="S253" i="1"/>
  <c r="T253" i="1" s="1"/>
  <c r="U253" i="1"/>
  <c r="S130" i="1"/>
  <c r="T130" i="1" s="1"/>
  <c r="U130" i="1"/>
  <c r="S273" i="1"/>
  <c r="T273" i="1" s="1"/>
  <c r="U273" i="1"/>
  <c r="S70" i="1"/>
  <c r="T70" i="1" s="1"/>
  <c r="U70" i="1"/>
  <c r="S230" i="1"/>
  <c r="T230" i="1" s="1"/>
  <c r="U230" i="1"/>
  <c r="S200" i="1"/>
  <c r="T200" i="1" s="1"/>
  <c r="U200" i="1"/>
  <c r="S148" i="1"/>
  <c r="T148" i="1" s="1"/>
  <c r="U148" i="1"/>
  <c r="S139" i="1"/>
  <c r="T139" i="1" s="1"/>
  <c r="U139" i="1"/>
  <c r="S13" i="1"/>
  <c r="T13" i="1" s="1"/>
  <c r="U13" i="1"/>
  <c r="S159" i="1"/>
  <c r="T159" i="1" s="1"/>
  <c r="U159" i="1"/>
  <c r="S229" i="1"/>
  <c r="T229" i="1" s="1"/>
  <c r="U229" i="1"/>
  <c r="S72" i="1"/>
  <c r="T72" i="1" s="1"/>
  <c r="U72" i="1"/>
  <c r="S31" i="1"/>
  <c r="T31" i="1" s="1"/>
  <c r="U31" i="1"/>
  <c r="S151" i="1"/>
  <c r="T151" i="1" s="1"/>
  <c r="U151" i="1"/>
  <c r="S304" i="1"/>
  <c r="T304" i="1" s="1"/>
  <c r="U304" i="1"/>
  <c r="S175" i="1"/>
  <c r="T175" i="1" s="1"/>
  <c r="U175" i="1"/>
  <c r="S108" i="1"/>
  <c r="T108" i="1" s="1"/>
  <c r="U108" i="1"/>
  <c r="S68" i="1"/>
  <c r="T68" i="1" s="1"/>
  <c r="U68" i="1"/>
  <c r="S297" i="1"/>
  <c r="T297" i="1" s="1"/>
  <c r="U297" i="1"/>
  <c r="S299" i="1"/>
  <c r="T299" i="1" s="1"/>
  <c r="U299" i="1"/>
  <c r="S101" i="1"/>
  <c r="T101" i="1" s="1"/>
  <c r="U101" i="1"/>
  <c r="S222" i="1"/>
  <c r="T222" i="1" s="1"/>
  <c r="U222" i="1"/>
  <c r="S116" i="1"/>
  <c r="T116" i="1" s="1"/>
  <c r="U116" i="1"/>
  <c r="S36" i="1"/>
  <c r="T36" i="1" s="1"/>
  <c r="U36" i="1"/>
  <c r="S278" i="1"/>
  <c r="T278" i="1" s="1"/>
  <c r="U278" i="1"/>
  <c r="S325" i="1"/>
  <c r="T325" i="1" s="1"/>
  <c r="U325" i="1"/>
  <c r="S240" i="1"/>
  <c r="T240" i="1" s="1"/>
  <c r="U240" i="1"/>
  <c r="S295" i="1"/>
  <c r="T295" i="1" s="1"/>
  <c r="U295" i="1"/>
  <c r="S165" i="1"/>
  <c r="T165" i="1" s="1"/>
  <c r="U165" i="1"/>
  <c r="S221" i="1"/>
  <c r="T221" i="1" s="1"/>
  <c r="U221" i="1"/>
  <c r="S261" i="1"/>
  <c r="T261" i="1" s="1"/>
  <c r="U261" i="1"/>
  <c r="S303" i="1"/>
  <c r="T303" i="1" s="1"/>
  <c r="U303" i="1"/>
  <c r="S160" i="1"/>
  <c r="T160" i="1" s="1"/>
  <c r="U160" i="1"/>
  <c r="S120" i="1"/>
  <c r="T120" i="1" s="1"/>
  <c r="U120" i="1"/>
  <c r="S262" i="1"/>
  <c r="T262" i="1" s="1"/>
  <c r="U262" i="1"/>
  <c r="S315" i="1"/>
  <c r="T315" i="1" s="1"/>
  <c r="U315" i="1"/>
  <c r="S259" i="1"/>
  <c r="T259" i="1" s="1"/>
  <c r="U259" i="1"/>
  <c r="S38" i="1"/>
  <c r="T38" i="1" s="1"/>
  <c r="U38" i="1"/>
  <c r="S291" i="1"/>
  <c r="T291" i="1" s="1"/>
  <c r="U291" i="1"/>
  <c r="S128" i="1"/>
  <c r="T128" i="1" s="1"/>
  <c r="U128" i="1"/>
  <c r="S162" i="1"/>
  <c r="T162" i="1" s="1"/>
  <c r="U162" i="1"/>
  <c r="S52" i="1"/>
  <c r="T52" i="1" s="1"/>
  <c r="U52" i="1"/>
  <c r="S289" i="1"/>
  <c r="T289" i="1" s="1"/>
  <c r="U289" i="1"/>
  <c r="S246" i="1"/>
  <c r="T246" i="1" s="1"/>
  <c r="U246" i="1"/>
  <c r="S319" i="1"/>
  <c r="T319" i="1" s="1"/>
  <c r="U319" i="1"/>
  <c r="S81" i="1"/>
  <c r="T81" i="1" s="1"/>
  <c r="U81" i="1"/>
  <c r="S279" i="1"/>
  <c r="T279" i="1" s="1"/>
  <c r="U279" i="1"/>
  <c r="S150" i="1"/>
  <c r="T150" i="1" s="1"/>
  <c r="U150" i="1"/>
  <c r="S179" i="1"/>
  <c r="T179" i="1" s="1"/>
  <c r="U179" i="1"/>
  <c r="S114" i="1"/>
  <c r="T114" i="1" s="1"/>
  <c r="U114" i="1"/>
  <c r="S135" i="1"/>
  <c r="T135" i="1" s="1"/>
  <c r="U135" i="1"/>
  <c r="S90" i="1"/>
  <c r="T90" i="1" s="1"/>
  <c r="U90" i="1"/>
  <c r="S16" i="1"/>
  <c r="T16" i="1" s="1"/>
  <c r="U16" i="1"/>
  <c r="S143" i="1"/>
  <c r="T143" i="1" s="1"/>
  <c r="U143" i="1"/>
  <c r="S138" i="1"/>
  <c r="T138" i="1" s="1"/>
  <c r="U138" i="1"/>
  <c r="S124" i="1"/>
  <c r="T124" i="1" s="1"/>
  <c r="U124" i="1"/>
  <c r="S34" i="1"/>
  <c r="T34" i="1" s="1"/>
  <c r="U34" i="1"/>
  <c r="S27" i="1"/>
  <c r="T27" i="1" s="1"/>
  <c r="U27" i="1"/>
  <c r="S205" i="1"/>
  <c r="T205" i="1" s="1"/>
  <c r="U205" i="1"/>
  <c r="S306" i="1"/>
  <c r="T306" i="1" s="1"/>
  <c r="U306" i="1"/>
  <c r="S55" i="1"/>
  <c r="T55" i="1" s="1"/>
  <c r="U55" i="1"/>
  <c r="S115" i="1"/>
  <c r="T115" i="1" s="1"/>
  <c r="U115" i="1"/>
  <c r="S18" i="1"/>
  <c r="T18" i="1" s="1"/>
  <c r="U18" i="1"/>
  <c r="S266" i="1"/>
  <c r="T266" i="1" s="1"/>
  <c r="U266" i="1"/>
  <c r="S9" i="1"/>
  <c r="T9" i="1" s="1"/>
  <c r="U9" i="1"/>
  <c r="S131" i="1"/>
  <c r="T131" i="1" s="1"/>
  <c r="U131" i="1"/>
  <c r="S107" i="1"/>
  <c r="T107" i="1" s="1"/>
  <c r="U107" i="1"/>
  <c r="S199" i="1"/>
  <c r="T199" i="1" s="1"/>
  <c r="U199" i="1"/>
  <c r="S20" i="1"/>
  <c r="T20" i="1" s="1"/>
  <c r="U20" i="1"/>
  <c r="S65" i="1"/>
  <c r="T65" i="1" s="1"/>
  <c r="U65" i="1"/>
  <c r="S15" i="1"/>
  <c r="T15" i="1" s="1"/>
  <c r="U15" i="1"/>
  <c r="S192" i="1"/>
  <c r="T192" i="1" s="1"/>
  <c r="U192" i="1"/>
  <c r="S188" i="1"/>
  <c r="T188" i="1" s="1"/>
  <c r="U188" i="1"/>
  <c r="S184" i="1"/>
  <c r="T184" i="1" s="1"/>
  <c r="U184" i="1"/>
  <c r="S238" i="1"/>
  <c r="T238" i="1" s="1"/>
  <c r="U238" i="1"/>
  <c r="S79" i="1"/>
  <c r="T79" i="1" s="1"/>
  <c r="U79" i="1"/>
  <c r="S53" i="1"/>
  <c r="T53" i="1" s="1"/>
  <c r="U53" i="1"/>
  <c r="S191" i="1"/>
  <c r="T191" i="1" s="1"/>
  <c r="U191" i="1"/>
  <c r="S47" i="1"/>
  <c r="T47" i="1" s="1"/>
  <c r="U47" i="1"/>
  <c r="S284" i="1"/>
  <c r="T284" i="1" s="1"/>
  <c r="U284" i="1"/>
  <c r="S76" i="1"/>
  <c r="T76" i="1" s="1"/>
  <c r="U76" i="1"/>
  <c r="S147" i="1"/>
  <c r="T147" i="1" s="1"/>
  <c r="U147" i="1"/>
  <c r="S177" i="1"/>
  <c r="T177" i="1" s="1"/>
  <c r="U177" i="1"/>
  <c r="S313" i="1"/>
  <c r="T313" i="1" s="1"/>
  <c r="U313" i="1"/>
  <c r="S170" i="1"/>
  <c r="T170" i="1" s="1"/>
  <c r="U170" i="1"/>
  <c r="S134" i="1"/>
  <c r="T134" i="1" s="1"/>
  <c r="U134" i="1"/>
  <c r="S75" i="1"/>
  <c r="T75" i="1" s="1"/>
  <c r="U75" i="1"/>
  <c r="S224" i="1"/>
  <c r="T224" i="1" s="1"/>
  <c r="U224" i="1"/>
  <c r="S223" i="1"/>
  <c r="T223" i="1" s="1"/>
  <c r="U223" i="1"/>
  <c r="S300" i="1"/>
  <c r="T300" i="1" s="1"/>
  <c r="U300" i="1"/>
  <c r="S187" i="1"/>
  <c r="T187" i="1" s="1"/>
  <c r="U187" i="1"/>
  <c r="S227" i="1"/>
  <c r="T227" i="1" s="1"/>
  <c r="U227" i="1"/>
  <c r="S161" i="1"/>
  <c r="T161" i="1" s="1"/>
  <c r="U161" i="1"/>
  <c r="S182" i="1"/>
  <c r="T182" i="1" s="1"/>
  <c r="U182" i="1"/>
  <c r="S93" i="1"/>
  <c r="T93" i="1" s="1"/>
  <c r="U93" i="1"/>
  <c r="S113" i="1"/>
  <c r="T113" i="1" s="1"/>
  <c r="U113" i="1"/>
  <c r="S35" i="1"/>
  <c r="T35" i="1" s="1"/>
  <c r="U35" i="1"/>
  <c r="S119" i="1"/>
  <c r="T119" i="1" s="1"/>
  <c r="U119" i="1"/>
  <c r="S104" i="1"/>
  <c r="T104" i="1" s="1"/>
  <c r="U104" i="1"/>
  <c r="S145" i="1"/>
  <c r="T145" i="1" s="1"/>
  <c r="U145" i="1"/>
  <c r="S263" i="1"/>
  <c r="T263" i="1" s="1"/>
  <c r="U263" i="1"/>
  <c r="S126" i="1"/>
  <c r="T126" i="1" s="1"/>
  <c r="U126" i="1"/>
  <c r="S198" i="1"/>
  <c r="T198" i="1" s="1"/>
  <c r="U198" i="1"/>
  <c r="S311" i="1"/>
  <c r="T311" i="1" s="1"/>
  <c r="U311" i="1"/>
  <c r="S248" i="1"/>
  <c r="T248" i="1" s="1"/>
  <c r="U248" i="1"/>
  <c r="S176" i="1"/>
  <c r="T176" i="1" s="1"/>
  <c r="U176" i="1"/>
  <c r="S196" i="1"/>
  <c r="T196" i="1" s="1"/>
  <c r="U196" i="1"/>
  <c r="S103" i="1"/>
  <c r="T103" i="1" s="1"/>
  <c r="U103" i="1"/>
  <c r="S255" i="1"/>
  <c r="T255" i="1" s="1"/>
  <c r="U255" i="1"/>
  <c r="S172" i="1"/>
  <c r="T172" i="1" s="1"/>
  <c r="U172" i="1"/>
  <c r="S290" i="1"/>
  <c r="T290" i="1" s="1"/>
  <c r="U290" i="1"/>
  <c r="S214" i="1"/>
  <c r="T214" i="1" s="1"/>
  <c r="U214" i="1"/>
  <c r="S127" i="1"/>
  <c r="T127" i="1" s="1"/>
  <c r="U127" i="1"/>
  <c r="S197" i="1"/>
  <c r="T197" i="1" s="1"/>
  <c r="U197" i="1"/>
  <c r="S322" i="1"/>
  <c r="T322" i="1" s="1"/>
  <c r="U322" i="1"/>
  <c r="S14" i="1"/>
  <c r="T14" i="1" s="1"/>
  <c r="U14" i="1"/>
  <c r="S287" i="1"/>
  <c r="T287" i="1" s="1"/>
  <c r="U287" i="1"/>
  <c r="S39" i="1"/>
  <c r="T39" i="1" s="1"/>
  <c r="U39" i="1"/>
  <c r="S219" i="1"/>
  <c r="T219" i="1" s="1"/>
  <c r="U219" i="1"/>
  <c r="S142" i="1"/>
  <c r="T142" i="1" s="1"/>
  <c r="U142" i="1"/>
  <c r="S157" i="1"/>
  <c r="T157" i="1" s="1"/>
  <c r="U157" i="1"/>
  <c r="S310" i="1"/>
  <c r="T310" i="1" s="1"/>
  <c r="U310" i="1"/>
  <c r="S237" i="1"/>
  <c r="T237" i="1" s="1"/>
  <c r="U237" i="1"/>
  <c r="B3" i="11" a="1"/>
  <c r="A3" i="11" a="1"/>
  <c r="L66" i="11" l="1"/>
  <c r="B3" i="11"/>
  <c r="A3" i="11"/>
  <c r="K50" i="11"/>
  <c r="K58" i="11"/>
  <c r="K45" i="11"/>
  <c r="K53" i="11"/>
  <c r="K48" i="11"/>
  <c r="K56" i="11"/>
  <c r="K43" i="11"/>
  <c r="K57" i="11"/>
  <c r="K63" i="11"/>
  <c r="K46" i="11"/>
  <c r="K44" i="11"/>
  <c r="K49" i="11"/>
  <c r="K52" i="11"/>
  <c r="K61" i="11"/>
  <c r="K47" i="11"/>
  <c r="K54" i="11"/>
  <c r="K66" i="11"/>
  <c r="K64" i="11"/>
  <c r="K55" i="11"/>
  <c r="K51" i="11"/>
  <c r="K65" i="11"/>
  <c r="K60" i="11"/>
  <c r="K59" i="11"/>
  <c r="K62" i="11"/>
  <c r="T43" i="11"/>
  <c r="AJ43" i="11"/>
  <c r="AZ43" i="11"/>
  <c r="BP43" i="11"/>
  <c r="CF43" i="11"/>
  <c r="N44" i="11"/>
  <c r="AD44" i="11"/>
  <c r="AT44" i="11"/>
  <c r="BJ44" i="11"/>
  <c r="BZ44" i="11"/>
  <c r="X45" i="11"/>
  <c r="AN45" i="11"/>
  <c r="BD45" i="11"/>
  <c r="BT45" i="11"/>
  <c r="CJ45" i="11"/>
  <c r="R46" i="11"/>
  <c r="AH46" i="11"/>
  <c r="AX46" i="11"/>
  <c r="BN46" i="11"/>
  <c r="CD46" i="11"/>
  <c r="L47" i="11"/>
  <c r="AB47" i="11"/>
  <c r="AR47" i="11"/>
  <c r="BH47" i="11"/>
  <c r="BX47" i="11"/>
  <c r="V48" i="11"/>
  <c r="AL48" i="11"/>
  <c r="BB48" i="11"/>
  <c r="BR48" i="11"/>
  <c r="CH48" i="11"/>
  <c r="P49" i="11"/>
  <c r="AF49" i="11"/>
  <c r="AV49" i="11"/>
  <c r="BL49" i="11"/>
  <c r="CB49" i="11"/>
  <c r="Z50" i="11"/>
  <c r="AP50" i="11"/>
  <c r="BF50" i="11"/>
  <c r="BV50" i="11"/>
  <c r="T51" i="11"/>
  <c r="AJ51" i="11"/>
  <c r="AZ51" i="11"/>
  <c r="BP51" i="11"/>
  <c r="CF51" i="11"/>
  <c r="N52" i="11"/>
  <c r="AD52" i="11"/>
  <c r="AT52" i="11"/>
  <c r="BJ52" i="11"/>
  <c r="BZ52" i="11"/>
  <c r="X53" i="11"/>
  <c r="AN53" i="11"/>
  <c r="BD53" i="11"/>
  <c r="BT53" i="11"/>
  <c r="CJ53" i="11"/>
  <c r="R54" i="11"/>
  <c r="AH54" i="11"/>
  <c r="AX54" i="11"/>
  <c r="BN54" i="11"/>
  <c r="CD54" i="11"/>
  <c r="L55" i="11"/>
  <c r="AB55" i="11"/>
  <c r="AR55" i="11"/>
  <c r="BH55" i="11"/>
  <c r="BX55" i="11"/>
  <c r="V56" i="11"/>
  <c r="AL56" i="11"/>
  <c r="BB56" i="11"/>
  <c r="BR56" i="11"/>
  <c r="CH56" i="11"/>
  <c r="P57" i="11"/>
  <c r="AF57" i="11"/>
  <c r="AV57" i="11"/>
  <c r="BL57" i="11"/>
  <c r="CB57" i="11"/>
  <c r="Z58" i="11"/>
  <c r="AP58" i="11"/>
  <c r="BF58" i="11"/>
  <c r="U43" i="11"/>
  <c r="AK43" i="11"/>
  <c r="BA43" i="11"/>
  <c r="BQ43" i="11"/>
  <c r="CG43" i="11"/>
  <c r="O44" i="11"/>
  <c r="AE44" i="11"/>
  <c r="AU44" i="11"/>
  <c r="BK44" i="11"/>
  <c r="CA44" i="11"/>
  <c r="Y45" i="11"/>
  <c r="AO45" i="11"/>
  <c r="BE45" i="11"/>
  <c r="BU45" i="11"/>
  <c r="CK45" i="11"/>
  <c r="S46" i="11"/>
  <c r="AI46" i="11"/>
  <c r="AY46" i="11"/>
  <c r="BO46" i="11"/>
  <c r="CE46" i="11"/>
  <c r="M47" i="11"/>
  <c r="AC47" i="11"/>
  <c r="AS47" i="11"/>
  <c r="BI47" i="11"/>
  <c r="BY47" i="11"/>
  <c r="W48" i="11"/>
  <c r="AM48" i="11"/>
  <c r="BC48" i="11"/>
  <c r="BS48" i="11"/>
  <c r="CI48" i="11"/>
  <c r="Q49" i="11"/>
  <c r="AG49" i="11"/>
  <c r="AW49" i="11"/>
  <c r="BM49" i="11"/>
  <c r="CC49" i="11"/>
  <c r="AA50" i="11"/>
  <c r="AQ50" i="11"/>
  <c r="BG50" i="11"/>
  <c r="BW50" i="11"/>
  <c r="U51" i="11"/>
  <c r="AK51" i="11"/>
  <c r="BA51" i="11"/>
  <c r="BQ51" i="11"/>
  <c r="CG51" i="11"/>
  <c r="O52" i="11"/>
  <c r="AE52" i="11"/>
  <c r="AU52" i="11"/>
  <c r="BK52" i="11"/>
  <c r="CA52" i="11"/>
  <c r="Y53" i="11"/>
  <c r="AO53" i="11"/>
  <c r="BE53" i="11"/>
  <c r="BU53" i="11"/>
  <c r="CK53" i="11"/>
  <c r="S54" i="11"/>
  <c r="AI54" i="11"/>
  <c r="AY54" i="11"/>
  <c r="BO54" i="11"/>
  <c r="CE54" i="11"/>
  <c r="M55" i="11"/>
  <c r="AC55" i="11"/>
  <c r="AS55" i="11"/>
  <c r="BI55" i="11"/>
  <c r="BY55" i="11"/>
  <c r="W56" i="11"/>
  <c r="AM56" i="11"/>
  <c r="BC56" i="11"/>
  <c r="BS56" i="11"/>
  <c r="CI56" i="11"/>
  <c r="Q57" i="11"/>
  <c r="AG57" i="11"/>
  <c r="AW57" i="11"/>
  <c r="BM57" i="11"/>
  <c r="CC57" i="11"/>
  <c r="AA58" i="11"/>
  <c r="AQ58" i="11"/>
  <c r="BG58" i="11"/>
  <c r="V43" i="11"/>
  <c r="AL43" i="11"/>
  <c r="BB43" i="11"/>
  <c r="BR43" i="11"/>
  <c r="CH43" i="11"/>
  <c r="P44" i="11"/>
  <c r="AF44" i="11"/>
  <c r="AV44" i="11"/>
  <c r="BL44" i="11"/>
  <c r="CB44" i="11"/>
  <c r="Z45" i="11"/>
  <c r="AP45" i="11"/>
  <c r="BF45" i="11"/>
  <c r="BV45" i="11"/>
  <c r="T46" i="11"/>
  <c r="AJ46" i="11"/>
  <c r="AZ46" i="11"/>
  <c r="BP46" i="11"/>
  <c r="CF46" i="11"/>
  <c r="N47" i="11"/>
  <c r="AD47" i="11"/>
  <c r="AT47" i="11"/>
  <c r="BJ47" i="11"/>
  <c r="BZ47" i="11"/>
  <c r="X48" i="11"/>
  <c r="AN48" i="11"/>
  <c r="BD48" i="11"/>
  <c r="BT48" i="11"/>
  <c r="CJ48" i="11"/>
  <c r="R49" i="11"/>
  <c r="AH49" i="11"/>
  <c r="AX49" i="11"/>
  <c r="BN49" i="11"/>
  <c r="CD49" i="11"/>
  <c r="L50" i="11"/>
  <c r="AB50" i="11"/>
  <c r="AR50" i="11"/>
  <c r="BH50" i="11"/>
  <c r="BX50" i="11"/>
  <c r="V51" i="11"/>
  <c r="AL51" i="11"/>
  <c r="BB51" i="11"/>
  <c r="BR51" i="11"/>
  <c r="CH51" i="11"/>
  <c r="P52" i="11"/>
  <c r="AF52" i="11"/>
  <c r="AV52" i="11"/>
  <c r="BL52" i="11"/>
  <c r="CB52" i="11"/>
  <c r="Z53" i="11"/>
  <c r="AP53" i="11"/>
  <c r="BF53" i="11"/>
  <c r="BV53" i="11"/>
  <c r="T54" i="11"/>
  <c r="AJ54" i="11"/>
  <c r="AZ54" i="11"/>
  <c r="BP54" i="11"/>
  <c r="CF54" i="11"/>
  <c r="N55" i="11"/>
  <c r="AD55" i="11"/>
  <c r="AT55" i="11"/>
  <c r="BJ55" i="11"/>
  <c r="BZ55" i="11"/>
  <c r="X56" i="11"/>
  <c r="AN56" i="11"/>
  <c r="BD56" i="11"/>
  <c r="BT56" i="11"/>
  <c r="CJ56" i="11"/>
  <c r="W43" i="11"/>
  <c r="AM43" i="11"/>
  <c r="BC43" i="11"/>
  <c r="BS43" i="11"/>
  <c r="CI43" i="11"/>
  <c r="Q44" i="11"/>
  <c r="AG44" i="11"/>
  <c r="AW44" i="11"/>
  <c r="BM44" i="11"/>
  <c r="CC44" i="11"/>
  <c r="AA45" i="11"/>
  <c r="AQ45" i="11"/>
  <c r="BG45" i="11"/>
  <c r="BW45" i="11"/>
  <c r="U46" i="11"/>
  <c r="AK46" i="11"/>
  <c r="BA46" i="11"/>
  <c r="BQ46" i="11"/>
  <c r="CG46" i="11"/>
  <c r="O47" i="11"/>
  <c r="AE47" i="11"/>
  <c r="AU47" i="11"/>
  <c r="BK47" i="11"/>
  <c r="CA47" i="11"/>
  <c r="Y48" i="11"/>
  <c r="AO48" i="11"/>
  <c r="BE48" i="11"/>
  <c r="BU48" i="11"/>
  <c r="CK48" i="11"/>
  <c r="S49" i="11"/>
  <c r="AI49" i="11"/>
  <c r="AY49" i="11"/>
  <c r="BO49" i="11"/>
  <c r="CE49" i="11"/>
  <c r="M50" i="11"/>
  <c r="AC50" i="11"/>
  <c r="AS50" i="11"/>
  <c r="BI50" i="11"/>
  <c r="BY50" i="11"/>
  <c r="W51" i="11"/>
  <c r="AM51" i="11"/>
  <c r="BC51" i="11"/>
  <c r="BS51" i="11"/>
  <c r="CI51" i="11"/>
  <c r="Q52" i="11"/>
  <c r="AG52" i="11"/>
  <c r="AW52" i="11"/>
  <c r="BM52" i="11"/>
  <c r="CC52" i="11"/>
  <c r="AA53" i="11"/>
  <c r="AQ53" i="11"/>
  <c r="BG53" i="11"/>
  <c r="BW53" i="11"/>
  <c r="U54" i="11"/>
  <c r="AK54" i="11"/>
  <c r="BA54" i="11"/>
  <c r="BQ54" i="11"/>
  <c r="CG54" i="11"/>
  <c r="O55" i="11"/>
  <c r="AE55" i="11"/>
  <c r="AU55" i="11"/>
  <c r="BK55" i="11"/>
  <c r="CA55" i="11"/>
  <c r="Y56" i="11"/>
  <c r="AO56" i="11"/>
  <c r="BE56" i="11"/>
  <c r="BU56" i="11"/>
  <c r="CK56" i="11"/>
  <c r="S57" i="11"/>
  <c r="AI57" i="11"/>
  <c r="AY57" i="11"/>
  <c r="BO57" i="11"/>
  <c r="CE57" i="11"/>
  <c r="M58" i="11"/>
  <c r="AC58" i="11"/>
  <c r="AS58" i="11"/>
  <c r="BI58" i="11"/>
  <c r="X43" i="11"/>
  <c r="AN43" i="11"/>
  <c r="BD43" i="11"/>
  <c r="BT43" i="11"/>
  <c r="CJ43" i="11"/>
  <c r="R44" i="11"/>
  <c r="AH44" i="11"/>
  <c r="AX44" i="11"/>
  <c r="BN44" i="11"/>
  <c r="CD44" i="11"/>
  <c r="L45" i="11"/>
  <c r="AB45" i="11"/>
  <c r="AR45" i="11"/>
  <c r="BH45" i="11"/>
  <c r="BX45" i="11"/>
  <c r="V46" i="11"/>
  <c r="AL46" i="11"/>
  <c r="BB46" i="11"/>
  <c r="BR46" i="11"/>
  <c r="CH46" i="11"/>
  <c r="P47" i="11"/>
  <c r="AF47" i="11"/>
  <c r="AV47" i="11"/>
  <c r="BL47" i="11"/>
  <c r="CB47" i="11"/>
  <c r="Z48" i="11"/>
  <c r="AP48" i="11"/>
  <c r="BF48" i="11"/>
  <c r="BV48" i="11"/>
  <c r="T49" i="11"/>
  <c r="AJ49" i="11"/>
  <c r="AZ49" i="11"/>
  <c r="BP49" i="11"/>
  <c r="CF49" i="11"/>
  <c r="N50" i="11"/>
  <c r="AD50" i="11"/>
  <c r="AT50" i="11"/>
  <c r="BJ50" i="11"/>
  <c r="BZ50" i="11"/>
  <c r="X51" i="11"/>
  <c r="AN51" i="11"/>
  <c r="BD51" i="11"/>
  <c r="BT51" i="11"/>
  <c r="CJ51" i="11"/>
  <c r="R52" i="11"/>
  <c r="AH52" i="11"/>
  <c r="AX52" i="11"/>
  <c r="BN52" i="11"/>
  <c r="CD52" i="11"/>
  <c r="L53" i="11"/>
  <c r="AB53" i="11"/>
  <c r="AR53" i="11"/>
  <c r="BH53" i="11"/>
  <c r="BX53" i="11"/>
  <c r="V54" i="11"/>
  <c r="AL54" i="11"/>
  <c r="BB54" i="11"/>
  <c r="BR54" i="11"/>
  <c r="CH54" i="11"/>
  <c r="P55" i="11"/>
  <c r="AF55" i="11"/>
  <c r="AV55" i="11"/>
  <c r="BL55" i="11"/>
  <c r="CB55" i="11"/>
  <c r="Z56" i="11"/>
  <c r="AP56" i="11"/>
  <c r="BF56" i="11"/>
  <c r="BV56" i="11"/>
  <c r="Y43" i="11"/>
  <c r="AO43" i="11"/>
  <c r="BE43" i="11"/>
  <c r="BU43" i="11"/>
  <c r="CK43" i="11"/>
  <c r="S44" i="11"/>
  <c r="AI44" i="11"/>
  <c r="AY44" i="11"/>
  <c r="BO44" i="11"/>
  <c r="CE44" i="11"/>
  <c r="M45" i="11"/>
  <c r="AC45" i="11"/>
  <c r="AS45" i="11"/>
  <c r="BI45" i="11"/>
  <c r="BY45" i="11"/>
  <c r="W46" i="11"/>
  <c r="AM46" i="11"/>
  <c r="BC46" i="11"/>
  <c r="BS46" i="11"/>
  <c r="CI46" i="11"/>
  <c r="Q47" i="11"/>
  <c r="AG47" i="11"/>
  <c r="AW47" i="11"/>
  <c r="BM47" i="11"/>
  <c r="CC47" i="11"/>
  <c r="AA48" i="11"/>
  <c r="AQ48" i="11"/>
  <c r="BG48" i="11"/>
  <c r="BW48" i="11"/>
  <c r="U49" i="11"/>
  <c r="AK49" i="11"/>
  <c r="BA49" i="11"/>
  <c r="BQ49" i="11"/>
  <c r="CG49" i="11"/>
  <c r="O50" i="11"/>
  <c r="AE50" i="11"/>
  <c r="AU50" i="11"/>
  <c r="BK50" i="11"/>
  <c r="CA50" i="11"/>
  <c r="Y51" i="11"/>
  <c r="AO51" i="11"/>
  <c r="BE51" i="11"/>
  <c r="BU51" i="11"/>
  <c r="CK51" i="11"/>
  <c r="S52" i="11"/>
  <c r="AI52" i="11"/>
  <c r="AY52" i="11"/>
  <c r="BO52" i="11"/>
  <c r="CE52" i="11"/>
  <c r="M53" i="11"/>
  <c r="AC53" i="11"/>
  <c r="AS53" i="11"/>
  <c r="BI53" i="11"/>
  <c r="BY53" i="11"/>
  <c r="W54" i="11"/>
  <c r="AM54" i="11"/>
  <c r="BC54" i="11"/>
  <c r="BS54" i="11"/>
  <c r="CI54" i="11"/>
  <c r="Q55" i="11"/>
  <c r="AG55" i="11"/>
  <c r="AW55" i="11"/>
  <c r="BM55" i="11"/>
  <c r="CC55" i="11"/>
  <c r="AA56" i="11"/>
  <c r="AQ56" i="11"/>
  <c r="BG56" i="11"/>
  <c r="BW56" i="11"/>
  <c r="U57" i="11"/>
  <c r="AK57" i="11"/>
  <c r="BA57" i="11"/>
  <c r="BQ57" i="11"/>
  <c r="CG57" i="11"/>
  <c r="O58" i="11"/>
  <c r="AE58" i="11"/>
  <c r="AU58" i="11"/>
  <c r="BK58" i="11"/>
  <c r="Z43" i="11"/>
  <c r="AP43" i="11"/>
  <c r="BF43" i="11"/>
  <c r="BV43" i="11"/>
  <c r="T44" i="11"/>
  <c r="AJ44" i="11"/>
  <c r="AZ44" i="11"/>
  <c r="BP44" i="11"/>
  <c r="CF44" i="11"/>
  <c r="N45" i="11"/>
  <c r="AD45" i="11"/>
  <c r="AT45" i="11"/>
  <c r="BJ45" i="11"/>
  <c r="BZ45" i="11"/>
  <c r="X46" i="11"/>
  <c r="AN46" i="11"/>
  <c r="BD46" i="11"/>
  <c r="BT46" i="11"/>
  <c r="CJ46" i="11"/>
  <c r="R47" i="11"/>
  <c r="AH47" i="11"/>
  <c r="AX47" i="11"/>
  <c r="BN47" i="11"/>
  <c r="CD47" i="11"/>
  <c r="L48" i="11"/>
  <c r="AB48" i="11"/>
  <c r="AR48" i="11"/>
  <c r="BH48" i="11"/>
  <c r="BX48" i="11"/>
  <c r="V49" i="11"/>
  <c r="AL49" i="11"/>
  <c r="AH43" i="11"/>
  <c r="BL43" i="11"/>
  <c r="AL44" i="11"/>
  <c r="BI44" i="11"/>
  <c r="AI45" i="11"/>
  <c r="BM45" i="11"/>
  <c r="AF46" i="11"/>
  <c r="BJ46" i="11"/>
  <c r="AJ47" i="11"/>
  <c r="BG47" i="11"/>
  <c r="CK47" i="11"/>
  <c r="AG48" i="11"/>
  <c r="BK48" i="11"/>
  <c r="AD49" i="11"/>
  <c r="BG49" i="11"/>
  <c r="CI49" i="11"/>
  <c r="W50" i="11"/>
  <c r="AY50" i="11"/>
  <c r="BU50" i="11"/>
  <c r="O51" i="11"/>
  <c r="AQ51" i="11"/>
  <c r="BM51" i="11"/>
  <c r="AC52" i="11"/>
  <c r="BE52" i="11"/>
  <c r="CG52" i="11"/>
  <c r="U53" i="11"/>
  <c r="AW53" i="11"/>
  <c r="BS53" i="11"/>
  <c r="M54" i="11"/>
  <c r="AO54" i="11"/>
  <c r="BK54" i="11"/>
  <c r="AA55" i="11"/>
  <c r="BC55" i="11"/>
  <c r="CE55" i="11"/>
  <c r="S56" i="11"/>
  <c r="AU56" i="11"/>
  <c r="BQ56" i="11"/>
  <c r="AE57" i="11"/>
  <c r="BC57" i="11"/>
  <c r="BW57" i="11"/>
  <c r="AG58" i="11"/>
  <c r="BA58" i="11"/>
  <c r="BU58" i="11"/>
  <c r="CK58" i="11"/>
  <c r="S59" i="11"/>
  <c r="AI59" i="11"/>
  <c r="AY59" i="11"/>
  <c r="BO59" i="11"/>
  <c r="CE59" i="11"/>
  <c r="M60" i="11"/>
  <c r="AC60" i="11"/>
  <c r="AS60" i="11"/>
  <c r="BI60" i="11"/>
  <c r="BY60" i="11"/>
  <c r="W61" i="11"/>
  <c r="AM61" i="11"/>
  <c r="BC61" i="11"/>
  <c r="BS61" i="11"/>
  <c r="CI61" i="11"/>
  <c r="Q62" i="11"/>
  <c r="AG62" i="11"/>
  <c r="AW62" i="11"/>
  <c r="BM62" i="11"/>
  <c r="CC62" i="11"/>
  <c r="AA63" i="11"/>
  <c r="AQ63" i="11"/>
  <c r="BG63" i="11"/>
  <c r="BW63" i="11"/>
  <c r="U64" i="11"/>
  <c r="AK64" i="11"/>
  <c r="BA64" i="11"/>
  <c r="BQ64" i="11"/>
  <c r="CG64" i="11"/>
  <c r="L43" i="11"/>
  <c r="AI43" i="11"/>
  <c r="BM43" i="11"/>
  <c r="AM44" i="11"/>
  <c r="BQ44" i="11"/>
  <c r="AJ45" i="11"/>
  <c r="BN45" i="11"/>
  <c r="AG46" i="11"/>
  <c r="BK46" i="11"/>
  <c r="AK47" i="11"/>
  <c r="BO47" i="11"/>
  <c r="AH48" i="11"/>
  <c r="BL48" i="11"/>
  <c r="AE49" i="11"/>
  <c r="BH49" i="11"/>
  <c r="CJ49" i="11"/>
  <c r="X50" i="11"/>
  <c r="AZ50" i="11"/>
  <c r="CB50" i="11"/>
  <c r="P51" i="11"/>
  <c r="AR51" i="11"/>
  <c r="BN51" i="11"/>
  <c r="AJ52" i="11"/>
  <c r="BF52" i="11"/>
  <c r="CH52" i="11"/>
  <c r="V53" i="11"/>
  <c r="AX53" i="11"/>
  <c r="BZ53" i="11"/>
  <c r="N54" i="11"/>
  <c r="AP54" i="11"/>
  <c r="BL54" i="11"/>
  <c r="AH55" i="11"/>
  <c r="BD55" i="11"/>
  <c r="CF55" i="11"/>
  <c r="T56" i="11"/>
  <c r="AV56" i="11"/>
  <c r="BX56" i="11"/>
  <c r="L57" i="11"/>
  <c r="AH57" i="11"/>
  <c r="BD57" i="11"/>
  <c r="BX57" i="11"/>
  <c r="L58" i="11"/>
  <c r="AH58" i="11"/>
  <c r="BB58" i="11"/>
  <c r="BV58" i="11"/>
  <c r="M43" i="11"/>
  <c r="AQ43" i="11"/>
  <c r="BN43" i="11"/>
  <c r="AN44" i="11"/>
  <c r="BR44" i="11"/>
  <c r="AK45" i="11"/>
  <c r="BO45" i="11"/>
  <c r="AO46" i="11"/>
  <c r="BL46" i="11"/>
  <c r="AL47" i="11"/>
  <c r="BP47" i="11"/>
  <c r="AI48" i="11"/>
  <c r="BM48" i="11"/>
  <c r="AM49" i="11"/>
  <c r="BI49" i="11"/>
  <c r="CK49" i="11"/>
  <c r="Y50" i="11"/>
  <c r="BA50" i="11"/>
  <c r="CC50" i="11"/>
  <c r="Q51" i="11"/>
  <c r="AS51" i="11"/>
  <c r="BO51" i="11"/>
  <c r="AK52" i="11"/>
  <c r="BG52" i="11"/>
  <c r="CI52" i="11"/>
  <c r="W53" i="11"/>
  <c r="AY53" i="11"/>
  <c r="CA53" i="11"/>
  <c r="O54" i="11"/>
  <c r="AQ54" i="11"/>
  <c r="BM54" i="11"/>
  <c r="AI55" i="11"/>
  <c r="BE55" i="11"/>
  <c r="CG55" i="11"/>
  <c r="U56" i="11"/>
  <c r="AW56" i="11"/>
  <c r="BY56" i="11"/>
  <c r="M57" i="11"/>
  <c r="AJ57" i="11"/>
  <c r="BE57" i="11"/>
  <c r="BY57" i="11"/>
  <c r="N58" i="11"/>
  <c r="AI58" i="11"/>
  <c r="BC58" i="11"/>
  <c r="BW58" i="11"/>
  <c r="U59" i="11"/>
  <c r="AK59" i="11"/>
  <c r="BA59" i="11"/>
  <c r="BQ59" i="11"/>
  <c r="CG59" i="11"/>
  <c r="O60" i="11"/>
  <c r="AE60" i="11"/>
  <c r="AU60" i="11"/>
  <c r="BK60" i="11"/>
  <c r="CA60" i="11"/>
  <c r="Y61" i="11"/>
  <c r="AO61" i="11"/>
  <c r="BE61" i="11"/>
  <c r="BU61" i="11"/>
  <c r="CK61" i="11"/>
  <c r="S62" i="11"/>
  <c r="AI62" i="11"/>
  <c r="AY62" i="11"/>
  <c r="BO62" i="11"/>
  <c r="CE62" i="11"/>
  <c r="M63" i="11"/>
  <c r="AC63" i="11"/>
  <c r="AS63" i="11"/>
  <c r="BI63" i="11"/>
  <c r="BY63" i="11"/>
  <c r="W64" i="11"/>
  <c r="AM64" i="11"/>
  <c r="BC64" i="11"/>
  <c r="BS64" i="11"/>
  <c r="N43" i="11"/>
  <c r="AR43" i="11"/>
  <c r="BO43" i="11"/>
  <c r="AO44" i="11"/>
  <c r="BS44" i="11"/>
  <c r="O45" i="11"/>
  <c r="AL45" i="11"/>
  <c r="BP45" i="11"/>
  <c r="L46" i="11"/>
  <c r="AP46" i="11"/>
  <c r="BM46" i="11"/>
  <c r="AM47" i="11"/>
  <c r="BQ47" i="11"/>
  <c r="M48" i="11"/>
  <c r="AJ48" i="11"/>
  <c r="BN48" i="11"/>
  <c r="AN49" i="11"/>
  <c r="BJ49" i="11"/>
  <c r="AF50" i="11"/>
  <c r="BB50" i="11"/>
  <c r="CD50" i="11"/>
  <c r="R51" i="11"/>
  <c r="AT51" i="11"/>
  <c r="BV51" i="11"/>
  <c r="AL52" i="11"/>
  <c r="BH52" i="11"/>
  <c r="CJ52" i="11"/>
  <c r="AD53" i="11"/>
  <c r="AZ53" i="11"/>
  <c r="CB53" i="11"/>
  <c r="P54" i="11"/>
  <c r="AR54" i="11"/>
  <c r="BT54" i="11"/>
  <c r="AJ55" i="11"/>
  <c r="BF55" i="11"/>
  <c r="CH55" i="11"/>
  <c r="AB56" i="11"/>
  <c r="AX56" i="11"/>
  <c r="BZ56" i="11"/>
  <c r="N57" i="11"/>
  <c r="AL57" i="11"/>
  <c r="BF57" i="11"/>
  <c r="BZ57" i="11"/>
  <c r="P58" i="11"/>
  <c r="AJ58" i="11"/>
  <c r="BD58" i="11"/>
  <c r="BX58" i="11"/>
  <c r="V59" i="11"/>
  <c r="AL59" i="11"/>
  <c r="BB59" i="11"/>
  <c r="BR59" i="11"/>
  <c r="CH59" i="11"/>
  <c r="P60" i="11"/>
  <c r="AF60" i="11"/>
  <c r="O43" i="11"/>
  <c r="AS43" i="11"/>
  <c r="BW43" i="11"/>
  <c r="L44" i="11"/>
  <c r="AP44" i="11"/>
  <c r="BT44" i="11"/>
  <c r="P45" i="11"/>
  <c r="AM45" i="11"/>
  <c r="BQ45" i="11"/>
  <c r="M46" i="11"/>
  <c r="AQ46" i="11"/>
  <c r="BU46" i="11"/>
  <c r="AN47" i="11"/>
  <c r="BR47" i="11"/>
  <c r="N48" i="11"/>
  <c r="AK48" i="11"/>
  <c r="BO48" i="11"/>
  <c r="AO49" i="11"/>
  <c r="BK49" i="11"/>
  <c r="AG50" i="11"/>
  <c r="BC50" i="11"/>
  <c r="CE50" i="11"/>
  <c r="S51" i="11"/>
  <c r="AU51" i="11"/>
  <c r="BW51" i="11"/>
  <c r="AM52" i="11"/>
  <c r="BI52" i="11"/>
  <c r="CK52" i="11"/>
  <c r="AE53" i="11"/>
  <c r="BA53" i="11"/>
  <c r="CC53" i="11"/>
  <c r="Q54" i="11"/>
  <c r="AS54" i="11"/>
  <c r="BU54" i="11"/>
  <c r="AK55" i="11"/>
  <c r="BG55" i="11"/>
  <c r="CI55" i="11"/>
  <c r="AC56" i="11"/>
  <c r="AY56" i="11"/>
  <c r="CA56" i="11"/>
  <c r="O57" i="11"/>
  <c r="AM57" i="11"/>
  <c r="BG57" i="11"/>
  <c r="CA57" i="11"/>
  <c r="Q58" i="11"/>
  <c r="AK58" i="11"/>
  <c r="BE58" i="11"/>
  <c r="BY58" i="11"/>
  <c r="W59" i="11"/>
  <c r="AM59" i="11"/>
  <c r="BC59" i="11"/>
  <c r="BS59" i="11"/>
  <c r="CI59" i="11"/>
  <c r="Q60" i="11"/>
  <c r="AG60" i="11"/>
  <c r="AW60" i="11"/>
  <c r="BM60" i="11"/>
  <c r="CC60" i="11"/>
  <c r="AA61" i="11"/>
  <c r="AQ61" i="11"/>
  <c r="BG61" i="11"/>
  <c r="BW61" i="11"/>
  <c r="U62" i="11"/>
  <c r="AK62" i="11"/>
  <c r="BA62" i="11"/>
  <c r="BQ62" i="11"/>
  <c r="CG62" i="11"/>
  <c r="O63" i="11"/>
  <c r="AE63" i="11"/>
  <c r="AU63" i="11"/>
  <c r="BK63" i="11"/>
  <c r="CA63" i="11"/>
  <c r="Y64" i="11"/>
  <c r="AO64" i="11"/>
  <c r="BE64" i="11"/>
  <c r="BU64" i="11"/>
  <c r="P43" i="11"/>
  <c r="AT43" i="11"/>
  <c r="BX43" i="11"/>
  <c r="M44" i="11"/>
  <c r="AQ44" i="11"/>
  <c r="BU44" i="11"/>
  <c r="Q45" i="11"/>
  <c r="AU45" i="11"/>
  <c r="BR45" i="11"/>
  <c r="N46" i="11"/>
  <c r="AR46" i="11"/>
  <c r="BV46" i="11"/>
  <c r="AO47" i="11"/>
  <c r="BS47" i="11"/>
  <c r="O48" i="11"/>
  <c r="AS48" i="11"/>
  <c r="BP48" i="11"/>
  <c r="L49" i="11"/>
  <c r="AP49" i="11"/>
  <c r="BR49" i="11"/>
  <c r="AH50" i="11"/>
  <c r="BD50" i="11"/>
  <c r="CF50" i="11"/>
  <c r="Z51" i="11"/>
  <c r="AV51" i="11"/>
  <c r="BX51" i="11"/>
  <c r="L52" i="11"/>
  <c r="AN52" i="11"/>
  <c r="Q43" i="11"/>
  <c r="BH43" i="11"/>
  <c r="W44" i="11"/>
  <c r="BG44" i="11"/>
  <c r="V45" i="11"/>
  <c r="BS45" i="11"/>
  <c r="AB46" i="11"/>
  <c r="BY46" i="11"/>
  <c r="AA47" i="11"/>
  <c r="CE47" i="11"/>
  <c r="AT48" i="11"/>
  <c r="CD48" i="11"/>
  <c r="AS49" i="11"/>
  <c r="CA49" i="11"/>
  <c r="AM50" i="11"/>
  <c r="CG50" i="11"/>
  <c r="AG51" i="11"/>
  <c r="CA51" i="11"/>
  <c r="AA52" i="11"/>
  <c r="BT52" i="11"/>
  <c r="S53" i="11"/>
  <c r="BK53" i="11"/>
  <c r="AV54" i="11"/>
  <c r="CC54" i="11"/>
  <c r="AM55" i="11"/>
  <c r="BT55" i="11"/>
  <c r="AD56" i="11"/>
  <c r="BK56" i="11"/>
  <c r="AR57" i="11"/>
  <c r="BU57" i="11"/>
  <c r="U58" i="11"/>
  <c r="AX58" i="11"/>
  <c r="CB58" i="11"/>
  <c r="O59" i="11"/>
  <c r="AJ59" i="11"/>
  <c r="BG59" i="11"/>
  <c r="CA59" i="11"/>
  <c r="N60" i="11"/>
  <c r="AK60" i="11"/>
  <c r="BD60" i="11"/>
  <c r="BW60" i="11"/>
  <c r="AD61" i="11"/>
  <c r="AW61" i="11"/>
  <c r="BP61" i="11"/>
  <c r="CJ61" i="11"/>
  <c r="W62" i="11"/>
  <c r="AP62" i="11"/>
  <c r="BI62" i="11"/>
  <c r="CB62" i="11"/>
  <c r="P63" i="11"/>
  <c r="AI63" i="11"/>
  <c r="BB63" i="11"/>
  <c r="BU63" i="11"/>
  <c r="AB64" i="11"/>
  <c r="AU64" i="11"/>
  <c r="BN64" i="11"/>
  <c r="CH64" i="11"/>
  <c r="P65" i="11"/>
  <c r="AF65" i="11"/>
  <c r="AV65" i="11"/>
  <c r="BL65" i="11"/>
  <c r="CB65" i="11"/>
  <c r="Z66" i="11"/>
  <c r="AP66" i="11"/>
  <c r="BF66" i="11"/>
  <c r="BV66" i="11"/>
  <c r="R43" i="11"/>
  <c r="BI43" i="11"/>
  <c r="X44" i="11"/>
  <c r="BH44" i="11"/>
  <c r="W45" i="11"/>
  <c r="CA45" i="11"/>
  <c r="AC46" i="11"/>
  <c r="BZ46" i="11"/>
  <c r="AI47" i="11"/>
  <c r="CF47" i="11"/>
  <c r="AU48" i="11"/>
  <c r="CE48" i="11"/>
  <c r="AT49" i="11"/>
  <c r="CH49" i="11"/>
  <c r="AN50" i="11"/>
  <c r="CH50" i="11"/>
  <c r="AH51" i="11"/>
  <c r="CB51" i="11"/>
  <c r="AB52" i="11"/>
  <c r="BU52" i="11"/>
  <c r="T53" i="11"/>
  <c r="BL53" i="11"/>
  <c r="AW54" i="11"/>
  <c r="CJ54" i="11"/>
  <c r="AN55" i="11"/>
  <c r="BU55" i="11"/>
  <c r="AE56" i="11"/>
  <c r="BL56" i="11"/>
  <c r="R57" i="11"/>
  <c r="AS57" i="11"/>
  <c r="BV57" i="11"/>
  <c r="V58" i="11"/>
  <c r="AY58" i="11"/>
  <c r="CC58" i="11"/>
  <c r="P59" i="11"/>
  <c r="AN59" i="11"/>
  <c r="BH59" i="11"/>
  <c r="CB59" i="11"/>
  <c r="R60" i="11"/>
  <c r="AL60" i="11"/>
  <c r="BE60" i="11"/>
  <c r="BX60" i="11"/>
  <c r="L61" i="11"/>
  <c r="AE61" i="11"/>
  <c r="AX61" i="11"/>
  <c r="BQ61" i="11"/>
  <c r="X62" i="11"/>
  <c r="AQ62" i="11"/>
  <c r="BJ62" i="11"/>
  <c r="CD62" i="11"/>
  <c r="Q63" i="11"/>
  <c r="AJ63" i="11"/>
  <c r="BC63" i="11"/>
  <c r="BV63" i="11"/>
  <c r="AC64" i="11"/>
  <c r="AV64" i="11"/>
  <c r="BO64" i="11"/>
  <c r="CI64" i="11"/>
  <c r="Q65" i="11"/>
  <c r="AG65" i="11"/>
  <c r="AW65" i="11"/>
  <c r="BM65" i="11"/>
  <c r="CC65" i="11"/>
  <c r="AA66" i="11"/>
  <c r="AQ66" i="11"/>
  <c r="BG66" i="11"/>
  <c r="BW66" i="11"/>
  <c r="S43" i="11"/>
  <c r="BJ43" i="11"/>
  <c r="Y44" i="11"/>
  <c r="BV44" i="11"/>
  <c r="AE45" i="11"/>
  <c r="CB45" i="11"/>
  <c r="AD46" i="11"/>
  <c r="CA46" i="11"/>
  <c r="AP47" i="11"/>
  <c r="CG47" i="11"/>
  <c r="AV48" i="11"/>
  <c r="CF48" i="11"/>
  <c r="AU49" i="11"/>
  <c r="AO50" i="11"/>
  <c r="CI50" i="11"/>
  <c r="AI51" i="11"/>
  <c r="CC51" i="11"/>
  <c r="AO52" i="11"/>
  <c r="BV52" i="11"/>
  <c r="AF53" i="11"/>
  <c r="BM53" i="11"/>
  <c r="L54" i="11"/>
  <c r="BD54" i="11"/>
  <c r="CK54" i="11"/>
  <c r="AO55" i="11"/>
  <c r="BV55" i="11"/>
  <c r="AF56" i="11"/>
  <c r="BM56" i="11"/>
  <c r="T57" i="11"/>
  <c r="AT57" i="11"/>
  <c r="CD57" i="11"/>
  <c r="W58" i="11"/>
  <c r="AZ58" i="11"/>
  <c r="CD58" i="11"/>
  <c r="Q59" i="11"/>
  <c r="AO59" i="11"/>
  <c r="BI59" i="11"/>
  <c r="CC59" i="11"/>
  <c r="S60" i="11"/>
  <c r="AM60" i="11"/>
  <c r="BF60" i="11"/>
  <c r="BZ60" i="11"/>
  <c r="M61" i="11"/>
  <c r="AF61" i="11"/>
  <c r="AY61" i="11"/>
  <c r="BR61" i="11"/>
  <c r="Y62" i="11"/>
  <c r="AR62" i="11"/>
  <c r="BK62" i="11"/>
  <c r="CF62" i="11"/>
  <c r="R63" i="11"/>
  <c r="AK63" i="11"/>
  <c r="BD63" i="11"/>
  <c r="BX63" i="11"/>
  <c r="AD64" i="11"/>
  <c r="AW64" i="11"/>
  <c r="BP64" i="11"/>
  <c r="CJ64" i="11"/>
  <c r="R65" i="11"/>
  <c r="AH65" i="11"/>
  <c r="AX65" i="11"/>
  <c r="BN65" i="11"/>
  <c r="CD65" i="11"/>
  <c r="AB66" i="11"/>
  <c r="AR66" i="11"/>
  <c r="BH66" i="11"/>
  <c r="BX66" i="11"/>
  <c r="AA43" i="11"/>
  <c r="BK43" i="11"/>
  <c r="Z44" i="11"/>
  <c r="BW44" i="11"/>
  <c r="AF45" i="11"/>
  <c r="CC45" i="11"/>
  <c r="AE46" i="11"/>
  <c r="CB46" i="11"/>
  <c r="AQ47" i="11"/>
  <c r="CH47" i="11"/>
  <c r="AW48" i="11"/>
  <c r="CG48" i="11"/>
  <c r="BB49" i="11"/>
  <c r="AV50" i="11"/>
  <c r="CJ50" i="11"/>
  <c r="AP51" i="11"/>
  <c r="CD51" i="11"/>
  <c r="AP52" i="11"/>
  <c r="BW52" i="11"/>
  <c r="AG53" i="11"/>
  <c r="BN53" i="11"/>
  <c r="X54" i="11"/>
  <c r="BE54" i="11"/>
  <c r="AP55" i="11"/>
  <c r="BW55" i="11"/>
  <c r="AG56" i="11"/>
  <c r="BN56" i="11"/>
  <c r="V57" i="11"/>
  <c r="AU57" i="11"/>
  <c r="CF57" i="11"/>
  <c r="X58" i="11"/>
  <c r="BH58" i="11"/>
  <c r="CE58" i="11"/>
  <c r="R59" i="11"/>
  <c r="AP59" i="11"/>
  <c r="BJ59" i="11"/>
  <c r="CD59" i="11"/>
  <c r="T60" i="11"/>
  <c r="AN60" i="11"/>
  <c r="BG60" i="11"/>
  <c r="CB60" i="11"/>
  <c r="N61" i="11"/>
  <c r="AG61" i="11"/>
  <c r="AZ61" i="11"/>
  <c r="BT61" i="11"/>
  <c r="Z62" i="11"/>
  <c r="AS62" i="11"/>
  <c r="BL62" i="11"/>
  <c r="CH62" i="11"/>
  <c r="S63" i="11"/>
  <c r="AL63" i="11"/>
  <c r="BE63" i="11"/>
  <c r="BZ63" i="11"/>
  <c r="L64" i="11"/>
  <c r="AE64" i="11"/>
  <c r="AX64" i="11"/>
  <c r="BR64" i="11"/>
  <c r="CK64" i="11"/>
  <c r="S65" i="11"/>
  <c r="AI65" i="11"/>
  <c r="AY65" i="11"/>
  <c r="BO65" i="11"/>
  <c r="CE65" i="11"/>
  <c r="M66" i="11"/>
  <c r="AC66" i="11"/>
  <c r="AS66" i="11"/>
  <c r="BI66" i="11"/>
  <c r="BY66" i="11"/>
  <c r="AB43" i="11"/>
  <c r="BY43" i="11"/>
  <c r="AA44" i="11"/>
  <c r="BX44" i="11"/>
  <c r="AG45" i="11"/>
  <c r="CD45" i="11"/>
  <c r="AS46" i="11"/>
  <c r="CC46" i="11"/>
  <c r="AY47" i="11"/>
  <c r="CI47" i="11"/>
  <c r="AX48" i="11"/>
  <c r="M49" i="11"/>
  <c r="BC49" i="11"/>
  <c r="AW50" i="11"/>
  <c r="CK50" i="11"/>
  <c r="AW51" i="11"/>
  <c r="CE51" i="11"/>
  <c r="AQ52" i="11"/>
  <c r="BX52" i="11"/>
  <c r="AH53" i="11"/>
  <c r="BO53" i="11"/>
  <c r="Y54" i="11"/>
  <c r="BF54" i="11"/>
  <c r="AQ55" i="11"/>
  <c r="CD55" i="11"/>
  <c r="AH56" i="11"/>
  <c r="BO56" i="11"/>
  <c r="W57" i="11"/>
  <c r="AX57" i="11"/>
  <c r="CH57" i="11"/>
  <c r="Y58" i="11"/>
  <c r="BJ58" i="11"/>
  <c r="CF58" i="11"/>
  <c r="T59" i="11"/>
  <c r="AQ59" i="11"/>
  <c r="BK59" i="11"/>
  <c r="CF59" i="11"/>
  <c r="U60" i="11"/>
  <c r="AO60" i="11"/>
  <c r="BH60" i="11"/>
  <c r="CD60" i="11"/>
  <c r="O61" i="11"/>
  <c r="AH61" i="11"/>
  <c r="BA61" i="11"/>
  <c r="BV61" i="11"/>
  <c r="AA62" i="11"/>
  <c r="AT62" i="11"/>
  <c r="BN62" i="11"/>
  <c r="CI62" i="11"/>
  <c r="T63" i="11"/>
  <c r="AM63" i="11"/>
  <c r="BF63" i="11"/>
  <c r="CB63" i="11"/>
  <c r="M64" i="11"/>
  <c r="AF64" i="11"/>
  <c r="AY64" i="11"/>
  <c r="BT64" i="11"/>
  <c r="T65" i="11"/>
  <c r="AJ65" i="11"/>
  <c r="AZ65" i="11"/>
  <c r="BP65" i="11"/>
  <c r="CF65" i="11"/>
  <c r="N66" i="11"/>
  <c r="AD66" i="11"/>
  <c r="AT66" i="11"/>
  <c r="BJ66" i="11"/>
  <c r="BZ66" i="11"/>
  <c r="CB43" i="11"/>
  <c r="AV46" i="11"/>
  <c r="BB47" i="11"/>
  <c r="Q48" i="11"/>
  <c r="BA48" i="11"/>
  <c r="W49" i="11"/>
  <c r="BF49" i="11"/>
  <c r="R50" i="11"/>
  <c r="BL50" i="11"/>
  <c r="L51" i="11"/>
  <c r="BF51" i="11"/>
  <c r="AZ52" i="11"/>
  <c r="AK53" i="11"/>
  <c r="BR53" i="11"/>
  <c r="AB54" i="11"/>
  <c r="BI54" i="11"/>
  <c r="S55" i="11"/>
  <c r="AZ55" i="11"/>
  <c r="AK56" i="11"/>
  <c r="CC56" i="11"/>
  <c r="Z57" i="11"/>
  <c r="BH57" i="11"/>
  <c r="CK57" i="11"/>
  <c r="AF58" i="11"/>
  <c r="BN58" i="11"/>
  <c r="CI58" i="11"/>
  <c r="Z59" i="11"/>
  <c r="AT59" i="11"/>
  <c r="BN59" i="11"/>
  <c r="AC43" i="11"/>
  <c r="BZ43" i="11"/>
  <c r="AB44" i="11"/>
  <c r="BY44" i="11"/>
  <c r="AH45" i="11"/>
  <c r="CE45" i="11"/>
  <c r="AT46" i="11"/>
  <c r="CK46" i="11"/>
  <c r="AZ47" i="11"/>
  <c r="CJ47" i="11"/>
  <c r="AY48" i="11"/>
  <c r="N49" i="11"/>
  <c r="BD49" i="11"/>
  <c r="P50" i="11"/>
  <c r="AX50" i="11"/>
  <c r="AX51" i="11"/>
  <c r="AR52" i="11"/>
  <c r="BY52" i="11"/>
  <c r="AI53" i="11"/>
  <c r="BP53" i="11"/>
  <c r="Z54" i="11"/>
  <c r="BG54" i="11"/>
  <c r="AX55" i="11"/>
  <c r="CJ55" i="11"/>
  <c r="AI56" i="11"/>
  <c r="BP56" i="11"/>
  <c r="X57" i="11"/>
  <c r="AZ57" i="11"/>
  <c r="CI57" i="11"/>
  <c r="AB58" i="11"/>
  <c r="BL58" i="11"/>
  <c r="CG58" i="11"/>
  <c r="X59" i="11"/>
  <c r="AR59" i="11"/>
  <c r="BL59" i="11"/>
  <c r="CJ59" i="11"/>
  <c r="V60" i="11"/>
  <c r="AP60" i="11"/>
  <c r="BJ60" i="11"/>
  <c r="CE60" i="11"/>
  <c r="P61" i="11"/>
  <c r="AI61" i="11"/>
  <c r="BB61" i="11"/>
  <c r="BX61" i="11"/>
  <c r="AB62" i="11"/>
  <c r="AU62" i="11"/>
  <c r="BP62" i="11"/>
  <c r="CJ62" i="11"/>
  <c r="U63" i="11"/>
  <c r="AN63" i="11"/>
  <c r="BH63" i="11"/>
  <c r="CC63" i="11"/>
  <c r="N64" i="11"/>
  <c r="AG64" i="11"/>
  <c r="AZ64" i="11"/>
  <c r="BV64" i="11"/>
  <c r="U65" i="11"/>
  <c r="AK65" i="11"/>
  <c r="BA65" i="11"/>
  <c r="BQ65" i="11"/>
  <c r="CG65" i="11"/>
  <c r="O66" i="11"/>
  <c r="AE66" i="11"/>
  <c r="AU66" i="11"/>
  <c r="BK66" i="11"/>
  <c r="CA66" i="11"/>
  <c r="AD43" i="11"/>
  <c r="CA43" i="11"/>
  <c r="AC44" i="11"/>
  <c r="CG44" i="11"/>
  <c r="AV45" i="11"/>
  <c r="CF45" i="11"/>
  <c r="AU46" i="11"/>
  <c r="BA47" i="11"/>
  <c r="P48" i="11"/>
  <c r="AZ48" i="11"/>
  <c r="O49" i="11"/>
  <c r="BE49" i="11"/>
  <c r="Q50" i="11"/>
  <c r="BE50" i="11"/>
  <c r="AY51" i="11"/>
  <c r="AS52" i="11"/>
  <c r="CF52" i="11"/>
  <c r="AJ53" i="11"/>
  <c r="BQ53" i="11"/>
  <c r="AA54" i="11"/>
  <c r="BH54" i="11"/>
  <c r="R55" i="11"/>
  <c r="AY55" i="11"/>
  <c r="CK55" i="11"/>
  <c r="AJ56" i="11"/>
  <c r="CB56" i="11"/>
  <c r="Y57" i="11"/>
  <c r="BB57" i="11"/>
  <c r="CJ57" i="11"/>
  <c r="AD58" i="11"/>
  <c r="BM58" i="11"/>
  <c r="CH58" i="11"/>
  <c r="Y59" i="11"/>
  <c r="AS59" i="11"/>
  <c r="BM59" i="11"/>
  <c r="CK59" i="11"/>
  <c r="W60" i="11"/>
  <c r="AQ60" i="11"/>
  <c r="BL60" i="11"/>
  <c r="CF60" i="11"/>
  <c r="Q61" i="11"/>
  <c r="AJ61" i="11"/>
  <c r="BD61" i="11"/>
  <c r="BY61" i="11"/>
  <c r="AC62" i="11"/>
  <c r="AV62" i="11"/>
  <c r="BR62" i="11"/>
  <c r="CK62" i="11"/>
  <c r="V63" i="11"/>
  <c r="AO63" i="11"/>
  <c r="BJ63" i="11"/>
  <c r="CD63" i="11"/>
  <c r="O64" i="11"/>
  <c r="AH64" i="11"/>
  <c r="BB64" i="11"/>
  <c r="BW64" i="11"/>
  <c r="V65" i="11"/>
  <c r="AL65" i="11"/>
  <c r="BB65" i="11"/>
  <c r="BR65" i="11"/>
  <c r="CH65" i="11"/>
  <c r="P66" i="11"/>
  <c r="AF66" i="11"/>
  <c r="AV66" i="11"/>
  <c r="BL66" i="11"/>
  <c r="CB66" i="11"/>
  <c r="AG43" i="11"/>
  <c r="CD43" i="11"/>
  <c r="AS44" i="11"/>
  <c r="CJ44" i="11"/>
  <c r="AY45" i="11"/>
  <c r="CI45" i="11"/>
  <c r="BE46" i="11"/>
  <c r="T47" i="11"/>
  <c r="BD47" i="11"/>
  <c r="S48" i="11"/>
  <c r="BJ48" i="11"/>
  <c r="Y49" i="11"/>
  <c r="BT49" i="11"/>
  <c r="T50" i="11"/>
  <c r="BN50" i="11"/>
  <c r="N51" i="11"/>
  <c r="BH51" i="11"/>
  <c r="T52" i="11"/>
  <c r="BB52" i="11"/>
  <c r="AM53" i="11"/>
  <c r="CE53" i="11"/>
  <c r="AD54" i="11"/>
  <c r="BV54" i="11"/>
  <c r="U55" i="11"/>
  <c r="BB55" i="11"/>
  <c r="L56" i="11"/>
  <c r="AS56" i="11"/>
  <c r="CE56" i="11"/>
  <c r="AB57" i="11"/>
  <c r="BJ57" i="11"/>
  <c r="AM58" i="11"/>
  <c r="BP58" i="11"/>
  <c r="AB59" i="11"/>
  <c r="AV59" i="11"/>
  <c r="BT59" i="11"/>
  <c r="Z60" i="11"/>
  <c r="AV60" i="11"/>
  <c r="BP60" i="11"/>
  <c r="CI60" i="11"/>
  <c r="T61" i="11"/>
  <c r="AN61" i="11"/>
  <c r="BI61" i="11"/>
  <c r="CB61" i="11"/>
  <c r="M62" i="11"/>
  <c r="AF62" i="11"/>
  <c r="BB62" i="11"/>
  <c r="BU62" i="11"/>
  <c r="Y63" i="11"/>
  <c r="AT63" i="11"/>
  <c r="BN63" i="11"/>
  <c r="CG63" i="11"/>
  <c r="R64" i="11"/>
  <c r="AL64" i="11"/>
  <c r="BG64" i="11"/>
  <c r="BZ64" i="11"/>
  <c r="Y65" i="11"/>
  <c r="AO65" i="11"/>
  <c r="BE65" i="11"/>
  <c r="BU65" i="11"/>
  <c r="CK65" i="11"/>
  <c r="S66" i="11"/>
  <c r="AI66" i="11"/>
  <c r="AY66" i="11"/>
  <c r="BO66" i="11"/>
  <c r="CE66" i="11"/>
  <c r="AU43" i="11"/>
  <c r="CE43" i="11"/>
  <c r="BA44" i="11"/>
  <c r="CK44" i="11"/>
  <c r="AZ45" i="11"/>
  <c r="O46" i="11"/>
  <c r="BF46" i="11"/>
  <c r="U47" i="11"/>
  <c r="BE47" i="11"/>
  <c r="T48" i="11"/>
  <c r="BQ48" i="11"/>
  <c r="Z49" i="11"/>
  <c r="BU49" i="11"/>
  <c r="U50" i="11"/>
  <c r="BO50" i="11"/>
  <c r="AA51" i="11"/>
  <c r="BI51" i="11"/>
  <c r="U52" i="11"/>
  <c r="BC52" i="11"/>
  <c r="AT53" i="11"/>
  <c r="CF53" i="11"/>
  <c r="AE54" i="11"/>
  <c r="BW54" i="11"/>
  <c r="V55" i="11"/>
  <c r="BN55" i="11"/>
  <c r="M56" i="11"/>
  <c r="AT56" i="11"/>
  <c r="CF56" i="11"/>
  <c r="AC57" i="11"/>
  <c r="BK57" i="11"/>
  <c r="AN58" i="11"/>
  <c r="BQ58" i="11"/>
  <c r="AC59" i="11"/>
  <c r="AW59" i="11"/>
  <c r="BU59" i="11"/>
  <c r="AA60" i="11"/>
  <c r="AX60" i="11"/>
  <c r="BQ60" i="11"/>
  <c r="CJ60" i="11"/>
  <c r="U61" i="11"/>
  <c r="AP61" i="11"/>
  <c r="BJ61" i="11"/>
  <c r="CC61" i="11"/>
  <c r="N62" i="11"/>
  <c r="AH62" i="11"/>
  <c r="BC62" i="11"/>
  <c r="BV62" i="11"/>
  <c r="Z63" i="11"/>
  <c r="AV63" i="11"/>
  <c r="BO63" i="11"/>
  <c r="CH63" i="11"/>
  <c r="S64" i="11"/>
  <c r="AN64" i="11"/>
  <c r="BH64" i="11"/>
  <c r="CA64" i="11"/>
  <c r="Z65" i="11"/>
  <c r="AP65" i="11"/>
  <c r="BF65" i="11"/>
  <c r="BV65" i="11"/>
  <c r="T66" i="11"/>
  <c r="AJ66" i="11"/>
  <c r="AZ66" i="11"/>
  <c r="BP66" i="11"/>
  <c r="CF66" i="11"/>
  <c r="R45" i="11"/>
  <c r="BB45" i="11"/>
  <c r="Q46" i="11"/>
  <c r="BH46" i="11"/>
  <c r="W47" i="11"/>
  <c r="BT47" i="11"/>
  <c r="AC48" i="11"/>
  <c r="BZ48" i="11"/>
  <c r="AB49" i="11"/>
  <c r="BW49" i="11"/>
  <c r="AI50" i="11"/>
  <c r="BQ50" i="11"/>
  <c r="AC51" i="11"/>
  <c r="AV43" i="11"/>
  <c r="BB44" i="11"/>
  <c r="BA45" i="11"/>
  <c r="P46" i="11"/>
  <c r="BG46" i="11"/>
  <c r="V47" i="11"/>
  <c r="BF47" i="11"/>
  <c r="U48" i="11"/>
  <c r="BY48" i="11"/>
  <c r="AA49" i="11"/>
  <c r="BV49" i="11"/>
  <c r="V50" i="11"/>
  <c r="BP50" i="11"/>
  <c r="AB51" i="11"/>
  <c r="BJ51" i="11"/>
  <c r="V52" i="11"/>
  <c r="BD52" i="11"/>
  <c r="N53" i="11"/>
  <c r="AU53" i="11"/>
  <c r="CG53" i="11"/>
  <c r="AF54" i="11"/>
  <c r="BX54" i="11"/>
  <c r="W55" i="11"/>
  <c r="BO55" i="11"/>
  <c r="N56" i="11"/>
  <c r="AZ56" i="11"/>
  <c r="CG56" i="11"/>
  <c r="AD57" i="11"/>
  <c r="BN57" i="11"/>
  <c r="AO58" i="11"/>
  <c r="BR58" i="11"/>
  <c r="AD59" i="11"/>
  <c r="AX59" i="11"/>
  <c r="BV59" i="11"/>
  <c r="AB60" i="11"/>
  <c r="AY60" i="11"/>
  <c r="BR60" i="11"/>
  <c r="CK60" i="11"/>
  <c r="V61" i="11"/>
  <c r="AR61" i="11"/>
  <c r="BK61" i="11"/>
  <c r="CD61" i="11"/>
  <c r="O62" i="11"/>
  <c r="AJ62" i="11"/>
  <c r="BD62" i="11"/>
  <c r="BW62" i="11"/>
  <c r="AB63" i="11"/>
  <c r="AW63" i="11"/>
  <c r="BP63" i="11"/>
  <c r="CI63" i="11"/>
  <c r="T64" i="11"/>
  <c r="AP64" i="11"/>
  <c r="BI64" i="11"/>
  <c r="CB64" i="11"/>
  <c r="AA65" i="11"/>
  <c r="AQ65" i="11"/>
  <c r="BG65" i="11"/>
  <c r="BW65" i="11"/>
  <c r="U66" i="11"/>
  <c r="AK66" i="11"/>
  <c r="BA66" i="11"/>
  <c r="BQ66" i="11"/>
  <c r="CG66" i="11"/>
  <c r="AE43" i="11"/>
  <c r="CH44" i="11"/>
  <c r="BI46" i="11"/>
  <c r="CA48" i="11"/>
  <c r="BR50" i="11"/>
  <c r="Z52" i="11"/>
  <c r="CD53" i="11"/>
  <c r="X55" i="11"/>
  <c r="BH56" i="11"/>
  <c r="BS57" i="11"/>
  <c r="CA58" i="11"/>
  <c r="BP59" i="11"/>
  <c r="AR60" i="11"/>
  <c r="BL61" i="11"/>
  <c r="AD62" i="11"/>
  <c r="BZ62" i="11"/>
  <c r="AX63" i="11"/>
  <c r="P64" i="11"/>
  <c r="BL64" i="11"/>
  <c r="AB65" i="11"/>
  <c r="BS65" i="11"/>
  <c r="X66" i="11"/>
  <c r="BR66" i="11"/>
  <c r="AF43" i="11"/>
  <c r="CI44" i="11"/>
  <c r="BW46" i="11"/>
  <c r="CB48" i="11"/>
  <c r="BS50" i="11"/>
  <c r="BA52" i="11"/>
  <c r="CH53" i="11"/>
  <c r="Y55" i="11"/>
  <c r="BI56" i="11"/>
  <c r="BT57" i="11"/>
  <c r="CJ58" i="11"/>
  <c r="BW59" i="11"/>
  <c r="AT60" i="11"/>
  <c r="BM61" i="11"/>
  <c r="AE62" i="11"/>
  <c r="CA62" i="11"/>
  <c r="AY63" i="11"/>
  <c r="Q64" i="11"/>
  <c r="BM64" i="11"/>
  <c r="AC65" i="11"/>
  <c r="BT65" i="11"/>
  <c r="Y66" i="11"/>
  <c r="BS66" i="11"/>
  <c r="P53" i="11"/>
  <c r="BK45" i="11"/>
  <c r="AR58" i="11"/>
  <c r="CG61" i="11"/>
  <c r="BS63" i="11"/>
  <c r="AQ64" i="11"/>
  <c r="CJ66" i="11"/>
  <c r="AW43" i="11"/>
  <c r="S45" i="11"/>
  <c r="BX46" i="11"/>
  <c r="CC48" i="11"/>
  <c r="BT50" i="11"/>
  <c r="BP52" i="11"/>
  <c r="CI53" i="11"/>
  <c r="Z55" i="11"/>
  <c r="BJ56" i="11"/>
  <c r="BX59" i="11"/>
  <c r="AZ60" i="11"/>
  <c r="R61" i="11"/>
  <c r="BN61" i="11"/>
  <c r="AL62" i="11"/>
  <c r="AZ63" i="11"/>
  <c r="V64" i="11"/>
  <c r="BX64" i="11"/>
  <c r="AD65" i="11"/>
  <c r="BX65" i="11"/>
  <c r="AG66" i="11"/>
  <c r="BT66" i="11"/>
  <c r="BU47" i="11"/>
  <c r="AX43" i="11"/>
  <c r="T45" i="11"/>
  <c r="S47" i="11"/>
  <c r="X49" i="11"/>
  <c r="M51" i="11"/>
  <c r="BQ52" i="11"/>
  <c r="AL55" i="11"/>
  <c r="CD56" i="11"/>
  <c r="L59" i="11"/>
  <c r="BY59" i="11"/>
  <c r="BA60" i="11"/>
  <c r="S61" i="11"/>
  <c r="BO61" i="11"/>
  <c r="AM62" i="11"/>
  <c r="BA63" i="11"/>
  <c r="X64" i="11"/>
  <c r="BY64" i="11"/>
  <c r="AE65" i="11"/>
  <c r="BY65" i="11"/>
  <c r="AH66" i="11"/>
  <c r="BU66" i="11"/>
  <c r="BK51" i="11"/>
  <c r="AY43" i="11"/>
  <c r="U45" i="11"/>
  <c r="X47" i="11"/>
  <c r="AC49" i="11"/>
  <c r="AD51" i="11"/>
  <c r="BR52" i="11"/>
  <c r="BA55" i="11"/>
  <c r="R58" i="11"/>
  <c r="M59" i="11"/>
  <c r="BZ59" i="11"/>
  <c r="BB60" i="11"/>
  <c r="X61" i="11"/>
  <c r="BZ61" i="11"/>
  <c r="AN62" i="11"/>
  <c r="BL63" i="11"/>
  <c r="Z64" i="11"/>
  <c r="CC64" i="11"/>
  <c r="AM65" i="11"/>
  <c r="BZ65" i="11"/>
  <c r="AL66" i="11"/>
  <c r="CC66" i="11"/>
  <c r="AX45" i="11"/>
  <c r="BG43" i="11"/>
  <c r="AW45" i="11"/>
  <c r="Y47" i="11"/>
  <c r="AQ49" i="11"/>
  <c r="AE51" i="11"/>
  <c r="BS52" i="11"/>
  <c r="AC54" i="11"/>
  <c r="BP55" i="11"/>
  <c r="S58" i="11"/>
  <c r="N59" i="11"/>
  <c r="BC60" i="11"/>
  <c r="Z61" i="11"/>
  <c r="CA61" i="11"/>
  <c r="AO62" i="11"/>
  <c r="BM63" i="11"/>
  <c r="AA64" i="11"/>
  <c r="CD64" i="11"/>
  <c r="AN65" i="11"/>
  <c r="CA65" i="11"/>
  <c r="AM66" i="11"/>
  <c r="CD66" i="11"/>
  <c r="CC43" i="11"/>
  <c r="BC47" i="11"/>
  <c r="BG51" i="11"/>
  <c r="AN54" i="11"/>
  <c r="AL58" i="11"/>
  <c r="AC61" i="11"/>
  <c r="CF61" i="11"/>
  <c r="N63" i="11"/>
  <c r="BR63" i="11"/>
  <c r="CF64" i="11"/>
  <c r="CJ65" i="11"/>
  <c r="CI66" i="11"/>
  <c r="BX49" i="11"/>
  <c r="Z47" i="11"/>
  <c r="AR49" i="11"/>
  <c r="AF51" i="11"/>
  <c r="AG54" i="11"/>
  <c r="BQ55" i="11"/>
  <c r="T58" i="11"/>
  <c r="AA59" i="11"/>
  <c r="BN60" i="11"/>
  <c r="AB61" i="11"/>
  <c r="CE61" i="11"/>
  <c r="AX62" i="11"/>
  <c r="L63" i="11"/>
  <c r="BQ63" i="11"/>
  <c r="AI64" i="11"/>
  <c r="CE64" i="11"/>
  <c r="AR65" i="11"/>
  <c r="CI65" i="11"/>
  <c r="AN66" i="11"/>
  <c r="CH66" i="11"/>
  <c r="BC45" i="11"/>
  <c r="BS49" i="11"/>
  <c r="O53" i="11"/>
  <c r="BR55" i="11"/>
  <c r="AE59" i="11"/>
  <c r="BO60" i="11"/>
  <c r="AZ62" i="11"/>
  <c r="AJ64" i="11"/>
  <c r="AS65" i="11"/>
  <c r="AO66" i="11"/>
  <c r="U44" i="11"/>
  <c r="V44" i="11"/>
  <c r="BL45" i="11"/>
  <c r="BV47" i="11"/>
  <c r="BY49" i="11"/>
  <c r="BL51" i="11"/>
  <c r="Q53" i="11"/>
  <c r="AU54" i="11"/>
  <c r="AN57" i="11"/>
  <c r="AT58" i="11"/>
  <c r="AG59" i="11"/>
  <c r="L60" i="11"/>
  <c r="BT60" i="11"/>
  <c r="AL61" i="11"/>
  <c r="CH61" i="11"/>
  <c r="BF62" i="11"/>
  <c r="X63" i="11"/>
  <c r="BT63" i="11"/>
  <c r="AR64" i="11"/>
  <c r="AU65" i="11"/>
  <c r="AX66" i="11"/>
  <c r="CK66" i="11"/>
  <c r="AK44" i="11"/>
  <c r="CG45" i="11"/>
  <c r="BW47" i="11"/>
  <c r="BZ49" i="11"/>
  <c r="BY51" i="11"/>
  <c r="R53" i="11"/>
  <c r="BJ54" i="11"/>
  <c r="O56" i="11"/>
  <c r="AO57" i="11"/>
  <c r="AV58" i="11"/>
  <c r="AH59" i="11"/>
  <c r="X60" i="11"/>
  <c r="BU60" i="11"/>
  <c r="AS61" i="11"/>
  <c r="BG62" i="11"/>
  <c r="AD63" i="11"/>
  <c r="CE63" i="11"/>
  <c r="AS64" i="11"/>
  <c r="L65" i="11"/>
  <c r="BC65" i="11"/>
  <c r="BB66" i="11"/>
  <c r="AA46" i="11"/>
  <c r="AL50" i="11"/>
  <c r="X52" i="11"/>
  <c r="BC53" i="11"/>
  <c r="CB54" i="11"/>
  <c r="AR56" i="11"/>
  <c r="BP57" i="11"/>
  <c r="BT58" i="11"/>
  <c r="BE59" i="11"/>
  <c r="AI60" i="11"/>
  <c r="BF61" i="11"/>
  <c r="T62" i="11"/>
  <c r="BX62" i="11"/>
  <c r="AP63" i="11"/>
  <c r="W65" i="11"/>
  <c r="BJ65" i="11"/>
  <c r="BM66" i="11"/>
  <c r="BF44" i="11"/>
  <c r="BI48" i="11"/>
  <c r="BM50" i="11"/>
  <c r="Y52" i="11"/>
  <c r="BJ53" i="11"/>
  <c r="T55" i="11"/>
  <c r="BA56" i="11"/>
  <c r="BR57" i="11"/>
  <c r="BZ58" i="11"/>
  <c r="BF59" i="11"/>
  <c r="AJ60" i="11"/>
  <c r="BH61" i="11"/>
  <c r="V62" i="11"/>
  <c r="BY62" i="11"/>
  <c r="AR63" i="11"/>
  <c r="BK64" i="11"/>
  <c r="X65" i="11"/>
  <c r="BK65" i="11"/>
  <c r="W66" i="11"/>
  <c r="BN66" i="11"/>
  <c r="AT54" i="11"/>
  <c r="AR44" i="11"/>
  <c r="CH45" i="11"/>
  <c r="R48" i="11"/>
  <c r="S50" i="11"/>
  <c r="BZ51" i="11"/>
  <c r="AL53" i="11"/>
  <c r="BY54" i="11"/>
  <c r="P56" i="11"/>
  <c r="AP57" i="11"/>
  <c r="AW58" i="11"/>
  <c r="AU59" i="11"/>
  <c r="Y60" i="11"/>
  <c r="BV60" i="11"/>
  <c r="AT61" i="11"/>
  <c r="L62" i="11"/>
  <c r="BH62" i="11"/>
  <c r="AF63" i="11"/>
  <c r="CF63" i="11"/>
  <c r="AT64" i="11"/>
  <c r="M65" i="11"/>
  <c r="BD65" i="11"/>
  <c r="BC66" i="11"/>
  <c r="BC44" i="11"/>
  <c r="Y46" i="11"/>
  <c r="AD48" i="11"/>
  <c r="AJ50" i="11"/>
  <c r="M52" i="11"/>
  <c r="AV53" i="11"/>
  <c r="BZ54" i="11"/>
  <c r="Q56" i="11"/>
  <c r="AQ57" i="11"/>
  <c r="BO58" i="11"/>
  <c r="AZ59" i="11"/>
  <c r="AD60" i="11"/>
  <c r="CG60" i="11"/>
  <c r="AU61" i="11"/>
  <c r="P62" i="11"/>
  <c r="BS62" i="11"/>
  <c r="AG63" i="11"/>
  <c r="CJ63" i="11"/>
  <c r="BD64" i="11"/>
  <c r="N65" i="11"/>
  <c r="BH65" i="11"/>
  <c r="Q66" i="11"/>
  <c r="BD66" i="11"/>
  <c r="BD44" i="11"/>
  <c r="Z46" i="11"/>
  <c r="AE48" i="11"/>
  <c r="AK50" i="11"/>
  <c r="W52" i="11"/>
  <c r="BB53" i="11"/>
  <c r="CA54" i="11"/>
  <c r="R56" i="11"/>
  <c r="BI57" i="11"/>
  <c r="BS58" i="11"/>
  <c r="BD59" i="11"/>
  <c r="AH60" i="11"/>
  <c r="CH60" i="11"/>
  <c r="AV61" i="11"/>
  <c r="R62" i="11"/>
  <c r="BT62" i="11"/>
  <c r="AH63" i="11"/>
  <c r="CK63" i="11"/>
  <c r="BF64" i="11"/>
  <c r="O65" i="11"/>
  <c r="BI65" i="11"/>
  <c r="R66" i="11"/>
  <c r="BE66" i="11"/>
  <c r="BE44" i="11"/>
  <c r="BS55" i="11"/>
  <c r="AF59" i="11"/>
  <c r="BS60" i="11"/>
  <c r="AK61" i="11"/>
  <c r="BE62" i="11"/>
  <c r="W63" i="11"/>
  <c r="AT65" i="11"/>
  <c r="AW66" i="11"/>
  <c r="AF48" i="11"/>
  <c r="BJ64" i="11"/>
  <c r="V66" i="11"/>
  <c r="AW46" i="11"/>
  <c r="AA57" i="11"/>
  <c r="B2" i="12"/>
  <c r="CD42" i="11"/>
  <c r="BN42" i="11"/>
  <c r="AX42" i="11"/>
  <c r="AH42" i="11"/>
  <c r="R42" i="11"/>
  <c r="BX41" i="11"/>
  <c r="BH41" i="11"/>
  <c r="AR41" i="11"/>
  <c r="AB41" i="11"/>
  <c r="L41" i="11"/>
  <c r="CH40" i="11"/>
  <c r="BR40" i="11"/>
  <c r="BB40" i="11"/>
  <c r="AL40" i="11"/>
  <c r="V40" i="11"/>
  <c r="CB39" i="11"/>
  <c r="BL39" i="11"/>
  <c r="AV39" i="11"/>
  <c r="AF39" i="11"/>
  <c r="P39" i="11"/>
  <c r="BV38" i="11"/>
  <c r="BF38" i="11"/>
  <c r="AP38" i="11"/>
  <c r="Z38" i="11"/>
  <c r="CF37" i="11"/>
  <c r="BP37" i="11"/>
  <c r="AZ37" i="11"/>
  <c r="AJ37" i="11"/>
  <c r="T37" i="11"/>
  <c r="CC42" i="11"/>
  <c r="BM42" i="11"/>
  <c r="AW42" i="11"/>
  <c r="AG42" i="11"/>
  <c r="Q42" i="11"/>
  <c r="BW41" i="11"/>
  <c r="BG41" i="11"/>
  <c r="AQ41" i="11"/>
  <c r="AA41" i="11"/>
  <c r="CG40" i="11"/>
  <c r="BQ40" i="11"/>
  <c r="BA40" i="11"/>
  <c r="AK40" i="11"/>
  <c r="U40" i="11"/>
  <c r="CA39" i="11"/>
  <c r="BK39" i="11"/>
  <c r="AU39" i="11"/>
  <c r="AE39" i="11"/>
  <c r="O39" i="11"/>
  <c r="CK38" i="11"/>
  <c r="BU38" i="11"/>
  <c r="BE38" i="11"/>
  <c r="AO38" i="11"/>
  <c r="Y38" i="11"/>
  <c r="CE37" i="11"/>
  <c r="BO37" i="11"/>
  <c r="AY37" i="11"/>
  <c r="AI37" i="11"/>
  <c r="S37" i="11"/>
  <c r="BY36" i="11"/>
  <c r="BI36" i="11"/>
  <c r="AS36" i="11"/>
  <c r="AC36" i="11"/>
  <c r="M36" i="11"/>
  <c r="CI35" i="11"/>
  <c r="CB42" i="11"/>
  <c r="BL42" i="11"/>
  <c r="AV42" i="11"/>
  <c r="AF42" i="11"/>
  <c r="P42" i="11"/>
  <c r="BV41" i="11"/>
  <c r="BF41" i="11"/>
  <c r="AP41" i="11"/>
  <c r="Z41" i="11"/>
  <c r="CF40" i="11"/>
  <c r="BP40" i="11"/>
  <c r="AZ40" i="11"/>
  <c r="AJ40" i="11"/>
  <c r="T40" i="11"/>
  <c r="BZ39" i="11"/>
  <c r="BJ39" i="11"/>
  <c r="AT39" i="11"/>
  <c r="AD39" i="11"/>
  <c r="N39" i="11"/>
  <c r="CJ38" i="11"/>
  <c r="BT38" i="11"/>
  <c r="BD38" i="11"/>
  <c r="AN38" i="11"/>
  <c r="X38" i="11"/>
  <c r="CD37" i="11"/>
  <c r="BN37" i="11"/>
  <c r="AX37" i="11"/>
  <c r="AH37" i="11"/>
  <c r="R37" i="11"/>
  <c r="BX36" i="11"/>
  <c r="BH36" i="11"/>
  <c r="AR36" i="11"/>
  <c r="AB36" i="11"/>
  <c r="L36" i="11"/>
  <c r="CH35" i="11"/>
  <c r="BR35" i="11"/>
  <c r="CA42" i="11"/>
  <c r="BK42" i="11"/>
  <c r="AU42" i="11"/>
  <c r="AE42" i="11"/>
  <c r="O42" i="11"/>
  <c r="CK41" i="11"/>
  <c r="BU41" i="11"/>
  <c r="BE41" i="11"/>
  <c r="AO41" i="11"/>
  <c r="Y41" i="11"/>
  <c r="CE40" i="11"/>
  <c r="BO40" i="11"/>
  <c r="AY40" i="11"/>
  <c r="AI40" i="11"/>
  <c r="S40" i="11"/>
  <c r="BY39" i="11"/>
  <c r="BZ42" i="11"/>
  <c r="BJ42" i="11"/>
  <c r="AT42" i="11"/>
  <c r="AD42" i="11"/>
  <c r="N42" i="11"/>
  <c r="CJ41" i="11"/>
  <c r="BT41" i="11"/>
  <c r="BD41" i="11"/>
  <c r="AN41" i="11"/>
  <c r="X41" i="11"/>
  <c r="CD40" i="11"/>
  <c r="BN40" i="11"/>
  <c r="AX40" i="11"/>
  <c r="AH40" i="11"/>
  <c r="R40" i="11"/>
  <c r="BX39" i="11"/>
  <c r="BH39" i="11"/>
  <c r="AR39" i="11"/>
  <c r="AB39" i="11"/>
  <c r="L39" i="11"/>
  <c r="CH38" i="11"/>
  <c r="BR38" i="11"/>
  <c r="BB38" i="11"/>
  <c r="AL38" i="11"/>
  <c r="V38" i="11"/>
  <c r="CB37" i="11"/>
  <c r="BL37" i="11"/>
  <c r="AV37" i="11"/>
  <c r="AF37" i="11"/>
  <c r="BR42" i="11"/>
  <c r="AR42" i="11"/>
  <c r="W42" i="11"/>
  <c r="BP41" i="11"/>
  <c r="AU41" i="11"/>
  <c r="U41" i="11"/>
  <c r="BL40" i="11"/>
  <c r="AQ40" i="11"/>
  <c r="Q40" i="11"/>
  <c r="CJ39" i="11"/>
  <c r="BO39" i="11"/>
  <c r="AQ39" i="11"/>
  <c r="W39" i="11"/>
  <c r="BQ38" i="11"/>
  <c r="AW38" i="11"/>
  <c r="AC38" i="11"/>
  <c r="BW37" i="11"/>
  <c r="BC37" i="11"/>
  <c r="AE37" i="11"/>
  <c r="L37" i="11"/>
  <c r="CG36" i="11"/>
  <c r="BO36" i="11"/>
  <c r="AW36" i="11"/>
  <c r="AE36" i="11"/>
  <c r="CE35" i="11"/>
  <c r="BN35" i="11"/>
  <c r="AX35" i="11"/>
  <c r="AH35" i="11"/>
  <c r="R35" i="11"/>
  <c r="BX34" i="11"/>
  <c r="BH34" i="11"/>
  <c r="AR34" i="11"/>
  <c r="AB34" i="11"/>
  <c r="L34" i="11"/>
  <c r="CH33" i="11"/>
  <c r="BR33" i="11"/>
  <c r="BB33" i="11"/>
  <c r="AL33" i="11"/>
  <c r="V33" i="11"/>
  <c r="CB32" i="11"/>
  <c r="BL32" i="11"/>
  <c r="AV32" i="11"/>
  <c r="AF32" i="11"/>
  <c r="P32" i="11"/>
  <c r="BV31" i="11"/>
  <c r="BF31" i="11"/>
  <c r="AP31" i="11"/>
  <c r="Z31" i="11"/>
  <c r="CF30" i="11"/>
  <c r="BP30" i="11"/>
  <c r="AZ30" i="11"/>
  <c r="AJ30" i="11"/>
  <c r="T30" i="11"/>
  <c r="BZ29" i="11"/>
  <c r="BJ29" i="11"/>
  <c r="AT29" i="11"/>
  <c r="AD29" i="11"/>
  <c r="N29" i="11"/>
  <c r="CJ28" i="11"/>
  <c r="BT28" i="11"/>
  <c r="BD28" i="11"/>
  <c r="AN28" i="11"/>
  <c r="X28" i="11"/>
  <c r="CD27" i="11"/>
  <c r="BN27" i="11"/>
  <c r="AX27" i="11"/>
  <c r="AH27" i="11"/>
  <c r="R27" i="11"/>
  <c r="BX26" i="11"/>
  <c r="BH26" i="11"/>
  <c r="AR26" i="11"/>
  <c r="AB26" i="11"/>
  <c r="L26" i="11"/>
  <c r="CH25" i="11"/>
  <c r="BR25" i="11"/>
  <c r="BB25" i="11"/>
  <c r="AL25" i="11"/>
  <c r="V25" i="11"/>
  <c r="CB24" i="11"/>
  <c r="BL24" i="11"/>
  <c r="AV24" i="11"/>
  <c r="AF24" i="11"/>
  <c r="P24" i="11"/>
  <c r="BV23" i="11"/>
  <c r="BF23" i="11"/>
  <c r="AP23" i="11"/>
  <c r="Z23" i="11"/>
  <c r="CF22" i="11"/>
  <c r="BP22" i="11"/>
  <c r="AZ22" i="11"/>
  <c r="AJ22" i="11"/>
  <c r="T22" i="11"/>
  <c r="BZ21" i="11"/>
  <c r="BJ21" i="11"/>
  <c r="AT21" i="11"/>
  <c r="AD21" i="11"/>
  <c r="N21" i="11"/>
  <c r="CJ20" i="11"/>
  <c r="BT20" i="11"/>
  <c r="BD20" i="11"/>
  <c r="AN20" i="11"/>
  <c r="X20" i="11"/>
  <c r="CD19" i="11"/>
  <c r="BN19" i="11"/>
  <c r="AX19" i="11"/>
  <c r="AH19" i="11"/>
  <c r="R19" i="11"/>
  <c r="BX18" i="11"/>
  <c r="BH18" i="11"/>
  <c r="AR18" i="11"/>
  <c r="AB18" i="11"/>
  <c r="L18" i="11"/>
  <c r="CH17" i="11"/>
  <c r="BR17" i="11"/>
  <c r="BB17" i="11"/>
  <c r="AL17" i="11"/>
  <c r="V17" i="11"/>
  <c r="CB16" i="11"/>
  <c r="BL16" i="11"/>
  <c r="AV16" i="11"/>
  <c r="AF16" i="11"/>
  <c r="P16" i="11"/>
  <c r="BQ42" i="11"/>
  <c r="AQ42" i="11"/>
  <c r="V42" i="11"/>
  <c r="BO41" i="11"/>
  <c r="AT41" i="11"/>
  <c r="T41" i="11"/>
  <c r="CK40" i="11"/>
  <c r="BK40" i="11"/>
  <c r="AP40" i="11"/>
  <c r="P40" i="11"/>
  <c r="CI39" i="11"/>
  <c r="BN39" i="11"/>
  <c r="AP39" i="11"/>
  <c r="V39" i="11"/>
  <c r="BP38" i="11"/>
  <c r="AV38" i="11"/>
  <c r="AB38" i="11"/>
  <c r="BV37" i="11"/>
  <c r="BB37" i="11"/>
  <c r="AD37" i="11"/>
  <c r="CF36" i="11"/>
  <c r="BN36" i="11"/>
  <c r="AV36" i="11"/>
  <c r="AD36" i="11"/>
  <c r="CD35" i="11"/>
  <c r="BM35" i="11"/>
  <c r="AW35" i="11"/>
  <c r="AG35" i="11"/>
  <c r="Q35" i="11"/>
  <c r="BW34" i="11"/>
  <c r="BG34" i="11"/>
  <c r="AQ34" i="11"/>
  <c r="AA34" i="11"/>
  <c r="CG33" i="11"/>
  <c r="BQ33" i="11"/>
  <c r="BA33" i="11"/>
  <c r="AK33" i="11"/>
  <c r="U33" i="11"/>
  <c r="CA32" i="11"/>
  <c r="BK32" i="11"/>
  <c r="AU32" i="11"/>
  <c r="AE32" i="11"/>
  <c r="O32" i="11"/>
  <c r="CK31" i="11"/>
  <c r="BU31" i="11"/>
  <c r="BE31" i="11"/>
  <c r="AO31" i="11"/>
  <c r="Y31" i="11"/>
  <c r="CE30" i="11"/>
  <c r="BO30" i="11"/>
  <c r="AY30" i="11"/>
  <c r="AI30" i="11"/>
  <c r="S30" i="11"/>
  <c r="BY29" i="11"/>
  <c r="BI29" i="11"/>
  <c r="AS29" i="11"/>
  <c r="AC29" i="11"/>
  <c r="M29" i="11"/>
  <c r="CI28" i="11"/>
  <c r="BS28" i="11"/>
  <c r="BC28" i="11"/>
  <c r="AM28" i="11"/>
  <c r="W28" i="11"/>
  <c r="CC27" i="11"/>
  <c r="BM27" i="11"/>
  <c r="AW27" i="11"/>
  <c r="AG27" i="11"/>
  <c r="Q27" i="11"/>
  <c r="BW26" i="11"/>
  <c r="BG26" i="11"/>
  <c r="AQ26" i="11"/>
  <c r="AA26" i="11"/>
  <c r="CG25" i="11"/>
  <c r="BQ25" i="11"/>
  <c r="BA25" i="11"/>
  <c r="AK25" i="11"/>
  <c r="U25" i="11"/>
  <c r="CA24" i="11"/>
  <c r="BK24" i="11"/>
  <c r="AU24" i="11"/>
  <c r="AE24" i="11"/>
  <c r="O24" i="11"/>
  <c r="CK23" i="11"/>
  <c r="BU23" i="11"/>
  <c r="BE23" i="11"/>
  <c r="AO23" i="11"/>
  <c r="Y23" i="11"/>
  <c r="CE22" i="11"/>
  <c r="BO22" i="11"/>
  <c r="AY22" i="11"/>
  <c r="AI22" i="11"/>
  <c r="S22" i="11"/>
  <c r="BY21" i="11"/>
  <c r="BI21" i="11"/>
  <c r="AS21" i="11"/>
  <c r="AC21" i="11"/>
  <c r="M21" i="11"/>
  <c r="CI20" i="11"/>
  <c r="BS20" i="11"/>
  <c r="BC20" i="11"/>
  <c r="AM20" i="11"/>
  <c r="W20" i="11"/>
  <c r="CC19" i="11"/>
  <c r="BM19" i="11"/>
  <c r="AW19" i="11"/>
  <c r="AG19" i="11"/>
  <c r="Q19" i="11"/>
  <c r="BW18" i="11"/>
  <c r="BG18" i="11"/>
  <c r="AQ18" i="11"/>
  <c r="AA18" i="11"/>
  <c r="CG17" i="11"/>
  <c r="BQ17" i="11"/>
  <c r="BA17" i="11"/>
  <c r="AK17" i="11"/>
  <c r="U17" i="11"/>
  <c r="CK42" i="11"/>
  <c r="BP42" i="11"/>
  <c r="AP42" i="11"/>
  <c r="U42" i="11"/>
  <c r="CI41" i="11"/>
  <c r="BN41" i="11"/>
  <c r="AS41" i="11"/>
  <c r="S41" i="11"/>
  <c r="CJ40" i="11"/>
  <c r="BJ40" i="11"/>
  <c r="AO40" i="11"/>
  <c r="O40" i="11"/>
  <c r="CH39" i="11"/>
  <c r="BM39" i="11"/>
  <c r="AO39" i="11"/>
  <c r="U39" i="11"/>
  <c r="BO38" i="11"/>
  <c r="AU38" i="11"/>
  <c r="AA38" i="11"/>
  <c r="BU37" i="11"/>
  <c r="BA37" i="11"/>
  <c r="AC37" i="11"/>
  <c r="CE36" i="11"/>
  <c r="BM36" i="11"/>
  <c r="AU36" i="11"/>
  <c r="AA36" i="11"/>
  <c r="CC35" i="11"/>
  <c r="BL35" i="11"/>
  <c r="AV35" i="11"/>
  <c r="AF35" i="11"/>
  <c r="P35" i="11"/>
  <c r="BV34" i="11"/>
  <c r="BF34" i="11"/>
  <c r="AP34" i="11"/>
  <c r="Z34" i="11"/>
  <c r="CF33" i="11"/>
  <c r="BP33" i="11"/>
  <c r="AZ33" i="11"/>
  <c r="AJ33" i="11"/>
  <c r="T33" i="11"/>
  <c r="BZ32" i="11"/>
  <c r="BJ32" i="11"/>
  <c r="AT32" i="11"/>
  <c r="AD32" i="11"/>
  <c r="N32" i="11"/>
  <c r="CJ31" i="11"/>
  <c r="BT31" i="11"/>
  <c r="BD31" i="11"/>
  <c r="AN31" i="11"/>
  <c r="X31" i="11"/>
  <c r="CD30" i="11"/>
  <c r="BN30" i="11"/>
  <c r="AX30" i="11"/>
  <c r="AH30" i="11"/>
  <c r="R30" i="11"/>
  <c r="BX29" i="11"/>
  <c r="BH29" i="11"/>
  <c r="AR29" i="11"/>
  <c r="AB29" i="11"/>
  <c r="L29" i="11"/>
  <c r="CH28" i="11"/>
  <c r="BR28" i="11"/>
  <c r="BB28" i="11"/>
  <c r="AL28" i="11"/>
  <c r="V28" i="11"/>
  <c r="CB27" i="11"/>
  <c r="BL27" i="11"/>
  <c r="AV27" i="11"/>
  <c r="AF27" i="11"/>
  <c r="P27" i="11"/>
  <c r="BV26" i="11"/>
  <c r="BF26" i="11"/>
  <c r="AP26" i="11"/>
  <c r="Z26" i="11"/>
  <c r="CF25" i="11"/>
  <c r="BP25" i="11"/>
  <c r="AZ25" i="11"/>
  <c r="AJ25" i="11"/>
  <c r="T25" i="11"/>
  <c r="CJ42" i="11"/>
  <c r="BO42" i="11"/>
  <c r="AO42" i="11"/>
  <c r="T42" i="11"/>
  <c r="CH41" i="11"/>
  <c r="BM41" i="11"/>
  <c r="AM41" i="11"/>
  <c r="R41" i="11"/>
  <c r="CI40" i="11"/>
  <c r="BI40" i="11"/>
  <c r="AN40" i="11"/>
  <c r="N40" i="11"/>
  <c r="CG39" i="11"/>
  <c r="BI39" i="11"/>
  <c r="AN39" i="11"/>
  <c r="T39" i="11"/>
  <c r="CI38" i="11"/>
  <c r="BN38" i="11"/>
  <c r="AT38" i="11"/>
  <c r="W38" i="11"/>
  <c r="BT37" i="11"/>
  <c r="AW37" i="11"/>
  <c r="AB37" i="11"/>
  <c r="CD36" i="11"/>
  <c r="BL36" i="11"/>
  <c r="AT36" i="11"/>
  <c r="Z36" i="11"/>
  <c r="CB35" i="11"/>
  <c r="BK35" i="11"/>
  <c r="AU35" i="11"/>
  <c r="AE35" i="11"/>
  <c r="O35" i="11"/>
  <c r="CK34" i="11"/>
  <c r="BU34" i="11"/>
  <c r="BE34" i="11"/>
  <c r="AO34" i="11"/>
  <c r="Y34" i="11"/>
  <c r="CE33" i="11"/>
  <c r="BO33" i="11"/>
  <c r="AY33" i="11"/>
  <c r="AI33" i="11"/>
  <c r="S33" i="11"/>
  <c r="BY32" i="11"/>
  <c r="BI32" i="11"/>
  <c r="AS32" i="11"/>
  <c r="AC32" i="11"/>
  <c r="M32" i="11"/>
  <c r="CI31" i="11"/>
  <c r="BS31" i="11"/>
  <c r="BC31" i="11"/>
  <c r="AM31" i="11"/>
  <c r="W31" i="11"/>
  <c r="CC30" i="11"/>
  <c r="BM30" i="11"/>
  <c r="AW30" i="11"/>
  <c r="AG30" i="11"/>
  <c r="Q30" i="11"/>
  <c r="BW29" i="11"/>
  <c r="BG29" i="11"/>
  <c r="AQ29" i="11"/>
  <c r="AA29" i="11"/>
  <c r="CG28" i="11"/>
  <c r="BQ28" i="11"/>
  <c r="BA28" i="11"/>
  <c r="AK28" i="11"/>
  <c r="U28" i="11"/>
  <c r="CA27" i="11"/>
  <c r="BK27" i="11"/>
  <c r="AU27" i="11"/>
  <c r="AE27" i="11"/>
  <c r="O27" i="11"/>
  <c r="CK26" i="11"/>
  <c r="BU26" i="11"/>
  <c r="BE26" i="11"/>
  <c r="AO26" i="11"/>
  <c r="Y26" i="11"/>
  <c r="CE25" i="11"/>
  <c r="BO25" i="11"/>
  <c r="AY25" i="11"/>
  <c r="AI25" i="11"/>
  <c r="S25" i="11"/>
  <c r="BY24" i="11"/>
  <c r="BI24" i="11"/>
  <c r="AS24" i="11"/>
  <c r="AC24" i="11"/>
  <c r="M24" i="11"/>
  <c r="CI23" i="11"/>
  <c r="BS23" i="11"/>
  <c r="BC23" i="11"/>
  <c r="AM23" i="11"/>
  <c r="W23" i="11"/>
  <c r="CC22" i="11"/>
  <c r="BM22" i="11"/>
  <c r="AW22" i="11"/>
  <c r="AG22" i="11"/>
  <c r="Q22" i="11"/>
  <c r="BW21" i="11"/>
  <c r="BG21" i="11"/>
  <c r="AQ21" i="11"/>
  <c r="AA21" i="11"/>
  <c r="CI42" i="11"/>
  <c r="BI42" i="11"/>
  <c r="AN42" i="11"/>
  <c r="S42" i="11"/>
  <c r="CG41" i="11"/>
  <c r="BL41" i="11"/>
  <c r="AL41" i="11"/>
  <c r="Q41" i="11"/>
  <c r="CC40" i="11"/>
  <c r="BH40" i="11"/>
  <c r="AM40" i="11"/>
  <c r="M40" i="11"/>
  <c r="CF39" i="11"/>
  <c r="BG39" i="11"/>
  <c r="AM39" i="11"/>
  <c r="S39" i="11"/>
  <c r="CG38" i="11"/>
  <c r="BM38" i="11"/>
  <c r="AS38" i="11"/>
  <c r="U38" i="11"/>
  <c r="BS37" i="11"/>
  <c r="AU37" i="11"/>
  <c r="AA37" i="11"/>
  <c r="CC36" i="11"/>
  <c r="BK36" i="11"/>
  <c r="AQ36" i="11"/>
  <c r="Y36" i="11"/>
  <c r="CA35" i="11"/>
  <c r="BJ35" i="11"/>
  <c r="AT35" i="11"/>
  <c r="AD35" i="11"/>
  <c r="N35" i="11"/>
  <c r="CJ34" i="11"/>
  <c r="BT34" i="11"/>
  <c r="BD34" i="11"/>
  <c r="AN34" i="11"/>
  <c r="X34" i="11"/>
  <c r="CD33" i="11"/>
  <c r="BN33" i="11"/>
  <c r="AX33" i="11"/>
  <c r="AH33" i="11"/>
  <c r="R33" i="11"/>
  <c r="BX32" i="11"/>
  <c r="BH32" i="11"/>
  <c r="AR32" i="11"/>
  <c r="AB32" i="11"/>
  <c r="L32" i="11"/>
  <c r="CH31" i="11"/>
  <c r="BR31" i="11"/>
  <c r="BB31" i="11"/>
  <c r="AL31" i="11"/>
  <c r="V31" i="11"/>
  <c r="CB30" i="11"/>
  <c r="BL30" i="11"/>
  <c r="AV30" i="11"/>
  <c r="AF30" i="11"/>
  <c r="P30" i="11"/>
  <c r="BV29" i="11"/>
  <c r="BF29" i="11"/>
  <c r="AP29" i="11"/>
  <c r="Z29" i="11"/>
  <c r="CF28" i="11"/>
  <c r="BP28" i="11"/>
  <c r="AZ28" i="11"/>
  <c r="AJ28" i="11"/>
  <c r="T28" i="11"/>
  <c r="CH42" i="11"/>
  <c r="BH42" i="11"/>
  <c r="AM42" i="11"/>
  <c r="M42" i="11"/>
  <c r="CF41" i="11"/>
  <c r="BK41" i="11"/>
  <c r="AK41" i="11"/>
  <c r="P41" i="11"/>
  <c r="CB40" i="11"/>
  <c r="BG40" i="11"/>
  <c r="AG40" i="11"/>
  <c r="L40" i="11"/>
  <c r="CE39" i="11"/>
  <c r="BF39" i="11"/>
  <c r="AL39" i="11"/>
  <c r="R39" i="11"/>
  <c r="CF38" i="11"/>
  <c r="BL38" i="11"/>
  <c r="AR38" i="11"/>
  <c r="T38" i="11"/>
  <c r="BR37" i="11"/>
  <c r="AT37" i="11"/>
  <c r="Z37" i="11"/>
  <c r="CB36" i="11"/>
  <c r="BJ36" i="11"/>
  <c r="AP36" i="11"/>
  <c r="X36" i="11"/>
  <c r="BZ35" i="11"/>
  <c r="BI35" i="11"/>
  <c r="AS35" i="11"/>
  <c r="AC35" i="11"/>
  <c r="M35" i="11"/>
  <c r="CI34" i="11"/>
  <c r="BS34" i="11"/>
  <c r="BC34" i="11"/>
  <c r="AM34" i="11"/>
  <c r="W34" i="11"/>
  <c r="CC33" i="11"/>
  <c r="BM33" i="11"/>
  <c r="AW33" i="11"/>
  <c r="AG33" i="11"/>
  <c r="Q33" i="11"/>
  <c r="BW32" i="11"/>
  <c r="BG32" i="11"/>
  <c r="AQ32" i="11"/>
  <c r="AA32" i="11"/>
  <c r="CG31" i="11"/>
  <c r="BQ31" i="11"/>
  <c r="BA31" i="11"/>
  <c r="AK31" i="11"/>
  <c r="U31" i="11"/>
  <c r="CA30" i="11"/>
  <c r="BK30" i="11"/>
  <c r="AU30" i="11"/>
  <c r="AE30" i="11"/>
  <c r="O30" i="11"/>
  <c r="CK29" i="11"/>
  <c r="BU29" i="11"/>
  <c r="BE29" i="11"/>
  <c r="AO29" i="11"/>
  <c r="Y29" i="11"/>
  <c r="CE28" i="11"/>
  <c r="BO28" i="11"/>
  <c r="AY28" i="11"/>
  <c r="AI28" i="11"/>
  <c r="S28" i="11"/>
  <c r="BY27" i="11"/>
  <c r="BI27" i="11"/>
  <c r="AS27" i="11"/>
  <c r="AC27" i="11"/>
  <c r="M27" i="11"/>
  <c r="CI26" i="11"/>
  <c r="BS26" i="11"/>
  <c r="BC26" i="11"/>
  <c r="AM26" i="11"/>
  <c r="W26" i="11"/>
  <c r="CC25" i="11"/>
  <c r="BM25" i="11"/>
  <c r="AW25" i="11"/>
  <c r="AG25" i="11"/>
  <c r="Q25" i="11"/>
  <c r="BW24" i="11"/>
  <c r="BG24" i="11"/>
  <c r="AQ24" i="11"/>
  <c r="AA24" i="11"/>
  <c r="CG23" i="11"/>
  <c r="BQ23" i="11"/>
  <c r="BA23" i="11"/>
  <c r="AK23" i="11"/>
  <c r="U23" i="11"/>
  <c r="CA22" i="11"/>
  <c r="BK22" i="11"/>
  <c r="AU22" i="11"/>
  <c r="AE22" i="11"/>
  <c r="O22" i="11"/>
  <c r="CK21" i="11"/>
  <c r="BU21" i="11"/>
  <c r="BE21" i="11"/>
  <c r="AO21" i="11"/>
  <c r="Y21" i="11"/>
  <c r="CE20" i="11"/>
  <c r="BO20" i="11"/>
  <c r="AY20" i="11"/>
  <c r="CG42" i="11"/>
  <c r="BG42" i="11"/>
  <c r="AL42" i="11"/>
  <c r="L42" i="11"/>
  <c r="CE41" i="11"/>
  <c r="BJ41" i="11"/>
  <c r="AJ41" i="11"/>
  <c r="O41" i="11"/>
  <c r="CA40" i="11"/>
  <c r="BF40" i="11"/>
  <c r="AF40" i="11"/>
  <c r="CD39" i="11"/>
  <c r="BE39" i="11"/>
  <c r="AK39" i="11"/>
  <c r="Q39" i="11"/>
  <c r="CE38" i="11"/>
  <c r="BK38" i="11"/>
  <c r="AQ38" i="11"/>
  <c r="S38" i="11"/>
  <c r="CK37" i="11"/>
  <c r="BQ37" i="11"/>
  <c r="AS37" i="11"/>
  <c r="Y37" i="11"/>
  <c r="CA36" i="11"/>
  <c r="BG36" i="11"/>
  <c r="AO36" i="11"/>
  <c r="W36" i="11"/>
  <c r="BY35" i="11"/>
  <c r="BH35" i="11"/>
  <c r="AR35" i="11"/>
  <c r="AB35" i="11"/>
  <c r="L35" i="11"/>
  <c r="CH34" i="11"/>
  <c r="BR34" i="11"/>
  <c r="BB34" i="11"/>
  <c r="AL34" i="11"/>
  <c r="V34" i="11"/>
  <c r="CB33" i="11"/>
  <c r="BL33" i="11"/>
  <c r="AV33" i="11"/>
  <c r="AF33" i="11"/>
  <c r="P33" i="11"/>
  <c r="BV32" i="11"/>
  <c r="BF32" i="11"/>
  <c r="AP32" i="11"/>
  <c r="Z32" i="11"/>
  <c r="CF31" i="11"/>
  <c r="BP31" i="11"/>
  <c r="AZ31" i="11"/>
  <c r="AJ31" i="11"/>
  <c r="T31" i="11"/>
  <c r="BZ30" i="11"/>
  <c r="BJ30" i="11"/>
  <c r="AT30" i="11"/>
  <c r="AD30" i="11"/>
  <c r="N30" i="11"/>
  <c r="CJ29" i="11"/>
  <c r="BT29" i="11"/>
  <c r="BD29" i="11"/>
  <c r="AN29" i="11"/>
  <c r="X29" i="11"/>
  <c r="CD28" i="11"/>
  <c r="BN28" i="11"/>
  <c r="AX28" i="11"/>
  <c r="AH28" i="11"/>
  <c r="R28" i="11"/>
  <c r="BX27" i="11"/>
  <c r="BH27" i="11"/>
  <c r="AR27" i="11"/>
  <c r="AB27" i="11"/>
  <c r="L27" i="11"/>
  <c r="CH26" i="11"/>
  <c r="BR26" i="11"/>
  <c r="BB26" i="11"/>
  <c r="AL26" i="11"/>
  <c r="V26" i="11"/>
  <c r="CB25" i="11"/>
  <c r="BL25" i="11"/>
  <c r="AV25" i="11"/>
  <c r="AF25" i="11"/>
  <c r="P25" i="11"/>
  <c r="BV24" i="11"/>
  <c r="BF24" i="11"/>
  <c r="AP24" i="11"/>
  <c r="Z24" i="11"/>
  <c r="CF23" i="11"/>
  <c r="BP23" i="11"/>
  <c r="AZ23" i="11"/>
  <c r="AJ23" i="11"/>
  <c r="T23" i="11"/>
  <c r="CF42" i="11"/>
  <c r="BF42" i="11"/>
  <c r="AK42" i="11"/>
  <c r="CD41" i="11"/>
  <c r="BI41" i="11"/>
  <c r="AI41" i="11"/>
  <c r="N41" i="11"/>
  <c r="BZ40" i="11"/>
  <c r="BE40" i="11"/>
  <c r="AE40" i="11"/>
  <c r="CC39" i="11"/>
  <c r="BD39" i="11"/>
  <c r="AJ39" i="11"/>
  <c r="M39" i="11"/>
  <c r="CD38" i="11"/>
  <c r="BJ38" i="11"/>
  <c r="AM38" i="11"/>
  <c r="R38" i="11"/>
  <c r="CJ37" i="11"/>
  <c r="BM37" i="11"/>
  <c r="AR37" i="11"/>
  <c r="X37" i="11"/>
  <c r="BZ36" i="11"/>
  <c r="BF36" i="11"/>
  <c r="AN36" i="11"/>
  <c r="V36" i="11"/>
  <c r="CE42" i="11"/>
  <c r="BE42" i="11"/>
  <c r="AJ42" i="11"/>
  <c r="CC41" i="11"/>
  <c r="BC41" i="11"/>
  <c r="AH41" i="11"/>
  <c r="M41" i="11"/>
  <c r="BY40" i="11"/>
  <c r="BD40" i="11"/>
  <c r="AD40" i="11"/>
  <c r="BW39" i="11"/>
  <c r="BC39" i="11"/>
  <c r="AI39" i="11"/>
  <c r="CC38" i="11"/>
  <c r="BI38" i="11"/>
  <c r="AK38" i="11"/>
  <c r="Q38" i="11"/>
  <c r="CI37" i="11"/>
  <c r="BK37" i="11"/>
  <c r="AQ37" i="11"/>
  <c r="W37" i="11"/>
  <c r="BW36" i="11"/>
  <c r="BE36" i="11"/>
  <c r="AM36" i="11"/>
  <c r="U36" i="11"/>
  <c r="BW35" i="11"/>
  <c r="BY42" i="11"/>
  <c r="BD42" i="11"/>
  <c r="AI42" i="11"/>
  <c r="CB41" i="11"/>
  <c r="BB41" i="11"/>
  <c r="AG41" i="11"/>
  <c r="BX40" i="11"/>
  <c r="BC40" i="11"/>
  <c r="AC40" i="11"/>
  <c r="BW42" i="11"/>
  <c r="BB42" i="11"/>
  <c r="AB42" i="11"/>
  <c r="BZ41" i="11"/>
  <c r="AZ41" i="11"/>
  <c r="AE41" i="11"/>
  <c r="BV40" i="11"/>
  <c r="AV40" i="11"/>
  <c r="AA40" i="11"/>
  <c r="BT39" i="11"/>
  <c r="AZ39" i="11"/>
  <c r="AC39" i="11"/>
  <c r="BZ38" i="11"/>
  <c r="BC38" i="11"/>
  <c r="AH38" i="11"/>
  <c r="N38" i="11"/>
  <c r="CC37" i="11"/>
  <c r="BH37" i="11"/>
  <c r="AN37" i="11"/>
  <c r="Q37" i="11"/>
  <c r="BT36" i="11"/>
  <c r="BB36" i="11"/>
  <c r="BU42" i="11"/>
  <c r="AZ42" i="11"/>
  <c r="Z42" i="11"/>
  <c r="BS41" i="11"/>
  <c r="AX41" i="11"/>
  <c r="AC41" i="11"/>
  <c r="BT40" i="11"/>
  <c r="AT40" i="11"/>
  <c r="Y40" i="11"/>
  <c r="BR39" i="11"/>
  <c r="AX39" i="11"/>
  <c r="Z39" i="11"/>
  <c r="BX38" i="11"/>
  <c r="AZ38" i="11"/>
  <c r="AF38" i="11"/>
  <c r="L38" i="11"/>
  <c r="BZ37" i="11"/>
  <c r="BF37" i="11"/>
  <c r="BT42" i="11"/>
  <c r="AY42" i="11"/>
  <c r="Y42" i="11"/>
  <c r="BS42" i="11"/>
  <c r="BA41" i="11"/>
  <c r="BM40" i="11"/>
  <c r="BU39" i="11"/>
  <c r="AJ38" i="11"/>
  <c r="BY37" i="11"/>
  <c r="O37" i="11"/>
  <c r="BD36" i="11"/>
  <c r="Q36" i="11"/>
  <c r="BS35" i="11"/>
  <c r="AN35" i="11"/>
  <c r="CA34" i="11"/>
  <c r="AW34" i="11"/>
  <c r="S34" i="11"/>
  <c r="CA33" i="11"/>
  <c r="BD33" i="11"/>
  <c r="Z33" i="11"/>
  <c r="CK32" i="11"/>
  <c r="BN32" i="11"/>
  <c r="AJ32" i="11"/>
  <c r="BN31" i="11"/>
  <c r="AQ31" i="11"/>
  <c r="M31" i="11"/>
  <c r="BU30" i="11"/>
  <c r="AQ30" i="11"/>
  <c r="M30" i="11"/>
  <c r="CE29" i="11"/>
  <c r="BA29" i="11"/>
  <c r="W29" i="11"/>
  <c r="BH28" i="11"/>
  <c r="AD28" i="11"/>
  <c r="BR27" i="11"/>
  <c r="AP27" i="11"/>
  <c r="T27" i="11"/>
  <c r="CF26" i="11"/>
  <c r="BJ26" i="11"/>
  <c r="AH26" i="11"/>
  <c r="BV25" i="11"/>
  <c r="AT25" i="11"/>
  <c r="X25" i="11"/>
  <c r="CJ24" i="11"/>
  <c r="BO24" i="11"/>
  <c r="AO24" i="11"/>
  <c r="T24" i="11"/>
  <c r="CH23" i="11"/>
  <c r="BK23" i="11"/>
  <c r="AN23" i="11"/>
  <c r="P23" i="11"/>
  <c r="CG22" i="11"/>
  <c r="BI22" i="11"/>
  <c r="AO22" i="11"/>
  <c r="U22" i="11"/>
  <c r="BQ21" i="11"/>
  <c r="AW21" i="11"/>
  <c r="Z21" i="11"/>
  <c r="BX20" i="11"/>
  <c r="BE20" i="11"/>
  <c r="AJ20" i="11"/>
  <c r="R20" i="11"/>
  <c r="BT19" i="11"/>
  <c r="BB19" i="11"/>
  <c r="AJ19" i="11"/>
  <c r="P19" i="11"/>
  <c r="BT18" i="11"/>
  <c r="BB18" i="11"/>
  <c r="AJ18" i="11"/>
  <c r="R18" i="11"/>
  <c r="BT17" i="11"/>
  <c r="AZ17" i="11"/>
  <c r="AH17" i="11"/>
  <c r="P17" i="11"/>
  <c r="CK16" i="11"/>
  <c r="BT16" i="11"/>
  <c r="BC16" i="11"/>
  <c r="AL16" i="11"/>
  <c r="U16" i="11"/>
  <c r="BZ15" i="11"/>
  <c r="BJ15" i="11"/>
  <c r="AT15" i="11"/>
  <c r="AD15" i="11"/>
  <c r="N15" i="11"/>
  <c r="CJ14" i="11"/>
  <c r="BT14" i="11"/>
  <c r="BD14" i="11"/>
  <c r="AN14" i="11"/>
  <c r="X14" i="11"/>
  <c r="CD13" i="11"/>
  <c r="BN13" i="11"/>
  <c r="AX13" i="11"/>
  <c r="AH13" i="11"/>
  <c r="R13" i="11"/>
  <c r="BX12" i="11"/>
  <c r="BH12" i="11"/>
  <c r="AR12" i="11"/>
  <c r="AB12" i="11"/>
  <c r="L12" i="11"/>
  <c r="CH11" i="11"/>
  <c r="BR11" i="11"/>
  <c r="BB11" i="11"/>
  <c r="AL11" i="11"/>
  <c r="V11" i="11"/>
  <c r="CB10" i="11"/>
  <c r="BL10" i="11"/>
  <c r="AV10" i="11"/>
  <c r="AF10" i="11"/>
  <c r="P10" i="11"/>
  <c r="BV9" i="11"/>
  <c r="BF9" i="11"/>
  <c r="AP9" i="11"/>
  <c r="Z9" i="11"/>
  <c r="CF8" i="11"/>
  <c r="BP8" i="11"/>
  <c r="AZ8" i="11"/>
  <c r="AJ8" i="11"/>
  <c r="T8" i="11"/>
  <c r="BZ7" i="11"/>
  <c r="BJ7" i="11"/>
  <c r="AT7" i="11"/>
  <c r="AD7" i="11"/>
  <c r="N7" i="11"/>
  <c r="CJ6" i="11"/>
  <c r="BT6" i="11"/>
  <c r="BD6" i="11"/>
  <c r="AN6" i="11"/>
  <c r="X6" i="11"/>
  <c r="CD5" i="11"/>
  <c r="BN5" i="11"/>
  <c r="AX5" i="11"/>
  <c r="AH5" i="11"/>
  <c r="R5" i="11"/>
  <c r="CH4" i="11"/>
  <c r="BR4" i="11"/>
  <c r="BB4" i="11"/>
  <c r="AL4" i="11"/>
  <c r="V4" i="11"/>
  <c r="BC42" i="11"/>
  <c r="AY41" i="11"/>
  <c r="AW40" i="11"/>
  <c r="BS39" i="11"/>
  <c r="AI38" i="11"/>
  <c r="BX37" i="11"/>
  <c r="N37" i="11"/>
  <c r="BC36" i="11"/>
  <c r="P36" i="11"/>
  <c r="BQ35" i="11"/>
  <c r="AM35" i="11"/>
  <c r="BZ34" i="11"/>
  <c r="AV34" i="11"/>
  <c r="R34" i="11"/>
  <c r="BZ33" i="11"/>
  <c r="BC33" i="11"/>
  <c r="Y33" i="11"/>
  <c r="CJ32" i="11"/>
  <c r="BM32" i="11"/>
  <c r="AI32" i="11"/>
  <c r="BM31" i="11"/>
  <c r="AI31" i="11"/>
  <c r="L31" i="11"/>
  <c r="BT30" i="11"/>
  <c r="AP30" i="11"/>
  <c r="L30" i="11"/>
  <c r="CD29" i="11"/>
  <c r="AZ29" i="11"/>
  <c r="V29" i="11"/>
  <c r="CK28" i="11"/>
  <c r="BG28" i="11"/>
  <c r="AC28" i="11"/>
  <c r="BQ27" i="11"/>
  <c r="AO27" i="11"/>
  <c r="S27" i="11"/>
  <c r="CE26" i="11"/>
  <c r="BI26" i="11"/>
  <c r="AG26" i="11"/>
  <c r="BU25" i="11"/>
  <c r="AS25" i="11"/>
  <c r="W25" i="11"/>
  <c r="CI24" i="11"/>
  <c r="BN24" i="11"/>
  <c r="AN24" i="11"/>
  <c r="S24" i="11"/>
  <c r="CE23" i="11"/>
  <c r="BJ23" i="11"/>
  <c r="AL23" i="11"/>
  <c r="O23" i="11"/>
  <c r="CD22" i="11"/>
  <c r="BH22" i="11"/>
  <c r="AN22" i="11"/>
  <c r="R22" i="11"/>
  <c r="CJ21" i="11"/>
  <c r="BP21" i="11"/>
  <c r="AV21" i="11"/>
  <c r="X21" i="11"/>
  <c r="BW20" i="11"/>
  <c r="BB20" i="11"/>
  <c r="AI20" i="11"/>
  <c r="Q20" i="11"/>
  <c r="CK19" i="11"/>
  <c r="BS19" i="11"/>
  <c r="BA19" i="11"/>
  <c r="AI19" i="11"/>
  <c r="O19" i="11"/>
  <c r="CK18" i="11"/>
  <c r="BS18" i="11"/>
  <c r="BA18" i="11"/>
  <c r="AI18" i="11"/>
  <c r="Q18" i="11"/>
  <c r="CK17" i="11"/>
  <c r="BS17" i="11"/>
  <c r="AY17" i="11"/>
  <c r="AG17" i="11"/>
  <c r="O17" i="11"/>
  <c r="CJ16" i="11"/>
  <c r="BS16" i="11"/>
  <c r="BB16" i="11"/>
  <c r="AK16" i="11"/>
  <c r="T16" i="11"/>
  <c r="BY15" i="11"/>
  <c r="BI15" i="11"/>
  <c r="AS15" i="11"/>
  <c r="AC15" i="11"/>
  <c r="M15" i="11"/>
  <c r="CI14" i="11"/>
  <c r="BS14" i="11"/>
  <c r="BC14" i="11"/>
  <c r="AM14" i="11"/>
  <c r="W14" i="11"/>
  <c r="CC13" i="11"/>
  <c r="BM13" i="11"/>
  <c r="AW13" i="11"/>
  <c r="AG13" i="11"/>
  <c r="Q13" i="11"/>
  <c r="BW12" i="11"/>
  <c r="BG12" i="11"/>
  <c r="AQ12" i="11"/>
  <c r="AA12" i="11"/>
  <c r="CG11" i="11"/>
  <c r="BQ11" i="11"/>
  <c r="BA11" i="11"/>
  <c r="AK11" i="11"/>
  <c r="U11" i="11"/>
  <c r="CA10" i="11"/>
  <c r="BK10" i="11"/>
  <c r="AU10" i="11"/>
  <c r="AE10" i="11"/>
  <c r="O10" i="11"/>
  <c r="CK9" i="11"/>
  <c r="BU9" i="11"/>
  <c r="BE9" i="11"/>
  <c r="AO9" i="11"/>
  <c r="Y9" i="11"/>
  <c r="CE8" i="11"/>
  <c r="BO8" i="11"/>
  <c r="AY8" i="11"/>
  <c r="AI8" i="11"/>
  <c r="S8" i="11"/>
  <c r="BY7" i="11"/>
  <c r="BI7" i="11"/>
  <c r="AS7" i="11"/>
  <c r="AC7" i="11"/>
  <c r="M7" i="11"/>
  <c r="CI6" i="11"/>
  <c r="BS6" i="11"/>
  <c r="BC6" i="11"/>
  <c r="AM6" i="11"/>
  <c r="W6" i="11"/>
  <c r="CC5" i="11"/>
  <c r="BM5" i="11"/>
  <c r="AW5" i="11"/>
  <c r="AG5" i="11"/>
  <c r="Q5" i="11"/>
  <c r="CG4" i="11"/>
  <c r="BQ4" i="11"/>
  <c r="BA4" i="11"/>
  <c r="AK4" i="11"/>
  <c r="U4" i="11"/>
  <c r="BA42" i="11"/>
  <c r="AW41" i="11"/>
  <c r="AU40" i="11"/>
  <c r="BQ39" i="11"/>
  <c r="AG38" i="11"/>
  <c r="BJ37" i="11"/>
  <c r="M37" i="11"/>
  <c r="BA36" i="11"/>
  <c r="O36" i="11"/>
  <c r="BP35" i="11"/>
  <c r="AL35" i="11"/>
  <c r="BY34" i="11"/>
  <c r="AU34" i="11"/>
  <c r="Q34" i="11"/>
  <c r="BY33" i="11"/>
  <c r="AU33" i="11"/>
  <c r="X33" i="11"/>
  <c r="CI32" i="11"/>
  <c r="BE32" i="11"/>
  <c r="AH32" i="11"/>
  <c r="BL31" i="11"/>
  <c r="AH31" i="11"/>
  <c r="BS30" i="11"/>
  <c r="AO30" i="11"/>
  <c r="CC29" i="11"/>
  <c r="AY29" i="11"/>
  <c r="U29" i="11"/>
  <c r="CC28" i="11"/>
  <c r="BF28" i="11"/>
  <c r="AB28" i="11"/>
  <c r="BP27" i="11"/>
  <c r="AN27" i="11"/>
  <c r="N27" i="11"/>
  <c r="CD26" i="11"/>
  <c r="BD26" i="11"/>
  <c r="AF26" i="11"/>
  <c r="BT25" i="11"/>
  <c r="AR25" i="11"/>
  <c r="R25" i="11"/>
  <c r="CH24" i="11"/>
  <c r="BM24" i="11"/>
  <c r="AM24" i="11"/>
  <c r="R24" i="11"/>
  <c r="CD23" i="11"/>
  <c r="BI23" i="11"/>
  <c r="AI23" i="11"/>
  <c r="N23" i="11"/>
  <c r="CB22" i="11"/>
  <c r="BG22" i="11"/>
  <c r="AM22" i="11"/>
  <c r="P22" i="11"/>
  <c r="CI21" i="11"/>
  <c r="BO21" i="11"/>
  <c r="AU21" i="11"/>
  <c r="W21" i="11"/>
  <c r="BV20" i="11"/>
  <c r="BA20" i="11"/>
  <c r="AH20" i="11"/>
  <c r="P20" i="11"/>
  <c r="CJ19" i="11"/>
  <c r="BR19" i="11"/>
  <c r="AZ19" i="11"/>
  <c r="AF19" i="11"/>
  <c r="N19" i="11"/>
  <c r="CJ18" i="11"/>
  <c r="BR18" i="11"/>
  <c r="AZ18" i="11"/>
  <c r="AH18" i="11"/>
  <c r="P18" i="11"/>
  <c r="CJ17" i="11"/>
  <c r="BP17" i="11"/>
  <c r="AX17" i="11"/>
  <c r="AF17" i="11"/>
  <c r="N17" i="11"/>
  <c r="CI16" i="11"/>
  <c r="BR16" i="11"/>
  <c r="BA16" i="11"/>
  <c r="AJ16" i="11"/>
  <c r="S16" i="11"/>
  <c r="BX15" i="11"/>
  <c r="BH15" i="11"/>
  <c r="AR15" i="11"/>
  <c r="AB15" i="11"/>
  <c r="L15" i="11"/>
  <c r="CH14" i="11"/>
  <c r="BR14" i="11"/>
  <c r="BB14" i="11"/>
  <c r="AL14" i="11"/>
  <c r="V14" i="11"/>
  <c r="CB13" i="11"/>
  <c r="BL13" i="11"/>
  <c r="AV13" i="11"/>
  <c r="AF13" i="11"/>
  <c r="P13" i="11"/>
  <c r="BV12" i="11"/>
  <c r="BF12" i="11"/>
  <c r="AP12" i="11"/>
  <c r="Z12" i="11"/>
  <c r="CF11" i="11"/>
  <c r="BP11" i="11"/>
  <c r="AZ11" i="11"/>
  <c r="AJ11" i="11"/>
  <c r="T11" i="11"/>
  <c r="BZ10" i="11"/>
  <c r="BJ10" i="11"/>
  <c r="AT10" i="11"/>
  <c r="AD10" i="11"/>
  <c r="N10" i="11"/>
  <c r="CJ9" i="11"/>
  <c r="BT9" i="11"/>
  <c r="BD9" i="11"/>
  <c r="AN9" i="11"/>
  <c r="X9" i="11"/>
  <c r="CD8" i="11"/>
  <c r="BN8" i="11"/>
  <c r="AX8" i="11"/>
  <c r="AH8" i="11"/>
  <c r="R8" i="11"/>
  <c r="BX7" i="11"/>
  <c r="BH7" i="11"/>
  <c r="AS42" i="11"/>
  <c r="AV41" i="11"/>
  <c r="AS40" i="11"/>
  <c r="BP39" i="11"/>
  <c r="AE38" i="11"/>
  <c r="BI37" i="11"/>
  <c r="AZ36" i="11"/>
  <c r="N36" i="11"/>
  <c r="BO35" i="11"/>
  <c r="AK35" i="11"/>
  <c r="BQ34" i="11"/>
  <c r="AT34" i="11"/>
  <c r="P34" i="11"/>
  <c r="BX33" i="11"/>
  <c r="AT33" i="11"/>
  <c r="W33" i="11"/>
  <c r="CH32" i="11"/>
  <c r="BD32" i="11"/>
  <c r="AG32" i="11"/>
  <c r="BK31" i="11"/>
  <c r="AG31" i="11"/>
  <c r="BR30" i="11"/>
  <c r="AN30" i="11"/>
  <c r="CB29" i="11"/>
  <c r="AX29" i="11"/>
  <c r="T29" i="11"/>
  <c r="CB28" i="11"/>
  <c r="BE28" i="11"/>
  <c r="AA28" i="11"/>
  <c r="CK27" i="11"/>
  <c r="BO27" i="11"/>
  <c r="AM27" i="11"/>
  <c r="CC26" i="11"/>
  <c r="BA26" i="11"/>
  <c r="AE26" i="11"/>
  <c r="BS25" i="11"/>
  <c r="AQ25" i="11"/>
  <c r="O25" i="11"/>
  <c r="CG24" i="11"/>
  <c r="BJ24" i="11"/>
  <c r="AL24" i="11"/>
  <c r="Q24" i="11"/>
  <c r="CC23" i="11"/>
  <c r="BH23" i="11"/>
  <c r="AH23" i="11"/>
  <c r="M23" i="11"/>
  <c r="BZ22" i="11"/>
  <c r="BF22" i="11"/>
  <c r="AL22" i="11"/>
  <c r="N22" i="11"/>
  <c r="CH21" i="11"/>
  <c r="BN21" i="11"/>
  <c r="AR21" i="11"/>
  <c r="V21" i="11"/>
  <c r="BU20" i="11"/>
  <c r="AZ20" i="11"/>
  <c r="AG20" i="11"/>
  <c r="O20" i="11"/>
  <c r="CI19" i="11"/>
  <c r="BQ19" i="11"/>
  <c r="AY19" i="11"/>
  <c r="AE19" i="11"/>
  <c r="M19" i="11"/>
  <c r="CI18" i="11"/>
  <c r="BQ18" i="11"/>
  <c r="AY18" i="11"/>
  <c r="AG18" i="11"/>
  <c r="O18" i="11"/>
  <c r="CI17" i="11"/>
  <c r="BO17" i="11"/>
  <c r="AW17" i="11"/>
  <c r="AE17" i="11"/>
  <c r="M17" i="11"/>
  <c r="CH16" i="11"/>
  <c r="BQ16" i="11"/>
  <c r="AZ16" i="11"/>
  <c r="AI16" i="11"/>
  <c r="R16" i="11"/>
  <c r="BW15" i="11"/>
  <c r="BG15" i="11"/>
  <c r="AQ15" i="11"/>
  <c r="AA15" i="11"/>
  <c r="CG14" i="11"/>
  <c r="BQ14" i="11"/>
  <c r="BA14" i="11"/>
  <c r="AK14" i="11"/>
  <c r="U14" i="11"/>
  <c r="CA13" i="11"/>
  <c r="BK13" i="11"/>
  <c r="AU13" i="11"/>
  <c r="AE13" i="11"/>
  <c r="O13" i="11"/>
  <c r="CK12" i="11"/>
  <c r="BU12" i="11"/>
  <c r="BE12" i="11"/>
  <c r="AO12" i="11"/>
  <c r="Y12" i="11"/>
  <c r="CE11" i="11"/>
  <c r="BO11" i="11"/>
  <c r="AY11" i="11"/>
  <c r="AI11" i="11"/>
  <c r="S11" i="11"/>
  <c r="BY10" i="11"/>
  <c r="BI10" i="11"/>
  <c r="AS10" i="11"/>
  <c r="AC10" i="11"/>
  <c r="M10" i="11"/>
  <c r="CI9" i="11"/>
  <c r="BS9" i="11"/>
  <c r="BC9" i="11"/>
  <c r="AM9" i="11"/>
  <c r="W9" i="11"/>
  <c r="CC8" i="11"/>
  <c r="BM8" i="11"/>
  <c r="AW8" i="11"/>
  <c r="AG8" i="11"/>
  <c r="Q8" i="11"/>
  <c r="AC42" i="11"/>
  <c r="AF41" i="11"/>
  <c r="AR40" i="11"/>
  <c r="BB39" i="11"/>
  <c r="AD38" i="11"/>
  <c r="BG37" i="11"/>
  <c r="AY36" i="11"/>
  <c r="BG35" i="11"/>
  <c r="AJ35" i="11"/>
  <c r="BP34" i="11"/>
  <c r="AS34" i="11"/>
  <c r="O34" i="11"/>
  <c r="BW33" i="11"/>
  <c r="AS33" i="11"/>
  <c r="O33" i="11"/>
  <c r="CG32" i="11"/>
  <c r="BC32" i="11"/>
  <c r="Y32" i="11"/>
  <c r="BJ31" i="11"/>
  <c r="AF31" i="11"/>
  <c r="BQ30" i="11"/>
  <c r="AM30" i="11"/>
  <c r="CA29" i="11"/>
  <c r="AW29" i="11"/>
  <c r="S29" i="11"/>
  <c r="CA28" i="11"/>
  <c r="AW28" i="11"/>
  <c r="Z28" i="11"/>
  <c r="CJ27" i="11"/>
  <c r="BJ27" i="11"/>
  <c r="AL27" i="11"/>
  <c r="CB26" i="11"/>
  <c r="AZ26" i="11"/>
  <c r="AD26" i="11"/>
  <c r="BN25" i="11"/>
  <c r="AP25" i="11"/>
  <c r="N25" i="11"/>
  <c r="CF24" i="11"/>
  <c r="BH24" i="11"/>
  <c r="AK24" i="11"/>
  <c r="N24" i="11"/>
  <c r="CB23" i="11"/>
  <c r="BG23" i="11"/>
  <c r="AG23" i="11"/>
  <c r="L23" i="11"/>
  <c r="BY22" i="11"/>
  <c r="BE22" i="11"/>
  <c r="AK22" i="11"/>
  <c r="M22" i="11"/>
  <c r="CG21" i="11"/>
  <c r="BM21" i="11"/>
  <c r="AP21" i="11"/>
  <c r="U21" i="11"/>
  <c r="BR20" i="11"/>
  <c r="AX20" i="11"/>
  <c r="AF20" i="11"/>
  <c r="N20" i="11"/>
  <c r="CH19" i="11"/>
  <c r="BP19" i="11"/>
  <c r="AV19" i="11"/>
  <c r="AD19" i="11"/>
  <c r="L19" i="11"/>
  <c r="CH18" i="11"/>
  <c r="BP18" i="11"/>
  <c r="AX18" i="11"/>
  <c r="AF18" i="11"/>
  <c r="N18" i="11"/>
  <c r="CF17" i="11"/>
  <c r="BN17" i="11"/>
  <c r="AV17" i="11"/>
  <c r="AD17" i="11"/>
  <c r="L17" i="11"/>
  <c r="CG16" i="11"/>
  <c r="BP16" i="11"/>
  <c r="AY16" i="11"/>
  <c r="AH16" i="11"/>
  <c r="Q16" i="11"/>
  <c r="BV15" i="11"/>
  <c r="BF15" i="11"/>
  <c r="AP15" i="11"/>
  <c r="Z15" i="11"/>
  <c r="CF14" i="11"/>
  <c r="BP14" i="11"/>
  <c r="AZ14" i="11"/>
  <c r="AJ14" i="11"/>
  <c r="T14" i="11"/>
  <c r="BZ13" i="11"/>
  <c r="BJ13" i="11"/>
  <c r="AT13" i="11"/>
  <c r="AD13" i="11"/>
  <c r="N13" i="11"/>
  <c r="CJ12" i="11"/>
  <c r="BT12" i="11"/>
  <c r="BD12" i="11"/>
  <c r="AN12" i="11"/>
  <c r="X12" i="11"/>
  <c r="CD11" i="11"/>
  <c r="BN11" i="11"/>
  <c r="AX11" i="11"/>
  <c r="AH11" i="11"/>
  <c r="R11" i="11"/>
  <c r="BX10" i="11"/>
  <c r="BH10" i="11"/>
  <c r="AR10" i="11"/>
  <c r="AB10" i="11"/>
  <c r="L10" i="11"/>
  <c r="CH9" i="11"/>
  <c r="BR9" i="11"/>
  <c r="BB9" i="11"/>
  <c r="AL9" i="11"/>
  <c r="V9" i="11"/>
  <c r="CB8" i="11"/>
  <c r="BL8" i="11"/>
  <c r="AV8" i="11"/>
  <c r="AF8" i="11"/>
  <c r="P8" i="11"/>
  <c r="BV7" i="11"/>
  <c r="BF7" i="11"/>
  <c r="AP7" i="11"/>
  <c r="Z7" i="11"/>
  <c r="CF6" i="11"/>
  <c r="BP6" i="11"/>
  <c r="AZ6" i="11"/>
  <c r="AJ6" i="11"/>
  <c r="T6" i="11"/>
  <c r="BZ5" i="11"/>
  <c r="BJ5" i="11"/>
  <c r="AT5" i="11"/>
  <c r="AD5" i="11"/>
  <c r="N5" i="11"/>
  <c r="CD4" i="11"/>
  <c r="BN4" i="11"/>
  <c r="AX4" i="11"/>
  <c r="AH4" i="11"/>
  <c r="R4" i="11"/>
  <c r="AA42" i="11"/>
  <c r="AD41" i="11"/>
  <c r="AB40" i="11"/>
  <c r="BA39" i="11"/>
  <c r="P38" i="11"/>
  <c r="BE37" i="11"/>
  <c r="AX36" i="11"/>
  <c r="BF35" i="11"/>
  <c r="AI35" i="11"/>
  <c r="BO34" i="11"/>
  <c r="AK34" i="11"/>
  <c r="N34" i="11"/>
  <c r="BV33" i="11"/>
  <c r="AR33" i="11"/>
  <c r="N33" i="11"/>
  <c r="CF32" i="11"/>
  <c r="BB32" i="11"/>
  <c r="X32" i="11"/>
  <c r="BI31" i="11"/>
  <c r="AE31" i="11"/>
  <c r="BI30" i="11"/>
  <c r="AL30" i="11"/>
  <c r="BS29" i="11"/>
  <c r="AV29" i="11"/>
  <c r="R29" i="11"/>
  <c r="BZ28" i="11"/>
  <c r="AV28" i="11"/>
  <c r="Y28" i="11"/>
  <c r="CI27" i="11"/>
  <c r="BG27" i="11"/>
  <c r="AK27" i="11"/>
  <c r="CA26" i="11"/>
  <c r="AY26" i="11"/>
  <c r="AC26" i="11"/>
  <c r="BK25" i="11"/>
  <c r="AO25" i="11"/>
  <c r="M25" i="11"/>
  <c r="CE24" i="11"/>
  <c r="BE24" i="11"/>
  <c r="AJ24" i="11"/>
  <c r="L24" i="11"/>
  <c r="CA23" i="11"/>
  <c r="BD23" i="11"/>
  <c r="AF23" i="11"/>
  <c r="BX22" i="11"/>
  <c r="BD22" i="11"/>
  <c r="AH22" i="11"/>
  <c r="L22" i="11"/>
  <c r="CF21" i="11"/>
  <c r="BL21" i="11"/>
  <c r="AN21" i="11"/>
  <c r="T21" i="11"/>
  <c r="BQ20" i="11"/>
  <c r="AW20" i="11"/>
  <c r="AE20" i="11"/>
  <c r="M20" i="11"/>
  <c r="CG19" i="11"/>
  <c r="BO19" i="11"/>
  <c r="AU19" i="11"/>
  <c r="AC19" i="11"/>
  <c r="CG18" i="11"/>
  <c r="BO18" i="11"/>
  <c r="AW18" i="11"/>
  <c r="AE18" i="11"/>
  <c r="M18" i="11"/>
  <c r="CE17" i="11"/>
  <c r="BM17" i="11"/>
  <c r="AU17" i="11"/>
  <c r="AC17" i="11"/>
  <c r="CF16" i="11"/>
  <c r="BO16" i="11"/>
  <c r="AX16" i="11"/>
  <c r="AG16" i="11"/>
  <c r="O16" i="11"/>
  <c r="CK15" i="11"/>
  <c r="BU15" i="11"/>
  <c r="BE15" i="11"/>
  <c r="AO15" i="11"/>
  <c r="Y15" i="11"/>
  <c r="CE14" i="11"/>
  <c r="BO14" i="11"/>
  <c r="AY14" i="11"/>
  <c r="AI14" i="11"/>
  <c r="S14" i="11"/>
  <c r="BY13" i="11"/>
  <c r="BI13" i="11"/>
  <c r="AS13" i="11"/>
  <c r="AC13" i="11"/>
  <c r="M13" i="11"/>
  <c r="CI12" i="11"/>
  <c r="BS12" i="11"/>
  <c r="BC12" i="11"/>
  <c r="AM12" i="11"/>
  <c r="W12" i="11"/>
  <c r="CC11" i="11"/>
  <c r="BM11" i="11"/>
  <c r="AW11" i="11"/>
  <c r="AG11" i="11"/>
  <c r="Q11" i="11"/>
  <c r="BW10" i="11"/>
  <c r="BG10" i="11"/>
  <c r="AQ10" i="11"/>
  <c r="AA10" i="11"/>
  <c r="CG9" i="11"/>
  <c r="BQ9" i="11"/>
  <c r="BA9" i="11"/>
  <c r="AK9" i="11"/>
  <c r="U9" i="11"/>
  <c r="CA8" i="11"/>
  <c r="BK8" i="11"/>
  <c r="AU8" i="11"/>
  <c r="AE8" i="11"/>
  <c r="O8" i="11"/>
  <c r="CK7" i="11"/>
  <c r="BU7" i="11"/>
  <c r="BE7" i="11"/>
  <c r="AO7" i="11"/>
  <c r="Y7" i="11"/>
  <c r="CE6" i="11"/>
  <c r="BO6" i="11"/>
  <c r="AY6" i="11"/>
  <c r="AI6" i="11"/>
  <c r="S6" i="11"/>
  <c r="BY5" i="11"/>
  <c r="X42" i="11"/>
  <c r="W41" i="11"/>
  <c r="Z40" i="11"/>
  <c r="AY39" i="11"/>
  <c r="CB38" i="11"/>
  <c r="O38" i="11"/>
  <c r="BD37" i="11"/>
  <c r="CK36" i="11"/>
  <c r="AL36" i="11"/>
  <c r="BE35" i="11"/>
  <c r="AA35" i="11"/>
  <c r="BN34" i="11"/>
  <c r="AJ34" i="11"/>
  <c r="M34" i="11"/>
  <c r="BU33" i="11"/>
  <c r="AQ33" i="11"/>
  <c r="M33" i="11"/>
  <c r="CE32" i="11"/>
  <c r="BA32" i="11"/>
  <c r="W32" i="11"/>
  <c r="CE31" i="11"/>
  <c r="BH31" i="11"/>
  <c r="AD31" i="11"/>
  <c r="BH30" i="11"/>
  <c r="AK30" i="11"/>
  <c r="BR29" i="11"/>
  <c r="AU29" i="11"/>
  <c r="Q29" i="11"/>
  <c r="BY28" i="11"/>
  <c r="AU28" i="11"/>
  <c r="Q28" i="11"/>
  <c r="CH27" i="11"/>
  <c r="BF27" i="11"/>
  <c r="AJ27" i="11"/>
  <c r="BZ26" i="11"/>
  <c r="AX26" i="11"/>
  <c r="X26" i="11"/>
  <c r="BJ25" i="11"/>
  <c r="AN25" i="11"/>
  <c r="L25" i="11"/>
  <c r="CD24" i="11"/>
  <c r="BD24" i="11"/>
  <c r="AI24" i="11"/>
  <c r="BZ23" i="11"/>
  <c r="BB23" i="11"/>
  <c r="AE23" i="11"/>
  <c r="BW22" i="11"/>
  <c r="BC22" i="11"/>
  <c r="AF22" i="11"/>
  <c r="V41" i="11"/>
  <c r="X40" i="11"/>
  <c r="AW39" i="11"/>
  <c r="CA38" i="11"/>
  <c r="M38" i="11"/>
  <c r="AP37" i="11"/>
  <c r="CJ36" i="11"/>
  <c r="AK36" i="11"/>
  <c r="BD35" i="11"/>
  <c r="Z35" i="11"/>
  <c r="BM34" i="11"/>
  <c r="AI34" i="11"/>
  <c r="BT33" i="11"/>
  <c r="AP33" i="11"/>
  <c r="L33" i="11"/>
  <c r="CD32" i="11"/>
  <c r="AZ32" i="11"/>
  <c r="V32" i="11"/>
  <c r="CD31" i="11"/>
  <c r="BG31" i="11"/>
  <c r="AC31" i="11"/>
  <c r="CK30" i="11"/>
  <c r="BG30" i="11"/>
  <c r="AC30" i="11"/>
  <c r="BQ29" i="11"/>
  <c r="AM29" i="11"/>
  <c r="P29" i="11"/>
  <c r="BX28" i="11"/>
  <c r="AT28" i="11"/>
  <c r="P28" i="11"/>
  <c r="CG27" i="11"/>
  <c r="BE27" i="11"/>
  <c r="AI27" i="11"/>
  <c r="BY26" i="11"/>
  <c r="AW26" i="11"/>
  <c r="U26" i="11"/>
  <c r="CK25" i="11"/>
  <c r="BI25" i="11"/>
  <c r="AM25" i="11"/>
  <c r="CC24" i="11"/>
  <c r="BC24" i="11"/>
  <c r="AH24" i="11"/>
  <c r="BY23" i="11"/>
  <c r="AY23" i="11"/>
  <c r="AD23" i="11"/>
  <c r="BV22" i="11"/>
  <c r="BB22" i="11"/>
  <c r="AD22" i="11"/>
  <c r="CD21" i="11"/>
  <c r="BH21" i="11"/>
  <c r="AL21" i="11"/>
  <c r="R21" i="11"/>
  <c r="CH20" i="11"/>
  <c r="BN20" i="11"/>
  <c r="AU20" i="11"/>
  <c r="AC20" i="11"/>
  <c r="CE19" i="11"/>
  <c r="BK19" i="11"/>
  <c r="AS19" i="11"/>
  <c r="AA19" i="11"/>
  <c r="CE18" i="11"/>
  <c r="BM18" i="11"/>
  <c r="AU18" i="11"/>
  <c r="AC18" i="11"/>
  <c r="CC17" i="11"/>
  <c r="BK17" i="11"/>
  <c r="AS17" i="11"/>
  <c r="AA17" i="11"/>
  <c r="W40" i="11"/>
  <c r="AS39" i="11"/>
  <c r="BY38" i="11"/>
  <c r="AO37" i="11"/>
  <c r="CI36" i="11"/>
  <c r="AJ36" i="11"/>
  <c r="CK35" i="11"/>
  <c r="BC35" i="11"/>
  <c r="Y35" i="11"/>
  <c r="BL34" i="11"/>
  <c r="AH34" i="11"/>
  <c r="BS33" i="11"/>
  <c r="AO33" i="11"/>
  <c r="CC32" i="11"/>
  <c r="AY32" i="11"/>
  <c r="U32" i="11"/>
  <c r="CC31" i="11"/>
  <c r="AY31" i="11"/>
  <c r="AB31" i="11"/>
  <c r="CJ30" i="11"/>
  <c r="BF30" i="11"/>
  <c r="AB30" i="11"/>
  <c r="BP29" i="11"/>
  <c r="AL29" i="11"/>
  <c r="O29" i="11"/>
  <c r="BW28" i="11"/>
  <c r="AS28" i="11"/>
  <c r="O28" i="11"/>
  <c r="CF27" i="11"/>
  <c r="BD27" i="11"/>
  <c r="AD27" i="11"/>
  <c r="BT26" i="11"/>
  <c r="AV26" i="11"/>
  <c r="T26" i="11"/>
  <c r="CJ25" i="11"/>
  <c r="BH25" i="11"/>
  <c r="AH25" i="11"/>
  <c r="BZ24" i="11"/>
  <c r="BB24" i="11"/>
  <c r="AG24" i="11"/>
  <c r="BX23" i="11"/>
  <c r="AX23" i="11"/>
  <c r="AC23" i="11"/>
  <c r="BU22" i="11"/>
  <c r="BA22" i="11"/>
  <c r="AC22" i="11"/>
  <c r="AH39" i="11"/>
  <c r="BW38" i="11"/>
  <c r="AM37" i="11"/>
  <c r="CH36" i="11"/>
  <c r="AI36" i="11"/>
  <c r="CJ35" i="11"/>
  <c r="BB35" i="11"/>
  <c r="X35" i="11"/>
  <c r="BK34" i="11"/>
  <c r="AG34" i="11"/>
  <c r="BK33" i="11"/>
  <c r="AN33" i="11"/>
  <c r="BU32" i="11"/>
  <c r="AX32" i="11"/>
  <c r="T32" i="11"/>
  <c r="CB31" i="11"/>
  <c r="AX31" i="11"/>
  <c r="AA31" i="11"/>
  <c r="CI30" i="11"/>
  <c r="BE30" i="11"/>
  <c r="AA30" i="11"/>
  <c r="BO29" i="11"/>
  <c r="AK29" i="11"/>
  <c r="AG39" i="11"/>
  <c r="BS38" i="11"/>
  <c r="AL37" i="11"/>
  <c r="BV36" i="11"/>
  <c r="AH36" i="11"/>
  <c r="CG35" i="11"/>
  <c r="BA35" i="11"/>
  <c r="W35" i="11"/>
  <c r="CG34" i="11"/>
  <c r="BJ34" i="11"/>
  <c r="AF34" i="11"/>
  <c r="BJ33" i="11"/>
  <c r="AM33" i="11"/>
  <c r="BT32" i="11"/>
  <c r="AW32" i="11"/>
  <c r="S32" i="11"/>
  <c r="CA31" i="11"/>
  <c r="AW31" i="11"/>
  <c r="S31" i="11"/>
  <c r="CH30" i="11"/>
  <c r="BD30" i="11"/>
  <c r="Z30" i="11"/>
  <c r="BN29" i="11"/>
  <c r="AJ29" i="11"/>
  <c r="BU28" i="11"/>
  <c r="AQ28" i="11"/>
  <c r="M28" i="11"/>
  <c r="BZ27" i="11"/>
  <c r="BB27" i="11"/>
  <c r="Z27" i="11"/>
  <c r="AA39" i="11"/>
  <c r="BH38" i="11"/>
  <c r="AK37" i="11"/>
  <c r="BV42" i="11"/>
  <c r="BQ41" i="11"/>
  <c r="BS40" i="11"/>
  <c r="BV39" i="11"/>
  <c r="AX38" i="11"/>
  <c r="CA37" i="11"/>
  <c r="P37" i="11"/>
  <c r="BP36" i="11"/>
  <c r="R36" i="11"/>
  <c r="BT35" i="11"/>
  <c r="AO35" i="11"/>
  <c r="CB34" i="11"/>
  <c r="S36" i="11"/>
  <c r="T34" i="11"/>
  <c r="AB33" i="11"/>
  <c r="AK32" i="11"/>
  <c r="AT31" i="11"/>
  <c r="BC30" i="11"/>
  <c r="CF29" i="11"/>
  <c r="BV28" i="11"/>
  <c r="AA27" i="11"/>
  <c r="BM26" i="11"/>
  <c r="M26" i="11"/>
  <c r="AX25" i="11"/>
  <c r="BX24" i="11"/>
  <c r="Y24" i="11"/>
  <c r="BN23" i="11"/>
  <c r="Q23" i="11"/>
  <c r="AX22" i="11"/>
  <c r="BF21" i="11"/>
  <c r="AB21" i="11"/>
  <c r="CD20" i="11"/>
  <c r="AT20" i="11"/>
  <c r="S20" i="11"/>
  <c r="BW19" i="11"/>
  <c r="AO19" i="11"/>
  <c r="BN18" i="11"/>
  <c r="AL18" i="11"/>
  <c r="BH17" i="11"/>
  <c r="Z17" i="11"/>
  <c r="BI16" i="11"/>
  <c r="AE16" i="11"/>
  <c r="CA15" i="11"/>
  <c r="AY15" i="11"/>
  <c r="W15" i="11"/>
  <c r="BK14" i="11"/>
  <c r="AO14" i="11"/>
  <c r="M14" i="11"/>
  <c r="BX13" i="11"/>
  <c r="BB13" i="11"/>
  <c r="Z13" i="11"/>
  <c r="BP12" i="11"/>
  <c r="AT12" i="11"/>
  <c r="R12" i="11"/>
  <c r="CB11" i="11"/>
  <c r="BF11" i="11"/>
  <c r="AD11" i="11"/>
  <c r="BU10" i="11"/>
  <c r="AY10" i="11"/>
  <c r="W10" i="11"/>
  <c r="BK9" i="11"/>
  <c r="AI9" i="11"/>
  <c r="M9" i="11"/>
  <c r="BW8" i="11"/>
  <c r="BA8" i="11"/>
  <c r="Y8" i="11"/>
  <c r="BQ7" i="11"/>
  <c r="AV7" i="11"/>
  <c r="X7" i="11"/>
  <c r="BV6" i="11"/>
  <c r="AX6" i="11"/>
  <c r="AD6" i="11"/>
  <c r="CA5" i="11"/>
  <c r="BF5" i="11"/>
  <c r="AM5" i="11"/>
  <c r="T5" i="11"/>
  <c r="CC4" i="11"/>
  <c r="BJ4" i="11"/>
  <c r="AQ4" i="11"/>
  <c r="X4" i="11"/>
  <c r="CH37" i="11"/>
  <c r="AA33" i="11"/>
  <c r="R32" i="11"/>
  <c r="AS31" i="11"/>
  <c r="BB30" i="11"/>
  <c r="BM29" i="11"/>
  <c r="BM28" i="11"/>
  <c r="Y27" i="11"/>
  <c r="BL26" i="11"/>
  <c r="AU25" i="11"/>
  <c r="BU24" i="11"/>
  <c r="X24" i="11"/>
  <c r="BM23" i="11"/>
  <c r="AV22" i="11"/>
  <c r="BD21" i="11"/>
  <c r="S21" i="11"/>
  <c r="CC20" i="11"/>
  <c r="AS20" i="11"/>
  <c r="L20" i="11"/>
  <c r="BV19" i="11"/>
  <c r="AN19" i="11"/>
  <c r="BL18" i="11"/>
  <c r="AK18" i="11"/>
  <c r="BG17" i="11"/>
  <c r="Y17" i="11"/>
  <c r="BH16" i="11"/>
  <c r="AD16" i="11"/>
  <c r="BT15" i="11"/>
  <c r="AX15" i="11"/>
  <c r="V15" i="11"/>
  <c r="BJ14" i="11"/>
  <c r="AH14" i="11"/>
  <c r="L14" i="11"/>
  <c r="BW13" i="11"/>
  <c r="BA13" i="11"/>
  <c r="Y13" i="11"/>
  <c r="BO12" i="11"/>
  <c r="AS12" i="11"/>
  <c r="Q12" i="11"/>
  <c r="CA11" i="11"/>
  <c r="BE11" i="11"/>
  <c r="AC11" i="11"/>
  <c r="BT10" i="11"/>
  <c r="AX10" i="11"/>
  <c r="V10" i="11"/>
  <c r="CF9" i="11"/>
  <c r="BJ9" i="11"/>
  <c r="AH9" i="11"/>
  <c r="L9" i="11"/>
  <c r="BV8" i="11"/>
  <c r="AT8" i="11"/>
  <c r="X8" i="11"/>
  <c r="BP7" i="11"/>
  <c r="AU7" i="11"/>
  <c r="W7" i="11"/>
  <c r="BU6" i="11"/>
  <c r="AW6" i="11"/>
  <c r="AC6" i="11"/>
  <c r="BX5" i="11"/>
  <c r="BE5" i="11"/>
  <c r="AL5" i="11"/>
  <c r="S5" i="11"/>
  <c r="CB4" i="11"/>
  <c r="BI4" i="11"/>
  <c r="AP4" i="11"/>
  <c r="W4" i="11"/>
  <c r="CG37" i="11"/>
  <c r="Q32" i="11"/>
  <c r="AR31" i="11"/>
  <c r="BA30" i="11"/>
  <c r="BL29" i="11"/>
  <c r="BL28" i="11"/>
  <c r="X27" i="11"/>
  <c r="BK26" i="11"/>
  <c r="AE25" i="11"/>
  <c r="BT24" i="11"/>
  <c r="W24" i="11"/>
  <c r="BL23" i="11"/>
  <c r="AT22" i="11"/>
  <c r="BC21" i="11"/>
  <c r="Q21" i="11"/>
  <c r="CB20" i="11"/>
  <c r="AR20" i="11"/>
  <c r="BU19" i="11"/>
  <c r="AM19" i="11"/>
  <c r="BK18" i="11"/>
  <c r="AD18" i="11"/>
  <c r="BF17" i="11"/>
  <c r="X17" i="11"/>
  <c r="CE16" i="11"/>
  <c r="BG16" i="11"/>
  <c r="AC16" i="11"/>
  <c r="BS15" i="11"/>
  <c r="AW15" i="11"/>
  <c r="U15" i="11"/>
  <c r="CK14" i="11"/>
  <c r="BI14" i="11"/>
  <c r="AG14" i="11"/>
  <c r="BV13" i="11"/>
  <c r="AZ13" i="11"/>
  <c r="X13" i="11"/>
  <c r="BN12" i="11"/>
  <c r="AL12" i="11"/>
  <c r="P12" i="11"/>
  <c r="BZ11" i="11"/>
  <c r="BD11" i="11"/>
  <c r="AB11" i="11"/>
  <c r="BS10" i="11"/>
  <c r="AW10" i="11"/>
  <c r="U10" i="11"/>
  <c r="CE9" i="11"/>
  <c r="BI9" i="11"/>
  <c r="AG9" i="11"/>
  <c r="BU8" i="11"/>
  <c r="AS8" i="11"/>
  <c r="W8" i="11"/>
  <c r="CJ7" i="11"/>
  <c r="BO7" i="11"/>
  <c r="AR7" i="11"/>
  <c r="V7" i="11"/>
  <c r="BR6" i="11"/>
  <c r="AV6" i="11"/>
  <c r="AB6" i="11"/>
  <c r="BW5" i="11"/>
  <c r="BD5" i="11"/>
  <c r="AK5" i="11"/>
  <c r="P5" i="11"/>
  <c r="CA4" i="11"/>
  <c r="BH4" i="11"/>
  <c r="AO4" i="11"/>
  <c r="T4" i="11"/>
  <c r="AG37" i="11"/>
  <c r="CF34" i="11"/>
  <c r="R31" i="11"/>
  <c r="AS30" i="11"/>
  <c r="BK29" i="11"/>
  <c r="BK28" i="11"/>
  <c r="W27" i="11"/>
  <c r="AU26" i="11"/>
  <c r="AD25" i="11"/>
  <c r="BS24" i="11"/>
  <c r="V24" i="11"/>
  <c r="AW23" i="11"/>
  <c r="AS22" i="11"/>
  <c r="BB21" i="11"/>
  <c r="P21" i="11"/>
  <c r="CA20" i="11"/>
  <c r="AQ20" i="11"/>
  <c r="BL19" i="11"/>
  <c r="AL19" i="11"/>
  <c r="BJ18" i="11"/>
  <c r="Z18" i="11"/>
  <c r="BE17" i="11"/>
  <c r="W17" i="11"/>
  <c r="CD16" i="11"/>
  <c r="BF16" i="11"/>
  <c r="AB16" i="11"/>
  <c r="BR15" i="11"/>
  <c r="AV15" i="11"/>
  <c r="T15" i="11"/>
  <c r="CD14" i="11"/>
  <c r="BH14" i="11"/>
  <c r="AF14" i="11"/>
  <c r="BU13" i="11"/>
  <c r="AY13" i="11"/>
  <c r="W13" i="11"/>
  <c r="BM12" i="11"/>
  <c r="AK12" i="11"/>
  <c r="O12" i="11"/>
  <c r="BY11" i="11"/>
  <c r="BC11" i="11"/>
  <c r="AA11" i="11"/>
  <c r="BR10" i="11"/>
  <c r="AP10" i="11"/>
  <c r="T10" i="11"/>
  <c r="CD9" i="11"/>
  <c r="BH9" i="11"/>
  <c r="AF9" i="11"/>
  <c r="BT8" i="11"/>
  <c r="AR8" i="11"/>
  <c r="V8" i="11"/>
  <c r="CI7" i="11"/>
  <c r="BN7" i="11"/>
  <c r="AQ7" i="11"/>
  <c r="U7" i="11"/>
  <c r="BQ6" i="11"/>
  <c r="AU6" i="11"/>
  <c r="AA6" i="11"/>
  <c r="BV5" i="11"/>
  <c r="BC5" i="11"/>
  <c r="AJ5" i="11"/>
  <c r="O5" i="11"/>
  <c r="BZ4" i="11"/>
  <c r="BG4" i="11"/>
  <c r="AN4" i="11"/>
  <c r="S4" i="11"/>
  <c r="BX42" i="11"/>
  <c r="CK39" i="11"/>
  <c r="V37" i="11"/>
  <c r="CF35" i="11"/>
  <c r="CE34" i="11"/>
  <c r="Q31" i="11"/>
  <c r="AR30" i="11"/>
  <c r="BC29" i="11"/>
  <c r="BJ28" i="11"/>
  <c r="CE27" i="11"/>
  <c r="V27" i="11"/>
  <c r="AT26" i="11"/>
  <c r="CI25" i="11"/>
  <c r="AC25" i="11"/>
  <c r="BR24" i="11"/>
  <c r="U24" i="11"/>
  <c r="AV23" i="11"/>
  <c r="AR22" i="11"/>
  <c r="BA21" i="11"/>
  <c r="O21" i="11"/>
  <c r="BZ20" i="11"/>
  <c r="AP20" i="11"/>
  <c r="BJ19" i="11"/>
  <c r="AK19" i="11"/>
  <c r="BI18" i="11"/>
  <c r="Y18" i="11"/>
  <c r="CD17" i="11"/>
  <c r="BD17" i="11"/>
  <c r="T17" i="11"/>
  <c r="CC16" i="11"/>
  <c r="BE16" i="11"/>
  <c r="AA16" i="11"/>
  <c r="BQ15" i="11"/>
  <c r="AU15" i="11"/>
  <c r="S15" i="11"/>
  <c r="CC14" i="11"/>
  <c r="BG14" i="11"/>
  <c r="AE14" i="11"/>
  <c r="BT13" i="11"/>
  <c r="AR13" i="11"/>
  <c r="V13" i="11"/>
  <c r="CH12" i="11"/>
  <c r="BL12" i="11"/>
  <c r="AJ12" i="11"/>
  <c r="N12" i="11"/>
  <c r="BX11" i="11"/>
  <c r="AV11" i="11"/>
  <c r="Z11" i="11"/>
  <c r="BQ10" i="11"/>
  <c r="AO10" i="11"/>
  <c r="S10" i="11"/>
  <c r="CC9" i="11"/>
  <c r="BG9" i="11"/>
  <c r="AE9" i="11"/>
  <c r="BS8" i="11"/>
  <c r="AQ8" i="11"/>
  <c r="U8" i="11"/>
  <c r="CH7" i="11"/>
  <c r="BM7" i="11"/>
  <c r="AN7" i="11"/>
  <c r="T7" i="11"/>
  <c r="BN6" i="11"/>
  <c r="AT6" i="11"/>
  <c r="Z6" i="11"/>
  <c r="BU5" i="11"/>
  <c r="BB5" i="11"/>
  <c r="AI5" i="11"/>
  <c r="M5" i="11"/>
  <c r="BY4" i="11"/>
  <c r="BF4" i="11"/>
  <c r="AM4" i="11"/>
  <c r="Q4" i="11"/>
  <c r="Y39" i="11"/>
  <c r="U37" i="11"/>
  <c r="BX35" i="11"/>
  <c r="CD34" i="11"/>
  <c r="CK33" i="11"/>
  <c r="P31" i="11"/>
  <c r="Y30" i="11"/>
  <c r="BB29" i="11"/>
  <c r="BI28" i="11"/>
  <c r="BW27" i="11"/>
  <c r="U27" i="11"/>
  <c r="AS26" i="11"/>
  <c r="CD25" i="11"/>
  <c r="AB25" i="11"/>
  <c r="BQ24" i="11"/>
  <c r="AU23" i="11"/>
  <c r="CK22" i="11"/>
  <c r="AQ22" i="11"/>
  <c r="AZ21" i="11"/>
  <c r="L21" i="11"/>
  <c r="BY20" i="11"/>
  <c r="AO20" i="11"/>
  <c r="BI19" i="11"/>
  <c r="AB19" i="11"/>
  <c r="BF18" i="11"/>
  <c r="X18" i="11"/>
  <c r="CB17" i="11"/>
  <c r="BC17" i="11"/>
  <c r="S17" i="11"/>
  <c r="CA16" i="11"/>
  <c r="BD16" i="11"/>
  <c r="Z16" i="11"/>
  <c r="BP15" i="11"/>
  <c r="AN15" i="11"/>
  <c r="R15" i="11"/>
  <c r="CB14" i="11"/>
  <c r="BF14" i="11"/>
  <c r="AD14" i="11"/>
  <c r="BS13" i="11"/>
  <c r="AQ13" i="11"/>
  <c r="U13" i="11"/>
  <c r="CG12" i="11"/>
  <c r="BK12" i="11"/>
  <c r="AI12" i="11"/>
  <c r="M12" i="11"/>
  <c r="BW11" i="11"/>
  <c r="AU11" i="11"/>
  <c r="Y11" i="11"/>
  <c r="BP10" i="11"/>
  <c r="AN10" i="11"/>
  <c r="R10" i="11"/>
  <c r="CB9" i="11"/>
  <c r="AZ9" i="11"/>
  <c r="AD9" i="11"/>
  <c r="BR8" i="11"/>
  <c r="AP8" i="11"/>
  <c r="N8" i="11"/>
  <c r="CG7" i="11"/>
  <c r="BL7" i="11"/>
  <c r="AM7" i="11"/>
  <c r="S7" i="11"/>
  <c r="CK6" i="11"/>
  <c r="BM6" i="11"/>
  <c r="AS6" i="11"/>
  <c r="Y6" i="11"/>
  <c r="BT5" i="11"/>
  <c r="BA5" i="11"/>
  <c r="AF5" i="11"/>
  <c r="L5" i="11"/>
  <c r="BX4" i="11"/>
  <c r="BE4" i="11"/>
  <c r="AJ4" i="11"/>
  <c r="P4" i="11"/>
  <c r="X39" i="11"/>
  <c r="BV35" i="11"/>
  <c r="CC34" i="11"/>
  <c r="CJ33" i="11"/>
  <c r="O31" i="11"/>
  <c r="X30" i="11"/>
  <c r="AI29" i="11"/>
  <c r="AR28" i="11"/>
  <c r="BV27" i="11"/>
  <c r="AN26" i="11"/>
  <c r="CA25" i="11"/>
  <c r="AA25" i="11"/>
  <c r="BP24" i="11"/>
  <c r="AT23" i="11"/>
  <c r="CJ22" i="11"/>
  <c r="AP22" i="11"/>
  <c r="CE21" i="11"/>
  <c r="AY21" i="11"/>
  <c r="BP20" i="11"/>
  <c r="AL20" i="11"/>
  <c r="BH19" i="11"/>
  <c r="Z19" i="11"/>
  <c r="BE18" i="11"/>
  <c r="W18" i="11"/>
  <c r="CA17" i="11"/>
  <c r="AT17" i="11"/>
  <c r="R17" i="11"/>
  <c r="BZ16" i="11"/>
  <c r="AW16" i="11"/>
  <c r="Y16" i="11"/>
  <c r="BO15" i="11"/>
  <c r="AM15" i="11"/>
  <c r="Q15" i="11"/>
  <c r="CA14" i="11"/>
  <c r="BE14" i="11"/>
  <c r="AC14" i="11"/>
  <c r="BR13" i="11"/>
  <c r="AP13" i="11"/>
  <c r="T13" i="11"/>
  <c r="CF12" i="11"/>
  <c r="BJ12" i="11"/>
  <c r="AH12" i="11"/>
  <c r="BV11" i="11"/>
  <c r="AT11" i="11"/>
  <c r="X11" i="11"/>
  <c r="CK10" i="11"/>
  <c r="BO10" i="11"/>
  <c r="AM10" i="11"/>
  <c r="Q10" i="11"/>
  <c r="CA9" i="11"/>
  <c r="AY9" i="11"/>
  <c r="AC9" i="11"/>
  <c r="BQ8" i="11"/>
  <c r="AO8" i="11"/>
  <c r="M8" i="11"/>
  <c r="CF7" i="11"/>
  <c r="BK7" i="11"/>
  <c r="AL7" i="11"/>
  <c r="R7" i="11"/>
  <c r="CH6" i="11"/>
  <c r="BL6" i="11"/>
  <c r="AR6" i="11"/>
  <c r="V6" i="11"/>
  <c r="BS5" i="11"/>
  <c r="AZ5" i="11"/>
  <c r="AE5" i="11"/>
  <c r="BW4" i="11"/>
  <c r="BD4" i="11"/>
  <c r="AI4" i="11"/>
  <c r="O4" i="11"/>
  <c r="BU35" i="11"/>
  <c r="BI34" i="11"/>
  <c r="CI33" i="11"/>
  <c r="BS32" i="11"/>
  <c r="N31" i="11"/>
  <c r="W30" i="11"/>
  <c r="AH29" i="11"/>
  <c r="AP28" i="11"/>
  <c r="BU27" i="11"/>
  <c r="AK26" i="11"/>
  <c r="BZ25" i="11"/>
  <c r="Z25" i="11"/>
  <c r="BA24" i="11"/>
  <c r="AS23" i="11"/>
  <c r="CI22" i="11"/>
  <c r="AB22" i="11"/>
  <c r="CC21" i="11"/>
  <c r="AX21" i="11"/>
  <c r="BM20" i="11"/>
  <c r="AK20" i="11"/>
  <c r="BG19" i="11"/>
  <c r="Y19" i="11"/>
  <c r="CF18" i="11"/>
  <c r="BD18" i="11"/>
  <c r="V18" i="11"/>
  <c r="BZ17" i="11"/>
  <c r="AR17" i="11"/>
  <c r="Q17" i="11"/>
  <c r="BY16" i="11"/>
  <c r="AU16" i="11"/>
  <c r="X16" i="11"/>
  <c r="CJ15" i="11"/>
  <c r="BN15" i="11"/>
  <c r="AL15" i="11"/>
  <c r="P15" i="11"/>
  <c r="BZ14" i="11"/>
  <c r="AX14" i="11"/>
  <c r="AB14" i="11"/>
  <c r="BQ13" i="11"/>
  <c r="AO13" i="11"/>
  <c r="S13" i="11"/>
  <c r="CE12" i="11"/>
  <c r="BI12" i="11"/>
  <c r="AG12" i="11"/>
  <c r="BU11" i="11"/>
  <c r="AS11" i="11"/>
  <c r="W11" i="11"/>
  <c r="CJ10" i="11"/>
  <c r="BN10" i="11"/>
  <c r="AL10" i="11"/>
  <c r="BZ9" i="11"/>
  <c r="AX9" i="11"/>
  <c r="AB9" i="11"/>
  <c r="BJ8" i="11"/>
  <c r="AN8" i="11"/>
  <c r="L8" i="11"/>
  <c r="CE7" i="11"/>
  <c r="BG7" i="11"/>
  <c r="AK7" i="11"/>
  <c r="Q7" i="11"/>
  <c r="CG6" i="11"/>
  <c r="BK6" i="11"/>
  <c r="AQ6" i="11"/>
  <c r="U6" i="11"/>
  <c r="BR5" i="11"/>
  <c r="AY5" i="11"/>
  <c r="AC5" i="11"/>
  <c r="BV4" i="11"/>
  <c r="BC4" i="11"/>
  <c r="AG4" i="11"/>
  <c r="N4" i="11"/>
  <c r="CA41" i="11"/>
  <c r="AZ35" i="11"/>
  <c r="BA34" i="11"/>
  <c r="BI33" i="11"/>
  <c r="BR32" i="11"/>
  <c r="V30" i="11"/>
  <c r="AG29" i="11"/>
  <c r="AO28" i="11"/>
  <c r="BT27" i="11"/>
  <c r="AJ26" i="11"/>
  <c r="BY25" i="11"/>
  <c r="Y25" i="11"/>
  <c r="AZ24" i="11"/>
  <c r="AR23" i="11"/>
  <c r="CH22" i="11"/>
  <c r="AA22" i="11"/>
  <c r="CB21" i="11"/>
  <c r="AM21" i="11"/>
  <c r="BL20" i="11"/>
  <c r="AD20" i="11"/>
  <c r="BF19" i="11"/>
  <c r="X19" i="11"/>
  <c r="CD18" i="11"/>
  <c r="BC18" i="11"/>
  <c r="U18" i="11"/>
  <c r="BY17" i="11"/>
  <c r="AQ17" i="11"/>
  <c r="BX16" i="11"/>
  <c r="AT16" i="11"/>
  <c r="W16" i="11"/>
  <c r="CI15" i="11"/>
  <c r="BM15" i="11"/>
  <c r="AK15" i="11"/>
  <c r="O15" i="11"/>
  <c r="BY14" i="11"/>
  <c r="AW14" i="11"/>
  <c r="AA14" i="11"/>
  <c r="BP13" i="11"/>
  <c r="AN13" i="11"/>
  <c r="L13" i="11"/>
  <c r="CD12" i="11"/>
  <c r="BB12" i="11"/>
  <c r="AF12" i="11"/>
  <c r="BT11" i="11"/>
  <c r="AR11" i="11"/>
  <c r="P11" i="11"/>
  <c r="CI10" i="11"/>
  <c r="BY41" i="11"/>
  <c r="BU36" i="11"/>
  <c r="AY35" i="11"/>
  <c r="AZ34" i="11"/>
  <c r="BH33" i="11"/>
  <c r="BQ32" i="11"/>
  <c r="BZ31" i="11"/>
  <c r="U30" i="11"/>
  <c r="AF29" i="11"/>
  <c r="AG28" i="11"/>
  <c r="BS27" i="11"/>
  <c r="AI26" i="11"/>
  <c r="BX25" i="11"/>
  <c r="AY24" i="11"/>
  <c r="AQ23" i="11"/>
  <c r="BT22" i="11"/>
  <c r="Z22" i="11"/>
  <c r="CA21" i="11"/>
  <c r="AK21" i="11"/>
  <c r="BK20" i="11"/>
  <c r="AB20" i="11"/>
  <c r="BE19" i="11"/>
  <c r="W19" i="11"/>
  <c r="CC18" i="11"/>
  <c r="AV18" i="11"/>
  <c r="T18" i="11"/>
  <c r="BX17" i="11"/>
  <c r="AP17" i="11"/>
  <c r="BW16" i="11"/>
  <c r="AS16" i="11"/>
  <c r="V16" i="11"/>
  <c r="CH15" i="11"/>
  <c r="BL15" i="11"/>
  <c r="AJ15" i="11"/>
  <c r="BX14" i="11"/>
  <c r="AV14" i="11"/>
  <c r="Z14" i="11"/>
  <c r="CK13" i="11"/>
  <c r="BO13" i="11"/>
  <c r="AM13" i="11"/>
  <c r="CC12" i="11"/>
  <c r="BA12" i="11"/>
  <c r="AE12" i="11"/>
  <c r="BS11" i="11"/>
  <c r="AQ11" i="11"/>
  <c r="O11" i="11"/>
  <c r="CH10" i="11"/>
  <c r="BF10" i="11"/>
  <c r="AJ10" i="11"/>
  <c r="BX9" i="11"/>
  <c r="AV9" i="11"/>
  <c r="T9" i="11"/>
  <c r="CJ8" i="11"/>
  <c r="BH8" i="11"/>
  <c r="AL8" i="11"/>
  <c r="CC7" i="11"/>
  <c r="BC7" i="11"/>
  <c r="AI7" i="11"/>
  <c r="O7" i="11"/>
  <c r="CC6" i="11"/>
  <c r="BI6" i="11"/>
  <c r="AO6" i="11"/>
  <c r="Q6" i="11"/>
  <c r="CJ5" i="11"/>
  <c r="BP5" i="11"/>
  <c r="AU5" i="11"/>
  <c r="AA5" i="11"/>
  <c r="BT4" i="11"/>
  <c r="AY4" i="11"/>
  <c r="AE4" i="11"/>
  <c r="L4" i="11"/>
  <c r="BG38" i="11"/>
  <c r="BR36" i="11"/>
  <c r="AP35" i="11"/>
  <c r="AX34" i="11"/>
  <c r="BF33" i="11"/>
  <c r="BO32" i="11"/>
  <c r="BX31" i="11"/>
  <c r="CG30" i="11"/>
  <c r="AE28" i="11"/>
  <c r="BA27" i="11"/>
  <c r="CG26" i="11"/>
  <c r="R26" i="11"/>
  <c r="BG25" i="11"/>
  <c r="AW24" i="11"/>
  <c r="CJ23" i="11"/>
  <c r="AA23" i="11"/>
  <c r="BR22" i="11"/>
  <c r="X22" i="11"/>
  <c r="BV21" i="11"/>
  <c r="AI21" i="11"/>
  <c r="BI20" i="11"/>
  <c r="Z20" i="11"/>
  <c r="CB19" i="11"/>
  <c r="BC19" i="11"/>
  <c r="U19" i="11"/>
  <c r="CA18" i="11"/>
  <c r="AS18" i="11"/>
  <c r="BV17" i="11"/>
  <c r="AN17" i="11"/>
  <c r="BU16" i="11"/>
  <c r="AQ16" i="11"/>
  <c r="M16" i="11"/>
  <c r="CF15" i="11"/>
  <c r="BD15" i="11"/>
  <c r="AH15" i="11"/>
  <c r="BV14" i="11"/>
  <c r="AT14" i="11"/>
  <c r="R14" i="11"/>
  <c r="CI13" i="11"/>
  <c r="BG13" i="11"/>
  <c r="AK13" i="11"/>
  <c r="CA12" i="11"/>
  <c r="AY12" i="11"/>
  <c r="AC12" i="11"/>
  <c r="BK11" i="11"/>
  <c r="AO11" i="11"/>
  <c r="M11" i="11"/>
  <c r="CF10" i="11"/>
  <c r="BD10" i="11"/>
  <c r="AH10" i="11"/>
  <c r="BP9" i="11"/>
  <c r="AT9" i="11"/>
  <c r="R9" i="11"/>
  <c r="CH8" i="11"/>
  <c r="BF8" i="11"/>
  <c r="AD8" i="11"/>
  <c r="BA38" i="11"/>
  <c r="BQ36" i="11"/>
  <c r="V35" i="11"/>
  <c r="AE34" i="11"/>
  <c r="BE33" i="11"/>
  <c r="AO32" i="11"/>
  <c r="BW31" i="11"/>
  <c r="BY30" i="11"/>
  <c r="N28" i="11"/>
  <c r="AZ27" i="11"/>
  <c r="BQ26" i="11"/>
  <c r="Q26" i="11"/>
  <c r="BF25" i="11"/>
  <c r="AT24" i="11"/>
  <c r="BW23" i="11"/>
  <c r="X23" i="11"/>
  <c r="BQ22" i="11"/>
  <c r="W22" i="11"/>
  <c r="BT21" i="11"/>
  <c r="AH21" i="11"/>
  <c r="BH20" i="11"/>
  <c r="Y20" i="11"/>
  <c r="CA19" i="11"/>
  <c r="AT19" i="11"/>
  <c r="T19" i="11"/>
  <c r="BZ18" i="11"/>
  <c r="AP18" i="11"/>
  <c r="BU17" i="11"/>
  <c r="AM17" i="11"/>
  <c r="BN16" i="11"/>
  <c r="AP16" i="11"/>
  <c r="L16" i="11"/>
  <c r="CE15" i="11"/>
  <c r="BC15" i="11"/>
  <c r="AG15" i="11"/>
  <c r="BU14" i="11"/>
  <c r="AS14" i="11"/>
  <c r="Q14" i="11"/>
  <c r="CH13" i="11"/>
  <c r="BF13" i="11"/>
  <c r="AJ13" i="11"/>
  <c r="BZ12" i="11"/>
  <c r="AX12" i="11"/>
  <c r="V12" i="11"/>
  <c r="BJ11" i="11"/>
  <c r="AN11" i="11"/>
  <c r="L11" i="11"/>
  <c r="CE10" i="11"/>
  <c r="BC10" i="11"/>
  <c r="AG10" i="11"/>
  <c r="BO9" i="11"/>
  <c r="AS9" i="11"/>
  <c r="Q9" i="11"/>
  <c r="CG8" i="11"/>
  <c r="BE8" i="11"/>
  <c r="AC8" i="11"/>
  <c r="BW7" i="11"/>
  <c r="AZ7" i="11"/>
  <c r="AF7" i="11"/>
  <c r="BU40" i="11"/>
  <c r="T36" i="11"/>
  <c r="S35" i="11"/>
  <c r="U34" i="11"/>
  <c r="AC33" i="11"/>
  <c r="AL32" i="11"/>
  <c r="AU31" i="11"/>
  <c r="BV30" i="11"/>
  <c r="CG29" i="11"/>
  <c r="AQ27" i="11"/>
  <c r="BN26" i="11"/>
  <c r="N26" i="11"/>
  <c r="BC25" i="11"/>
  <c r="CK24" i="11"/>
  <c r="AB24" i="11"/>
  <c r="BO23" i="11"/>
  <c r="R23" i="11"/>
  <c r="BJ22" i="11"/>
  <c r="BK21" i="11"/>
  <c r="AE21" i="11"/>
  <c r="CF20" i="11"/>
  <c r="AV20" i="11"/>
  <c r="T20" i="11"/>
  <c r="BX19" i="11"/>
  <c r="AP19" i="11"/>
  <c r="BU18" i="11"/>
  <c r="AM18" i="11"/>
  <c r="BI17" i="11"/>
  <c r="AB17" i="11"/>
  <c r="BJ16" i="11"/>
  <c r="AM16" i="11"/>
  <c r="CB15" i="11"/>
  <c r="AZ15" i="11"/>
  <c r="X15" i="11"/>
  <c r="BL14" i="11"/>
  <c r="AP14" i="11"/>
  <c r="N14" i="11"/>
  <c r="CE13" i="11"/>
  <c r="BC13" i="11"/>
  <c r="AA13" i="11"/>
  <c r="BQ12" i="11"/>
  <c r="AU12" i="11"/>
  <c r="S12" i="11"/>
  <c r="CI11" i="11"/>
  <c r="BG11" i="11"/>
  <c r="AE11" i="11"/>
  <c r="BV10" i="11"/>
  <c r="AZ10" i="11"/>
  <c r="X10" i="11"/>
  <c r="BL9" i="11"/>
  <c r="AJ9" i="11"/>
  <c r="N9" i="11"/>
  <c r="BX8" i="11"/>
  <c r="BB8" i="11"/>
  <c r="Z8" i="11"/>
  <c r="BR7" i="11"/>
  <c r="AW7" i="11"/>
  <c r="AA7" i="11"/>
  <c r="BW6" i="11"/>
  <c r="BA6" i="11"/>
  <c r="AE6" i="11"/>
  <c r="CB5" i="11"/>
  <c r="BG5" i="11"/>
  <c r="AE33" i="11"/>
  <c r="AB23" i="11"/>
  <c r="BS21" i="11"/>
  <c r="BY18" i="11"/>
  <c r="AI17" i="11"/>
  <c r="BW14" i="11"/>
  <c r="BE13" i="11"/>
  <c r="AV12" i="11"/>
  <c r="P9" i="11"/>
  <c r="AA8" i="11"/>
  <c r="AY7" i="11"/>
  <c r="CB6" i="11"/>
  <c r="AF6" i="11"/>
  <c r="BQ5" i="11"/>
  <c r="X5" i="11"/>
  <c r="CI4" i="11"/>
  <c r="AR4" i="11"/>
  <c r="AD33" i="11"/>
  <c r="BX30" i="11"/>
  <c r="BW25" i="11"/>
  <c r="V23" i="11"/>
  <c r="BR21" i="11"/>
  <c r="BV18" i="11"/>
  <c r="BN14" i="11"/>
  <c r="BD13" i="11"/>
  <c r="AD12" i="11"/>
  <c r="O9" i="11"/>
  <c r="AX7" i="11"/>
  <c r="CA6" i="11"/>
  <c r="R6" i="11"/>
  <c r="BO5" i="11"/>
  <c r="W5" i="11"/>
  <c r="CF4" i="11"/>
  <c r="AF4" i="11"/>
  <c r="BW30" i="11"/>
  <c r="BC27" i="11"/>
  <c r="BE25" i="11"/>
  <c r="S23" i="11"/>
  <c r="AJ21" i="11"/>
  <c r="AT18" i="11"/>
  <c r="CG15" i="11"/>
  <c r="BM14" i="11"/>
  <c r="AL13" i="11"/>
  <c r="U12" i="11"/>
  <c r="AJ7" i="11"/>
  <c r="BZ6" i="11"/>
  <c r="P6" i="11"/>
  <c r="BL5" i="11"/>
  <c r="V5" i="11"/>
  <c r="CE4" i="11"/>
  <c r="AD4" i="11"/>
  <c r="AQ35" i="11"/>
  <c r="AY27" i="11"/>
  <c r="BD25" i="11"/>
  <c r="AG21" i="11"/>
  <c r="CF19" i="11"/>
  <c r="AO18" i="11"/>
  <c r="CD15" i="11"/>
  <c r="AU14" i="11"/>
  <c r="AI13" i="11"/>
  <c r="T12" i="11"/>
  <c r="AH7" i="11"/>
  <c r="BY6" i="11"/>
  <c r="O6" i="11"/>
  <c r="BK5" i="11"/>
  <c r="U5" i="11"/>
  <c r="BU4" i="11"/>
  <c r="AC4" i="11"/>
  <c r="U35" i="11"/>
  <c r="AT27" i="11"/>
  <c r="AF21" i="11"/>
  <c r="BZ19" i="11"/>
  <c r="AN18" i="11"/>
  <c r="CC15" i="11"/>
  <c r="AR14" i="11"/>
  <c r="AB13" i="11"/>
  <c r="AG7" i="11"/>
  <c r="BX6" i="11"/>
  <c r="N6" i="11"/>
  <c r="BI5" i="11"/>
  <c r="BS4" i="11"/>
  <c r="AB4" i="11"/>
  <c r="T35" i="11"/>
  <c r="BP32" i="11"/>
  <c r="BY19" i="11"/>
  <c r="S18" i="11"/>
  <c r="BK15" i="11"/>
  <c r="AQ14" i="11"/>
  <c r="CG10" i="11"/>
  <c r="CK8" i="11"/>
  <c r="AE7" i="11"/>
  <c r="BJ6" i="11"/>
  <c r="M6" i="11"/>
  <c r="BH5" i="11"/>
  <c r="BP4" i="11"/>
  <c r="AA4" i="11"/>
  <c r="AY38" i="11"/>
  <c r="AN32" i="11"/>
  <c r="CI29" i="11"/>
  <c r="BS22" i="11"/>
  <c r="BD19" i="11"/>
  <c r="BV16" i="11"/>
  <c r="BB15" i="11"/>
  <c r="Y14" i="11"/>
  <c r="CD10" i="11"/>
  <c r="BY9" i="11"/>
  <c r="CI8" i="11"/>
  <c r="AB7" i="11"/>
  <c r="BH6" i="11"/>
  <c r="L6" i="11"/>
  <c r="AV5" i="11"/>
  <c r="BO4" i="11"/>
  <c r="Z4" i="11"/>
  <c r="AM32" i="11"/>
  <c r="CH29" i="11"/>
  <c r="BN22" i="11"/>
  <c r="AR19" i="11"/>
  <c r="BM16" i="11"/>
  <c r="BA15" i="11"/>
  <c r="P14" i="11"/>
  <c r="CK11" i="11"/>
  <c r="CC10" i="11"/>
  <c r="BW9" i="11"/>
  <c r="BZ8" i="11"/>
  <c r="P7" i="11"/>
  <c r="BG6" i="11"/>
  <c r="AS5" i="11"/>
  <c r="BM4" i="11"/>
  <c r="Y4" i="11"/>
  <c r="AE29" i="11"/>
  <c r="CJ26" i="11"/>
  <c r="AX24" i="11"/>
  <c r="BL22" i="11"/>
  <c r="CK20" i="11"/>
  <c r="AQ19" i="11"/>
  <c r="BK16" i="11"/>
  <c r="AI15" i="11"/>
  <c r="O14" i="11"/>
  <c r="CJ11" i="11"/>
  <c r="BM10" i="11"/>
  <c r="BN9" i="11"/>
  <c r="BY8" i="11"/>
  <c r="CD7" i="11"/>
  <c r="L7" i="11"/>
  <c r="BF6" i="11"/>
  <c r="AR5" i="11"/>
  <c r="BL4" i="11"/>
  <c r="M4" i="11"/>
  <c r="AY34" i="11"/>
  <c r="BP26" i="11"/>
  <c r="AR24" i="11"/>
  <c r="Y22" i="11"/>
  <c r="CG20" i="11"/>
  <c r="V19" i="11"/>
  <c r="AR16" i="11"/>
  <c r="AF15" i="11"/>
  <c r="BL11" i="11"/>
  <c r="BE10" i="11"/>
  <c r="BM9" i="11"/>
  <c r="BI8" i="11"/>
  <c r="CB7" i="11"/>
  <c r="BE6" i="11"/>
  <c r="AQ5" i="11"/>
  <c r="BK4" i="11"/>
  <c r="AD34" i="11"/>
  <c r="BO26" i="11"/>
  <c r="AD24" i="11"/>
  <c r="V22" i="11"/>
  <c r="BJ20" i="11"/>
  <c r="S19" i="11"/>
  <c r="AO16" i="11"/>
  <c r="AE15" i="11"/>
  <c r="BI11" i="11"/>
  <c r="BB10" i="11"/>
  <c r="AW9" i="11"/>
  <c r="BG8" i="11"/>
  <c r="CA7" i="11"/>
  <c r="BB6" i="11"/>
  <c r="CK5" i="11"/>
  <c r="AP5" i="11"/>
  <c r="AZ4" i="11"/>
  <c r="BR41" i="11"/>
  <c r="AC34" i="11"/>
  <c r="BY31" i="11"/>
  <c r="S26" i="11"/>
  <c r="BG20" i="11"/>
  <c r="BW17" i="11"/>
  <c r="AN16" i="11"/>
  <c r="CB12" i="11"/>
  <c r="BH11" i="11"/>
  <c r="BA10" i="11"/>
  <c r="AU9" i="11"/>
  <c r="BD8" i="11"/>
  <c r="BT7" i="11"/>
  <c r="AP6" i="11"/>
  <c r="CI5" i="11"/>
  <c r="AO5" i="11"/>
  <c r="AW4" i="11"/>
  <c r="BO31" i="11"/>
  <c r="AF28" i="11"/>
  <c r="P26" i="11"/>
  <c r="BF20" i="11"/>
  <c r="BL17" i="11"/>
  <c r="N16" i="11"/>
  <c r="CJ13" i="11"/>
  <c r="BY12" i="11"/>
  <c r="AP11" i="11"/>
  <c r="AK10" i="11"/>
  <c r="AR9" i="11"/>
  <c r="BC8" i="11"/>
  <c r="BS7" i="11"/>
  <c r="AL6" i="11"/>
  <c r="CH5" i="11"/>
  <c r="AN5" i="11"/>
  <c r="AV4" i="11"/>
  <c r="BS36" i="11"/>
  <c r="AV31" i="11"/>
  <c r="L28" i="11"/>
  <c r="O26" i="11"/>
  <c r="AA20" i="11"/>
  <c r="BJ17" i="11"/>
  <c r="CG13" i="11"/>
  <c r="BR12" i="11"/>
  <c r="AM11" i="11"/>
  <c r="AI10" i="11"/>
  <c r="AQ9" i="11"/>
  <c r="AM8" i="11"/>
  <c r="BD7" i="11"/>
  <c r="AK6" i="11"/>
  <c r="CG5" i="11"/>
  <c r="AB5" i="11"/>
  <c r="AU4" i="11"/>
  <c r="AG36" i="11"/>
  <c r="BT23" i="11"/>
  <c r="V20" i="11"/>
  <c r="AO17" i="11"/>
  <c r="CF13" i="11"/>
  <c r="AZ12" i="11"/>
  <c r="AF11" i="11"/>
  <c r="Z10" i="11"/>
  <c r="AA9" i="11"/>
  <c r="AK8" i="11"/>
  <c r="BB7" i="11"/>
  <c r="AH6" i="11"/>
  <c r="CF5" i="11"/>
  <c r="Z5" i="11"/>
  <c r="CK4" i="11"/>
  <c r="AT4" i="11"/>
  <c r="BW40" i="11"/>
  <c r="AF36" i="11"/>
  <c r="BG33" i="11"/>
  <c r="BR23" i="11"/>
  <c r="BX21" i="11"/>
  <c r="U20" i="11"/>
  <c r="CB18" i="11"/>
  <c r="AJ17" i="11"/>
  <c r="BH13" i="11"/>
  <c r="AW12" i="11"/>
  <c r="N11" i="11"/>
  <c r="Y10" i="11"/>
  <c r="S9" i="11"/>
  <c r="AB8" i="11"/>
  <c r="BA7" i="11"/>
  <c r="CD6" i="11"/>
  <c r="AG6" i="11"/>
  <c r="CE5" i="11"/>
  <c r="Y5" i="11"/>
  <c r="CJ4" i="11"/>
  <c r="AS4" i="11"/>
  <c r="K41" i="11"/>
  <c r="K36" i="11"/>
  <c r="K37" i="11"/>
  <c r="K34" i="11"/>
  <c r="K26" i="11"/>
  <c r="K18" i="11"/>
  <c r="K29" i="11"/>
  <c r="K21" i="11"/>
  <c r="K32" i="11"/>
  <c r="K24" i="11"/>
  <c r="K40" i="11"/>
  <c r="K42" i="11"/>
  <c r="K39" i="11"/>
  <c r="K12" i="11"/>
  <c r="K31" i="11"/>
  <c r="K30" i="11"/>
  <c r="K27" i="11"/>
  <c r="K15" i="11"/>
  <c r="K23" i="11"/>
  <c r="K19" i="11"/>
  <c r="K17" i="11"/>
  <c r="K10" i="11"/>
  <c r="K25" i="11"/>
  <c r="K20" i="11"/>
  <c r="K38" i="11"/>
  <c r="K33" i="11"/>
  <c r="K35" i="11"/>
  <c r="K14" i="11"/>
  <c r="K9" i="11"/>
  <c r="K5" i="11"/>
  <c r="K13" i="11"/>
  <c r="K6" i="11"/>
  <c r="K11" i="11"/>
  <c r="K8" i="11"/>
  <c r="K7" i="11"/>
  <c r="K4" i="11"/>
  <c r="K22" i="11"/>
  <c r="K16" i="11"/>
  <c r="K28" i="11"/>
  <c r="G43" i="11" l="1"/>
  <c r="D50" i="11"/>
  <c r="D63" i="11"/>
  <c r="D55" i="11"/>
  <c r="G59" i="11"/>
  <c r="G54" i="11"/>
  <c r="G56" i="11"/>
  <c r="D58" i="11"/>
  <c r="D53" i="11"/>
  <c r="D59" i="11"/>
  <c r="G60" i="11"/>
  <c r="G48" i="11"/>
  <c r="D66" i="11"/>
  <c r="G62" i="11"/>
  <c r="D62" i="11"/>
  <c r="G66" i="11"/>
  <c r="D57" i="11"/>
  <c r="G47" i="11"/>
  <c r="D64" i="11"/>
  <c r="D52" i="11"/>
  <c r="G52" i="11"/>
  <c r="G53" i="11"/>
  <c r="G64" i="11"/>
  <c r="G65" i="11"/>
  <c r="G49" i="11"/>
  <c r="G45" i="11"/>
  <c r="G61" i="11"/>
  <c r="D65" i="11"/>
  <c r="D61" i="11"/>
  <c r="D45" i="11"/>
  <c r="D44" i="11"/>
  <c r="D43" i="11"/>
  <c r="D48" i="11"/>
  <c r="D47" i="11"/>
  <c r="G44" i="11"/>
  <c r="D49" i="11"/>
  <c r="D56" i="11"/>
  <c r="D54" i="11"/>
  <c r="D46" i="11"/>
  <c r="G46" i="11"/>
  <c r="G58" i="11"/>
  <c r="D51" i="11"/>
  <c r="G50" i="11"/>
  <c r="G57" i="11"/>
  <c r="G51" i="11"/>
  <c r="D60" i="11"/>
  <c r="G55" i="11"/>
  <c r="G63" i="11"/>
  <c r="G30" i="11"/>
  <c r="G13" i="11"/>
  <c r="G34" i="11"/>
  <c r="G14" i="11"/>
  <c r="G35" i="11"/>
  <c r="G37" i="11"/>
  <c r="G5" i="11"/>
  <c r="G33" i="11"/>
  <c r="G39" i="11"/>
  <c r="G41" i="11"/>
  <c r="G16" i="11"/>
  <c r="G25" i="11"/>
  <c r="G24" i="11"/>
  <c r="G36" i="11"/>
  <c r="G28" i="11"/>
  <c r="G22" i="11"/>
  <c r="G10" i="11"/>
  <c r="G32" i="11"/>
  <c r="G40" i="11"/>
  <c r="G4" i="11"/>
  <c r="G17" i="11"/>
  <c r="G20" i="11"/>
  <c r="G7" i="11"/>
  <c r="G19" i="11"/>
  <c r="G21" i="11"/>
  <c r="G12" i="11"/>
  <c r="G42" i="11"/>
  <c r="G8" i="11"/>
  <c r="G23" i="11"/>
  <c r="G29" i="11"/>
  <c r="G31" i="11"/>
  <c r="G11" i="11"/>
  <c r="G15" i="11"/>
  <c r="G18" i="11"/>
  <c r="G9" i="11"/>
  <c r="G38" i="11"/>
  <c r="G6" i="11"/>
  <c r="G27" i="11"/>
  <c r="G26" i="11"/>
  <c r="D7" i="11"/>
  <c r="D30" i="11"/>
  <c r="J30" i="11" s="1"/>
  <c r="H30" i="11" s="1"/>
  <c r="K3" i="11"/>
  <c r="D40" i="11"/>
  <c r="D39" i="11"/>
  <c r="D16" i="11"/>
  <c r="D11" i="11"/>
  <c r="D8" i="11"/>
  <c r="D33" i="11"/>
  <c r="D32" i="11"/>
  <c r="D26" i="11"/>
  <c r="D27" i="11"/>
  <c r="D42" i="11"/>
  <c r="D29" i="11"/>
  <c r="D37" i="11"/>
  <c r="D6" i="11"/>
  <c r="D22" i="11"/>
  <c r="D19" i="11"/>
  <c r="D31" i="11"/>
  <c r="D12" i="11"/>
  <c r="D13" i="11"/>
  <c r="D23" i="11"/>
  <c r="D34" i="11"/>
  <c r="D41" i="11"/>
  <c r="D21" i="11"/>
  <c r="D28" i="11"/>
  <c r="D4" i="11"/>
  <c r="CF3" i="11"/>
  <c r="BP3" i="11"/>
  <c r="AZ3" i="11"/>
  <c r="AJ3" i="11"/>
  <c r="T3" i="11"/>
  <c r="CE3" i="11"/>
  <c r="BO3" i="11"/>
  <c r="AY3" i="11"/>
  <c r="AI3" i="11"/>
  <c r="S3" i="11"/>
  <c r="CA3" i="11"/>
  <c r="BI3" i="11"/>
  <c r="AQ3" i="11"/>
  <c r="Y3" i="11"/>
  <c r="BZ3" i="11"/>
  <c r="BH3" i="11"/>
  <c r="AP3" i="11"/>
  <c r="X3" i="11"/>
  <c r="BY3" i="11"/>
  <c r="BG3" i="11"/>
  <c r="AO3" i="11"/>
  <c r="W3" i="11"/>
  <c r="BX3" i="11"/>
  <c r="BF3" i="11"/>
  <c r="AN3" i="11"/>
  <c r="V3" i="11"/>
  <c r="BW3" i="11"/>
  <c r="BE3" i="11"/>
  <c r="AM3" i="11"/>
  <c r="U3" i="11"/>
  <c r="BV3" i="11"/>
  <c r="BD3" i="11"/>
  <c r="AL3" i="11"/>
  <c r="R3" i="11"/>
  <c r="BU3" i="11"/>
  <c r="BC3" i="11"/>
  <c r="AK3" i="11"/>
  <c r="Q3" i="11"/>
  <c r="BT3" i="11"/>
  <c r="BB3" i="11"/>
  <c r="AH3" i="11"/>
  <c r="P3" i="11"/>
  <c r="CJ3" i="11"/>
  <c r="BR3" i="11"/>
  <c r="AX3" i="11"/>
  <c r="AF3" i="11"/>
  <c r="BM3" i="11"/>
  <c r="AA3" i="11"/>
  <c r="BL3" i="11"/>
  <c r="Z3" i="11"/>
  <c r="BK3" i="11"/>
  <c r="O3" i="11"/>
  <c r="BJ3" i="11"/>
  <c r="N3" i="11"/>
  <c r="BA3" i="11"/>
  <c r="M3" i="11"/>
  <c r="AW3" i="11"/>
  <c r="L3" i="11"/>
  <c r="CK3" i="11"/>
  <c r="AV3" i="11"/>
  <c r="CI3" i="11"/>
  <c r="AU3" i="11"/>
  <c r="CH3" i="11"/>
  <c r="AT3" i="11"/>
  <c r="CG3" i="11"/>
  <c r="AS3" i="11"/>
  <c r="CD3" i="11"/>
  <c r="AR3" i="11"/>
  <c r="CC3" i="11"/>
  <c r="AG3" i="11"/>
  <c r="CB3" i="11"/>
  <c r="AE3" i="11"/>
  <c r="BS3" i="11"/>
  <c r="AD3" i="11"/>
  <c r="BQ3" i="11"/>
  <c r="AC3" i="11"/>
  <c r="BN3" i="11"/>
  <c r="AB3" i="11"/>
  <c r="D20" i="11"/>
  <c r="D15" i="11"/>
  <c r="D35" i="11"/>
  <c r="D18" i="11"/>
  <c r="D10" i="11"/>
  <c r="D38" i="11"/>
  <c r="D36" i="11"/>
  <c r="D5" i="11"/>
  <c r="D9" i="11"/>
  <c r="D14" i="11"/>
  <c r="D17" i="11"/>
  <c r="D25" i="11"/>
  <c r="D24" i="11"/>
  <c r="D3" i="11" l="1"/>
  <c r="E3" i="11" s="1"/>
  <c r="G3" i="11"/>
  <c r="F7" i="11"/>
  <c r="E7" i="11"/>
  <c r="J44" i="11"/>
  <c r="H44" i="11" s="1"/>
  <c r="I44" i="11" s="1"/>
  <c r="E44" i="11"/>
  <c r="F44" i="11"/>
  <c r="E62" i="11"/>
  <c r="J62" i="11"/>
  <c r="H62" i="11" s="1"/>
  <c r="I62" i="11" s="1"/>
  <c r="F62" i="11"/>
  <c r="E60" i="11"/>
  <c r="J60" i="11"/>
  <c r="H60" i="11" s="1"/>
  <c r="I60" i="11" s="1"/>
  <c r="F60" i="11"/>
  <c r="J45" i="11"/>
  <c r="H45" i="11" s="1"/>
  <c r="I45" i="11" s="1"/>
  <c r="E45" i="11"/>
  <c r="F45" i="11"/>
  <c r="J61" i="11"/>
  <c r="H61" i="11" s="1"/>
  <c r="I61" i="11" s="1"/>
  <c r="E61" i="11"/>
  <c r="F61" i="11"/>
  <c r="J66" i="11"/>
  <c r="H66" i="11" s="1"/>
  <c r="I66" i="11" s="1"/>
  <c r="E66" i="11"/>
  <c r="F66" i="11"/>
  <c r="E65" i="11"/>
  <c r="J65" i="11"/>
  <c r="H65" i="11" s="1"/>
  <c r="I65" i="11" s="1"/>
  <c r="F65" i="11"/>
  <c r="E51" i="11"/>
  <c r="J51" i="11"/>
  <c r="H51" i="11" s="1"/>
  <c r="I51" i="11" s="1"/>
  <c r="F51" i="11"/>
  <c r="E59" i="11"/>
  <c r="J59" i="11"/>
  <c r="H59" i="11" s="1"/>
  <c r="I59" i="11" s="1"/>
  <c r="F59" i="11"/>
  <c r="J58" i="11"/>
  <c r="H58" i="11" s="1"/>
  <c r="I58" i="11" s="1"/>
  <c r="E58" i="11"/>
  <c r="F58" i="11"/>
  <c r="E46" i="11"/>
  <c r="J46" i="11"/>
  <c r="H46" i="11" s="1"/>
  <c r="I46" i="11" s="1"/>
  <c r="F46" i="11"/>
  <c r="E54" i="11"/>
  <c r="J54" i="11"/>
  <c r="H54" i="11" s="1"/>
  <c r="I54" i="11" s="1"/>
  <c r="F54" i="11"/>
  <c r="J56" i="11"/>
  <c r="H56" i="11" s="1"/>
  <c r="I56" i="11" s="1"/>
  <c r="E56" i="11"/>
  <c r="F56" i="11"/>
  <c r="E43" i="11"/>
  <c r="J43" i="11"/>
  <c r="H43" i="11" s="1"/>
  <c r="I43" i="11" s="1"/>
  <c r="F43" i="11"/>
  <c r="E49" i="11"/>
  <c r="J49" i="11"/>
  <c r="H49" i="11" s="1"/>
  <c r="I49" i="11" s="1"/>
  <c r="F49" i="11"/>
  <c r="J52" i="11"/>
  <c r="H52" i="11" s="1"/>
  <c r="I52" i="11" s="1"/>
  <c r="E52" i="11"/>
  <c r="F52" i="11"/>
  <c r="E55" i="11"/>
  <c r="J55" i="11"/>
  <c r="H55" i="11" s="1"/>
  <c r="I55" i="11" s="1"/>
  <c r="F55" i="11"/>
  <c r="J53" i="11"/>
  <c r="H53" i="11" s="1"/>
  <c r="I53" i="11" s="1"/>
  <c r="E53" i="11"/>
  <c r="F53" i="11"/>
  <c r="E64" i="11"/>
  <c r="J64" i="11"/>
  <c r="H64" i="11" s="1"/>
  <c r="I64" i="11" s="1"/>
  <c r="F64" i="11"/>
  <c r="E63" i="11"/>
  <c r="J63" i="11"/>
  <c r="H63" i="11" s="1"/>
  <c r="I63" i="11" s="1"/>
  <c r="F63" i="11"/>
  <c r="J47" i="11"/>
  <c r="H47" i="11" s="1"/>
  <c r="I47" i="11" s="1"/>
  <c r="E47" i="11"/>
  <c r="F47" i="11"/>
  <c r="J50" i="11"/>
  <c r="H50" i="11" s="1"/>
  <c r="I50" i="11" s="1"/>
  <c r="E50" i="11"/>
  <c r="F50" i="11"/>
  <c r="J48" i="11"/>
  <c r="H48" i="11" s="1"/>
  <c r="I48" i="11" s="1"/>
  <c r="E48" i="11"/>
  <c r="F48" i="11"/>
  <c r="E57" i="11"/>
  <c r="J57" i="11"/>
  <c r="H57" i="11" s="1"/>
  <c r="I57" i="11" s="1"/>
  <c r="F57" i="11"/>
  <c r="I30" i="11"/>
  <c r="F30" i="11"/>
  <c r="J7" i="11"/>
  <c r="E30" i="11"/>
  <c r="J9" i="11"/>
  <c r="H9" i="11" s="1"/>
  <c r="I9" i="11" s="1"/>
  <c r="E9" i="11"/>
  <c r="F9" i="11"/>
  <c r="E16" i="11"/>
  <c r="J16" i="11"/>
  <c r="H16" i="11" s="1"/>
  <c r="I16" i="11" s="1"/>
  <c r="F16" i="11"/>
  <c r="J26" i="11"/>
  <c r="H26" i="11" s="1"/>
  <c r="I26" i="11" s="1"/>
  <c r="E26" i="11"/>
  <c r="F26" i="11"/>
  <c r="J18" i="11"/>
  <c r="H18" i="11" s="1"/>
  <c r="I18" i="11" s="1"/>
  <c r="E18" i="11"/>
  <c r="F18" i="11"/>
  <c r="J41" i="11"/>
  <c r="H41" i="11" s="1"/>
  <c r="I41" i="11" s="1"/>
  <c r="E41" i="11"/>
  <c r="F41" i="11"/>
  <c r="E33" i="11"/>
  <c r="J33" i="11"/>
  <c r="H33" i="11" s="1"/>
  <c r="I33" i="11" s="1"/>
  <c r="F33" i="11"/>
  <c r="J32" i="11"/>
  <c r="H32" i="11" s="1"/>
  <c r="I32" i="11" s="1"/>
  <c r="E32" i="11"/>
  <c r="F32" i="11"/>
  <c r="J17" i="11"/>
  <c r="H17" i="11" s="1"/>
  <c r="I17" i="11" s="1"/>
  <c r="E17" i="11"/>
  <c r="F17" i="11"/>
  <c r="J35" i="11"/>
  <c r="H35" i="11" s="1"/>
  <c r="I35" i="11" s="1"/>
  <c r="E35" i="11"/>
  <c r="F35" i="11"/>
  <c r="J34" i="11"/>
  <c r="H34" i="11" s="1"/>
  <c r="I34" i="11" s="1"/>
  <c r="E34" i="11"/>
  <c r="F34" i="11"/>
  <c r="J5" i="11"/>
  <c r="H5" i="11" s="1"/>
  <c r="I5" i="11" s="1"/>
  <c r="E5" i="11"/>
  <c r="F5" i="11"/>
  <c r="J15" i="11"/>
  <c r="H15" i="11" s="1"/>
  <c r="I15" i="11" s="1"/>
  <c r="E15" i="11"/>
  <c r="F15" i="11"/>
  <c r="J23" i="11"/>
  <c r="H23" i="11" s="1"/>
  <c r="I23" i="11" s="1"/>
  <c r="E23" i="11"/>
  <c r="F23" i="11"/>
  <c r="J8" i="11"/>
  <c r="H8" i="11" s="1"/>
  <c r="I8" i="11" s="1"/>
  <c r="E8" i="11"/>
  <c r="F8" i="11"/>
  <c r="J20" i="11"/>
  <c r="H20" i="11" s="1"/>
  <c r="I20" i="11" s="1"/>
  <c r="E20" i="11"/>
  <c r="F20" i="11"/>
  <c r="E13" i="11"/>
  <c r="J13" i="11"/>
  <c r="H13" i="11" s="1"/>
  <c r="I13" i="11" s="1"/>
  <c r="F13" i="11"/>
  <c r="E11" i="11"/>
  <c r="J11" i="11"/>
  <c r="H11" i="11" s="1"/>
  <c r="I11" i="11" s="1"/>
  <c r="F11" i="11"/>
  <c r="E39" i="11"/>
  <c r="J39" i="11"/>
  <c r="H39" i="11" s="1"/>
  <c r="I39" i="11" s="1"/>
  <c r="F39" i="11"/>
  <c r="E21" i="11"/>
  <c r="J21" i="11"/>
  <c r="H21" i="11" s="1"/>
  <c r="I21" i="11" s="1"/>
  <c r="F21" i="11"/>
  <c r="J37" i="11"/>
  <c r="H37" i="11" s="1"/>
  <c r="I37" i="11" s="1"/>
  <c r="E37" i="11"/>
  <c r="F37" i="11"/>
  <c r="E40" i="11"/>
  <c r="J40" i="11"/>
  <c r="H40" i="11" s="1"/>
  <c r="I40" i="11" s="1"/>
  <c r="F40" i="11"/>
  <c r="J27" i="11"/>
  <c r="H27" i="11" s="1"/>
  <c r="I27" i="11" s="1"/>
  <c r="E27" i="11"/>
  <c r="F27" i="11"/>
  <c r="J36" i="11"/>
  <c r="H36" i="11" s="1"/>
  <c r="I36" i="11" s="1"/>
  <c r="E36" i="11"/>
  <c r="F36" i="11"/>
  <c r="J29" i="11"/>
  <c r="H29" i="11" s="1"/>
  <c r="I29" i="11" s="1"/>
  <c r="E29" i="11"/>
  <c r="F29" i="11"/>
  <c r="J38" i="11"/>
  <c r="H38" i="11" s="1"/>
  <c r="I38" i="11" s="1"/>
  <c r="E38" i="11"/>
  <c r="F38" i="11"/>
  <c r="J12" i="11"/>
  <c r="H12" i="11" s="1"/>
  <c r="I12" i="11" s="1"/>
  <c r="E12" i="11"/>
  <c r="F12" i="11"/>
  <c r="J24" i="11"/>
  <c r="H24" i="11" s="1"/>
  <c r="I24" i="11" s="1"/>
  <c r="E24" i="11"/>
  <c r="F24" i="11"/>
  <c r="J10" i="11"/>
  <c r="H10" i="11" s="1"/>
  <c r="I10" i="11" s="1"/>
  <c r="E10" i="11"/>
  <c r="F10" i="11"/>
  <c r="J31" i="11"/>
  <c r="H31" i="11" s="1"/>
  <c r="I31" i="11" s="1"/>
  <c r="E31" i="11"/>
  <c r="F31" i="11"/>
  <c r="J42" i="11"/>
  <c r="H42" i="11" s="1"/>
  <c r="I42" i="11" s="1"/>
  <c r="E42" i="11"/>
  <c r="F42" i="11"/>
  <c r="E25" i="11"/>
  <c r="J25" i="11"/>
  <c r="H25" i="11" s="1"/>
  <c r="I25" i="11" s="1"/>
  <c r="F25" i="11"/>
  <c r="E4" i="11"/>
  <c r="J4" i="11"/>
  <c r="H4" i="11" s="1"/>
  <c r="I4" i="11" s="1"/>
  <c r="F4" i="11"/>
  <c r="E19" i="11"/>
  <c r="J19" i="11"/>
  <c r="H19" i="11" s="1"/>
  <c r="I19" i="11" s="1"/>
  <c r="F19" i="11"/>
  <c r="E28" i="11"/>
  <c r="J28" i="11"/>
  <c r="H28" i="11" s="1"/>
  <c r="I28" i="11" s="1"/>
  <c r="F28" i="11"/>
  <c r="J22" i="11"/>
  <c r="H22" i="11" s="1"/>
  <c r="I22" i="11" s="1"/>
  <c r="E22" i="11"/>
  <c r="F22" i="11"/>
  <c r="E14" i="11"/>
  <c r="J14" i="11"/>
  <c r="H14" i="11" s="1"/>
  <c r="I14" i="11" s="1"/>
  <c r="F14" i="11"/>
  <c r="J6" i="11"/>
  <c r="H6" i="11" s="1"/>
  <c r="I6" i="11" s="1"/>
  <c r="E6" i="11"/>
  <c r="F6" i="11"/>
  <c r="H7" i="11" l="1"/>
  <c r="I7" i="11" s="1"/>
  <c r="J3" i="11"/>
  <c r="H3" i="11" s="1"/>
  <c r="F3" i="11"/>
  <c r="E255" i="11" l="1" a="1"/>
  <c r="E255" i="11" s="1"/>
  <c r="E249" i="11"/>
  <c r="I3" i="11"/>
  <c r="E253" i="11" s="1"/>
  <c r="E1" i="11"/>
  <c r="E251" i="11" l="1"/>
  <c r="E243" i="1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<sst xmlns="http://schemas.openxmlformats.org/spreadsheetml/2006/main" count="3685" uniqueCount="1224">
  <si>
    <t>ID</t>
  </si>
  <si>
    <t>F coupon&lt;0.5</t>
  </si>
  <si>
    <t>Price</t>
  </si>
  <si>
    <t>Cash flows</t>
  </si>
  <si>
    <t>FITTED VISUALISATION</t>
  </si>
  <si>
    <t>AVG yield</t>
  </si>
  <si>
    <t>ask yield</t>
  </si>
  <si>
    <t>bid yield</t>
  </si>
  <si>
    <t>Maturity</t>
  </si>
  <si>
    <t>Coupon</t>
  </si>
  <si>
    <t>Market</t>
  </si>
  <si>
    <t>Model</t>
  </si>
  <si>
    <t>Error</t>
  </si>
  <si>
    <t>Abs Error</t>
  </si>
  <si>
    <t>Yield</t>
  </si>
  <si>
    <t>Yield Model</t>
  </si>
  <si>
    <t xml:space="preserve">Yield Error </t>
  </si>
  <si>
    <t>- prices</t>
  </si>
  <si>
    <t>Time discretization</t>
  </si>
  <si>
    <t>Long term spot</t>
  </si>
  <si>
    <t>Time decay</t>
  </si>
  <si>
    <t>First hump</t>
  </si>
  <si>
    <t>Second hump</t>
  </si>
  <si>
    <t>Total</t>
  </si>
  <si>
    <t xml:space="preserve">INITIAL VALUES </t>
  </si>
  <si>
    <t xml:space="preserve">SOLVER VALUES </t>
  </si>
  <si>
    <t>INITIAL RESULTS</t>
  </si>
  <si>
    <t>SOLVER RESULTS</t>
  </si>
  <si>
    <r>
      <t>b</t>
    </r>
    <r>
      <rPr>
        <vertAlign val="subscript"/>
        <sz val="11"/>
        <color theme="1"/>
        <rFont val="Symbol"/>
        <family val="1"/>
        <charset val="2"/>
      </rPr>
      <t>0</t>
    </r>
  </si>
  <si>
    <t>Mean abs error</t>
  </si>
  <si>
    <t>r(t)</t>
  </si>
  <si>
    <t>FITTED</t>
  </si>
  <si>
    <t>Spot</t>
  </si>
  <si>
    <r>
      <t>b</t>
    </r>
    <r>
      <rPr>
        <vertAlign val="subscript"/>
        <sz val="11"/>
        <color theme="1"/>
        <rFont val="Symbol"/>
        <family val="1"/>
        <charset val="2"/>
      </rPr>
      <t>1</t>
    </r>
    <r>
      <rPr>
        <sz val="10"/>
        <rFont val="Arial"/>
        <family val="2"/>
      </rPr>
      <t/>
    </r>
  </si>
  <si>
    <t>d(t)</t>
  </si>
  <si>
    <t>Discount factor</t>
  </si>
  <si>
    <r>
      <t>b</t>
    </r>
    <r>
      <rPr>
        <vertAlign val="subscript"/>
        <sz val="11"/>
        <color theme="1"/>
        <rFont val="Symbol"/>
        <family val="1"/>
        <charset val="2"/>
      </rPr>
      <t>2</t>
    </r>
    <r>
      <rPr>
        <sz val="10"/>
        <rFont val="Arial"/>
        <family val="2"/>
      </rPr>
      <t/>
    </r>
  </si>
  <si>
    <t>RMSE (Price)</t>
  </si>
  <si>
    <t>f(t)</t>
  </si>
  <si>
    <t>Forward</t>
  </si>
  <si>
    <r>
      <t>b</t>
    </r>
    <r>
      <rPr>
        <vertAlign val="subscript"/>
        <sz val="11"/>
        <color theme="1"/>
        <rFont val="Symbol"/>
        <family val="1"/>
        <charset val="2"/>
      </rPr>
      <t>3</t>
    </r>
    <r>
      <rPr>
        <sz val="10"/>
        <rFont val="Arial"/>
        <family val="2"/>
      </rPr>
      <t/>
    </r>
  </si>
  <si>
    <t>t1</t>
  </si>
  <si>
    <t>RMSE (Yield)</t>
  </si>
  <si>
    <t>t2</t>
  </si>
  <si>
    <t>Instrument</t>
  </si>
  <si>
    <t>Name</t>
  </si>
  <si>
    <t>Ticker</t>
  </si>
  <si>
    <t>Country/Region</t>
  </si>
  <si>
    <t>Currency</t>
  </si>
  <si>
    <t>Coupon Type</t>
  </si>
  <si>
    <t>Coupon Frequency</t>
  </si>
  <si>
    <t>Ask Yield to Maturity</t>
  </si>
  <si>
    <t>Bid Yield to Maturity</t>
  </si>
  <si>
    <t>Ask Price</t>
  </si>
  <si>
    <t>Bid Price</t>
  </si>
  <si>
    <t>Identifier</t>
  </si>
  <si>
    <t>ISIN</t>
  </si>
  <si>
    <t>Bloomberg Composite Rating</t>
  </si>
  <si>
    <t>Announce</t>
  </si>
  <si>
    <t>Next Coupon Settle Date</t>
  </si>
  <si>
    <t>Time</t>
  </si>
  <si>
    <t>AL516835 Corp</t>
  </si>
  <si>
    <t>AL662876 Corp</t>
  </si>
  <si>
    <t>AL797512 Corp</t>
  </si>
  <si>
    <t>AM713129 Corp</t>
  </si>
  <si>
    <t>AM766737 Corp</t>
  </si>
  <si>
    <t>AM850328 Corp</t>
  </si>
  <si>
    <t>AN751153 Corp</t>
  </si>
  <si>
    <t>AN821370 Corp</t>
  </si>
  <si>
    <t>AN861997 Corp</t>
  </si>
  <si>
    <t>AN958432 Corp</t>
  </si>
  <si>
    <t>AP027592 Corp</t>
  </si>
  <si>
    <t>AP059339 Corp</t>
  </si>
  <si>
    <t>AP155275 Corp</t>
  </si>
  <si>
    <t>AQ307103 Corp</t>
  </si>
  <si>
    <t>AQ340832 Corp</t>
  </si>
  <si>
    <t>AQ417830 Corp</t>
  </si>
  <si>
    <t>AR545005 Corp</t>
  </si>
  <si>
    <t>AR620065 Corp</t>
  </si>
  <si>
    <t>AR775109 Corp</t>
  </si>
  <si>
    <t>AS843222 Corp</t>
  </si>
  <si>
    <t>AT427280 Corp</t>
  </si>
  <si>
    <t>AT476518 Corp</t>
  </si>
  <si>
    <t>AT578853 Corp</t>
  </si>
  <si>
    <t>AU788839 Corp</t>
  </si>
  <si>
    <t>AU951286 Corp</t>
  </si>
  <si>
    <t>AV122750 Corp</t>
  </si>
  <si>
    <t>AW566680 Corp</t>
  </si>
  <si>
    <t>AW634174 Corp</t>
  </si>
  <si>
    <t>AW892884 Corp</t>
  </si>
  <si>
    <t>AX991345 Corp</t>
  </si>
  <si>
    <t>AZ459860 Corp</t>
  </si>
  <si>
    <t>AZ527231 Corp</t>
  </si>
  <si>
    <t>AZ694472 Corp</t>
  </si>
  <si>
    <t>BH527948 Corp</t>
  </si>
  <si>
    <t>BH620692 Corp</t>
  </si>
  <si>
    <t>BI018471 Corp</t>
  </si>
  <si>
    <t>BJ706274 Corp</t>
  </si>
  <si>
    <t>BK340998 Corp</t>
  </si>
  <si>
    <t>BK411989 Corp</t>
  </si>
  <si>
    <t>BK594564 Corp</t>
  </si>
  <si>
    <t>BM027946 Corp</t>
  </si>
  <si>
    <t>BN361059 Corp</t>
  </si>
  <si>
    <t>BN417655 Corp</t>
  </si>
  <si>
    <t>BN612844 Corp</t>
  </si>
  <si>
    <t>BO911343 Corp</t>
  </si>
  <si>
    <t>BO941870 Corp</t>
  </si>
  <si>
    <t>BO997638 Corp</t>
  </si>
  <si>
    <t>BP172580 Corp</t>
  </si>
  <si>
    <t>BP809355 Corp</t>
  </si>
  <si>
    <t>BQ348089 Corp</t>
  </si>
  <si>
    <t>BQ405120 Corp</t>
  </si>
  <si>
    <t>BQ447894 Corp</t>
  </si>
  <si>
    <t>BQ516777 Corp</t>
  </si>
  <si>
    <t>BR788662 Corp</t>
  </si>
  <si>
    <t>BR921605 Corp</t>
  </si>
  <si>
    <t>BR962540 Corp</t>
  </si>
  <si>
    <t>BS028901 Corp</t>
  </si>
  <si>
    <t>BT330618 Corp</t>
  </si>
  <si>
    <t>BT386064 Corp</t>
  </si>
  <si>
    <t>BT484763 Corp</t>
  </si>
  <si>
    <t>BT530456 Corp</t>
  </si>
  <si>
    <t>BV737650 Corp</t>
  </si>
  <si>
    <t>BV801821 Corp</t>
  </si>
  <si>
    <t>BV894033 Corp</t>
  </si>
  <si>
    <t>BV949862 Corp</t>
  </si>
  <si>
    <t>BW843591 Corp</t>
  </si>
  <si>
    <t>BX331425 Corp</t>
  </si>
  <si>
    <t>BX625748 Corp</t>
  </si>
  <si>
    <t>BX715025 Corp</t>
  </si>
  <si>
    <t>BX810244 Corp</t>
  </si>
  <si>
    <t>BX863121 Corp</t>
  </si>
  <si>
    <t>BZ503564 Corp</t>
  </si>
  <si>
    <t>BZ687913 Corp</t>
  </si>
  <si>
    <t>BZ743105 Corp</t>
  </si>
  <si>
    <t>BZ802616 Corp</t>
  </si>
  <si>
    <t>DA962213 Corp</t>
  </si>
  <si>
    <t>DC209344 Corp</t>
  </si>
  <si>
    <t>DC578379 Corp</t>
  </si>
  <si>
    <t>DC746693 Corp</t>
  </si>
  <si>
    <t>DC841111 Corp</t>
  </si>
  <si>
    <t>DF972719 Corp</t>
  </si>
  <si>
    <t>EC174534 Corp</t>
  </si>
  <si>
    <t>EC222031 Corp</t>
  </si>
  <si>
    <t>EC256531 Corp</t>
  </si>
  <si>
    <t>EC306656 Corp</t>
  </si>
  <si>
    <t>EC387594 Corp</t>
  </si>
  <si>
    <t>EC474539 Corp</t>
  </si>
  <si>
    <t>EC565086 Corp</t>
  </si>
  <si>
    <t>EC748607 Corp</t>
  </si>
  <si>
    <t>EC820426 Corp</t>
  </si>
  <si>
    <t>EC974778 Corp</t>
  </si>
  <si>
    <t>ED067043 Corp</t>
  </si>
  <si>
    <t>ED216135 Corp</t>
  </si>
  <si>
    <t>ED335706 Corp</t>
  </si>
  <si>
    <t>ED424001 Corp</t>
  </si>
  <si>
    <t>ED580618 Corp</t>
  </si>
  <si>
    <t>ED659106 Corp</t>
  </si>
  <si>
    <t>ED819390 Corp</t>
  </si>
  <si>
    <t>ED903474 Corp</t>
  </si>
  <si>
    <t>EF021292 Corp</t>
  </si>
  <si>
    <t>EF138652 Corp</t>
  </si>
  <si>
    <t>EF250218 Corp</t>
  </si>
  <si>
    <t>EF329501 Corp</t>
  </si>
  <si>
    <t>EF371144 Corp</t>
  </si>
  <si>
    <t>EF381218 Corp</t>
  </si>
  <si>
    <t>EF452796 Corp</t>
  </si>
  <si>
    <t>EF500367 Corp</t>
  </si>
  <si>
    <t>EF559765 Corp</t>
  </si>
  <si>
    <t>EF659299 Corp</t>
  </si>
  <si>
    <t>EF715379 Corp</t>
  </si>
  <si>
    <t>EF778508 Corp</t>
  </si>
  <si>
    <t>EF794306 Corp</t>
  </si>
  <si>
    <t>EG057459 Corp</t>
  </si>
  <si>
    <t>EG125261 Corp</t>
  </si>
  <si>
    <t>EG278595 Corp</t>
  </si>
  <si>
    <t>EG375737 Corp</t>
  </si>
  <si>
    <t>EG396905 Corp</t>
  </si>
  <si>
    <t>EG586429 Corp</t>
  </si>
  <si>
    <t>EG780776 Corp</t>
  </si>
  <si>
    <t>EG857336 Corp</t>
  </si>
  <si>
    <t>EG883955 Corp</t>
  </si>
  <si>
    <t>EG938408 Corp</t>
  </si>
  <si>
    <t>EH063365 Corp</t>
  </si>
  <si>
    <t>EH131379 Corp</t>
  </si>
  <si>
    <t>EH269031 Corp</t>
  </si>
  <si>
    <t>EH314693 Corp</t>
  </si>
  <si>
    <t>EH385409 Corp</t>
  </si>
  <si>
    <t>EH423708 Corp</t>
  </si>
  <si>
    <t>EH482900 Corp</t>
  </si>
  <si>
    <t>EH528555 Corp</t>
  </si>
  <si>
    <t>EH562271 Corp</t>
  </si>
  <si>
    <t>EH598545 Corp</t>
  </si>
  <si>
    <t>EH606623 Corp</t>
  </si>
  <si>
    <t>EH660472 Corp</t>
  </si>
  <si>
    <t>EH703406 Corp</t>
  </si>
  <si>
    <t>EH761125 Corp</t>
  </si>
  <si>
    <t>EH791118 Corp</t>
  </si>
  <si>
    <t>EH799588 Corp</t>
  </si>
  <si>
    <t>EH829698 Corp</t>
  </si>
  <si>
    <t>EH871549 Corp</t>
  </si>
  <si>
    <t>EH914171 Corp</t>
  </si>
  <si>
    <t>EH975344 Corp</t>
  </si>
  <si>
    <t>EI004805 Corp</t>
  </si>
  <si>
    <t>EI083545 Corp</t>
  </si>
  <si>
    <t>EI159052 Corp</t>
  </si>
  <si>
    <t>EI181923 Corp</t>
  </si>
  <si>
    <t>EI190878 Corp</t>
  </si>
  <si>
    <t>EI232143 Corp</t>
  </si>
  <si>
    <t>EI252407 Corp</t>
  </si>
  <si>
    <t>EI290341 Corp</t>
  </si>
  <si>
    <t>EI332542 Corp</t>
  </si>
  <si>
    <t>EI385485 Corp</t>
  </si>
  <si>
    <t>EI399537 Corp</t>
  </si>
  <si>
    <t>EI404063 Corp</t>
  </si>
  <si>
    <t>EI444310 Corp</t>
  </si>
  <si>
    <t>EI513049 Corp</t>
  </si>
  <si>
    <t>EI587608 Corp</t>
  </si>
  <si>
    <t>EI603757 Corp</t>
  </si>
  <si>
    <t>EI613256 Corp</t>
  </si>
  <si>
    <t>EI653529 Corp</t>
  </si>
  <si>
    <t>EI681422 Corp</t>
  </si>
  <si>
    <t>EI692405 Corp</t>
  </si>
  <si>
    <t>EI713861 Corp</t>
  </si>
  <si>
    <t>EI795310 Corp</t>
  </si>
  <si>
    <t>EI805566 Corp</t>
  </si>
  <si>
    <t>EI813196 Corp</t>
  </si>
  <si>
    <t>EI886396 Corp</t>
  </si>
  <si>
    <t>EI910474 Corp</t>
  </si>
  <si>
    <t>EJ001484 Corp</t>
  </si>
  <si>
    <t>EJ053825 Corp</t>
  </si>
  <si>
    <t>EJ096338 Corp</t>
  </si>
  <si>
    <t>EJ146116 Corp</t>
  </si>
  <si>
    <t>EJ198645 Corp</t>
  </si>
  <si>
    <t>EJ213627 Corp</t>
  </si>
  <si>
    <t>EJ239794 Corp</t>
  </si>
  <si>
    <t>EJ300145 Corp</t>
  </si>
  <si>
    <t>EJ336551 Corp</t>
  </si>
  <si>
    <t>EJ353672 Corp</t>
  </si>
  <si>
    <t>EJ363340 Corp</t>
  </si>
  <si>
    <t>EJ488345 Corp</t>
  </si>
  <si>
    <t>EJ565915 Corp</t>
  </si>
  <si>
    <t>EJ586107 Corp</t>
  </si>
  <si>
    <t>EJ593960 Corp</t>
  </si>
  <si>
    <t>EJ643211 Corp</t>
  </si>
  <si>
    <t>EJ687610 Corp</t>
  </si>
  <si>
    <t>EJ709977 Corp</t>
  </si>
  <si>
    <t>EJ724840 Corp</t>
  </si>
  <si>
    <t>EJ827169 Corp</t>
  </si>
  <si>
    <t>EJ843439 Corp</t>
  </si>
  <si>
    <t>EJ983025 Corp</t>
  </si>
  <si>
    <t>EJ994396 Corp</t>
  </si>
  <si>
    <t>EK112323 Corp</t>
  </si>
  <si>
    <t>EK134061 Corp</t>
  </si>
  <si>
    <t>EK299024 Corp</t>
  </si>
  <si>
    <t>EK317779 Corp</t>
  </si>
  <si>
    <t>EK339021 Corp</t>
  </si>
  <si>
    <t>EK482639 Corp</t>
  </si>
  <si>
    <t>EK499681 Corp</t>
  </si>
  <si>
    <t>EK650156 Corp</t>
  </si>
  <si>
    <t>EK666093 Corp</t>
  </si>
  <si>
    <t>EK789693 Corp</t>
  </si>
  <si>
    <t>EK813746 Corp</t>
  </si>
  <si>
    <t>EK877977 Corp</t>
  </si>
  <si>
    <t>EK957539 Corp</t>
  </si>
  <si>
    <t>EK972288 Corp</t>
  </si>
  <si>
    <t>JK298261 Corp</t>
  </si>
  <si>
    <t>JK380578 Corp</t>
  </si>
  <si>
    <t>JK501604 Corp</t>
  </si>
  <si>
    <t>JV207518 Corp</t>
  </si>
  <si>
    <t>JV336866 Corp</t>
  </si>
  <si>
    <t>LW239433 Corp</t>
  </si>
  <si>
    <t>LW316486 Corp</t>
  </si>
  <si>
    <t>LW361469 Corp</t>
  </si>
  <si>
    <t>LW545302 Corp</t>
  </si>
  <si>
    <t>QZ413850 Corp</t>
  </si>
  <si>
    <t>QZ467563 Corp</t>
  </si>
  <si>
    <t>QZ541542 Corp</t>
  </si>
  <si>
    <t>UV814279 Corp</t>
  </si>
  <si>
    <t>UV890292 Corp</t>
  </si>
  <si>
    <t>YI023856 Corp</t>
  </si>
  <si>
    <t>YI189082 Corp</t>
  </si>
  <si>
    <t>YI394740 Corp</t>
  </si>
  <si>
    <t>YI570831 Corp</t>
  </si>
  <si>
    <t>YJ177433 Corp</t>
  </si>
  <si>
    <t>YJ408080 Corp</t>
  </si>
  <si>
    <t>YJ827109 Corp</t>
  </si>
  <si>
    <t>YK032880 Corp</t>
  </si>
  <si>
    <t>YK553774 Corp</t>
  </si>
  <si>
    <t>YK650334 Corp</t>
  </si>
  <si>
    <t>YK837626 Corp</t>
  </si>
  <si>
    <t>YK941325 Corp</t>
  </si>
  <si>
    <t>YL701515 Corp</t>
  </si>
  <si>
    <t>YM113944 Corp</t>
  </si>
  <si>
    <t>YM201672 Corp</t>
  </si>
  <si>
    <t>YM377386 Corp</t>
  </si>
  <si>
    <t>YM801404 Corp</t>
  </si>
  <si>
    <t>YN009853 Corp</t>
  </si>
  <si>
    <t>YN766681 Corp</t>
  </si>
  <si>
    <t>YN917177 Corp</t>
  </si>
  <si>
    <t>YN990658 Corp</t>
  </si>
  <si>
    <t>YO939740 Corp</t>
  </si>
  <si>
    <t>YP285159 Corp</t>
  </si>
  <si>
    <t>YP408001 Corp</t>
  </si>
  <si>
    <t>YP620021 Corp</t>
  </si>
  <si>
    <t>YP920263 Corp</t>
  </si>
  <si>
    <t>YQ248343 Corp</t>
  </si>
  <si>
    <t>YQ865312 Corp</t>
  </si>
  <si>
    <t>YQ993424 Corp</t>
  </si>
  <si>
    <t>YR145899 Corp</t>
  </si>
  <si>
    <t>YR543118 Corp</t>
  </si>
  <si>
    <t>YR907955 Corp</t>
  </si>
  <si>
    <t>YS259033 Corp</t>
  </si>
  <si>
    <t>YS443328 Corp</t>
  </si>
  <si>
    <t>YS522463 Corp</t>
  </si>
  <si>
    <t>YS632004 Corp</t>
  </si>
  <si>
    <t>YS702880 Corp</t>
  </si>
  <si>
    <t>YT301966 Corp</t>
  </si>
  <si>
    <t>YT642248 Corp</t>
  </si>
  <si>
    <t>YU173621 Corp</t>
  </si>
  <si>
    <t>YU269893 Corp</t>
  </si>
  <si>
    <t>YU369993 Corp</t>
  </si>
  <si>
    <t>YU433144 Corp</t>
  </si>
  <si>
    <t>YU740781 Corp</t>
  </si>
  <si>
    <t>YU844361 Corp</t>
  </si>
  <si>
    <t>YV146917 Corp</t>
  </si>
  <si>
    <t>YV477187 Corp</t>
  </si>
  <si>
    <t>YV698156 Corp</t>
  </si>
  <si>
    <t>YW041715 Corp</t>
  </si>
  <si>
    <t>YW129328 Corp</t>
  </si>
  <si>
    <t>YW192607 Corp</t>
  </si>
  <si>
    <t>YW286965 Corp</t>
  </si>
  <si>
    <t>YW348675 Corp</t>
  </si>
  <si>
    <t>YW503765 Corp</t>
  </si>
  <si>
    <t>YW691926 Corp</t>
  </si>
  <si>
    <t>YX094761 Corp</t>
  </si>
  <si>
    <t>YX270525 Corp</t>
  </si>
  <si>
    <t>YX384834 Corp</t>
  </si>
  <si>
    <t>YX440521 Corp</t>
  </si>
  <si>
    <t>YX891742 Corp</t>
  </si>
  <si>
    <t>ZB137529 Corp</t>
  </si>
  <si>
    <t>ZB141254 Corp</t>
  </si>
  <si>
    <t>ZB197472 Corp</t>
  </si>
  <si>
    <t>ZB309355 Corp</t>
  </si>
  <si>
    <t>ZB372665 Corp</t>
  </si>
  <si>
    <t>ZB651229 Corp</t>
  </si>
  <si>
    <t>ZD039327 Corp</t>
  </si>
  <si>
    <t>ZD338443 Corp</t>
  </si>
  <si>
    <t>ZD670307 Corp</t>
  </si>
  <si>
    <t>ZF266659 Corp</t>
  </si>
  <si>
    <t>ZF317568 Corp</t>
  </si>
  <si>
    <t>ZF360535 Corp</t>
  </si>
  <si>
    <t>ZF423028 Corp</t>
  </si>
  <si>
    <t>ZF953600 Corp</t>
  </si>
  <si>
    <t>ZG134466 Corp</t>
  </si>
  <si>
    <t>ZH264747 Corp</t>
  </si>
  <si>
    <t>ZH320472 Corp</t>
  </si>
  <si>
    <t>ZH437639 Corp</t>
  </si>
  <si>
    <t>ZH548728 Corp</t>
  </si>
  <si>
    <t>ZI391344 Corp</t>
  </si>
  <si>
    <t>ZI861660 Corp</t>
  </si>
  <si>
    <t>ZJ604342 Corp</t>
  </si>
  <si>
    <t>ZJ658086 Corp</t>
  </si>
  <si>
    <t>ZJ741523 Corp</t>
  </si>
  <si>
    <t>ZJ786530 Corp</t>
  </si>
  <si>
    <t>ZK039857 Corp</t>
  </si>
  <si>
    <t>ZK098518 Corp</t>
  </si>
  <si>
    <t>ZK140252 Corp</t>
  </si>
  <si>
    <t>ZK305900 Corp</t>
  </si>
  <si>
    <t>ZK645188 Corp</t>
  </si>
  <si>
    <t>ZK786267 Corp</t>
  </si>
  <si>
    <t>ZL113533 Corp</t>
  </si>
  <si>
    <t>ZM259327 Corp</t>
  </si>
  <si>
    <t>ZM378379 Corp</t>
  </si>
  <si>
    <t>ZM445143 Corp</t>
  </si>
  <si>
    <t>ZM541259 Corp</t>
  </si>
  <si>
    <t>ZO739535 Corp</t>
  </si>
  <si>
    <t>ZO808012 Corp</t>
  </si>
  <si>
    <t>ZP316570 Corp</t>
  </si>
  <si>
    <t>ZP387400 Corp</t>
  </si>
  <si>
    <t>ZP562354 Corp</t>
  </si>
  <si>
    <t>ZQ061592 Corp</t>
  </si>
  <si>
    <t>ZQ278992 Corp</t>
  </si>
  <si>
    <t>ZR885925 Corp</t>
  </si>
  <si>
    <t>ZS052604 Corp</t>
  </si>
  <si>
    <t>ZS214186 Corp</t>
  </si>
  <si>
    <t>ZS877644 Corp</t>
  </si>
  <si>
    <t>AVG price</t>
  </si>
  <si>
    <t>id</t>
  </si>
  <si>
    <t>TIMEish</t>
  </si>
  <si>
    <t>years ago</t>
  </si>
  <si>
    <t>Accrued Interest</t>
  </si>
  <si>
    <t>Clean price</t>
  </si>
  <si>
    <t>Japan Government Ten Year Bond</t>
  </si>
  <si>
    <t>JGB</t>
  </si>
  <si>
    <t>JP</t>
  </si>
  <si>
    <t>JPY</t>
  </si>
  <si>
    <t>20/12/2026</t>
  </si>
  <si>
    <t>FIXED</t>
  </si>
  <si>
    <t>AL5168359</t>
  </si>
  <si>
    <t>JP1103451GC0</t>
  </si>
  <si>
    <t>A+</t>
  </si>
  <si>
    <t>Japan Government Thirty Year Bond</t>
  </si>
  <si>
    <t>20/12/2046</t>
  </si>
  <si>
    <t>AL6628765</t>
  </si>
  <si>
    <t>JP1300531GC0</t>
  </si>
  <si>
    <t>Japan Government Twenty Year Bond</t>
  </si>
  <si>
    <t>20/12/2036</t>
  </si>
  <si>
    <t>AL7975124</t>
  </si>
  <si>
    <t>JP1201591GC4</t>
  </si>
  <si>
    <t>20/03/2027</t>
  </si>
  <si>
    <t>AM7131296</t>
  </si>
  <si>
    <t>JP1103461H35</t>
  </si>
  <si>
    <t>20/03/2047</t>
  </si>
  <si>
    <t>AM7667372</t>
  </si>
  <si>
    <t>JP1300541H31</t>
  </si>
  <si>
    <t>20/03/2037</t>
  </si>
  <si>
    <t>AM8503287</t>
  </si>
  <si>
    <t>JP1201601H38</t>
  </si>
  <si>
    <t>Japan Government Forty Year Bond</t>
  </si>
  <si>
    <t>20/03/2057</t>
  </si>
  <si>
    <t>AN7511537</t>
  </si>
  <si>
    <t>JP1400101H56</t>
  </si>
  <si>
    <t>20/06/2027</t>
  </si>
  <si>
    <t>AN8213703</t>
  </si>
  <si>
    <t>JP1103471H66</t>
  </si>
  <si>
    <t>20/06/2047</t>
  </si>
  <si>
    <t>AN8619974</t>
  </si>
  <si>
    <t>JP1300551H61</t>
  </si>
  <si>
    <t>20/06/2037</t>
  </si>
  <si>
    <t>AN9584326</t>
  </si>
  <si>
    <t>JP1201611H69</t>
  </si>
  <si>
    <t>20/09/2027</t>
  </si>
  <si>
    <t>AP0275929</t>
  </si>
  <si>
    <t>JP1103481H98</t>
  </si>
  <si>
    <t>20/09/2047</t>
  </si>
  <si>
    <t>AP0593396</t>
  </si>
  <si>
    <t>JP1300561H93</t>
  </si>
  <si>
    <t>20/09/2037</t>
  </si>
  <si>
    <t>AP1552755</t>
  </si>
  <si>
    <t>JP1201621H91</t>
  </si>
  <si>
    <t>20/12/2027</t>
  </si>
  <si>
    <t>AQ3071034</t>
  </si>
  <si>
    <t>JP1103491HC4</t>
  </si>
  <si>
    <t>20/12/2047</t>
  </si>
  <si>
    <t>AQ3408327</t>
  </si>
  <si>
    <t>JP1300571HC4</t>
  </si>
  <si>
    <t>20/12/2037</t>
  </si>
  <si>
    <t>AQ4178309</t>
  </si>
  <si>
    <t>JP1201631HC6</t>
  </si>
  <si>
    <t>20/03/2028</t>
  </si>
  <si>
    <t>AR5450051</t>
  </si>
  <si>
    <t>JP1103501J35</t>
  </si>
  <si>
    <t>20/03/2048</t>
  </si>
  <si>
    <t>AR6200653</t>
  </si>
  <si>
    <t>JP1300581J30</t>
  </si>
  <si>
    <t>20/03/2038</t>
  </si>
  <si>
    <t>AR7751092</t>
  </si>
  <si>
    <t>JP1201641J38</t>
  </si>
  <si>
    <t>20/03/2058</t>
  </si>
  <si>
    <t>AS8432229</t>
  </si>
  <si>
    <t>JP1400111J52</t>
  </si>
  <si>
    <t>20/06/2028</t>
  </si>
  <si>
    <t>AT4272809</t>
  </si>
  <si>
    <t>JP1103511J74</t>
  </si>
  <si>
    <t>20/06/2048</t>
  </si>
  <si>
    <t>AT4765182</t>
  </si>
  <si>
    <t>JP1300591J79</t>
  </si>
  <si>
    <t>20/06/2038</t>
  </si>
  <si>
    <t>AT5788530</t>
  </si>
  <si>
    <t>JP1201651J76</t>
  </si>
  <si>
    <t>20/09/2028</t>
  </si>
  <si>
    <t>AU7888392</t>
  </si>
  <si>
    <t>JP1103521JA8</t>
  </si>
  <si>
    <t>20/09/2048</t>
  </si>
  <si>
    <t>AU9512867</t>
  </si>
  <si>
    <t>JP1300601JA9</t>
  </si>
  <si>
    <t>20/09/2038</t>
  </si>
  <si>
    <t>AV1227504</t>
  </si>
  <si>
    <t>JP1201661JA3</t>
  </si>
  <si>
    <t>20/12/2028</t>
  </si>
  <si>
    <t>AW5666804</t>
  </si>
  <si>
    <t>JP1103531K10</t>
  </si>
  <si>
    <t>20/12/2048</t>
  </si>
  <si>
    <t>AW6341746</t>
  </si>
  <si>
    <t>JP1300611K15</t>
  </si>
  <si>
    <t>20/12/2038</t>
  </si>
  <si>
    <t>AW8928847</t>
  </si>
  <si>
    <t>JP1201671K12</t>
  </si>
  <si>
    <t>20/03/2029</t>
  </si>
  <si>
    <t>AX9913457</t>
  </si>
  <si>
    <t>JP1103541K42</t>
  </si>
  <si>
    <t>20/06/2029</t>
  </si>
  <si>
    <t>AZ4598605</t>
  </si>
  <si>
    <t>JP1103551K72</t>
  </si>
  <si>
    <t>20/06/2049</t>
  </si>
  <si>
    <t>AZ5272317</t>
  </si>
  <si>
    <t>JP1300631K78</t>
  </si>
  <si>
    <t>20/06/2039</t>
  </si>
  <si>
    <t>AZ6944724</t>
  </si>
  <si>
    <t>JP1201691K75</t>
  </si>
  <si>
    <t>20/03/2030</t>
  </si>
  <si>
    <t>BH5279485</t>
  </si>
  <si>
    <t>JP1103581L42</t>
  </si>
  <si>
    <t>20/03/2050</t>
  </si>
  <si>
    <t>BH6206925</t>
  </si>
  <si>
    <t>JP1300661L47</t>
  </si>
  <si>
    <t>20/03/2040</t>
  </si>
  <si>
    <t>BI0184712</t>
  </si>
  <si>
    <t>JP1201721L45</t>
  </si>
  <si>
    <t>20/03/2060</t>
  </si>
  <si>
    <t>BJ7062745</t>
  </si>
  <si>
    <t>JP1400131L54</t>
  </si>
  <si>
    <t>NR</t>
  </si>
  <si>
    <t>20/06/2030</t>
  </si>
  <si>
    <t>BK3409988</t>
  </si>
  <si>
    <t>JP1103591L73</t>
  </si>
  <si>
    <t>20/06/2050</t>
  </si>
  <si>
    <t>BK4119891</t>
  </si>
  <si>
    <t>JP1300671L78</t>
  </si>
  <si>
    <t>20/06/2040</t>
  </si>
  <si>
    <t>BK5945641</t>
  </si>
  <si>
    <t>JP1201731L76</t>
  </si>
  <si>
    <t>20/09/2040</t>
  </si>
  <si>
    <t>BM0279463</t>
  </si>
  <si>
    <t>JP1201741LA9</t>
  </si>
  <si>
    <t>20/12/2030</t>
  </si>
  <si>
    <t>BN3610597</t>
  </si>
  <si>
    <t>JP1103611M11</t>
  </si>
  <si>
    <t>20/12/2050</t>
  </si>
  <si>
    <t>BN4176556</t>
  </si>
  <si>
    <t>JP1300691M16</t>
  </si>
  <si>
    <t>20/12/2040</t>
  </si>
  <si>
    <t>BN6128449</t>
  </si>
  <si>
    <t>JP1201751M13</t>
  </si>
  <si>
    <t>20/03/2031</t>
  </si>
  <si>
    <t>BO9113438</t>
  </si>
  <si>
    <t>JP1103621M43</t>
  </si>
  <si>
    <t>20/03/2051</t>
  </si>
  <si>
    <t>BO9418704</t>
  </si>
  <si>
    <t>JP1300701M48</t>
  </si>
  <si>
    <t>Japan Government Five Year Bond</t>
  </si>
  <si>
    <t>20/03/2026</t>
  </si>
  <si>
    <t>BO9976388</t>
  </si>
  <si>
    <t>JP1051471M45</t>
  </si>
  <si>
    <t>20/03/2041</t>
  </si>
  <si>
    <t>BP1725806</t>
  </si>
  <si>
    <t>JP1201761M45</t>
  </si>
  <si>
    <t>20/03/2061</t>
  </si>
  <si>
    <t>BP8093554</t>
  </si>
  <si>
    <t>JP1400141M51</t>
  </si>
  <si>
    <t>20/06/2031</t>
  </si>
  <si>
    <t>BQ3480895</t>
  </si>
  <si>
    <t>JP1103631M74</t>
  </si>
  <si>
    <t>20/06/2051</t>
  </si>
  <si>
    <t>BQ4051208</t>
  </si>
  <si>
    <t>JP1300711M79</t>
  </si>
  <si>
    <t>20/06/2026</t>
  </si>
  <si>
    <t>BQ4478948</t>
  </si>
  <si>
    <t>JP1051481M76</t>
  </si>
  <si>
    <t>20/06/2041</t>
  </si>
  <si>
    <t>BQ5167771</t>
  </si>
  <si>
    <t>JP1201771M76</t>
  </si>
  <si>
    <t>20/09/2031</t>
  </si>
  <si>
    <t>BR7886624</t>
  </si>
  <si>
    <t>JP1103641MA8</t>
  </si>
  <si>
    <t>20/09/2051</t>
  </si>
  <si>
    <t>BR9216051</t>
  </si>
  <si>
    <t>JP1300721MA9</t>
  </si>
  <si>
    <t>20/09/2026</t>
  </si>
  <si>
    <t>BR9625400</t>
  </si>
  <si>
    <t>JP1051491MA0</t>
  </si>
  <si>
    <t>20/09/2041</t>
  </si>
  <si>
    <t>BS0289014</t>
  </si>
  <si>
    <t>JP1201781MA3</t>
  </si>
  <si>
    <t>20/12/2031</t>
  </si>
  <si>
    <t>BT3306185</t>
  </si>
  <si>
    <t>JP1103651N11</t>
  </si>
  <si>
    <t>20/12/2051</t>
  </si>
  <si>
    <t>BT3860645</t>
  </si>
  <si>
    <t>JP1300731N17</t>
  </si>
  <si>
    <t>BT4847633</t>
  </si>
  <si>
    <t>JP1051501N14</t>
  </si>
  <si>
    <t>20/12/2041</t>
  </si>
  <si>
    <t>BT5304568</t>
  </si>
  <si>
    <t>JP1201791N14</t>
  </si>
  <si>
    <t>20/03/2032</t>
  </si>
  <si>
    <t>BV7376502</t>
  </si>
  <si>
    <t>JP1103661N43</t>
  </si>
  <si>
    <t>20/03/2052</t>
  </si>
  <si>
    <t>BV8018210</t>
  </si>
  <si>
    <t>JP1300741N49</t>
  </si>
  <si>
    <t>BV8940330</t>
  </si>
  <si>
    <t>JP1051511N46</t>
  </si>
  <si>
    <t>20/03/2042</t>
  </si>
  <si>
    <t>BV9498627</t>
  </si>
  <si>
    <t>JP1201801N46</t>
  </si>
  <si>
    <t>20/03/2062</t>
  </si>
  <si>
    <t>BW8435917</t>
  </si>
  <si>
    <t>JP1400151N57</t>
  </si>
  <si>
    <t>BX3314255</t>
  </si>
  <si>
    <t>JP1051521N69</t>
  </si>
  <si>
    <t>20/06/2032</t>
  </si>
  <si>
    <t>BX6257485</t>
  </si>
  <si>
    <t>JP1103671N74</t>
  </si>
  <si>
    <t>20/06/2052</t>
  </si>
  <si>
    <t>BX7150259</t>
  </si>
  <si>
    <t>JP1300751N79</t>
  </si>
  <si>
    <t>BX8102440</t>
  </si>
  <si>
    <t>JP1051531N75</t>
  </si>
  <si>
    <t>20/06/2042</t>
  </si>
  <si>
    <t>BX8631216</t>
  </si>
  <si>
    <t>JP1201811N77</t>
  </si>
  <si>
    <t>20/09/2032</t>
  </si>
  <si>
    <t>BZ5035648</t>
  </si>
  <si>
    <t>JP1103681NA2</t>
  </si>
  <si>
    <t>20/09/2052</t>
  </si>
  <si>
    <t>BZ6879135</t>
  </si>
  <si>
    <t>JP1300761NA3</t>
  </si>
  <si>
    <t>BZ7431050</t>
  </si>
  <si>
    <t>JP1051541NA0</t>
  </si>
  <si>
    <t>20/09/2042</t>
  </si>
  <si>
    <t>BZ8026164</t>
  </si>
  <si>
    <t>JP1201821NA5</t>
  </si>
  <si>
    <t>Japan Government Two Year Bond</t>
  </si>
  <si>
    <t>01/12/2027</t>
  </si>
  <si>
    <t>DA9622139</t>
  </si>
  <si>
    <t>JP1024791RC2</t>
  </si>
  <si>
    <t>20/09/2030</t>
  </si>
  <si>
    <t>DC2093441</t>
  </si>
  <si>
    <t>JP1051821RC3</t>
  </si>
  <si>
    <t>01/01/2028</t>
  </si>
  <si>
    <t>DC5783790</t>
  </si>
  <si>
    <t>JP1024801S13</t>
  </si>
  <si>
    <t>20/12/2035</t>
  </si>
  <si>
    <t>DC7466931</t>
  </si>
  <si>
    <t>JP1103811S13</t>
  </si>
  <si>
    <t>20/12/2055</t>
  </si>
  <si>
    <t>DC8411118</t>
  </si>
  <si>
    <t>JP1300891S18</t>
  </si>
  <si>
    <t>01/03/2028</t>
  </si>
  <si>
    <t>DF9727192</t>
  </si>
  <si>
    <t>JP1024821S35</t>
  </si>
  <si>
    <t>20/09/2029</t>
  </si>
  <si>
    <t>EC1745347</t>
  </si>
  <si>
    <t>JP1300011W09</t>
  </si>
  <si>
    <t>20/02/2030</t>
  </si>
  <si>
    <t>EC2220316</t>
  </si>
  <si>
    <t>JP1300021001</t>
  </si>
  <si>
    <t>20/05/2030</t>
  </si>
  <si>
    <t>EC2565314</t>
  </si>
  <si>
    <t>JP1300031000</t>
  </si>
  <si>
    <t>20/11/2030</t>
  </si>
  <si>
    <t>EC3066569</t>
  </si>
  <si>
    <t>JP1300041009</t>
  </si>
  <si>
    <t>20/05/2031</t>
  </si>
  <si>
    <t>EC3875944</t>
  </si>
  <si>
    <t>JP1300051156</t>
  </si>
  <si>
    <t>20/11/2031</t>
  </si>
  <si>
    <t>EC4745393</t>
  </si>
  <si>
    <t>JP13000611B1</t>
  </si>
  <si>
    <t>20/05/2032</t>
  </si>
  <si>
    <t>EC5650865</t>
  </si>
  <si>
    <t>JP1300071253</t>
  </si>
  <si>
    <t>22/11/2032</t>
  </si>
  <si>
    <t>EC7486078</t>
  </si>
  <si>
    <t>JP13000812B5</t>
  </si>
  <si>
    <t>20/12/2032</t>
  </si>
  <si>
    <t>EC8204264</t>
  </si>
  <si>
    <t>JP1300091319</t>
  </si>
  <si>
    <t>20/03/2033</t>
  </si>
  <si>
    <t>EC9747782</t>
  </si>
  <si>
    <t>JP1300101357</t>
  </si>
  <si>
    <t>20/06/2033</t>
  </si>
  <si>
    <t>ED0670437</t>
  </si>
  <si>
    <t>JP1300111372</t>
  </si>
  <si>
    <t>20/09/2033</t>
  </si>
  <si>
    <t>ED2161351</t>
  </si>
  <si>
    <t>JP13001213B5</t>
  </si>
  <si>
    <t>20/12/2033</t>
  </si>
  <si>
    <t>ED3357065</t>
  </si>
  <si>
    <t>JP1300131420</t>
  </si>
  <si>
    <t>20/03/2034</t>
  </si>
  <si>
    <t>ED4240013</t>
  </si>
  <si>
    <t>JP1300141445</t>
  </si>
  <si>
    <t>20/06/2034</t>
  </si>
  <si>
    <t>ED5806184</t>
  </si>
  <si>
    <t>JP1300151485</t>
  </si>
  <si>
    <t>20/09/2034</t>
  </si>
  <si>
    <t>ED6591066</t>
  </si>
  <si>
    <t>JP13001614A6</t>
  </si>
  <si>
    <t>20/12/2034</t>
  </si>
  <si>
    <t>ED8193903</t>
  </si>
  <si>
    <t>JP1300171525</t>
  </si>
  <si>
    <t>20/03/2035</t>
  </si>
  <si>
    <t>ED9034742</t>
  </si>
  <si>
    <t>JP1300181540</t>
  </si>
  <si>
    <t>20/06/2035</t>
  </si>
  <si>
    <t>EF0212920</t>
  </si>
  <si>
    <t>JP1300191572</t>
  </si>
  <si>
    <t>20/09/2035</t>
  </si>
  <si>
    <t>EF1386525</t>
  </si>
  <si>
    <t>JP13002015A5</t>
  </si>
  <si>
    <t>EF2502187</t>
  </si>
  <si>
    <t>JP1300211610</t>
  </si>
  <si>
    <t>EF3295013</t>
  </si>
  <si>
    <t>JP1200851630</t>
  </si>
  <si>
    <t>20/03/2036</t>
  </si>
  <si>
    <t>EF3711449</t>
  </si>
  <si>
    <t>JP1300221643</t>
  </si>
  <si>
    <t>EF3812189</t>
  </si>
  <si>
    <t>JP1200861647</t>
  </si>
  <si>
    <t>EF4527968</t>
  </si>
  <si>
    <t>JP1200871653</t>
  </si>
  <si>
    <t>EF5003670</t>
  </si>
  <si>
    <t>JP1200881660</t>
  </si>
  <si>
    <t>20/06/2036</t>
  </si>
  <si>
    <t>EF5597655</t>
  </si>
  <si>
    <t>JP1300231675</t>
  </si>
  <si>
    <t>EF6592994</t>
  </si>
  <si>
    <t>JP1200891685</t>
  </si>
  <si>
    <t>EF7153796</t>
  </si>
  <si>
    <t>JP1200901690</t>
  </si>
  <si>
    <t>20/09/2036</t>
  </si>
  <si>
    <t>EF7785084</t>
  </si>
  <si>
    <t>JP13002416A5</t>
  </si>
  <si>
    <t>EF7943063</t>
  </si>
  <si>
    <t>JP12009116A6</t>
  </si>
  <si>
    <t>EG0574590</t>
  </si>
  <si>
    <t>JP12009216C0</t>
  </si>
  <si>
    <t>EG1252618</t>
  </si>
  <si>
    <t>JP1300251715</t>
  </si>
  <si>
    <t>EG2785954</t>
  </si>
  <si>
    <t>JP1200931739</t>
  </si>
  <si>
    <t>EG3757374</t>
  </si>
  <si>
    <t>JP1300261748</t>
  </si>
  <si>
    <t>EG3969052</t>
  </si>
  <si>
    <t>JP1200941746</t>
  </si>
  <si>
    <t>EG5864293</t>
  </si>
  <si>
    <t>JP1200951760</t>
  </si>
  <si>
    <t>EG7807761</t>
  </si>
  <si>
    <t>JP1200961785</t>
  </si>
  <si>
    <t>EG8573362</t>
  </si>
  <si>
    <t>JP1200971792</t>
  </si>
  <si>
    <t>EG8839557</t>
  </si>
  <si>
    <t>JP14000117B7</t>
  </si>
  <si>
    <t>EG9384082</t>
  </si>
  <si>
    <t>JP13002717A6</t>
  </si>
  <si>
    <t>EH0633659</t>
  </si>
  <si>
    <t>JP12009817B7</t>
  </si>
  <si>
    <t>EH1313798</t>
  </si>
  <si>
    <t>JP12009917C3</t>
  </si>
  <si>
    <t>EH2690319</t>
  </si>
  <si>
    <t>JP1201001839</t>
  </si>
  <si>
    <t>EH3146931</t>
  </si>
  <si>
    <t>JP1300281845</t>
  </si>
  <si>
    <t>EH3854096</t>
  </si>
  <si>
    <t>JP1201011853</t>
  </si>
  <si>
    <t>EH4237085</t>
  </si>
  <si>
    <t>JP1201021860</t>
  </si>
  <si>
    <t>EH4829006</t>
  </si>
  <si>
    <t>JP1201031877</t>
  </si>
  <si>
    <t>EH5285554</t>
  </si>
  <si>
    <t>JP1201041884</t>
  </si>
  <si>
    <t>EH5622715</t>
  </si>
  <si>
    <t>JP1201051891</t>
  </si>
  <si>
    <t>EH5985450</t>
  </si>
  <si>
    <t>JP13002918A0</t>
  </si>
  <si>
    <t>EH6066235</t>
  </si>
  <si>
    <t>JP12010618A8</t>
  </si>
  <si>
    <t>EH6604720</t>
  </si>
  <si>
    <t>JP12010718C2</t>
  </si>
  <si>
    <t>EH7034067</t>
  </si>
  <si>
    <t>JP1201081914</t>
  </si>
  <si>
    <t>EH7611252</t>
  </si>
  <si>
    <t>JP1201091939</t>
  </si>
  <si>
    <t>20/03/2039</t>
  </si>
  <si>
    <t>EH7911181</t>
  </si>
  <si>
    <t>JP1300301940</t>
  </si>
  <si>
    <t>EH7995887</t>
  </si>
  <si>
    <t>JP1201101944</t>
  </si>
  <si>
    <t>20/03/2049</t>
  </si>
  <si>
    <t>EH8296988</t>
  </si>
  <si>
    <t>JP1400021950</t>
  </si>
  <si>
    <t>EH8715490</t>
  </si>
  <si>
    <t>JP1201111968</t>
  </si>
  <si>
    <t>EH9141712</t>
  </si>
  <si>
    <t>JP1201121975</t>
  </si>
  <si>
    <t>EH9753441</t>
  </si>
  <si>
    <t>JP1201131990</t>
  </si>
  <si>
    <t>20/09/2039</t>
  </si>
  <si>
    <t>EI0048054</t>
  </si>
  <si>
    <t>JP13003119A4</t>
  </si>
  <si>
    <t>20/12/2029</t>
  </si>
  <si>
    <t>EI0835450</t>
  </si>
  <si>
    <t>JP12011419C6</t>
  </si>
  <si>
    <t>EI1590526</t>
  </si>
  <si>
    <t>JP1201151A21</t>
  </si>
  <si>
    <t>EI1819230</t>
  </si>
  <si>
    <t>JP1300321A34</t>
  </si>
  <si>
    <t>EI1908785</t>
  </si>
  <si>
    <t>JP1201161A37</t>
  </si>
  <si>
    <t>EI2321434</t>
  </si>
  <si>
    <t>JP1201171A43</t>
  </si>
  <si>
    <t>EI2524078</t>
  </si>
  <si>
    <t>JP1400031A58</t>
  </si>
  <si>
    <t>EI2903413</t>
  </si>
  <si>
    <t>JP1201181A66</t>
  </si>
  <si>
    <t>EI3325426</t>
  </si>
  <si>
    <t>JP1201191A72</t>
  </si>
  <si>
    <t>EI3854854</t>
  </si>
  <si>
    <t>JP1201201A88</t>
  </si>
  <si>
    <t>EI3995376</t>
  </si>
  <si>
    <t>JP1300331A99</t>
  </si>
  <si>
    <t>EI4040636</t>
  </si>
  <si>
    <t>JP1201211A94</t>
  </si>
  <si>
    <t>EI4443103</t>
  </si>
  <si>
    <t>JP1201221AA5</t>
  </si>
  <si>
    <t>EI5130493</t>
  </si>
  <si>
    <t>JP1201231AC0</t>
  </si>
  <si>
    <t>EI5876087</t>
  </si>
  <si>
    <t>JP1201241B22</t>
  </si>
  <si>
    <t>EI6037572</t>
  </si>
  <si>
    <t>JP1300341B39</t>
  </si>
  <si>
    <t>EI6132563</t>
  </si>
  <si>
    <t>JP1201251B37</t>
  </si>
  <si>
    <t>EI6535294</t>
  </si>
  <si>
    <t>JP1201261B43</t>
  </si>
  <si>
    <t>EI6814228</t>
  </si>
  <si>
    <t>JP1400041B55</t>
  </si>
  <si>
    <t>EI6924050</t>
  </si>
  <si>
    <t>JP1201271B58</t>
  </si>
  <si>
    <t>EI7138619</t>
  </si>
  <si>
    <t>JP1201281B64</t>
  </si>
  <si>
    <t>EI7953108</t>
  </si>
  <si>
    <t>JP1201291B88</t>
  </si>
  <si>
    <t>EI8055663</t>
  </si>
  <si>
    <t>JP1300351B93</t>
  </si>
  <si>
    <t>EI8131969</t>
  </si>
  <si>
    <t>JP1201301B94</t>
  </si>
  <si>
    <t>EI8863967</t>
  </si>
  <si>
    <t>JP1201311BB0</t>
  </si>
  <si>
    <t>EI9104742</t>
  </si>
  <si>
    <t>JP1201321BC7</t>
  </si>
  <si>
    <t>EJ0014849</t>
  </si>
  <si>
    <t>JP1201331C14</t>
  </si>
  <si>
    <t>EJ0538250</t>
  </si>
  <si>
    <t>JP1300361C33</t>
  </si>
  <si>
    <t>EJ0963383</t>
  </si>
  <si>
    <t>JP1201341C38</t>
  </si>
  <si>
    <t>EJ1461163</t>
  </si>
  <si>
    <t>JP1201351C43</t>
  </si>
  <si>
    <t>EJ1986458</t>
  </si>
  <si>
    <t>JP1400051C51</t>
  </si>
  <si>
    <t>EJ2136277</t>
  </si>
  <si>
    <t>JP1201361C58</t>
  </si>
  <si>
    <t>EJ2397945</t>
  </si>
  <si>
    <t>JP1201371C64</t>
  </si>
  <si>
    <t>EJ3001454</t>
  </si>
  <si>
    <t>JP1201381C70</t>
  </si>
  <si>
    <t>EJ3365511</t>
  </si>
  <si>
    <t>JP1201391C86</t>
  </si>
  <si>
    <t>EJ3536723</t>
  </si>
  <si>
    <t>JP1300371C98</t>
  </si>
  <si>
    <t>EJ3633405</t>
  </si>
  <si>
    <t>JP1201401C92</t>
  </si>
  <si>
    <t>EJ4883454</t>
  </si>
  <si>
    <t>JP1201411CC4</t>
  </si>
  <si>
    <t>EJ5659150</t>
  </si>
  <si>
    <t>JP1201421D22</t>
  </si>
  <si>
    <t>20/03/2043</t>
  </si>
  <si>
    <t>EJ5861079</t>
  </si>
  <si>
    <t>JP1300381D38</t>
  </si>
  <si>
    <t>EJ5939602</t>
  </si>
  <si>
    <t>JP1201431D38</t>
  </si>
  <si>
    <t>EJ6432110</t>
  </si>
  <si>
    <t>JP1201441D44</t>
  </si>
  <si>
    <t>20/03/2053</t>
  </si>
  <si>
    <t>EJ6876100</t>
  </si>
  <si>
    <t>JP1400061D58</t>
  </si>
  <si>
    <t>20/06/2043</t>
  </si>
  <si>
    <t>EJ7099777</t>
  </si>
  <si>
    <t>JP1300391D69</t>
  </si>
  <si>
    <t>EJ7248408</t>
  </si>
  <si>
    <t>JP1201451D66</t>
  </si>
  <si>
    <t>20/09/2043</t>
  </si>
  <si>
    <t>EJ8271698</t>
  </si>
  <si>
    <t>JP1300401D91</t>
  </si>
  <si>
    <t>EJ8434395</t>
  </si>
  <si>
    <t>JP1201461D98</t>
  </si>
  <si>
    <t>20/12/2043</t>
  </si>
  <si>
    <t>EJ9830252</t>
  </si>
  <si>
    <t>JP1300411DC2</t>
  </si>
  <si>
    <t>EJ9943964</t>
  </si>
  <si>
    <t>JP1201471DC6</t>
  </si>
  <si>
    <t>20/03/2044</t>
  </si>
  <si>
    <t>EK1123232</t>
  </si>
  <si>
    <t>JP1300421E39</t>
  </si>
  <si>
    <t>EK1340612</t>
  </si>
  <si>
    <t>JP1201481E36</t>
  </si>
  <si>
    <t>20/03/2054</t>
  </si>
  <si>
    <t>EK2990241</t>
  </si>
  <si>
    <t>JP1400071E55</t>
  </si>
  <si>
    <t>20/06/2044</t>
  </si>
  <si>
    <t>EK3177798</t>
  </si>
  <si>
    <t>JP1300431E60</t>
  </si>
  <si>
    <t>EK3390219</t>
  </si>
  <si>
    <t>JP1201491E67</t>
  </si>
  <si>
    <t>20/09/2044</t>
  </si>
  <si>
    <t>EK4826393</t>
  </si>
  <si>
    <t>JP1300441E92</t>
  </si>
  <si>
    <t>EK4996816</t>
  </si>
  <si>
    <t>JP1201501E99</t>
  </si>
  <si>
    <t>20/12/2044</t>
  </si>
  <si>
    <t>EK6501564</t>
  </si>
  <si>
    <t>JP1300451EC6</t>
  </si>
  <si>
    <t>EK6660931</t>
  </si>
  <si>
    <t>JP1201511EC7</t>
  </si>
  <si>
    <t>20/03/2045</t>
  </si>
  <si>
    <t>EK7896930</t>
  </si>
  <si>
    <t>JP1300461F39</t>
  </si>
  <si>
    <t>EK8137466</t>
  </si>
  <si>
    <t>JP1201521F37</t>
  </si>
  <si>
    <t>20/03/2055</t>
  </si>
  <si>
    <t>EK8779770</t>
  </si>
  <si>
    <t>JP1400081F45</t>
  </si>
  <si>
    <t>20/06/2045</t>
  </si>
  <si>
    <t>EK9575391</t>
  </si>
  <si>
    <t>JP1300471F60</t>
  </si>
  <si>
    <t>EK9722886</t>
  </si>
  <si>
    <t>JP1201531F68</t>
  </si>
  <si>
    <t>JK2982615</t>
  </si>
  <si>
    <t>JP1103421G35</t>
  </si>
  <si>
    <t>20/03/2046</t>
  </si>
  <si>
    <t>JK3805781</t>
  </si>
  <si>
    <t>JP1300501G30</t>
  </si>
  <si>
    <t>JK5016049</t>
  </si>
  <si>
    <t>JP1201561G37</t>
  </si>
  <si>
    <t>20/12/2045</t>
  </si>
  <si>
    <t>JV2075184</t>
  </si>
  <si>
    <t>JP1300491FC9</t>
  </si>
  <si>
    <t>JV3368661</t>
  </si>
  <si>
    <t>JP1201551FC0</t>
  </si>
  <si>
    <t>20/03/2056</t>
  </si>
  <si>
    <t>LW2394333</t>
  </si>
  <si>
    <t>JP1400091G59</t>
  </si>
  <si>
    <t>LW3164867</t>
  </si>
  <si>
    <t>JP1103431G66</t>
  </si>
  <si>
    <t>20/06/2046</t>
  </si>
  <si>
    <t>LW3614697</t>
  </si>
  <si>
    <t>JP1300511G61</t>
  </si>
  <si>
    <t>LW5453029</t>
  </si>
  <si>
    <t>JP1201571G68</t>
  </si>
  <si>
    <t>QZ4138504</t>
  </si>
  <si>
    <t>JP1103441G98</t>
  </si>
  <si>
    <t>20/09/2046</t>
  </si>
  <si>
    <t>QZ4675638</t>
  </si>
  <si>
    <t>JP1300521G93</t>
  </si>
  <si>
    <t>QZ5415422</t>
  </si>
  <si>
    <t>JP1201581G90</t>
  </si>
  <si>
    <t>20/09/2045</t>
  </si>
  <si>
    <t>UV8142795</t>
  </si>
  <si>
    <t>JP1300481F92</t>
  </si>
  <si>
    <t>UV8902925</t>
  </si>
  <si>
    <t>JP1201541F90</t>
  </si>
  <si>
    <t>YI0238562</t>
  </si>
  <si>
    <t>JP1051831S10</t>
  </si>
  <si>
    <t>YI1890825</t>
  </si>
  <si>
    <t>JP1201951S15</t>
  </si>
  <si>
    <t>YI3947409</t>
  </si>
  <si>
    <t>JP1470041S18</t>
  </si>
  <si>
    <t>01/02/2028</t>
  </si>
  <si>
    <t>YI5708312</t>
  </si>
  <si>
    <t>JP1024811S29</t>
  </si>
  <si>
    <t>YJ1774332</t>
  </si>
  <si>
    <t>JP1201941RA2</t>
  </si>
  <si>
    <t>YJ4080802</t>
  </si>
  <si>
    <t>JP1480031RA4</t>
  </si>
  <si>
    <t>01/11/2027</t>
  </si>
  <si>
    <t>YJ8271092</t>
  </si>
  <si>
    <t>JP1024781RB5</t>
  </si>
  <si>
    <t>YK0328806</t>
  </si>
  <si>
    <t>JP1051801R90</t>
  </si>
  <si>
    <t>01/10/2027</t>
  </si>
  <si>
    <t>YK5537740</t>
  </si>
  <si>
    <t>JP1024771RA8</t>
  </si>
  <si>
    <t>YK6503345</t>
  </si>
  <si>
    <t>JP1103801RA7</t>
  </si>
  <si>
    <t>20/09/2055</t>
  </si>
  <si>
    <t>YK8376260</t>
  </si>
  <si>
    <t>JP1300881RA0</t>
  </si>
  <si>
    <t>YK9413252</t>
  </si>
  <si>
    <t>JP1051811RA8</t>
  </si>
  <si>
    <t>01/09/2027</t>
  </si>
  <si>
    <t>YL7015156</t>
  </si>
  <si>
    <t>JP1024761R95</t>
  </si>
  <si>
    <t>YM1139448</t>
  </si>
  <si>
    <t>JP1051791R76</t>
  </si>
  <si>
    <t>YM2016728</t>
  </si>
  <si>
    <t>JP1201931R78</t>
  </si>
  <si>
    <t>YM3773863</t>
  </si>
  <si>
    <t>JP1470031R78</t>
  </si>
  <si>
    <t>01/08/2027</t>
  </si>
  <si>
    <t>YM8014040</t>
  </si>
  <si>
    <t>JP1024751R89</t>
  </si>
  <si>
    <t>01/06/2027</t>
  </si>
  <si>
    <t>YN0098536</t>
  </si>
  <si>
    <t>JP1024731R68</t>
  </si>
  <si>
    <t>01/07/2027</t>
  </si>
  <si>
    <t>YN7666814</t>
  </si>
  <si>
    <t>JP1024741R74</t>
  </si>
  <si>
    <t>YN9171771</t>
  </si>
  <si>
    <t>JP1103791R75</t>
  </si>
  <si>
    <t>20/06/2055</t>
  </si>
  <si>
    <t>YN9906580</t>
  </si>
  <si>
    <t>JP1300871R70</t>
  </si>
  <si>
    <t>20/03/2065</t>
  </si>
  <si>
    <t>YO9397408</t>
  </si>
  <si>
    <t>JP1400181R57</t>
  </si>
  <si>
    <t>YP2851598</t>
  </si>
  <si>
    <t>JP1300861R49</t>
  </si>
  <si>
    <t>YP4080014</t>
  </si>
  <si>
    <t>JP1051781R45</t>
  </si>
  <si>
    <t>YP6200214</t>
  </si>
  <si>
    <t>JP1201921R47</t>
  </si>
  <si>
    <t>01/05/2027</t>
  </si>
  <si>
    <t>YP9202639</t>
  </si>
  <si>
    <t>JP1024721R52</t>
  </si>
  <si>
    <t>YQ2483432</t>
  </si>
  <si>
    <t>JP1051771R39</t>
  </si>
  <si>
    <t>01/04/2027</t>
  </si>
  <si>
    <t>YQ8653129</t>
  </si>
  <si>
    <t>JP1024711R47</t>
  </si>
  <si>
    <t>YQ9934247</t>
  </si>
  <si>
    <t>JP1103781R44</t>
  </si>
  <si>
    <t>01/02/2027</t>
  </si>
  <si>
    <t>YR1458995</t>
  </si>
  <si>
    <t>JP1024691R25</t>
  </si>
  <si>
    <t>YR5431188</t>
  </si>
  <si>
    <t>JP1051761R23</t>
  </si>
  <si>
    <t>01/03/2027</t>
  </si>
  <si>
    <t>YR9079553</t>
  </si>
  <si>
    <t>JP1024701R31</t>
  </si>
  <si>
    <t>01/01/2027</t>
  </si>
  <si>
    <t>YS2590331</t>
  </si>
  <si>
    <t>JP1024681R19</t>
  </si>
  <si>
    <t>YS4433282</t>
  </si>
  <si>
    <t>JP1103771R12</t>
  </si>
  <si>
    <t>20/12/2054</t>
  </si>
  <si>
    <t>YS5224631</t>
  </si>
  <si>
    <t>JP1300851R17</t>
  </si>
  <si>
    <t>YS6320040</t>
  </si>
  <si>
    <t>JP1051751R17</t>
  </si>
  <si>
    <t>YS7028808</t>
  </si>
  <si>
    <t>JP1201911R15</t>
  </si>
  <si>
    <t>YT3019668</t>
  </si>
  <si>
    <t>JP1051741QB7</t>
  </si>
  <si>
    <t>01/12/2026</t>
  </si>
  <si>
    <t>YT6422489</t>
  </si>
  <si>
    <t>JP1024671QC8</t>
  </si>
  <si>
    <t>01/10/2026</t>
  </si>
  <si>
    <t>YU1736211</t>
  </si>
  <si>
    <t>JP1024651QA4</t>
  </si>
  <si>
    <t>YU2698931</t>
  </si>
  <si>
    <t>JP1103761QA5</t>
  </si>
  <si>
    <t>20/09/2054</t>
  </si>
  <si>
    <t>YU3699938</t>
  </si>
  <si>
    <t>JP1300841QA6</t>
  </si>
  <si>
    <t>YU4331440</t>
  </si>
  <si>
    <t>JP1051731QA0</t>
  </si>
  <si>
    <t>YU7407817</t>
  </si>
  <si>
    <t>JP1201901QA8</t>
  </si>
  <si>
    <t>01/11/2026</t>
  </si>
  <si>
    <t>YU8443613</t>
  </si>
  <si>
    <t>JP1024661QB1</t>
  </si>
  <si>
    <t>YV1469175</t>
  </si>
  <si>
    <t>JP1051711Q82</t>
  </si>
  <si>
    <t>01/09/2026</t>
  </si>
  <si>
    <t>YV4771874</t>
  </si>
  <si>
    <t>JP1024641Q92</t>
  </si>
  <si>
    <t>YV6981562</t>
  </si>
  <si>
    <t>JP1051721Q98</t>
  </si>
  <si>
    <t>01/07/2026</t>
  </si>
  <si>
    <t>YW0417157</t>
  </si>
  <si>
    <t>JP1024621Q70</t>
  </si>
  <si>
    <t>YW1293284</t>
  </si>
  <si>
    <t>JP1103751Q74</t>
  </si>
  <si>
    <t>20/06/2054</t>
  </si>
  <si>
    <t>YW1926073</t>
  </si>
  <si>
    <t>JP1300831Q70</t>
  </si>
  <si>
    <t>YW2869652</t>
  </si>
  <si>
    <t>JP1051701Q76</t>
  </si>
  <si>
    <t>YW3486753</t>
  </si>
  <si>
    <t>JP1201891Q77</t>
  </si>
  <si>
    <t>YW5037653</t>
  </si>
  <si>
    <t>JP1470021Q71</t>
  </si>
  <si>
    <t>01/08/2026</t>
  </si>
  <si>
    <t>YW6919263</t>
  </si>
  <si>
    <t>JP1024631Q86</t>
  </si>
  <si>
    <t>YX0947615</t>
  </si>
  <si>
    <t>JP1051681Q54</t>
  </si>
  <si>
    <t>20/03/2064</t>
  </si>
  <si>
    <t>YX2705250</t>
  </si>
  <si>
    <t>JP1400171Q50</t>
  </si>
  <si>
    <t>YX3848349</t>
  </si>
  <si>
    <t>JP1480021Q54</t>
  </si>
  <si>
    <t>01/06/2026</t>
  </si>
  <si>
    <t>YX4405214</t>
  </si>
  <si>
    <t>JP1024611Q64</t>
  </si>
  <si>
    <t>YX8917420</t>
  </si>
  <si>
    <t>JP1051691Q60</t>
  </si>
  <si>
    <t>01/04/2026</t>
  </si>
  <si>
    <t>ZB1375292</t>
  </si>
  <si>
    <t>JP1024591Q43</t>
  </si>
  <si>
    <t>ZB1412541</t>
  </si>
  <si>
    <t>JP1103741Q44</t>
  </si>
  <si>
    <t>ZB1974722</t>
  </si>
  <si>
    <t>JP1300821Q49</t>
  </si>
  <si>
    <t>ZB3093554</t>
  </si>
  <si>
    <t>JP1051671Q49</t>
  </si>
  <si>
    <t>ZB3726658</t>
  </si>
  <si>
    <t>JP1201881Q46</t>
  </si>
  <si>
    <t>01/05/2026</t>
  </si>
  <si>
    <t>ZB6512295</t>
  </si>
  <si>
    <t>JP1024601Q58</t>
  </si>
  <si>
    <t>ZD0393276</t>
  </si>
  <si>
    <t>JP1480011Q23</t>
  </si>
  <si>
    <t>ZD3384439</t>
  </si>
  <si>
    <t>JP1470011Q24</t>
  </si>
  <si>
    <t>ZD6703072</t>
  </si>
  <si>
    <t>JP1051661Q33</t>
  </si>
  <si>
    <t>ZF2666591</t>
  </si>
  <si>
    <t>JP1103731Q12</t>
  </si>
  <si>
    <t>20/12/2053</t>
  </si>
  <si>
    <t>ZF3175683</t>
  </si>
  <si>
    <t>JP1300811Q17</t>
  </si>
  <si>
    <t>ZF3605358</t>
  </si>
  <si>
    <t>JP1051641Q12</t>
  </si>
  <si>
    <t>ZF4230289</t>
  </si>
  <si>
    <t>JP1201871Q14</t>
  </si>
  <si>
    <t>ZF9536003</t>
  </si>
  <si>
    <t>JP1051651Q27</t>
  </si>
  <si>
    <t>ZG1344669</t>
  </si>
  <si>
    <t>JP1051631PB2</t>
  </si>
  <si>
    <t>ZH2647472</t>
  </si>
  <si>
    <t>JP1103721PA1</t>
  </si>
  <si>
    <t>20/09/2053</t>
  </si>
  <si>
    <t>ZH3204729</t>
  </si>
  <si>
    <t>JP1300801PA2</t>
  </si>
  <si>
    <t>ZH4376393</t>
  </si>
  <si>
    <t>JP1051621PA5</t>
  </si>
  <si>
    <t>ZH5487280</t>
  </si>
  <si>
    <t>JP1201861PA6</t>
  </si>
  <si>
    <t>ZI3913442</t>
  </si>
  <si>
    <t>JP1051601P86</t>
  </si>
  <si>
    <t>ZI8616602</t>
  </si>
  <si>
    <t>JP1051611P92</t>
  </si>
  <si>
    <t>ZJ6043427</t>
  </si>
  <si>
    <t>JP1103711P74</t>
  </si>
  <si>
    <t>20/06/2053</t>
  </si>
  <si>
    <t>ZJ6580865</t>
  </si>
  <si>
    <t>JP1300791P79</t>
  </si>
  <si>
    <t>ZJ7415236</t>
  </si>
  <si>
    <t>JP1051591P70</t>
  </si>
  <si>
    <t>ZJ7865307</t>
  </si>
  <si>
    <t>JP1201851P76</t>
  </si>
  <si>
    <t>ZK0398576</t>
  </si>
  <si>
    <t>JP1103701P43</t>
  </si>
  <si>
    <t>ZK0985182</t>
  </si>
  <si>
    <t>JP1300781P48</t>
  </si>
  <si>
    <t>ZK1402526</t>
  </si>
  <si>
    <t>JP1051571P41</t>
  </si>
  <si>
    <t>ZK3059001</t>
  </si>
  <si>
    <t>JP1201841P46</t>
  </si>
  <si>
    <t>ZK6451882</t>
  </si>
  <si>
    <t>JP1051581P56</t>
  </si>
  <si>
    <t>20/03/2063</t>
  </si>
  <si>
    <t>ZK7862673</t>
  </si>
  <si>
    <t>JP1400161P53</t>
  </si>
  <si>
    <t>ZL1135330</t>
  </si>
  <si>
    <t>JP1051561P27</t>
  </si>
  <si>
    <t>ZM2593279</t>
  </si>
  <si>
    <t>JP1103691P11</t>
  </si>
  <si>
    <t>20/12/2052</t>
  </si>
  <si>
    <t>ZM3783796</t>
  </si>
  <si>
    <t>JP1300771P16</t>
  </si>
  <si>
    <t>ZM4451435</t>
  </si>
  <si>
    <t>JP1051551P11</t>
  </si>
  <si>
    <t>20/12/2042</t>
  </si>
  <si>
    <t>ZM5412592</t>
  </si>
  <si>
    <t>JP1201831P14</t>
  </si>
  <si>
    <t>ZO7395353</t>
  </si>
  <si>
    <t>JP1103601LA4</t>
  </si>
  <si>
    <t>20/09/2050</t>
  </si>
  <si>
    <t>ZO8080129</t>
  </si>
  <si>
    <t>JP1300681LA7</t>
  </si>
  <si>
    <t>ZP3165708</t>
  </si>
  <si>
    <t>JP1103571L10</t>
  </si>
  <si>
    <t>20/12/2049</t>
  </si>
  <si>
    <t>ZP3874002</t>
  </si>
  <si>
    <t>JP1300651L15</t>
  </si>
  <si>
    <t>20/12/2039</t>
  </si>
  <si>
    <t>ZP5623548</t>
  </si>
  <si>
    <t>JP1201711L13</t>
  </si>
  <si>
    <t>20/09/2049</t>
  </si>
  <si>
    <t>ZQ0615927</t>
  </si>
  <si>
    <t>JP1300641KA3</t>
  </si>
  <si>
    <t>ZQ2789928</t>
  </si>
  <si>
    <t>JP1201701KA5</t>
  </si>
  <si>
    <t>ZR8859251</t>
  </si>
  <si>
    <t>JP1103561KA2</t>
  </si>
  <si>
    <t>ZS0526047</t>
  </si>
  <si>
    <t>JP1300621K47</t>
  </si>
  <si>
    <t>ZS2141860</t>
  </si>
  <si>
    <t>JP1201681K44</t>
  </si>
  <si>
    <t>20/03/2059</t>
  </si>
  <si>
    <t>ZS8776446</t>
  </si>
  <si>
    <t>JP1400121K57</t>
  </si>
  <si>
    <t>min</t>
  </si>
  <si>
    <t>max</t>
  </si>
  <si>
    <t>Forward credit spread</t>
  </si>
  <si>
    <t>full forward formula</t>
  </si>
  <si>
    <t>MAE (Price)</t>
  </si>
  <si>
    <t>MAE (Yield)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</si>
</sst>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"/>
    <numFmt numFmtId="167" formatCode="0.0%"/>
    <numFmt numFmtId="168" formatCode="0.0000"/>
  </numFmts>
  <fonts count="32" x14ac:knownFonts="1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2"/>
      <name val="Aptos"/>
      <family val="2"/>
    </font>
    <font>
      <b/>
      <i/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  <font>
      <vertAlign val="subscript"/>
      <sz val="11"/>
      <color theme="1"/>
      <name val="Symbol"/>
      <family val="1"/>
      <charset val="2"/>
    </font>
    <font>
      <b/>
      <sz val="11"/>
      <color theme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9" fontId="6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4" applyNumberFormat="0" applyAlignment="0" applyProtection="0"/>
    <xf numFmtId="0" fontId="15" fillId="6" borderId="5" applyNumberFormat="0" applyAlignment="0" applyProtection="0"/>
    <xf numFmtId="0" fontId="16" fillId="6" borderId="4" applyNumberFormat="0" applyAlignment="0" applyProtection="0"/>
    <xf numFmtId="0" fontId="17" fillId="0" borderId="6" applyNumberFormat="0" applyFill="0" applyAlignment="0" applyProtection="0"/>
    <xf numFmtId="0" fontId="18" fillId="7" borderId="7" applyNumberFormat="0" applyAlignment="0" applyProtection="0"/>
    <xf numFmtId="0" fontId="19" fillId="0" borderId="0" applyNumberFormat="0" applyFill="0" applyBorder="0" applyAlignment="0" applyProtection="0"/>
    <xf numFmtId="0" fontId="6" fillId="8" borderId="8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75">
    <xf numFmtId="0" fontId="23" fillId="0" borderId="0" xfId="0" applyFont="1"/>
    <xf numFmtId="0" fontId="0" fillId="0" borderId="0" xfId="0"/>
    <xf numFmtId="49" fontId="0" fillId="0" borderId="0" xfId="0" applyNumberFormat="1"/>
    <xf numFmtId="14" fontId="23" fillId="0" borderId="0" xfId="0" applyNumberFormat="1" applyFont="1"/>
    <xf numFmtId="2" fontId="23" fillId="0" borderId="0" xfId="0" applyNumberFormat="1" applyFont="1"/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2" fontId="0" fillId="0" borderId="0" xfId="0" applyNumberFormat="1"/>
    <xf numFmtId="166" fontId="23" fillId="0" borderId="0" xfId="0" applyNumberFormat="1" applyFont="1"/>
    <xf numFmtId="0" fontId="5" fillId="0" borderId="0" xfId="43"/>
    <xf numFmtId="9" fontId="5" fillId="0" borderId="0" xfId="43" applyNumberFormat="1"/>
    <xf numFmtId="0" fontId="21" fillId="0" borderId="0" xfId="43" applyFont="1" applyAlignment="1">
      <alignment horizontal="center"/>
    </xf>
    <xf numFmtId="0" fontId="5" fillId="0" borderId="0" xfId="43" applyAlignment="1">
      <alignment horizontal="center"/>
    </xf>
    <xf numFmtId="0" fontId="25" fillId="0" borderId="0" xfId="43" applyFont="1"/>
    <xf numFmtId="9" fontId="25" fillId="0" borderId="0" xfId="43" applyNumberFormat="1" applyFont="1"/>
    <xf numFmtId="2" fontId="5" fillId="0" borderId="0" xfId="43" applyNumberFormat="1" applyAlignment="1">
      <alignment horizontal="center"/>
    </xf>
    <xf numFmtId="0" fontId="5" fillId="0" borderId="0" xfId="43" quotePrefix="1"/>
    <xf numFmtId="10" fontId="5" fillId="0" borderId="0" xfId="43" applyNumberFormat="1"/>
    <xf numFmtId="2" fontId="5" fillId="0" borderId="0" xfId="43" applyNumberFormat="1"/>
    <xf numFmtId="10" fontId="0" fillId="0" borderId="0" xfId="44" applyNumberFormat="1" applyFont="1" applyFill="1"/>
    <xf numFmtId="1" fontId="5" fillId="0" borderId="0" xfId="43" applyNumberFormat="1"/>
    <xf numFmtId="10" fontId="5" fillId="0" borderId="0" xfId="43" quotePrefix="1" applyNumberFormat="1"/>
    <xf numFmtId="165" fontId="5" fillId="0" borderId="0" xfId="43" quotePrefix="1" applyNumberFormat="1"/>
    <xf numFmtId="9" fontId="28" fillId="0" borderId="0" xfId="43" applyNumberFormat="1" applyFont="1"/>
    <xf numFmtId="0" fontId="29" fillId="0" borderId="0" xfId="43" applyFont="1"/>
    <xf numFmtId="9" fontId="29" fillId="0" borderId="0" xfId="43" applyNumberFormat="1" applyFont="1"/>
    <xf numFmtId="0" fontId="5" fillId="0" borderId="10" xfId="43" applyBorder="1"/>
    <xf numFmtId="0" fontId="5" fillId="0" borderId="11" xfId="43" applyBorder="1"/>
    <xf numFmtId="0" fontId="5" fillId="0" borderId="12" xfId="43" applyBorder="1"/>
    <xf numFmtId="2" fontId="5" fillId="0" borderId="13" xfId="43" applyNumberFormat="1" applyBorder="1"/>
    <xf numFmtId="0" fontId="5" fillId="0" borderId="14" xfId="43" applyBorder="1"/>
    <xf numFmtId="14" fontId="0" fillId="0" borderId="0" xfId="0" applyNumberFormat="1"/>
    <xf numFmtId="9" fontId="28" fillId="0" borderId="0" xfId="43" applyNumberFormat="1" applyFont="1" applyAlignment="1">
      <alignment horizontal="center" vertical="center"/>
    </xf>
    <xf numFmtId="0" fontId="29" fillId="0" borderId="0" xfId="43" applyFont="1" applyAlignment="1">
      <alignment horizontal="center" vertical="center"/>
    </xf>
    <xf numFmtId="9" fontId="29" fillId="0" borderId="0" xfId="43" applyNumberFormat="1" applyFont="1" applyAlignment="1">
      <alignment horizontal="center" vertical="center"/>
    </xf>
    <xf numFmtId="10" fontId="30" fillId="0" borderId="0" xfId="43" applyNumberFormat="1" applyFont="1" applyAlignment="1">
      <alignment horizontal="center"/>
    </xf>
    <xf numFmtId="10" fontId="19" fillId="0" borderId="0" xfId="43" applyNumberFormat="1" applyFont="1" applyAlignment="1">
      <alignment horizontal="center"/>
    </xf>
    <xf numFmtId="0" fontId="30" fillId="0" borderId="0" xfId="43" applyFont="1" applyAlignment="1">
      <alignment horizontal="left" vertical="center"/>
    </xf>
    <xf numFmtId="2" fontId="19" fillId="0" borderId="0" xfId="43" applyNumberFormat="1" applyFont="1" applyAlignment="1">
      <alignment horizontal="left" vertical="center"/>
    </xf>
    <xf numFmtId="164" fontId="30" fillId="0" borderId="0" xfId="43" applyNumberFormat="1" applyFont="1" applyAlignment="1">
      <alignment horizontal="left" vertical="center"/>
    </xf>
    <xf numFmtId="2" fontId="30" fillId="0" borderId="0" xfId="43" applyNumberFormat="1" applyFont="1" applyAlignment="1">
      <alignment horizontal="center"/>
    </xf>
    <xf numFmtId="2" fontId="19" fillId="0" borderId="0" xfId="43" applyNumberFormat="1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center"/>
    </xf>
    <xf numFmtId="0" fontId="31" fillId="0" borderId="0" xfId="0" applyFont="1"/>
    <xf numFmtId="2" fontId="31" fillId="0" borderId="0" xfId="0" applyNumberFormat="1" applyFont="1"/>
    <xf numFmtId="0" fontId="23" fillId="0" borderId="0" xfId="0" applyFont="1" applyAlignment="1">
      <alignment horizontal="right"/>
    </xf>
    <xf numFmtId="9" fontId="0" fillId="0" borderId="0" xfId="1" applyFont="1" applyFill="1"/>
    <xf numFmtId="166" fontId="5" fillId="0" borderId="0" xfId="43" applyNumberFormat="1"/>
    <xf numFmtId="166" fontId="21" fillId="0" borderId="0" xfId="43" applyNumberFormat="1" applyFont="1"/>
    <xf numFmtId="166" fontId="26" fillId="0" borderId="0" xfId="43" applyNumberFormat="1" applyFont="1" applyAlignment="1">
      <alignment horizontal="right"/>
    </xf>
    <xf numFmtId="167" fontId="21" fillId="0" borderId="0" xfId="43" applyNumberFormat="1" applyFont="1"/>
    <xf numFmtId="167" fontId="5" fillId="0" borderId="0" xfId="43" applyNumberFormat="1"/>
    <xf numFmtId="167" fontId="28" fillId="0" borderId="0" xfId="43" applyNumberFormat="1" applyFont="1"/>
    <xf numFmtId="1" fontId="23" fillId="0" borderId="0" xfId="0" applyNumberFormat="1" applyFont="1"/>
    <xf numFmtId="10" fontId="0" fillId="0" borderId="0" xfId="1" applyNumberFormat="1" applyFont="1" applyFill="1"/>
    <xf numFmtId="0" fontId="4" fillId="0" borderId="0" xfId="43" applyFont="1"/>
    <xf numFmtId="166" fontId="4" fillId="0" borderId="0" xfId="1" applyNumberFormat="1" applyFont="1"/>
    <xf numFmtId="167" fontId="4" fillId="0" borderId="0" xfId="1" applyNumberFormat="1" applyFont="1"/>
    <xf numFmtId="2" fontId="4" fillId="0" borderId="0" xfId="1" applyNumberFormat="1" applyFont="1"/>
    <xf numFmtId="168" fontId="23" fillId="0" borderId="0" xfId="0" applyNumberFormat="1" applyFont="1"/>
    <xf numFmtId="165" fontId="23" fillId="0" borderId="0" xfId="0" applyNumberFormat="1" applyFont="1"/>
    <xf numFmtId="10" fontId="23" fillId="0" borderId="0" xfId="1" applyNumberFormat="1" applyFont="1"/>
    <xf numFmtId="9" fontId="1" fillId="0" borderId="0" xfId="43" applyNumberFormat="1" applyFont="1"/>
    <xf numFmtId="2" fontId="5" fillId="0" borderId="17" xfId="43" applyNumberFormat="1" applyBorder="1"/>
    <xf numFmtId="0" fontId="5" fillId="0" borderId="15" xfId="43" applyBorder="1"/>
    <xf numFmtId="0" fontId="5" fillId="0" borderId="18" xfId="43" applyBorder="1"/>
    <xf numFmtId="9" fontId="5" fillId="34" borderId="0" xfId="43" applyNumberFormat="1" applyFill="1" applyAlignment="1">
      <alignment horizontal="center"/>
    </xf>
    <xf numFmtId="166" fontId="4" fillId="33" borderId="0" xfId="43" applyNumberFormat="1" applyFont="1" applyFill="1" applyAlignment="1">
      <alignment horizontal="center"/>
    </xf>
    <xf numFmtId="0" fontId="21" fillId="0" borderId="0" xfId="43" applyFont="1" applyAlignment="1">
      <alignment horizontal="center"/>
    </xf>
    <xf numFmtId="0" fontId="21" fillId="0" borderId="16" xfId="43" applyFont="1" applyBorder="1" applyAlignment="1">
      <alignment horizontal="center"/>
    </xf>
    <xf numFmtId="0" fontId="21" fillId="0" borderId="15" xfId="43" applyFont="1" applyBorder="1" applyAlignment="1">
      <alignment horizontal="center"/>
    </xf>
    <xf numFmtId="0" fontId="2" fillId="0" borderId="0" xfId="43" applyFont="1" applyAlignment="1">
      <alignment horizontal="center"/>
    </xf>
    <xf numFmtId="0" fontId="5" fillId="0" borderId="0" xfId="43" applyAlignment="1">
      <alignment horizontal="center"/>
    </xf>
    <xf numFmtId="0" fontId="3" fillId="0" borderId="0" xfId="43" applyFont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3" xr:uid="{6094A3D0-28E8-4A24-9F62-106DC387BE94}"/>
    <cellStyle name="Note" xfId="16" builtinId="10" customBuiltin="1"/>
    <cellStyle name="Output" xfId="11" builtinId="21" customBuiltin="1"/>
    <cellStyle name="Percent" xfId="1" builtinId="5"/>
    <cellStyle name="Percent 2" xfId="44" xr:uid="{EFDBEB1F-5AD3-4488-ACAD-D078AC9949D3}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Fitted Spot and Forward yield curves (Goverment bonds)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NSS!$J$250:$K$250</c:f>
              <c:strCache>
                <c:ptCount val="2"/>
                <c:pt idx="0">
                  <c:v>Forward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NSS!$L$2:$CK$2</c:f>
              <c:numCache>
                <c:formatCode>General</c:formatCode>
                <c:ptCount val="7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</c:numCache>
            </c:numRef>
          </c:xVal>
          <c:yVal>
            <c:numRef>
              <c:f>NSS!$L$250:$CK$250</c:f>
              <c:numCache>
                <c:formatCode>0.00%</c:formatCode>
                <c:ptCount val="78"/>
                <c:pt idx="2">
                  <c:v>1.4554587126496266E-2</c:v>
                </c:pt>
                <c:pt idx="3">
                  <c:v>1.5616380335399027E-2</c:v>
                </c:pt>
                <c:pt idx="4">
                  <c:v>1.6625259276050075E-2</c:v>
                </c:pt>
                <c:pt idx="5">
                  <c:v>1.7894185769266935E-2</c:v>
                </c:pt>
                <c:pt idx="6">
                  <c:v>1.93544611524048E-2</c:v>
                </c:pt>
                <c:pt idx="7">
                  <c:v>2.094926790581475E-2</c:v>
                </c:pt>
                <c:pt idx="8">
                  <c:v>2.2631875442195915E-2</c:v>
                </c:pt>
                <c:pt idx="9">
                  <c:v>2.4364108595605449E-2</c:v>
                </c:pt>
                <c:pt idx="10">
                  <c:v>2.6115037690876752E-2</c:v>
                </c:pt>
                <c:pt idx="11">
                  <c:v>2.7859856659642412E-2</c:v>
                </c:pt>
                <c:pt idx="12">
                  <c:v>2.9578921561643323E-2</c:v>
                </c:pt>
                <c:pt idx="13">
                  <c:v>3.1256926497437165E-2</c:v>
                </c:pt>
                <c:pt idx="14">
                  <c:v>3.2882197575721417E-2</c:v>
                </c:pt>
                <c:pt idx="15">
                  <c:v>3.4446088556885357E-2</c:v>
                </c:pt>
                <c:pt idx="16">
                  <c:v>3.5942464204475222E-2</c:v>
                </c:pt>
                <c:pt idx="17">
                  <c:v>3.7367259363763949E-2</c:v>
                </c:pt>
                <c:pt idx="18">
                  <c:v>3.8718103444574714E-2</c:v>
                </c:pt>
                <c:pt idx="19">
                  <c:v>3.9994001383014677E-2</c:v>
                </c:pt>
                <c:pt idx="20">
                  <c:v>4.1195063345572436E-2</c:v>
                </c:pt>
                <c:pt idx="21">
                  <c:v>4.2322276458060637E-2</c:v>
                </c:pt>
                <c:pt idx="22">
                  <c:v>4.3377312720969563E-2</c:v>
                </c:pt>
                <c:pt idx="23">
                  <c:v>4.4362368034838173E-2</c:v>
                </c:pt>
                <c:pt idx="24">
                  <c:v>4.5280027922323773E-2</c:v>
                </c:pt>
                <c:pt idx="25">
                  <c:v>4.613315611213209E-2</c:v>
                </c:pt>
                <c:pt idx="26">
                  <c:v>4.6924802655447628E-2</c:v>
                </c:pt>
                <c:pt idx="27">
                  <c:v>4.7658128687743107E-2</c:v>
                </c:pt>
                <c:pt idx="28">
                  <c:v>4.833634533571507E-2</c:v>
                </c:pt>
                <c:pt idx="29">
                  <c:v>4.89626646075072E-2</c:v>
                </c:pt>
                <c:pt idx="30">
                  <c:v>4.9540260400362524E-2</c:v>
                </c:pt>
                <c:pt idx="31">
                  <c:v>5.0072238018292303E-2</c:v>
                </c:pt>
                <c:pt idx="32">
                  <c:v>5.0561610817809077E-2</c:v>
                </c:pt>
                <c:pt idx="33">
                  <c:v>5.1011282796324942E-2</c:v>
                </c:pt>
                <c:pt idx="34">
                  <c:v>5.1424036108679294E-2</c:v>
                </c:pt>
                <c:pt idx="35">
                  <c:v>5.1802522645722382E-2</c:v>
                </c:pt>
                <c:pt idx="36">
                  <c:v>5.2149258937655318E-2</c:v>
                </c:pt>
                <c:pt idx="37">
                  <c:v>5.2466623756195707E-2</c:v>
                </c:pt>
                <c:pt idx="38">
                  <c:v>5.2756857885791986E-2</c:v>
                </c:pt>
                <c:pt idx="39">
                  <c:v>5.3022065617155834E-2</c:v>
                </c:pt>
                <c:pt idx="40">
                  <c:v>5.3264217587819296E-2</c:v>
                </c:pt>
                <c:pt idx="41">
                  <c:v>5.3485154655444456E-2</c:v>
                </c:pt>
                <c:pt idx="42">
                  <c:v>5.3686592542358857E-2</c:v>
                </c:pt>
                <c:pt idx="43">
                  <c:v>5.3870127034521653E-2</c:v>
                </c:pt>
                <c:pt idx="44">
                  <c:v>5.4037239556334216E-2</c:v>
                </c:pt>
                <c:pt idx="45">
                  <c:v>5.4189302975266251E-2</c:v>
                </c:pt>
                <c:pt idx="46">
                  <c:v>5.4327587517780662E-2</c:v>
                </c:pt>
                <c:pt idx="47">
                  <c:v>5.4453266701384617E-2</c:v>
                </c:pt>
                <c:pt idx="48">
                  <c:v>5.4567423207143806E-2</c:v>
                </c:pt>
                <c:pt idx="49">
                  <c:v>5.4671054633635308E-2</c:v>
                </c:pt>
                <c:pt idx="50">
                  <c:v>5.4765079086895874E-2</c:v>
                </c:pt>
                <c:pt idx="51">
                  <c:v>5.4850340572479839E-2</c:v>
                </c:pt>
                <c:pt idx="52">
                  <c:v>5.4927614165250382E-2</c:v>
                </c:pt>
                <c:pt idx="53">
                  <c:v>5.4997610940230812E-2</c:v>
                </c:pt>
                <c:pt idx="54">
                  <c:v>5.5060982654307811E-2</c:v>
                </c:pt>
                <c:pt idx="55">
                  <c:v>5.5118326173732024E-2</c:v>
                </c:pt>
                <c:pt idx="56">
                  <c:v>5.5170187646528701E-2</c:v>
                </c:pt>
                <c:pt idx="57">
                  <c:v>5.521706642218005E-2</c:v>
                </c:pt>
                <c:pt idx="58">
                  <c:v>5.5259418723581533E-2</c:v>
                </c:pt>
                <c:pt idx="59">
                  <c:v>5.5297661078256954E-2</c:v>
                </c:pt>
                <c:pt idx="60">
                  <c:v>5.5332173517288474E-2</c:v>
                </c:pt>
                <c:pt idx="61">
                  <c:v>5.5363302551375559E-2</c:v>
                </c:pt>
                <c:pt idx="62">
                  <c:v>5.53913639343937E-2</c:v>
                </c:pt>
                <c:pt idx="63">
                  <c:v>5.541664522513301E-2</c:v>
                </c:pt>
                <c:pt idx="64">
                  <c:v>5.5439408158028058E-2</c:v>
                </c:pt>
                <c:pt idx="65">
                  <c:v>5.5459890834001824E-2</c:v>
                </c:pt>
                <c:pt idx="66">
                  <c:v>5.5478309742206022E-2</c:v>
                </c:pt>
                <c:pt idx="67">
                  <c:v>5.5494861623329061E-2</c:v>
                </c:pt>
                <c:pt idx="68">
                  <c:v>5.5509725184849534E-2</c:v>
                </c:pt>
                <c:pt idx="69">
                  <c:v>5.5523062678278778E-2</c:v>
                </c:pt>
                <c:pt idx="70">
                  <c:v>5.5535021347954849E-2</c:v>
                </c:pt>
                <c:pt idx="71">
                  <c:v>5.5545734760478416E-2</c:v>
                </c:pt>
                <c:pt idx="72">
                  <c:v>5.5555324023614627E-2</c:v>
                </c:pt>
                <c:pt idx="73">
                  <c:v>5.556389890290836E-2</c:v>
                </c:pt>
                <c:pt idx="74">
                  <c:v>5.5571558843558577E-2</c:v>
                </c:pt>
                <c:pt idx="75">
                  <c:v>5.5578393905055812E-2</c:v>
                </c:pt>
                <c:pt idx="76">
                  <c:v>5.5584485615431278E-2</c:v>
                </c:pt>
                <c:pt idx="77">
                  <c:v>5.5589907751221412E-2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B9-4013-8415-9A907A27D469}"/>
            </c:ext>
          </c:extLst>
        </c:ser>
        <c:ser>
          <c:idx val="1"/>
          <c:order val="1"/>
          <c:tx>
            <c:strRef>
              <c:f>NSS!$K$248</c:f>
              <c:strCache>
                <c:ptCount val="1"/>
                <c:pt idx="0">
                  <c:v>Spot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NSS!$L$2:$CK$2</c:f>
              <c:numCache>
                <c:formatCode>General</c:formatCode>
                <c:ptCount val="7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</c:numCache>
            </c:numRef>
          </c:xVal>
          <c:yVal>
            <c:numRef>
              <c:f>NSS!$L$248:$CK$248</c:f>
              <c:numCache>
                <c:formatCode>0.00%</c:formatCode>
                <c:ptCount val="78"/>
                <c:pt idx="0">
                  <c:v>1.5529446517495061E-2</c:v>
                </c:pt>
                <c:pt idx="1">
                  <c:v>1.4725990403566053E-2</c:v>
                </c:pt>
                <c:pt idx="2">
                  <c:v>1.4879436232653665E-2</c:v>
                </c:pt>
                <c:pt idx="3">
                  <c:v>1.5171087751184311E-2</c:v>
                </c:pt>
                <c:pt idx="4">
                  <c:v>1.5577405394840455E-2</c:v>
                </c:pt>
                <c:pt idx="5">
                  <c:v>1.6077976692702285E-2</c:v>
                </c:pt>
                <c:pt idx="6">
                  <c:v>1.6655133820386362E-2</c:v>
                </c:pt>
                <c:pt idx="7">
                  <c:v>1.7293616162044036E-2</c:v>
                </c:pt>
                <c:pt idx="8">
                  <c:v>1.7980272695201128E-2</c:v>
                </c:pt>
                <c:pt idx="9">
                  <c:v>1.8703799602288781E-2</c:v>
                </c:pt>
                <c:pt idx="10">
                  <c:v>1.9454509036059713E-2</c:v>
                </c:pt>
                <c:pt idx="11">
                  <c:v>2.0224125430359719E-2</c:v>
                </c:pt>
                <c:pt idx="12">
                  <c:v>2.1005606159559848E-2</c:v>
                </c:pt>
                <c:pt idx="13">
                  <c:v>2.1792983715235283E-2</c:v>
                </c:pt>
                <c:pt idx="14">
                  <c:v>2.2581226892630899E-2</c:v>
                </c:pt>
                <c:pt idx="15">
                  <c:v>2.3366118766724491E-2</c:v>
                </c:pt>
                <c:pt idx="16">
                  <c:v>2.4144149492412906E-2</c:v>
                </c:pt>
                <c:pt idx="17">
                  <c:v>2.4912422189164146E-2</c:v>
                </c:pt>
                <c:pt idx="18">
                  <c:v>2.5668570370656105E-2</c:v>
                </c:pt>
                <c:pt idx="19">
                  <c:v>2.6410685557345888E-2</c:v>
                </c:pt>
                <c:pt idx="20">
                  <c:v>2.71372538671509E-2</c:v>
                </c:pt>
                <c:pt idx="21">
                  <c:v>2.7847100518747926E-2</c:v>
                </c:pt>
                <c:pt idx="22">
                  <c:v>2.8539341305435464E-2</c:v>
                </c:pt>
                <c:pt idx="23">
                  <c:v>2.9213340206849417E-2</c:v>
                </c:pt>
                <c:pt idx="24">
                  <c:v>2.9868672402668682E-2</c:v>
                </c:pt>
                <c:pt idx="25">
                  <c:v>3.0505092038209097E-2</c:v>
                </c:pt>
                <c:pt idx="26">
                  <c:v>3.1122504167736938E-2</c:v>
                </c:pt>
                <c:pt idx="27">
                  <c:v>3.1720940368551886E-2</c:v>
                </c:pt>
                <c:pt idx="28">
                  <c:v>3.2300537578382332E-2</c:v>
                </c:pt>
                <c:pt idx="29">
                  <c:v>3.2861519761280704E-2</c:v>
                </c:pt>
                <c:pt idx="30">
                  <c:v>3.3404182053782747E-2</c:v>
                </c:pt>
                <c:pt idx="31">
                  <c:v>3.3928877084291507E-2</c:v>
                </c:pt>
                <c:pt idx="32">
                  <c:v>3.4436003195078932E-2</c:v>
                </c:pt>
                <c:pt idx="33">
                  <c:v>3.4925994328507876E-2</c:v>
                </c:pt>
                <c:pt idx="34">
                  <c:v>3.5399311367547329E-2</c:v>
                </c:pt>
                <c:pt idx="35">
                  <c:v>3.5856434745812266E-2</c:v>
                </c:pt>
                <c:pt idx="36">
                  <c:v>3.629785816458439E-2</c:v>
                </c:pt>
                <c:pt idx="37">
                  <c:v>3.6724083273899408E-2</c:v>
                </c:pt>
                <c:pt idx="38">
                  <c:v>3.7135615192116396E-2</c:v>
                </c:pt>
                <c:pt idx="39">
                  <c:v>3.7532958753681442E-2</c:v>
                </c:pt>
                <c:pt idx="40">
                  <c:v>3.791661538829371E-2</c:v>
                </c:pt>
                <c:pt idx="41">
                  <c:v>3.8287080546586284E-2</c:v>
                </c:pt>
                <c:pt idx="42">
                  <c:v>3.864484159792942E-2</c:v>
                </c:pt>
                <c:pt idx="43">
                  <c:v>3.8990376135214347E-2</c:v>
                </c:pt>
                <c:pt idx="44">
                  <c:v>3.9324150629624591E-2</c:v>
                </c:pt>
                <c:pt idx="45">
                  <c:v>3.9646619385577703E-2</c:v>
                </c:pt>
                <c:pt idx="46">
                  <c:v>3.995822375233684E-2</c:v>
                </c:pt>
                <c:pt idx="47">
                  <c:v>4.0259391554347358E-2</c:v>
                </c:pt>
                <c:pt idx="48">
                  <c:v>4.0550536707239911E-2</c:v>
                </c:pt>
                <c:pt idx="49">
                  <c:v>4.0832058990734367E-2</c:v>
                </c:pt>
                <c:pt idx="50">
                  <c:v>4.1104343953449779E-2</c:v>
                </c:pt>
                <c:pt idx="51">
                  <c:v>4.136776292793494E-2</c:v>
                </c:pt>
                <c:pt idx="52">
                  <c:v>4.1622673137136738E-2</c:v>
                </c:pt>
                <c:pt idx="53">
                  <c:v>4.1869417876067655E-2</c:v>
                </c:pt>
                <c:pt idx="54">
                  <c:v>4.2108326754661501E-2</c:v>
                </c:pt>
                <c:pt idx="55">
                  <c:v>4.2339715989756263E-2</c:v>
                </c:pt>
                <c:pt idx="56">
                  <c:v>4.25638887358471E-2</c:v>
                </c:pt>
                <c:pt idx="57">
                  <c:v>4.278113544574124E-2</c:v>
                </c:pt>
                <c:pt idx="58">
                  <c:v>4.2991734253545015E-2</c:v>
                </c:pt>
                <c:pt idx="59">
                  <c:v>4.3195951373545427E-2</c:v>
                </c:pt>
                <c:pt idx="60">
                  <c:v>4.3394041509533306E-2</c:v>
                </c:pt>
                <c:pt idx="61">
                  <c:v>4.3586248269971796E-2</c:v>
                </c:pt>
                <c:pt idx="62">
                  <c:v>4.3772804585156887E-2</c:v>
                </c:pt>
                <c:pt idx="63">
                  <c:v>4.3953933123160802E-2</c:v>
                </c:pt>
                <c:pt idx="64">
                  <c:v>4.4129846701906221E-2</c:v>
                </c:pt>
                <c:pt idx="65">
                  <c:v>4.4300748695200065E-2</c:v>
                </c:pt>
                <c:pt idx="66">
                  <c:v>4.4466833430970423E-2</c:v>
                </c:pt>
                <c:pt idx="67">
                  <c:v>4.4628286580305501E-2</c:v>
                </c:pt>
                <c:pt idx="68">
                  <c:v>4.4785285536199614E-2</c:v>
                </c:pt>
                <c:pt idx="69">
                  <c:v>4.493799978117128E-2</c:v>
                </c:pt>
                <c:pt idx="70">
                  <c:v>4.5086591243141148E-2</c:v>
                </c:pt>
                <c:pt idx="71">
                  <c:v>4.5231214639145527E-2</c:v>
                </c:pt>
                <c:pt idx="72">
                  <c:v>4.5372017806620875E-2</c:v>
                </c:pt>
                <c:pt idx="73">
                  <c:v>4.5509142022127781E-2</c:v>
                </c:pt>
                <c:pt idx="74">
                  <c:v>4.5642722307495227E-2</c:v>
                </c:pt>
                <c:pt idx="75">
                  <c:v>4.5772887723458056E-2</c:v>
                </c:pt>
                <c:pt idx="76">
                  <c:v>4.5899761650937024E-2</c:v>
                </c:pt>
                <c:pt idx="77">
                  <c:v>4.6023462060172556E-2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B9-4013-8415-9A907A27D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19264"/>
        <c:axId val="178521584"/>
      </c:scatterChart>
      <c:valAx>
        <c:axId val="17851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21584"/>
        <c:crosses val="autoZero"/>
        <c:crossBetween val="midCat"/>
      </c:valAx>
      <c:valAx>
        <c:axId val="17852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Model and market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NSS!$D$2</c:f>
              <c:strCache>
                <c:ptCount val="1"/>
                <c:pt idx="0">
                  <c:v>Model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xVal>
            <c:numRef>
              <c:f>NSS!$A$3:$A$231</c:f>
              <c:numCache>
                <c:formatCode>0.0</c:formatCode>
                <c:ptCount val="22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3.5</c:v>
                </c:pt>
                <c:pt idx="34">
                  <c:v>3.5</c:v>
                </c:pt>
                <c:pt idx="35">
                  <c:v>4</c:v>
                </c:pt>
                <c:pt idx="36">
                  <c:v>4</c:v>
                </c:pt>
                <c:pt idx="37">
                  <c:v>4.5</c:v>
                </c:pt>
                <c:pt idx="38">
                  <c:v>4.5</c:v>
                </c:pt>
                <c:pt idx="39">
                  <c:v>5</c:v>
                </c:pt>
                <c:pt idx="40">
                  <c:v>5</c:v>
                </c:pt>
                <c:pt idx="41">
                  <c:v>5.5</c:v>
                </c:pt>
                <c:pt idx="42">
                  <c:v>5.5</c:v>
                </c:pt>
                <c:pt idx="43">
                  <c:v>6</c:v>
                </c:pt>
                <c:pt idx="44">
                  <c:v>6</c:v>
                </c:pt>
                <c:pt idx="45">
                  <c:v>7</c:v>
                </c:pt>
                <c:pt idx="46">
                  <c:v>9.5</c:v>
                </c:pt>
                <c:pt idx="47">
                  <c:v>10</c:v>
                </c:pt>
                <c:pt idx="48">
                  <c:v>12.5</c:v>
                </c:pt>
                <c:pt idx="49">
                  <c:v>13</c:v>
                </c:pt>
                <c:pt idx="50">
                  <c:v>13</c:v>
                </c:pt>
                <c:pt idx="51">
                  <c:v>13.5</c:v>
                </c:pt>
                <c:pt idx="52">
                  <c:v>13.5</c:v>
                </c:pt>
                <c:pt idx="53">
                  <c:v>14</c:v>
                </c:pt>
                <c:pt idx="54">
                  <c:v>14</c:v>
                </c:pt>
                <c:pt idx="55">
                  <c:v>15</c:v>
                </c:pt>
                <c:pt idx="56">
                  <c:v>20</c:v>
                </c:pt>
                <c:pt idx="57">
                  <c:v>23</c:v>
                </c:pt>
                <c:pt idx="58">
                  <c:v>23</c:v>
                </c:pt>
                <c:pt idx="59">
                  <c:v>23.5</c:v>
                </c:pt>
                <c:pt idx="60">
                  <c:v>23.5</c:v>
                </c:pt>
                <c:pt idx="61">
                  <c:v>29.5</c:v>
                </c:pt>
              </c:numCache>
            </c:numRef>
          </c:xVal>
          <c:yVal>
            <c:numRef>
              <c:f>NSS!$D$3:$D$231</c:f>
              <c:numCache>
                <c:formatCode>0.00</c:formatCode>
                <c:ptCount val="229"/>
                <c:pt idx="0">
                  <c:v>99.629385669406361</c:v>
                </c:pt>
                <c:pt idx="1">
                  <c:v>99.331688301868283</c:v>
                </c:pt>
                <c:pt idx="2">
                  <c:v>99.237417468814584</c:v>
                </c:pt>
                <c:pt idx="3">
                  <c:v>99.331688301868283</c:v>
                </c:pt>
                <c:pt idx="4">
                  <c:v>99.237417468814584</c:v>
                </c:pt>
                <c:pt idx="5">
                  <c:v>99.331688301868283</c:v>
                </c:pt>
                <c:pt idx="6">
                  <c:v>98.746552960753235</c:v>
                </c:pt>
                <c:pt idx="7">
                  <c:v>98.55866079455302</c:v>
                </c:pt>
                <c:pt idx="8">
                  <c:v>98.746552960753235</c:v>
                </c:pt>
                <c:pt idx="9">
                  <c:v>98.746552960753235</c:v>
                </c:pt>
                <c:pt idx="10">
                  <c:v>98.104477981278322</c:v>
                </c:pt>
                <c:pt idx="11">
                  <c:v>98.400068096723359</c:v>
                </c:pt>
                <c:pt idx="12">
                  <c:v>98.695658212168354</c:v>
                </c:pt>
                <c:pt idx="13">
                  <c:v>98.104477981278322</c:v>
                </c:pt>
                <c:pt idx="14">
                  <c:v>98.400068096723359</c:v>
                </c:pt>
                <c:pt idx="15">
                  <c:v>98.104477981278322</c:v>
                </c:pt>
                <c:pt idx="16">
                  <c:v>97.426083887443596</c:v>
                </c:pt>
                <c:pt idx="17">
                  <c:v>97.818707463200326</c:v>
                </c:pt>
                <c:pt idx="18">
                  <c:v>98.211331038957013</c:v>
                </c:pt>
                <c:pt idx="19">
                  <c:v>97.426083887443596</c:v>
                </c:pt>
                <c:pt idx="20">
                  <c:v>97.426083887443596</c:v>
                </c:pt>
                <c:pt idx="21">
                  <c:v>98.603954614713771</c:v>
                </c:pt>
                <c:pt idx="22">
                  <c:v>98.211331038957013</c:v>
                </c:pt>
                <c:pt idx="23">
                  <c:v>96.69821490389225</c:v>
                </c:pt>
                <c:pt idx="24">
                  <c:v>97.675880819298058</c:v>
                </c:pt>
                <c:pt idx="25">
                  <c:v>98.164713777000983</c:v>
                </c:pt>
                <c:pt idx="26">
                  <c:v>97.187047861595161</c:v>
                </c:pt>
                <c:pt idx="27">
                  <c:v>97.675880819298058</c:v>
                </c:pt>
                <c:pt idx="28">
                  <c:v>96.69821490389225</c:v>
                </c:pt>
                <c:pt idx="29">
                  <c:v>98.164713777000983</c:v>
                </c:pt>
                <c:pt idx="30">
                  <c:v>95.911810247422693</c:v>
                </c:pt>
                <c:pt idx="31">
                  <c:v>97.664292069451662</c:v>
                </c:pt>
                <c:pt idx="32">
                  <c:v>95.911810247422693</c:v>
                </c:pt>
                <c:pt idx="33">
                  <c:v>95.061199751567401</c:v>
                </c:pt>
                <c:pt idx="34">
                  <c:v>95.061199751567401</c:v>
                </c:pt>
                <c:pt idx="35">
                  <c:v>94.14349817334616</c:v>
                </c:pt>
                <c:pt idx="36">
                  <c:v>94.14349817334616</c:v>
                </c:pt>
                <c:pt idx="37">
                  <c:v>93.158081769023724</c:v>
                </c:pt>
                <c:pt idx="38">
                  <c:v>93.158081769023724</c:v>
                </c:pt>
                <c:pt idx="39">
                  <c:v>92.106135419155692</c:v>
                </c:pt>
                <c:pt idx="40">
                  <c:v>92.106135419155692</c:v>
                </c:pt>
                <c:pt idx="41">
                  <c:v>90.990261557176908</c:v>
                </c:pt>
                <c:pt idx="42">
                  <c:v>92.035566010409624</c:v>
                </c:pt>
                <c:pt idx="43">
                  <c:v>90.948128619015407</c:v>
                </c:pt>
                <c:pt idx="44">
                  <c:v>90.948128619015407</c:v>
                </c:pt>
                <c:pt idx="45">
                  <c:v>91.221655589458493</c:v>
                </c:pt>
                <c:pt idx="46">
                  <c:v>85.463612555251927</c:v>
                </c:pt>
                <c:pt idx="47">
                  <c:v>80.6377488146193</c:v>
                </c:pt>
                <c:pt idx="48">
                  <c:v>77.836267317130577</c:v>
                </c:pt>
                <c:pt idx="49">
                  <c:v>74.328266109513365</c:v>
                </c:pt>
                <c:pt idx="50">
                  <c:v>74.328266109513365</c:v>
                </c:pt>
                <c:pt idx="51">
                  <c:v>72.980836539405729</c:v>
                </c:pt>
                <c:pt idx="52">
                  <c:v>75.268869466847789</c:v>
                </c:pt>
                <c:pt idx="53">
                  <c:v>73.995009124093059</c:v>
                </c:pt>
                <c:pt idx="54">
                  <c:v>73.995009124093059</c:v>
                </c:pt>
                <c:pt idx="55">
                  <c:v>71.478934804159081</c:v>
                </c:pt>
                <c:pt idx="56">
                  <c:v>56.905273383756573</c:v>
                </c:pt>
                <c:pt idx="57">
                  <c:v>54.002142317115748</c:v>
                </c:pt>
                <c:pt idx="58">
                  <c:v>54.002142317115748</c:v>
                </c:pt>
                <c:pt idx="59">
                  <c:v>53.092735337682633</c:v>
                </c:pt>
                <c:pt idx="60">
                  <c:v>53.092735337682633</c:v>
                </c:pt>
                <c:pt idx="61">
                  <c:v>43.772110780008816</c:v>
                </c:pt>
                <c:pt idx="62">
                  <c:v>0</c:v>
                </c:pt>
                <c:pt idx="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44-424D-B9B5-F27CB084A274}"/>
            </c:ext>
          </c:extLst>
        </c:ser>
        <c:ser>
          <c:idx val="1"/>
          <c:order val="1"/>
          <c:tx>
            <c:strRef>
              <c:f>NSS!$C$2</c:f>
              <c:strCache>
                <c:ptCount val="1"/>
                <c:pt idx="0">
                  <c:v>Market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NSS!$A$3:$A$231</c:f>
              <c:numCache>
                <c:formatCode>0.0</c:formatCode>
                <c:ptCount val="22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3.5</c:v>
                </c:pt>
                <c:pt idx="34">
                  <c:v>3.5</c:v>
                </c:pt>
                <c:pt idx="35">
                  <c:v>4</c:v>
                </c:pt>
                <c:pt idx="36">
                  <c:v>4</c:v>
                </c:pt>
                <c:pt idx="37">
                  <c:v>4.5</c:v>
                </c:pt>
                <c:pt idx="38">
                  <c:v>4.5</c:v>
                </c:pt>
                <c:pt idx="39">
                  <c:v>5</c:v>
                </c:pt>
                <c:pt idx="40">
                  <c:v>5</c:v>
                </c:pt>
                <c:pt idx="41">
                  <c:v>5.5</c:v>
                </c:pt>
                <c:pt idx="42">
                  <c:v>5.5</c:v>
                </c:pt>
                <c:pt idx="43">
                  <c:v>6</c:v>
                </c:pt>
                <c:pt idx="44">
                  <c:v>6</c:v>
                </c:pt>
                <c:pt idx="45">
                  <c:v>7</c:v>
                </c:pt>
                <c:pt idx="46">
                  <c:v>9.5</c:v>
                </c:pt>
                <c:pt idx="47">
                  <c:v>10</c:v>
                </c:pt>
                <c:pt idx="48">
                  <c:v>12.5</c:v>
                </c:pt>
                <c:pt idx="49">
                  <c:v>13</c:v>
                </c:pt>
                <c:pt idx="50">
                  <c:v>13</c:v>
                </c:pt>
                <c:pt idx="51">
                  <c:v>13.5</c:v>
                </c:pt>
                <c:pt idx="52">
                  <c:v>13.5</c:v>
                </c:pt>
                <c:pt idx="53">
                  <c:v>14</c:v>
                </c:pt>
                <c:pt idx="54">
                  <c:v>14</c:v>
                </c:pt>
                <c:pt idx="55">
                  <c:v>15</c:v>
                </c:pt>
                <c:pt idx="56">
                  <c:v>20</c:v>
                </c:pt>
                <c:pt idx="57">
                  <c:v>23</c:v>
                </c:pt>
                <c:pt idx="58">
                  <c:v>23</c:v>
                </c:pt>
                <c:pt idx="59">
                  <c:v>23.5</c:v>
                </c:pt>
                <c:pt idx="60">
                  <c:v>23.5</c:v>
                </c:pt>
                <c:pt idx="61">
                  <c:v>29.5</c:v>
                </c:pt>
              </c:numCache>
            </c:numRef>
          </c:xVal>
          <c:yVal>
            <c:numRef>
              <c:f>NSS!$C$3:$C$231</c:f>
              <c:numCache>
                <c:formatCode>0.00</c:formatCode>
                <c:ptCount val="229"/>
                <c:pt idx="0">
                  <c:v>99.729500000000002</c:v>
                </c:pt>
                <c:pt idx="1">
                  <c:v>99.331500000000005</c:v>
                </c:pt>
                <c:pt idx="2">
                  <c:v>99.263000000000005</c:v>
                </c:pt>
                <c:pt idx="3">
                  <c:v>99.078499999999991</c:v>
                </c:pt>
                <c:pt idx="4">
                  <c:v>98.989499999999992</c:v>
                </c:pt>
                <c:pt idx="5">
                  <c:v>99.084999999999994</c:v>
                </c:pt>
                <c:pt idx="6">
                  <c:v>98.77600000000001</c:v>
                </c:pt>
                <c:pt idx="7">
                  <c:v>98.657499999999999</c:v>
                </c:pt>
                <c:pt idx="8">
                  <c:v>98.426000000000002</c:v>
                </c:pt>
                <c:pt idx="9">
                  <c:v>98.417000000000002</c:v>
                </c:pt>
                <c:pt idx="10">
                  <c:v>98.104500000000002</c:v>
                </c:pt>
                <c:pt idx="11">
                  <c:v>98.275499999999994</c:v>
                </c:pt>
                <c:pt idx="12">
                  <c:v>98.445499999999996</c:v>
                </c:pt>
                <c:pt idx="13">
                  <c:v>97.781000000000006</c:v>
                </c:pt>
                <c:pt idx="14">
                  <c:v>97.972999999999999</c:v>
                </c:pt>
                <c:pt idx="15">
                  <c:v>97.774000000000001</c:v>
                </c:pt>
                <c:pt idx="16">
                  <c:v>97.453499999999991</c:v>
                </c:pt>
                <c:pt idx="17">
                  <c:v>97.664000000000001</c:v>
                </c:pt>
                <c:pt idx="18">
                  <c:v>97.888999999999996</c:v>
                </c:pt>
                <c:pt idx="19">
                  <c:v>97.43549999999999</c:v>
                </c:pt>
                <c:pt idx="20">
                  <c:v>97.103999999999999</c:v>
                </c:pt>
                <c:pt idx="21">
                  <c:v>97.831999999999994</c:v>
                </c:pt>
                <c:pt idx="22">
                  <c:v>97.578499999999991</c:v>
                </c:pt>
                <c:pt idx="23">
                  <c:v>96.6995</c:v>
                </c:pt>
                <c:pt idx="24">
                  <c:v>97.244</c:v>
                </c:pt>
                <c:pt idx="25">
                  <c:v>97.507499999999993</c:v>
                </c:pt>
                <c:pt idx="26">
                  <c:v>96.978000000000009</c:v>
                </c:pt>
                <c:pt idx="27">
                  <c:v>97.244</c:v>
                </c:pt>
                <c:pt idx="28">
                  <c:v>96.294499999999999</c:v>
                </c:pt>
                <c:pt idx="29">
                  <c:v>97.174999999999997</c:v>
                </c:pt>
                <c:pt idx="30">
                  <c:v>95.846000000000004</c:v>
                </c:pt>
                <c:pt idx="31">
                  <c:v>96.799499999999995</c:v>
                </c:pt>
                <c:pt idx="32">
                  <c:v>95.403999999999996</c:v>
                </c:pt>
                <c:pt idx="33">
                  <c:v>94.936499999999995</c:v>
                </c:pt>
                <c:pt idx="34">
                  <c:v>94.484999999999999</c:v>
                </c:pt>
                <c:pt idx="35">
                  <c:v>94.031000000000006</c:v>
                </c:pt>
                <c:pt idx="36">
                  <c:v>93.595500000000001</c:v>
                </c:pt>
                <c:pt idx="37">
                  <c:v>93.12</c:v>
                </c:pt>
                <c:pt idx="38">
                  <c:v>92.654499999999999</c:v>
                </c:pt>
                <c:pt idx="39">
                  <c:v>92.173000000000002</c:v>
                </c:pt>
                <c:pt idx="40">
                  <c:v>91.65100000000001</c:v>
                </c:pt>
                <c:pt idx="41">
                  <c:v>91.1845</c:v>
                </c:pt>
                <c:pt idx="42">
                  <c:v>91.232500000000002</c:v>
                </c:pt>
                <c:pt idx="43">
                  <c:v>90.757499999999993</c:v>
                </c:pt>
                <c:pt idx="44">
                  <c:v>90.271000000000001</c:v>
                </c:pt>
                <c:pt idx="45">
                  <c:v>90.114000000000004</c:v>
                </c:pt>
                <c:pt idx="46">
                  <c:v>83.936999999999998</c:v>
                </c:pt>
                <c:pt idx="47">
                  <c:v>81.515000000000001</c:v>
                </c:pt>
                <c:pt idx="48">
                  <c:v>76.502499999999998</c:v>
                </c:pt>
                <c:pt idx="49">
                  <c:v>74.697000000000003</c:v>
                </c:pt>
                <c:pt idx="50">
                  <c:v>74.035499999999999</c:v>
                </c:pt>
                <c:pt idx="51">
                  <c:v>73.396000000000001</c:v>
                </c:pt>
                <c:pt idx="52">
                  <c:v>73.914500000000004</c:v>
                </c:pt>
                <c:pt idx="53">
                  <c:v>73.332999999999998</c:v>
                </c:pt>
                <c:pt idx="54">
                  <c:v>72.730999999999995</c:v>
                </c:pt>
                <c:pt idx="55">
                  <c:v>70.858499999999992</c:v>
                </c:pt>
                <c:pt idx="56">
                  <c:v>58.231999999999999</c:v>
                </c:pt>
                <c:pt idx="57">
                  <c:v>53.6965</c:v>
                </c:pt>
                <c:pt idx="58">
                  <c:v>53.173500000000004</c:v>
                </c:pt>
                <c:pt idx="59">
                  <c:v>52.658000000000001</c:v>
                </c:pt>
                <c:pt idx="60">
                  <c:v>52.198499999999996</c:v>
                </c:pt>
                <c:pt idx="61">
                  <c:v>43.823999999999998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44-424D-B9B5-F27CB084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34752"/>
        <c:axId val="184037456"/>
      </c:scatterChart>
      <c:valAx>
        <c:axId val="184034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37456"/>
        <c:crosses val="autoZero"/>
        <c:crossBetween val="midCat"/>
      </c:valAx>
      <c:valAx>
        <c:axId val="184037456"/>
        <c:scaling>
          <c:orientation val="minMax"/>
          <c:max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34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Error (Model - Market prices)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NSS!$A$3:$A$231</c:f>
              <c:numCache>
                <c:formatCode>0.0</c:formatCode>
                <c:ptCount val="22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3.5</c:v>
                </c:pt>
                <c:pt idx="34">
                  <c:v>3.5</c:v>
                </c:pt>
                <c:pt idx="35">
                  <c:v>4</c:v>
                </c:pt>
                <c:pt idx="36">
                  <c:v>4</c:v>
                </c:pt>
                <c:pt idx="37">
                  <c:v>4.5</c:v>
                </c:pt>
                <c:pt idx="38">
                  <c:v>4.5</c:v>
                </c:pt>
                <c:pt idx="39">
                  <c:v>5</c:v>
                </c:pt>
                <c:pt idx="40">
                  <c:v>5</c:v>
                </c:pt>
                <c:pt idx="41">
                  <c:v>5.5</c:v>
                </c:pt>
                <c:pt idx="42">
                  <c:v>5.5</c:v>
                </c:pt>
                <c:pt idx="43">
                  <c:v>6</c:v>
                </c:pt>
                <c:pt idx="44">
                  <c:v>6</c:v>
                </c:pt>
                <c:pt idx="45">
                  <c:v>7</c:v>
                </c:pt>
                <c:pt idx="46">
                  <c:v>9.5</c:v>
                </c:pt>
                <c:pt idx="47">
                  <c:v>10</c:v>
                </c:pt>
                <c:pt idx="48">
                  <c:v>12.5</c:v>
                </c:pt>
                <c:pt idx="49">
                  <c:v>13</c:v>
                </c:pt>
                <c:pt idx="50">
                  <c:v>13</c:v>
                </c:pt>
                <c:pt idx="51">
                  <c:v>13.5</c:v>
                </c:pt>
                <c:pt idx="52">
                  <c:v>13.5</c:v>
                </c:pt>
                <c:pt idx="53">
                  <c:v>14</c:v>
                </c:pt>
                <c:pt idx="54">
                  <c:v>14</c:v>
                </c:pt>
                <c:pt idx="55">
                  <c:v>15</c:v>
                </c:pt>
                <c:pt idx="56">
                  <c:v>20</c:v>
                </c:pt>
                <c:pt idx="57">
                  <c:v>23</c:v>
                </c:pt>
                <c:pt idx="58">
                  <c:v>23</c:v>
                </c:pt>
                <c:pt idx="59">
                  <c:v>23.5</c:v>
                </c:pt>
                <c:pt idx="60">
                  <c:v>23.5</c:v>
                </c:pt>
                <c:pt idx="61">
                  <c:v>29.5</c:v>
                </c:pt>
              </c:numCache>
            </c:numRef>
          </c:xVal>
          <c:yVal>
            <c:numRef>
              <c:f>NSS!$E$3:$E$231</c:f>
              <c:numCache>
                <c:formatCode>0.00</c:formatCode>
                <c:ptCount val="229"/>
                <c:pt idx="0">
                  <c:v>-0.10011433059364094</c:v>
                </c:pt>
                <c:pt idx="1">
                  <c:v>1.8830186827756279E-4</c:v>
                </c:pt>
                <c:pt idx="2">
                  <c:v>-2.5582531185420976E-2</c:v>
                </c:pt>
                <c:pt idx="3">
                  <c:v>0.25318830186829189</c:v>
                </c:pt>
                <c:pt idx="4">
                  <c:v>0.24791746881459176</c:v>
                </c:pt>
                <c:pt idx="5">
                  <c:v>0.24668830186828927</c:v>
                </c:pt>
                <c:pt idx="6">
                  <c:v>-2.944703924677583E-2</c:v>
                </c:pt>
                <c:pt idx="7">
                  <c:v>-9.883920544697844E-2</c:v>
                </c:pt>
                <c:pt idx="8">
                  <c:v>0.3205529607532327</c:v>
                </c:pt>
                <c:pt idx="9">
                  <c:v>0.32955296075323304</c:v>
                </c:pt>
                <c:pt idx="10">
                  <c:v>-2.2018721679728515E-5</c:v>
                </c:pt>
                <c:pt idx="11">
                  <c:v>0.12456809672336533</c:v>
                </c:pt>
                <c:pt idx="12">
                  <c:v>0.25015821216835832</c:v>
                </c:pt>
                <c:pt idx="13">
                  <c:v>0.32347798127831595</c:v>
                </c:pt>
                <c:pt idx="14">
                  <c:v>0.42706809672336021</c:v>
                </c:pt>
                <c:pt idx="15">
                  <c:v>0.33047798127832095</c:v>
                </c:pt>
                <c:pt idx="16">
                  <c:v>-2.7416112556394978E-2</c:v>
                </c:pt>
                <c:pt idx="17">
                  <c:v>0.15470746320032447</c:v>
                </c:pt>
                <c:pt idx="18">
                  <c:v>0.32233103895701731</c:v>
                </c:pt>
                <c:pt idx="19">
                  <c:v>-9.416112556394296E-3</c:v>
                </c:pt>
                <c:pt idx="20">
                  <c:v>0.32208388744359695</c:v>
                </c:pt>
                <c:pt idx="21">
                  <c:v>0.77195461471377769</c:v>
                </c:pt>
                <c:pt idx="22">
                  <c:v>0.63283103895702197</c:v>
                </c:pt>
                <c:pt idx="23">
                  <c:v>-1.2850961077504053E-3</c:v>
                </c:pt>
                <c:pt idx="24">
                  <c:v>0.43188081929805833</c:v>
                </c:pt>
                <c:pt idx="25">
                  <c:v>0.65721377700099026</c:v>
                </c:pt>
                <c:pt idx="26">
                  <c:v>0.20904786159515254</c:v>
                </c:pt>
                <c:pt idx="27">
                  <c:v>0.43188081929805833</c:v>
                </c:pt>
                <c:pt idx="28">
                  <c:v>0.40371490389225073</c:v>
                </c:pt>
                <c:pt idx="29">
                  <c:v>0.98971377700098628</c:v>
                </c:pt>
                <c:pt idx="30">
                  <c:v>6.5810247422689372E-2</c:v>
                </c:pt>
                <c:pt idx="31">
                  <c:v>0.86479206945166709</c:v>
                </c:pt>
                <c:pt idx="32">
                  <c:v>0.50781024742269665</c:v>
                </c:pt>
                <c:pt idx="33">
                  <c:v>0.12469975156740531</c:v>
                </c:pt>
                <c:pt idx="34">
                  <c:v>0.57619975156740111</c:v>
                </c:pt>
                <c:pt idx="35">
                  <c:v>0.11249817334615386</c:v>
                </c:pt>
                <c:pt idx="36">
                  <c:v>0.54799817334615852</c:v>
                </c:pt>
                <c:pt idx="37">
                  <c:v>3.8081769023719403E-2</c:v>
                </c:pt>
                <c:pt idx="38">
                  <c:v>0.5035817690237252</c:v>
                </c:pt>
                <c:pt idx="39">
                  <c:v>-6.686458084431024E-2</c:v>
                </c:pt>
                <c:pt idx="40">
                  <c:v>0.45513541915568112</c:v>
                </c:pt>
                <c:pt idx="41">
                  <c:v>-0.19423844282309233</c:v>
                </c:pt>
                <c:pt idx="42">
                  <c:v>0.80306601040962278</c:v>
                </c:pt>
                <c:pt idx="43">
                  <c:v>0.19062861901541339</c:v>
                </c:pt>
                <c:pt idx="44">
                  <c:v>0.67712861901540577</c:v>
                </c:pt>
                <c:pt idx="45">
                  <c:v>1.1076555894584885</c:v>
                </c:pt>
                <c:pt idx="46">
                  <c:v>1.5266125552519298</c:v>
                </c:pt>
                <c:pt idx="47">
                  <c:v>-0.87725118538070035</c:v>
                </c:pt>
                <c:pt idx="48">
                  <c:v>1.3337673171305795</c:v>
                </c:pt>
                <c:pt idx="49">
                  <c:v>-0.36873389048663796</c:v>
                </c:pt>
                <c:pt idx="50">
                  <c:v>0.29276610951336579</c:v>
                </c:pt>
                <c:pt idx="51">
                  <c:v>-0.41516346059427178</c:v>
                </c:pt>
                <c:pt idx="52">
                  <c:v>1.3543694668477855</c:v>
                </c:pt>
                <c:pt idx="53">
                  <c:v>0.66200912409306056</c:v>
                </c:pt>
                <c:pt idx="54">
                  <c:v>1.2640091240930644</c:v>
                </c:pt>
                <c:pt idx="55">
                  <c:v>0.62043480415908903</c:v>
                </c:pt>
                <c:pt idx="56">
                  <c:v>-1.3267266162434268</c:v>
                </c:pt>
                <c:pt idx="57">
                  <c:v>0.30564231711574763</c:v>
                </c:pt>
                <c:pt idx="58">
                  <c:v>0.82864231711574377</c:v>
                </c:pt>
                <c:pt idx="59">
                  <c:v>0.43473533768263195</c:v>
                </c:pt>
                <c:pt idx="60">
                  <c:v>0.89423533768263752</c:v>
                </c:pt>
                <c:pt idx="61">
                  <c:v>-5.188921999118179E-2</c:v>
                </c:pt>
                <c:pt idx="62">
                  <c:v>0</c:v>
                </c:pt>
                <c:pt idx="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EE-4174-8EF1-D8EF7D2C8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053184"/>
        <c:axId val="184056304"/>
      </c:scatterChart>
      <c:valAx>
        <c:axId val="18405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56304"/>
        <c:crosses val="autoZero"/>
        <c:crossBetween val="midCat"/>
      </c:valAx>
      <c:valAx>
        <c:axId val="18405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5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Error (Model - Market yield)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358137484723"/>
          <c:y val="0.165764071157772"/>
          <c:w val="0.82840789939425497"/>
          <c:h val="0.69798592884222799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NSS!$A$3:$A$231</c:f>
              <c:numCache>
                <c:formatCode>0.0</c:formatCode>
                <c:ptCount val="22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3.5</c:v>
                </c:pt>
                <c:pt idx="34">
                  <c:v>3.5</c:v>
                </c:pt>
                <c:pt idx="35">
                  <c:v>4</c:v>
                </c:pt>
                <c:pt idx="36">
                  <c:v>4</c:v>
                </c:pt>
                <c:pt idx="37">
                  <c:v>4.5</c:v>
                </c:pt>
                <c:pt idx="38">
                  <c:v>4.5</c:v>
                </c:pt>
                <c:pt idx="39">
                  <c:v>5</c:v>
                </c:pt>
                <c:pt idx="40">
                  <c:v>5</c:v>
                </c:pt>
                <c:pt idx="41">
                  <c:v>5.5</c:v>
                </c:pt>
                <c:pt idx="42">
                  <c:v>5.5</c:v>
                </c:pt>
                <c:pt idx="43">
                  <c:v>6</c:v>
                </c:pt>
                <c:pt idx="44">
                  <c:v>6</c:v>
                </c:pt>
                <c:pt idx="45">
                  <c:v>7</c:v>
                </c:pt>
                <c:pt idx="46">
                  <c:v>9.5</c:v>
                </c:pt>
                <c:pt idx="47">
                  <c:v>10</c:v>
                </c:pt>
                <c:pt idx="48">
                  <c:v>12.5</c:v>
                </c:pt>
                <c:pt idx="49">
                  <c:v>13</c:v>
                </c:pt>
                <c:pt idx="50">
                  <c:v>13</c:v>
                </c:pt>
                <c:pt idx="51">
                  <c:v>13.5</c:v>
                </c:pt>
                <c:pt idx="52">
                  <c:v>13.5</c:v>
                </c:pt>
                <c:pt idx="53">
                  <c:v>14</c:v>
                </c:pt>
                <c:pt idx="54">
                  <c:v>14</c:v>
                </c:pt>
                <c:pt idx="55">
                  <c:v>15</c:v>
                </c:pt>
                <c:pt idx="56">
                  <c:v>20</c:v>
                </c:pt>
                <c:pt idx="57">
                  <c:v>23</c:v>
                </c:pt>
                <c:pt idx="58">
                  <c:v>23</c:v>
                </c:pt>
                <c:pt idx="59">
                  <c:v>23.5</c:v>
                </c:pt>
                <c:pt idx="60">
                  <c:v>23.5</c:v>
                </c:pt>
                <c:pt idx="61">
                  <c:v>29.5</c:v>
                </c:pt>
              </c:numCache>
            </c:numRef>
          </c:xVal>
          <c:yVal>
            <c:numRef>
              <c:f>NSS!$I$3:$I$231</c:f>
              <c:numCache>
                <c:formatCode>0.00%</c:formatCode>
                <c:ptCount val="229"/>
                <c:pt idx="0">
                  <c:v>1.0116234001062985E-3</c:v>
                </c:pt>
                <c:pt idx="1">
                  <c:v>-1.9103541917253608E-6</c:v>
                </c:pt>
                <c:pt idx="2">
                  <c:v>2.5971819503456395E-4</c:v>
                </c:pt>
                <c:pt idx="3">
                  <c:v>-2.575197093021897E-3</c:v>
                </c:pt>
                <c:pt idx="4">
                  <c:v>-2.5238541788477065E-3</c:v>
                </c:pt>
                <c:pt idx="5">
                  <c:v>-2.508920511868018E-3</c:v>
                </c:pt>
                <c:pt idx="6">
                  <c:v>1.5023993216312093E-4</c:v>
                </c:pt>
                <c:pt idx="7">
                  <c:v>5.0473484190960427E-4</c:v>
                </c:pt>
                <c:pt idx="8">
                  <c:v>-1.6398343566759177E-3</c:v>
                </c:pt>
                <c:pt idx="9">
                  <c:v>-1.685990772052115E-3</c:v>
                </c:pt>
                <c:pt idx="10">
                  <c:v>7.54445332873388E-8</c:v>
                </c:pt>
                <c:pt idx="11">
                  <c:v>-4.2632384603935591E-4</c:v>
                </c:pt>
                <c:pt idx="12">
                  <c:v>-8.5516136084429206E-4</c:v>
                </c:pt>
                <c:pt idx="13">
                  <c:v>-1.1108033191351563E-3</c:v>
                </c:pt>
                <c:pt idx="14">
                  <c:v>-1.4646148015056148E-3</c:v>
                </c:pt>
                <c:pt idx="15">
                  <c:v>-1.1348950656189238E-3</c:v>
                </c:pt>
                <c:pt idx="16">
                  <c:v>7.0978130854548738E-5</c:v>
                </c:pt>
                <c:pt idx="17">
                  <c:v>-3.9998769328608574E-4</c:v>
                </c:pt>
                <c:pt idx="18">
                  <c:v>-8.3217443011873726E-4</c:v>
                </c:pt>
                <c:pt idx="19">
                  <c:v>2.43803826052158E-5</c:v>
                </c:pt>
                <c:pt idx="20">
                  <c:v>-8.3572557092215227E-4</c:v>
                </c:pt>
                <c:pt idx="21">
                  <c:v>-1.9937252776618397E-3</c:v>
                </c:pt>
                <c:pt idx="22">
                  <c:v>-1.6370594423320561E-3</c:v>
                </c:pt>
                <c:pt idx="23">
                  <c:v>2.6840175790798781E-6</c:v>
                </c:pt>
                <c:pt idx="24">
                  <c:v>-8.9899309088314894E-4</c:v>
                </c:pt>
                <c:pt idx="25">
                  <c:v>-1.3658251650052744E-3</c:v>
                </c:pt>
                <c:pt idx="26">
                  <c:v>-4.3586258837002845E-4</c:v>
                </c:pt>
                <c:pt idx="27">
                  <c:v>-8.9899309088314894E-4</c:v>
                </c:pt>
                <c:pt idx="28">
                  <c:v>-8.453165359039172E-4</c:v>
                </c:pt>
                <c:pt idx="29">
                  <c:v>-2.0610662949602787E-3</c:v>
                </c:pt>
                <c:pt idx="30">
                  <c:v>-1.1561655860581332E-4</c:v>
                </c:pt>
                <c:pt idx="31">
                  <c:v>-1.5105689756387264E-3</c:v>
                </c:pt>
                <c:pt idx="32">
                  <c:v>-8.9454148201228989E-4</c:v>
                </c:pt>
                <c:pt idx="33">
                  <c:v>-1.8967915304157756E-4</c:v>
                </c:pt>
                <c:pt idx="34">
                  <c:v>-8.788443477494301E-4</c:v>
                </c:pt>
                <c:pt idx="35">
                  <c:v>-1.5130613785907521E-4</c:v>
                </c:pt>
                <c:pt idx="36">
                  <c:v>-7.3896933017669753E-4</c:v>
                </c:pt>
                <c:pt idx="37">
                  <c:v>-4.6029397171132302E-5</c:v>
                </c:pt>
                <c:pt idx="38">
                  <c:v>-6.1037983660505724E-4</c:v>
                </c:pt>
                <c:pt idx="39">
                  <c:v>7.3588791318579538E-5</c:v>
                </c:pt>
                <c:pt idx="40">
                  <c:v>-5.0247752743670659E-4</c:v>
                </c:pt>
                <c:pt idx="41">
                  <c:v>1.9675449773970399E-4</c:v>
                </c:pt>
                <c:pt idx="42">
                  <c:v>-8.1327278308429563E-4</c:v>
                </c:pt>
                <c:pt idx="43">
                  <c:v>-1.7869497340461393E-4</c:v>
                </c:pt>
                <c:pt idx="44">
                  <c:v>-6.3660318361091761E-4</c:v>
                </c:pt>
                <c:pt idx="45">
                  <c:v>-9.0705072977415035E-4</c:v>
                </c:pt>
                <c:pt idx="46">
                  <c:v>-1.0001471114706728E-3</c:v>
                </c:pt>
                <c:pt idx="47">
                  <c:v>5.5995043905476827E-4</c:v>
                </c:pt>
                <c:pt idx="48">
                  <c:v>-7.4248283337663423E-4</c:v>
                </c:pt>
                <c:pt idx="49">
                  <c:v>2.021051340763691E-4</c:v>
                </c:pt>
                <c:pt idx="50">
                  <c:v>-1.612328495581572E-4</c:v>
                </c:pt>
                <c:pt idx="51">
                  <c:v>2.2368416147977577E-4</c:v>
                </c:pt>
                <c:pt idx="52">
                  <c:v>-7.2706738779815261E-4</c:v>
                </c:pt>
                <c:pt idx="53">
                  <c:v>-3.4805830937689741E-4</c:v>
                </c:pt>
                <c:pt idx="54">
                  <c:v>-6.6753220391158052E-4</c:v>
                </c:pt>
                <c:pt idx="55">
                  <c:v>-3.1734339948386037E-4</c:v>
                </c:pt>
                <c:pt idx="56">
                  <c:v>6.3804186341753777E-4</c:v>
                </c:pt>
                <c:pt idx="57">
                  <c:v>-1.4398228294254523E-4</c:v>
                </c:pt>
                <c:pt idx="58">
                  <c:v>-3.9250178571070826E-4</c:v>
                </c:pt>
                <c:pt idx="59">
                  <c:v>-2.0514652655045928E-4</c:v>
                </c:pt>
                <c:pt idx="60">
                  <c:v>-4.2405952705326655E-4</c:v>
                </c:pt>
                <c:pt idx="61">
                  <c:v>2.5085534973490198E-5</c:v>
                </c:pt>
                <c:pt idx="62">
                  <c:v>0</c:v>
                </c:pt>
                <c:pt idx="6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A5-4A15-BC9B-5D61782EF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93168"/>
        <c:axId val="184396288"/>
      </c:scatterChart>
      <c:valAx>
        <c:axId val="184393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Maturity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96288"/>
        <c:crosses val="autoZero"/>
        <c:crossBetween val="midCat"/>
      </c:valAx>
      <c:valAx>
        <c:axId val="184396288"/>
        <c:scaling>
          <c:orientation val="minMax"/>
          <c:max val="2.5000000000000001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&quot; bp&quot;%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931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Visualization split by component (Really far into the future)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NSS!$CO$2</c:f>
              <c:strCache>
                <c:ptCount val="1"/>
                <c:pt idx="0">
                  <c:v>Long term spot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NSS!$CN$3:$CN$503</c:f>
              <c:numCache>
                <c:formatCode>General</c:formatCode>
                <c:ptCount val="501"/>
                <c:pt idx="0" formatCode="0">
                  <c:v>9.9999999999999995E-7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 formatCode="0.0">
                  <c:v>32</c:v>
                </c:pt>
                <c:pt idx="65" formatCode="0.0">
                  <c:v>32.5</c:v>
                </c:pt>
                <c:pt idx="66" formatCode="0.0">
                  <c:v>33</c:v>
                </c:pt>
                <c:pt idx="67" formatCode="0.0">
                  <c:v>33.5</c:v>
                </c:pt>
                <c:pt idx="68" formatCode="0.0">
                  <c:v>34</c:v>
                </c:pt>
                <c:pt idx="69" formatCode="0.0">
                  <c:v>34.5</c:v>
                </c:pt>
                <c:pt idx="70" formatCode="0.0">
                  <c:v>35</c:v>
                </c:pt>
                <c:pt idx="71" formatCode="0.0">
                  <c:v>35.5</c:v>
                </c:pt>
                <c:pt idx="72" formatCode="0.0">
                  <c:v>36</c:v>
                </c:pt>
                <c:pt idx="73" formatCode="0.0">
                  <c:v>36.5</c:v>
                </c:pt>
                <c:pt idx="74" formatCode="0.0">
                  <c:v>37</c:v>
                </c:pt>
                <c:pt idx="75" formatCode="0.0">
                  <c:v>37.5</c:v>
                </c:pt>
                <c:pt idx="76" formatCode="0.0">
                  <c:v>38</c:v>
                </c:pt>
                <c:pt idx="77" formatCode="0.0">
                  <c:v>38.5</c:v>
                </c:pt>
                <c:pt idx="78" formatCode="0.0">
                  <c:v>39</c:v>
                </c:pt>
                <c:pt idx="79" formatCode="0.0">
                  <c:v>39.5</c:v>
                </c:pt>
                <c:pt idx="80" formatCode="0.0">
                  <c:v>40</c:v>
                </c:pt>
                <c:pt idx="81" formatCode="0.0">
                  <c:v>40.5</c:v>
                </c:pt>
                <c:pt idx="82" formatCode="0.0">
                  <c:v>41</c:v>
                </c:pt>
                <c:pt idx="83" formatCode="0.0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</c:numCache>
            </c:numRef>
          </c:cat>
          <c:val>
            <c:numRef>
              <c:f>NSS!$CO$3:$CO$503</c:f>
              <c:numCache>
                <c:formatCode>0.00%</c:formatCode>
                <c:ptCount val="501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  <c:pt idx="48">
                  <c:v>0.05</c:v>
                </c:pt>
                <c:pt idx="49">
                  <c:v>0.05</c:v>
                </c:pt>
                <c:pt idx="50">
                  <c:v>0.05</c:v>
                </c:pt>
                <c:pt idx="51">
                  <c:v>0.05</c:v>
                </c:pt>
                <c:pt idx="52">
                  <c:v>0.05</c:v>
                </c:pt>
                <c:pt idx="53">
                  <c:v>0.05</c:v>
                </c:pt>
                <c:pt idx="54">
                  <c:v>0.05</c:v>
                </c:pt>
                <c:pt idx="55">
                  <c:v>0.05</c:v>
                </c:pt>
                <c:pt idx="56">
                  <c:v>0.05</c:v>
                </c:pt>
                <c:pt idx="57">
                  <c:v>0.05</c:v>
                </c:pt>
                <c:pt idx="58">
                  <c:v>0.05</c:v>
                </c:pt>
                <c:pt idx="59">
                  <c:v>0.05</c:v>
                </c:pt>
                <c:pt idx="60">
                  <c:v>0.05</c:v>
                </c:pt>
                <c:pt idx="61">
                  <c:v>0.05</c:v>
                </c:pt>
                <c:pt idx="62">
                  <c:v>0.05</c:v>
                </c:pt>
                <c:pt idx="63">
                  <c:v>0.05</c:v>
                </c:pt>
                <c:pt idx="64">
                  <c:v>0.05</c:v>
                </c:pt>
                <c:pt idx="65">
                  <c:v>0.05</c:v>
                </c:pt>
                <c:pt idx="66">
                  <c:v>0.05</c:v>
                </c:pt>
                <c:pt idx="67">
                  <c:v>0.05</c:v>
                </c:pt>
                <c:pt idx="68">
                  <c:v>0.05</c:v>
                </c:pt>
                <c:pt idx="69">
                  <c:v>0.05</c:v>
                </c:pt>
                <c:pt idx="70">
                  <c:v>0.05</c:v>
                </c:pt>
                <c:pt idx="71">
                  <c:v>0.05</c:v>
                </c:pt>
                <c:pt idx="72">
                  <c:v>0.05</c:v>
                </c:pt>
                <c:pt idx="73">
                  <c:v>0.05</c:v>
                </c:pt>
                <c:pt idx="74">
                  <c:v>0.05</c:v>
                </c:pt>
                <c:pt idx="75">
                  <c:v>0.05</c:v>
                </c:pt>
                <c:pt idx="76">
                  <c:v>0.05</c:v>
                </c:pt>
                <c:pt idx="77">
                  <c:v>0.05</c:v>
                </c:pt>
                <c:pt idx="78">
                  <c:v>0.05</c:v>
                </c:pt>
                <c:pt idx="79">
                  <c:v>0.05</c:v>
                </c:pt>
                <c:pt idx="80">
                  <c:v>0.05</c:v>
                </c:pt>
                <c:pt idx="81">
                  <c:v>0.05</c:v>
                </c:pt>
                <c:pt idx="82">
                  <c:v>0.05</c:v>
                </c:pt>
                <c:pt idx="83">
                  <c:v>0.05</c:v>
                </c:pt>
                <c:pt idx="84">
                  <c:v>0.05</c:v>
                </c:pt>
                <c:pt idx="85">
                  <c:v>0.05</c:v>
                </c:pt>
                <c:pt idx="86">
                  <c:v>0.05</c:v>
                </c:pt>
                <c:pt idx="87">
                  <c:v>0.05</c:v>
                </c:pt>
                <c:pt idx="88">
                  <c:v>0.05</c:v>
                </c:pt>
                <c:pt idx="89">
                  <c:v>0.05</c:v>
                </c:pt>
                <c:pt idx="90">
                  <c:v>0.05</c:v>
                </c:pt>
                <c:pt idx="91">
                  <c:v>0.05</c:v>
                </c:pt>
                <c:pt idx="92">
                  <c:v>0.05</c:v>
                </c:pt>
                <c:pt idx="93">
                  <c:v>0.05</c:v>
                </c:pt>
                <c:pt idx="94">
                  <c:v>0.05</c:v>
                </c:pt>
                <c:pt idx="95">
                  <c:v>0.05</c:v>
                </c:pt>
                <c:pt idx="96">
                  <c:v>0.05</c:v>
                </c:pt>
                <c:pt idx="97">
                  <c:v>0.05</c:v>
                </c:pt>
                <c:pt idx="98">
                  <c:v>0.05</c:v>
                </c:pt>
                <c:pt idx="99">
                  <c:v>0.05</c:v>
                </c:pt>
                <c:pt idx="100">
                  <c:v>0.05</c:v>
                </c:pt>
                <c:pt idx="101">
                  <c:v>0.05</c:v>
                </c:pt>
                <c:pt idx="102">
                  <c:v>0.05</c:v>
                </c:pt>
                <c:pt idx="103">
                  <c:v>0.05</c:v>
                </c:pt>
                <c:pt idx="104">
                  <c:v>0.05</c:v>
                </c:pt>
                <c:pt idx="105">
                  <c:v>0.05</c:v>
                </c:pt>
                <c:pt idx="106">
                  <c:v>0.05</c:v>
                </c:pt>
                <c:pt idx="107">
                  <c:v>0.05</c:v>
                </c:pt>
                <c:pt idx="108">
                  <c:v>0.05</c:v>
                </c:pt>
                <c:pt idx="109">
                  <c:v>0.05</c:v>
                </c:pt>
                <c:pt idx="110">
                  <c:v>0.05</c:v>
                </c:pt>
                <c:pt idx="111">
                  <c:v>0.05</c:v>
                </c:pt>
                <c:pt idx="112">
                  <c:v>0.05</c:v>
                </c:pt>
                <c:pt idx="113">
                  <c:v>0.05</c:v>
                </c:pt>
                <c:pt idx="114">
                  <c:v>0.05</c:v>
                </c:pt>
                <c:pt idx="115">
                  <c:v>0.05</c:v>
                </c:pt>
                <c:pt idx="116">
                  <c:v>0.05</c:v>
                </c:pt>
                <c:pt idx="117">
                  <c:v>0.05</c:v>
                </c:pt>
                <c:pt idx="118">
                  <c:v>0.05</c:v>
                </c:pt>
                <c:pt idx="119">
                  <c:v>0.05</c:v>
                </c:pt>
                <c:pt idx="120">
                  <c:v>0.05</c:v>
                </c:pt>
                <c:pt idx="121">
                  <c:v>0.05</c:v>
                </c:pt>
                <c:pt idx="122">
                  <c:v>0.05</c:v>
                </c:pt>
                <c:pt idx="123">
                  <c:v>0.05</c:v>
                </c:pt>
                <c:pt idx="124">
                  <c:v>0.05</c:v>
                </c:pt>
                <c:pt idx="125">
                  <c:v>0.05</c:v>
                </c:pt>
                <c:pt idx="126">
                  <c:v>0.05</c:v>
                </c:pt>
                <c:pt idx="127">
                  <c:v>0.05</c:v>
                </c:pt>
                <c:pt idx="128">
                  <c:v>0.05</c:v>
                </c:pt>
                <c:pt idx="129">
                  <c:v>0.05</c:v>
                </c:pt>
                <c:pt idx="130">
                  <c:v>0.05</c:v>
                </c:pt>
                <c:pt idx="131">
                  <c:v>0.05</c:v>
                </c:pt>
                <c:pt idx="132">
                  <c:v>0.05</c:v>
                </c:pt>
                <c:pt idx="133">
                  <c:v>0.05</c:v>
                </c:pt>
                <c:pt idx="134">
                  <c:v>0.05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0.05</c:v>
                </c:pt>
                <c:pt idx="139">
                  <c:v>0.05</c:v>
                </c:pt>
                <c:pt idx="140">
                  <c:v>0.05</c:v>
                </c:pt>
                <c:pt idx="141">
                  <c:v>0.05</c:v>
                </c:pt>
                <c:pt idx="142">
                  <c:v>0.05</c:v>
                </c:pt>
                <c:pt idx="143">
                  <c:v>0.05</c:v>
                </c:pt>
                <c:pt idx="144">
                  <c:v>0.05</c:v>
                </c:pt>
                <c:pt idx="145">
                  <c:v>0.05</c:v>
                </c:pt>
                <c:pt idx="146">
                  <c:v>0.05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0.05</c:v>
                </c:pt>
                <c:pt idx="196">
                  <c:v>0.05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0.05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0.05</c:v>
                </c:pt>
                <c:pt idx="212">
                  <c:v>0.05</c:v>
                </c:pt>
                <c:pt idx="213">
                  <c:v>0.05</c:v>
                </c:pt>
                <c:pt idx="214">
                  <c:v>0.05</c:v>
                </c:pt>
                <c:pt idx="215">
                  <c:v>0.05</c:v>
                </c:pt>
                <c:pt idx="216">
                  <c:v>0.05</c:v>
                </c:pt>
                <c:pt idx="217">
                  <c:v>0.05</c:v>
                </c:pt>
                <c:pt idx="218">
                  <c:v>0.05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0.05</c:v>
                </c:pt>
                <c:pt idx="259">
                  <c:v>0.05</c:v>
                </c:pt>
                <c:pt idx="260">
                  <c:v>0.05</c:v>
                </c:pt>
                <c:pt idx="261">
                  <c:v>0.05</c:v>
                </c:pt>
                <c:pt idx="262">
                  <c:v>0.05</c:v>
                </c:pt>
                <c:pt idx="263">
                  <c:v>0.05</c:v>
                </c:pt>
                <c:pt idx="264">
                  <c:v>0.05</c:v>
                </c:pt>
                <c:pt idx="265">
                  <c:v>0.05</c:v>
                </c:pt>
                <c:pt idx="266">
                  <c:v>0.05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0.05</c:v>
                </c:pt>
                <c:pt idx="311">
                  <c:v>0.05</c:v>
                </c:pt>
                <c:pt idx="312">
                  <c:v>0.05</c:v>
                </c:pt>
                <c:pt idx="313">
                  <c:v>0.05</c:v>
                </c:pt>
                <c:pt idx="314">
                  <c:v>0.05</c:v>
                </c:pt>
                <c:pt idx="315">
                  <c:v>0.05</c:v>
                </c:pt>
                <c:pt idx="316">
                  <c:v>0.05</c:v>
                </c:pt>
                <c:pt idx="317">
                  <c:v>0.05</c:v>
                </c:pt>
                <c:pt idx="318">
                  <c:v>0.05</c:v>
                </c:pt>
                <c:pt idx="319">
                  <c:v>0.05</c:v>
                </c:pt>
                <c:pt idx="320">
                  <c:v>0.05</c:v>
                </c:pt>
                <c:pt idx="321">
                  <c:v>0.05</c:v>
                </c:pt>
                <c:pt idx="322">
                  <c:v>0.05</c:v>
                </c:pt>
                <c:pt idx="323">
                  <c:v>0.05</c:v>
                </c:pt>
                <c:pt idx="324">
                  <c:v>0.05</c:v>
                </c:pt>
                <c:pt idx="325">
                  <c:v>0.05</c:v>
                </c:pt>
                <c:pt idx="326">
                  <c:v>0.05</c:v>
                </c:pt>
                <c:pt idx="327">
                  <c:v>0.05</c:v>
                </c:pt>
                <c:pt idx="328">
                  <c:v>0.05</c:v>
                </c:pt>
                <c:pt idx="329">
                  <c:v>0.05</c:v>
                </c:pt>
                <c:pt idx="330">
                  <c:v>0.05</c:v>
                </c:pt>
                <c:pt idx="331">
                  <c:v>0.05</c:v>
                </c:pt>
                <c:pt idx="332">
                  <c:v>0.05</c:v>
                </c:pt>
                <c:pt idx="333">
                  <c:v>0.05</c:v>
                </c:pt>
                <c:pt idx="334">
                  <c:v>0.05</c:v>
                </c:pt>
                <c:pt idx="335">
                  <c:v>0.05</c:v>
                </c:pt>
                <c:pt idx="336">
                  <c:v>0.05</c:v>
                </c:pt>
                <c:pt idx="337">
                  <c:v>0.05</c:v>
                </c:pt>
                <c:pt idx="338">
                  <c:v>0.05</c:v>
                </c:pt>
                <c:pt idx="339">
                  <c:v>0.05</c:v>
                </c:pt>
                <c:pt idx="340">
                  <c:v>0.05</c:v>
                </c:pt>
                <c:pt idx="341">
                  <c:v>0.05</c:v>
                </c:pt>
                <c:pt idx="342">
                  <c:v>0.05</c:v>
                </c:pt>
                <c:pt idx="343">
                  <c:v>0.05</c:v>
                </c:pt>
                <c:pt idx="344">
                  <c:v>0.05</c:v>
                </c:pt>
                <c:pt idx="345">
                  <c:v>0.05</c:v>
                </c:pt>
                <c:pt idx="346">
                  <c:v>0.05</c:v>
                </c:pt>
                <c:pt idx="347">
                  <c:v>0.05</c:v>
                </c:pt>
                <c:pt idx="348">
                  <c:v>0.05</c:v>
                </c:pt>
                <c:pt idx="349">
                  <c:v>0.05</c:v>
                </c:pt>
                <c:pt idx="350">
                  <c:v>0.05</c:v>
                </c:pt>
                <c:pt idx="351">
                  <c:v>0.05</c:v>
                </c:pt>
                <c:pt idx="352">
                  <c:v>0.05</c:v>
                </c:pt>
                <c:pt idx="353">
                  <c:v>0.05</c:v>
                </c:pt>
                <c:pt idx="354">
                  <c:v>0.05</c:v>
                </c:pt>
                <c:pt idx="355">
                  <c:v>0.05</c:v>
                </c:pt>
                <c:pt idx="356">
                  <c:v>0.05</c:v>
                </c:pt>
                <c:pt idx="357">
                  <c:v>0.05</c:v>
                </c:pt>
                <c:pt idx="358">
                  <c:v>0.05</c:v>
                </c:pt>
                <c:pt idx="359">
                  <c:v>0.05</c:v>
                </c:pt>
                <c:pt idx="360">
                  <c:v>0.05</c:v>
                </c:pt>
                <c:pt idx="361">
                  <c:v>0.05</c:v>
                </c:pt>
                <c:pt idx="362">
                  <c:v>0.05</c:v>
                </c:pt>
                <c:pt idx="363">
                  <c:v>0.05</c:v>
                </c:pt>
                <c:pt idx="364">
                  <c:v>0.05</c:v>
                </c:pt>
                <c:pt idx="365">
                  <c:v>0.05</c:v>
                </c:pt>
                <c:pt idx="366">
                  <c:v>0.05</c:v>
                </c:pt>
                <c:pt idx="367">
                  <c:v>0.05</c:v>
                </c:pt>
                <c:pt idx="368">
                  <c:v>0.05</c:v>
                </c:pt>
                <c:pt idx="369">
                  <c:v>0.05</c:v>
                </c:pt>
                <c:pt idx="370">
                  <c:v>0.05</c:v>
                </c:pt>
                <c:pt idx="371">
                  <c:v>0.05</c:v>
                </c:pt>
                <c:pt idx="372">
                  <c:v>0.05</c:v>
                </c:pt>
                <c:pt idx="373">
                  <c:v>0.05</c:v>
                </c:pt>
                <c:pt idx="374">
                  <c:v>0.05</c:v>
                </c:pt>
                <c:pt idx="375">
                  <c:v>0.05</c:v>
                </c:pt>
                <c:pt idx="376">
                  <c:v>0.05</c:v>
                </c:pt>
                <c:pt idx="377">
                  <c:v>0.05</c:v>
                </c:pt>
                <c:pt idx="378">
                  <c:v>0.05</c:v>
                </c:pt>
                <c:pt idx="379">
                  <c:v>0.05</c:v>
                </c:pt>
                <c:pt idx="380">
                  <c:v>0.05</c:v>
                </c:pt>
                <c:pt idx="381">
                  <c:v>0.05</c:v>
                </c:pt>
                <c:pt idx="382">
                  <c:v>0.05</c:v>
                </c:pt>
                <c:pt idx="383">
                  <c:v>0.05</c:v>
                </c:pt>
                <c:pt idx="384">
                  <c:v>0.05</c:v>
                </c:pt>
                <c:pt idx="385">
                  <c:v>0.05</c:v>
                </c:pt>
                <c:pt idx="386">
                  <c:v>0.05</c:v>
                </c:pt>
                <c:pt idx="387">
                  <c:v>0.05</c:v>
                </c:pt>
                <c:pt idx="388">
                  <c:v>0.05</c:v>
                </c:pt>
                <c:pt idx="389">
                  <c:v>0.05</c:v>
                </c:pt>
                <c:pt idx="390">
                  <c:v>0.05</c:v>
                </c:pt>
                <c:pt idx="391">
                  <c:v>0.05</c:v>
                </c:pt>
                <c:pt idx="392">
                  <c:v>0.05</c:v>
                </c:pt>
                <c:pt idx="393">
                  <c:v>0.05</c:v>
                </c:pt>
                <c:pt idx="394">
                  <c:v>0.05</c:v>
                </c:pt>
                <c:pt idx="395">
                  <c:v>0.05</c:v>
                </c:pt>
                <c:pt idx="396">
                  <c:v>0.05</c:v>
                </c:pt>
                <c:pt idx="397">
                  <c:v>0.05</c:v>
                </c:pt>
                <c:pt idx="398">
                  <c:v>0.05</c:v>
                </c:pt>
                <c:pt idx="399">
                  <c:v>0.05</c:v>
                </c:pt>
                <c:pt idx="400">
                  <c:v>0.05</c:v>
                </c:pt>
                <c:pt idx="401">
                  <c:v>0.05</c:v>
                </c:pt>
                <c:pt idx="402">
                  <c:v>0.05</c:v>
                </c:pt>
                <c:pt idx="403">
                  <c:v>0.05</c:v>
                </c:pt>
                <c:pt idx="404">
                  <c:v>0.05</c:v>
                </c:pt>
                <c:pt idx="405">
                  <c:v>0.05</c:v>
                </c:pt>
                <c:pt idx="406">
                  <c:v>0.05</c:v>
                </c:pt>
                <c:pt idx="407">
                  <c:v>0.05</c:v>
                </c:pt>
                <c:pt idx="408">
                  <c:v>0.05</c:v>
                </c:pt>
                <c:pt idx="409">
                  <c:v>0.05</c:v>
                </c:pt>
                <c:pt idx="410">
                  <c:v>0.05</c:v>
                </c:pt>
                <c:pt idx="411">
                  <c:v>0.05</c:v>
                </c:pt>
                <c:pt idx="412">
                  <c:v>0.05</c:v>
                </c:pt>
                <c:pt idx="413">
                  <c:v>0.05</c:v>
                </c:pt>
                <c:pt idx="414">
                  <c:v>0.05</c:v>
                </c:pt>
                <c:pt idx="415">
                  <c:v>0.05</c:v>
                </c:pt>
                <c:pt idx="416">
                  <c:v>0.05</c:v>
                </c:pt>
                <c:pt idx="417">
                  <c:v>0.05</c:v>
                </c:pt>
                <c:pt idx="418">
                  <c:v>0.05</c:v>
                </c:pt>
                <c:pt idx="419">
                  <c:v>0.05</c:v>
                </c:pt>
                <c:pt idx="420">
                  <c:v>0.05</c:v>
                </c:pt>
                <c:pt idx="421">
                  <c:v>0.05</c:v>
                </c:pt>
                <c:pt idx="422">
                  <c:v>0.05</c:v>
                </c:pt>
                <c:pt idx="423">
                  <c:v>0.05</c:v>
                </c:pt>
                <c:pt idx="424">
                  <c:v>0.05</c:v>
                </c:pt>
                <c:pt idx="425">
                  <c:v>0.05</c:v>
                </c:pt>
                <c:pt idx="426">
                  <c:v>0.05</c:v>
                </c:pt>
                <c:pt idx="427">
                  <c:v>0.05</c:v>
                </c:pt>
                <c:pt idx="428">
                  <c:v>0.05</c:v>
                </c:pt>
                <c:pt idx="429">
                  <c:v>0.05</c:v>
                </c:pt>
                <c:pt idx="430">
                  <c:v>0.05</c:v>
                </c:pt>
                <c:pt idx="431">
                  <c:v>0.05</c:v>
                </c:pt>
                <c:pt idx="432">
                  <c:v>0.05</c:v>
                </c:pt>
                <c:pt idx="433">
                  <c:v>0.05</c:v>
                </c:pt>
                <c:pt idx="434">
                  <c:v>0.05</c:v>
                </c:pt>
                <c:pt idx="435">
                  <c:v>0.05</c:v>
                </c:pt>
                <c:pt idx="436">
                  <c:v>0.05</c:v>
                </c:pt>
                <c:pt idx="437">
                  <c:v>0.05</c:v>
                </c:pt>
                <c:pt idx="438">
                  <c:v>0.05</c:v>
                </c:pt>
                <c:pt idx="439">
                  <c:v>0.05</c:v>
                </c:pt>
                <c:pt idx="440">
                  <c:v>0.05</c:v>
                </c:pt>
                <c:pt idx="441">
                  <c:v>0.05</c:v>
                </c:pt>
                <c:pt idx="442">
                  <c:v>0.05</c:v>
                </c:pt>
                <c:pt idx="443">
                  <c:v>0.05</c:v>
                </c:pt>
                <c:pt idx="444">
                  <c:v>0.05</c:v>
                </c:pt>
                <c:pt idx="445">
                  <c:v>0.05</c:v>
                </c:pt>
                <c:pt idx="446">
                  <c:v>0.05</c:v>
                </c:pt>
                <c:pt idx="447">
                  <c:v>0.05</c:v>
                </c:pt>
                <c:pt idx="448">
                  <c:v>0.05</c:v>
                </c:pt>
                <c:pt idx="449">
                  <c:v>0.05</c:v>
                </c:pt>
                <c:pt idx="450">
                  <c:v>0.05</c:v>
                </c:pt>
                <c:pt idx="451">
                  <c:v>0.05</c:v>
                </c:pt>
                <c:pt idx="452">
                  <c:v>0.05</c:v>
                </c:pt>
                <c:pt idx="453">
                  <c:v>0.05</c:v>
                </c:pt>
                <c:pt idx="454">
                  <c:v>0.05</c:v>
                </c:pt>
                <c:pt idx="455">
                  <c:v>0.05</c:v>
                </c:pt>
                <c:pt idx="456">
                  <c:v>0.05</c:v>
                </c:pt>
                <c:pt idx="457">
                  <c:v>0.05</c:v>
                </c:pt>
                <c:pt idx="458">
                  <c:v>0.05</c:v>
                </c:pt>
                <c:pt idx="459">
                  <c:v>0.05</c:v>
                </c:pt>
                <c:pt idx="460">
                  <c:v>0.05</c:v>
                </c:pt>
                <c:pt idx="461">
                  <c:v>0.05</c:v>
                </c:pt>
                <c:pt idx="462">
                  <c:v>0.05</c:v>
                </c:pt>
                <c:pt idx="463">
                  <c:v>0.05</c:v>
                </c:pt>
                <c:pt idx="464">
                  <c:v>0.05</c:v>
                </c:pt>
                <c:pt idx="465">
                  <c:v>0.05</c:v>
                </c:pt>
                <c:pt idx="466">
                  <c:v>0.05</c:v>
                </c:pt>
                <c:pt idx="467">
                  <c:v>0.05</c:v>
                </c:pt>
                <c:pt idx="468">
                  <c:v>0.05</c:v>
                </c:pt>
                <c:pt idx="469">
                  <c:v>0.05</c:v>
                </c:pt>
                <c:pt idx="470">
                  <c:v>0.05</c:v>
                </c:pt>
                <c:pt idx="471">
                  <c:v>0.05</c:v>
                </c:pt>
                <c:pt idx="472">
                  <c:v>0.05</c:v>
                </c:pt>
                <c:pt idx="473">
                  <c:v>0.05</c:v>
                </c:pt>
                <c:pt idx="474">
                  <c:v>0.05</c:v>
                </c:pt>
                <c:pt idx="475">
                  <c:v>0.05</c:v>
                </c:pt>
                <c:pt idx="476">
                  <c:v>0.05</c:v>
                </c:pt>
                <c:pt idx="477">
                  <c:v>0.05</c:v>
                </c:pt>
                <c:pt idx="478">
                  <c:v>0.05</c:v>
                </c:pt>
                <c:pt idx="479">
                  <c:v>0.05</c:v>
                </c:pt>
                <c:pt idx="480">
                  <c:v>0.05</c:v>
                </c:pt>
                <c:pt idx="481">
                  <c:v>0.05</c:v>
                </c:pt>
                <c:pt idx="482">
                  <c:v>0.05</c:v>
                </c:pt>
                <c:pt idx="483">
                  <c:v>0.05</c:v>
                </c:pt>
                <c:pt idx="484">
                  <c:v>0.05</c:v>
                </c:pt>
                <c:pt idx="485">
                  <c:v>0.05</c:v>
                </c:pt>
                <c:pt idx="486">
                  <c:v>0.05</c:v>
                </c:pt>
                <c:pt idx="487">
                  <c:v>0.05</c:v>
                </c:pt>
                <c:pt idx="488">
                  <c:v>0.05</c:v>
                </c:pt>
                <c:pt idx="489">
                  <c:v>0.05</c:v>
                </c:pt>
                <c:pt idx="490">
                  <c:v>0.05</c:v>
                </c:pt>
                <c:pt idx="491">
                  <c:v>0.05</c:v>
                </c:pt>
                <c:pt idx="492">
                  <c:v>0.05</c:v>
                </c:pt>
                <c:pt idx="493">
                  <c:v>0.05</c:v>
                </c:pt>
                <c:pt idx="494">
                  <c:v>0.05</c:v>
                </c:pt>
                <c:pt idx="495">
                  <c:v>0.05</c:v>
                </c:pt>
                <c:pt idx="496">
                  <c:v>0.05</c:v>
                </c:pt>
                <c:pt idx="497">
                  <c:v>0.05</c:v>
                </c:pt>
                <c:pt idx="498">
                  <c:v>0.05</c:v>
                </c:pt>
                <c:pt idx="499">
                  <c:v>0.05</c:v>
                </c:pt>
                <c:pt idx="50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A7-4DF5-8F3D-D1A4496332F8}"/>
            </c:ext>
          </c:extLst>
        </c:ser>
        <c:ser>
          <c:idx val="2"/>
          <c:order val="1"/>
          <c:tx>
            <c:strRef>
              <c:f>NSS!$CP$2</c:f>
              <c:strCache>
                <c:ptCount val="1"/>
                <c:pt idx="0">
                  <c:v>Time decay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NSS!$CN$3:$CN$503</c:f>
              <c:numCache>
                <c:formatCode>General</c:formatCode>
                <c:ptCount val="501"/>
                <c:pt idx="0" formatCode="0">
                  <c:v>9.9999999999999995E-7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 formatCode="0.0">
                  <c:v>32</c:v>
                </c:pt>
                <c:pt idx="65" formatCode="0.0">
                  <c:v>32.5</c:v>
                </c:pt>
                <c:pt idx="66" formatCode="0.0">
                  <c:v>33</c:v>
                </c:pt>
                <c:pt idx="67" formatCode="0.0">
                  <c:v>33.5</c:v>
                </c:pt>
                <c:pt idx="68" formatCode="0.0">
                  <c:v>34</c:v>
                </c:pt>
                <c:pt idx="69" formatCode="0.0">
                  <c:v>34.5</c:v>
                </c:pt>
                <c:pt idx="70" formatCode="0.0">
                  <c:v>35</c:v>
                </c:pt>
                <c:pt idx="71" formatCode="0.0">
                  <c:v>35.5</c:v>
                </c:pt>
                <c:pt idx="72" formatCode="0.0">
                  <c:v>36</c:v>
                </c:pt>
                <c:pt idx="73" formatCode="0.0">
                  <c:v>36.5</c:v>
                </c:pt>
                <c:pt idx="74" formatCode="0.0">
                  <c:v>37</c:v>
                </c:pt>
                <c:pt idx="75" formatCode="0.0">
                  <c:v>37.5</c:v>
                </c:pt>
                <c:pt idx="76" formatCode="0.0">
                  <c:v>38</c:v>
                </c:pt>
                <c:pt idx="77" formatCode="0.0">
                  <c:v>38.5</c:v>
                </c:pt>
                <c:pt idx="78" formatCode="0.0">
                  <c:v>39</c:v>
                </c:pt>
                <c:pt idx="79" formatCode="0.0">
                  <c:v>39.5</c:v>
                </c:pt>
                <c:pt idx="80" formatCode="0.0">
                  <c:v>40</c:v>
                </c:pt>
                <c:pt idx="81" formatCode="0.0">
                  <c:v>40.5</c:v>
                </c:pt>
                <c:pt idx="82" formatCode="0.0">
                  <c:v>41</c:v>
                </c:pt>
                <c:pt idx="83" formatCode="0.0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</c:numCache>
            </c:numRef>
          </c:cat>
          <c:val>
            <c:numRef>
              <c:f>NSS!$CP$3:$CP$503</c:f>
              <c:numCache>
                <c:formatCode>0.00%</c:formatCode>
                <c:ptCount val="501"/>
                <c:pt idx="0">
                  <c:v>-4.0658777038499981E-2</c:v>
                </c:pt>
                <c:pt idx="1">
                  <c:v>-3.8388015353827361E-2</c:v>
                </c:pt>
                <c:pt idx="2">
                  <c:v>-3.6284745407530107E-2</c:v>
                </c:pt>
                <c:pt idx="3">
                  <c:v>-3.4335125653920121E-2</c:v>
                </c:pt>
                <c:pt idx="4">
                  <c:v>-3.2526528408437089E-2</c:v>
                </c:pt>
                <c:pt idx="5">
                  <c:v>-3.0847432974904811E-2</c:v>
                </c:pt>
                <c:pt idx="6">
                  <c:v>-2.9287324559494326E-2</c:v>
                </c:pt>
                <c:pt idx="7">
                  <c:v>-2.7836602679222874E-2</c:v>
                </c:pt>
                <c:pt idx="8">
                  <c:v>-2.648649815463279E-2</c:v>
                </c:pt>
                <c:pt idx="9">
                  <c:v>-2.5228997864966924E-2</c:v>
                </c:pt>
                <c:pt idx="10">
                  <c:v>-2.4056776524084406E-2</c:v>
                </c:pt>
                <c:pt idx="11">
                  <c:v>-2.2963134807414128E-2</c:v>
                </c:pt>
                <c:pt idx="12">
                  <c:v>-2.1941943225206404E-2</c:v>
                </c:pt>
                <c:pt idx="13">
                  <c:v>-2.0987591195921616E-2</c:v>
                </c:pt>
                <c:pt idx="14">
                  <c:v>-2.0094940826421423E-2</c:v>
                </c:pt>
                <c:pt idx="15">
                  <c:v>-1.9259284953275595E-2</c:v>
                </c:pt>
                <c:pt idx="16">
                  <c:v>-1.8476309042477396E-2</c:v>
                </c:pt>
                <c:pt idx="17">
                  <c:v>-1.7742056583637006E-2</c:v>
                </c:pt>
                <c:pt idx="18">
                  <c:v>-1.7052897649709603E-2</c:v>
                </c:pt>
                <c:pt idx="19">
                  <c:v>-1.6405500324888911E-2</c:v>
                </c:pt>
                <c:pt idx="20">
                  <c:v>-1.5796804731793478E-2</c:v>
                </c:pt>
                <c:pt idx="21">
                  <c:v>-1.5223999414796761E-2</c:v>
                </c:pt>
                <c:pt idx="22">
                  <c:v>-1.4684499859575324E-2</c:v>
                </c:pt>
                <c:pt idx="23">
                  <c:v>-1.4175928949918915E-2</c:v>
                </c:pt>
                <c:pt idx="24">
                  <c:v>-1.3696099181782998E-2</c:v>
                </c:pt>
                <c:pt idx="25">
                  <c:v>-1.3242996471668336E-2</c:v>
                </c:pt>
                <c:pt idx="26">
                  <c:v>-1.28147654118632E-2</c:v>
                </c:pt>
                <c:pt idx="27">
                  <c:v>-1.2409695839043401E-2</c:v>
                </c:pt>
                <c:pt idx="28">
                  <c:v>-1.202621059533994E-2</c:v>
                </c:pt>
                <c:pt idx="29">
                  <c:v>-1.1662854372384715E-2</c:v>
                </c:pt>
                <c:pt idx="30">
                  <c:v>-1.1318283539150225E-2</c:v>
                </c:pt>
                <c:pt idx="31">
                  <c:v>-1.0991256863715979E-2</c:v>
                </c:pt>
                <c:pt idx="32">
                  <c:v>-1.0680627047519112E-2</c:v>
                </c:pt>
                <c:pt idx="33">
                  <c:v>-1.0385332998265644E-2</c:v>
                </c:pt>
                <c:pt idx="34">
                  <c:v>-1.0104392774570741E-2</c:v>
                </c:pt>
                <c:pt idx="35">
                  <c:v>-9.8368971416313306E-3</c:v>
                </c:pt>
                <c:pt idx="36">
                  <c:v>-9.582003682876308E-3</c:v>
                </c:pt>
                <c:pt idx="37">
                  <c:v>-9.3389314176456802E-3</c:v>
                </c:pt>
                <c:pt idx="38">
                  <c:v>-9.1069558795719707E-3</c:v>
                </c:pt>
                <c:pt idx="39">
                  <c:v>-8.885404614521945E-3</c:v>
                </c:pt>
                <c:pt idx="40">
                  <c:v>-8.6736530607460054E-3</c:v>
                </c:pt>
                <c:pt idx="41">
                  <c:v>-8.4711207773148153E-3</c:v>
                </c:pt>
                <c:pt idx="42">
                  <c:v>-8.2772679900318738E-3</c:v>
                </c:pt>
                <c:pt idx="43">
                  <c:v>-8.0915924268278976E-3</c:v>
                </c:pt>
                <c:pt idx="44">
                  <c:v>-7.9136264171960052E-3</c:v>
                </c:pt>
                <c:pt idx="45">
                  <c:v>-7.7429342325409959E-3</c:v>
                </c:pt>
                <c:pt idx="46">
                  <c:v>-7.5791096464142456E-3</c:v>
                </c:pt>
                <c:pt idx="47">
                  <c:v>-7.4217736955084984E-3</c:v>
                </c:pt>
                <c:pt idx="48">
                  <c:v>-7.2705726240127689E-3</c:v>
                </c:pt>
                <c:pt idx="49">
                  <c:v>-7.1251759954933267E-3</c:v>
                </c:pt>
                <c:pt idx="50">
                  <c:v>-6.98527495788763E-3</c:v>
                </c:pt>
                <c:pt idx="51">
                  <c:v>-6.8505806484877082E-3</c:v>
                </c:pt>
                <c:pt idx="52">
                  <c:v>-6.7208227269603682E-3</c:v>
                </c:pt>
                <c:pt idx="53">
                  <c:v>-6.5957480255147156E-3</c:v>
                </c:pt>
                <c:pt idx="54">
                  <c:v>-6.4751193062932352E-3</c:v>
                </c:pt>
                <c:pt idx="55">
                  <c:v>-6.3587141169399999E-3</c:v>
                </c:pt>
                <c:pt idx="56">
                  <c:v>-6.2463237360967979E-3</c:v>
                </c:pt>
                <c:pt idx="57">
                  <c:v>-6.1377522013027208E-3</c:v>
                </c:pt>
                <c:pt idx="58">
                  <c:v>-6.032815412431539E-3</c:v>
                </c:pt>
                <c:pt idx="59">
                  <c:v>-5.9313403044004651E-3</c:v>
                </c:pt>
                <c:pt idx="60">
                  <c:v>-5.8331640834288949E-3</c:v>
                </c:pt>
                <c:pt idx="61">
                  <c:v>-5.738133521621714E-3</c:v>
                </c:pt>
                <c:pt idx="62">
                  <c:v>-5.6461043051030876E-3</c:v>
                </c:pt>
                <c:pt idx="63">
                  <c:v>-5.5569404313376572E-3</c:v>
                </c:pt>
                <c:pt idx="64">
                  <c:v>-5.4705136516501858E-3</c:v>
                </c:pt>
                <c:pt idx="65">
                  <c:v>-5.3867029552956526E-3</c:v>
                </c:pt>
                <c:pt idx="66">
                  <c:v>-5.3053940917423071E-3</c:v>
                </c:pt>
                <c:pt idx="67">
                  <c:v>-5.226479128113309E-3</c:v>
                </c:pt>
                <c:pt idx="68">
                  <c:v>-5.149856038990608E-3</c:v>
                </c:pt>
                <c:pt idx="69">
                  <c:v>-5.0754283260200945E-3</c:v>
                </c:pt>
                <c:pt idx="70">
                  <c:v>-5.0031046649717031E-3</c:v>
                </c:pt>
                <c:pt idx="71">
                  <c:v>-4.9327985781040763E-3</c:v>
                </c:pt>
                <c:pt idx="72">
                  <c:v>-4.8644281298621684E-3</c:v>
                </c:pt>
                <c:pt idx="73">
                  <c:v>-4.7979156440994836E-3</c:v>
                </c:pt>
                <c:pt idx="74">
                  <c:v>-4.733187441165701E-3</c:v>
                </c:pt>
                <c:pt idx="75">
                  <c:v>-4.6701735933367076E-3</c:v>
                </c:pt>
                <c:pt idx="76">
                  <c:v>-4.608807697188559E-3</c:v>
                </c:pt>
                <c:pt idx="77">
                  <c:v>-4.5490266616307262E-3</c:v>
                </c:pt>
                <c:pt idx="78">
                  <c:v>-4.4907705104180583E-3</c:v>
                </c:pt>
                <c:pt idx="79">
                  <c:v>-4.4339821980561534E-3</c:v>
                </c:pt>
                <c:pt idx="80">
                  <c:v>-4.3786074381019658E-3</c:v>
                </c:pt>
                <c:pt idx="81">
                  <c:v>-4.3245945429412408E-3</c:v>
                </c:pt>
                <c:pt idx="82">
                  <c:v>-4.2718942741974747E-3</c:v>
                </c:pt>
                <c:pt idx="83">
                  <c:v>-4.2204597029939662E-3</c:v>
                </c:pt>
                <c:pt idx="84">
                  <c:v>-4.1702460793519103E-3</c:v>
                </c:pt>
                <c:pt idx="85">
                  <c:v>-4.1212107100636703E-3</c:v>
                </c:pt>
                <c:pt idx="86">
                  <c:v>-4.073312844431954E-3</c:v>
                </c:pt>
                <c:pt idx="87">
                  <c:v>-4.0265135673129091E-3</c:v>
                </c:pt>
                <c:pt idx="88">
                  <c:v>-3.98077569894454E-3</c:v>
                </c:pt>
                <c:pt idx="89">
                  <c:v>-3.9360637010817578E-3</c:v>
                </c:pt>
                <c:pt idx="90">
                  <c:v>-3.8923435889958889E-3</c:v>
                </c:pt>
                <c:pt idx="91">
                  <c:v>-3.8495828489301894E-3</c:v>
                </c:pt>
                <c:pt idx="92">
                  <c:v>-3.8077503606337203E-3</c:v>
                </c:pt>
                <c:pt idx="93">
                  <c:v>-3.7668163246244242E-3</c:v>
                </c:pt>
                <c:pt idx="94">
                  <c:v>-3.7267521938583524E-3</c:v>
                </c:pt>
                <c:pt idx="95">
                  <c:v>-3.6875306095060156E-3</c:v>
                </c:pt>
                <c:pt idx="96">
                  <c:v>-3.6491253405590142E-3</c:v>
                </c:pt>
                <c:pt idx="97">
                  <c:v>-3.6115112270104369E-3</c:v>
                </c:pt>
                <c:pt idx="98">
                  <c:v>-3.5746641263713387E-3</c:v>
                </c:pt>
                <c:pt idx="99">
                  <c:v>-3.5385608633028728E-3</c:v>
                </c:pt>
                <c:pt idx="100">
                  <c:v>-3.5031791821596337E-3</c:v>
                </c:pt>
                <c:pt idx="101">
                  <c:v>-3.4684977022544743E-3</c:v>
                </c:pt>
                <c:pt idx="102">
                  <c:v>-3.4344958756686236E-3</c:v>
                </c:pt>
                <c:pt idx="103">
                  <c:v>-3.4011539474434883E-3</c:v>
                </c:pt>
                <c:pt idx="104">
                  <c:v>-3.3684529180020677E-3</c:v>
                </c:pt>
                <c:pt idx="105">
                  <c:v>-3.3363745076586179E-3</c:v>
                </c:pt>
                <c:pt idx="106">
                  <c:v>-3.3049011230850806E-3</c:v>
                </c:pt>
                <c:pt idx="107">
                  <c:v>-3.2740158256119182E-3</c:v>
                </c:pt>
                <c:pt idx="108">
                  <c:v>-3.2437023012494488E-3</c:v>
                </c:pt>
                <c:pt idx="109">
                  <c:v>-3.2139448323235992E-3</c:v>
                </c:pt>
                <c:pt idx="110">
                  <c:v>-3.1847282706272228E-3</c:v>
                </c:pt>
                <c:pt idx="111">
                  <c:v>-3.156038011994836E-3</c:v>
                </c:pt>
                <c:pt idx="112">
                  <c:v>-3.1278599722148357E-3</c:v>
                </c:pt>
                <c:pt idx="113">
                  <c:v>-3.1001805641990101E-3</c:v>
                </c:pt>
                <c:pt idx="114">
                  <c:v>-3.0729866763345107E-3</c:v>
                </c:pt>
                <c:pt idx="115">
                  <c:v>-3.0462656519483766E-3</c:v>
                </c:pt>
                <c:pt idx="116">
                  <c:v>-3.0200052698193111E-3</c:v>
                </c:pt>
                <c:pt idx="117">
                  <c:v>-2.9941937256756927E-3</c:v>
                </c:pt>
                <c:pt idx="118">
                  <c:v>-2.9688196146227218E-3</c:v>
                </c:pt>
                <c:pt idx="119">
                  <c:v>-2.9438719144453305E-3</c:v>
                </c:pt>
                <c:pt idx="120">
                  <c:v>-2.9193399697368793E-3</c:v>
                </c:pt>
                <c:pt idx="121">
                  <c:v>-2.8952134768068516E-3</c:v>
                </c:pt>
                <c:pt idx="122">
                  <c:v>-2.8714824693237173E-3</c:v>
                </c:pt>
                <c:pt idx="123">
                  <c:v>-2.8481373046519089E-3</c:v>
                </c:pt>
                <c:pt idx="124">
                  <c:v>-2.8251686508443826E-3</c:v>
                </c:pt>
                <c:pt idx="125">
                  <c:v>-2.8025674742546769E-3</c:v>
                </c:pt>
                <c:pt idx="126">
                  <c:v>-2.7803250277345583E-3</c:v>
                </c:pt>
                <c:pt idx="127">
                  <c:v>-2.7584328393854625E-3</c:v>
                </c:pt>
                <c:pt idx="128">
                  <c:v>-2.7368827018338492E-3</c:v>
                </c:pt>
                <c:pt idx="129">
                  <c:v>-2.7156666620024115E-3</c:v>
                </c:pt>
                <c:pt idx="130">
                  <c:v>-2.6947770113507638E-3</c:v>
                </c:pt>
                <c:pt idx="131">
                  <c:v>-2.6742062765607953E-3</c:v>
                </c:pt>
                <c:pt idx="132">
                  <c:v>-2.6539472106433776E-3</c:v>
                </c:pt>
                <c:pt idx="133">
                  <c:v>-2.633992784444459E-3</c:v>
                </c:pt>
                <c:pt idx="134">
                  <c:v>-2.6143361785298871E-3</c:v>
                </c:pt>
                <c:pt idx="135">
                  <c:v>-2.5949707754294887E-3</c:v>
                </c:pt>
                <c:pt idx="136">
                  <c:v>-2.5758901522220747E-3</c:v>
                </c:pt>
                <c:pt idx="137">
                  <c:v>-2.5570880734440879E-3</c:v>
                </c:pt>
                <c:pt idx="138">
                  <c:v>-2.5385584843055902E-3</c:v>
                </c:pt>
                <c:pt idx="139">
                  <c:v>-2.5202955041982236E-3</c:v>
                </c:pt>
                <c:pt idx="140">
                  <c:v>-2.5022934204806399E-3</c:v>
                </c:pt>
                <c:pt idx="141">
                  <c:v>-2.484546682527703E-3</c:v>
                </c:pt>
                <c:pt idx="142">
                  <c:v>-2.4670498960305386E-3</c:v>
                </c:pt>
                <c:pt idx="143">
                  <c:v>-2.4497978175352163E-3</c:v>
                </c:pt>
                <c:pt idx="144">
                  <c:v>-2.4327853492085187E-3</c:v>
                </c:pt>
                <c:pt idx="145">
                  <c:v>-2.4160075338198871E-3</c:v>
                </c:pt>
                <c:pt idx="146">
                  <c:v>-2.3994595499292246E-3</c:v>
                </c:pt>
                <c:pt idx="147">
                  <c:v>-2.3831367072707941E-3</c:v>
                </c:pt>
                <c:pt idx="148">
                  <c:v>-2.3670344423239692E-3</c:v>
                </c:pt>
                <c:pt idx="149">
                  <c:v>-2.3511483140620892E-3</c:v>
                </c:pt>
                <c:pt idx="150">
                  <c:v>-2.3354739998711436E-3</c:v>
                </c:pt>
                <c:pt idx="151">
                  <c:v>-2.3200072916304236E-3</c:v>
                </c:pt>
                <c:pt idx="152">
                  <c:v>-2.304744091947716E-3</c:v>
                </c:pt>
                <c:pt idx="153">
                  <c:v>-2.2896804105419768E-3</c:v>
                </c:pt>
                <c:pt idx="154">
                  <c:v>-2.2748123607668064E-3</c:v>
                </c:pt>
                <c:pt idx="155">
                  <c:v>-2.2601361562683817E-3</c:v>
                </c:pt>
                <c:pt idx="156">
                  <c:v>-2.245648107771813E-3</c:v>
                </c:pt>
                <c:pt idx="157">
                  <c:v>-2.2313446199902329E-3</c:v>
                </c:pt>
                <c:pt idx="158">
                  <c:v>-2.2172221886511676E-3</c:v>
                </c:pt>
                <c:pt idx="159">
                  <c:v>-2.2032773976350529E-3</c:v>
                </c:pt>
                <c:pt idx="160">
                  <c:v>-2.189506916220987E-3</c:v>
                </c:pt>
                <c:pt idx="161">
                  <c:v>-2.1759074964350701E-3</c:v>
                </c:pt>
                <c:pt idx="162">
                  <c:v>-2.1624759704969017E-3</c:v>
                </c:pt>
                <c:pt idx="163">
                  <c:v>-2.149209248360024E-3</c:v>
                </c:pt>
                <c:pt idx="164">
                  <c:v>-2.1361043153423141E-3</c:v>
                </c:pt>
                <c:pt idx="165">
                  <c:v>-2.1231582298425044E-3</c:v>
                </c:pt>
                <c:pt idx="166">
                  <c:v>-2.1103681211392064E-3</c:v>
                </c:pt>
                <c:pt idx="167">
                  <c:v>-2.0977311872689853E-3</c:v>
                </c:pt>
                <c:pt idx="168">
                  <c:v>-2.0852446929801958E-3</c:v>
                </c:pt>
                <c:pt idx="169">
                  <c:v>-2.0729059677594332E-3</c:v>
                </c:pt>
                <c:pt idx="170">
                  <c:v>-2.0607124039276267E-3</c:v>
                </c:pt>
                <c:pt idx="171">
                  <c:v>-2.0486614548029186E-3</c:v>
                </c:pt>
                <c:pt idx="172">
                  <c:v>-2.03675063292761E-3</c:v>
                </c:pt>
                <c:pt idx="173">
                  <c:v>-2.0249775083565902E-3</c:v>
                </c:pt>
                <c:pt idx="174">
                  <c:v>-2.013339707004771E-3</c:v>
                </c:pt>
                <c:pt idx="175">
                  <c:v>-2.0018349090511751E-3</c:v>
                </c:pt>
                <c:pt idx="176">
                  <c:v>-1.990460847397413E-3</c:v>
                </c:pt>
                <c:pt idx="177">
                  <c:v>-1.9792153061784145E-3</c:v>
                </c:pt>
                <c:pt idx="178">
                  <c:v>-1.968096119323348E-3</c:v>
                </c:pt>
                <c:pt idx="179">
                  <c:v>-1.9571011691647731E-3</c:v>
                </c:pt>
                <c:pt idx="180">
                  <c:v>-1.946228385094149E-3</c:v>
                </c:pt>
                <c:pt idx="181">
                  <c:v>-1.9354757422619055E-3</c:v>
                </c:pt>
                <c:pt idx="182">
                  <c:v>-1.9248412603203632E-3</c:v>
                </c:pt>
                <c:pt idx="183">
                  <c:v>-1.9143230022078711E-3</c:v>
                </c:pt>
                <c:pt idx="184">
                  <c:v>-1.90391907297258E-3</c:v>
                </c:pt>
                <c:pt idx="185">
                  <c:v>-1.8936276186343685E-3</c:v>
                </c:pt>
                <c:pt idx="186">
                  <c:v>-1.8834468250834716E-3</c:v>
                </c:pt>
                <c:pt idx="187">
                  <c:v>-1.8733749170144521E-3</c:v>
                </c:pt>
                <c:pt idx="188">
                  <c:v>-1.8634101568941845E-3</c:v>
                </c:pt>
                <c:pt idx="189">
                  <c:v>-1.8535508439626058E-3</c:v>
                </c:pt>
                <c:pt idx="190">
                  <c:v>-1.8437953132650145E-3</c:v>
                </c:pt>
                <c:pt idx="191">
                  <c:v>-1.8341419347147731E-3</c:v>
                </c:pt>
                <c:pt idx="192">
                  <c:v>-1.8245891121852929E-3</c:v>
                </c:pt>
                <c:pt idx="193">
                  <c:v>-1.8151352826302517E-3</c:v>
                </c:pt>
                <c:pt idx="194">
                  <c:v>-1.805778915231018E-3</c:v>
                </c:pt>
                <c:pt idx="195">
                  <c:v>-1.7965185105703063E-3</c:v>
                </c:pt>
                <c:pt idx="196">
                  <c:v>-1.7873525998311306E-3</c:v>
                </c:pt>
                <c:pt idx="197">
                  <c:v>-1.7782797440201504E-3</c:v>
                </c:pt>
                <c:pt idx="198">
                  <c:v>-1.7692985332145577E-3</c:v>
                </c:pt>
                <c:pt idx="199">
                  <c:v>-1.7604075858316615E-3</c:v>
                </c:pt>
                <c:pt idx="200">
                  <c:v>-1.7516055479203931E-3</c:v>
                </c:pt>
                <c:pt idx="201">
                  <c:v>-1.7428910924739524E-3</c:v>
                </c:pt>
                <c:pt idx="202">
                  <c:v>-1.7342629187628768E-3</c:v>
                </c:pt>
                <c:pt idx="203">
                  <c:v>-1.725719751687818E-3</c:v>
                </c:pt>
                <c:pt idx="204">
                  <c:v>-1.7172603411513537E-3</c:v>
                </c:pt>
                <c:pt idx="205">
                  <c:v>-1.7088834614481894E-3</c:v>
                </c:pt>
                <c:pt idx="206">
                  <c:v>-1.7005879106731167E-3</c:v>
                </c:pt>
                <c:pt idx="207">
                  <c:v>-1.6923725101461343E-3</c:v>
                </c:pt>
                <c:pt idx="208">
                  <c:v>-1.684236103854152E-3</c:v>
                </c:pt>
                <c:pt idx="209">
                  <c:v>-1.6761775579087201E-3</c:v>
                </c:pt>
                <c:pt idx="210">
                  <c:v>-1.6681957600192545E-3</c:v>
                </c:pt>
                <c:pt idx="211">
                  <c:v>-1.6602896189812392E-3</c:v>
                </c:pt>
                <c:pt idx="212">
                  <c:v>-1.6524580641789164E-3</c:v>
                </c:pt>
                <c:pt idx="213">
                  <c:v>-1.6447000451019795E-3</c:v>
                </c:pt>
                <c:pt idx="214">
                  <c:v>-1.6370145308758236E-3</c:v>
                </c:pt>
                <c:pt idx="215">
                  <c:v>-1.6294005098049006E-3</c:v>
                </c:pt>
                <c:pt idx="216">
                  <c:v>-1.6218569889287608E-3</c:v>
                </c:pt>
                <c:pt idx="217">
                  <c:v>-1.6143829935903677E-3</c:v>
                </c:pt>
                <c:pt idx="218">
                  <c:v>-1.6069775670162969E-3</c:v>
                </c:pt>
                <c:pt idx="219">
                  <c:v>-1.599639769908434E-3</c:v>
                </c:pt>
                <c:pt idx="220">
                  <c:v>-1.5923686800468104E-3</c:v>
                </c:pt>
                <c:pt idx="221">
                  <c:v>-1.5851633919032172E-3</c:v>
                </c:pt>
                <c:pt idx="222">
                  <c:v>-1.5780230162652676E-3</c:v>
                </c:pt>
                <c:pt idx="223">
                  <c:v>-1.570946679870571E-3</c:v>
                </c:pt>
                <c:pt idx="224">
                  <c:v>-1.5639335250507058E-3</c:v>
                </c:pt>
                <c:pt idx="225">
                  <c:v>-1.5569827093846874E-3</c:v>
                </c:pt>
                <c:pt idx="226">
                  <c:v>-1.550093405361636E-3</c:v>
                </c:pt>
                <c:pt idx="227">
                  <c:v>-1.5432648000523591E-3</c:v>
                </c:pt>
                <c:pt idx="228">
                  <c:v>-1.5364960947895805E-3</c:v>
                </c:pt>
                <c:pt idx="229">
                  <c:v>-1.5297865048565409E-3</c:v>
                </c:pt>
                <c:pt idx="230">
                  <c:v>-1.5231352591837299E-3</c:v>
                </c:pt>
                <c:pt idx="231">
                  <c:v>-1.5165416000534886E-3</c:v>
                </c:pt>
                <c:pt idx="232">
                  <c:v>-1.5100047828122546E-3</c:v>
                </c:pt>
                <c:pt idx="233">
                  <c:v>-1.5035240755902177E-3</c:v>
                </c:pt>
                <c:pt idx="234">
                  <c:v>-1.4970987590281622E-3</c:v>
                </c:pt>
                <c:pt idx="235">
                  <c:v>-1.4907281260112832E-3</c:v>
                </c:pt>
                <c:pt idx="236">
                  <c:v>-1.4844114814097727E-3</c:v>
                </c:pt>
                <c:pt idx="237">
                  <c:v>-1.4781481418259714E-3</c:v>
                </c:pt>
                <c:pt idx="238">
                  <c:v>-1.4719374353478936E-3</c:v>
                </c:pt>
                <c:pt idx="239">
                  <c:v>-1.4657787013089428E-3</c:v>
                </c:pt>
                <c:pt idx="240">
                  <c:v>-1.4596712900536326E-3</c:v>
                </c:pt>
                <c:pt idx="241">
                  <c:v>-1.4536145627091393E-3</c:v>
                </c:pt>
                <c:pt idx="242">
                  <c:v>-1.44760789096252E-3</c:v>
                </c:pt>
                <c:pt idx="243">
                  <c:v>-1.441650656843433E-3</c:v>
                </c:pt>
                <c:pt idx="244">
                  <c:v>-1.4357422525121961E-3</c:v>
                </c:pt>
                <c:pt idx="245">
                  <c:v>-1.4298820800530416E-3</c:v>
                </c:pt>
                <c:pt idx="246">
                  <c:v>-1.424069551272408E-3</c:v>
                </c:pt>
                <c:pt idx="247">
                  <c:v>-1.4183040875021362E-3</c:v>
                </c:pt>
                <c:pt idx="248">
                  <c:v>-1.4125851194074245E-3</c:v>
                </c:pt>
                <c:pt idx="249">
                  <c:v>-1.4069120867994112E-3</c:v>
                </c:pt>
                <c:pt idx="250">
                  <c:v>-1.4012844384522567E-3</c:v>
                </c:pt>
                <c:pt idx="251">
                  <c:v>-1.3957016319245967E-3</c:v>
                </c:pt>
                <c:pt idx="252">
                  <c:v>-1.3901631333852473E-3</c:v>
                </c:pt>
                <c:pt idx="253">
                  <c:v>-1.3846684174430434E-3</c:v>
                </c:pt>
                <c:pt idx="254">
                  <c:v>-1.379216966980696E-3</c:v>
                </c:pt>
                <c:pt idx="255">
                  <c:v>-1.37380827299256E-3</c:v>
                </c:pt>
                <c:pt idx="256">
                  <c:v>-1.3684418344262039E-3</c:v>
                </c:pt>
                <c:pt idx="257">
                  <c:v>-1.3631171580276769E-3</c:v>
                </c:pt>
                <c:pt idx="258">
                  <c:v>-1.3578337581903769E-3</c:v>
                </c:pt>
                <c:pt idx="259">
                  <c:v>-1.3525911568074171E-3</c:v>
                </c:pt>
                <c:pt idx="260">
                  <c:v>-1.3473888831274016E-3</c:v>
                </c:pt>
                <c:pt idx="261">
                  <c:v>-1.3422264736135151E-3</c:v>
                </c:pt>
                <c:pt idx="262">
                  <c:v>-1.3371034718058403E-3</c:v>
                </c:pt>
                <c:pt idx="263">
                  <c:v>-1.3320194281868155E-3</c:v>
                </c:pt>
                <c:pt idx="264">
                  <c:v>-1.3269739000497523E-3</c:v>
                </c:pt>
                <c:pt idx="265">
                  <c:v>-1.3219664513703263E-3</c:v>
                </c:pt>
                <c:pt idx="266">
                  <c:v>-1.3169966526809706E-3</c:v>
                </c:pt>
                <c:pt idx="267">
                  <c:v>-1.3120640809480889E-3</c:v>
                </c:pt>
                <c:pt idx="268">
                  <c:v>-1.3071683194520187E-3</c:v>
                </c:pt>
                <c:pt idx="269">
                  <c:v>-1.3023089576696737E-3</c:v>
                </c:pt>
                <c:pt idx="270">
                  <c:v>-1.2974855911597901E-3</c:v>
                </c:pt>
                <c:pt idx="271">
                  <c:v>-1.2926978214507169E-3</c:v>
                </c:pt>
                <c:pt idx="272">
                  <c:v>-1.2879452559306807E-3</c:v>
                </c:pt>
                <c:pt idx="273">
                  <c:v>-1.2832275077404613E-3</c:v>
                </c:pt>
                <c:pt idx="274">
                  <c:v>-1.278544195668418E-3</c:v>
                </c:pt>
                <c:pt idx="275">
                  <c:v>-1.2738949440478076E-3</c:v>
                </c:pt>
                <c:pt idx="276">
                  <c:v>-1.2692793826563321E-3</c:v>
                </c:pt>
                <c:pt idx="277">
                  <c:v>-1.2646971466178632E-3</c:v>
                </c:pt>
                <c:pt idx="278">
                  <c:v>-1.2601478763062898E-3</c:v>
                </c:pt>
                <c:pt idx="279">
                  <c:v>-1.2556312172514296E-3</c:v>
                </c:pt>
                <c:pt idx="280">
                  <c:v>-1.2511468200469616E-3</c:v>
                </c:pt>
                <c:pt idx="281">
                  <c:v>-1.2466943402603186E-3</c:v>
                </c:pt>
                <c:pt idx="282">
                  <c:v>-1.2422734383445027E-3</c:v>
                </c:pt>
                <c:pt idx="283">
                  <c:v>-1.2378837795517668E-3</c:v>
                </c:pt>
                <c:pt idx="284">
                  <c:v>-1.2335250338491204E-3</c:v>
                </c:pt>
                <c:pt idx="285">
                  <c:v>-1.2291968758356155E-3</c:v>
                </c:pt>
                <c:pt idx="286">
                  <c:v>-1.2248989846613656E-3</c:v>
                </c:pt>
                <c:pt idx="287">
                  <c:v>-1.2206310439482604E-3</c:v>
                </c:pt>
                <c:pt idx="288">
                  <c:v>-1.2163927417123293E-3</c:v>
                </c:pt>
                <c:pt idx="289">
                  <c:v>-1.2121837702877196E-3</c:v>
                </c:pt>
                <c:pt idx="290">
                  <c:v>-1.208003826252245E-3</c:v>
                </c:pt>
                <c:pt idx="291">
                  <c:v>-1.2038526103544714E-3</c:v>
                </c:pt>
                <c:pt idx="292">
                  <c:v>-1.1997298274422988E-3</c:v>
                </c:pt>
                <c:pt idx="293">
                  <c:v>-1.195635186393008E-3</c:v>
                </c:pt>
                <c:pt idx="294">
                  <c:v>-1.1915684000447326E-3</c:v>
                </c:pt>
                <c:pt idx="295">
                  <c:v>-1.1875291851293269E-3</c:v>
                </c:pt>
                <c:pt idx="296">
                  <c:v>-1.1835172622065928E-3</c:v>
                </c:pt>
                <c:pt idx="297">
                  <c:v>-1.1795323555998367E-3</c:v>
                </c:pt>
                <c:pt idx="298">
                  <c:v>-1.1755741933327233E-3</c:v>
                </c:pt>
                <c:pt idx="299">
                  <c:v>-1.1716425070673966E-3</c:v>
                </c:pt>
                <c:pt idx="300">
                  <c:v>-1.1677370320438388E-3</c:v>
                </c:pt>
                <c:pt idx="301">
                  <c:v>-1.1638575070204375E-3</c:v>
                </c:pt>
                <c:pt idx="302">
                  <c:v>-1.1600036742157342E-3</c:v>
                </c:pt>
                <c:pt idx="303">
                  <c:v>-1.1561752792513258E-3</c:v>
                </c:pt>
                <c:pt idx="304">
                  <c:v>-1.1523720710958937E-3</c:v>
                </c:pt>
                <c:pt idx="305">
                  <c:v>-1.1485938020103336E-3</c:v>
                </c:pt>
                <c:pt idx="306">
                  <c:v>-1.1448402274939601E-3</c:v>
                </c:pt>
                <c:pt idx="307">
                  <c:v>-1.1411111062317647E-3</c:v>
                </c:pt>
                <c:pt idx="308">
                  <c:v>-1.1374062000427006E-3</c:v>
                </c:pt>
                <c:pt idx="309">
                  <c:v>-1.1337252738289703E-3</c:v>
                </c:pt>
                <c:pt idx="310">
                  <c:v>-1.1300680955262962E-3</c:v>
                </c:pt>
                <c:pt idx="311">
                  <c:v>-1.1264344360551507E-3</c:v>
                </c:pt>
                <c:pt idx="312">
                  <c:v>-1.1228240692729226E-3</c:v>
                </c:pt>
                <c:pt idx="313">
                  <c:v>-1.1192367719270026E-3</c:v>
                </c:pt>
                <c:pt idx="314">
                  <c:v>-1.1156723236087638E-3</c:v>
                </c:pt>
                <c:pt idx="315">
                  <c:v>-1.1121305067084185E-3</c:v>
                </c:pt>
                <c:pt idx="316">
                  <c:v>-1.1086111063707336E-3</c:v>
                </c:pt>
                <c:pt idx="317">
                  <c:v>-1.1051139104515831E-3</c:v>
                </c:pt>
                <c:pt idx="318">
                  <c:v>-1.1016387094753203E-3</c:v>
                </c:pt>
                <c:pt idx="319">
                  <c:v>-1.0981852965929525E-3</c:v>
                </c:pt>
                <c:pt idx="320">
                  <c:v>-1.0947534675410995E-3</c:v>
                </c:pt>
                <c:pt idx="321">
                  <c:v>-1.0913430206017192E-3</c:v>
                </c:pt>
                <c:pt idx="322">
                  <c:v>-1.0879537565625834E-3</c:v>
                </c:pt>
                <c:pt idx="323">
                  <c:v>-1.0845854786784889E-3</c:v>
                </c:pt>
                <c:pt idx="324">
                  <c:v>-1.0812379926331852E-3</c:v>
                </c:pt>
                <c:pt idx="325">
                  <c:v>-1.077911106502006E-3</c:v>
                </c:pt>
                <c:pt idx="326">
                  <c:v>-1.07460463071519E-3</c:v>
                </c:pt>
                <c:pt idx="327">
                  <c:v>-1.0713183780218713E-3</c:v>
                </c:pt>
                <c:pt idx="328">
                  <c:v>-1.0680521634547316E-3</c:v>
                </c:pt>
                <c:pt idx="329">
                  <c:v>-1.0648058042952947E-3</c:v>
                </c:pt>
                <c:pt idx="330">
                  <c:v>-1.0615791200398544E-3</c:v>
                </c:pt>
                <c:pt idx="331">
                  <c:v>-1.0583719323660179E-3</c:v>
                </c:pt>
                <c:pt idx="332">
                  <c:v>-1.0551840650998552E-3</c:v>
                </c:pt>
                <c:pt idx="333">
                  <c:v>-1.0520153441836394E-3</c:v>
                </c:pt>
                <c:pt idx="334">
                  <c:v>-1.0488655976441676E-3</c:v>
                </c:pt>
                <c:pt idx="335">
                  <c:v>-1.0457346555616477E-3</c:v>
                </c:pt>
                <c:pt idx="336">
                  <c:v>-1.0426223500391426E-3</c:v>
                </c:pt>
                <c:pt idx="337">
                  <c:v>-1.0395285151725577E-3</c:v>
                </c:pt>
                <c:pt idx="338">
                  <c:v>-1.0364529870211597E-3</c:v>
                </c:pt>
                <c:pt idx="339">
                  <c:v>-1.0333956035786193E-3</c:v>
                </c:pt>
                <c:pt idx="340">
                  <c:v>-1.0303562047445645E-3</c:v>
                </c:pt>
                <c:pt idx="341">
                  <c:v>-1.0273346322966332E-3</c:v>
                </c:pt>
                <c:pt idx="342">
                  <c:v>-1.0243307298630174E-3</c:v>
                </c:pt>
                <c:pt idx="343">
                  <c:v>-1.0213443428954867E-3</c:v>
                </c:pt>
                <c:pt idx="344">
                  <c:v>-1.0183753186428835E-3</c:v>
                </c:pt>
                <c:pt idx="345">
                  <c:v>-1.0154235061250782E-3</c:v>
                </c:pt>
                <c:pt idx="346">
                  <c:v>-1.0124887561073755E-3</c:v>
                </c:pt>
                <c:pt idx="347">
                  <c:v>-1.0095709210753657E-3</c:v>
                </c:pt>
                <c:pt idx="348">
                  <c:v>-1.0066698552102067E-3</c:v>
                </c:pt>
                <c:pt idx="349">
                  <c:v>-1.0037854143643322E-3</c:v>
                </c:pt>
                <c:pt idx="350">
                  <c:v>-1.0009174560375769E-3</c:v>
                </c:pt>
                <c:pt idx="351">
                  <c:v>-9.9806583935370917E-4</c:v>
                </c:pt>
                <c:pt idx="352">
                  <c:v>-9.9523042503736354E-4</c:v>
                </c:pt>
                <c:pt idx="353">
                  <c:v>-9.9241107539136514E-4</c:v>
                </c:pt>
                <c:pt idx="354">
                  <c:v>-9.8960765427444039E-4</c:v>
                </c:pt>
                <c:pt idx="355">
                  <c:v>-9.8682002707930127E-4</c:v>
                </c:pt>
                <c:pt idx="356">
                  <c:v>-9.8404806071110103E-4</c:v>
                </c:pt>
                <c:pt idx="357">
                  <c:v>-9.8129162356625182E-4</c:v>
                </c:pt>
                <c:pt idx="358">
                  <c:v>-9.7855058551159766E-4</c:v>
                </c:pt>
                <c:pt idx="359">
                  <c:v>-9.7582481786393296E-4</c:v>
                </c:pt>
                <c:pt idx="360">
                  <c:v>-9.7311419336986642E-4</c:v>
                </c:pt>
                <c:pt idx="361">
                  <c:v>-9.7041858618601641E-4</c:v>
                </c:pt>
                <c:pt idx="362">
                  <c:v>-9.6773787185953572E-4</c:v>
                </c:pt>
                <c:pt idx="363">
                  <c:v>-9.6507192730895842E-4</c:v>
                </c:pt>
                <c:pt idx="364">
                  <c:v>-9.6242063080536244E-4</c:v>
                </c:pt>
                <c:pt idx="365">
                  <c:v>-9.5978386195384085E-4</c:v>
                </c:pt>
                <c:pt idx="366">
                  <c:v>-9.5716150167527846E-4</c:v>
                </c:pt>
                <c:pt idx="367">
                  <c:v>-9.5455343218842483E-4</c:v>
                </c:pt>
                <c:pt idx="368">
                  <c:v>-9.5195953699226061E-4</c:v>
                </c:pt>
                <c:pt idx="369">
                  <c:v>-9.4937970084865014E-4</c:v>
                </c:pt>
                <c:pt idx="370">
                  <c:v>-9.4681380976527547E-4</c:v>
                </c:pt>
                <c:pt idx="371">
                  <c:v>-9.4426175097884612E-4</c:v>
                </c:pt>
                <c:pt idx="372">
                  <c:v>-9.4172341293858046E-4</c:v>
                </c:pt>
                <c:pt idx="373">
                  <c:v>-9.3919868528995155E-4</c:v>
                </c:pt>
                <c:pt idx="374">
                  <c:v>-9.3668745885869492E-4</c:v>
                </c:pt>
                <c:pt idx="375">
                  <c:v>-9.3418962563507173E-4</c:v>
                </c:pt>
                <c:pt idx="376">
                  <c:v>-9.3170507875838275E-4</c:v>
                </c:pt>
                <c:pt idx="377">
                  <c:v>-9.2923371250172918E-4</c:v>
                </c:pt>
                <c:pt idx="378">
                  <c:v>-9.2677542225701561E-4</c:v>
                </c:pt>
                <c:pt idx="379">
                  <c:v>-9.2433010452018971E-4</c:v>
                </c:pt>
                <c:pt idx="380">
                  <c:v>-9.2189765687671554E-4</c:v>
                </c:pt>
                <c:pt idx="381">
                  <c:v>-9.194779779872754E-4</c:v>
                </c:pt>
                <c:pt idx="382">
                  <c:v>-9.1707096757369605E-4</c:v>
                </c:pt>
                <c:pt idx="383">
                  <c:v>-9.1467652640509639E-4</c:v>
                </c:pt>
                <c:pt idx="384">
                  <c:v>-9.122945562842498E-4</c:v>
                </c:pt>
                <c:pt idx="385">
                  <c:v>-9.0992496003416078E-4</c:v>
                </c:pt>
                <c:pt idx="386">
                  <c:v>-9.0756764148484947E-4</c:v>
                </c:pt>
                <c:pt idx="387">
                  <c:v>-9.0522250546034081E-4</c:v>
                </c:pt>
                <c:pt idx="388">
                  <c:v>-9.0288945776585542E-4</c:v>
                </c:pt>
                <c:pt idx="389">
                  <c:v>-9.0056840517519767E-4</c:v>
                </c:pt>
                <c:pt idx="390">
                  <c:v>-8.9825925541833817E-4</c:v>
                </c:pt>
                <c:pt idx="391">
                  <c:v>-8.9596191716918643E-4</c:v>
                </c:pt>
                <c:pt idx="392">
                  <c:v>-8.9367630003355078E-4</c:v>
                </c:pt>
                <c:pt idx="393">
                  <c:v>-8.9140231453728219E-4</c:v>
                </c:pt>
                <c:pt idx="394">
                  <c:v>-8.8913987211459869E-4</c:v>
                </c:pt>
                <c:pt idx="395">
                  <c:v>-8.8688888509658723E-4</c:v>
                </c:pt>
                <c:pt idx="396">
                  <c:v>-8.846492666998787E-4</c:v>
                </c:pt>
                <c:pt idx="397">
                  <c:v>-8.8242093101549611E-4</c:v>
                </c:pt>
                <c:pt idx="398">
                  <c:v>-8.8020379299786928E-4</c:v>
                </c:pt>
                <c:pt idx="399">
                  <c:v>-8.7799776845401487E-4</c:v>
                </c:pt>
                <c:pt idx="400">
                  <c:v>-8.7580277403287985E-4</c:v>
                </c:pt>
                <c:pt idx="401">
                  <c:v>-8.7361872721484276E-4</c:v>
                </c:pt>
                <c:pt idx="402">
                  <c:v>-8.7144554630137305E-4</c:v>
                </c:pt>
                <c:pt idx="403">
                  <c:v>-8.6928315040484352E-4</c:v>
                </c:pt>
                <c:pt idx="404">
                  <c:v>-8.6713145943849489E-4</c:v>
                </c:pt>
                <c:pt idx="405">
                  <c:v>-8.6499039410654801E-4</c:v>
                </c:pt>
                <c:pt idx="406">
                  <c:v>-8.6285987589446297E-4</c:v>
                </c:pt>
                <c:pt idx="407">
                  <c:v>-8.6073982705934138E-4</c:v>
                </c:pt>
                <c:pt idx="408">
                  <c:v>-8.5863017062047043E-4</c:v>
                </c:pt>
                <c:pt idx="409">
                  <c:v>-8.5653083035000478E-4</c:v>
                </c:pt>
                <c:pt idx="410">
                  <c:v>-8.5444173076378526E-4</c:v>
                </c:pt>
                <c:pt idx="411">
                  <c:v>-8.5236279711229182E-4</c:v>
                </c:pt>
                <c:pt idx="412">
                  <c:v>-8.5029395537172803E-4</c:v>
                </c:pt>
                <c:pt idx="413">
                  <c:v>-8.4823513223523472E-4</c:v>
                </c:pt>
                <c:pt idx="414">
                  <c:v>-8.4618625510423176E-4</c:v>
                </c:pt>
                <c:pt idx="415">
                  <c:v>-8.4414725207988415E-4</c:v>
                </c:pt>
                <c:pt idx="416">
                  <c:v>-8.4211805195469217E-4</c:v>
                </c:pt>
                <c:pt idx="417">
                  <c:v>-8.4009858420420124E-4</c:v>
                </c:pt>
                <c:pt idx="418">
                  <c:v>-8.3808877897883236E-4</c:v>
                </c:pt>
                <c:pt idx="419">
                  <c:v>-8.36088567095828E-4</c:v>
                </c:pt>
                <c:pt idx="420">
                  <c:v>-8.340978800313141E-4</c:v>
                </c:pt>
                <c:pt idx="421">
                  <c:v>-8.321166499124749E-4</c:v>
                </c:pt>
                <c:pt idx="422">
                  <c:v>-8.3014480950983872E-4</c:v>
                </c:pt>
                <c:pt idx="423">
                  <c:v>-8.2818229222967363E-4</c:v>
                </c:pt>
                <c:pt idx="424">
                  <c:v>-8.2622903210649037E-4</c:v>
                </c:pt>
                <c:pt idx="425">
                  <c:v>-8.2428496379565157E-4</c:v>
                </c:pt>
                <c:pt idx="426">
                  <c:v>-8.2235002256608432E-4</c:v>
                </c:pt>
                <c:pt idx="427">
                  <c:v>-8.2042414429309585E-4</c:v>
                </c:pt>
                <c:pt idx="428">
                  <c:v>-8.1850726545128953E-4</c:v>
                </c:pt>
                <c:pt idx="429">
                  <c:v>-8.1659932310758029E-4</c:v>
                </c:pt>
                <c:pt idx="430">
                  <c:v>-8.147002549143068E-4</c:v>
                </c:pt>
                <c:pt idx="431">
                  <c:v>-8.128099991024407E-4</c:v>
                </c:pt>
                <c:pt idx="432">
                  <c:v>-8.109284944748887E-4</c:v>
                </c:pt>
                <c:pt idx="433">
                  <c:v>-8.0905568039988892E-4</c:v>
                </c:pt>
                <c:pt idx="434">
                  <c:v>-8.0719149680449757E-4</c:v>
                </c:pt>
                <c:pt idx="435">
                  <c:v>-8.0533588416816535E-4</c:v>
                </c:pt>
                <c:pt idx="436">
                  <c:v>-8.0348878351640344E-4</c:v>
                </c:pt>
                <c:pt idx="437">
                  <c:v>-8.0165013641453526E-4</c:v>
                </c:pt>
                <c:pt idx="438">
                  <c:v>-7.9981988496153407E-4</c:v>
                </c:pt>
                <c:pt idx="439">
                  <c:v>-7.9799797178394514E-4</c:v>
                </c:pt>
                <c:pt idx="440">
                  <c:v>-7.9618434002989077E-4</c:v>
                </c:pt>
                <c:pt idx="441">
                  <c:v>-7.9437893336315628E-4</c:v>
                </c:pt>
                <c:pt idx="442">
                  <c:v>-7.9258169595735728E-4</c:v>
                </c:pt>
                <c:pt idx="443">
                  <c:v>-7.9079257249018494E-4</c:v>
                </c:pt>
                <c:pt idx="444">
                  <c:v>-7.8901150813772954E-4</c:v>
                </c:pt>
                <c:pt idx="445">
                  <c:v>-7.8723844856888072E-4</c:v>
                </c:pt>
                <c:pt idx="446">
                  <c:v>-7.8547333993980251E-4</c:v>
                </c:pt>
                <c:pt idx="447">
                  <c:v>-7.8371612888848306E-4</c:v>
                </c:pt>
                <c:pt idx="448">
                  <c:v>-7.8196676252935697E-4</c:v>
                </c:pt>
                <c:pt idx="449">
                  <c:v>-7.8022518844799978E-4</c:v>
                </c:pt>
                <c:pt idx="450">
                  <c:v>-7.7849135469589318E-4</c:v>
                </c:pt>
                <c:pt idx="451">
                  <c:v>-7.7676520978525927E-4</c:v>
                </c:pt>
                <c:pt idx="452">
                  <c:v>-7.7504670268396445E-4</c:v>
                </c:pt>
                <c:pt idx="453">
                  <c:v>-7.7333578281048982E-4</c:v>
                </c:pt>
                <c:pt idx="454">
                  <c:v>-7.71632400028969E-4</c:v>
                </c:pt>
                <c:pt idx="455">
                  <c:v>-7.6993650464428993E-4</c:v>
                </c:pt>
                <c:pt idx="456">
                  <c:v>-7.68248047397263E-4</c:v>
                </c:pt>
                <c:pt idx="457">
                  <c:v>-7.66566979459851E-4</c:v>
                </c:pt>
                <c:pt idx="458">
                  <c:v>-7.6489325243046271E-4</c:v>
                </c:pt>
                <c:pt idx="459">
                  <c:v>-7.6322681832930697E-4</c:v>
                </c:pt>
                <c:pt idx="460">
                  <c:v>-7.6156762959380851E-4</c:v>
                </c:pt>
                <c:pt idx="461">
                  <c:v>-7.5991563907408218E-4</c:v>
                </c:pt>
                <c:pt idx="462">
                  <c:v>-7.5827080002846732E-4</c:v>
                </c:pt>
                <c:pt idx="463">
                  <c:v>-7.5663306611911858E-4</c:v>
                </c:pt>
                <c:pt idx="464">
                  <c:v>-7.5500239140765494E-4</c:v>
                </c:pt>
                <c:pt idx="465">
                  <c:v>-7.5337873035086428E-4</c:v>
                </c:pt>
                <c:pt idx="466">
                  <c:v>-7.5176203779646334E-4</c:v>
                </c:pt>
                <c:pt idx="467">
                  <c:v>-7.5015226897891208E-4</c:v>
                </c:pt>
                <c:pt idx="468">
                  <c:v>-7.4854937951528199E-4</c:v>
                </c:pt>
                <c:pt idx="469">
                  <c:v>-7.4695332540117689E-4</c:v>
                </c:pt>
                <c:pt idx="470">
                  <c:v>-7.4536406300670629E-4</c:v>
                </c:pt>
                <c:pt idx="471">
                  <c:v>-7.4378154907250946E-4</c:v>
                </c:pt>
                <c:pt idx="472">
                  <c:v>-7.4220574070583034E-4</c:v>
                </c:pt>
                <c:pt idx="473">
                  <c:v>-7.4063659537664255E-4</c:v>
                </c:pt>
                <c:pt idx="474">
                  <c:v>-7.3907407091382271E-4</c:v>
                </c:pt>
                <c:pt idx="475">
                  <c:v>-7.3751812550137247E-4</c:v>
                </c:pt>
                <c:pt idx="476">
                  <c:v>-7.3596871767468892E-4</c:v>
                </c:pt>
                <c:pt idx="477">
                  <c:v>-7.3442580631688037E-4</c:v>
                </c:pt>
                <c:pt idx="478">
                  <c:v>-7.3288935065512963E-4</c:v>
                </c:pt>
                <c:pt idx="479">
                  <c:v>-7.3135931025710213E-4</c:v>
                </c:pt>
                <c:pt idx="480">
                  <c:v>-7.2983564502739984E-4</c:v>
                </c:pt>
                <c:pt idx="481">
                  <c:v>-7.283183152040581E-4</c:v>
                </c:pt>
                <c:pt idx="482">
                  <c:v>-7.2680728135508701E-4</c:v>
                </c:pt>
                <c:pt idx="483">
                  <c:v>-7.2530250437505576E-4</c:v>
                </c:pt>
                <c:pt idx="484">
                  <c:v>-7.2380394548171893E-4</c:v>
                </c:pt>
                <c:pt idx="485">
                  <c:v>-7.2231156621268438E-4</c:v>
                </c:pt>
                <c:pt idx="486">
                  <c:v>-7.2082532842212329E-4</c:v>
                </c:pt>
                <c:pt idx="487">
                  <c:v>-7.1934519427751934E-4</c:v>
                </c:pt>
                <c:pt idx="488">
                  <c:v>-7.1787112625645887E-4</c:v>
                </c:pt>
                <c:pt idx="489">
                  <c:v>-7.1640308714345999E-4</c:v>
                </c:pt>
                <c:pt idx="490">
                  <c:v>-7.1494104002684065E-4</c:v>
                </c:pt>
                <c:pt idx="491">
                  <c:v>-7.1348494829562509E-4</c:v>
                </c:pt>
                <c:pt idx="492">
                  <c:v>-7.1203477563648772E-4</c:v>
                </c:pt>
                <c:pt idx="493">
                  <c:v>-7.1059048603073409E-4</c:v>
                </c:pt>
                <c:pt idx="494">
                  <c:v>-7.0915204375131974E-4</c:v>
                </c:pt>
                <c:pt idx="495">
                  <c:v>-7.0771941335990294E-4</c:v>
                </c:pt>
                <c:pt idx="496">
                  <c:v>-7.0629255970393529E-4</c:v>
                </c:pt>
                <c:pt idx="497">
                  <c:v>-7.0487144791378661E-4</c:v>
                </c:pt>
                <c:pt idx="498">
                  <c:v>-7.0345604339990344E-4</c:v>
                </c:pt>
                <c:pt idx="499">
                  <c:v>-7.0204631185000383E-4</c:v>
                </c:pt>
                <c:pt idx="500">
                  <c:v>-7.006422192263039E-4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A7-4DF5-8F3D-D1A4496332F8}"/>
            </c:ext>
          </c:extLst>
        </c:ser>
        <c:ser>
          <c:idx val="3"/>
          <c:order val="2"/>
          <c:tx>
            <c:strRef>
              <c:f>NSS!$CQ$2</c:f>
              <c:strCache>
                <c:ptCount val="1"/>
                <c:pt idx="0">
                  <c:v>First hump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NSS!$CN$3:$CN$503</c:f>
              <c:numCache>
                <c:formatCode>General</c:formatCode>
                <c:ptCount val="501"/>
                <c:pt idx="0" formatCode="0">
                  <c:v>9.9999999999999995E-7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 formatCode="0.0">
                  <c:v>32</c:v>
                </c:pt>
                <c:pt idx="65" formatCode="0.0">
                  <c:v>32.5</c:v>
                </c:pt>
                <c:pt idx="66" formatCode="0.0">
                  <c:v>33</c:v>
                </c:pt>
                <c:pt idx="67" formatCode="0.0">
                  <c:v>33.5</c:v>
                </c:pt>
                <c:pt idx="68" formatCode="0.0">
                  <c:v>34</c:v>
                </c:pt>
                <c:pt idx="69" formatCode="0.0">
                  <c:v>34.5</c:v>
                </c:pt>
                <c:pt idx="70" formatCode="0.0">
                  <c:v>35</c:v>
                </c:pt>
                <c:pt idx="71" formatCode="0.0">
                  <c:v>35.5</c:v>
                </c:pt>
                <c:pt idx="72" formatCode="0.0">
                  <c:v>36</c:v>
                </c:pt>
                <c:pt idx="73" formatCode="0.0">
                  <c:v>36.5</c:v>
                </c:pt>
                <c:pt idx="74" formatCode="0.0">
                  <c:v>37</c:v>
                </c:pt>
                <c:pt idx="75" formatCode="0.0">
                  <c:v>37.5</c:v>
                </c:pt>
                <c:pt idx="76" formatCode="0.0">
                  <c:v>38</c:v>
                </c:pt>
                <c:pt idx="77" formatCode="0.0">
                  <c:v>38.5</c:v>
                </c:pt>
                <c:pt idx="78" formatCode="0.0">
                  <c:v>39</c:v>
                </c:pt>
                <c:pt idx="79" formatCode="0.0">
                  <c:v>39.5</c:v>
                </c:pt>
                <c:pt idx="80" formatCode="0.0">
                  <c:v>40</c:v>
                </c:pt>
                <c:pt idx="81" formatCode="0.0">
                  <c:v>40.5</c:v>
                </c:pt>
                <c:pt idx="82" formatCode="0.0">
                  <c:v>41</c:v>
                </c:pt>
                <c:pt idx="83" formatCode="0.0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</c:numCache>
            </c:numRef>
          </c:cat>
          <c:val>
            <c:numRef>
              <c:f>NSS!$CQ$3:$CQ$503</c:f>
              <c:numCache>
                <c:formatCode>0.00%</c:formatCode>
                <c:ptCount val="501"/>
                <c:pt idx="0">
                  <c:v>-5.3576812585363129E-9</c:v>
                </c:pt>
                <c:pt idx="1">
                  <c:v>-2.4790830098819013E-3</c:v>
                </c:pt>
                <c:pt idx="2">
                  <c:v>-4.5942127807805898E-3</c:v>
                </c:pt>
                <c:pt idx="3">
                  <c:v>-6.3903867053029598E-3</c:v>
                </c:pt>
                <c:pt idx="4">
                  <c:v>-7.9073324322553509E-3</c:v>
                </c:pt>
                <c:pt idx="5">
                  <c:v>-9.1801102221314799E-3</c:v>
                </c:pt>
                <c:pt idx="6">
                  <c:v>-1.0239647339680131E-2</c:v>
                </c:pt>
                <c:pt idx="7">
                  <c:v>-1.1113212092267517E-2</c:v>
                </c:pt>
                <c:pt idx="8">
                  <c:v>-1.1824834275199923E-2</c:v>
                </c:pt>
                <c:pt idx="9">
                  <c:v>-1.2395678031708698E-2</c:v>
                </c:pt>
                <c:pt idx="10">
                  <c:v>-1.2844372465503556E-2</c:v>
                </c:pt>
                <c:pt idx="11">
                  <c:v>-1.3187304748402906E-2</c:v>
                </c:pt>
                <c:pt idx="12">
                  <c:v>-1.3438879936310624E-2</c:v>
                </c:pt>
                <c:pt idx="13">
                  <c:v>-1.3611751236395303E-2</c:v>
                </c:pt>
                <c:pt idx="14">
                  <c:v>-1.3717024050220046E-2</c:v>
                </c:pt>
                <c:pt idx="15">
                  <c:v>-1.3764436745970259E-2</c:v>
                </c:pt>
                <c:pt idx="16">
                  <c:v>-1.3762520782674859E-2</c:v>
                </c:pt>
                <c:pt idx="17">
                  <c:v>-1.3718742515826851E-2</c:v>
                </c:pt>
                <c:pt idx="18">
                  <c:v>-1.3639628753003001E-2</c:v>
                </c:pt>
                <c:pt idx="19">
                  <c:v>-1.3530877896331743E-2</c:v>
                </c:pt>
                <c:pt idx="20">
                  <c:v>-1.3397458302737385E-2</c:v>
                </c:pt>
                <c:pt idx="21">
                  <c:v>-1.3243695309929091E-2</c:v>
                </c:pt>
                <c:pt idx="22">
                  <c:v>-1.3073348213553498E-2</c:v>
                </c:pt>
                <c:pt idx="23">
                  <c:v>-1.2889678336522365E-2</c:v>
                </c:pt>
                <c:pt idx="24">
                  <c:v>-1.2695509203244337E-2</c:v>
                </c:pt>
                <c:pt idx="25">
                  <c:v>-1.249327971753973E-2</c:v>
                </c:pt>
                <c:pt idx="26">
                  <c:v>-1.2285091141804452E-2</c:v>
                </c:pt>
                <c:pt idx="27">
                  <c:v>-1.2072748585096408E-2</c:v>
                </c:pt>
                <c:pt idx="28">
                  <c:v>-1.1857797627984921E-2</c:v>
                </c:pt>
                <c:pt idx="29">
                  <c:v>-1.1641556641109708E-2</c:v>
                </c:pt>
                <c:pt idx="30">
                  <c:v>-1.1425145291445829E-2</c:v>
                </c:pt>
                <c:pt idx="31">
                  <c:v>-1.1209509674378029E-2</c:v>
                </c:pt>
                <c:pt idx="32">
                  <c:v>-1.0995444460066133E-2</c:v>
                </c:pt>
                <c:pt idx="33">
                  <c:v>-1.0783612398532171E-2</c:v>
                </c:pt>
                <c:pt idx="34">
                  <c:v>-1.0574561488798137E-2</c:v>
                </c:pt>
                <c:pt idx="35">
                  <c:v>-1.0368740082698093E-2</c:v>
                </c:pt>
                <c:pt idx="36">
                  <c:v>-1.0166510163188178E-2</c:v>
                </c:pt>
                <c:pt idx="37">
                  <c:v>-9.9681590096466783E-3</c:v>
                </c:pt>
                <c:pt idx="38">
                  <c:v>-9.7739094384053701E-3</c:v>
                </c:pt>
                <c:pt idx="39">
                  <c:v>-9.5839287852384075E-3</c:v>
                </c:pt>
                <c:pt idx="40">
                  <c:v>-9.3983367774493065E-3</c:v>
                </c:pt>
                <c:pt idx="41">
                  <c:v>-9.2172124262682228E-3</c:v>
                </c:pt>
                <c:pt idx="42">
                  <c:v>-9.0406000552585922E-3</c:v>
                </c:pt>
                <c:pt idx="43">
                  <c:v>-8.8685145671194374E-3</c:v>
                </c:pt>
                <c:pt idx="44">
                  <c:v>-8.7009460394663913E-3</c:v>
                </c:pt>
                <c:pt idx="45">
                  <c:v>-8.5378637297111645E-3</c:v>
                </c:pt>
                <c:pt idx="46">
                  <c:v>-8.3792195598847968E-3</c:v>
                </c:pt>
                <c:pt idx="47">
                  <c:v>-8.2249511440314112E-3</c:v>
                </c:pt>
                <c:pt idx="48">
                  <c:v>-8.0749844135166223E-3</c:v>
                </c:pt>
                <c:pt idx="49">
                  <c:v>-7.9292358891435103E-3</c:v>
                </c:pt>
                <c:pt idx="50">
                  <c:v>-7.7876146432547507E-3</c:v>
                </c:pt>
                <c:pt idx="51">
                  <c:v>-7.6500239899392588E-3</c:v>
                </c:pt>
                <c:pt idx="52">
                  <c:v>-7.5163629369814425E-3</c:v>
                </c:pt>
                <c:pt idx="53">
                  <c:v>-7.3865274292252963E-3</c:v>
                </c:pt>
                <c:pt idx="54">
                  <c:v>-7.2604114095158601E-3</c:v>
                </c:pt>
                <c:pt idx="55">
                  <c:v>-7.1379077202752489E-3</c:v>
                </c:pt>
                <c:pt idx="56">
                  <c:v>-7.0189088660236893E-3</c:v>
                </c:pt>
                <c:pt idx="57">
                  <c:v>-6.9033076547269272E-3</c:v>
                </c:pt>
                <c:pt idx="58">
                  <c:v>-6.7909977337039743E-3</c:v>
                </c:pt>
                <c:pt idx="59">
                  <c:v>-6.681874033931271E-3</c:v>
                </c:pt>
                <c:pt idx="60">
                  <c:v>-6.5758331349024274E-3</c:v>
                </c:pt>
                <c:pt idx="61">
                  <c:v>-6.4727735607217323E-3</c:v>
                </c:pt>
                <c:pt idx="62">
                  <c:v>-6.3725960168018684E-3</c:v>
                </c:pt>
                <c:pt idx="63">
                  <c:v>-6.2752035753822089E-3</c:v>
                </c:pt>
                <c:pt idx="64">
                  <c:v>-6.1805018170657585E-3</c:v>
                </c:pt>
                <c:pt idx="65">
                  <c:v>-6.0883989346748844E-3</c:v>
                </c:pt>
                <c:pt idx="66">
                  <c:v>-5.9988058049343755E-3</c:v>
                </c:pt>
                <c:pt idx="67">
                  <c:v>-5.9116360327930188E-3</c:v>
                </c:pt>
                <c:pt idx="68">
                  <c:v>-5.8268059725806419E-3</c:v>
                </c:pt>
                <c:pt idx="69">
                  <c:v>-5.7442347296570431E-3</c:v>
                </c:pt>
                <c:pt idx="70">
                  <c:v>-5.6638441457337639E-3</c:v>
                </c:pt>
                <c:pt idx="71">
                  <c:v>-5.5855587706315308E-3</c:v>
                </c:pt>
                <c:pt idx="72">
                  <c:v>-5.5093058228690549E-3</c:v>
                </c:pt>
                <c:pt idx="73">
                  <c:v>-5.4350151411563926E-3</c:v>
                </c:pt>
                <c:pt idx="74">
                  <c:v>-5.3626191285832672E-3</c:v>
                </c:pt>
                <c:pt idx="75">
                  <c:v>-5.2920526910448162E-3</c:v>
                </c:pt>
                <c:pt idx="76">
                  <c:v>-5.2232531712301349E-3</c:v>
                </c:pt>
                <c:pt idx="77">
                  <c:v>-5.1561602793089968E-3</c:v>
                </c:pt>
                <c:pt idx="78">
                  <c:v>-5.090716021286132E-3</c:v>
                </c:pt>
                <c:pt idx="79">
                  <c:v>-5.0268646258474501E-3</c:v>
                </c:pt>
                <c:pt idx="80">
                  <c:v>-4.9645524703962312E-3</c:v>
                </c:pt>
                <c:pt idx="81">
                  <c:v>-4.9037280068672008E-3</c:v>
                </c:pt>
                <c:pt idx="82">
                  <c:v>-4.8443416878107097E-3</c:v>
                </c:pt>
                <c:pt idx="83">
                  <c:v>-4.786345893156115E-3</c:v>
                </c:pt>
                <c:pt idx="84">
                  <c:v>-4.7296948579914509E-3</c:v>
                </c:pt>
                <c:pt idx="85">
                  <c:v>-4.6743446016341604E-3</c:v>
                </c:pt>
                <c:pt idx="86">
                  <c:v>-4.6202528582139028E-3</c:v>
                </c:pt>
                <c:pt idx="87">
                  <c:v>-4.5673790089421256E-3</c:v>
                </c:pt>
                <c:pt idx="88">
                  <c:v>-4.5156840162033293E-3</c:v>
                </c:pt>
                <c:pt idx="89">
                  <c:v>-4.4651303595689175E-3</c:v>
                </c:pt>
                <c:pt idx="90">
                  <c:v>-4.415681973805455E-3</c:v>
                </c:pt>
                <c:pt idx="91">
                  <c:v>-4.3673041889244774E-3</c:v>
                </c:pt>
                <c:pt idx="92">
                  <c:v>-4.319963672300085E-3</c:v>
                </c:pt>
                <c:pt idx="93">
                  <c:v>-4.2736283728629842E-3</c:v>
                </c:pt>
                <c:pt idx="94">
                  <c:v>-4.2282674673649323E-3</c:v>
                </c:pt>
                <c:pt idx="95">
                  <c:v>-4.1838513086952739E-3</c:v>
                </c:pt>
                <c:pt idx="96">
                  <c:v>-4.140351376221282E-3</c:v>
                </c:pt>
                <c:pt idx="97">
                  <c:v>-4.0977402281157189E-3</c:v>
                </c:pt>
                <c:pt idx="98">
                  <c:v>-4.0559914556285567E-3</c:v>
                </c:pt>
                <c:pt idx="99">
                  <c:v>-4.0150796392544978E-3</c:v>
                </c:pt>
                <c:pt idx="100">
                  <c:v>-3.974980306744009E-3</c:v>
                </c:pt>
                <c:pt idx="101">
                  <c:v>-3.9356698929025385E-3</c:v>
                </c:pt>
                <c:pt idx="102">
                  <c:v>-3.897125701120475E-3</c:v>
                </c:pt>
                <c:pt idx="103">
                  <c:v>-3.859325866575019E-3</c:v>
                </c:pt>
                <c:pt idx="104">
                  <c:v>-3.8222493210443727E-3</c:v>
                </c:pt>
                <c:pt idx="105">
                  <c:v>-3.7858757592743901E-3</c:v>
                </c:pt>
                <c:pt idx="106">
                  <c:v>-3.7501856068380373E-3</c:v>
                </c:pt>
                <c:pt idx="107">
                  <c:v>-3.7151599894285634E-3</c:v>
                </c:pt>
                <c:pt idx="108">
                  <c:v>-3.6807807035281197E-3</c:v>
                </c:pt>
                <c:pt idx="109">
                  <c:v>-3.6470301883946687E-3</c:v>
                </c:pt>
                <c:pt idx="110">
                  <c:v>-3.6138914993112982E-3</c:v>
                </c:pt>
                <c:pt idx="111">
                  <c:v>-3.5813482820435177E-3</c:v>
                </c:pt>
                <c:pt idx="112">
                  <c:v>-3.549384748451618E-3</c:v>
                </c:pt>
                <c:pt idx="113">
                  <c:v>-3.5179856532068805E-3</c:v>
                </c:pt>
                <c:pt idx="114">
                  <c:v>-3.4871362715620624E-3</c:v>
                </c:pt>
                <c:pt idx="115">
                  <c:v>-3.4568223781283693E-3</c:v>
                </c:pt>
                <c:pt idx="116">
                  <c:v>-3.4270302266128589E-3</c:v>
                </c:pt>
                <c:pt idx="117">
                  <c:v>-3.3977465304720054E-3</c:v>
                </c:pt>
                <c:pt idx="118">
                  <c:v>-3.368958444438895E-3</c:v>
                </c:pt>
                <c:pt idx="119">
                  <c:v>-3.3406535468832742E-3</c:v>
                </c:pt>
                <c:pt idx="120">
                  <c:v>-3.3128198229653862E-3</c:v>
                </c:pt>
                <c:pt idx="121">
                  <c:v>-3.2854456485461978E-3</c:v>
                </c:pt>
                <c:pt idx="122">
                  <c:v>-3.2585197748182752E-3</c:v>
                </c:pt>
                <c:pt idx="123">
                  <c:v>-3.2320313136231476E-3</c:v>
                </c:pt>
                <c:pt idx="124">
                  <c:v>-3.2059697234225479E-3</c:v>
                </c:pt>
                <c:pt idx="125">
                  <c:v>-3.1803247958924344E-3</c:v>
                </c:pt>
                <c:pt idx="126">
                  <c:v>-3.1550866431101091E-3</c:v>
                </c:pt>
                <c:pt idx="127">
                  <c:v>-3.1302456853061853E-3</c:v>
                </c:pt>
                <c:pt idx="128">
                  <c:v>-3.1057926391544516E-3</c:v>
                </c:pt>
                <c:pt idx="129">
                  <c:v>-3.0817185065740143E-3</c:v>
                </c:pt>
                <c:pt idx="130">
                  <c:v>-3.0580145640192952E-3</c:v>
                </c:pt>
                <c:pt idx="131">
                  <c:v>-3.0346723522346611E-3</c:v>
                </c:pt>
                <c:pt idx="132">
                  <c:v>-3.0116836664515986E-3</c:v>
                </c:pt>
                <c:pt idx="133">
                  <c:v>-2.989040547007429E-3</c:v>
                </c:pt>
                <c:pt idx="134">
                  <c:v>-2.9667352703655549E-3</c:v>
                </c:pt>
                <c:pt idx="135">
                  <c:v>-2.9447603405182857E-3</c:v>
                </c:pt>
                <c:pt idx="136">
                  <c:v>-2.9231084807541459E-3</c:v>
                </c:pt>
                <c:pt idx="137">
                  <c:v>-2.9017726257725383E-3</c:v>
                </c:pt>
                <c:pt idx="138">
                  <c:v>-2.8807459141294289E-3</c:v>
                </c:pt>
                <c:pt idx="139">
                  <c:v>-2.8600216809985678E-3</c:v>
                </c:pt>
                <c:pt idx="140">
                  <c:v>-2.8395934512335072E-3</c:v>
                </c:pt>
                <c:pt idx="141">
                  <c:v>-2.8194549327164331E-3</c:v>
                </c:pt>
                <c:pt idx="142">
                  <c:v>-2.7996000099804975E-3</c:v>
                </c:pt>
                <c:pt idx="143">
                  <c:v>-2.7800227380930186E-3</c:v>
                </c:pt>
                <c:pt idx="144">
                  <c:v>-2.7607173367875442E-3</c:v>
                </c:pt>
                <c:pt idx="145">
                  <c:v>-2.7416781848333504E-3</c:v>
                </c:pt>
                <c:pt idx="146">
                  <c:v>-2.7228998146315393E-3</c:v>
                </c:pt>
                <c:pt idx="147">
                  <c:v>-2.7043769070274216E-3</c:v>
                </c:pt>
                <c:pt idx="148">
                  <c:v>-2.6861042863293811E-3</c:v>
                </c:pt>
                <c:pt idx="149">
                  <c:v>-2.6680769155249038E-3</c:v>
                </c:pt>
                <c:pt idx="150">
                  <c:v>-2.6502898916849166E-3</c:v>
                </c:pt>
                <c:pt idx="151">
                  <c:v>-2.6327384415480086E-3</c:v>
                </c:pt>
                <c:pt idx="152">
                  <c:v>-2.6154179172765287E-3</c:v>
                </c:pt>
                <c:pt idx="153">
                  <c:v>-2.598323792376931E-3</c:v>
                </c:pt>
                <c:pt idx="154">
                  <c:v>-2.5814516577771346E-3</c:v>
                </c:pt>
                <c:pt idx="155">
                  <c:v>-2.5647972180539939E-3</c:v>
                </c:pt>
                <c:pt idx="156">
                  <c:v>-2.5483562878043133E-3</c:v>
                </c:pt>
                <c:pt idx="157">
                  <c:v>-2.532124788153177E-3</c:v>
                </c:pt>
                <c:pt idx="158">
                  <c:v>-2.516098743393634E-3</c:v>
                </c:pt>
                <c:pt idx="159">
                  <c:v>-2.5002742777520902E-3</c:v>
                </c:pt>
                <c:pt idx="160">
                  <c:v>-2.4846476122740153E-3</c:v>
                </c:pt>
                <c:pt idx="161">
                  <c:v>-2.469215061824832E-3</c:v>
                </c:pt>
                <c:pt idx="162">
                  <c:v>-2.4539730322011045E-3</c:v>
                </c:pt>
                <c:pt idx="163">
                  <c:v>-2.4389180173473549E-3</c:v>
                </c:pt>
                <c:pt idx="164">
                  <c:v>-2.4240465966740934E-3</c:v>
                </c:pt>
                <c:pt idx="165">
                  <c:v>-2.4093554324728082E-3</c:v>
                </c:pt>
                <c:pt idx="166">
                  <c:v>-2.3948412674238933E-3</c:v>
                </c:pt>
                <c:pt idx="167">
                  <c:v>-2.380500922193675E-3</c:v>
                </c:pt>
                <c:pt idx="168">
                  <c:v>-2.3663312931168539E-3</c:v>
                </c:pt>
                <c:pt idx="169">
                  <c:v>-2.3523293499608821E-3</c:v>
                </c:pt>
                <c:pt idx="170">
                  <c:v>-2.3384921337689236E-3</c:v>
                </c:pt>
                <c:pt idx="171">
                  <c:v>-2.3248167547782221E-3</c:v>
                </c:pt>
                <c:pt idx="172">
                  <c:v>-2.3113003904108357E-3</c:v>
                </c:pt>
                <c:pt idx="173">
                  <c:v>-2.297940283333823E-3</c:v>
                </c:pt>
                <c:pt idx="174">
                  <c:v>-2.284733739586133E-3</c:v>
                </c:pt>
                <c:pt idx="175">
                  <c:v>-2.2716781267695264E-3</c:v>
                </c:pt>
                <c:pt idx="176">
                  <c:v>-2.2587708723010181E-3</c:v>
                </c:pt>
                <c:pt idx="177">
                  <c:v>-2.2460094617244132E-3</c:v>
                </c:pt>
                <c:pt idx="178">
                  <c:v>-2.2333914370786315E-3</c:v>
                </c:pt>
                <c:pt idx="179">
                  <c:v>-2.220914395320617E-3</c:v>
                </c:pt>
                <c:pt idx="180">
                  <c:v>-2.2085759868007032E-3</c:v>
                </c:pt>
                <c:pt idx="181">
                  <c:v>-2.1963739137884487E-3</c:v>
                </c:pt>
                <c:pt idx="182">
                  <c:v>-2.1843059290469701E-3</c:v>
                </c:pt>
                <c:pt idx="183">
                  <c:v>-2.1723698344539642E-3</c:v>
                </c:pt>
                <c:pt idx="184">
                  <c:v>-2.1605634796676224E-3</c:v>
                </c:pt>
                <c:pt idx="185">
                  <c:v>-2.1488847608357579E-3</c:v>
                </c:pt>
                <c:pt idx="186">
                  <c:v>-2.1373316193465282E-3</c:v>
                </c:pt>
                <c:pt idx="187">
                  <c:v>-2.125902040619188E-3</c:v>
                </c:pt>
                <c:pt idx="188">
                  <c:v>-2.114594052933402E-3</c:v>
                </c:pt>
                <c:pt idx="189">
                  <c:v>-2.1034057262956812E-3</c:v>
                </c:pt>
                <c:pt idx="190">
                  <c:v>-2.0923351713415862E-3</c:v>
                </c:pt>
                <c:pt idx="191">
                  <c:v>-2.0813805382723888E-3</c:v>
                </c:pt>
                <c:pt idx="192">
                  <c:v>-2.0705400158249334E-3</c:v>
                </c:pt>
                <c:pt idx="193">
                  <c:v>-2.0598118302735044E-3</c:v>
                </c:pt>
                <c:pt idx="194">
                  <c:v>-2.0491942444625416E-3</c:v>
                </c:pt>
                <c:pt idx="195">
                  <c:v>-2.0386855568691E-3</c:v>
                </c:pt>
                <c:pt idx="196">
                  <c:v>-2.0282841006939944E-3</c:v>
                </c:pt>
                <c:pt idx="197">
                  <c:v>-2.0179882429806088E-3</c:v>
                </c:pt>
                <c:pt idx="198">
                  <c:v>-2.0077963837604011E-3</c:v>
                </c:pt>
                <c:pt idx="199">
                  <c:v>-1.997706955224149E-3</c:v>
                </c:pt>
                <c:pt idx="200">
                  <c:v>-1.9877184209180611E-3</c:v>
                </c:pt>
                <c:pt idx="201">
                  <c:v>-1.9778292749638663E-3</c:v>
                </c:pt>
                <c:pt idx="202">
                  <c:v>-1.968038041302066E-3</c:v>
                </c:pt>
                <c:pt idx="203">
                  <c:v>-1.958343272957542E-3</c:v>
                </c:pt>
                <c:pt idx="204">
                  <c:v>-1.9487435513267611E-3</c:v>
                </c:pt>
                <c:pt idx="205">
                  <c:v>-1.9392374854858342E-3</c:v>
                </c:pt>
                <c:pt idx="206">
                  <c:v>-1.9298237115187246E-3</c:v>
                </c:pt>
                <c:pt idx="207">
                  <c:v>-1.9205008918649236E-3</c:v>
                </c:pt>
                <c:pt idx="208">
                  <c:v>-1.9112677146859395E-3</c:v>
                </c:pt>
                <c:pt idx="209">
                  <c:v>-1.9021228932499703E-3</c:v>
                </c:pt>
                <c:pt idx="210">
                  <c:v>-1.8930651653341513E-3</c:v>
                </c:pt>
                <c:pt idx="211">
                  <c:v>-1.8840932926438014E-3</c:v>
                </c:pt>
                <c:pt idx="212">
                  <c:v>-1.8752060602481009E-3</c:v>
                </c:pt>
                <c:pt idx="213">
                  <c:v>-1.8664022760316633E-3</c:v>
                </c:pt>
                <c:pt idx="214">
                  <c:v>-1.8576807701614817E-3</c:v>
                </c:pt>
                <c:pt idx="215">
                  <c:v>-1.8490403945687511E-3</c:v>
                </c:pt>
                <c:pt idx="216">
                  <c:v>-1.8404800224450797E-3</c:v>
                </c:pt>
                <c:pt idx="217">
                  <c:v>-1.8319985477526315E-3</c:v>
                </c:pt>
                <c:pt idx="218">
                  <c:v>-1.8235948847477473E-3</c:v>
                </c:pt>
                <c:pt idx="219">
                  <c:v>-1.8152679675176183E-3</c:v>
                </c:pt>
                <c:pt idx="220">
                  <c:v>-1.8070167495295927E-3</c:v>
                </c:pt>
                <c:pt idx="221">
                  <c:v>-1.7988402031927204E-3</c:v>
                </c:pt>
                <c:pt idx="222">
                  <c:v>-1.7907373194311425E-3</c:v>
                </c:pt>
                <c:pt idx="223">
                  <c:v>-1.7827071072689627E-3</c:v>
                </c:pt>
                <c:pt idx="224">
                  <c:v>-1.7747485934262348E-3</c:v>
                </c:pt>
                <c:pt idx="225">
                  <c:v>-1.7668608219257264E-3</c:v>
                </c:pt>
                <c:pt idx="226">
                  <c:v>-1.7590428537101171E-3</c:v>
                </c:pt>
                <c:pt idx="227">
                  <c:v>-1.751293766269319E-3</c:v>
                </c:pt>
                <c:pt idx="228">
                  <c:v>-1.7436126532776018E-3</c:v>
                </c:pt>
                <c:pt idx="229">
                  <c:v>-1.7359986242402256E-3</c:v>
                </c:pt>
                <c:pt idx="230">
                  <c:v>-1.7284508041492919E-3</c:v>
                </c:pt>
                <c:pt idx="231">
                  <c:v>-1.7209683331485329E-3</c:v>
                </c:pt>
                <c:pt idx="232">
                  <c:v>-1.7135503662067703E-3</c:v>
                </c:pt>
                <c:pt idx="233">
                  <c:v>-1.7061960727997815E-3</c:v>
                </c:pt>
                <c:pt idx="234">
                  <c:v>-1.6989046366003245E-3</c:v>
                </c:pt>
                <c:pt idx="235">
                  <c:v>-1.6916752551760759E-3</c:v>
                </c:pt>
                <c:pt idx="236">
                  <c:v>-1.6845071396952482E-3</c:v>
                </c:pt>
                <c:pt idx="237">
                  <c:v>-1.6773995146396599E-3</c:v>
                </c:pt>
                <c:pt idx="238">
                  <c:v>-1.670351617525039E-3</c:v>
                </c:pt>
                <c:pt idx="239">
                  <c:v>-1.6633626986283481E-3</c:v>
                </c:pt>
                <c:pt idx="240">
                  <c:v>-1.656432020721927E-3</c:v>
                </c:pt>
                <c:pt idx="241">
                  <c:v>-1.6495588588142517E-3</c:v>
                </c:pt>
                <c:pt idx="242">
                  <c:v>-1.6427424998971232E-3</c:v>
                </c:pt>
                <c:pt idx="243">
                  <c:v>-1.6359822426990989E-3</c:v>
                </c:pt>
                <c:pt idx="244">
                  <c:v>-1.6292773974449835E-3</c:v>
                </c:pt>
                <c:pt idx="245">
                  <c:v>-1.6226272856212131E-3</c:v>
                </c:pt>
                <c:pt idx="246">
                  <c:v>-1.6160312397469618E-3</c:v>
                </c:pt>
                <c:pt idx="247">
                  <c:v>-1.6094886031508065E-3</c:v>
                </c:pt>
                <c:pt idx="248">
                  <c:v>-1.6029987297527951E-3</c:v>
                </c:pt>
                <c:pt idx="249">
                  <c:v>-1.5965609838517673E-3</c:v>
                </c:pt>
                <c:pt idx="250">
                  <c:v>-1.5901747399177798E-3</c:v>
                </c:pt>
                <c:pt idx="251">
                  <c:v>-1.5838393823894908E-3</c:v>
                </c:pt>
                <c:pt idx="252">
                  <c:v>-1.5775543054763724E-3</c:v>
                </c:pt>
                <c:pt idx="253">
                  <c:v>-1.5713189129656102E-3</c:v>
                </c:pt>
                <c:pt idx="254">
                  <c:v>-1.5651326180335669E-3</c:v>
                </c:pt>
                <c:pt idx="255">
                  <c:v>-1.5589948430616808E-3</c:v>
                </c:pt>
                <c:pt idx="256">
                  <c:v>-1.5529050194566789E-3</c:v>
                </c:pt>
                <c:pt idx="257">
                  <c:v>-1.5468625874749868E-3</c:v>
                </c:pt>
                <c:pt idx="258">
                  <c:v>-1.5408669960512258E-3</c:v>
                </c:pt>
                <c:pt idx="259">
                  <c:v>-1.5349177026306783E-3</c:v>
                </c:pt>
                <c:pt idx="260">
                  <c:v>-1.52901417300562E-3</c:v>
                </c:pt>
                <c:pt idx="261">
                  <c:v>-1.5231558811554201E-3</c:v>
                </c:pt>
                <c:pt idx="262">
                  <c:v>-1.517342309090294E-3</c:v>
                </c:pt>
                <c:pt idx="263">
                  <c:v>-1.5115729466986297E-3</c:v>
                </c:pt>
                <c:pt idx="264">
                  <c:v>-1.5058472915977781E-3</c:v>
                </c:pt>
                <c:pt idx="265">
                  <c:v>-1.5001648489882241E-3</c:v>
                </c:pt>
                <c:pt idx="266">
                  <c:v>-1.4945251315110462E-3</c:v>
                </c:pt>
                <c:pt idx="267">
                  <c:v>-1.4889276591085806E-3</c:v>
                </c:pt>
                <c:pt idx="268">
                  <c:v>-1.483371958888202E-3</c:v>
                </c:pt>
                <c:pt idx="269">
                  <c:v>-1.4778575649891459E-3</c:v>
                </c:pt>
                <c:pt idx="270">
                  <c:v>-1.4723840184522885E-3</c:v>
                </c:pt>
                <c:pt idx="271">
                  <c:v>-1.4669508670928099E-3</c:v>
                </c:pt>
                <c:pt idx="272">
                  <c:v>-1.4615576653756674E-3</c:v>
                </c:pt>
                <c:pt idx="273">
                  <c:v>-1.4562039742938039E-3</c:v>
                </c:pt>
                <c:pt idx="274">
                  <c:v>-1.4508893612490237E-3</c:v>
                </c:pt>
                <c:pt idx="275">
                  <c:v>-1.4456133999354687E-3</c:v>
                </c:pt>
                <c:pt idx="276">
                  <c:v>-1.4403756702256268E-3</c:v>
                </c:pt>
                <c:pt idx="277">
                  <c:v>-1.4351757580588092E-3</c:v>
                </c:pt>
                <c:pt idx="278">
                  <c:v>-1.4300132553320339E-3</c:v>
                </c:pt>
                <c:pt idx="279">
                  <c:v>-1.4248877597932586E-3</c:v>
                </c:pt>
                <c:pt idx="280">
                  <c:v>-1.4197988749368978E-3</c:v>
                </c:pt>
                <c:pt idx="281">
                  <c:v>-1.4147462099015739E-3</c:v>
                </c:pt>
                <c:pt idx="282">
                  <c:v>-1.4097293793700427E-3</c:v>
                </c:pt>
                <c:pt idx="283">
                  <c:v>-1.4047480034712395E-3</c:v>
                </c:pt>
                <c:pt idx="284">
                  <c:v>-1.3998017076843961E-3</c:v>
                </c:pt>
                <c:pt idx="285">
                  <c:v>-1.3948901227451771E-3</c:v>
                </c:pt>
                <c:pt idx="286">
                  <c:v>-1.3900128845537821E-3</c:v>
                </c:pt>
                <c:pt idx="287">
                  <c:v>-1.385169634084973E-3</c:v>
                </c:pt>
                <c:pt idx="288">
                  <c:v>-1.3803600172999733E-3</c:v>
                </c:pt>
                <c:pt idx="289">
                  <c:v>-1.3755836850601964E-3</c:v>
                </c:pt>
                <c:pt idx="290">
                  <c:v>-1.3708402930427608E-3</c:v>
                </c:pt>
                <c:pt idx="291">
                  <c:v>-1.3661295016577466E-3</c:v>
                </c:pt>
                <c:pt idx="292">
                  <c:v>-1.3614509759671486E-3</c:v>
                </c:pt>
                <c:pt idx="293">
                  <c:v>-1.3568043856054958E-3</c:v>
                </c:pt>
                <c:pt idx="294">
                  <c:v>-1.3521894047020841E-3</c:v>
                </c:pt>
                <c:pt idx="295">
                  <c:v>-1.3476057118047967E-3</c:v>
                </c:pt>
                <c:pt idx="296">
                  <c:v>-1.3430529898054628E-3</c:v>
                </c:pt>
                <c:pt idx="297">
                  <c:v>-1.33853092586673E-3</c:v>
                </c:pt>
                <c:pt idx="298">
                  <c:v>-1.3340392113504039E-3</c:v>
                </c:pt>
                <c:pt idx="299">
                  <c:v>-1.3295775417472302E-3</c:v>
                </c:pt>
                <c:pt idx="300">
                  <c:v>-1.3251456166080771E-3</c:v>
                </c:pt>
                <c:pt idx="301">
                  <c:v>-1.3207431394764925E-3</c:v>
                </c:pt>
                <c:pt idx="302">
                  <c:v>-1.3163698178226004E-3</c:v>
                </c:pt>
                <c:pt idx="303">
                  <c:v>-1.3120253629783042E-3</c:v>
                </c:pt>
                <c:pt idx="304">
                  <c:v>-1.3077094900737732E-3</c:v>
                </c:pt>
                <c:pt idx="305">
                  <c:v>-1.303421917975173E-3</c:v>
                </c:pt>
                <c:pt idx="306">
                  <c:v>-1.2991623692236224E-3</c:v>
                </c:pt>
                <c:pt idx="307">
                  <c:v>-1.2949305699753388E-3</c:v>
                </c:pt>
                <c:pt idx="308">
                  <c:v>-1.2907262499429529E-3</c:v>
                </c:pt>
                <c:pt idx="309">
                  <c:v>-1.2865491423379612E-3</c:v>
                </c:pt>
                <c:pt idx="310">
                  <c:v>-1.2823989838142917E-3</c:v>
                </c:pt>
                <c:pt idx="311">
                  <c:v>-1.2782755144129607E-3</c:v>
                </c:pt>
                <c:pt idx="312">
                  <c:v>-1.2741784775077919E-3</c:v>
                </c:pt>
                <c:pt idx="313">
                  <c:v>-1.2701076197521768E-3</c:v>
                </c:pt>
                <c:pt idx="314">
                  <c:v>-1.2660626910268524E-3</c:v>
                </c:pt>
                <c:pt idx="315">
                  <c:v>-1.2620434443886728E-3</c:v>
                </c:pt>
                <c:pt idx="316">
                  <c:v>-1.2580496360203547E-3</c:v>
                </c:pt>
                <c:pt idx="317">
                  <c:v>-1.2540810251811744E-3</c:v>
                </c:pt>
                <c:pt idx="318">
                  <c:v>-1.2501373741585925E-3</c:v>
                </c:pt>
                <c:pt idx="319">
                  <c:v>-1.246218448220792E-3</c:v>
                </c:pt>
                <c:pt idx="320">
                  <c:v>-1.2423240155701022E-3</c:v>
                </c:pt>
                <c:pt idx="321">
                  <c:v>-1.2384538472972985E-3</c:v>
                </c:pt>
                <c:pt idx="322">
                  <c:v>-1.2346077173367484E-3</c:v>
                </c:pt>
                <c:pt idx="323">
                  <c:v>-1.2307854024223935E-3</c:v>
                </c:pt>
                <c:pt idx="324">
                  <c:v>-1.2269866820445471E-3</c:v>
                </c:pt>
                <c:pt idx="325">
                  <c:v>-1.223211338407487E-3</c:v>
                </c:pt>
                <c:pt idx="326">
                  <c:v>-1.2194591563878324E-3</c:v>
                </c:pt>
                <c:pt idx="327">
                  <c:v>-1.2157299234936802E-3</c:v>
                </c:pt>
                <c:pt idx="328">
                  <c:v>-1.2120234298244924E-3</c:v>
                </c:pt>
                <c:pt idx="329">
                  <c:v>-1.2083394680317129E-3</c:v>
                </c:pt>
                <c:pt idx="330">
                  <c:v>-1.2046778332801017E-3</c:v>
                </c:pt>
                <c:pt idx="331">
                  <c:v>-1.2010383232097693E-3</c:v>
                </c:pt>
                <c:pt idx="332">
                  <c:v>-1.1974207378988965E-3</c:v>
                </c:pt>
                <c:pt idx="333">
                  <c:v>-1.1938248798271281E-3</c:v>
                </c:pt>
                <c:pt idx="334">
                  <c:v>-1.1902505538396219E-3</c:v>
                </c:pt>
                <c:pt idx="335">
                  <c:v>-1.1866975671117423E-3</c:v>
                </c:pt>
                <c:pt idx="336">
                  <c:v>-1.1831657291143862E-3</c:v>
                </c:pt>
                <c:pt idx="337">
                  <c:v>-1.1796548515799221E-3</c:v>
                </c:pt>
                <c:pt idx="338">
                  <c:v>-1.176164748468739E-3</c:v>
                </c:pt>
                <c:pt idx="339">
                  <c:v>-1.1726952359363829E-3</c:v>
                </c:pt>
                <c:pt idx="340">
                  <c:v>-1.1692461323012759E-3</c:v>
                </c:pt>
                <c:pt idx="341">
                  <c:v>-1.1658172580130024E-3</c:v>
                </c:pt>
                <c:pt idx="342">
                  <c:v>-1.1624084356211515E-3</c:v>
                </c:pt>
                <c:pt idx="343">
                  <c:v>-1.1590194897447051E-3</c:v>
                </c:pt>
                <c:pt idx="344">
                  <c:v>-1.155650247041959E-3</c:v>
                </c:pt>
                <c:pt idx="345">
                  <c:v>-1.1523005361809679E-3</c:v>
                </c:pt>
                <c:pt idx="346">
                  <c:v>-1.1489701878105024E-3</c:v>
                </c:pt>
                <c:pt idx="347">
                  <c:v>-1.1456590345315096E-3</c:v>
                </c:pt>
                <c:pt idx="348">
                  <c:v>-1.1423669108690628E-3</c:v>
                </c:pt>
                <c:pt idx="349">
                  <c:v>-1.1390936532447962E-3</c:v>
                </c:pt>
                <c:pt idx="350">
                  <c:v>-1.135839099949811E-3</c:v>
                </c:pt>
                <c:pt idx="351">
                  <c:v>-1.1326030911180452E-3</c:v>
                </c:pt>
                <c:pt idx="352">
                  <c:v>-1.1293854687000962E-3</c:v>
                </c:pt>
                <c:pt idx="353">
                  <c:v>-1.1261860764374897E-3</c:v>
                </c:pt>
                <c:pt idx="354">
                  <c:v>-1.1230047598373839E-3</c:v>
                </c:pt>
                <c:pt idx="355">
                  <c:v>-1.1198413661477012E-3</c:v>
                </c:pt>
                <c:pt idx="356">
                  <c:v>-1.1166957443326795E-3</c:v>
                </c:pt>
                <c:pt idx="357">
                  <c:v>-1.1135677450488345E-3</c:v>
                </c:pt>
                <c:pt idx="358">
                  <c:v>-1.1104572206213238E-3</c:v>
                </c:pt>
                <c:pt idx="359">
                  <c:v>-1.1073640250207073E-3</c:v>
                </c:pt>
                <c:pt idx="360">
                  <c:v>-1.1042880138400941E-3</c:v>
                </c:pt>
                <c:pt idx="361">
                  <c:v>-1.1012290442726702E-3</c:v>
                </c:pt>
                <c:pt idx="362">
                  <c:v>-1.0981869750895964E-3</c:v>
                </c:pt>
                <c:pt idx="363">
                  <c:v>-1.0951616666182752E-3</c:v>
                </c:pt>
                <c:pt idx="364">
                  <c:v>-1.0921529807209724E-3</c:v>
                </c:pt>
                <c:pt idx="365">
                  <c:v>-1.0891607807737916E-3</c:v>
                </c:pt>
                <c:pt idx="366">
                  <c:v>-1.0861849316459943E-3</c:v>
                </c:pt>
                <c:pt idx="367">
                  <c:v>-1.0832252996796565E-3</c:v>
                </c:pt>
                <c:pt idx="368">
                  <c:v>-1.0802817526696573E-3</c:v>
                </c:pt>
                <c:pt idx="369">
                  <c:v>-1.0773541598439944E-3</c:v>
                </c:pt>
                <c:pt idx="370">
                  <c:v>-1.074442391844416E-3</c:v>
                </c:pt>
                <c:pt idx="371">
                  <c:v>-1.0715463207073689E-3</c:v>
                </c:pt>
                <c:pt idx="372">
                  <c:v>-1.0686658198452526E-3</c:v>
                </c:pt>
                <c:pt idx="373">
                  <c:v>-1.065800764027973E-3</c:v>
                </c:pt>
                <c:pt idx="374">
                  <c:v>-1.0629510293647965E-3</c:v>
                </c:pt>
                <c:pt idx="375">
                  <c:v>-1.0601164932864905E-3</c:v>
                </c:pt>
                <c:pt idx="376">
                  <c:v>-1.0572970345277496E-3</c:v>
                </c:pt>
                <c:pt idx="377">
                  <c:v>-1.0544925331099043E-3</c:v>
                </c:pt>
                <c:pt idx="378">
                  <c:v>-1.0517028703238992E-3</c:v>
                </c:pt>
                <c:pt idx="379">
                  <c:v>-1.048927928713546E-3</c:v>
                </c:pt>
                <c:pt idx="380">
                  <c:v>-1.0461675920590365E-3</c:v>
                </c:pt>
                <c:pt idx="381">
                  <c:v>-1.0434217453607188E-3</c:v>
                </c:pt>
                <c:pt idx="382">
                  <c:v>-1.0406902748231253E-3</c:v>
                </c:pt>
                <c:pt idx="383">
                  <c:v>-1.0379730678392531E-3</c:v>
                </c:pt>
                <c:pt idx="384">
                  <c:v>-1.0352700129750883E-3</c:v>
                </c:pt>
                <c:pt idx="385">
                  <c:v>-1.0325809999543738E-3</c:v>
                </c:pt>
                <c:pt idx="386">
                  <c:v>-1.0299059196436111E-3</c:v>
                </c:pt>
                <c:pt idx="387">
                  <c:v>-1.027244664037297E-3</c:v>
                </c:pt>
                <c:pt idx="388">
                  <c:v>-1.0245971262433863E-3</c:v>
                </c:pt>
                <c:pt idx="389">
                  <c:v>-1.0219632004689818E-3</c:v>
                </c:pt>
                <c:pt idx="390">
                  <c:v>-1.0193427820062407E-3</c:v>
                </c:pt>
                <c:pt idx="391">
                  <c:v>-1.0167357672185009E-3</c:v>
                </c:pt>
                <c:pt idx="392">
                  <c:v>-1.0141420535266169E-3</c:v>
                </c:pt>
                <c:pt idx="393">
                  <c:v>-1.0115615393955059E-3</c:v>
                </c:pt>
                <c:pt idx="394">
                  <c:v>-1.0089941243208982E-3</c:v>
                </c:pt>
                <c:pt idx="395">
                  <c:v>-1.0064397088162885E-3</c:v>
                </c:pt>
                <c:pt idx="396">
                  <c:v>-1.0038981944000857E-3</c:v>
                </c:pt>
                <c:pt idx="397">
                  <c:v>-1.0013694835829569E-3</c:v>
                </c:pt>
                <c:pt idx="398">
                  <c:v>-9.9885347985536168E-4</c:v>
                </c:pt>
                <c:pt idx="399">
                  <c:v>-9.9635008767527309E-4</c:v>
                </c:pt>
                <c:pt idx="400">
                  <c:v>-9.9385921245608477E-4</c:v>
                </c:pt>
                <c:pt idx="401">
                  <c:v>-9.9138076055469804E-4</c:v>
                </c:pt>
                <c:pt idx="402">
                  <c:v>-9.8891463925978597E-4</c:v>
                </c:pt>
                <c:pt idx="403">
                  <c:v>-9.8646075678023308E-4</c:v>
                </c:pt>
                <c:pt idx="404">
                  <c:v>-9.8401902223374743E-4</c:v>
                </c:pt>
                <c:pt idx="405">
                  <c:v>-9.8158934563563919E-4</c:v>
                </c:pt>
                <c:pt idx="406">
                  <c:v>-9.7917163788776825E-4</c:v>
                </c:pt>
                <c:pt idx="407">
                  <c:v>-9.7676581076765103E-4</c:v>
                </c:pt>
                <c:pt idx="408">
                  <c:v>-9.7437177691773026E-4</c:v>
                </c:pt>
                <c:pt idx="409">
                  <c:v>-9.7198944983480182E-4</c:v>
                </c:pt>
                <c:pt idx="410">
                  <c:v>-9.696187438595949E-4</c:v>
                </c:pt>
                <c:pt idx="411">
                  <c:v>-9.6725957416650583E-4</c:v>
                </c:pt>
                <c:pt idx="412">
                  <c:v>-9.6491185675348038E-4</c:v>
                </c:pt>
                <c:pt idx="413">
                  <c:v>-9.6257550843204345E-4</c:v>
                </c:pt>
                <c:pt idx="414">
                  <c:v>-9.6025044681747316E-4</c:v>
                </c:pt>
                <c:pt idx="415">
                  <c:v>-9.5793659031911797E-4</c:v>
                </c:pt>
                <c:pt idx="416">
                  <c:v>-9.5563385813085078E-4</c:v>
                </c:pt>
                <c:pt idx="417">
                  <c:v>-9.5334217022166406E-4</c:v>
                </c:pt>
                <c:pt idx="418">
                  <c:v>-9.5106144732639696E-4</c:v>
                </c:pt>
                <c:pt idx="419">
                  <c:v>-9.4879161093659639E-4</c:v>
                </c:pt>
                <c:pt idx="420">
                  <c:v>-9.4653258329150931E-4</c:v>
                </c:pt>
                <c:pt idx="421">
                  <c:v>-9.4428428736920177E-4</c:v>
                </c:pt>
                <c:pt idx="422">
                  <c:v>-9.4204664687780554E-4</c:v>
                </c:pt>
                <c:pt idx="423">
                  <c:v>-9.3981958624688865E-4</c:v>
                </c:pt>
                <c:pt idx="424">
                  <c:v>-9.3760303061894798E-4</c:v>
                </c:pt>
                <c:pt idx="425">
                  <c:v>-9.3539690584102091E-4</c:v>
                </c:pt>
                <c:pt idx="426">
                  <c:v>-9.3320113845641759E-4</c:v>
                </c:pt>
                <c:pt idx="427">
                  <c:v>-9.3101565569656648E-4</c:v>
                </c:pt>
                <c:pt idx="428">
                  <c:v>-9.2884038547297646E-4</c:v>
                </c:pt>
                <c:pt idx="429">
                  <c:v>-9.2667525636930986E-4</c:v>
                </c:pt>
                <c:pt idx="430">
                  <c:v>-9.2452019763356724E-4</c:v>
                </c:pt>
                <c:pt idx="431">
                  <c:v>-9.2237513917038032E-4</c:v>
                </c:pt>
                <c:pt idx="432">
                  <c:v>-9.2024001153341182E-4</c:v>
                </c:pt>
                <c:pt idx="433">
                  <c:v>-9.1811474591786126E-4</c:v>
                </c:pt>
                <c:pt idx="434">
                  <c:v>-9.1599927415307353E-4</c:v>
                </c:pt>
                <c:pt idx="435">
                  <c:v>-9.1389352869525027E-4</c:v>
                </c:pt>
                <c:pt idx="436">
                  <c:v>-9.1179744262026119E-4</c:v>
                </c:pt>
                <c:pt idx="437">
                  <c:v>-9.0971094961655357E-4</c:v>
                </c:pt>
                <c:pt idx="438">
                  <c:v>-9.0763398397815951E-4</c:v>
                </c:pt>
                <c:pt idx="439">
                  <c:v>-9.0556648059779941E-4</c:v>
                </c:pt>
                <c:pt idx="440">
                  <c:v>-9.0350837496007701E-4</c:v>
                </c:pt>
                <c:pt idx="441">
                  <c:v>-9.0145960313477071E-4</c:v>
                </c:pt>
                <c:pt idx="442">
                  <c:v>-8.9942010177021243E-4</c:v>
                </c:pt>
                <c:pt idx="443">
                  <c:v>-8.9738980808675827E-4</c:v>
                </c:pt>
                <c:pt idx="444">
                  <c:v>-8.9536865987034653E-4</c:v>
                </c:pt>
                <c:pt idx="445">
                  <c:v>-8.9335659546614351E-4</c:v>
                </c:pt>
                <c:pt idx="446">
                  <c:v>-8.9135355377227327E-4</c:v>
                </c:pt>
                <c:pt idx="447">
                  <c:v>-8.8935947423363288E-4</c:v>
                </c:pt>
                <c:pt idx="448">
                  <c:v>-8.8737429683579002E-4</c:v>
                </c:pt>
                <c:pt idx="449">
                  <c:v>-8.8539796209896181E-4</c:v>
                </c:pt>
                <c:pt idx="450">
                  <c:v>-8.834304110720753E-4</c:v>
                </c:pt>
                <c:pt idx="451">
                  <c:v>-8.8147158532690445E-4</c:v>
                </c:pt>
                <c:pt idx="452">
                  <c:v>-8.7952142695228741E-4</c:v>
                </c:pt>
                <c:pt idx="453">
                  <c:v>-8.775798785484192E-4</c:v>
                </c:pt>
                <c:pt idx="454">
                  <c:v>-8.7564688322122001E-4</c:v>
                </c:pt>
                <c:pt idx="455">
                  <c:v>-8.7372238457677782E-4</c:v>
                </c:pt>
                <c:pt idx="456">
                  <c:v>-8.7180632671586382E-4</c:v>
                </c:pt>
                <c:pt idx="457">
                  <c:v>-8.6989865422852056E-4</c:v>
                </c:pt>
                <c:pt idx="458">
                  <c:v>-8.6799931218872035E-4</c:v>
                </c:pt>
                <c:pt idx="459">
                  <c:v>-8.6610824614909339E-4</c:v>
                </c:pt>
                <c:pt idx="460">
                  <c:v>-8.6422540213572591E-4</c:v>
                </c:pt>
                <c:pt idx="461">
                  <c:v>-8.6235072664302365E-4</c:v>
                </c:pt>
                <c:pt idx="462">
                  <c:v>-8.6048416662864481E-4</c:v>
                </c:pt>
                <c:pt idx="463">
                  <c:v>-8.5862566950849651E-4</c:v>
                </c:pt>
                <c:pt idx="464">
                  <c:v>-8.5677518315179716E-4</c:v>
                </c:pt>
                <c:pt idx="465">
                  <c:v>-8.5493265587620185E-4</c:v>
                </c:pt>
                <c:pt idx="466">
                  <c:v>-8.5309803644299125E-4</c:v>
                </c:pt>
                <c:pt idx="467">
                  <c:v>-8.51271274052321E-4</c:v>
                </c:pt>
                <c:pt idx="468">
                  <c:v>-8.4945231833853403E-4</c:v>
                </c:pt>
                <c:pt idx="469">
                  <c:v>-8.476411193655308E-4</c:v>
                </c:pt>
                <c:pt idx="470">
                  <c:v>-8.4583762762219987E-4</c:v>
                </c:pt>
                <c:pt idx="471">
                  <c:v>-8.4404179401790635E-4</c:v>
                </c:pt>
                <c:pt idx="472">
                  <c:v>-8.4225356987803794E-4</c:v>
                </c:pt>
                <c:pt idx="473">
                  <c:v>-8.4047290693960663E-4</c:v>
                </c:pt>
                <c:pt idx="474">
                  <c:v>-8.3869975734690702E-4</c:v>
                </c:pt>
                <c:pt idx="475">
                  <c:v>-8.3693407364722938E-4</c:v>
                </c:pt>
                <c:pt idx="476">
                  <c:v>-8.3517580878662595E-4</c:v>
                </c:pt>
                <c:pt idx="477">
                  <c:v>-8.3342491610573157E-4</c:v>
                </c:pt>
                <c:pt idx="478">
                  <c:v>-8.3168134933563585E-4</c:v>
                </c:pt>
                <c:pt idx="479">
                  <c:v>-8.2994506259380786E-4</c:v>
                </c:pt>
                <c:pt idx="480">
                  <c:v>-8.2821601038007072E-4</c:v>
                </c:pt>
                <c:pt idx="481">
                  <c:v>-8.2649414757262772E-4</c:v>
                </c:pt>
                <c:pt idx="482">
                  <c:v>-8.2477942942413675E-4</c:v>
                </c:pt>
                <c:pt idx="483">
                  <c:v>-8.2307181155783415E-4</c:v>
                </c:pt>
                <c:pt idx="484">
                  <c:v>-8.2137124996370652E-4</c:v>
                </c:pt>
                <c:pt idx="485">
                  <c:v>-8.196777009947091E-4</c:v>
                </c:pt>
                <c:pt idx="486">
                  <c:v>-8.1799112136303281E-4</c:v>
                </c:pt>
                <c:pt idx="487">
                  <c:v>-8.1631146813641463E-4</c:v>
                </c:pt>
                <c:pt idx="488">
                  <c:v>-8.1463869873449573E-4</c:v>
                </c:pt>
                <c:pt idx="489">
                  <c:v>-8.1297277092522277E-4</c:v>
                </c:pt>
                <c:pt idx="490">
                  <c:v>-8.1131364282129373E-4</c:v>
                </c:pt>
                <c:pt idx="491">
                  <c:v>-8.0966127287664753E-4</c:v>
                </c:pt>
                <c:pt idx="492">
                  <c:v>-8.0801561988299588E-4</c:v>
                </c:pt>
                <c:pt idx="493">
                  <c:v>-8.0637664296639739E-4</c:v>
                </c:pt>
                <c:pt idx="494">
                  <c:v>-8.0474430158387433E-4</c:v>
                </c:pt>
                <c:pt idx="495">
                  <c:v>-8.0311855552006844E-4</c:v>
                </c:pt>
                <c:pt idx="496">
                  <c:v>-8.0149936488393926E-4</c:v>
                </c:pt>
                <c:pt idx="497">
                  <c:v>-7.9988669010550083E-4</c:v>
                </c:pt>
                <c:pt idx="498">
                  <c:v>-7.9828049193259823E-4</c:v>
                </c:pt>
                <c:pt idx="499">
                  <c:v>-7.9668073142772332E-4</c:v>
                </c:pt>
                <c:pt idx="500">
                  <c:v>-7.9508736996486775E-4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A7-4DF5-8F3D-D1A4496332F8}"/>
            </c:ext>
          </c:extLst>
        </c:ser>
        <c:ser>
          <c:idx val="4"/>
          <c:order val="3"/>
          <c:tx>
            <c:strRef>
              <c:f>NSS!$CR$2</c:f>
              <c:strCache>
                <c:ptCount val="1"/>
                <c:pt idx="0">
                  <c:v>Second hump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NSS!$CN$3:$CN$503</c:f>
              <c:numCache>
                <c:formatCode>General</c:formatCode>
                <c:ptCount val="501"/>
                <c:pt idx="0" formatCode="0">
                  <c:v>9.9999999999999995E-7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 formatCode="0.0">
                  <c:v>32</c:v>
                </c:pt>
                <c:pt idx="65" formatCode="0.0">
                  <c:v>32.5</c:v>
                </c:pt>
                <c:pt idx="66" formatCode="0.0">
                  <c:v>33</c:v>
                </c:pt>
                <c:pt idx="67" formatCode="0.0">
                  <c:v>33.5</c:v>
                </c:pt>
                <c:pt idx="68" formatCode="0.0">
                  <c:v>34</c:v>
                </c:pt>
                <c:pt idx="69" formatCode="0.0">
                  <c:v>34.5</c:v>
                </c:pt>
                <c:pt idx="70" formatCode="0.0">
                  <c:v>35</c:v>
                </c:pt>
                <c:pt idx="71" formatCode="0.0">
                  <c:v>35.5</c:v>
                </c:pt>
                <c:pt idx="72" formatCode="0.0">
                  <c:v>36</c:v>
                </c:pt>
                <c:pt idx="73" formatCode="0.0">
                  <c:v>36.5</c:v>
                </c:pt>
                <c:pt idx="74" formatCode="0.0">
                  <c:v>37</c:v>
                </c:pt>
                <c:pt idx="75" formatCode="0.0">
                  <c:v>37.5</c:v>
                </c:pt>
                <c:pt idx="76" formatCode="0.0">
                  <c:v>38</c:v>
                </c:pt>
                <c:pt idx="77" formatCode="0.0">
                  <c:v>38.5</c:v>
                </c:pt>
                <c:pt idx="78" formatCode="0.0">
                  <c:v>39</c:v>
                </c:pt>
                <c:pt idx="79" formatCode="0.0">
                  <c:v>39.5</c:v>
                </c:pt>
                <c:pt idx="80" formatCode="0.0">
                  <c:v>40</c:v>
                </c:pt>
                <c:pt idx="81" formatCode="0.0">
                  <c:v>40.5</c:v>
                </c:pt>
                <c:pt idx="82" formatCode="0.0">
                  <c:v>41</c:v>
                </c:pt>
                <c:pt idx="83" formatCode="0.0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</c:numCache>
            </c:numRef>
          </c:cat>
          <c:val>
            <c:numRef>
              <c:f>NSS!$CR$3:$CR$503</c:f>
              <c:numCache>
                <c:formatCode>0.00%</c:formatCode>
                <c:ptCount val="501"/>
                <c:pt idx="0">
                  <c:v>2.500368189890718E-9</c:v>
                </c:pt>
                <c:pt idx="1">
                  <c:v>7.9159628932758358E-4</c:v>
                </c:pt>
                <c:pt idx="2">
                  <c:v>1.0330656523379225E-3</c:v>
                </c:pt>
                <c:pt idx="3">
                  <c:v>1.043590606774643E-3</c:v>
                </c:pt>
                <c:pt idx="4">
                  <c:v>9.6772585698538436E-4</c:v>
                </c:pt>
                <c:pt idx="5">
                  <c:v>8.6839949935690018E-4</c:v>
                </c:pt>
                <c:pt idx="6">
                  <c:v>7.7110824926977838E-4</c:v>
                </c:pt>
                <c:pt idx="7">
                  <c:v>6.8469112755196614E-4</c:v>
                </c:pt>
                <c:pt idx="8">
                  <c:v>6.1094067074599545E-4</c:v>
                </c:pt>
                <c:pt idx="9">
                  <c:v>5.4894447461213312E-4</c:v>
                </c:pt>
                <c:pt idx="10">
                  <c:v>4.9697222897276657E-4</c:v>
                </c:pt>
                <c:pt idx="11">
                  <c:v>4.5324190126344284E-4</c:v>
                </c:pt>
                <c:pt idx="12">
                  <c:v>4.1618955107554774E-4</c:v>
                </c:pt>
                <c:pt idx="13">
                  <c:v>3.8453031910728124E-4</c:v>
                </c:pt>
                <c:pt idx="14">
                  <c:v>3.5723968606736852E-4</c:v>
                </c:pt>
                <c:pt idx="15">
                  <c:v>3.3351065995914438E-4</c:v>
                </c:pt>
                <c:pt idx="16">
                  <c:v>3.1270923215993498E-4</c:v>
                </c:pt>
                <c:pt idx="17">
                  <c:v>2.9433581825423006E-4</c:v>
                </c:pt>
                <c:pt idx="18">
                  <c:v>2.7799432695385011E-4</c:v>
                </c:pt>
                <c:pt idx="19">
                  <c:v>2.6336823317628757E-4</c:v>
                </c:pt>
                <c:pt idx="20">
                  <c:v>2.502023833922866E-4</c:v>
                </c:pt>
                <c:pt idx="21">
                  <c:v>2.3828924941636436E-4</c:v>
                </c:pt>
                <c:pt idx="22">
                  <c:v>2.2745854467958555E-4</c:v>
                </c:pt>
                <c:pt idx="23">
                  <c:v>2.1756935122564029E-4</c:v>
                </c:pt>
                <c:pt idx="24">
                  <c:v>2.0850411389418681E-4</c:v>
                </c:pt>
                <c:pt idx="25">
                  <c:v>2.0016402452511909E-4</c:v>
                </c:pt>
                <c:pt idx="26">
                  <c:v>1.9246544531155492E-4</c:v>
                </c:pt>
                <c:pt idx="27">
                  <c:v>1.8533711380469857E-4</c:v>
                </c:pt>
                <c:pt idx="28">
                  <c:v>1.7871794021072447E-4</c:v>
                </c:pt>
                <c:pt idx="29">
                  <c:v>1.7255525707980847E-4</c:v>
                </c:pt>
                <c:pt idx="30">
                  <c:v>1.6680341737950168E-4</c:v>
                </c:pt>
                <c:pt idx="31">
                  <c:v>1.6142266306701827E-4</c:v>
                </c:pt>
                <c:pt idx="32">
                  <c:v>1.5637820538251331E-4</c:v>
                </c:pt>
                <c:pt idx="33">
                  <c:v>1.5163947215073606E-4</c:v>
                </c:pt>
                <c:pt idx="34">
                  <c:v>1.4717948780631088E-4</c:v>
                </c:pt>
                <c:pt idx="35">
                  <c:v>1.4297435964771374E-4</c:v>
                </c:pt>
                <c:pt idx="36">
                  <c:v>1.3900284968929543E-4</c:v>
                </c:pt>
                <c:pt idx="37">
                  <c:v>1.3524601592959738E-4</c:v>
                </c:pt>
                <c:pt idx="38">
                  <c:v>1.3168691025498011E-4</c:v>
                </c:pt>
                <c:pt idx="39">
                  <c:v>1.2831032281636378E-4</c:v>
                </c:pt>
                <c:pt idx="40">
                  <c:v>1.2510256474783892E-4</c:v>
                </c:pt>
                <c:pt idx="41">
                  <c:v>1.2205128268174806E-4</c:v>
                </c:pt>
                <c:pt idx="42">
                  <c:v>1.1914529976121266E-4</c:v>
                </c:pt>
                <c:pt idx="43">
                  <c:v>1.1637447883675957E-4</c:v>
                </c:pt>
                <c:pt idx="44">
                  <c:v>1.1372960431785393E-4</c:v>
                </c:pt>
                <c:pt idx="45">
                  <c:v>1.1120227977751224E-4</c:v>
                </c:pt>
                <c:pt idx="46">
                  <c:v>1.087848389128109E-4</c:v>
                </c:pt>
                <c:pt idx="47">
                  <c:v>1.0647026787212616E-4</c:v>
                </c:pt>
                <c:pt idx="48">
                  <c:v>1.0425213729146349E-4</c:v>
                </c:pt>
                <c:pt idx="49">
                  <c:v>1.0212454265286546E-4</c:v>
                </c:pt>
                <c:pt idx="50">
                  <c:v>1.0008205179980977E-4</c:v>
                </c:pt>
                <c:pt idx="51">
                  <c:v>9.8119658627265276E-5</c:v>
                </c:pt>
                <c:pt idx="52">
                  <c:v>9.6232742115202877E-5</c:v>
                </c:pt>
                <c:pt idx="53">
                  <c:v>9.4417029999821896E-5</c:v>
                </c:pt>
                <c:pt idx="54">
                  <c:v>9.2668566481306756E-5</c:v>
                </c:pt>
                <c:pt idx="55">
                  <c:v>9.0983683454373953E-5</c:v>
                </c:pt>
                <c:pt idx="56">
                  <c:v>8.9358974821260139E-5</c:v>
                </c:pt>
                <c:pt idx="57">
                  <c:v>8.779127350860647E-5</c:v>
                </c:pt>
                <c:pt idx="58">
                  <c:v>8.6277630861906376E-5</c:v>
                </c:pt>
                <c:pt idx="59">
                  <c:v>8.4815298135433394E-5</c:v>
                </c:pt>
                <c:pt idx="60">
                  <c:v>8.3401709833176162E-5</c:v>
                </c:pt>
                <c:pt idx="61">
                  <c:v>8.2034468688369996E-5</c:v>
                </c:pt>
                <c:pt idx="62">
                  <c:v>8.07113320966221E-5</c:v>
                </c:pt>
                <c:pt idx="63">
                  <c:v>7.9430199841120164E-5</c:v>
                </c:pt>
                <c:pt idx="64">
                  <c:v>7.8189102968602658E-5</c:v>
                </c:pt>
                <c:pt idx="65">
                  <c:v>7.6986193692162608E-5</c:v>
                </c:pt>
                <c:pt idx="66">
                  <c:v>7.5819736211978317E-5</c:v>
                </c:pt>
                <c:pt idx="67">
                  <c:v>7.4688098358068205E-5</c:v>
                </c:pt>
                <c:pt idx="68">
                  <c:v>7.3589743970449553E-5</c:v>
                </c:pt>
                <c:pt idx="69">
                  <c:v>7.2523225941892322E-5</c:v>
                </c:pt>
                <c:pt idx="70">
                  <c:v>7.1487179857008141E-5</c:v>
                </c:pt>
                <c:pt idx="71">
                  <c:v>7.0480318168881272E-5</c:v>
                </c:pt>
                <c:pt idx="72">
                  <c:v>6.9501424860980135E-5</c:v>
                </c:pt>
                <c:pt idx="73">
                  <c:v>6.8549350547816019E-5</c:v>
                </c:pt>
                <c:pt idx="74">
                  <c:v>6.7623007972845528E-5</c:v>
                </c:pt>
                <c:pt idx="75">
                  <c:v>6.6721367866540927E-5</c:v>
                </c:pt>
                <c:pt idx="76">
                  <c:v>6.5843455131454876E-5</c:v>
                </c:pt>
                <c:pt idx="77">
                  <c:v>6.4988345324552856E-5</c:v>
                </c:pt>
                <c:pt idx="78">
                  <c:v>6.4155161410135513E-5</c:v>
                </c:pt>
                <c:pt idx="79">
                  <c:v>6.3343070759374292E-5</c:v>
                </c:pt>
                <c:pt idx="80">
                  <c:v>6.2551282374882121E-5</c:v>
                </c:pt>
                <c:pt idx="81">
                  <c:v>6.1779044320871239E-5</c:v>
                </c:pt>
                <c:pt idx="82">
                  <c:v>6.1025641341348416E-5</c:v>
                </c:pt>
                <c:pt idx="83">
                  <c:v>6.0290392650488784E-5</c:v>
                </c:pt>
                <c:pt idx="84">
                  <c:v>5.9572649880840113E-5</c:v>
                </c:pt>
                <c:pt idx="85">
                  <c:v>5.8871795176359646E-5</c:v>
                </c:pt>
                <c:pt idx="86">
                  <c:v>5.8187239418494996E-5</c:v>
                </c:pt>
                <c:pt idx="87">
                  <c:v>5.751842057460425E-5</c:v>
                </c:pt>
                <c:pt idx="88">
                  <c:v>5.6864802158983751E-5</c:v>
                </c:pt>
                <c:pt idx="89">
                  <c:v>5.6225871797646848E-5</c:v>
                </c:pt>
                <c:pt idx="90">
                  <c:v>5.5601139888784101E-5</c:v>
                </c:pt>
                <c:pt idx="91">
                  <c:v>5.4990138351544726E-5</c:v>
                </c:pt>
                <c:pt idx="92">
                  <c:v>5.4392419456419248E-5</c:v>
                </c:pt>
                <c:pt idx="93">
                  <c:v>5.3807554731081405E-5</c:v>
                </c:pt>
                <c:pt idx="94">
                  <c:v>5.3235133936069884E-5</c:v>
                </c:pt>
                <c:pt idx="95">
                  <c:v>5.2674764105163891E-5</c:v>
                </c:pt>
                <c:pt idx="96">
                  <c:v>5.2126068645735094E-5</c:v>
                </c:pt>
                <c:pt idx="97">
                  <c:v>5.1588686494748141E-5</c:v>
                </c:pt>
                <c:pt idx="98">
                  <c:v>5.1062271326434383E-5</c:v>
                </c:pt>
                <c:pt idx="99">
                  <c:v>5.0546490807985556E-5</c:v>
                </c:pt>
                <c:pt idx="100">
                  <c:v>5.0041025899905698E-5</c:v>
                </c:pt>
                <c:pt idx="101">
                  <c:v>4.9545570197926433E-5</c:v>
                </c:pt>
                <c:pt idx="102">
                  <c:v>4.9059829313633038E-5</c:v>
                </c:pt>
                <c:pt idx="103">
                  <c:v>4.8583520291170579E-5</c:v>
                </c:pt>
                <c:pt idx="104">
                  <c:v>4.8116371057601635E-5</c:v>
                </c:pt>
                <c:pt idx="105">
                  <c:v>4.7658119904672092E-5</c:v>
                </c:pt>
                <c:pt idx="106">
                  <c:v>4.7208514999911043E-5</c:v>
                </c:pt>
                <c:pt idx="107">
                  <c:v>4.6767313925145517E-5</c:v>
                </c:pt>
                <c:pt idx="108">
                  <c:v>4.6334283240653432E-5</c:v>
                </c:pt>
                <c:pt idx="109">
                  <c:v>4.5909198073307983E-5</c:v>
                </c:pt>
                <c:pt idx="110">
                  <c:v>4.5491841727187004E-5</c:v>
                </c:pt>
                <c:pt idx="111">
                  <c:v>4.5082005315230352E-5</c:v>
                </c:pt>
                <c:pt idx="112">
                  <c:v>4.4679487410630083E-5</c:v>
                </c:pt>
                <c:pt idx="113">
                  <c:v>4.4284093716730704E-5</c:v>
                </c:pt>
                <c:pt idx="114">
                  <c:v>4.3895636754303242E-5</c:v>
                </c:pt>
                <c:pt idx="115">
                  <c:v>4.3513935565135388E-5</c:v>
                </c:pt>
                <c:pt idx="116">
                  <c:v>4.3138815430953188E-5</c:v>
                </c:pt>
                <c:pt idx="117">
                  <c:v>4.2770107606757007E-5</c:v>
                </c:pt>
                <c:pt idx="118">
                  <c:v>4.2407649067716697E-5</c:v>
                </c:pt>
                <c:pt idx="119">
                  <c:v>4.2051282268828321E-5</c:v>
                </c:pt>
                <c:pt idx="120">
                  <c:v>4.1700854916588081E-5</c:v>
                </c:pt>
                <c:pt idx="121">
                  <c:v>4.1356219751988181E-5</c:v>
                </c:pt>
                <c:pt idx="122">
                  <c:v>4.1017234344184998E-5</c:v>
                </c:pt>
                <c:pt idx="123">
                  <c:v>4.0683760894232275E-5</c:v>
                </c:pt>
                <c:pt idx="124">
                  <c:v>4.035566604831105E-5</c:v>
                </c:pt>
                <c:pt idx="125">
                  <c:v>4.0032820719924563E-5</c:v>
                </c:pt>
                <c:pt idx="126">
                  <c:v>3.9715099920560082E-5</c:v>
                </c:pt>
                <c:pt idx="127">
                  <c:v>3.9402382598350943E-5</c:v>
                </c:pt>
                <c:pt idx="128">
                  <c:v>3.9094551484301329E-5</c:v>
                </c:pt>
                <c:pt idx="129">
                  <c:v>3.8791492945663328E-5</c:v>
                </c:pt>
                <c:pt idx="130">
                  <c:v>3.8493096846081304E-5</c:v>
                </c:pt>
                <c:pt idx="131">
                  <c:v>3.8199256412141755E-5</c:v>
                </c:pt>
                <c:pt idx="132">
                  <c:v>3.7909868105989158E-5</c:v>
                </c:pt>
                <c:pt idx="133">
                  <c:v>3.7624831503688492E-5</c:v>
                </c:pt>
                <c:pt idx="134">
                  <c:v>3.7344049179034102E-5</c:v>
                </c:pt>
                <c:pt idx="135">
                  <c:v>3.7067426592522743E-5</c:v>
                </c:pt>
                <c:pt idx="136">
                  <c:v>3.6794871985224776E-5</c:v>
                </c:pt>
                <c:pt idx="137">
                  <c:v>3.6526296277303434E-5</c:v>
                </c:pt>
                <c:pt idx="138">
                  <c:v>3.6261612970946161E-5</c:v>
                </c:pt>
                <c:pt idx="139">
                  <c:v>3.600073805748612E-5</c:v>
                </c:pt>
                <c:pt idx="140">
                  <c:v>3.574358992850407E-5</c:v>
                </c:pt>
                <c:pt idx="141">
                  <c:v>3.5490089290713258E-5</c:v>
                </c:pt>
                <c:pt idx="142">
                  <c:v>3.5240159084440636E-5</c:v>
                </c:pt>
                <c:pt idx="143">
                  <c:v>3.4993724405528457E-5</c:v>
                </c:pt>
                <c:pt idx="144">
                  <c:v>3.4750712430490067E-5</c:v>
                </c:pt>
                <c:pt idx="145">
                  <c:v>3.4511052344762553E-5</c:v>
                </c:pt>
                <c:pt idx="146">
                  <c:v>3.4274675273908009E-5</c:v>
                </c:pt>
                <c:pt idx="147">
                  <c:v>3.4041514217622924E-5</c:v>
                </c:pt>
                <c:pt idx="148">
                  <c:v>3.3811503986422764E-5</c:v>
                </c:pt>
                <c:pt idx="149">
                  <c:v>3.3584581140876309E-5</c:v>
                </c:pt>
                <c:pt idx="150">
                  <c:v>3.3360683933270463E-5</c:v>
                </c:pt>
                <c:pt idx="151">
                  <c:v>3.3139752251593179E-5</c:v>
                </c:pt>
                <c:pt idx="152">
                  <c:v>3.2921727565727438E-5</c:v>
                </c:pt>
                <c:pt idx="153">
                  <c:v>3.2706552875755358E-5</c:v>
                </c:pt>
                <c:pt idx="154">
                  <c:v>3.2494172662276428E-5</c:v>
                </c:pt>
                <c:pt idx="155">
                  <c:v>3.2284532838648839E-5</c:v>
                </c:pt>
                <c:pt idx="156">
                  <c:v>3.2077580705067757E-5</c:v>
                </c:pt>
                <c:pt idx="157">
                  <c:v>3.1873264904398538E-5</c:v>
                </c:pt>
                <c:pt idx="158">
                  <c:v>3.1671535379687146E-5</c:v>
                </c:pt>
                <c:pt idx="159">
                  <c:v>3.1472343333274022E-5</c:v>
                </c:pt>
                <c:pt idx="160">
                  <c:v>3.1275641187441061E-5</c:v>
                </c:pt>
                <c:pt idx="161">
                  <c:v>3.1081382546525276E-5</c:v>
                </c:pt>
                <c:pt idx="162">
                  <c:v>3.0889522160435619E-5</c:v>
                </c:pt>
                <c:pt idx="163">
                  <c:v>3.0700015889512695E-5</c:v>
                </c:pt>
                <c:pt idx="164">
                  <c:v>3.0512820670674208E-5</c:v>
                </c:pt>
                <c:pt idx="165">
                  <c:v>3.032789448479133E-5</c:v>
                </c:pt>
                <c:pt idx="166">
                  <c:v>3.0145196325244392E-5</c:v>
                </c:pt>
                <c:pt idx="167">
                  <c:v>2.9964686167608199E-5</c:v>
                </c:pt>
                <c:pt idx="168">
                  <c:v>2.9786324940420056E-5</c:v>
                </c:pt>
                <c:pt idx="169">
                  <c:v>2.961007449698562E-5</c:v>
                </c:pt>
                <c:pt idx="170">
                  <c:v>2.9435897588179823E-5</c:v>
                </c:pt>
                <c:pt idx="171">
                  <c:v>2.9263757836202166E-5</c:v>
                </c:pt>
                <c:pt idx="172">
                  <c:v>2.9093619709247498E-5</c:v>
                </c:pt>
                <c:pt idx="173">
                  <c:v>2.8925448497055319E-5</c:v>
                </c:pt>
                <c:pt idx="174">
                  <c:v>2.8759210287302125E-5</c:v>
                </c:pt>
                <c:pt idx="175">
                  <c:v>2.8594871942803256E-5</c:v>
                </c:pt>
                <c:pt idx="176">
                  <c:v>2.8432401079491876E-5</c:v>
                </c:pt>
                <c:pt idx="177">
                  <c:v>2.8271766045144464E-5</c:v>
                </c:pt>
                <c:pt idx="178">
                  <c:v>2.8112935898823424E-5</c:v>
                </c:pt>
                <c:pt idx="179">
                  <c:v>2.7955880391008768E-5</c:v>
                </c:pt>
                <c:pt idx="180">
                  <c:v>2.7800569944392051E-5</c:v>
                </c:pt>
                <c:pt idx="181">
                  <c:v>2.7646975635307016E-5</c:v>
                </c:pt>
                <c:pt idx="182">
                  <c:v>2.7495069175772363E-5</c:v>
                </c:pt>
                <c:pt idx="183">
                  <c:v>2.7344822896123334E-5</c:v>
                </c:pt>
                <c:pt idx="184">
                  <c:v>2.7196209728209624E-5</c:v>
                </c:pt>
                <c:pt idx="185">
                  <c:v>2.7049203189138219E-5</c:v>
                </c:pt>
                <c:pt idx="186">
                  <c:v>2.6903777365540702E-5</c:v>
                </c:pt>
                <c:pt idx="187">
                  <c:v>2.6759906898345289E-5</c:v>
                </c:pt>
                <c:pt idx="188">
                  <c:v>2.6617566968034942E-5</c:v>
                </c:pt>
                <c:pt idx="189">
                  <c:v>2.6476733280373381E-5</c:v>
                </c:pt>
                <c:pt idx="190">
                  <c:v>2.6337382052581946E-5</c:v>
                </c:pt>
                <c:pt idx="191">
                  <c:v>2.6199489999950623E-5</c:v>
                </c:pt>
                <c:pt idx="192">
                  <c:v>2.6063034322867547E-5</c:v>
                </c:pt>
                <c:pt idx="193">
                  <c:v>2.5927992694251657E-5</c:v>
                </c:pt>
                <c:pt idx="194">
                  <c:v>2.579434324737407E-5</c:v>
                </c:pt>
                <c:pt idx="195">
                  <c:v>2.5662064564054203E-5</c:v>
                </c:pt>
                <c:pt idx="196">
                  <c:v>2.5531135663217192E-5</c:v>
                </c:pt>
                <c:pt idx="197">
                  <c:v>2.5401535989799845E-5</c:v>
                </c:pt>
                <c:pt idx="198">
                  <c:v>2.5273245403992778E-5</c:v>
                </c:pt>
                <c:pt idx="199">
                  <c:v>2.5146244170806881E-5</c:v>
                </c:pt>
                <c:pt idx="200">
                  <c:v>2.5020512949952849E-5</c:v>
                </c:pt>
                <c:pt idx="201">
                  <c:v>2.4896032786022737E-5</c:v>
                </c:pt>
                <c:pt idx="202">
                  <c:v>2.4772785098963216E-5</c:v>
                </c:pt>
                <c:pt idx="203">
                  <c:v>2.4650751674830394E-5</c:v>
                </c:pt>
                <c:pt idx="204">
                  <c:v>2.4529914656816519E-5</c:v>
                </c:pt>
                <c:pt idx="205">
                  <c:v>2.4410256536539365E-5</c:v>
                </c:pt>
                <c:pt idx="206">
                  <c:v>2.4291760145585289E-5</c:v>
                </c:pt>
                <c:pt idx="207">
                  <c:v>2.4174408647297441E-5</c:v>
                </c:pt>
                <c:pt idx="208">
                  <c:v>2.4058185528800817E-5</c:v>
                </c:pt>
                <c:pt idx="209">
                  <c:v>2.3943074593256316E-5</c:v>
                </c:pt>
                <c:pt idx="210">
                  <c:v>2.3829059952336046E-5</c:v>
                </c:pt>
                <c:pt idx="211">
                  <c:v>2.3716126018912656E-5</c:v>
                </c:pt>
                <c:pt idx="212">
                  <c:v>2.3604257499955521E-5</c:v>
                </c:pt>
                <c:pt idx="213">
                  <c:v>2.349343938962709E-5</c:v>
                </c:pt>
                <c:pt idx="214">
                  <c:v>2.3383656962572758E-5</c:v>
                </c:pt>
                <c:pt idx="215">
                  <c:v>2.3274895767397999E-5</c:v>
                </c:pt>
                <c:pt idx="216">
                  <c:v>2.3167141620326716E-5</c:v>
                </c:pt>
                <c:pt idx="217">
                  <c:v>2.3060380599034886E-5</c:v>
                </c:pt>
                <c:pt idx="218">
                  <c:v>2.2954599036653991E-5</c:v>
                </c:pt>
                <c:pt idx="219">
                  <c:v>2.2849783515938677E-5</c:v>
                </c:pt>
                <c:pt idx="220">
                  <c:v>2.2745920863593502E-5</c:v>
                </c:pt>
                <c:pt idx="221">
                  <c:v>2.2642998144753707E-5</c:v>
                </c:pt>
                <c:pt idx="222">
                  <c:v>2.2541002657615176E-5</c:v>
                </c:pt>
                <c:pt idx="223">
                  <c:v>2.2439921928208833E-5</c:v>
                </c:pt>
                <c:pt idx="224">
                  <c:v>2.2339743705315041E-5</c:v>
                </c:pt>
                <c:pt idx="225">
                  <c:v>2.2240455955513641E-5</c:v>
                </c:pt>
                <c:pt idx="226">
                  <c:v>2.2142046858365352E-5</c:v>
                </c:pt>
                <c:pt idx="227">
                  <c:v>2.204450480172057E-5</c:v>
                </c:pt>
                <c:pt idx="228">
                  <c:v>2.1947818377151621E-5</c:v>
                </c:pt>
                <c:pt idx="229">
                  <c:v>2.1851976375504672E-5</c:v>
                </c:pt>
                <c:pt idx="230">
                  <c:v>2.1756967782567694E-5</c:v>
                </c:pt>
                <c:pt idx="231">
                  <c:v>2.1662781774850951E-5</c:v>
                </c:pt>
                <c:pt idx="232">
                  <c:v>2.1569407715476594E-5</c:v>
                </c:pt>
                <c:pt idx="233">
                  <c:v>2.147683515017412E-5</c:v>
                </c:pt>
                <c:pt idx="234">
                  <c:v>2.1385053803378503E-5</c:v>
                </c:pt>
                <c:pt idx="235">
                  <c:v>2.1294053574427958E-5</c:v>
                </c:pt>
                <c:pt idx="236">
                  <c:v>2.1203824533858349E-5</c:v>
                </c:pt>
                <c:pt idx="237">
                  <c:v>2.1114356919791433E-5</c:v>
                </c:pt>
                <c:pt idx="238">
                  <c:v>2.102564113441416E-5</c:v>
                </c:pt>
                <c:pt idx="239">
                  <c:v>2.0937667740546317E-5</c:v>
                </c:pt>
                <c:pt idx="240">
                  <c:v>2.085042745829404E-5</c:v>
                </c:pt>
                <c:pt idx="241">
                  <c:v>2.0763911161786599E-5</c:v>
                </c:pt>
                <c:pt idx="242">
                  <c:v>2.067810987599409E-5</c:v>
                </c:pt>
                <c:pt idx="243">
                  <c:v>2.0593014773623745E-5</c:v>
                </c:pt>
                <c:pt idx="244">
                  <c:v>2.0508617172092499E-5</c:v>
                </c:pt>
                <c:pt idx="245">
                  <c:v>2.0424908530573754E-5</c:v>
                </c:pt>
                <c:pt idx="246">
                  <c:v>2.0341880447116137E-5</c:v>
                </c:pt>
                <c:pt idx="247">
                  <c:v>2.0259524655832265E-5</c:v>
                </c:pt>
                <c:pt idx="248">
                  <c:v>2.0177833024155525E-5</c:v>
                </c:pt>
                <c:pt idx="249">
                  <c:v>2.0096797550162931E-5</c:v>
                </c:pt>
                <c:pt idx="250">
                  <c:v>2.0016410359962281E-5</c:v>
                </c:pt>
                <c:pt idx="251">
                  <c:v>1.9936663705141712E-5</c:v>
                </c:pt>
                <c:pt idx="252">
                  <c:v>1.9857549960280041E-5</c:v>
                </c:pt>
                <c:pt idx="253">
                  <c:v>1.9779061620516088E-5</c:v>
                </c:pt>
                <c:pt idx="254">
                  <c:v>1.9701191299175472E-5</c:v>
                </c:pt>
                <c:pt idx="255">
                  <c:v>1.9623931725453214E-5</c:v>
                </c:pt>
                <c:pt idx="256">
                  <c:v>1.9547275742150665E-5</c:v>
                </c:pt>
                <c:pt idx="257">
                  <c:v>1.9471216303465252E-5</c:v>
                </c:pt>
                <c:pt idx="258">
                  <c:v>1.9395746472831664E-5</c:v>
                </c:pt>
                <c:pt idx="259">
                  <c:v>1.932085942081301E-5</c:v>
                </c:pt>
                <c:pt idx="260">
                  <c:v>1.9246548423040652E-5</c:v>
                </c:pt>
                <c:pt idx="261">
                  <c:v>1.9172806858201416E-5</c:v>
                </c:pt>
                <c:pt idx="262">
                  <c:v>1.9099628206070877E-5</c:v>
                </c:pt>
                <c:pt idx="263">
                  <c:v>1.902700604559152E-5</c:v>
                </c:pt>
                <c:pt idx="264">
                  <c:v>1.8954934052994579E-5</c:v>
                </c:pt>
                <c:pt idx="265">
                  <c:v>1.8883405999964414E-5</c:v>
                </c:pt>
                <c:pt idx="266">
                  <c:v>1.8812415751844246E-5</c:v>
                </c:pt>
                <c:pt idx="267">
                  <c:v>1.8741957265882284E-5</c:v>
                </c:pt>
                <c:pt idx="268">
                  <c:v>1.8672024589517051E-5</c:v>
                </c:pt>
                <c:pt idx="269">
                  <c:v>1.8602611858701003E-5</c:v>
                </c:pt>
                <c:pt idx="270">
                  <c:v>1.8533713296261372E-5</c:v>
                </c:pt>
                <c:pt idx="271">
                  <c:v>1.8465323210297305E-5</c:v>
                </c:pt>
                <c:pt idx="272">
                  <c:v>1.8397435992612388E-5</c:v>
                </c:pt>
                <c:pt idx="273">
                  <c:v>1.8330046117181575E-5</c:v>
                </c:pt>
                <c:pt idx="274">
                  <c:v>1.8263148138651717E-5</c:v>
                </c:pt>
                <c:pt idx="275">
                  <c:v>1.81967366908748E-5</c:v>
                </c:pt>
                <c:pt idx="276">
                  <c:v>1.813080648547308E-5</c:v>
                </c:pt>
                <c:pt idx="277">
                  <c:v>1.8065352310435271E-5</c:v>
                </c:pt>
                <c:pt idx="278">
                  <c:v>1.800036902874306E-5</c:v>
                </c:pt>
                <c:pt idx="279">
                  <c:v>1.7935851577027133E-5</c:v>
                </c:pt>
                <c:pt idx="280">
                  <c:v>1.7871794964252035E-5</c:v>
                </c:pt>
                <c:pt idx="281">
                  <c:v>1.7808194270429075E-5</c:v>
                </c:pt>
                <c:pt idx="282">
                  <c:v>1.7745044645356629E-5</c:v>
                </c:pt>
                <c:pt idx="283">
                  <c:v>1.7682341307387173E-5</c:v>
                </c:pt>
                <c:pt idx="284">
                  <c:v>1.7620079542220318E-5</c:v>
                </c:pt>
                <c:pt idx="285">
                  <c:v>1.7558254701721299E-5</c:v>
                </c:pt>
                <c:pt idx="286">
                  <c:v>1.7496862202764229E-5</c:v>
                </c:pt>
                <c:pt idx="287">
                  <c:v>1.7435897526099545E-5</c:v>
                </c:pt>
                <c:pt idx="288">
                  <c:v>1.7375356215245034E-5</c:v>
                </c:pt>
                <c:pt idx="289">
                  <c:v>1.7315233875399894E-5</c:v>
                </c:pt>
                <c:pt idx="290">
                  <c:v>1.7255526172381276E-5</c:v>
                </c:pt>
                <c:pt idx="291">
                  <c:v>1.7196228831582714E-5</c:v>
                </c:pt>
                <c:pt idx="292">
                  <c:v>1.7137337636954005E-5</c:v>
                </c:pt>
                <c:pt idx="293">
                  <c:v>1.7078848430001945E-5</c:v>
                </c:pt>
                <c:pt idx="294">
                  <c:v>1.7020757108811462E-5</c:v>
                </c:pt>
                <c:pt idx="295">
                  <c:v>1.6963059627086675E-5</c:v>
                </c:pt>
                <c:pt idx="296">
                  <c:v>1.6905751993211382E-5</c:v>
                </c:pt>
                <c:pt idx="297">
                  <c:v>1.6848830269328517E-5</c:v>
                </c:pt>
                <c:pt idx="298">
                  <c:v>1.6792290570438155E-5</c:v>
                </c:pt>
                <c:pt idx="299">
                  <c:v>1.673612906351361E-5</c:v>
                </c:pt>
                <c:pt idx="300">
                  <c:v>1.6680341966635232E-5</c:v>
                </c:pt>
                <c:pt idx="301">
                  <c:v>1.6624925548141426E-5</c:v>
                </c:pt>
                <c:pt idx="302">
                  <c:v>1.656987612579659E-5</c:v>
                </c:pt>
                <c:pt idx="303">
                  <c:v>1.6515190065975478E-5</c:v>
                </c:pt>
                <c:pt idx="304">
                  <c:v>1.6460863782863719E-5</c:v>
                </c:pt>
                <c:pt idx="305">
                  <c:v>1.6406893737674002E-5</c:v>
                </c:pt>
                <c:pt idx="306">
                  <c:v>1.6353276437877679E-5</c:v>
                </c:pt>
                <c:pt idx="307">
                  <c:v>1.6300008436451366E-5</c:v>
                </c:pt>
                <c:pt idx="308">
                  <c:v>1.6247086331138214E-5</c:v>
                </c:pt>
                <c:pt idx="309">
                  <c:v>1.6194506763723529E-5</c:v>
                </c:pt>
                <c:pt idx="310">
                  <c:v>1.6142266419324419E-5</c:v>
                </c:pt>
                <c:pt idx="311">
                  <c:v>1.6090362025693149E-5</c:v>
                </c:pt>
                <c:pt idx="312">
                  <c:v>1.6038790352533878E-5</c:v>
                </c:pt>
                <c:pt idx="313">
                  <c:v>1.5987548210832491E-5</c:v>
                </c:pt>
                <c:pt idx="314">
                  <c:v>1.5936632452199269E-5</c:v>
                </c:pt>
                <c:pt idx="315">
                  <c:v>1.5886039968224033E-5</c:v>
                </c:pt>
                <c:pt idx="316">
                  <c:v>1.5835767689843573E-5</c:v>
                </c:pt>
                <c:pt idx="317">
                  <c:v>1.578581258672104E-5</c:v>
                </c:pt>
                <c:pt idx="318">
                  <c:v>1.5736171666637011E-5</c:v>
                </c:pt>
                <c:pt idx="319">
                  <c:v>1.5686841974892068E-5</c:v>
                </c:pt>
                <c:pt idx="320">
                  <c:v>1.563782059372053E-5</c:v>
                </c:pt>
                <c:pt idx="321">
                  <c:v>1.5589104641715173E-5</c:v>
                </c:pt>
                <c:pt idx="322">
                  <c:v>1.5540691273262638E-5</c:v>
                </c:pt>
                <c:pt idx="323">
                  <c:v>1.5492577677989378E-5</c:v>
                </c:pt>
                <c:pt idx="324">
                  <c:v>1.544476108021781E-5</c:v>
                </c:pt>
                <c:pt idx="325">
                  <c:v>1.5397238738432522E-5</c:v>
                </c:pt>
                <c:pt idx="326">
                  <c:v>1.5350007944756347E-5</c:v>
                </c:pt>
                <c:pt idx="327">
                  <c:v>1.5303066024435992E-5</c:v>
                </c:pt>
                <c:pt idx="328">
                  <c:v>1.5256410335337104E-5</c:v>
                </c:pt>
                <c:pt idx="329">
                  <c:v>1.5210038267448541E-5</c:v>
                </c:pt>
                <c:pt idx="330">
                  <c:v>1.5163947242395665E-5</c:v>
                </c:pt>
                <c:pt idx="331">
                  <c:v>1.5118134712962444E-5</c:v>
                </c:pt>
                <c:pt idx="332">
                  <c:v>1.5072598162622196E-5</c:v>
                </c:pt>
                <c:pt idx="333">
                  <c:v>1.5027335105076785E-5</c:v>
                </c:pt>
                <c:pt idx="334">
                  <c:v>1.49823430838041E-5</c:v>
                </c:pt>
                <c:pt idx="335">
                  <c:v>1.4937619671613641E-5</c:v>
                </c:pt>
                <c:pt idx="336">
                  <c:v>1.4893162470210028E-5</c:v>
                </c:pt>
                <c:pt idx="337">
                  <c:v>1.4848969109764301E-5</c:v>
                </c:pt>
                <c:pt idx="338">
                  <c:v>1.480503724849281E-5</c:v>
                </c:pt>
                <c:pt idx="339">
                  <c:v>1.4761364572243569E-5</c:v>
                </c:pt>
                <c:pt idx="340">
                  <c:v>1.4717948794089912E-5</c:v>
                </c:pt>
                <c:pt idx="341">
                  <c:v>1.467478765393129E-5</c:v>
                </c:pt>
                <c:pt idx="342">
                  <c:v>1.4631878918101083E-5</c:v>
                </c:pt>
                <c:pt idx="343">
                  <c:v>1.4589220378981254E-5</c:v>
                </c:pt>
                <c:pt idx="344">
                  <c:v>1.4546809854623749E-5</c:v>
                </c:pt>
                <c:pt idx="345">
                  <c:v>1.4504645188378464E-5</c:v>
                </c:pt>
                <c:pt idx="346">
                  <c:v>1.446272424852766E-5</c:v>
                </c:pt>
                <c:pt idx="347">
                  <c:v>1.4421044927926715E-5</c:v>
                </c:pt>
                <c:pt idx="348">
                  <c:v>1.4379605143651063E-5</c:v>
                </c:pt>
                <c:pt idx="349">
                  <c:v>1.4338402836649196E-5</c:v>
                </c:pt>
                <c:pt idx="350">
                  <c:v>1.4297435971401628E-5</c:v>
                </c:pt>
                <c:pt idx="351">
                  <c:v>1.4256702535585669E-5</c:v>
                </c:pt>
                <c:pt idx="352">
                  <c:v>1.4216200539745938E-5</c:v>
                </c:pt>
                <c:pt idx="353">
                  <c:v>1.4175928016970455E-5</c:v>
                </c:pt>
                <c:pt idx="354">
                  <c:v>1.4135883022572232E-5</c:v>
                </c:pt>
                <c:pt idx="355">
                  <c:v>1.4096063633776254E-5</c:v>
                </c:pt>
                <c:pt idx="356">
                  <c:v>1.4056467949411712E-5</c:v>
                </c:pt>
                <c:pt idx="357">
                  <c:v>1.4017094089609439E-5</c:v>
                </c:pt>
                <c:pt idx="358">
                  <c:v>1.3977940195504384E-5</c:v>
                </c:pt>
                <c:pt idx="359">
                  <c:v>1.3939004428943093E-5</c:v>
                </c:pt>
                <c:pt idx="360">
                  <c:v>1.3900284972196025E-5</c:v>
                </c:pt>
                <c:pt idx="361">
                  <c:v>1.3861780027674708E-5</c:v>
                </c:pt>
                <c:pt idx="362">
                  <c:v>1.3823487817653508E-5</c:v>
                </c:pt>
                <c:pt idx="363">
                  <c:v>1.3785406583996062E-5</c:v>
                </c:pt>
                <c:pt idx="364">
                  <c:v>1.3747534587886181E-5</c:v>
                </c:pt>
                <c:pt idx="365">
                  <c:v>1.3709870109563207E-5</c:v>
                </c:pt>
                <c:pt idx="366">
                  <c:v>1.3672411448061667E-5</c:v>
                </c:pt>
                <c:pt idx="367">
                  <c:v>1.3635156920955233E-5</c:v>
                </c:pt>
                <c:pt idx="368">
                  <c:v>1.3598104864104812E-5</c:v>
                </c:pt>
                <c:pt idx="369">
                  <c:v>1.3561253631410759E-5</c:v>
                </c:pt>
                <c:pt idx="370">
                  <c:v>1.3524601594569109E-5</c:v>
                </c:pt>
                <c:pt idx="371">
                  <c:v>1.3488147142831726E-5</c:v>
                </c:pt>
                <c:pt idx="372">
                  <c:v>1.3451888682770351E-5</c:v>
                </c:pt>
                <c:pt idx="373">
                  <c:v>1.341582463804442E-5</c:v>
                </c:pt>
                <c:pt idx="374">
                  <c:v>1.3379953449172645E-5</c:v>
                </c:pt>
                <c:pt idx="375">
                  <c:v>1.3344273573308184E-5</c:v>
                </c:pt>
                <c:pt idx="376">
                  <c:v>1.3308783484017471E-5</c:v>
                </c:pt>
                <c:pt idx="377">
                  <c:v>1.3273481671062517E-5</c:v>
                </c:pt>
                <c:pt idx="378">
                  <c:v>1.3238366640186691E-5</c:v>
                </c:pt>
                <c:pt idx="379">
                  <c:v>1.3203436912903877E-5</c:v>
                </c:pt>
                <c:pt idx="380">
                  <c:v>1.3168691026290973E-5</c:v>
                </c:pt>
                <c:pt idx="381">
                  <c:v>1.3134127532783647E-5</c:v>
                </c:pt>
                <c:pt idx="382">
                  <c:v>1.3099744999975311E-5</c:v>
                </c:pt>
                <c:pt idx="383">
                  <c:v>1.3065542010419241E-5</c:v>
                </c:pt>
                <c:pt idx="384">
                  <c:v>1.3031517161433774E-5</c:v>
                </c:pt>
                <c:pt idx="385">
                  <c:v>1.299766906491057E-5</c:v>
                </c:pt>
                <c:pt idx="386">
                  <c:v>1.2963996347125829E-5</c:v>
                </c:pt>
                <c:pt idx="387">
                  <c:v>1.2930497648554443E-5</c:v>
                </c:pt>
                <c:pt idx="388">
                  <c:v>1.2897171623687035E-5</c:v>
                </c:pt>
                <c:pt idx="389">
                  <c:v>1.2864016940849793E-5</c:v>
                </c:pt>
                <c:pt idx="390">
                  <c:v>1.2831032282027101E-5</c:v>
                </c:pt>
                <c:pt idx="391">
                  <c:v>1.2798216342686878E-5</c:v>
                </c:pt>
                <c:pt idx="392">
                  <c:v>1.2765567831608596E-5</c:v>
                </c:pt>
                <c:pt idx="393">
                  <c:v>1.2733085470713918E-5</c:v>
                </c:pt>
                <c:pt idx="394">
                  <c:v>1.2700767994899923E-5</c:v>
                </c:pt>
                <c:pt idx="395">
                  <c:v>1.266861415187486E-5</c:v>
                </c:pt>
                <c:pt idx="396">
                  <c:v>1.2636622701996389E-5</c:v>
                </c:pt>
                <c:pt idx="397">
                  <c:v>1.2604792418112268E-5</c:v>
                </c:pt>
                <c:pt idx="398">
                  <c:v>1.257312208540344E-5</c:v>
                </c:pt>
                <c:pt idx="399">
                  <c:v>1.2541610501229498E-5</c:v>
                </c:pt>
                <c:pt idx="400">
                  <c:v>1.2510256474976425E-5</c:v>
                </c:pt>
                <c:pt idx="401">
                  <c:v>1.2479058827906658E-5</c:v>
                </c:pt>
                <c:pt idx="402">
                  <c:v>1.2448016393011369E-5</c:v>
                </c:pt>
                <c:pt idx="403">
                  <c:v>1.2417128014864937E-5</c:v>
                </c:pt>
                <c:pt idx="404">
                  <c:v>1.2386392549481608E-5</c:v>
                </c:pt>
                <c:pt idx="405">
                  <c:v>1.2355808864174246E-5</c:v>
                </c:pt>
                <c:pt idx="406">
                  <c:v>1.2325375837415197E-5</c:v>
                </c:pt>
                <c:pt idx="407">
                  <c:v>1.2295092358699188E-5</c:v>
                </c:pt>
                <c:pt idx="408">
                  <c:v>1.2264957328408259E-5</c:v>
                </c:pt>
                <c:pt idx="409">
                  <c:v>1.2234969657678655E-5</c:v>
                </c:pt>
                <c:pt idx="410">
                  <c:v>1.2205128268269682E-5</c:v>
                </c:pt>
                <c:pt idx="411">
                  <c:v>1.2175432092434476E-5</c:v>
                </c:pt>
                <c:pt idx="412">
                  <c:v>1.2145880072792645E-5</c:v>
                </c:pt>
                <c:pt idx="413">
                  <c:v>1.2116471162204769E-5</c:v>
                </c:pt>
                <c:pt idx="414">
                  <c:v>1.208720432364872E-5</c:v>
                </c:pt>
                <c:pt idx="415">
                  <c:v>1.2058078530097759E-5</c:v>
                </c:pt>
                <c:pt idx="416">
                  <c:v>1.2029092764400409E-5</c:v>
                </c:pt>
                <c:pt idx="417">
                  <c:v>1.2000246019162038E-5</c:v>
                </c:pt>
                <c:pt idx="418">
                  <c:v>1.1971537296628158E-5</c:v>
                </c:pt>
                <c:pt idx="419">
                  <c:v>1.1942965608569379E-5</c:v>
                </c:pt>
                <c:pt idx="420">
                  <c:v>1.1914529976168023E-5</c:v>
                </c:pt>
                <c:pt idx="421">
                  <c:v>1.1886229429906342E-5</c:v>
                </c:pt>
                <c:pt idx="422">
                  <c:v>1.1858063009456328E-5</c:v>
                </c:pt>
                <c:pt idx="423">
                  <c:v>1.1830029763571087E-5</c:v>
                </c:pt>
                <c:pt idx="424">
                  <c:v>1.1802128749977761E-5</c:v>
                </c:pt>
                <c:pt idx="425">
                  <c:v>1.1774359035271931E-5</c:v>
                </c:pt>
                <c:pt idx="426">
                  <c:v>1.1746719694813545E-5</c:v>
                </c:pt>
                <c:pt idx="427">
                  <c:v>1.1719209812624286E-5</c:v>
                </c:pt>
                <c:pt idx="428">
                  <c:v>1.1691828481286379E-5</c:v>
                </c:pt>
                <c:pt idx="429">
                  <c:v>1.166457480184282E-5</c:v>
                </c:pt>
                <c:pt idx="430">
                  <c:v>1.1637447883698999E-5</c:v>
                </c:pt>
                <c:pt idx="431">
                  <c:v>1.1610446844525685E-5</c:v>
                </c:pt>
                <c:pt idx="432">
                  <c:v>1.1583570810163358E-5</c:v>
                </c:pt>
                <c:pt idx="433">
                  <c:v>1.1556818914527875E-5</c:v>
                </c:pt>
                <c:pt idx="434">
                  <c:v>1.1530190299517443E-5</c:v>
                </c:pt>
                <c:pt idx="435">
                  <c:v>1.1503684114920852E-5</c:v>
                </c:pt>
                <c:pt idx="436">
                  <c:v>1.1477299518326996E-5</c:v>
                </c:pt>
                <c:pt idx="437">
                  <c:v>1.145103567503563E-5</c:v>
                </c:pt>
                <c:pt idx="438">
                  <c:v>1.1424891757969339E-5</c:v>
                </c:pt>
                <c:pt idx="439">
                  <c:v>1.1398866947586721E-5</c:v>
                </c:pt>
                <c:pt idx="440">
                  <c:v>1.1372960431796751E-5</c:v>
                </c:pt>
                <c:pt idx="441">
                  <c:v>1.1347171405874306E-5</c:v>
                </c:pt>
                <c:pt idx="442">
                  <c:v>1.1321499072376853E-5</c:v>
                </c:pt>
                <c:pt idx="443">
                  <c:v>1.1295942641062234E-5</c:v>
                </c:pt>
                <c:pt idx="444">
                  <c:v>1.1270501328807588E-5</c:v>
                </c:pt>
                <c:pt idx="445">
                  <c:v>1.124517435952937E-5</c:v>
                </c:pt>
                <c:pt idx="446">
                  <c:v>1.1219960964104417E-5</c:v>
                </c:pt>
                <c:pt idx="447">
                  <c:v>1.1194860380292102E-5</c:v>
                </c:pt>
                <c:pt idx="448">
                  <c:v>1.1169871852657521E-5</c:v>
                </c:pt>
                <c:pt idx="449">
                  <c:v>1.11449946324957E-5</c:v>
                </c:pt>
                <c:pt idx="450">
                  <c:v>1.1120227977756821E-5</c:v>
                </c:pt>
                <c:pt idx="451">
                  <c:v>1.1095571152972438E-5</c:v>
                </c:pt>
                <c:pt idx="452">
                  <c:v>1.1071023429182676E-5</c:v>
                </c:pt>
                <c:pt idx="453">
                  <c:v>1.1046584083864391E-5</c:v>
                </c:pt>
                <c:pt idx="454">
                  <c:v>1.1022252400860285E-5</c:v>
                </c:pt>
                <c:pt idx="455">
                  <c:v>1.0998027670308943E-5</c:v>
                </c:pt>
                <c:pt idx="456">
                  <c:v>1.097390918857581E-5</c:v>
                </c:pt>
                <c:pt idx="457">
                  <c:v>1.0949896258185055E-5</c:v>
                </c:pt>
                <c:pt idx="458">
                  <c:v>1.0925988187752336E-5</c:v>
                </c:pt>
                <c:pt idx="459">
                  <c:v>1.0902184291918452E-5</c:v>
                </c:pt>
                <c:pt idx="460">
                  <c:v>1.0878483891283847E-5</c:v>
                </c:pt>
                <c:pt idx="461">
                  <c:v>1.085488631234397E-5</c:v>
                </c:pt>
                <c:pt idx="462">
                  <c:v>1.0831390887425475E-5</c:v>
                </c:pt>
                <c:pt idx="463">
                  <c:v>1.0807996954623262E-5</c:v>
                </c:pt>
                <c:pt idx="464">
                  <c:v>1.0784703857738297E-5</c:v>
                </c:pt>
                <c:pt idx="465">
                  <c:v>1.076151094621628E-5</c:v>
                </c:pt>
                <c:pt idx="466">
                  <c:v>1.073841757508706E-5</c:v>
                </c:pt>
                <c:pt idx="467">
                  <c:v>1.0715423104904861E-5</c:v>
                </c:pt>
                <c:pt idx="468">
                  <c:v>1.0692526901689252E-5</c:v>
                </c:pt>
                <c:pt idx="469">
                  <c:v>1.0669728336866886E-5</c:v>
                </c:pt>
                <c:pt idx="470">
                  <c:v>1.0647026787213979E-5</c:v>
                </c:pt>
                <c:pt idx="471">
                  <c:v>1.062442163479951E-5</c:v>
                </c:pt>
                <c:pt idx="472">
                  <c:v>1.0601912266929174E-5</c:v>
                </c:pt>
                <c:pt idx="473">
                  <c:v>1.057949807609E-5</c:v>
                </c:pt>
                <c:pt idx="474">
                  <c:v>1.0557178459895716E-5</c:v>
                </c:pt>
                <c:pt idx="475">
                  <c:v>1.0534952821032778E-5</c:v>
                </c:pt>
                <c:pt idx="476">
                  <c:v>1.051282056720708E-5</c:v>
                </c:pt>
                <c:pt idx="477">
                  <c:v>1.0490781111091342E-5</c:v>
                </c:pt>
                <c:pt idx="478">
                  <c:v>1.0468833870273159E-5</c:v>
                </c:pt>
                <c:pt idx="479">
                  <c:v>1.0446978267203695E-5</c:v>
                </c:pt>
                <c:pt idx="480">
                  <c:v>1.042521372914702E-5</c:v>
                </c:pt>
                <c:pt idx="481">
                  <c:v>1.0403539688130084E-5</c:v>
                </c:pt>
                <c:pt idx="482">
                  <c:v>1.03819555808933E-5</c:v>
                </c:pt>
                <c:pt idx="483">
                  <c:v>1.036046084884176E-5</c:v>
                </c:pt>
                <c:pt idx="484">
                  <c:v>1.0339054937997045E-5</c:v>
                </c:pt>
                <c:pt idx="485">
                  <c:v>1.0317737298949629E-5</c:v>
                </c:pt>
                <c:pt idx="486">
                  <c:v>1.0296507386811873E-5</c:v>
                </c:pt>
                <c:pt idx="487">
                  <c:v>1.0275364661171602E-5</c:v>
                </c:pt>
                <c:pt idx="488">
                  <c:v>1.025430858604625E-5</c:v>
                </c:pt>
                <c:pt idx="489">
                  <c:v>1.0233338629837567E-5</c:v>
                </c:pt>
                <c:pt idx="490">
                  <c:v>1.0212454265286877E-5</c:v>
                </c:pt>
                <c:pt idx="491">
                  <c:v>1.0191654969430896E-5</c:v>
                </c:pt>
                <c:pt idx="492">
                  <c:v>1.0170940223558069E-5</c:v>
                </c:pt>
                <c:pt idx="493">
                  <c:v>1.0150309513165456E-5</c:v>
                </c:pt>
                <c:pt idx="494">
                  <c:v>1.0129762327916132E-5</c:v>
                </c:pt>
                <c:pt idx="495">
                  <c:v>1.0109298161597111E-5</c:v>
                </c:pt>
                <c:pt idx="496">
                  <c:v>1.0088916512077763E-5</c:v>
                </c:pt>
                <c:pt idx="497">
                  <c:v>1.0068616881268753E-5</c:v>
                </c:pt>
                <c:pt idx="498">
                  <c:v>1.0048398775081466E-5</c:v>
                </c:pt>
                <c:pt idx="499">
                  <c:v>1.0028261703387916E-5</c:v>
                </c:pt>
                <c:pt idx="500">
                  <c:v>1.0008205179981141E-5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A7-4DF5-8F3D-D1A4496332F8}"/>
            </c:ext>
          </c:extLst>
        </c:ser>
        <c:ser>
          <c:idx val="5"/>
          <c:order val="4"/>
          <c:tx>
            <c:strRef>
              <c:f>NSS!$CS$2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NSS!$CN$3:$CN$503</c:f>
              <c:numCache>
                <c:formatCode>General</c:formatCode>
                <c:ptCount val="501"/>
                <c:pt idx="0" formatCode="0">
                  <c:v>9.9999999999999995E-7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 formatCode="0.0">
                  <c:v>32</c:v>
                </c:pt>
                <c:pt idx="65" formatCode="0.0">
                  <c:v>32.5</c:v>
                </c:pt>
                <c:pt idx="66" formatCode="0.0">
                  <c:v>33</c:v>
                </c:pt>
                <c:pt idx="67" formatCode="0.0">
                  <c:v>33.5</c:v>
                </c:pt>
                <c:pt idx="68" formatCode="0.0">
                  <c:v>34</c:v>
                </c:pt>
                <c:pt idx="69" formatCode="0.0">
                  <c:v>34.5</c:v>
                </c:pt>
                <c:pt idx="70" formatCode="0.0">
                  <c:v>35</c:v>
                </c:pt>
                <c:pt idx="71" formatCode="0.0">
                  <c:v>35.5</c:v>
                </c:pt>
                <c:pt idx="72" formatCode="0.0">
                  <c:v>36</c:v>
                </c:pt>
                <c:pt idx="73" formatCode="0.0">
                  <c:v>36.5</c:v>
                </c:pt>
                <c:pt idx="74" formatCode="0.0">
                  <c:v>37</c:v>
                </c:pt>
                <c:pt idx="75" formatCode="0.0">
                  <c:v>37.5</c:v>
                </c:pt>
                <c:pt idx="76" formatCode="0.0">
                  <c:v>38</c:v>
                </c:pt>
                <c:pt idx="77" formatCode="0.0">
                  <c:v>38.5</c:v>
                </c:pt>
                <c:pt idx="78" formatCode="0.0">
                  <c:v>39</c:v>
                </c:pt>
                <c:pt idx="79" formatCode="0.0">
                  <c:v>39.5</c:v>
                </c:pt>
                <c:pt idx="80" formatCode="0.0">
                  <c:v>40</c:v>
                </c:pt>
                <c:pt idx="81" formatCode="0.0">
                  <c:v>40.5</c:v>
                </c:pt>
                <c:pt idx="82" formatCode="0.0">
                  <c:v>41</c:v>
                </c:pt>
                <c:pt idx="83" formatCode="0.0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  <c:pt idx="360">
                  <c:v>180</c:v>
                </c:pt>
                <c:pt idx="361">
                  <c:v>180.5</c:v>
                </c:pt>
                <c:pt idx="362">
                  <c:v>181</c:v>
                </c:pt>
                <c:pt idx="363">
                  <c:v>181.5</c:v>
                </c:pt>
                <c:pt idx="364">
                  <c:v>182</c:v>
                </c:pt>
                <c:pt idx="365">
                  <c:v>182.5</c:v>
                </c:pt>
                <c:pt idx="366">
                  <c:v>183</c:v>
                </c:pt>
                <c:pt idx="367">
                  <c:v>183.5</c:v>
                </c:pt>
                <c:pt idx="368">
                  <c:v>184</c:v>
                </c:pt>
                <c:pt idx="369">
                  <c:v>184.5</c:v>
                </c:pt>
                <c:pt idx="370">
                  <c:v>185</c:v>
                </c:pt>
                <c:pt idx="371">
                  <c:v>185.5</c:v>
                </c:pt>
                <c:pt idx="372">
                  <c:v>186</c:v>
                </c:pt>
                <c:pt idx="373">
                  <c:v>186.5</c:v>
                </c:pt>
                <c:pt idx="374">
                  <c:v>187</c:v>
                </c:pt>
                <c:pt idx="375">
                  <c:v>187.5</c:v>
                </c:pt>
                <c:pt idx="376">
                  <c:v>188</c:v>
                </c:pt>
                <c:pt idx="377">
                  <c:v>188.5</c:v>
                </c:pt>
                <c:pt idx="378">
                  <c:v>189</c:v>
                </c:pt>
                <c:pt idx="379">
                  <c:v>189.5</c:v>
                </c:pt>
                <c:pt idx="380">
                  <c:v>190</c:v>
                </c:pt>
                <c:pt idx="381">
                  <c:v>190.5</c:v>
                </c:pt>
                <c:pt idx="382">
                  <c:v>191</c:v>
                </c:pt>
                <c:pt idx="383">
                  <c:v>191.5</c:v>
                </c:pt>
                <c:pt idx="384">
                  <c:v>192</c:v>
                </c:pt>
                <c:pt idx="385">
                  <c:v>192.5</c:v>
                </c:pt>
                <c:pt idx="386">
                  <c:v>193</c:v>
                </c:pt>
                <c:pt idx="387">
                  <c:v>193.5</c:v>
                </c:pt>
                <c:pt idx="388">
                  <c:v>194</c:v>
                </c:pt>
                <c:pt idx="389">
                  <c:v>194.5</c:v>
                </c:pt>
                <c:pt idx="390">
                  <c:v>195</c:v>
                </c:pt>
                <c:pt idx="391">
                  <c:v>195.5</c:v>
                </c:pt>
                <c:pt idx="392">
                  <c:v>196</c:v>
                </c:pt>
                <c:pt idx="393">
                  <c:v>196.5</c:v>
                </c:pt>
                <c:pt idx="394">
                  <c:v>197</c:v>
                </c:pt>
                <c:pt idx="395">
                  <c:v>197.5</c:v>
                </c:pt>
                <c:pt idx="396">
                  <c:v>198</c:v>
                </c:pt>
                <c:pt idx="397">
                  <c:v>198.5</c:v>
                </c:pt>
                <c:pt idx="398">
                  <c:v>199</c:v>
                </c:pt>
                <c:pt idx="399">
                  <c:v>199.5</c:v>
                </c:pt>
                <c:pt idx="400">
                  <c:v>200</c:v>
                </c:pt>
                <c:pt idx="401">
                  <c:v>200.5</c:v>
                </c:pt>
                <c:pt idx="402">
                  <c:v>201</c:v>
                </c:pt>
                <c:pt idx="403">
                  <c:v>201.5</c:v>
                </c:pt>
                <c:pt idx="404">
                  <c:v>202</c:v>
                </c:pt>
                <c:pt idx="405">
                  <c:v>202.5</c:v>
                </c:pt>
                <c:pt idx="406">
                  <c:v>203</c:v>
                </c:pt>
                <c:pt idx="407">
                  <c:v>203.5</c:v>
                </c:pt>
                <c:pt idx="408">
                  <c:v>204</c:v>
                </c:pt>
                <c:pt idx="409">
                  <c:v>204.5</c:v>
                </c:pt>
                <c:pt idx="410">
                  <c:v>205</c:v>
                </c:pt>
                <c:pt idx="411">
                  <c:v>205.5</c:v>
                </c:pt>
                <c:pt idx="412">
                  <c:v>206</c:v>
                </c:pt>
                <c:pt idx="413">
                  <c:v>206.5</c:v>
                </c:pt>
                <c:pt idx="414">
                  <c:v>207</c:v>
                </c:pt>
                <c:pt idx="415">
                  <c:v>207.5</c:v>
                </c:pt>
                <c:pt idx="416">
                  <c:v>208</c:v>
                </c:pt>
                <c:pt idx="417">
                  <c:v>208.5</c:v>
                </c:pt>
                <c:pt idx="418">
                  <c:v>209</c:v>
                </c:pt>
                <c:pt idx="419">
                  <c:v>209.5</c:v>
                </c:pt>
                <c:pt idx="420">
                  <c:v>210</c:v>
                </c:pt>
                <c:pt idx="421">
                  <c:v>210.5</c:v>
                </c:pt>
                <c:pt idx="422">
                  <c:v>211</c:v>
                </c:pt>
                <c:pt idx="423">
                  <c:v>211.5</c:v>
                </c:pt>
                <c:pt idx="424">
                  <c:v>212</c:v>
                </c:pt>
                <c:pt idx="425">
                  <c:v>212.5</c:v>
                </c:pt>
                <c:pt idx="426">
                  <c:v>213</c:v>
                </c:pt>
                <c:pt idx="427">
                  <c:v>213.5</c:v>
                </c:pt>
                <c:pt idx="428">
                  <c:v>214</c:v>
                </c:pt>
                <c:pt idx="429">
                  <c:v>214.5</c:v>
                </c:pt>
                <c:pt idx="430">
                  <c:v>215</c:v>
                </c:pt>
                <c:pt idx="431">
                  <c:v>215.5</c:v>
                </c:pt>
                <c:pt idx="432">
                  <c:v>216</c:v>
                </c:pt>
                <c:pt idx="433">
                  <c:v>216.5</c:v>
                </c:pt>
                <c:pt idx="434">
                  <c:v>217</c:v>
                </c:pt>
                <c:pt idx="435">
                  <c:v>217.5</c:v>
                </c:pt>
                <c:pt idx="436">
                  <c:v>218</c:v>
                </c:pt>
                <c:pt idx="437">
                  <c:v>218.5</c:v>
                </c:pt>
                <c:pt idx="438">
                  <c:v>219</c:v>
                </c:pt>
                <c:pt idx="439">
                  <c:v>219.5</c:v>
                </c:pt>
                <c:pt idx="440">
                  <c:v>220</c:v>
                </c:pt>
                <c:pt idx="441">
                  <c:v>220.5</c:v>
                </c:pt>
                <c:pt idx="442">
                  <c:v>221</c:v>
                </c:pt>
                <c:pt idx="443">
                  <c:v>221.5</c:v>
                </c:pt>
                <c:pt idx="444">
                  <c:v>222</c:v>
                </c:pt>
                <c:pt idx="445">
                  <c:v>222.5</c:v>
                </c:pt>
                <c:pt idx="446">
                  <c:v>223</c:v>
                </c:pt>
                <c:pt idx="447">
                  <c:v>223.5</c:v>
                </c:pt>
                <c:pt idx="448">
                  <c:v>224</c:v>
                </c:pt>
                <c:pt idx="449">
                  <c:v>224.5</c:v>
                </c:pt>
                <c:pt idx="450">
                  <c:v>225</c:v>
                </c:pt>
                <c:pt idx="451">
                  <c:v>225.5</c:v>
                </c:pt>
                <c:pt idx="452">
                  <c:v>226</c:v>
                </c:pt>
                <c:pt idx="453">
                  <c:v>226.5</c:v>
                </c:pt>
                <c:pt idx="454">
                  <c:v>227</c:v>
                </c:pt>
                <c:pt idx="455">
                  <c:v>227.5</c:v>
                </c:pt>
                <c:pt idx="456">
                  <c:v>228</c:v>
                </c:pt>
                <c:pt idx="457">
                  <c:v>228.5</c:v>
                </c:pt>
                <c:pt idx="458">
                  <c:v>229</c:v>
                </c:pt>
                <c:pt idx="459">
                  <c:v>229.5</c:v>
                </c:pt>
                <c:pt idx="460">
                  <c:v>230</c:v>
                </c:pt>
                <c:pt idx="461">
                  <c:v>230.5</c:v>
                </c:pt>
                <c:pt idx="462">
                  <c:v>231</c:v>
                </c:pt>
                <c:pt idx="463">
                  <c:v>231.5</c:v>
                </c:pt>
                <c:pt idx="464">
                  <c:v>232</c:v>
                </c:pt>
                <c:pt idx="465">
                  <c:v>232.5</c:v>
                </c:pt>
                <c:pt idx="466">
                  <c:v>233</c:v>
                </c:pt>
                <c:pt idx="467">
                  <c:v>233.5</c:v>
                </c:pt>
                <c:pt idx="468">
                  <c:v>234</c:v>
                </c:pt>
                <c:pt idx="469">
                  <c:v>234.5</c:v>
                </c:pt>
                <c:pt idx="470">
                  <c:v>235</c:v>
                </c:pt>
                <c:pt idx="471">
                  <c:v>235.5</c:v>
                </c:pt>
                <c:pt idx="472">
                  <c:v>236</c:v>
                </c:pt>
                <c:pt idx="473">
                  <c:v>236.5</c:v>
                </c:pt>
                <c:pt idx="474">
                  <c:v>237</c:v>
                </c:pt>
                <c:pt idx="475">
                  <c:v>237.5</c:v>
                </c:pt>
                <c:pt idx="476">
                  <c:v>238</c:v>
                </c:pt>
                <c:pt idx="477">
                  <c:v>238.5</c:v>
                </c:pt>
                <c:pt idx="478">
                  <c:v>239</c:v>
                </c:pt>
                <c:pt idx="479">
                  <c:v>239.5</c:v>
                </c:pt>
                <c:pt idx="480">
                  <c:v>240</c:v>
                </c:pt>
                <c:pt idx="481">
                  <c:v>240.5</c:v>
                </c:pt>
                <c:pt idx="482">
                  <c:v>241</c:v>
                </c:pt>
                <c:pt idx="483">
                  <c:v>241.5</c:v>
                </c:pt>
                <c:pt idx="484">
                  <c:v>242</c:v>
                </c:pt>
                <c:pt idx="485">
                  <c:v>242.5</c:v>
                </c:pt>
                <c:pt idx="486">
                  <c:v>243</c:v>
                </c:pt>
                <c:pt idx="487">
                  <c:v>243.5</c:v>
                </c:pt>
                <c:pt idx="488">
                  <c:v>244</c:v>
                </c:pt>
                <c:pt idx="489">
                  <c:v>244.5</c:v>
                </c:pt>
                <c:pt idx="490">
                  <c:v>245</c:v>
                </c:pt>
                <c:pt idx="491">
                  <c:v>245.5</c:v>
                </c:pt>
                <c:pt idx="492">
                  <c:v>246</c:v>
                </c:pt>
                <c:pt idx="493">
                  <c:v>246.5</c:v>
                </c:pt>
                <c:pt idx="494">
                  <c:v>247</c:v>
                </c:pt>
                <c:pt idx="495">
                  <c:v>247.5</c:v>
                </c:pt>
                <c:pt idx="496">
                  <c:v>248</c:v>
                </c:pt>
                <c:pt idx="497">
                  <c:v>248.5</c:v>
                </c:pt>
                <c:pt idx="498">
                  <c:v>249</c:v>
                </c:pt>
                <c:pt idx="499">
                  <c:v>249.5</c:v>
                </c:pt>
                <c:pt idx="500">
                  <c:v>250</c:v>
                </c:pt>
              </c:numCache>
            </c:numRef>
          </c:cat>
          <c:val>
            <c:numRef>
              <c:f>NSS!$CS$3:$CS$503</c:f>
              <c:numCache>
                <c:formatCode>0.00%</c:formatCode>
                <c:ptCount val="501"/>
                <c:pt idx="0">
                  <c:v>9.3412201041869532E-3</c:v>
                </c:pt>
                <c:pt idx="1">
                  <c:v>9.9244979256183242E-3</c:v>
                </c:pt>
                <c:pt idx="2">
                  <c:v>1.0154107464027229E-2</c:v>
                </c:pt>
                <c:pt idx="3">
                  <c:v>1.0318078247551566E-2</c:v>
                </c:pt>
                <c:pt idx="4">
                  <c:v>1.0533865016292948E-2</c:v>
                </c:pt>
                <c:pt idx="5">
                  <c:v>1.0840856302320612E-2</c:v>
                </c:pt>
                <c:pt idx="6">
                  <c:v>1.1244136350095324E-2</c:v>
                </c:pt>
                <c:pt idx="7">
                  <c:v>1.1734876356061578E-2</c:v>
                </c:pt>
                <c:pt idx="8">
                  <c:v>1.2299608240913286E-2</c:v>
                </c:pt>
                <c:pt idx="9">
                  <c:v>1.2924268577936514E-2</c:v>
                </c:pt>
                <c:pt idx="10">
                  <c:v>1.3595823239384807E-2</c:v>
                </c:pt>
                <c:pt idx="11">
                  <c:v>1.4302802345446411E-2</c:v>
                </c:pt>
                <c:pt idx="12">
                  <c:v>1.5035366389558522E-2</c:v>
                </c:pt>
                <c:pt idx="13">
                  <c:v>1.5785187886790366E-2</c:v>
                </c:pt>
                <c:pt idx="14">
                  <c:v>1.6545274809425903E-2</c:v>
                </c:pt>
                <c:pt idx="15">
                  <c:v>1.7309788960713293E-2</c:v>
                </c:pt>
                <c:pt idx="16">
                  <c:v>1.8073879407007686E-2</c:v>
                </c:pt>
                <c:pt idx="17">
                  <c:v>1.8833536718790376E-2</c:v>
                </c:pt>
                <c:pt idx="18">
                  <c:v>1.9585467924241248E-2</c:v>
                </c:pt>
                <c:pt idx="19">
                  <c:v>2.0326990011955638E-2</c:v>
                </c:pt>
                <c:pt idx="20">
                  <c:v>2.1055939348861429E-2</c:v>
                </c:pt>
                <c:pt idx="21">
                  <c:v>2.1770594524690517E-2</c:v>
                </c:pt>
                <c:pt idx="22">
                  <c:v>2.2469610471550765E-2</c:v>
                </c:pt>
                <c:pt idx="23">
                  <c:v>2.3151962064784364E-2</c:v>
                </c:pt>
                <c:pt idx="24">
                  <c:v>2.3816895728866857E-2</c:v>
                </c:pt>
                <c:pt idx="25">
                  <c:v>2.4463887835317055E-2</c:v>
                </c:pt>
                <c:pt idx="26">
                  <c:v>2.5092608891643903E-2</c:v>
                </c:pt>
                <c:pt idx="27">
                  <c:v>2.5702892689664889E-2</c:v>
                </c:pt>
                <c:pt idx="28">
                  <c:v>2.6294709716885866E-2</c:v>
                </c:pt>
                <c:pt idx="29">
                  <c:v>2.6868144243585391E-2</c:v>
                </c:pt>
                <c:pt idx="30">
                  <c:v>2.7423374586783452E-2</c:v>
                </c:pt>
                <c:pt idx="31">
                  <c:v>2.7960656124973015E-2</c:v>
                </c:pt>
                <c:pt idx="32">
                  <c:v>2.8480306697797272E-2</c:v>
                </c:pt>
                <c:pt idx="33">
                  <c:v>2.8982694075352922E-2</c:v>
                </c:pt>
                <c:pt idx="34">
                  <c:v>2.9468225224437431E-2</c:v>
                </c:pt>
                <c:pt idx="35">
                  <c:v>2.9937337135318296E-2</c:v>
                </c:pt>
                <c:pt idx="36">
                  <c:v>3.0390489003624808E-2</c:v>
                </c:pt>
                <c:pt idx="37">
                  <c:v>3.0828155588637246E-2</c:v>
                </c:pt>
                <c:pt idx="38">
                  <c:v>3.1250821592277642E-2</c:v>
                </c:pt>
                <c:pt idx="39">
                  <c:v>3.1658976923056012E-2</c:v>
                </c:pt>
                <c:pt idx="40">
                  <c:v>3.2053112726552528E-2</c:v>
                </c:pt>
                <c:pt idx="41">
                  <c:v>3.2433718079098714E-2</c:v>
                </c:pt>
                <c:pt idx="42">
                  <c:v>3.2801277254470747E-2</c:v>
                </c:pt>
                <c:pt idx="43">
                  <c:v>3.3156267484889423E-2</c:v>
                </c:pt>
                <c:pt idx="44">
                  <c:v>3.3499157147655459E-2</c:v>
                </c:pt>
                <c:pt idx="45">
                  <c:v>3.3830404317525355E-2</c:v>
                </c:pt>
                <c:pt idx="46">
                  <c:v>3.415045563261377E-2</c:v>
                </c:pt>
                <c:pt idx="47">
                  <c:v>3.4459745428332217E-2</c:v>
                </c:pt>
                <c:pt idx="48">
                  <c:v>3.4758695099762073E-2</c:v>
                </c:pt>
                <c:pt idx="49">
                  <c:v>3.5047712658016032E-2</c:v>
                </c:pt>
                <c:pt idx="50">
                  <c:v>3.5327192450657428E-2</c:v>
                </c:pt>
                <c:pt idx="51">
                  <c:v>3.5597515020200296E-2</c:v>
                </c:pt>
                <c:pt idx="52">
                  <c:v>3.5859047078173396E-2</c:v>
                </c:pt>
                <c:pt idx="53">
                  <c:v>3.6112141575259812E-2</c:v>
                </c:pt>
                <c:pt idx="54">
                  <c:v>3.6357137850672211E-2</c:v>
                </c:pt>
                <c:pt idx="55">
                  <c:v>3.6594361846239126E-2</c:v>
                </c:pt>
                <c:pt idx="56">
                  <c:v>3.6824126372700779E-2</c:v>
                </c:pt>
                <c:pt idx="57">
                  <c:v>3.7046731417478961E-2</c:v>
                </c:pt>
                <c:pt idx="58">
                  <c:v>3.72624644847264E-2</c:v>
                </c:pt>
                <c:pt idx="59">
                  <c:v>3.7471600959803703E-2</c:v>
                </c:pt>
                <c:pt idx="60">
                  <c:v>3.7674404491501855E-2</c:v>
                </c:pt>
                <c:pt idx="61">
                  <c:v>3.7871127386344926E-2</c:v>
                </c:pt>
                <c:pt idx="62">
                  <c:v>3.8062011010191674E-2</c:v>
                </c:pt>
                <c:pt idx="63">
                  <c:v>3.824728619312126E-2</c:v>
                </c:pt>
                <c:pt idx="64">
                  <c:v>3.8427173634252659E-2</c:v>
                </c:pt>
                <c:pt idx="65">
                  <c:v>3.860188430372162E-2</c:v>
                </c:pt>
                <c:pt idx="66">
                  <c:v>3.8771619839535303E-2</c:v>
                </c:pt>
                <c:pt idx="67">
                  <c:v>3.8936572937451744E-2</c:v>
                </c:pt>
                <c:pt idx="68">
                  <c:v>3.9096927732399193E-2</c:v>
                </c:pt>
                <c:pt idx="69">
                  <c:v>3.9252860170264761E-2</c:v>
                </c:pt>
                <c:pt idx="70">
                  <c:v>3.9404538369151539E-2</c:v>
                </c:pt>
                <c:pt idx="71">
                  <c:v>3.9552122969433279E-2</c:v>
                </c:pt>
                <c:pt idx="72">
                  <c:v>3.9695767472129759E-2</c:v>
                </c:pt>
                <c:pt idx="73">
                  <c:v>3.9835618565291941E-2</c:v>
                </c:pt>
                <c:pt idx="74">
                  <c:v>3.9971816438223881E-2</c:v>
                </c:pt>
                <c:pt idx="75">
                  <c:v>4.0104495083485021E-2</c:v>
                </c:pt>
                <c:pt idx="76">
                  <c:v>4.0233782586712771E-2</c:v>
                </c:pt>
                <c:pt idx="77">
                  <c:v>4.0359801404384832E-2</c:v>
                </c:pt>
                <c:pt idx="78">
                  <c:v>4.0482668629705947E-2</c:v>
                </c:pt>
                <c:pt idx="79">
                  <c:v>4.0602496246855774E-2</c:v>
                </c:pt>
                <c:pt idx="80">
                  <c:v>4.0719391373876687E-2</c:v>
                </c:pt>
                <c:pt idx="81">
                  <c:v>4.0833456494512428E-2</c:v>
                </c:pt>
                <c:pt idx="82">
                  <c:v>4.0944789679333168E-2</c:v>
                </c:pt>
                <c:pt idx="83">
                  <c:v>4.1053484796500408E-2</c:v>
                </c:pt>
                <c:pt idx="84">
                  <c:v>4.1159631712537482E-2</c:v>
                </c:pt>
                <c:pt idx="85">
                  <c:v>4.1263316483478529E-2</c:v>
                </c:pt>
                <c:pt idx="86">
                  <c:v>4.1364621536772644E-2</c:v>
                </c:pt>
                <c:pt idx="87">
                  <c:v>4.146362584431957E-2</c:v>
                </c:pt>
                <c:pt idx="88">
                  <c:v>4.1560405087011115E-2</c:v>
                </c:pt>
                <c:pt idx="89">
                  <c:v>4.1655031811146971E-2</c:v>
                </c:pt>
                <c:pt idx="90">
                  <c:v>4.1747575577087442E-2</c:v>
                </c:pt>
                <c:pt idx="91">
                  <c:v>4.1838103100496883E-2</c:v>
                </c:pt>
                <c:pt idx="92">
                  <c:v>4.1926678386522614E-2</c:v>
                </c:pt>
                <c:pt idx="93">
                  <c:v>4.2013362857243677E-2</c:v>
                </c:pt>
                <c:pt idx="94">
                  <c:v>4.2098215472712787E-2</c:v>
                </c:pt>
                <c:pt idx="95">
                  <c:v>4.2181292845903877E-2</c:v>
                </c:pt>
                <c:pt idx="96">
                  <c:v>4.2262649351865439E-2</c:v>
                </c:pt>
                <c:pt idx="97">
                  <c:v>4.2342337231368599E-2</c:v>
                </c:pt>
                <c:pt idx="98">
                  <c:v>4.2420406689326541E-2</c:v>
                </c:pt>
                <c:pt idx="99">
                  <c:v>4.2496905988250615E-2</c:v>
                </c:pt>
                <c:pt idx="100">
                  <c:v>4.2571881536996266E-2</c:v>
                </c:pt>
                <c:pt idx="101">
                  <c:v>4.2645377975040914E-2</c:v>
                </c:pt>
                <c:pt idx="102">
                  <c:v>4.2717438252524539E-2</c:v>
                </c:pt>
                <c:pt idx="103">
                  <c:v>4.2788103706272666E-2</c:v>
                </c:pt>
                <c:pt idx="104">
                  <c:v>4.2857414132011162E-2</c:v>
                </c:pt>
                <c:pt idx="105">
                  <c:v>4.2925407852971671E-2</c:v>
                </c:pt>
                <c:pt idx="106">
                  <c:v>4.2992121785076796E-2</c:v>
                </c:pt>
                <c:pt idx="107">
                  <c:v>4.3057591498884669E-2</c:v>
                </c:pt>
                <c:pt idx="108">
                  <c:v>4.3121851278463089E-2</c:v>
                </c:pt>
                <c:pt idx="109">
                  <c:v>4.3184934177355042E-2</c:v>
                </c:pt>
                <c:pt idx="110">
                  <c:v>4.3246872071788671E-2</c:v>
                </c:pt>
                <c:pt idx="111">
                  <c:v>4.3307695711276878E-2</c:v>
                </c:pt>
                <c:pt idx="112">
                  <c:v>4.3367434766744185E-2</c:v>
                </c:pt>
                <c:pt idx="113">
                  <c:v>4.3426117876310844E-2</c:v>
                </c:pt>
                <c:pt idx="114">
                  <c:v>4.3483772688857739E-2</c:v>
                </c:pt>
                <c:pt idx="115">
                  <c:v>4.3540425905488393E-2</c:v>
                </c:pt>
                <c:pt idx="116">
                  <c:v>4.3596103318998783E-2</c:v>
                </c:pt>
                <c:pt idx="117">
                  <c:v>4.3650829851459058E-2</c:v>
                </c:pt>
                <c:pt idx="118">
                  <c:v>4.3704629590006101E-2</c:v>
                </c:pt>
                <c:pt idx="119">
                  <c:v>4.3757525820940224E-2</c:v>
                </c:pt>
                <c:pt idx="120">
                  <c:v>4.3809541062214324E-2</c:v>
                </c:pt>
                <c:pt idx="121">
                  <c:v>4.3860697094398937E-2</c:v>
                </c:pt>
                <c:pt idx="122">
                  <c:v>4.3911014990202196E-2</c:v>
                </c:pt>
                <c:pt idx="123">
                  <c:v>4.3960515142619179E-2</c:v>
                </c:pt>
                <c:pt idx="124">
                  <c:v>4.4009217291781387E-2</c:v>
                </c:pt>
                <c:pt idx="125">
                  <c:v>4.4057140550572818E-2</c:v>
                </c:pt>
                <c:pt idx="126">
                  <c:v>4.4104303429075897E-2</c:v>
                </c:pt>
                <c:pt idx="127">
                  <c:v>4.4150723857906707E-2</c:v>
                </c:pt>
                <c:pt idx="128">
                  <c:v>4.4196419210495996E-2</c:v>
                </c:pt>
                <c:pt idx="129">
                  <c:v>4.4241406324369244E-2</c:v>
                </c:pt>
                <c:pt idx="130">
                  <c:v>4.4285701521476026E-2</c:v>
                </c:pt>
                <c:pt idx="131">
                  <c:v>4.4329320627616693E-2</c:v>
                </c:pt>
                <c:pt idx="132">
                  <c:v>4.4372278991011024E-2</c:v>
                </c:pt>
                <c:pt idx="133">
                  <c:v>4.4414591500051802E-2</c:v>
                </c:pt>
                <c:pt idx="134">
                  <c:v>4.4456272600283599E-2</c:v>
                </c:pt>
                <c:pt idx="135">
                  <c:v>4.4497336310644751E-2</c:v>
                </c:pt>
                <c:pt idx="136">
                  <c:v>4.4537796239009012E-2</c:v>
                </c:pt>
                <c:pt idx="137">
                  <c:v>4.4577665597060681E-2</c:v>
                </c:pt>
                <c:pt idx="138">
                  <c:v>4.4616957214535929E-2</c:v>
                </c:pt>
                <c:pt idx="139">
                  <c:v>4.4655683552860696E-2</c:v>
                </c:pt>
                <c:pt idx="140">
                  <c:v>4.469385671821436E-2</c:v>
                </c:pt>
                <c:pt idx="141">
                  <c:v>4.473148847404658E-2</c:v>
                </c:pt>
                <c:pt idx="142">
                  <c:v>4.4768590253073406E-2</c:v>
                </c:pt>
                <c:pt idx="143">
                  <c:v>4.4805173168777294E-2</c:v>
                </c:pt>
                <c:pt idx="144">
                  <c:v>4.4841248026434431E-2</c:v>
                </c:pt>
                <c:pt idx="145">
                  <c:v>4.4876825333691528E-2</c:v>
                </c:pt>
                <c:pt idx="146">
                  <c:v>4.4911915310713146E-2</c:v>
                </c:pt>
                <c:pt idx="147">
                  <c:v>4.4946527899919417E-2</c:v>
                </c:pt>
                <c:pt idx="148">
                  <c:v>4.4980672775333082E-2</c:v>
                </c:pt>
                <c:pt idx="149">
                  <c:v>4.5014359351553887E-2</c:v>
                </c:pt>
                <c:pt idx="150">
                  <c:v>4.5047596792377215E-2</c:v>
                </c:pt>
                <c:pt idx="151">
                  <c:v>4.5080394019073163E-2</c:v>
                </c:pt>
                <c:pt idx="152">
                  <c:v>4.5112759718341486E-2</c:v>
                </c:pt>
                <c:pt idx="153">
                  <c:v>4.514470234995685E-2</c:v>
                </c:pt>
                <c:pt idx="154">
                  <c:v>4.5176230154118334E-2</c:v>
                </c:pt>
                <c:pt idx="155">
                  <c:v>4.5207351158516276E-2</c:v>
                </c:pt>
                <c:pt idx="156">
                  <c:v>4.5238073185128937E-2</c:v>
                </c:pt>
                <c:pt idx="157">
                  <c:v>4.5268403856760987E-2</c:v>
                </c:pt>
                <c:pt idx="158">
                  <c:v>4.529835060333489E-2</c:v>
                </c:pt>
                <c:pt idx="159">
                  <c:v>4.5327920667946137E-2</c:v>
                </c:pt>
                <c:pt idx="160">
                  <c:v>4.5357121112692439E-2</c:v>
                </c:pt>
                <c:pt idx="161">
                  <c:v>4.5385958824286622E-2</c:v>
                </c:pt>
                <c:pt idx="162">
                  <c:v>4.5414440519462432E-2</c:v>
                </c:pt>
                <c:pt idx="163">
                  <c:v>4.5442572750182132E-2</c:v>
                </c:pt>
                <c:pt idx="164">
                  <c:v>4.5470361908654271E-2</c:v>
                </c:pt>
                <c:pt idx="165">
                  <c:v>4.5497814232169476E-2</c:v>
                </c:pt>
                <c:pt idx="166">
                  <c:v>4.5524935807762151E-2</c:v>
                </c:pt>
                <c:pt idx="167">
                  <c:v>4.5551732576704952E-2</c:v>
                </c:pt>
                <c:pt idx="168">
                  <c:v>4.5578210338843371E-2</c:v>
                </c:pt>
                <c:pt idx="169">
                  <c:v>4.5604374756776672E-2</c:v>
                </c:pt>
                <c:pt idx="170">
                  <c:v>4.5630231359891631E-2</c:v>
                </c:pt>
                <c:pt idx="171">
                  <c:v>4.5655785548255071E-2</c:v>
                </c:pt>
                <c:pt idx="172">
                  <c:v>4.5681042596370805E-2</c:v>
                </c:pt>
                <c:pt idx="173">
                  <c:v>4.5706007656806651E-2</c:v>
                </c:pt>
                <c:pt idx="174">
                  <c:v>4.5730685763696405E-2</c:v>
                </c:pt>
                <c:pt idx="175">
                  <c:v>4.5755081836122105E-2</c:v>
                </c:pt>
                <c:pt idx="176">
                  <c:v>4.5779200681381062E-2</c:v>
                </c:pt>
                <c:pt idx="177">
                  <c:v>4.5803046998142319E-2</c:v>
                </c:pt>
                <c:pt idx="178">
                  <c:v>4.5826625379496846E-2</c:v>
                </c:pt>
                <c:pt idx="179">
                  <c:v>4.584994031590562E-2</c:v>
                </c:pt>
                <c:pt idx="180">
                  <c:v>4.5872996198049541E-2</c:v>
                </c:pt>
                <c:pt idx="181">
                  <c:v>4.5895797319584958E-2</c:v>
                </c:pt>
                <c:pt idx="182">
                  <c:v>4.591834787980844E-2</c:v>
                </c:pt>
                <c:pt idx="183">
                  <c:v>4.5940651986234295E-2</c:v>
                </c:pt>
                <c:pt idx="184">
                  <c:v>4.5962713657088004E-2</c:v>
                </c:pt>
                <c:pt idx="185">
                  <c:v>4.5984536823719016E-2</c:v>
                </c:pt>
                <c:pt idx="186">
                  <c:v>4.6006125332935549E-2</c:v>
                </c:pt>
                <c:pt idx="187">
                  <c:v>4.6027482949264703E-2</c:v>
                </c:pt>
                <c:pt idx="188">
                  <c:v>4.6048613357140444E-2</c:v>
                </c:pt>
                <c:pt idx="189">
                  <c:v>4.6069520163022092E-2</c:v>
                </c:pt>
                <c:pt idx="190">
                  <c:v>4.6090206897445987E-2</c:v>
                </c:pt>
                <c:pt idx="191">
                  <c:v>4.611067701701279E-2</c:v>
                </c:pt>
                <c:pt idx="192">
                  <c:v>4.6130933906312649E-2</c:v>
                </c:pt>
                <c:pt idx="193">
                  <c:v>4.6150980879790492E-2</c:v>
                </c:pt>
                <c:pt idx="194">
                  <c:v>4.6170821183553812E-2</c:v>
                </c:pt>
                <c:pt idx="195">
                  <c:v>4.6190457997124651E-2</c:v>
                </c:pt>
                <c:pt idx="196">
                  <c:v>4.6209894435138101E-2</c:v>
                </c:pt>
                <c:pt idx="197">
                  <c:v>4.6229133548989047E-2</c:v>
                </c:pt>
                <c:pt idx="198">
                  <c:v>4.6248178328429035E-2</c:v>
                </c:pt>
                <c:pt idx="199">
                  <c:v>4.6267031703114997E-2</c:v>
                </c:pt>
                <c:pt idx="200">
                  <c:v>4.62856965441115E-2</c:v>
                </c:pt>
                <c:pt idx="201">
                  <c:v>4.6304175665348203E-2</c:v>
                </c:pt>
                <c:pt idx="202">
                  <c:v>4.6322471825034024E-2</c:v>
                </c:pt>
                <c:pt idx="203">
                  <c:v>4.6340587727029474E-2</c:v>
                </c:pt>
                <c:pt idx="204">
                  <c:v>4.6358526022178707E-2</c:v>
                </c:pt>
                <c:pt idx="205">
                  <c:v>4.6376289309602518E-2</c:v>
                </c:pt>
                <c:pt idx="206">
                  <c:v>4.6393880137953751E-2</c:v>
                </c:pt>
                <c:pt idx="207">
                  <c:v>4.6411301006636249E-2</c:v>
                </c:pt>
                <c:pt idx="208">
                  <c:v>4.6428554366988714E-2</c:v>
                </c:pt>
                <c:pt idx="209">
                  <c:v>4.6445642623434563E-2</c:v>
                </c:pt>
                <c:pt idx="210">
                  <c:v>4.6462568134598939E-2</c:v>
                </c:pt>
                <c:pt idx="211">
                  <c:v>4.6479333214393875E-2</c:v>
                </c:pt>
                <c:pt idx="212">
                  <c:v>4.6495940133072941E-2</c:v>
                </c:pt>
                <c:pt idx="213">
                  <c:v>4.6512391118255988E-2</c:v>
                </c:pt>
                <c:pt idx="214">
                  <c:v>4.6528688355925267E-2</c:v>
                </c:pt>
                <c:pt idx="215">
                  <c:v>4.6544833991393753E-2</c:v>
                </c:pt>
                <c:pt idx="216">
                  <c:v>4.6560830130246485E-2</c:v>
                </c:pt>
                <c:pt idx="217">
                  <c:v>4.6576678839256043E-2</c:v>
                </c:pt>
                <c:pt idx="218">
                  <c:v>4.6592382147272612E-2</c:v>
                </c:pt>
                <c:pt idx="219">
                  <c:v>4.6607942046089888E-2</c:v>
                </c:pt>
                <c:pt idx="220">
                  <c:v>4.6623360491287194E-2</c:v>
                </c:pt>
                <c:pt idx="221">
                  <c:v>4.6638639403048812E-2</c:v>
                </c:pt>
                <c:pt idx="222">
                  <c:v>4.6653780666961214E-2</c:v>
                </c:pt>
                <c:pt idx="223">
                  <c:v>4.666878613478867E-2</c:v>
                </c:pt>
                <c:pt idx="224">
                  <c:v>4.6683657625228372E-2</c:v>
                </c:pt>
                <c:pt idx="225">
                  <c:v>4.6698396924645107E-2</c:v>
                </c:pt>
                <c:pt idx="226">
                  <c:v>4.6713005787786616E-2</c:v>
                </c:pt>
                <c:pt idx="227">
                  <c:v>4.6727485938480043E-2</c:v>
                </c:pt>
                <c:pt idx="228">
                  <c:v>4.6741839070309973E-2</c:v>
                </c:pt>
                <c:pt idx="229">
                  <c:v>4.6756066847278739E-2</c:v>
                </c:pt>
                <c:pt idx="230">
                  <c:v>4.6770170904449543E-2</c:v>
                </c:pt>
                <c:pt idx="231">
                  <c:v>4.6784152848572833E-2</c:v>
                </c:pt>
                <c:pt idx="232">
                  <c:v>4.6798014258696459E-2</c:v>
                </c:pt>
                <c:pt idx="233">
                  <c:v>4.6811756686760173E-2</c:v>
                </c:pt>
                <c:pt idx="234">
                  <c:v>4.6825381658174896E-2</c:v>
                </c:pt>
                <c:pt idx="235">
                  <c:v>4.6838890672387071E-2</c:v>
                </c:pt>
                <c:pt idx="236">
                  <c:v>4.6852285203428837E-2</c:v>
                </c:pt>
                <c:pt idx="237">
                  <c:v>4.6865566700454157E-2</c:v>
                </c:pt>
                <c:pt idx="238">
                  <c:v>4.6878736588261485E-2</c:v>
                </c:pt>
                <c:pt idx="239">
                  <c:v>4.6891796267803258E-2</c:v>
                </c:pt>
                <c:pt idx="240">
                  <c:v>4.6904747116682743E-2</c:v>
                </c:pt>
                <c:pt idx="241">
                  <c:v>4.6917590489638394E-2</c:v>
                </c:pt>
                <c:pt idx="242">
                  <c:v>4.6930327719016347E-2</c:v>
                </c:pt>
                <c:pt idx="243">
                  <c:v>4.6942960115231101E-2</c:v>
                </c:pt>
                <c:pt idx="244">
                  <c:v>4.6955488967214916E-2</c:v>
                </c:pt>
                <c:pt idx="245">
                  <c:v>4.6967915542856321E-2</c:v>
                </c:pt>
                <c:pt idx="246">
                  <c:v>4.6980241089427749E-2</c:v>
                </c:pt>
                <c:pt idx="247">
                  <c:v>4.6992466834002891E-2</c:v>
                </c:pt>
                <c:pt idx="248">
                  <c:v>4.7004593983863939E-2</c:v>
                </c:pt>
                <c:pt idx="249">
                  <c:v>4.7016623726898986E-2</c:v>
                </c:pt>
                <c:pt idx="250">
                  <c:v>4.7028557231989926E-2</c:v>
                </c:pt>
                <c:pt idx="251">
                  <c:v>4.704039564939106E-2</c:v>
                </c:pt>
                <c:pt idx="252">
                  <c:v>4.7052140111098657E-2</c:v>
                </c:pt>
                <c:pt idx="253">
                  <c:v>4.7063791731211869E-2</c:v>
                </c:pt>
                <c:pt idx="254">
                  <c:v>4.7075351606284919E-2</c:v>
                </c:pt>
                <c:pt idx="255">
                  <c:v>4.7086820815671206E-2</c:v>
                </c:pt>
                <c:pt idx="256">
                  <c:v>4.709820042185927E-2</c:v>
                </c:pt>
                <c:pt idx="257">
                  <c:v>4.7109491470800804E-2</c:v>
                </c:pt>
                <c:pt idx="258">
                  <c:v>4.7120694992231239E-2</c:v>
                </c:pt>
                <c:pt idx="259">
                  <c:v>4.7131811999982724E-2</c:v>
                </c:pt>
                <c:pt idx="260">
                  <c:v>4.7142843492290025E-2</c:v>
                </c:pt>
                <c:pt idx="261">
                  <c:v>4.715379045208927E-2</c:v>
                </c:pt>
                <c:pt idx="262">
                  <c:v>4.7164653847309938E-2</c:v>
                </c:pt>
                <c:pt idx="263">
                  <c:v>4.7175434631160147E-2</c:v>
                </c:pt>
                <c:pt idx="264">
                  <c:v>4.7186133742405469E-2</c:v>
                </c:pt>
                <c:pt idx="265">
                  <c:v>4.7196752105641421E-2</c:v>
                </c:pt>
                <c:pt idx="266">
                  <c:v>4.7207290631559824E-2</c:v>
                </c:pt>
                <c:pt idx="267">
                  <c:v>4.7217750217209212E-2</c:v>
                </c:pt>
                <c:pt idx="268">
                  <c:v>4.7228131746249298E-2</c:v>
                </c:pt>
                <c:pt idx="269">
                  <c:v>4.7238436089199885E-2</c:v>
                </c:pt>
                <c:pt idx="270">
                  <c:v>4.7248664103684189E-2</c:v>
                </c:pt>
                <c:pt idx="271">
                  <c:v>4.7258816634666773E-2</c:v>
                </c:pt>
                <c:pt idx="272">
                  <c:v>4.7268894514686272E-2</c:v>
                </c:pt>
                <c:pt idx="273">
                  <c:v>4.7278898564082926E-2</c:v>
                </c:pt>
                <c:pt idx="274">
                  <c:v>4.7288829591221215E-2</c:v>
                </c:pt>
                <c:pt idx="275">
                  <c:v>4.7298688392707594E-2</c:v>
                </c:pt>
                <c:pt idx="276">
                  <c:v>4.7308475753603516E-2</c:v>
                </c:pt>
                <c:pt idx="277">
                  <c:v>4.7318192447633765E-2</c:v>
                </c:pt>
                <c:pt idx="278">
                  <c:v>4.7327839237390423E-2</c:v>
                </c:pt>
                <c:pt idx="279">
                  <c:v>4.7337416874532343E-2</c:v>
                </c:pt>
                <c:pt idx="280">
                  <c:v>4.734692609998039E-2</c:v>
                </c:pt>
                <c:pt idx="281">
                  <c:v>4.7356367644108534E-2</c:v>
                </c:pt>
                <c:pt idx="282">
                  <c:v>4.7365742226930817E-2</c:v>
                </c:pt>
                <c:pt idx="283">
                  <c:v>4.7375050558284386E-2</c:v>
                </c:pt>
                <c:pt idx="284">
                  <c:v>4.7384293338008712E-2</c:v>
                </c:pt>
                <c:pt idx="285">
                  <c:v>4.739347125612093E-2</c:v>
                </c:pt>
                <c:pt idx="286">
                  <c:v>4.740258499298762E-2</c:v>
                </c:pt>
                <c:pt idx="287">
                  <c:v>4.7411635219492869E-2</c:v>
                </c:pt>
                <c:pt idx="288">
                  <c:v>4.7420622597202949E-2</c:v>
                </c:pt>
                <c:pt idx="289">
                  <c:v>4.7429547778527488E-2</c:v>
                </c:pt>
                <c:pt idx="290">
                  <c:v>4.7438411406877379E-2</c:v>
                </c:pt>
                <c:pt idx="291">
                  <c:v>4.7447214116819368E-2</c:v>
                </c:pt>
                <c:pt idx="292">
                  <c:v>4.745595653422751E-2</c:v>
                </c:pt>
                <c:pt idx="293">
                  <c:v>4.7464639276431506E-2</c:v>
                </c:pt>
                <c:pt idx="294">
                  <c:v>4.7473262952362004E-2</c:v>
                </c:pt>
                <c:pt idx="295">
                  <c:v>4.7481828162692967E-2</c:v>
                </c:pt>
                <c:pt idx="296">
                  <c:v>4.7490335499981155E-2</c:v>
                </c:pt>
                <c:pt idx="297">
                  <c:v>4.7498785548802762E-2</c:v>
                </c:pt>
                <c:pt idx="298">
                  <c:v>4.7507178885887312E-2</c:v>
                </c:pt>
                <c:pt idx="299">
                  <c:v>4.7515516080248892E-2</c:v>
                </c:pt>
                <c:pt idx="300">
                  <c:v>4.7523797693314718E-2</c:v>
                </c:pt>
                <c:pt idx="301">
                  <c:v>4.7532024279051219E-2</c:v>
                </c:pt>
                <c:pt idx="302">
                  <c:v>4.754019638408747E-2</c:v>
                </c:pt>
                <c:pt idx="303">
                  <c:v>4.7548314547836354E-2</c:v>
                </c:pt>
                <c:pt idx="304">
                  <c:v>4.7556379302613201E-2</c:v>
                </c:pt>
                <c:pt idx="305">
                  <c:v>4.7564391173752163E-2</c:v>
                </c:pt>
                <c:pt idx="306">
                  <c:v>4.7572350679720293E-2</c:v>
                </c:pt>
                <c:pt idx="307">
                  <c:v>4.7580258332229348E-2</c:v>
                </c:pt>
                <c:pt idx="308">
                  <c:v>4.7588114636345491E-2</c:v>
                </c:pt>
                <c:pt idx="309">
                  <c:v>4.7595920090596801E-2</c:v>
                </c:pt>
                <c:pt idx="310">
                  <c:v>4.7603675187078746E-2</c:v>
                </c:pt>
                <c:pt idx="311">
                  <c:v>4.7611380411557581E-2</c:v>
                </c:pt>
                <c:pt idx="312">
                  <c:v>4.7619036243571826E-2</c:v>
                </c:pt>
                <c:pt idx="313">
                  <c:v>4.7626643156531652E-2</c:v>
                </c:pt>
                <c:pt idx="314">
                  <c:v>4.7634201617816584E-2</c:v>
                </c:pt>
                <c:pt idx="315">
                  <c:v>4.7641712088871128E-2</c:v>
                </c:pt>
                <c:pt idx="316">
                  <c:v>4.7649175025298758E-2</c:v>
                </c:pt>
                <c:pt idx="317">
                  <c:v>4.7656590876953973E-2</c:v>
                </c:pt>
                <c:pt idx="318">
                  <c:v>4.7663960088032725E-2</c:v>
                </c:pt>
                <c:pt idx="319">
                  <c:v>4.7671283097161149E-2</c:v>
                </c:pt>
                <c:pt idx="320">
                  <c:v>4.7678560337482523E-2</c:v>
                </c:pt>
                <c:pt idx="321">
                  <c:v>4.7685792236742706E-2</c:v>
                </c:pt>
                <c:pt idx="322">
                  <c:v>4.7692979217373928E-2</c:v>
                </c:pt>
                <c:pt idx="323">
                  <c:v>4.7700121696577107E-2</c:v>
                </c:pt>
                <c:pt idx="324">
                  <c:v>4.7707220086402491E-2</c:v>
                </c:pt>
                <c:pt idx="325">
                  <c:v>4.7714274793828948E-2</c:v>
                </c:pt>
                <c:pt idx="326">
                  <c:v>4.7721286220841735E-2</c:v>
                </c:pt>
                <c:pt idx="327">
                  <c:v>4.7728254764508884E-2</c:v>
                </c:pt>
                <c:pt idx="328">
                  <c:v>4.7735180817056119E-2</c:v>
                </c:pt>
                <c:pt idx="329">
                  <c:v>4.7742064765940444E-2</c:v>
                </c:pt>
                <c:pt idx="330">
                  <c:v>4.7748906993922445E-2</c:v>
                </c:pt>
                <c:pt idx="331">
                  <c:v>4.7755707879137181E-2</c:v>
                </c:pt>
                <c:pt idx="332">
                  <c:v>4.7762467795163868E-2</c:v>
                </c:pt>
                <c:pt idx="333">
                  <c:v>4.7769187111094312E-2</c:v>
                </c:pt>
                <c:pt idx="334">
                  <c:v>4.7775866191600014E-2</c:v>
                </c:pt>
                <c:pt idx="335">
                  <c:v>4.7782505396998229E-2</c:v>
                </c:pt>
                <c:pt idx="336">
                  <c:v>4.7789105083316685E-2</c:v>
                </c:pt>
                <c:pt idx="337">
                  <c:v>4.779566560235729E-2</c:v>
                </c:pt>
                <c:pt idx="338">
                  <c:v>4.78021873017586E-2</c:v>
                </c:pt>
                <c:pt idx="339">
                  <c:v>4.7808670525057245E-2</c:v>
                </c:pt>
                <c:pt idx="340">
                  <c:v>4.7815115611748255E-2</c:v>
                </c:pt>
                <c:pt idx="341">
                  <c:v>4.7821522897344301E-2</c:v>
                </c:pt>
                <c:pt idx="342">
                  <c:v>4.7827892713433934E-2</c:v>
                </c:pt>
                <c:pt idx="343">
                  <c:v>4.7834225387738794E-2</c:v>
                </c:pt>
                <c:pt idx="344">
                  <c:v>4.7840521244169786E-2</c:v>
                </c:pt>
                <c:pt idx="345">
                  <c:v>4.7846780602882333E-2</c:v>
                </c:pt>
                <c:pt idx="346">
                  <c:v>4.7853003780330652E-2</c:v>
                </c:pt>
                <c:pt idx="347">
                  <c:v>4.785919108932106E-2</c:v>
                </c:pt>
                <c:pt idx="348">
                  <c:v>4.7865342839064386E-2</c:v>
                </c:pt>
                <c:pt idx="349">
                  <c:v>4.7871459335227518E-2</c:v>
                </c:pt>
                <c:pt idx="350">
                  <c:v>4.7877540879984012E-2</c:v>
                </c:pt>
                <c:pt idx="351">
                  <c:v>4.7883587772063828E-2</c:v>
                </c:pt>
                <c:pt idx="352">
                  <c:v>4.7889600306802289E-2</c:v>
                </c:pt>
                <c:pt idx="353">
                  <c:v>4.7895578776188115E-2</c:v>
                </c:pt>
                <c:pt idx="354">
                  <c:v>4.7901523468910745E-2</c:v>
                </c:pt>
                <c:pt idx="355">
                  <c:v>4.7907434670406777E-2</c:v>
                </c:pt>
                <c:pt idx="356">
                  <c:v>4.7913312662905633E-2</c:v>
                </c:pt>
                <c:pt idx="357">
                  <c:v>4.7919157725474525E-2</c:v>
                </c:pt>
                <c:pt idx="358">
                  <c:v>4.7924970134062585E-2</c:v>
                </c:pt>
                <c:pt idx="359">
                  <c:v>4.7930750161544307E-2</c:v>
                </c:pt>
                <c:pt idx="360">
                  <c:v>4.7936498077762235E-2</c:v>
                </c:pt>
                <c:pt idx="361">
                  <c:v>4.7942214149568986E-2</c:v>
                </c:pt>
                <c:pt idx="362">
                  <c:v>4.7947898640868521E-2</c:v>
                </c:pt>
                <c:pt idx="363">
                  <c:v>4.7953551812656765E-2</c:v>
                </c:pt>
                <c:pt idx="364">
                  <c:v>4.7959173923061552E-2</c:v>
                </c:pt>
                <c:pt idx="365">
                  <c:v>4.7964765227381932E-2</c:v>
                </c:pt>
                <c:pt idx="366">
                  <c:v>4.7970325978126796E-2</c:v>
                </c:pt>
                <c:pt idx="367">
                  <c:v>4.7975856425052872E-2</c:v>
                </c:pt>
                <c:pt idx="368">
                  <c:v>4.7981356815202193E-2</c:v>
                </c:pt>
                <c:pt idx="369">
                  <c:v>4.7986827392938768E-2</c:v>
                </c:pt>
                <c:pt idx="370">
                  <c:v>4.7992268399984883E-2</c:v>
                </c:pt>
                <c:pt idx="371">
                  <c:v>4.7997680075456621E-2</c:v>
                </c:pt>
                <c:pt idx="372">
                  <c:v>4.8003062655898945E-2</c:v>
                </c:pt>
                <c:pt idx="373">
                  <c:v>4.800841637532012E-2</c:v>
                </c:pt>
                <c:pt idx="374">
                  <c:v>4.801374146522569E-2</c:v>
                </c:pt>
                <c:pt idx="375">
                  <c:v>4.801903815465175E-2</c:v>
                </c:pt>
                <c:pt idx="376">
                  <c:v>4.8024306670197893E-2</c:v>
                </c:pt>
                <c:pt idx="377">
                  <c:v>4.8029547236059435E-2</c:v>
                </c:pt>
                <c:pt idx="378">
                  <c:v>4.8034760074059275E-2</c:v>
                </c:pt>
                <c:pt idx="379">
                  <c:v>4.8039945403679167E-2</c:v>
                </c:pt>
                <c:pt idx="380">
                  <c:v>4.8045103442090543E-2</c:v>
                </c:pt>
                <c:pt idx="381">
                  <c:v>4.8050234404184787E-2</c:v>
                </c:pt>
                <c:pt idx="382">
                  <c:v>4.8055338502603157E-2</c:v>
                </c:pt>
                <c:pt idx="383">
                  <c:v>4.8060415947766076E-2</c:v>
                </c:pt>
                <c:pt idx="384">
                  <c:v>4.8065466947902098E-2</c:v>
                </c:pt>
                <c:pt idx="385">
                  <c:v>4.8070491709076374E-2</c:v>
                </c:pt>
                <c:pt idx="386">
                  <c:v>4.8075490435218672E-2</c:v>
                </c:pt>
                <c:pt idx="387">
                  <c:v>4.8080463328150927E-2</c:v>
                </c:pt>
                <c:pt idx="388">
                  <c:v>4.8085410587614445E-2</c:v>
                </c:pt>
                <c:pt idx="389">
                  <c:v>4.8090332411296677E-2</c:v>
                </c:pt>
                <c:pt idx="390">
                  <c:v>4.809522899485745E-2</c:v>
                </c:pt>
                <c:pt idx="391">
                  <c:v>4.8100100531955001E-2</c:v>
                </c:pt>
                <c:pt idx="392">
                  <c:v>4.8104947214271443E-2</c:v>
                </c:pt>
                <c:pt idx="393">
                  <c:v>4.8109769231537924E-2</c:v>
                </c:pt>
                <c:pt idx="394">
                  <c:v>4.8114566771559404E-2</c:v>
                </c:pt>
                <c:pt idx="395">
                  <c:v>4.8119340020239001E-2</c:v>
                </c:pt>
                <c:pt idx="396">
                  <c:v>4.8124089161602039E-2</c:v>
                </c:pt>
                <c:pt idx="397">
                  <c:v>4.8128814377819663E-2</c:v>
                </c:pt>
                <c:pt idx="398">
                  <c:v>4.8133515849232172E-2</c:v>
                </c:pt>
                <c:pt idx="399">
                  <c:v>4.813819375437195E-2</c:v>
                </c:pt>
                <c:pt idx="400">
                  <c:v>4.8142848269986008E-2</c:v>
                </c:pt>
                <c:pt idx="401">
                  <c:v>4.8147479571058367E-2</c:v>
                </c:pt>
                <c:pt idx="402">
                  <c:v>4.8152087830831858E-2</c:v>
                </c:pt>
                <c:pt idx="403">
                  <c:v>4.8156673220829789E-2</c:v>
                </c:pt>
                <c:pt idx="404">
                  <c:v>4.8161235910877245E-2</c:v>
                </c:pt>
                <c:pt idx="405">
                  <c:v>4.8165776069121993E-2</c:v>
                </c:pt>
                <c:pt idx="406">
                  <c:v>4.8170293862055187E-2</c:v>
                </c:pt>
                <c:pt idx="407">
                  <c:v>4.8174789454531707E-2</c:v>
                </c:pt>
                <c:pt idx="408">
                  <c:v>4.817926300979021E-2</c:v>
                </c:pt>
                <c:pt idx="409">
                  <c:v>4.8183714689472877E-2</c:v>
                </c:pt>
                <c:pt idx="410">
                  <c:v>4.818814465364489E-2</c:v>
                </c:pt>
                <c:pt idx="411">
                  <c:v>4.8192553060813638E-2</c:v>
                </c:pt>
                <c:pt idx="412">
                  <c:v>4.8196940067947586E-2</c:v>
                </c:pt>
                <c:pt idx="413">
                  <c:v>4.820130583049493E-2</c:v>
                </c:pt>
                <c:pt idx="414">
                  <c:v>4.8205650502401942E-2</c:v>
                </c:pt>
                <c:pt idx="415">
                  <c:v>4.8209974236131097E-2</c:v>
                </c:pt>
                <c:pt idx="416">
                  <c:v>4.8214277182678858E-2</c:v>
                </c:pt>
                <c:pt idx="417">
                  <c:v>4.8218559491593295E-2</c:v>
                </c:pt>
                <c:pt idx="418">
                  <c:v>4.8222821310991405E-2</c:v>
                </c:pt>
                <c:pt idx="419">
                  <c:v>4.8227062787576144E-2</c:v>
                </c:pt>
                <c:pt idx="420">
                  <c:v>4.8231284066653342E-2</c:v>
                </c:pt>
                <c:pt idx="421">
                  <c:v>4.8235485292148238E-2</c:v>
                </c:pt>
                <c:pt idx="422">
                  <c:v>4.8239666606621816E-2</c:v>
                </c:pt>
                <c:pt idx="423">
                  <c:v>4.8243828151287013E-2</c:v>
                </c:pt>
                <c:pt idx="424">
                  <c:v>4.8247970066024548E-2</c:v>
                </c:pt>
                <c:pt idx="425">
                  <c:v>4.8252092489398608E-2</c:v>
                </c:pt>
                <c:pt idx="426">
                  <c:v>4.8256195558672312E-2</c:v>
                </c:pt>
                <c:pt idx="427">
                  <c:v>4.8260279409822963E-2</c:v>
                </c:pt>
                <c:pt idx="428">
                  <c:v>4.8264344177557025E-2</c:v>
                </c:pt>
                <c:pt idx="429">
                  <c:v>4.8268389995324949E-2</c:v>
                </c:pt>
                <c:pt idx="430">
                  <c:v>4.8272416995335826E-2</c:v>
                </c:pt>
                <c:pt idx="431">
                  <c:v>4.8276425308571715E-2</c:v>
                </c:pt>
                <c:pt idx="432">
                  <c:v>4.8280415064801872E-2</c:v>
                </c:pt>
                <c:pt idx="433">
                  <c:v>4.828438639259678E-2</c:v>
                </c:pt>
                <c:pt idx="434">
                  <c:v>4.8288339419341943E-2</c:v>
                </c:pt>
                <c:pt idx="435">
                  <c:v>4.8292274271251504E-2</c:v>
                </c:pt>
                <c:pt idx="436">
                  <c:v>4.8296191073381671E-2</c:v>
                </c:pt>
                <c:pt idx="437">
                  <c:v>4.8300089949643951E-2</c:v>
                </c:pt>
                <c:pt idx="438">
                  <c:v>4.8303971022818276E-2</c:v>
                </c:pt>
                <c:pt idx="439">
                  <c:v>4.8307834414565841E-2</c:v>
                </c:pt>
                <c:pt idx="440">
                  <c:v>4.8311680245441836E-2</c:v>
                </c:pt>
                <c:pt idx="441">
                  <c:v>4.8315508634907953E-2</c:v>
                </c:pt>
                <c:pt idx="442">
                  <c:v>4.8319319701344808E-2</c:v>
                </c:pt>
                <c:pt idx="443">
                  <c:v>4.8323113562064125E-2</c:v>
                </c:pt>
                <c:pt idx="444">
                  <c:v>4.8326890333320729E-2</c:v>
                </c:pt>
                <c:pt idx="445">
                  <c:v>4.8330650130324504E-2</c:v>
                </c:pt>
                <c:pt idx="446">
                  <c:v>4.8334393067252034E-2</c:v>
                </c:pt>
                <c:pt idx="447">
                  <c:v>4.8338119257258186E-2</c:v>
                </c:pt>
                <c:pt idx="448">
                  <c:v>4.8341828812487518E-2</c:v>
                </c:pt>
                <c:pt idx="449">
                  <c:v>4.834552184408554E-2</c:v>
                </c:pt>
                <c:pt idx="450">
                  <c:v>4.8349198462209794E-2</c:v>
                </c:pt>
                <c:pt idx="451">
                  <c:v>4.8352858776040814E-2</c:v>
                </c:pt>
                <c:pt idx="452">
                  <c:v>4.8356502893792938E-2</c:v>
                </c:pt>
                <c:pt idx="453">
                  <c:v>4.836013092272496E-2</c:v>
                </c:pt>
                <c:pt idx="454">
                  <c:v>4.8363742969150678E-2</c:v>
                </c:pt>
                <c:pt idx="455">
                  <c:v>4.836733913844924E-2</c:v>
                </c:pt>
                <c:pt idx="456">
                  <c:v>4.8370919535075448E-2</c:v>
                </c:pt>
                <c:pt idx="457">
                  <c:v>4.8374484262569815E-2</c:v>
                </c:pt>
                <c:pt idx="458">
                  <c:v>4.8378033423568577E-2</c:v>
                </c:pt>
                <c:pt idx="459">
                  <c:v>4.8381567119813521E-2</c:v>
                </c:pt>
                <c:pt idx="460">
                  <c:v>4.8385085452161761E-2</c:v>
                </c:pt>
                <c:pt idx="461">
                  <c:v>4.8388588520595237E-2</c:v>
                </c:pt>
                <c:pt idx="462">
                  <c:v>4.8392076424230317E-2</c:v>
                </c:pt>
                <c:pt idx="463">
                  <c:v>4.8395549261327012E-2</c:v>
                </c:pt>
                <c:pt idx="464">
                  <c:v>4.8399007129298288E-2</c:v>
                </c:pt>
                <c:pt idx="465">
                  <c:v>4.8402450124719151E-2</c:v>
                </c:pt>
                <c:pt idx="466">
                  <c:v>4.8405878343335637E-2</c:v>
                </c:pt>
                <c:pt idx="467">
                  <c:v>4.8409291880073674E-2</c:v>
                </c:pt>
                <c:pt idx="468">
                  <c:v>4.8412690829047873E-2</c:v>
                </c:pt>
                <c:pt idx="469">
                  <c:v>4.8416075283570163E-2</c:v>
                </c:pt>
                <c:pt idx="470">
                  <c:v>4.8419445336158308E-2</c:v>
                </c:pt>
                <c:pt idx="471">
                  <c:v>4.8422801078544388E-2</c:v>
                </c:pt>
                <c:pt idx="472">
                  <c:v>4.8426142601683063E-2</c:v>
                </c:pt>
                <c:pt idx="473">
                  <c:v>4.8429469995759845E-2</c:v>
                </c:pt>
                <c:pt idx="474">
                  <c:v>4.8432783350199168E-2</c:v>
                </c:pt>
                <c:pt idx="475">
                  <c:v>4.8436082753672428E-2</c:v>
                </c:pt>
                <c:pt idx="476">
                  <c:v>4.8439368294105896E-2</c:v>
                </c:pt>
                <c:pt idx="477">
                  <c:v>4.8442640058688487E-2</c:v>
                </c:pt>
                <c:pt idx="478">
                  <c:v>4.8445898133879506E-2</c:v>
                </c:pt>
                <c:pt idx="479">
                  <c:v>4.8449142605416294E-2</c:v>
                </c:pt>
                <c:pt idx="480">
                  <c:v>4.8452373558321681E-2</c:v>
                </c:pt>
                <c:pt idx="481">
                  <c:v>4.8455591076911449E-2</c:v>
                </c:pt>
                <c:pt idx="482">
                  <c:v>4.8458795244801671E-2</c:v>
                </c:pt>
                <c:pt idx="483">
                  <c:v>4.8461986144915953E-2</c:v>
                </c:pt>
                <c:pt idx="484">
                  <c:v>4.846516385949258E-2</c:v>
                </c:pt>
                <c:pt idx="485">
                  <c:v>4.8468328470091554E-2</c:v>
                </c:pt>
                <c:pt idx="486">
                  <c:v>4.8471480057601657E-2</c:v>
                </c:pt>
                <c:pt idx="487">
                  <c:v>4.8474618702247244E-2</c:v>
                </c:pt>
                <c:pt idx="488">
                  <c:v>4.8477744483595098E-2</c:v>
                </c:pt>
                <c:pt idx="489">
                  <c:v>4.8480857480561156E-2</c:v>
                </c:pt>
                <c:pt idx="490">
                  <c:v>4.848395777141716E-2</c:v>
                </c:pt>
                <c:pt idx="491">
                  <c:v>4.8487045433797164E-2</c:v>
                </c:pt>
                <c:pt idx="492">
                  <c:v>4.8490120544704078E-2</c:v>
                </c:pt>
                <c:pt idx="493">
                  <c:v>4.8493183180516035E-2</c:v>
                </c:pt>
                <c:pt idx="494">
                  <c:v>4.8496233416992725E-2</c:v>
                </c:pt>
                <c:pt idx="495">
                  <c:v>4.8499271329281626E-2</c:v>
                </c:pt>
                <c:pt idx="496">
                  <c:v>4.850229699192421E-2</c:v>
                </c:pt>
                <c:pt idx="497">
                  <c:v>4.8505310478861988E-2</c:v>
                </c:pt>
                <c:pt idx="498">
                  <c:v>4.850831186344258E-2</c:v>
                </c:pt>
                <c:pt idx="499">
                  <c:v>4.8511301218425666E-2</c:v>
                </c:pt>
                <c:pt idx="500">
                  <c:v>4.851427861598881E-2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6A7-4DF5-8F3D-D1A449633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4706112"/>
        <c:axId val="1644689792"/>
      </c:lineChart>
      <c:catAx>
        <c:axId val="1644706112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689792"/>
        <c:crosses val="autoZero"/>
        <c:auto val="1"/>
        <c:lblAlgn val="ctr"/>
        <c:lblOffset val="100"/>
        <c:tickLblSkip val="20"/>
        <c:tickMarkSkip val="10"/>
        <c:noMultiLvlLbl val="0"/>
      </c:catAx>
      <c:valAx>
        <c:axId val="164468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706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Fitted Spot and Forward yield curves (Goverment bonds)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NSS!$J$250:$K$250</c:f>
              <c:strCache>
                <c:ptCount val="2"/>
                <c:pt idx="0">
                  <c:v>Forward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NSS!$L$2:$CK$2</c:f>
              <c:numCache>
                <c:formatCode>General</c:formatCode>
                <c:ptCount val="7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</c:numCache>
            </c:numRef>
          </c:xVal>
          <c:yVal>
            <c:numRef>
              <c:f>NSS!$L$252:$CK$252</c:f>
              <c:numCache>
                <c:formatCode>General</c:formatCode>
                <c:ptCount val="78"/>
                <c:pt idx="2" formatCode="0.00%">
                  <c:v>1.4554587126496266E-2</c:v>
                </c:pt>
                <c:pt idx="3" formatCode="0.00%">
                  <c:v>1.5616380335399027E-2</c:v>
                </c:pt>
                <c:pt idx="4" formatCode="0.00%">
                  <c:v>1.6625259276050297E-2</c:v>
                </c:pt>
                <c:pt idx="5" formatCode="0.00%">
                  <c:v>1.7894185769266935E-2</c:v>
                </c:pt>
                <c:pt idx="6" formatCode="0.00%">
                  <c:v>1.93544611524048E-2</c:v>
                </c:pt>
                <c:pt idx="7" formatCode="0.00%">
                  <c:v>2.094926790581475E-2</c:v>
                </c:pt>
                <c:pt idx="8" formatCode="0.00%">
                  <c:v>2.2631875442195692E-2</c:v>
                </c:pt>
                <c:pt idx="9" formatCode="0.00%">
                  <c:v>2.4364108595605227E-2</c:v>
                </c:pt>
                <c:pt idx="10" formatCode="0.00%">
                  <c:v>2.611503769087653E-2</c:v>
                </c:pt>
                <c:pt idx="11" formatCode="0.00%">
                  <c:v>2.7859856659642634E-2</c:v>
                </c:pt>
                <c:pt idx="12" formatCode="0.00%">
                  <c:v>2.9578921561643323E-2</c:v>
                </c:pt>
                <c:pt idx="13" formatCode="0.00%">
                  <c:v>3.1256926497436943E-2</c:v>
                </c:pt>
                <c:pt idx="14" formatCode="0.00%">
                  <c:v>3.2882197575721195E-2</c:v>
                </c:pt>
                <c:pt idx="15" formatCode="0.00%">
                  <c:v>3.4446088556885357E-2</c:v>
                </c:pt>
                <c:pt idx="16" formatCode="0.00%">
                  <c:v>3.5942464204475222E-2</c:v>
                </c:pt>
                <c:pt idx="17" formatCode="0.00%">
                  <c:v>3.7367259363763949E-2</c:v>
                </c:pt>
                <c:pt idx="18" formatCode="0.00%">
                  <c:v>3.8718103444574714E-2</c:v>
                </c:pt>
                <c:pt idx="19" formatCode="0.00%">
                  <c:v>3.9994001383014677E-2</c:v>
                </c:pt>
                <c:pt idx="20" formatCode="0.00%">
                  <c:v>4.1195063345572436E-2</c:v>
                </c:pt>
                <c:pt idx="21" formatCode="0.00%">
                  <c:v>4.2322276458060637E-2</c:v>
                </c:pt>
                <c:pt idx="22" formatCode="0.00%">
                  <c:v>4.3377312720969563E-2</c:v>
                </c:pt>
                <c:pt idx="23" formatCode="0.00%">
                  <c:v>4.4362368034838173E-2</c:v>
                </c:pt>
                <c:pt idx="24" formatCode="0.00%">
                  <c:v>4.5280027922323773E-2</c:v>
                </c:pt>
                <c:pt idx="25" formatCode="0.00%">
                  <c:v>4.613315611213209E-2</c:v>
                </c:pt>
                <c:pt idx="26" formatCode="0.00%">
                  <c:v>4.6924802655447628E-2</c:v>
                </c:pt>
                <c:pt idx="27" formatCode="0.00%">
                  <c:v>4.7658128687743107E-2</c:v>
                </c:pt>
                <c:pt idx="28" formatCode="0.00%">
                  <c:v>4.833634533571507E-2</c:v>
                </c:pt>
                <c:pt idx="29" formatCode="0.00%">
                  <c:v>4.8962664607507422E-2</c:v>
                </c:pt>
                <c:pt idx="30" formatCode="0.00%">
                  <c:v>4.9540260400362301E-2</c:v>
                </c:pt>
                <c:pt idx="31" formatCode="0.00%">
                  <c:v>5.0072238018292303E-2</c:v>
                </c:pt>
                <c:pt idx="32" formatCode="0.00%">
                  <c:v>5.0561610817809077E-2</c:v>
                </c:pt>
                <c:pt idx="33" formatCode="0.00%">
                  <c:v>5.1011282796324942E-2</c:v>
                </c:pt>
                <c:pt idx="34" formatCode="0.00%">
                  <c:v>5.1424036108679072E-2</c:v>
                </c:pt>
                <c:pt idx="35" formatCode="0.00%">
                  <c:v>5.1802522645722382E-2</c:v>
                </c:pt>
                <c:pt idx="36" formatCode="0.00%">
                  <c:v>5.2149258937655318E-2</c:v>
                </c:pt>
                <c:pt idx="37" formatCode="0.00%">
                  <c:v>5.2466623756195929E-2</c:v>
                </c:pt>
                <c:pt idx="38" formatCode="0.00%">
                  <c:v>5.2756857885792208E-2</c:v>
                </c:pt>
                <c:pt idx="39" formatCode="0.00%">
                  <c:v>5.3022065617155612E-2</c:v>
                </c:pt>
                <c:pt idx="40" formatCode="0.00%">
                  <c:v>5.3264217587819296E-2</c:v>
                </c:pt>
                <c:pt idx="41" formatCode="0.00%">
                  <c:v>5.3485154655444456E-2</c:v>
                </c:pt>
                <c:pt idx="42" formatCode="0.00%">
                  <c:v>5.368659254235908E-2</c:v>
                </c:pt>
                <c:pt idx="43" formatCode="0.00%">
                  <c:v>5.3870127034521653E-2</c:v>
                </c:pt>
                <c:pt idx="44" formatCode="0.00%">
                  <c:v>5.4037239556333994E-2</c:v>
                </c:pt>
                <c:pt idx="45" formatCode="0.00%">
                  <c:v>5.4189302975266251E-2</c:v>
                </c:pt>
                <c:pt idx="46" formatCode="0.00%">
                  <c:v>5.4327587517780662E-2</c:v>
                </c:pt>
                <c:pt idx="47" formatCode="0.00%">
                  <c:v>5.4453266701384617E-2</c:v>
                </c:pt>
                <c:pt idx="48" formatCode="0.00%">
                  <c:v>5.4567423207143806E-2</c:v>
                </c:pt>
                <c:pt idx="49" formatCode="0.00%">
                  <c:v>5.4671054633635308E-2</c:v>
                </c:pt>
                <c:pt idx="50" formatCode="0.00%">
                  <c:v>5.4765079086895874E-2</c:v>
                </c:pt>
                <c:pt idx="51" formatCode="0.00%">
                  <c:v>5.4850340572480061E-2</c:v>
                </c:pt>
                <c:pt idx="52" formatCode="0.00%">
                  <c:v>5.4927614165250604E-2</c:v>
                </c:pt>
                <c:pt idx="53" formatCode="0.00%">
                  <c:v>5.4997610940230812E-2</c:v>
                </c:pt>
                <c:pt idx="54" formatCode="0.00%">
                  <c:v>5.5060982654307811E-2</c:v>
                </c:pt>
                <c:pt idx="55" formatCode="0.00%">
                  <c:v>5.5118326173732024E-2</c:v>
                </c:pt>
                <c:pt idx="56" formatCode="0.00%">
                  <c:v>5.5170187646528479E-2</c:v>
                </c:pt>
                <c:pt idx="57" formatCode="0.00%">
                  <c:v>5.521706642218005E-2</c:v>
                </c:pt>
                <c:pt idx="58" formatCode="0.00%">
                  <c:v>5.5259418723581311E-2</c:v>
                </c:pt>
                <c:pt idx="59" formatCode="0.00%">
                  <c:v>5.5297661078256732E-2</c:v>
                </c:pt>
                <c:pt idx="60" formatCode="0.00%">
                  <c:v>5.5332173517288696E-2</c:v>
                </c:pt>
                <c:pt idx="61" formatCode="0.00%">
                  <c:v>5.5363302551375559E-2</c:v>
                </c:pt>
                <c:pt idx="62" formatCode="0.00%">
                  <c:v>5.53913639343937E-2</c:v>
                </c:pt>
                <c:pt idx="63" formatCode="0.00%">
                  <c:v>5.5416645225132788E-2</c:v>
                </c:pt>
                <c:pt idx="64" formatCode="0.00%">
                  <c:v>5.5439408158028058E-2</c:v>
                </c:pt>
                <c:pt idx="65" formatCode="0.00%">
                  <c:v>5.5459890834001824E-2</c:v>
                </c:pt>
                <c:pt idx="66" formatCode="0.00%">
                  <c:v>5.5478309742206022E-2</c:v>
                </c:pt>
                <c:pt idx="67" formatCode="0.00%">
                  <c:v>5.5494861623329061E-2</c:v>
                </c:pt>
                <c:pt idx="68" formatCode="0.00%">
                  <c:v>5.5509725184849756E-2</c:v>
                </c:pt>
                <c:pt idx="69" formatCode="0.00%">
                  <c:v>5.5523062678278778E-2</c:v>
                </c:pt>
                <c:pt idx="70" formatCode="0.00%">
                  <c:v>5.5535021347954849E-2</c:v>
                </c:pt>
                <c:pt idx="71" formatCode="0.00%">
                  <c:v>5.5545734760478416E-2</c:v>
                </c:pt>
                <c:pt idx="72" formatCode="0.00%">
                  <c:v>5.5555324023614627E-2</c:v>
                </c:pt>
                <c:pt idx="73" formatCode="0.00%">
                  <c:v>5.556389890290836E-2</c:v>
                </c:pt>
                <c:pt idx="74" formatCode="0.00%">
                  <c:v>5.5571558843558577E-2</c:v>
                </c:pt>
                <c:pt idx="75" formatCode="0.00%">
                  <c:v>5.5578393905055812E-2</c:v>
                </c:pt>
                <c:pt idx="76" formatCode="0.00%">
                  <c:v>5.5584485615431278E-2</c:v>
                </c:pt>
                <c:pt idx="77" formatCode="0.00%">
                  <c:v>5.558990775122119E-2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DE-4599-A737-E1263D71ABA3}"/>
            </c:ext>
          </c:extLst>
        </c:ser>
        <c:ser>
          <c:idx val="1"/>
          <c:order val="1"/>
          <c:tx>
            <c:strRef>
              <c:f>NSS!$K$248</c:f>
              <c:strCache>
                <c:ptCount val="1"/>
                <c:pt idx="0">
                  <c:v>Spot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NSS!$L$2:$CK$2</c:f>
              <c:numCache>
                <c:formatCode>General</c:formatCode>
                <c:ptCount val="7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</c:numCache>
            </c:numRef>
          </c:xVal>
          <c:yVal>
            <c:numRef>
              <c:f>NSS!$L$248:$CK$248</c:f>
              <c:numCache>
                <c:formatCode>0.00%</c:formatCode>
                <c:ptCount val="78"/>
                <c:pt idx="0">
                  <c:v>1.5529446517495061E-2</c:v>
                </c:pt>
                <c:pt idx="1">
                  <c:v>1.4725990403566053E-2</c:v>
                </c:pt>
                <c:pt idx="2">
                  <c:v>1.4879436232653665E-2</c:v>
                </c:pt>
                <c:pt idx="3">
                  <c:v>1.5171087751184311E-2</c:v>
                </c:pt>
                <c:pt idx="4">
                  <c:v>1.5577405394840455E-2</c:v>
                </c:pt>
                <c:pt idx="5">
                  <c:v>1.6077976692702285E-2</c:v>
                </c:pt>
                <c:pt idx="6">
                  <c:v>1.6655133820386362E-2</c:v>
                </c:pt>
                <c:pt idx="7">
                  <c:v>1.7293616162044036E-2</c:v>
                </c:pt>
                <c:pt idx="8">
                  <c:v>1.7980272695201128E-2</c:v>
                </c:pt>
                <c:pt idx="9">
                  <c:v>1.8703799602288781E-2</c:v>
                </c:pt>
                <c:pt idx="10">
                  <c:v>1.9454509036059713E-2</c:v>
                </c:pt>
                <c:pt idx="11">
                  <c:v>2.0224125430359719E-2</c:v>
                </c:pt>
                <c:pt idx="12">
                  <c:v>2.1005606159559848E-2</c:v>
                </c:pt>
                <c:pt idx="13">
                  <c:v>2.1792983715235283E-2</c:v>
                </c:pt>
                <c:pt idx="14">
                  <c:v>2.2581226892630899E-2</c:v>
                </c:pt>
                <c:pt idx="15">
                  <c:v>2.3366118766724491E-2</c:v>
                </c:pt>
                <c:pt idx="16">
                  <c:v>2.4144149492412906E-2</c:v>
                </c:pt>
                <c:pt idx="17">
                  <c:v>2.4912422189164146E-2</c:v>
                </c:pt>
                <c:pt idx="18">
                  <c:v>2.5668570370656105E-2</c:v>
                </c:pt>
                <c:pt idx="19">
                  <c:v>2.6410685557345888E-2</c:v>
                </c:pt>
                <c:pt idx="20">
                  <c:v>2.71372538671509E-2</c:v>
                </c:pt>
                <c:pt idx="21">
                  <c:v>2.7847100518747926E-2</c:v>
                </c:pt>
                <c:pt idx="22">
                  <c:v>2.8539341305435464E-2</c:v>
                </c:pt>
                <c:pt idx="23">
                  <c:v>2.9213340206849417E-2</c:v>
                </c:pt>
                <c:pt idx="24">
                  <c:v>2.9868672402668682E-2</c:v>
                </c:pt>
                <c:pt idx="25">
                  <c:v>3.0505092038209097E-2</c:v>
                </c:pt>
                <c:pt idx="26">
                  <c:v>3.1122504167736938E-2</c:v>
                </c:pt>
                <c:pt idx="27">
                  <c:v>3.1720940368551886E-2</c:v>
                </c:pt>
                <c:pt idx="28">
                  <c:v>3.2300537578382332E-2</c:v>
                </c:pt>
                <c:pt idx="29">
                  <c:v>3.2861519761280704E-2</c:v>
                </c:pt>
                <c:pt idx="30">
                  <c:v>3.3404182053782747E-2</c:v>
                </c:pt>
                <c:pt idx="31">
                  <c:v>3.3928877084291507E-2</c:v>
                </c:pt>
                <c:pt idx="32">
                  <c:v>3.4436003195078932E-2</c:v>
                </c:pt>
                <c:pt idx="33">
                  <c:v>3.4925994328507876E-2</c:v>
                </c:pt>
                <c:pt idx="34">
                  <c:v>3.5399311367547329E-2</c:v>
                </c:pt>
                <c:pt idx="35">
                  <c:v>3.5856434745812266E-2</c:v>
                </c:pt>
                <c:pt idx="36">
                  <c:v>3.629785816458439E-2</c:v>
                </c:pt>
                <c:pt idx="37">
                  <c:v>3.6724083273899408E-2</c:v>
                </c:pt>
                <c:pt idx="38">
                  <c:v>3.7135615192116396E-2</c:v>
                </c:pt>
                <c:pt idx="39">
                  <c:v>3.7532958753681442E-2</c:v>
                </c:pt>
                <c:pt idx="40">
                  <c:v>3.791661538829371E-2</c:v>
                </c:pt>
                <c:pt idx="41">
                  <c:v>3.8287080546586284E-2</c:v>
                </c:pt>
                <c:pt idx="42">
                  <c:v>3.864484159792942E-2</c:v>
                </c:pt>
                <c:pt idx="43">
                  <c:v>3.8990376135214347E-2</c:v>
                </c:pt>
                <c:pt idx="44">
                  <c:v>3.9324150629624591E-2</c:v>
                </c:pt>
                <c:pt idx="45">
                  <c:v>3.9646619385577703E-2</c:v>
                </c:pt>
                <c:pt idx="46">
                  <c:v>3.995822375233684E-2</c:v>
                </c:pt>
                <c:pt idx="47">
                  <c:v>4.0259391554347358E-2</c:v>
                </c:pt>
                <c:pt idx="48">
                  <c:v>4.0550536707239911E-2</c:v>
                </c:pt>
                <c:pt idx="49">
                  <c:v>4.0832058990734367E-2</c:v>
                </c:pt>
                <c:pt idx="50">
                  <c:v>4.1104343953449779E-2</c:v>
                </c:pt>
                <c:pt idx="51">
                  <c:v>4.136776292793494E-2</c:v>
                </c:pt>
                <c:pt idx="52">
                  <c:v>4.1622673137136738E-2</c:v>
                </c:pt>
                <c:pt idx="53">
                  <c:v>4.1869417876067655E-2</c:v>
                </c:pt>
                <c:pt idx="54">
                  <c:v>4.2108326754661501E-2</c:v>
                </c:pt>
                <c:pt idx="55">
                  <c:v>4.2339715989756263E-2</c:v>
                </c:pt>
                <c:pt idx="56">
                  <c:v>4.25638887358471E-2</c:v>
                </c:pt>
                <c:pt idx="57">
                  <c:v>4.278113544574124E-2</c:v>
                </c:pt>
                <c:pt idx="58">
                  <c:v>4.2991734253545015E-2</c:v>
                </c:pt>
                <c:pt idx="59">
                  <c:v>4.3195951373545427E-2</c:v>
                </c:pt>
                <c:pt idx="60">
                  <c:v>4.3394041509533306E-2</c:v>
                </c:pt>
                <c:pt idx="61">
                  <c:v>4.3586248269971796E-2</c:v>
                </c:pt>
                <c:pt idx="62">
                  <c:v>4.3772804585156887E-2</c:v>
                </c:pt>
                <c:pt idx="63">
                  <c:v>4.3953933123160802E-2</c:v>
                </c:pt>
                <c:pt idx="64">
                  <c:v>4.4129846701906221E-2</c:v>
                </c:pt>
                <c:pt idx="65">
                  <c:v>4.4300748695200065E-2</c:v>
                </c:pt>
                <c:pt idx="66">
                  <c:v>4.4466833430970423E-2</c:v>
                </c:pt>
                <c:pt idx="67">
                  <c:v>4.4628286580305501E-2</c:v>
                </c:pt>
                <c:pt idx="68">
                  <c:v>4.4785285536199614E-2</c:v>
                </c:pt>
                <c:pt idx="69">
                  <c:v>4.493799978117128E-2</c:v>
                </c:pt>
                <c:pt idx="70">
                  <c:v>4.5086591243141148E-2</c:v>
                </c:pt>
                <c:pt idx="71">
                  <c:v>4.5231214639145527E-2</c:v>
                </c:pt>
                <c:pt idx="72">
                  <c:v>4.5372017806620875E-2</c:v>
                </c:pt>
                <c:pt idx="73">
                  <c:v>4.5509142022127781E-2</c:v>
                </c:pt>
                <c:pt idx="74">
                  <c:v>4.5642722307495227E-2</c:v>
                </c:pt>
                <c:pt idx="75">
                  <c:v>4.5772887723458056E-2</c:v>
                </c:pt>
                <c:pt idx="76">
                  <c:v>4.5899761650937024E-2</c:v>
                </c:pt>
                <c:pt idx="77">
                  <c:v>4.6023462060172556E-2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DE-4599-A737-E1263D71ABA3}"/>
            </c:ext>
          </c:extLst>
        </c:ser>
        <c:ser>
          <c:idx val="2"/>
          <c:order val="4"/>
          <c:tx>
            <c:strRef>
              <c:f>NSS!$EC$1</c:f>
              <c:strCache>
                <c:ptCount val="1"/>
                <c:pt idx="0">
                  <c:v>AVG yield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NSS!$A$3:$A$246</c:f>
              <c:numCache>
                <c:formatCode>0.0</c:formatCode>
                <c:ptCount val="24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  <c:pt idx="14">
                  <c:v>1.5</c:v>
                </c:pt>
                <c:pt idx="15">
                  <c:v>1.5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2.5</c:v>
                </c:pt>
                <c:pt idx="24">
                  <c:v>2.5</c:v>
                </c:pt>
                <c:pt idx="25">
                  <c:v>2.5</c:v>
                </c:pt>
                <c:pt idx="26">
                  <c:v>2.5</c:v>
                </c:pt>
                <c:pt idx="27">
                  <c:v>2.5</c:v>
                </c:pt>
                <c:pt idx="28">
                  <c:v>2.5</c:v>
                </c:pt>
                <c:pt idx="29">
                  <c:v>2.5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3.5</c:v>
                </c:pt>
                <c:pt idx="34">
                  <c:v>3.5</c:v>
                </c:pt>
                <c:pt idx="35">
                  <c:v>4</c:v>
                </c:pt>
                <c:pt idx="36">
                  <c:v>4</c:v>
                </c:pt>
                <c:pt idx="37">
                  <c:v>4.5</c:v>
                </c:pt>
                <c:pt idx="38">
                  <c:v>4.5</c:v>
                </c:pt>
                <c:pt idx="39">
                  <c:v>5</c:v>
                </c:pt>
                <c:pt idx="40">
                  <c:v>5</c:v>
                </c:pt>
                <c:pt idx="41">
                  <c:v>5.5</c:v>
                </c:pt>
                <c:pt idx="42">
                  <c:v>5.5</c:v>
                </c:pt>
                <c:pt idx="43">
                  <c:v>6</c:v>
                </c:pt>
                <c:pt idx="44">
                  <c:v>6</c:v>
                </c:pt>
                <c:pt idx="45">
                  <c:v>7</c:v>
                </c:pt>
                <c:pt idx="46">
                  <c:v>9.5</c:v>
                </c:pt>
                <c:pt idx="47">
                  <c:v>10</c:v>
                </c:pt>
                <c:pt idx="48">
                  <c:v>12.5</c:v>
                </c:pt>
                <c:pt idx="49">
                  <c:v>13</c:v>
                </c:pt>
                <c:pt idx="50">
                  <c:v>13</c:v>
                </c:pt>
                <c:pt idx="51">
                  <c:v>13.5</c:v>
                </c:pt>
                <c:pt idx="52">
                  <c:v>13.5</c:v>
                </c:pt>
                <c:pt idx="53">
                  <c:v>14</c:v>
                </c:pt>
                <c:pt idx="54">
                  <c:v>14</c:v>
                </c:pt>
                <c:pt idx="55">
                  <c:v>15</c:v>
                </c:pt>
                <c:pt idx="56">
                  <c:v>20</c:v>
                </c:pt>
                <c:pt idx="57">
                  <c:v>23</c:v>
                </c:pt>
                <c:pt idx="58">
                  <c:v>23</c:v>
                </c:pt>
                <c:pt idx="59">
                  <c:v>23.5</c:v>
                </c:pt>
                <c:pt idx="60">
                  <c:v>23.5</c:v>
                </c:pt>
                <c:pt idx="61">
                  <c:v>29.5</c:v>
                </c:pt>
              </c:numCache>
            </c:numRef>
          </c:xVal>
          <c:yVal>
            <c:numRef>
              <c:f>NSS!$EC$2:$EC$245</c:f>
              <c:numCache>
                <c:formatCode>General</c:formatCode>
                <c:ptCount val="244"/>
                <c:pt idx="0">
                  <c:v>8.8799999999898405E-3</c:v>
                </c:pt>
                <c:pt idx="1">
                  <c:v>9.6799999999821491E-3</c:v>
                </c:pt>
                <c:pt idx="2">
                  <c:v>9.6199999999749732E-3</c:v>
                </c:pt>
                <c:pt idx="3">
                  <c:v>1.0104999998272269E-2</c:v>
                </c:pt>
                <c:pt idx="4">
                  <c:v>1.003499999753873E-2</c:v>
                </c:pt>
                <c:pt idx="5">
                  <c:v>1.0039999998317567E-2</c:v>
                </c:pt>
                <c:pt idx="6">
                  <c:v>1.0734999998647923E-2</c:v>
                </c:pt>
                <c:pt idx="7">
                  <c:v>1.0724999998092699E-2</c:v>
                </c:pt>
                <c:pt idx="8">
                  <c:v>1.1495000000000054E-2</c:v>
                </c:pt>
                <c:pt idx="9">
                  <c:v>1.1555000000000027E-2</c:v>
                </c:pt>
                <c:pt idx="10">
                  <c:v>1.1899999999999959E-2</c:v>
                </c:pt>
                <c:pt idx="11">
                  <c:v>1.1914999999999945E-2</c:v>
                </c:pt>
                <c:pt idx="12">
                  <c:v>1.1939999997083844E-2</c:v>
                </c:pt>
                <c:pt idx="13">
                  <c:v>1.2244999999999985E-2</c:v>
                </c:pt>
                <c:pt idx="14">
                  <c:v>1.2270000000000005E-2</c:v>
                </c:pt>
                <c:pt idx="15">
                  <c:v>1.2279999999999975E-2</c:v>
                </c:pt>
                <c:pt idx="16">
                  <c:v>1.2514999999999974E-2</c:v>
                </c:pt>
                <c:pt idx="17">
                  <c:v>1.2564999999999873E-2</c:v>
                </c:pt>
                <c:pt idx="18">
                  <c:v>1.2544999999999983E-2</c:v>
                </c:pt>
                <c:pt idx="19">
                  <c:v>1.2600000000000005E-2</c:v>
                </c:pt>
                <c:pt idx="20">
                  <c:v>1.2834999999999647E-2</c:v>
                </c:pt>
                <c:pt idx="21">
                  <c:v>1.2859999999999972E-2</c:v>
                </c:pt>
                <c:pt idx="22">
                  <c:v>1.2894999999999853E-2</c:v>
                </c:pt>
                <c:pt idx="23">
                  <c:v>1.3329999999999646E-2</c:v>
                </c:pt>
                <c:pt idx="24">
                  <c:v>1.3294999999999849E-2</c:v>
                </c:pt>
                <c:pt idx="25">
                  <c:v>1.3309999999999916E-2</c:v>
                </c:pt>
                <c:pt idx="26">
                  <c:v>1.3289999999999726E-2</c:v>
                </c:pt>
                <c:pt idx="27">
                  <c:v>1.3294999999999852E-2</c:v>
                </c:pt>
                <c:pt idx="28">
                  <c:v>1.3769999999997829E-2</c:v>
                </c:pt>
                <c:pt idx="29">
                  <c:v>1.3734999999999635E-2</c:v>
                </c:pt>
                <c:pt idx="30">
                  <c:v>1.4279999999997571E-2</c:v>
                </c:pt>
                <c:pt idx="31">
                  <c:v>1.4229999999999528E-2</c:v>
                </c:pt>
                <c:pt idx="32">
                  <c:v>1.4709999999990023E-2</c:v>
                </c:pt>
                <c:pt idx="33">
                  <c:v>1.5179999999988947E-2</c:v>
                </c:pt>
                <c:pt idx="34">
                  <c:v>1.5569999999962772E-2</c:v>
                </c:pt>
                <c:pt idx="35">
                  <c:v>1.5914999999960624E-2</c:v>
                </c:pt>
                <c:pt idx="36">
                  <c:v>1.6184999999890533E-2</c:v>
                </c:pt>
                <c:pt idx="37">
                  <c:v>1.6544999999882348E-2</c:v>
                </c:pt>
                <c:pt idx="38">
                  <c:v>1.6864999999699783E-2</c:v>
                </c:pt>
                <c:pt idx="39">
                  <c:v>1.7184999999680466E-2</c:v>
                </c:pt>
                <c:pt idx="40">
                  <c:v>1.7574999999233384E-2</c:v>
                </c:pt>
                <c:pt idx="41">
                  <c:v>1.7834999999198426E-2</c:v>
                </c:pt>
                <c:pt idx="42">
                  <c:v>1.8149999998915634E-2</c:v>
                </c:pt>
                <c:pt idx="43">
                  <c:v>1.8434999998847193E-2</c:v>
                </c:pt>
                <c:pt idx="44">
                  <c:v>1.872999999999999E-2</c:v>
                </c:pt>
                <c:pt idx="45">
                  <c:v>1.9519999999999999E-2</c:v>
                </c:pt>
                <c:pt idx="46">
                  <c:v>2.3859999999999798E-2</c:v>
                </c:pt>
                <c:pt idx="47">
                  <c:v>2.4524999999998826E-2</c:v>
                </c:pt>
                <c:pt idx="48">
                  <c:v>2.881499999996814E-2</c:v>
                </c:pt>
                <c:pt idx="49">
                  <c:v>2.9534999999916014E-2</c:v>
                </c:pt>
                <c:pt idx="50">
                  <c:v>2.9979999999852493E-2</c:v>
                </c:pt>
                <c:pt idx="51">
                  <c:v>3.0399999999827666E-2</c:v>
                </c:pt>
                <c:pt idx="52">
                  <c:v>3.0579999999864667E-2</c:v>
                </c:pt>
                <c:pt idx="53">
                  <c:v>3.0929999999846559E-2</c:v>
                </c:pt>
                <c:pt idx="54">
                  <c:v>3.1309999999748157E-2</c:v>
                </c:pt>
                <c:pt idx="55">
                  <c:v>3.2569999999449255E-2</c:v>
                </c:pt>
                <c:pt idx="56">
                  <c:v>4.0529999999999317E-2</c:v>
                </c:pt>
                <c:pt idx="57">
                  <c:v>4.4499999999993128E-2</c:v>
                </c:pt>
                <c:pt idx="58">
                  <c:v>4.4954999999989483E-2</c:v>
                </c:pt>
                <c:pt idx="59">
                  <c:v>4.5409999999987585E-2</c:v>
                </c:pt>
                <c:pt idx="60">
                  <c:v>4.5784999999981764E-2</c:v>
                </c:pt>
                <c:pt idx="61">
                  <c:v>5.1824999998614382E-2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DE-4599-A737-E1263D71A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19264"/>
        <c:axId val="17852158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2"/>
                <c:tx>
                  <c:strRef>
                    <c:extLst>
                      <c:ext uri="{02D57815-91ED-43cb-92C2-25804820EDAC}">
                        <c15:formulaRef>
                          <c15:sqref>NSS!$EE$1</c15:sqref>
                        </c15:formulaRef>
                      </c:ext>
                    </c:extLst>
                    <c:strCache>
                      <c:ptCount val="1"/>
                      <c:pt idx="0">
                        <c:v>bid yield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NSS!$A$3:$A$246</c15:sqref>
                        </c15:formulaRef>
                      </c:ext>
                    </c:extLst>
                    <c:numCache>
                      <c:formatCode>0.0</c:formatCode>
                      <c:ptCount val="244"/>
                      <c:pt idx="0">
                        <c:v>0.5</c:v>
                      </c:pt>
                      <c:pt idx="1">
                        <c:v>0.5</c:v>
                      </c:pt>
                      <c:pt idx="2">
                        <c:v>0.5</c:v>
                      </c:pt>
                      <c:pt idx="3">
                        <c:v>0.5</c:v>
                      </c:pt>
                      <c:pt idx="4">
                        <c:v>0.5</c:v>
                      </c:pt>
                      <c:pt idx="5">
                        <c:v>0.5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1.5</c:v>
                      </c:pt>
                      <c:pt idx="11">
                        <c:v>1.5</c:v>
                      </c:pt>
                      <c:pt idx="12">
                        <c:v>1.5</c:v>
                      </c:pt>
                      <c:pt idx="13">
                        <c:v>1.5</c:v>
                      </c:pt>
                      <c:pt idx="14">
                        <c:v>1.5</c:v>
                      </c:pt>
                      <c:pt idx="15">
                        <c:v>1.5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2.5</c:v>
                      </c:pt>
                      <c:pt idx="24">
                        <c:v>2.5</c:v>
                      </c:pt>
                      <c:pt idx="25">
                        <c:v>2.5</c:v>
                      </c:pt>
                      <c:pt idx="26">
                        <c:v>2.5</c:v>
                      </c:pt>
                      <c:pt idx="27">
                        <c:v>2.5</c:v>
                      </c:pt>
                      <c:pt idx="28">
                        <c:v>2.5</c:v>
                      </c:pt>
                      <c:pt idx="29">
                        <c:v>2.5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3.5</c:v>
                      </c:pt>
                      <c:pt idx="34">
                        <c:v>3.5</c:v>
                      </c:pt>
                      <c:pt idx="35">
                        <c:v>4</c:v>
                      </c:pt>
                      <c:pt idx="36">
                        <c:v>4</c:v>
                      </c:pt>
                      <c:pt idx="37">
                        <c:v>4.5</c:v>
                      </c:pt>
                      <c:pt idx="38">
                        <c:v>4.5</c:v>
                      </c:pt>
                      <c:pt idx="39">
                        <c:v>5</c:v>
                      </c:pt>
                      <c:pt idx="40">
                        <c:v>5</c:v>
                      </c:pt>
                      <c:pt idx="41">
                        <c:v>5.5</c:v>
                      </c:pt>
                      <c:pt idx="42">
                        <c:v>5.5</c:v>
                      </c:pt>
                      <c:pt idx="43">
                        <c:v>6</c:v>
                      </c:pt>
                      <c:pt idx="44">
                        <c:v>6</c:v>
                      </c:pt>
                      <c:pt idx="45">
                        <c:v>7</c:v>
                      </c:pt>
                      <c:pt idx="46">
                        <c:v>9.5</c:v>
                      </c:pt>
                      <c:pt idx="47">
                        <c:v>10</c:v>
                      </c:pt>
                      <c:pt idx="48">
                        <c:v>12.5</c:v>
                      </c:pt>
                      <c:pt idx="49">
                        <c:v>13</c:v>
                      </c:pt>
                      <c:pt idx="50">
                        <c:v>13</c:v>
                      </c:pt>
                      <c:pt idx="51">
                        <c:v>13.5</c:v>
                      </c:pt>
                      <c:pt idx="52">
                        <c:v>13.5</c:v>
                      </c:pt>
                      <c:pt idx="53">
                        <c:v>14</c:v>
                      </c:pt>
                      <c:pt idx="54">
                        <c:v>14</c:v>
                      </c:pt>
                      <c:pt idx="55">
                        <c:v>15</c:v>
                      </c:pt>
                      <c:pt idx="56">
                        <c:v>20</c:v>
                      </c:pt>
                      <c:pt idx="57">
                        <c:v>23</c:v>
                      </c:pt>
                      <c:pt idx="58">
                        <c:v>23</c:v>
                      </c:pt>
                      <c:pt idx="59">
                        <c:v>23.5</c:v>
                      </c:pt>
                      <c:pt idx="60">
                        <c:v>23.5</c:v>
                      </c:pt>
                      <c:pt idx="61">
                        <c:v>29.5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NSS!$EE$2:$EE$245</c15:sqref>
                        </c15:formulaRef>
                      </c:ext>
                    </c:extLst>
                    <c:numCache>
                      <c:formatCode>General</c:formatCode>
                      <c:ptCount val="244"/>
                      <c:pt idx="0">
                        <c:v>8.999999999989159E-3</c:v>
                      </c:pt>
                      <c:pt idx="1">
                        <c:v>9.7899999999814125E-3</c:v>
                      </c:pt>
                      <c:pt idx="2">
                        <c:v>9.7299999999740303E-3</c:v>
                      </c:pt>
                      <c:pt idx="3">
                        <c:v>1.0209999998197796E-2</c:v>
                      </c:pt>
                      <c:pt idx="4">
                        <c:v>1.0159999997422651E-2</c:v>
                      </c:pt>
                      <c:pt idx="5">
                        <c:v>1.0159999998234326E-2</c:v>
                      </c:pt>
                      <c:pt idx="6">
                        <c:v>1.0849999998590175E-2</c:v>
                      </c:pt>
                      <c:pt idx="7">
                        <c:v>1.084999999801123E-2</c:v>
                      </c:pt>
                      <c:pt idx="8">
                        <c:v>1.161000000000008E-2</c:v>
                      </c:pt>
                      <c:pt idx="9">
                        <c:v>1.1670000000000008E-2</c:v>
                      </c:pt>
                      <c:pt idx="10">
                        <c:v>1.2019999999999986E-2</c:v>
                      </c:pt>
                      <c:pt idx="11">
                        <c:v>1.2040000000000018E-2</c:v>
                      </c:pt>
                      <c:pt idx="12">
                        <c:v>1.2059999999999878E-2</c:v>
                      </c:pt>
                      <c:pt idx="13">
                        <c:v>1.2359999999999975E-2</c:v>
                      </c:pt>
                      <c:pt idx="14">
                        <c:v>1.2390000000000002E-2</c:v>
                      </c:pt>
                      <c:pt idx="15">
                        <c:v>1.2400000000000001E-2</c:v>
                      </c:pt>
                      <c:pt idx="16">
                        <c:v>1.2620000000000003E-2</c:v>
                      </c:pt>
                      <c:pt idx="17">
                        <c:v>1.2689999999999894E-2</c:v>
                      </c:pt>
                      <c:pt idx="18">
                        <c:v>1.2669999999999921E-2</c:v>
                      </c:pt>
                      <c:pt idx="19">
                        <c:v>1.2700000000000102E-2</c:v>
                      </c:pt>
                      <c:pt idx="20">
                        <c:v>1.2949999999999675E-2</c:v>
                      </c:pt>
                      <c:pt idx="21">
                        <c:v>1.2979999999999976E-2</c:v>
                      </c:pt>
                      <c:pt idx="22">
                        <c:v>1.3009999999999848E-2</c:v>
                      </c:pt>
                      <c:pt idx="23">
                        <c:v>1.3439999999999635E-2</c:v>
                      </c:pt>
                      <c:pt idx="24">
                        <c:v>1.3409999999999834E-2</c:v>
                      </c:pt>
                      <c:pt idx="25">
                        <c:v>1.3419999999999899E-2</c:v>
                      </c:pt>
                      <c:pt idx="26">
                        <c:v>1.3389999999999702E-2</c:v>
                      </c:pt>
                      <c:pt idx="27">
                        <c:v>1.3399999999999825E-2</c:v>
                      </c:pt>
                      <c:pt idx="28">
                        <c:v>1.3879999999997689E-2</c:v>
                      </c:pt>
                      <c:pt idx="29">
                        <c:v>1.3839999999999646E-2</c:v>
                      </c:pt>
                      <c:pt idx="30">
                        <c:v>1.439999999999745E-2</c:v>
                      </c:pt>
                      <c:pt idx="31">
                        <c:v>1.432999999999951E-2</c:v>
                      </c:pt>
                      <c:pt idx="32">
                        <c:v>1.4819999999989454E-2</c:v>
                      </c:pt>
                      <c:pt idx="33">
                        <c:v>1.5289999999988426E-2</c:v>
                      </c:pt>
                      <c:pt idx="34">
                        <c:v>1.5669999999961146E-2</c:v>
                      </c:pt>
                      <c:pt idx="35">
                        <c:v>1.6029999999958678E-2</c:v>
                      </c:pt>
                      <c:pt idx="36">
                        <c:v>1.6289999999885653E-2</c:v>
                      </c:pt>
                      <c:pt idx="37">
                        <c:v>1.6649999999877207E-2</c:v>
                      </c:pt>
                      <c:pt idx="38">
                        <c:v>1.6949999999689332E-2</c:v>
                      </c:pt>
                      <c:pt idx="39">
                        <c:v>1.7269999999669616E-2</c:v>
                      </c:pt>
                      <c:pt idx="40">
                        <c:v>1.7649999999210818E-2</c:v>
                      </c:pt>
                      <c:pt idx="41">
                        <c:v>1.791999999917205E-2</c:v>
                      </c:pt>
                      <c:pt idx="42">
                        <c:v>1.8229999998880819E-2</c:v>
                      </c:pt>
                      <c:pt idx="43">
                        <c:v>1.8519999998808493E-2</c:v>
                      </c:pt>
                      <c:pt idx="44">
                        <c:v>1.8810000000000004E-2</c:v>
                      </c:pt>
                      <c:pt idx="45">
                        <c:v>1.9609999999999995E-2</c:v>
                      </c:pt>
                      <c:pt idx="46">
                        <c:v>2.3979999999999783E-2</c:v>
                      </c:pt>
                      <c:pt idx="47">
                        <c:v>2.464999999999876E-2</c:v>
                      </c:pt>
                      <c:pt idx="48">
                        <c:v>2.8949999999966343E-2</c:v>
                      </c:pt>
                      <c:pt idx="49">
                        <c:v>2.9659999999911889E-2</c:v>
                      </c:pt>
                      <c:pt idx="50">
                        <c:v>3.0109999999845115E-2</c:v>
                      </c:pt>
                      <c:pt idx="51">
                        <c:v>3.0529999999819167E-2</c:v>
                      </c:pt>
                      <c:pt idx="52">
                        <c:v>3.0709999999857841E-2</c:v>
                      </c:pt>
                      <c:pt idx="53">
                        <c:v>3.1049999999839487E-2</c:v>
                      </c:pt>
                      <c:pt idx="54">
                        <c:v>3.1439999999735832E-2</c:v>
                      </c:pt>
                      <c:pt idx="55">
                        <c:v>3.2689999999425498E-2</c:v>
                      </c:pt>
                      <c:pt idx="56">
                        <c:v>4.0719999999999257E-2</c:v>
                      </c:pt>
                      <c:pt idx="57">
                        <c:v>4.4689999999992652E-2</c:v>
                      </c:pt>
                      <c:pt idx="58">
                        <c:v>4.5149999999988727E-2</c:v>
                      </c:pt>
                      <c:pt idx="59">
                        <c:v>4.5589999999986787E-2</c:v>
                      </c:pt>
                      <c:pt idx="60">
                        <c:v>4.5979999999980536E-2</c:v>
                      </c:pt>
                      <c:pt idx="61">
                        <c:v>5.2119999998502642E-2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3CDE-4599-A737-E1263D71ABA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NSS!$ED$1</c15:sqref>
                        </c15:formulaRef>
                      </c:ext>
                    </c:extLst>
                    <c:strCache>
                      <c:ptCount val="1"/>
                      <c:pt idx="0">
                        <c:v>ask yield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NSS!$A$3:$A$246</c15:sqref>
                        </c15:formulaRef>
                      </c:ext>
                    </c:extLst>
                    <c:numCache>
                      <c:formatCode>0.0</c:formatCode>
                      <c:ptCount val="244"/>
                      <c:pt idx="0">
                        <c:v>0.5</c:v>
                      </c:pt>
                      <c:pt idx="1">
                        <c:v>0.5</c:v>
                      </c:pt>
                      <c:pt idx="2">
                        <c:v>0.5</c:v>
                      </c:pt>
                      <c:pt idx="3">
                        <c:v>0.5</c:v>
                      </c:pt>
                      <c:pt idx="4">
                        <c:v>0.5</c:v>
                      </c:pt>
                      <c:pt idx="5">
                        <c:v>0.5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1.5</c:v>
                      </c:pt>
                      <c:pt idx="11">
                        <c:v>1.5</c:v>
                      </c:pt>
                      <c:pt idx="12">
                        <c:v>1.5</c:v>
                      </c:pt>
                      <c:pt idx="13">
                        <c:v>1.5</c:v>
                      </c:pt>
                      <c:pt idx="14">
                        <c:v>1.5</c:v>
                      </c:pt>
                      <c:pt idx="15">
                        <c:v>1.5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2.5</c:v>
                      </c:pt>
                      <c:pt idx="24">
                        <c:v>2.5</c:v>
                      </c:pt>
                      <c:pt idx="25">
                        <c:v>2.5</c:v>
                      </c:pt>
                      <c:pt idx="26">
                        <c:v>2.5</c:v>
                      </c:pt>
                      <c:pt idx="27">
                        <c:v>2.5</c:v>
                      </c:pt>
                      <c:pt idx="28">
                        <c:v>2.5</c:v>
                      </c:pt>
                      <c:pt idx="29">
                        <c:v>2.5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3.5</c:v>
                      </c:pt>
                      <c:pt idx="34">
                        <c:v>3.5</c:v>
                      </c:pt>
                      <c:pt idx="35">
                        <c:v>4</c:v>
                      </c:pt>
                      <c:pt idx="36">
                        <c:v>4</c:v>
                      </c:pt>
                      <c:pt idx="37">
                        <c:v>4.5</c:v>
                      </c:pt>
                      <c:pt idx="38">
                        <c:v>4.5</c:v>
                      </c:pt>
                      <c:pt idx="39">
                        <c:v>5</c:v>
                      </c:pt>
                      <c:pt idx="40">
                        <c:v>5</c:v>
                      </c:pt>
                      <c:pt idx="41">
                        <c:v>5.5</c:v>
                      </c:pt>
                      <c:pt idx="42">
                        <c:v>5.5</c:v>
                      </c:pt>
                      <c:pt idx="43">
                        <c:v>6</c:v>
                      </c:pt>
                      <c:pt idx="44">
                        <c:v>6</c:v>
                      </c:pt>
                      <c:pt idx="45">
                        <c:v>7</c:v>
                      </c:pt>
                      <c:pt idx="46">
                        <c:v>9.5</c:v>
                      </c:pt>
                      <c:pt idx="47">
                        <c:v>10</c:v>
                      </c:pt>
                      <c:pt idx="48">
                        <c:v>12.5</c:v>
                      </c:pt>
                      <c:pt idx="49">
                        <c:v>13</c:v>
                      </c:pt>
                      <c:pt idx="50">
                        <c:v>13</c:v>
                      </c:pt>
                      <c:pt idx="51">
                        <c:v>13.5</c:v>
                      </c:pt>
                      <c:pt idx="52">
                        <c:v>13.5</c:v>
                      </c:pt>
                      <c:pt idx="53">
                        <c:v>14</c:v>
                      </c:pt>
                      <c:pt idx="54">
                        <c:v>14</c:v>
                      </c:pt>
                      <c:pt idx="55">
                        <c:v>15</c:v>
                      </c:pt>
                      <c:pt idx="56">
                        <c:v>20</c:v>
                      </c:pt>
                      <c:pt idx="57">
                        <c:v>23</c:v>
                      </c:pt>
                      <c:pt idx="58">
                        <c:v>23</c:v>
                      </c:pt>
                      <c:pt idx="59">
                        <c:v>23.5</c:v>
                      </c:pt>
                      <c:pt idx="60">
                        <c:v>23.5</c:v>
                      </c:pt>
                      <c:pt idx="61">
                        <c:v>29.5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NSS!$ED$2:$ED$245</c15:sqref>
                        </c15:formulaRef>
                      </c:ext>
                    </c:extLst>
                    <c:numCache>
                      <c:formatCode>General</c:formatCode>
                      <c:ptCount val="244"/>
                      <c:pt idx="0">
                        <c:v>8.7599999999905202E-3</c:v>
                      </c:pt>
                      <c:pt idx="1">
                        <c:v>9.5699999999828873E-3</c:v>
                      </c:pt>
                      <c:pt idx="2">
                        <c:v>9.5099999999759162E-3</c:v>
                      </c:pt>
                      <c:pt idx="3">
                        <c:v>9.9999999983467411E-3</c:v>
                      </c:pt>
                      <c:pt idx="4">
                        <c:v>9.9099999976548087E-3</c:v>
                      </c:pt>
                      <c:pt idx="5">
                        <c:v>9.919999998400807E-3</c:v>
                      </c:pt>
                      <c:pt idx="6">
                        <c:v>1.061999999870567E-2</c:v>
                      </c:pt>
                      <c:pt idx="7">
                        <c:v>1.0599999998174167E-2</c:v>
                      </c:pt>
                      <c:pt idx="8">
                        <c:v>1.1380000000000026E-2</c:v>
                      </c:pt>
                      <c:pt idx="9">
                        <c:v>1.144000000000004E-2</c:v>
                      </c:pt>
                      <c:pt idx="10">
                        <c:v>1.1779999999999933E-2</c:v>
                      </c:pt>
                      <c:pt idx="11">
                        <c:v>1.1789999999999872E-2</c:v>
                      </c:pt>
                      <c:pt idx="12">
                        <c:v>1.1819999994167807E-2</c:v>
                      </c:pt>
                      <c:pt idx="13">
                        <c:v>1.2129999999999998E-2</c:v>
                      </c:pt>
                      <c:pt idx="14">
                        <c:v>1.215000000000001E-2</c:v>
                      </c:pt>
                      <c:pt idx="15">
                        <c:v>1.2159999999999947E-2</c:v>
                      </c:pt>
                      <c:pt idx="16">
                        <c:v>1.2409999999999945E-2</c:v>
                      </c:pt>
                      <c:pt idx="17">
                        <c:v>1.243999999999985E-2</c:v>
                      </c:pt>
                      <c:pt idx="18">
                        <c:v>1.2420000000000044E-2</c:v>
                      </c:pt>
                      <c:pt idx="19">
                        <c:v>1.2499999999999907E-2</c:v>
                      </c:pt>
                      <c:pt idx="20">
                        <c:v>1.271999999999962E-2</c:v>
                      </c:pt>
                      <c:pt idx="21">
                        <c:v>1.2739999999999967E-2</c:v>
                      </c:pt>
                      <c:pt idx="22">
                        <c:v>1.2779999999999857E-2</c:v>
                      </c:pt>
                      <c:pt idx="23">
                        <c:v>1.3219999999999656E-2</c:v>
                      </c:pt>
                      <c:pt idx="24">
                        <c:v>1.3179999999999865E-2</c:v>
                      </c:pt>
                      <c:pt idx="25">
                        <c:v>1.3199999999999934E-2</c:v>
                      </c:pt>
                      <c:pt idx="26">
                        <c:v>1.3189999999999751E-2</c:v>
                      </c:pt>
                      <c:pt idx="27">
                        <c:v>1.3189999999999882E-2</c:v>
                      </c:pt>
                      <c:pt idx="28">
                        <c:v>1.3659999999997967E-2</c:v>
                      </c:pt>
                      <c:pt idx="29">
                        <c:v>1.3629999999999627E-2</c:v>
                      </c:pt>
                      <c:pt idx="30">
                        <c:v>1.4159999999997692E-2</c:v>
                      </c:pt>
                      <c:pt idx="31">
                        <c:v>1.4129999999999546E-2</c:v>
                      </c:pt>
                      <c:pt idx="32">
                        <c:v>1.4599999999990589E-2</c:v>
                      </c:pt>
                      <c:pt idx="33">
                        <c:v>1.5069999999989467E-2</c:v>
                      </c:pt>
                      <c:pt idx="34">
                        <c:v>1.5469999999964401E-2</c:v>
                      </c:pt>
                      <c:pt idx="35">
                        <c:v>1.579999999996257E-2</c:v>
                      </c:pt>
                      <c:pt idx="36">
                        <c:v>1.6079999999895414E-2</c:v>
                      </c:pt>
                      <c:pt idx="37">
                        <c:v>1.6439999999887493E-2</c:v>
                      </c:pt>
                      <c:pt idx="38">
                        <c:v>1.6779999999710235E-2</c:v>
                      </c:pt>
                      <c:pt idx="39">
                        <c:v>1.7099999999691317E-2</c:v>
                      </c:pt>
                      <c:pt idx="40">
                        <c:v>1.7499999999255948E-2</c:v>
                      </c:pt>
                      <c:pt idx="41">
                        <c:v>1.7749999999224803E-2</c:v>
                      </c:pt>
                      <c:pt idx="42">
                        <c:v>1.8069999998950457E-2</c:v>
                      </c:pt>
                      <c:pt idx="43">
                        <c:v>1.8349999998885896E-2</c:v>
                      </c:pt>
                      <c:pt idx="44">
                        <c:v>1.8649999999999976E-2</c:v>
                      </c:pt>
                      <c:pt idx="45">
                        <c:v>1.9430000000000006E-2</c:v>
                      </c:pt>
                      <c:pt idx="46">
                        <c:v>2.3739999999999813E-2</c:v>
                      </c:pt>
                      <c:pt idx="47">
                        <c:v>2.4399999999998895E-2</c:v>
                      </c:pt>
                      <c:pt idx="48">
                        <c:v>2.8679999999969941E-2</c:v>
                      </c:pt>
                      <c:pt idx="49">
                        <c:v>2.9409999999920132E-2</c:v>
                      </c:pt>
                      <c:pt idx="50">
                        <c:v>2.9849999999859871E-2</c:v>
                      </c:pt>
                      <c:pt idx="51">
                        <c:v>3.0269999999836164E-2</c:v>
                      </c:pt>
                      <c:pt idx="52">
                        <c:v>3.0449999999871497E-2</c:v>
                      </c:pt>
                      <c:pt idx="53">
                        <c:v>3.0809999999853628E-2</c:v>
                      </c:pt>
                      <c:pt idx="54">
                        <c:v>3.117999999976049E-2</c:v>
                      </c:pt>
                      <c:pt idx="55">
                        <c:v>3.2449999999473012E-2</c:v>
                      </c:pt>
                      <c:pt idx="56">
                        <c:v>4.0339999999999369E-2</c:v>
                      </c:pt>
                      <c:pt idx="57">
                        <c:v>4.4309999999993605E-2</c:v>
                      </c:pt>
                      <c:pt idx="58">
                        <c:v>4.4759999999990231E-2</c:v>
                      </c:pt>
                      <c:pt idx="59">
                        <c:v>4.5229999999988377E-2</c:v>
                      </c:pt>
                      <c:pt idx="60">
                        <c:v>4.5589999999982991E-2</c:v>
                      </c:pt>
                      <c:pt idx="61">
                        <c:v>5.1529999998726123E-2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CDE-4599-A737-E1263D71ABA3}"/>
                  </c:ext>
                </c:extLst>
              </c15:ser>
            </c15:filteredScatterSeries>
          </c:ext>
        </c:extLst>
      </c:scatterChart>
      <c:valAx>
        <c:axId val="17851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21584"/>
        <c:crosses val="autoZero"/>
        <c:crossBetween val="midCat"/>
      </c:valAx>
      <c:valAx>
        <c:axId val="17852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Forward credit spread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NSS!$J$251:$K$251</c:f>
              <c:strCache>
                <c:ptCount val="2"/>
                <c:pt idx="0">
                  <c:v>Forward credit spread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NSS!$L$2:$CK$2</c:f>
              <c:numCache>
                <c:formatCode>General</c:formatCode>
                <c:ptCount val="78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  <c:pt idx="25">
                  <c:v>13</c:v>
                </c:pt>
                <c:pt idx="26">
                  <c:v>13.5</c:v>
                </c:pt>
                <c:pt idx="27">
                  <c:v>14</c:v>
                </c:pt>
                <c:pt idx="28">
                  <c:v>14.5</c:v>
                </c:pt>
                <c:pt idx="29">
                  <c:v>15</c:v>
                </c:pt>
                <c:pt idx="30">
                  <c:v>15.5</c:v>
                </c:pt>
                <c:pt idx="31">
                  <c:v>16</c:v>
                </c:pt>
                <c:pt idx="32">
                  <c:v>16.5</c:v>
                </c:pt>
                <c:pt idx="33">
                  <c:v>17</c:v>
                </c:pt>
                <c:pt idx="34">
                  <c:v>17.5</c:v>
                </c:pt>
                <c:pt idx="35">
                  <c:v>18</c:v>
                </c:pt>
                <c:pt idx="36">
                  <c:v>18.5</c:v>
                </c:pt>
                <c:pt idx="37">
                  <c:v>19</c:v>
                </c:pt>
                <c:pt idx="38">
                  <c:v>19.5</c:v>
                </c:pt>
                <c:pt idx="39">
                  <c:v>20</c:v>
                </c:pt>
                <c:pt idx="40">
                  <c:v>20.5</c:v>
                </c:pt>
                <c:pt idx="41">
                  <c:v>21</c:v>
                </c:pt>
                <c:pt idx="42">
                  <c:v>21.5</c:v>
                </c:pt>
                <c:pt idx="43">
                  <c:v>22</c:v>
                </c:pt>
                <c:pt idx="44">
                  <c:v>22.5</c:v>
                </c:pt>
                <c:pt idx="45">
                  <c:v>23</c:v>
                </c:pt>
                <c:pt idx="46">
                  <c:v>23.5</c:v>
                </c:pt>
                <c:pt idx="47">
                  <c:v>24</c:v>
                </c:pt>
                <c:pt idx="48">
                  <c:v>24.5</c:v>
                </c:pt>
                <c:pt idx="49">
                  <c:v>25</c:v>
                </c:pt>
                <c:pt idx="50">
                  <c:v>25.5</c:v>
                </c:pt>
                <c:pt idx="51">
                  <c:v>26</c:v>
                </c:pt>
                <c:pt idx="52">
                  <c:v>26.5</c:v>
                </c:pt>
                <c:pt idx="53">
                  <c:v>27</c:v>
                </c:pt>
                <c:pt idx="54">
                  <c:v>27.5</c:v>
                </c:pt>
                <c:pt idx="55">
                  <c:v>28</c:v>
                </c:pt>
                <c:pt idx="56">
                  <c:v>28.5</c:v>
                </c:pt>
                <c:pt idx="57">
                  <c:v>29</c:v>
                </c:pt>
                <c:pt idx="58">
                  <c:v>29.5</c:v>
                </c:pt>
                <c:pt idx="59">
                  <c:v>30</c:v>
                </c:pt>
                <c:pt idx="60">
                  <c:v>30.5</c:v>
                </c:pt>
                <c:pt idx="61">
                  <c:v>31</c:v>
                </c:pt>
                <c:pt idx="62">
                  <c:v>31.5</c:v>
                </c:pt>
                <c:pt idx="63">
                  <c:v>32</c:v>
                </c:pt>
                <c:pt idx="64">
                  <c:v>32.5</c:v>
                </c:pt>
                <c:pt idx="65">
                  <c:v>33</c:v>
                </c:pt>
                <c:pt idx="66">
                  <c:v>33.5</c:v>
                </c:pt>
                <c:pt idx="67">
                  <c:v>34</c:v>
                </c:pt>
                <c:pt idx="68">
                  <c:v>34.5</c:v>
                </c:pt>
                <c:pt idx="69">
                  <c:v>35</c:v>
                </c:pt>
                <c:pt idx="70">
                  <c:v>35.5</c:v>
                </c:pt>
                <c:pt idx="71">
                  <c:v>36</c:v>
                </c:pt>
                <c:pt idx="72">
                  <c:v>36.5</c:v>
                </c:pt>
                <c:pt idx="73">
                  <c:v>37</c:v>
                </c:pt>
                <c:pt idx="74">
                  <c:v>37.5</c:v>
                </c:pt>
                <c:pt idx="75">
                  <c:v>38</c:v>
                </c:pt>
                <c:pt idx="76">
                  <c:v>38.5</c:v>
                </c:pt>
                <c:pt idx="77">
                  <c:v>39</c:v>
                </c:pt>
              </c:numCache>
            </c:numRef>
          </c:xVal>
          <c:yVal>
            <c:numRef>
              <c:f>NSS!$L$251:$CK$251</c:f>
              <c:numCache>
                <c:formatCode>General</c:formatCode>
                <c:ptCount val="78"/>
                <c:pt idx="2" formatCode="0.00%">
                  <c:v>3.8507625787416178E-3</c:v>
                </c:pt>
                <c:pt idx="3" formatCode="0.00%">
                  <c:v>5.0934518589456079E-3</c:v>
                </c:pt>
                <c:pt idx="4" formatCode="0.00%">
                  <c:v>5.8554488424598095E-3</c:v>
                </c:pt>
                <c:pt idx="5" formatCode="0.00%">
                  <c:v>6.2720590476241789E-3</c:v>
                </c:pt>
                <c:pt idx="6" formatCode="0.00%">
                  <c:v>6.4152642156258821E-3</c:v>
                </c:pt>
                <c:pt idx="7" formatCode="0.00%">
                  <c:v>6.3450579214971992E-3</c:v>
                </c:pt>
                <c:pt idx="8" formatCode="0.00%">
                  <c:v>6.1112423475606636E-3</c:v>
                </c:pt>
                <c:pt idx="9" formatCode="0.00%">
                  <c:v>5.754962366810723E-3</c:v>
                </c:pt>
                <c:pt idx="10" formatCode="0.00%">
                  <c:v>5.3100180476521874E-3</c:v>
                </c:pt>
                <c:pt idx="11" formatCode="0.00%">
                  <c:v>4.8039891067399587E-3</c:v>
                </c:pt>
                <c:pt idx="12" formatCode="0.00%">
                  <c:v>4.2591989449864975E-3</c:v>
                </c:pt>
                <c:pt idx="13" formatCode="0.00%">
                  <c:v>3.6935412750209728E-3</c:v>
                </c:pt>
                <c:pt idx="14" formatCode="0.00%">
                  <c:v>3.1211886719215709E-3</c:v>
                </c:pt>
                <c:pt idx="15" formatCode="0.00%">
                  <c:v>2.5531994212770748E-3</c:v>
                </c:pt>
                <c:pt idx="16" formatCode="0.00%">
                  <c:v>1.9980366290166529E-3</c:v>
                </c:pt>
                <c:pt idx="17" formatCode="0.00%">
                  <c:v>1.4620115704622183E-3</c:v>
                </c:pt>
                <c:pt idx="18" formatCode="0.00%">
                  <c:v>9.4966159857734489E-4</c:v>
                </c:pt>
                <c:pt idx="19" formatCode="0.00%">
                  <c:v>4.6407153423277947E-4</c:v>
                </c:pt>
                <c:pt idx="20" formatCode="0.00%">
                  <c:v>7.1462729043236806E-6</c:v>
                </c:pt>
                <c:pt idx="21" formatCode="0.00%">
                  <c:v>-4.2015867650269101E-4</c:v>
                </c:pt>
                <c:pt idx="22" formatCode="0.00%">
                  <c:v>-8.1764288369390314E-4</c:v>
                </c:pt>
                <c:pt idx="23" formatCode="0.00%">
                  <c:v>-1.185697844790834E-3</c:v>
                </c:pt>
                <c:pt idx="24" formatCode="0.00%">
                  <c:v>-1.5251705735164212E-3</c:v>
                </c:pt>
                <c:pt idx="25" formatCode="0.00%">
                  <c:v>-1.8372501016157283E-3</c:v>
                </c:pt>
                <c:pt idx="26" formatCode="0.00%">
                  <c:v>-2.1233735597716574E-3</c:v>
                </c:pt>
                <c:pt idx="27" formatCode="0.00%">
                  <c:v>-2.3851489521868885E-3</c:v>
                </c:pt>
                <c:pt idx="28" formatCode="0.00%">
                  <c:v>-2.6242921247694451E-3</c:v>
                </c:pt>
                <c:pt idx="29" formatCode="0.00%">
                  <c:v>-2.8425757651204808E-3</c:v>
                </c:pt>
                <c:pt idx="30" formatCode="0.00%">
                  <c:v>-3.0417885683711177E-3</c:v>
                </c:pt>
                <c:pt idx="31" formatCode="0.00%">
                  <c:v>-3.2237029612536272E-3</c:v>
                </c:pt>
                <c:pt idx="32" formatCode="0.00%">
                  <c:v>-3.3900500020860314E-3</c:v>
                </c:pt>
                <c:pt idx="33" formatCode="0.00%">
                  <c:v>-3.5425002708999731E-3</c:v>
                </c:pt>
                <c:pt idx="34" formatCode="0.00%">
                  <c:v>-3.6826497346622578E-3</c:v>
                </c:pt>
                <c:pt idx="35" formatCode="0.00%">
                  <c:v>-3.8120097209419779E-3</c:v>
                </c:pt>
                <c:pt idx="36" formatCode="0.00%">
                  <c:v>-3.9320002620815142E-3</c:v>
                </c:pt>
                <c:pt idx="37" formatCode="0.00%">
                  <c:v>-4.0439461832522117E-3</c:v>
                </c:pt>
                <c:pt idx="38" formatCode="0.00%">
                  <c:v>-4.1490754039488209E-3</c:v>
                </c:pt>
                <c:pt idx="39" formatCode="0.00%">
                  <c:v>-4.2485190052992117E-3</c:v>
                </c:pt>
                <c:pt idx="40" formatCode="0.00%">
                  <c:v>-4.3433126871381678E-3</c:v>
                </c:pt>
                <c:pt idx="41" formatCode="0.00%">
                  <c:v>-4.4343992998259196E-3</c:v>
                </c:pt>
                <c:pt idx="42" formatCode="0.00%">
                  <c:v>-4.5226321882785303E-3</c:v>
                </c:pt>
                <c:pt idx="43" formatCode="0.00%">
                  <c:v>-4.6087791305691184E-3</c:v>
                </c:pt>
                <c:pt idx="44" formatCode="0.00%">
                  <c:v>-4.693526691772032E-3</c:v>
                </c:pt>
                <c:pt idx="45" formatCode="0.00%">
                  <c:v>-4.7774848458927988E-3</c:v>
                </c:pt>
                <c:pt idx="46" formatCode="0.00%">
                  <c:v>-4.8611917466285792E-3</c:v>
                </c:pt>
                <c:pt idx="47" formatCode="0.00%">
                  <c:v>-4.9451185508095907E-3</c:v>
                </c:pt>
                <c:pt idx="48" formatCode="0.00%">
                  <c:v>-5.0296742179287701E-3</c:v>
                </c:pt>
                <c:pt idx="49" formatCode="0.00%">
                  <c:v>-5.1152102259168775E-3</c:v>
                </c:pt>
                <c:pt idx="50" formatCode="0.00%">
                  <c:v>-5.2020251566471387E-3</c:v>
                </c:pt>
                <c:pt idx="51" formatCode="0.00%">
                  <c:v>-5.2903691166057421E-3</c:v>
                </c:pt>
                <c:pt idx="52" formatCode="0.00%">
                  <c:v>-5.3804479672798777E-3</c:v>
                </c:pt>
                <c:pt idx="53" formatCode="0.00%">
                  <c:v>-5.4724273477513297E-3</c:v>
                </c:pt>
                <c:pt idx="54" formatCode="0.00%">
                  <c:v>-5.5664364785130704E-3</c:v>
                </c:pt>
                <c:pt idx="55" formatCode="0.00%">
                  <c:v>-5.6625717404570342E-3</c:v>
                </c:pt>
                <c:pt idx="56" formatCode="0.00%">
                  <c:v>-5.7609000273932676E-3</c:v>
                </c:pt>
                <c:pt idx="57" formatCode="0.00%">
                  <c:v>-5.8614618736059221E-3</c:v>
                </c:pt>
                <c:pt idx="58" formatCode="0.00%">
                  <c:v>-5.964274360620303E-3</c:v>
                </c:pt>
                <c:pt idx="59" formatCode="0.00%">
                  <c:v>-6.0693338093653626E-3</c:v>
                </c:pt>
                <c:pt idx="60" formatCode="0.00%">
                  <c:v>-6.1766182654243718E-3</c:v>
                </c:pt>
                <c:pt idx="61" formatCode="0.00%">
                  <c:v>-6.2860897860139708E-3</c:v>
                </c:pt>
                <c:pt idx="62" formatCode="0.00%">
                  <c:v>-6.3976965382415152E-3</c:v>
                </c:pt>
                <c:pt idx="63" formatCode="0.00%">
                  <c:v>-6.5113747187171001E-3</c:v>
                </c:pt>
                <c:pt idx="64" formatCode="0.00%">
                  <c:v>-6.627050304497395E-3</c:v>
                </c:pt>
                <c:pt idx="65" formatCode="0.00%">
                  <c:v>-6.7446406457791763E-3</c:v>
                </c:pt>
                <c:pt idx="66" formatCode="0.00%">
                  <c:v>-6.8640559105892507E-3</c:v>
                </c:pt>
                <c:pt idx="67" formatCode="0.00%">
                  <c:v>-6.9852003912682648E-3</c:v>
                </c:pt>
                <c:pt idx="68" formatCode="0.00%">
                  <c:v>-7.1079736825923057E-3</c:v>
                </c:pt>
                <c:pt idx="69" formatCode="0.00%">
                  <c:v>-7.2322717409518678E-3</c:v>
                </c:pt>
                <c:pt idx="70" formatCode="0.00%">
                  <c:v>-7.3579878335017224E-3</c:v>
                </c:pt>
                <c:pt idx="71" formatCode="0.00%">
                  <c:v>-7.4850133857202739E-3</c:v>
                </c:pt>
                <c:pt idx="72" formatCode="0.00%">
                  <c:v>-7.6132387357283893E-3</c:v>
                </c:pt>
                <c:pt idx="73" formatCode="0.00%">
                  <c:v>-7.7425538029802787E-3</c:v>
                </c:pt>
                <c:pt idx="74" formatCode="0.00%">
                  <c:v>-7.872848678267097E-3</c:v>
                </c:pt>
                <c:pt idx="75" formatCode="0.00%">
                  <c:v>-8.0040141421873212E-3</c:v>
                </c:pt>
                <c:pt idx="76" formatCode="0.00%">
                  <c:v>-8.1359421181441682E-3</c:v>
                </c:pt>
                <c:pt idx="77" formatCode="0.00%">
                  <c:v>-8.2685260657184845E-3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DE-4599-A737-E1263D71A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19264"/>
        <c:axId val="17852158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NSS!$EE$1</c15:sqref>
                        </c15:formulaRef>
                      </c:ext>
                    </c:extLst>
                    <c:strCache>
                      <c:ptCount val="1"/>
                      <c:pt idx="0">
                        <c:v>bid yield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NSS!$A$3:$A$246</c15:sqref>
                        </c15:formulaRef>
                      </c:ext>
                    </c:extLst>
                    <c:numCache>
                      <c:formatCode>0.0</c:formatCode>
                      <c:ptCount val="244"/>
                      <c:pt idx="0">
                        <c:v>0.5</c:v>
                      </c:pt>
                      <c:pt idx="1">
                        <c:v>0.5</c:v>
                      </c:pt>
                      <c:pt idx="2">
                        <c:v>0.5</c:v>
                      </c:pt>
                      <c:pt idx="3">
                        <c:v>0.5</c:v>
                      </c:pt>
                      <c:pt idx="4">
                        <c:v>0.5</c:v>
                      </c:pt>
                      <c:pt idx="5">
                        <c:v>0.5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1.5</c:v>
                      </c:pt>
                      <c:pt idx="11">
                        <c:v>1.5</c:v>
                      </c:pt>
                      <c:pt idx="12">
                        <c:v>1.5</c:v>
                      </c:pt>
                      <c:pt idx="13">
                        <c:v>1.5</c:v>
                      </c:pt>
                      <c:pt idx="14">
                        <c:v>1.5</c:v>
                      </c:pt>
                      <c:pt idx="15">
                        <c:v>1.5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2.5</c:v>
                      </c:pt>
                      <c:pt idx="24">
                        <c:v>2.5</c:v>
                      </c:pt>
                      <c:pt idx="25">
                        <c:v>2.5</c:v>
                      </c:pt>
                      <c:pt idx="26">
                        <c:v>2.5</c:v>
                      </c:pt>
                      <c:pt idx="27">
                        <c:v>2.5</c:v>
                      </c:pt>
                      <c:pt idx="28">
                        <c:v>2.5</c:v>
                      </c:pt>
                      <c:pt idx="29">
                        <c:v>2.5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3.5</c:v>
                      </c:pt>
                      <c:pt idx="34">
                        <c:v>3.5</c:v>
                      </c:pt>
                      <c:pt idx="35">
                        <c:v>4</c:v>
                      </c:pt>
                      <c:pt idx="36">
                        <c:v>4</c:v>
                      </c:pt>
                      <c:pt idx="37">
                        <c:v>4.5</c:v>
                      </c:pt>
                      <c:pt idx="38">
                        <c:v>4.5</c:v>
                      </c:pt>
                      <c:pt idx="39">
                        <c:v>5</c:v>
                      </c:pt>
                      <c:pt idx="40">
                        <c:v>5</c:v>
                      </c:pt>
                      <c:pt idx="41">
                        <c:v>5.5</c:v>
                      </c:pt>
                      <c:pt idx="42">
                        <c:v>5.5</c:v>
                      </c:pt>
                      <c:pt idx="43">
                        <c:v>6</c:v>
                      </c:pt>
                      <c:pt idx="44">
                        <c:v>6</c:v>
                      </c:pt>
                      <c:pt idx="45">
                        <c:v>7</c:v>
                      </c:pt>
                      <c:pt idx="46">
                        <c:v>9.5</c:v>
                      </c:pt>
                      <c:pt idx="47">
                        <c:v>10</c:v>
                      </c:pt>
                      <c:pt idx="48">
                        <c:v>12.5</c:v>
                      </c:pt>
                      <c:pt idx="49">
                        <c:v>13</c:v>
                      </c:pt>
                      <c:pt idx="50">
                        <c:v>13</c:v>
                      </c:pt>
                      <c:pt idx="51">
                        <c:v>13.5</c:v>
                      </c:pt>
                      <c:pt idx="52">
                        <c:v>13.5</c:v>
                      </c:pt>
                      <c:pt idx="53">
                        <c:v>14</c:v>
                      </c:pt>
                      <c:pt idx="54">
                        <c:v>14</c:v>
                      </c:pt>
                      <c:pt idx="55">
                        <c:v>15</c:v>
                      </c:pt>
                      <c:pt idx="56">
                        <c:v>20</c:v>
                      </c:pt>
                      <c:pt idx="57">
                        <c:v>23</c:v>
                      </c:pt>
                      <c:pt idx="58">
                        <c:v>23</c:v>
                      </c:pt>
                      <c:pt idx="59">
                        <c:v>23.5</c:v>
                      </c:pt>
                      <c:pt idx="60">
                        <c:v>23.5</c:v>
                      </c:pt>
                      <c:pt idx="61">
                        <c:v>29.5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NSS!$EE$2:$EE$245</c15:sqref>
                        </c15:formulaRef>
                      </c:ext>
                    </c:extLst>
                    <c:numCache>
                      <c:formatCode>General</c:formatCode>
                      <c:ptCount val="244"/>
                      <c:pt idx="0">
                        <c:v>8.999999999989159E-3</c:v>
                      </c:pt>
                      <c:pt idx="1">
                        <c:v>9.7899999999814125E-3</c:v>
                      </c:pt>
                      <c:pt idx="2">
                        <c:v>9.7299999999740303E-3</c:v>
                      </c:pt>
                      <c:pt idx="3">
                        <c:v>1.0209999998197796E-2</c:v>
                      </c:pt>
                      <c:pt idx="4">
                        <c:v>1.0159999997422651E-2</c:v>
                      </c:pt>
                      <c:pt idx="5">
                        <c:v>1.0159999998234326E-2</c:v>
                      </c:pt>
                      <c:pt idx="6">
                        <c:v>1.0849999998590175E-2</c:v>
                      </c:pt>
                      <c:pt idx="7">
                        <c:v>1.084999999801123E-2</c:v>
                      </c:pt>
                      <c:pt idx="8">
                        <c:v>1.161000000000008E-2</c:v>
                      </c:pt>
                      <c:pt idx="9">
                        <c:v>1.1670000000000008E-2</c:v>
                      </c:pt>
                      <c:pt idx="10">
                        <c:v>1.2019999999999986E-2</c:v>
                      </c:pt>
                      <c:pt idx="11">
                        <c:v>1.2040000000000018E-2</c:v>
                      </c:pt>
                      <c:pt idx="12">
                        <c:v>1.2059999999999878E-2</c:v>
                      </c:pt>
                      <c:pt idx="13">
                        <c:v>1.2359999999999975E-2</c:v>
                      </c:pt>
                      <c:pt idx="14">
                        <c:v>1.2390000000000002E-2</c:v>
                      </c:pt>
                      <c:pt idx="15">
                        <c:v>1.2400000000000001E-2</c:v>
                      </c:pt>
                      <c:pt idx="16">
                        <c:v>1.2620000000000003E-2</c:v>
                      </c:pt>
                      <c:pt idx="17">
                        <c:v>1.2689999999999894E-2</c:v>
                      </c:pt>
                      <c:pt idx="18">
                        <c:v>1.2669999999999921E-2</c:v>
                      </c:pt>
                      <c:pt idx="19">
                        <c:v>1.2700000000000102E-2</c:v>
                      </c:pt>
                      <c:pt idx="20">
                        <c:v>1.2949999999999675E-2</c:v>
                      </c:pt>
                      <c:pt idx="21">
                        <c:v>1.2979999999999976E-2</c:v>
                      </c:pt>
                      <c:pt idx="22">
                        <c:v>1.3009999999999848E-2</c:v>
                      </c:pt>
                      <c:pt idx="23">
                        <c:v>1.3439999999999635E-2</c:v>
                      </c:pt>
                      <c:pt idx="24">
                        <c:v>1.3409999999999834E-2</c:v>
                      </c:pt>
                      <c:pt idx="25">
                        <c:v>1.3419999999999899E-2</c:v>
                      </c:pt>
                      <c:pt idx="26">
                        <c:v>1.3389999999999702E-2</c:v>
                      </c:pt>
                      <c:pt idx="27">
                        <c:v>1.3399999999999825E-2</c:v>
                      </c:pt>
                      <c:pt idx="28">
                        <c:v>1.3879999999997689E-2</c:v>
                      </c:pt>
                      <c:pt idx="29">
                        <c:v>1.3839999999999646E-2</c:v>
                      </c:pt>
                      <c:pt idx="30">
                        <c:v>1.439999999999745E-2</c:v>
                      </c:pt>
                      <c:pt idx="31">
                        <c:v>1.432999999999951E-2</c:v>
                      </c:pt>
                      <c:pt idx="32">
                        <c:v>1.4819999999989454E-2</c:v>
                      </c:pt>
                      <c:pt idx="33">
                        <c:v>1.5289999999988426E-2</c:v>
                      </c:pt>
                      <c:pt idx="34">
                        <c:v>1.5669999999961146E-2</c:v>
                      </c:pt>
                      <c:pt idx="35">
                        <c:v>1.6029999999958678E-2</c:v>
                      </c:pt>
                      <c:pt idx="36">
                        <c:v>1.6289999999885653E-2</c:v>
                      </c:pt>
                      <c:pt idx="37">
                        <c:v>1.6649999999877207E-2</c:v>
                      </c:pt>
                      <c:pt idx="38">
                        <c:v>1.6949999999689332E-2</c:v>
                      </c:pt>
                      <c:pt idx="39">
                        <c:v>1.7269999999669616E-2</c:v>
                      </c:pt>
                      <c:pt idx="40">
                        <c:v>1.7649999999210818E-2</c:v>
                      </c:pt>
                      <c:pt idx="41">
                        <c:v>1.791999999917205E-2</c:v>
                      </c:pt>
                      <c:pt idx="42">
                        <c:v>1.8229999998880819E-2</c:v>
                      </c:pt>
                      <c:pt idx="43">
                        <c:v>1.8519999998808493E-2</c:v>
                      </c:pt>
                      <c:pt idx="44">
                        <c:v>1.8810000000000004E-2</c:v>
                      </c:pt>
                      <c:pt idx="45">
                        <c:v>1.9609999999999995E-2</c:v>
                      </c:pt>
                      <c:pt idx="46">
                        <c:v>2.3979999999999783E-2</c:v>
                      </c:pt>
                      <c:pt idx="47">
                        <c:v>2.464999999999876E-2</c:v>
                      </c:pt>
                      <c:pt idx="48">
                        <c:v>2.8949999999966343E-2</c:v>
                      </c:pt>
                      <c:pt idx="49">
                        <c:v>2.9659999999911889E-2</c:v>
                      </c:pt>
                      <c:pt idx="50">
                        <c:v>3.0109999999845115E-2</c:v>
                      </c:pt>
                      <c:pt idx="51">
                        <c:v>3.0529999999819167E-2</c:v>
                      </c:pt>
                      <c:pt idx="52">
                        <c:v>3.0709999999857841E-2</c:v>
                      </c:pt>
                      <c:pt idx="53">
                        <c:v>3.1049999999839487E-2</c:v>
                      </c:pt>
                      <c:pt idx="54">
                        <c:v>3.1439999999735832E-2</c:v>
                      </c:pt>
                      <c:pt idx="55">
                        <c:v>3.2689999999425498E-2</c:v>
                      </c:pt>
                      <c:pt idx="56">
                        <c:v>4.0719999999999257E-2</c:v>
                      </c:pt>
                      <c:pt idx="57">
                        <c:v>4.4689999999992652E-2</c:v>
                      </c:pt>
                      <c:pt idx="58">
                        <c:v>4.5149999999988727E-2</c:v>
                      </c:pt>
                      <c:pt idx="59">
                        <c:v>4.5589999999986787E-2</c:v>
                      </c:pt>
                      <c:pt idx="60">
                        <c:v>4.5979999999980536E-2</c:v>
                      </c:pt>
                      <c:pt idx="61">
                        <c:v>5.2119999998502642E-2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3CDE-4599-A737-E1263D71ABA3}"/>
                  </c:ext>
                </c:extLst>
              </c15:ser>
            </c15:filteredScatterSeries>
            <c15:filteredScatter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NSS!$ED$1</c15:sqref>
                        </c15:formulaRef>
                      </c:ext>
                    </c:extLst>
                    <c:strCache>
                      <c:ptCount val="1"/>
                      <c:pt idx="0">
                        <c:v>ask yield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NSS!$A$3:$A$246</c15:sqref>
                        </c15:formulaRef>
                      </c:ext>
                    </c:extLst>
                    <c:numCache>
                      <c:formatCode>0.0</c:formatCode>
                      <c:ptCount val="244"/>
                      <c:pt idx="0">
                        <c:v>0.5</c:v>
                      </c:pt>
                      <c:pt idx="1">
                        <c:v>0.5</c:v>
                      </c:pt>
                      <c:pt idx="2">
                        <c:v>0.5</c:v>
                      </c:pt>
                      <c:pt idx="3">
                        <c:v>0.5</c:v>
                      </c:pt>
                      <c:pt idx="4">
                        <c:v>0.5</c:v>
                      </c:pt>
                      <c:pt idx="5">
                        <c:v>0.5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1.5</c:v>
                      </c:pt>
                      <c:pt idx="11">
                        <c:v>1.5</c:v>
                      </c:pt>
                      <c:pt idx="12">
                        <c:v>1.5</c:v>
                      </c:pt>
                      <c:pt idx="13">
                        <c:v>1.5</c:v>
                      </c:pt>
                      <c:pt idx="14">
                        <c:v>1.5</c:v>
                      </c:pt>
                      <c:pt idx="15">
                        <c:v>1.5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2.5</c:v>
                      </c:pt>
                      <c:pt idx="24">
                        <c:v>2.5</c:v>
                      </c:pt>
                      <c:pt idx="25">
                        <c:v>2.5</c:v>
                      </c:pt>
                      <c:pt idx="26">
                        <c:v>2.5</c:v>
                      </c:pt>
                      <c:pt idx="27">
                        <c:v>2.5</c:v>
                      </c:pt>
                      <c:pt idx="28">
                        <c:v>2.5</c:v>
                      </c:pt>
                      <c:pt idx="29">
                        <c:v>2.5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3.5</c:v>
                      </c:pt>
                      <c:pt idx="34">
                        <c:v>3.5</c:v>
                      </c:pt>
                      <c:pt idx="35">
                        <c:v>4</c:v>
                      </c:pt>
                      <c:pt idx="36">
                        <c:v>4</c:v>
                      </c:pt>
                      <c:pt idx="37">
                        <c:v>4.5</c:v>
                      </c:pt>
                      <c:pt idx="38">
                        <c:v>4.5</c:v>
                      </c:pt>
                      <c:pt idx="39">
                        <c:v>5</c:v>
                      </c:pt>
                      <c:pt idx="40">
                        <c:v>5</c:v>
                      </c:pt>
                      <c:pt idx="41">
                        <c:v>5.5</c:v>
                      </c:pt>
                      <c:pt idx="42">
                        <c:v>5.5</c:v>
                      </c:pt>
                      <c:pt idx="43">
                        <c:v>6</c:v>
                      </c:pt>
                      <c:pt idx="44">
                        <c:v>6</c:v>
                      </c:pt>
                      <c:pt idx="45">
                        <c:v>7</c:v>
                      </c:pt>
                      <c:pt idx="46">
                        <c:v>9.5</c:v>
                      </c:pt>
                      <c:pt idx="47">
                        <c:v>10</c:v>
                      </c:pt>
                      <c:pt idx="48">
                        <c:v>12.5</c:v>
                      </c:pt>
                      <c:pt idx="49">
                        <c:v>13</c:v>
                      </c:pt>
                      <c:pt idx="50">
                        <c:v>13</c:v>
                      </c:pt>
                      <c:pt idx="51">
                        <c:v>13.5</c:v>
                      </c:pt>
                      <c:pt idx="52">
                        <c:v>13.5</c:v>
                      </c:pt>
                      <c:pt idx="53">
                        <c:v>14</c:v>
                      </c:pt>
                      <c:pt idx="54">
                        <c:v>14</c:v>
                      </c:pt>
                      <c:pt idx="55">
                        <c:v>15</c:v>
                      </c:pt>
                      <c:pt idx="56">
                        <c:v>20</c:v>
                      </c:pt>
                      <c:pt idx="57">
                        <c:v>23</c:v>
                      </c:pt>
                      <c:pt idx="58">
                        <c:v>23</c:v>
                      </c:pt>
                      <c:pt idx="59">
                        <c:v>23.5</c:v>
                      </c:pt>
                      <c:pt idx="60">
                        <c:v>23.5</c:v>
                      </c:pt>
                      <c:pt idx="61">
                        <c:v>29.5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NSS!$ED$2:$ED$245</c15:sqref>
                        </c15:formulaRef>
                      </c:ext>
                    </c:extLst>
                    <c:numCache>
                      <c:formatCode>General</c:formatCode>
                      <c:ptCount val="244"/>
                      <c:pt idx="0">
                        <c:v>8.7599999999905202E-3</c:v>
                      </c:pt>
                      <c:pt idx="1">
                        <c:v>9.5699999999828873E-3</c:v>
                      </c:pt>
                      <c:pt idx="2">
                        <c:v>9.5099999999759162E-3</c:v>
                      </c:pt>
                      <c:pt idx="3">
                        <c:v>9.9999999983467411E-3</c:v>
                      </c:pt>
                      <c:pt idx="4">
                        <c:v>9.9099999976548087E-3</c:v>
                      </c:pt>
                      <c:pt idx="5">
                        <c:v>9.919999998400807E-3</c:v>
                      </c:pt>
                      <c:pt idx="6">
                        <c:v>1.061999999870567E-2</c:v>
                      </c:pt>
                      <c:pt idx="7">
                        <c:v>1.0599999998174167E-2</c:v>
                      </c:pt>
                      <c:pt idx="8">
                        <c:v>1.1380000000000026E-2</c:v>
                      </c:pt>
                      <c:pt idx="9">
                        <c:v>1.144000000000004E-2</c:v>
                      </c:pt>
                      <c:pt idx="10">
                        <c:v>1.1779999999999933E-2</c:v>
                      </c:pt>
                      <c:pt idx="11">
                        <c:v>1.1789999999999872E-2</c:v>
                      </c:pt>
                      <c:pt idx="12">
                        <c:v>1.1819999994167807E-2</c:v>
                      </c:pt>
                      <c:pt idx="13">
                        <c:v>1.2129999999999998E-2</c:v>
                      </c:pt>
                      <c:pt idx="14">
                        <c:v>1.215000000000001E-2</c:v>
                      </c:pt>
                      <c:pt idx="15">
                        <c:v>1.2159999999999947E-2</c:v>
                      </c:pt>
                      <c:pt idx="16">
                        <c:v>1.2409999999999945E-2</c:v>
                      </c:pt>
                      <c:pt idx="17">
                        <c:v>1.243999999999985E-2</c:v>
                      </c:pt>
                      <c:pt idx="18">
                        <c:v>1.2420000000000044E-2</c:v>
                      </c:pt>
                      <c:pt idx="19">
                        <c:v>1.2499999999999907E-2</c:v>
                      </c:pt>
                      <c:pt idx="20">
                        <c:v>1.271999999999962E-2</c:v>
                      </c:pt>
                      <c:pt idx="21">
                        <c:v>1.2739999999999967E-2</c:v>
                      </c:pt>
                      <c:pt idx="22">
                        <c:v>1.2779999999999857E-2</c:v>
                      </c:pt>
                      <c:pt idx="23">
                        <c:v>1.3219999999999656E-2</c:v>
                      </c:pt>
                      <c:pt idx="24">
                        <c:v>1.3179999999999865E-2</c:v>
                      </c:pt>
                      <c:pt idx="25">
                        <c:v>1.3199999999999934E-2</c:v>
                      </c:pt>
                      <c:pt idx="26">
                        <c:v>1.3189999999999751E-2</c:v>
                      </c:pt>
                      <c:pt idx="27">
                        <c:v>1.3189999999999882E-2</c:v>
                      </c:pt>
                      <c:pt idx="28">
                        <c:v>1.3659999999997967E-2</c:v>
                      </c:pt>
                      <c:pt idx="29">
                        <c:v>1.3629999999999627E-2</c:v>
                      </c:pt>
                      <c:pt idx="30">
                        <c:v>1.4159999999997692E-2</c:v>
                      </c:pt>
                      <c:pt idx="31">
                        <c:v>1.4129999999999546E-2</c:v>
                      </c:pt>
                      <c:pt idx="32">
                        <c:v>1.4599999999990589E-2</c:v>
                      </c:pt>
                      <c:pt idx="33">
                        <c:v>1.5069999999989467E-2</c:v>
                      </c:pt>
                      <c:pt idx="34">
                        <c:v>1.5469999999964401E-2</c:v>
                      </c:pt>
                      <c:pt idx="35">
                        <c:v>1.579999999996257E-2</c:v>
                      </c:pt>
                      <c:pt idx="36">
                        <c:v>1.6079999999895414E-2</c:v>
                      </c:pt>
                      <c:pt idx="37">
                        <c:v>1.6439999999887493E-2</c:v>
                      </c:pt>
                      <c:pt idx="38">
                        <c:v>1.6779999999710235E-2</c:v>
                      </c:pt>
                      <c:pt idx="39">
                        <c:v>1.7099999999691317E-2</c:v>
                      </c:pt>
                      <c:pt idx="40">
                        <c:v>1.7499999999255948E-2</c:v>
                      </c:pt>
                      <c:pt idx="41">
                        <c:v>1.7749999999224803E-2</c:v>
                      </c:pt>
                      <c:pt idx="42">
                        <c:v>1.8069999998950457E-2</c:v>
                      </c:pt>
                      <c:pt idx="43">
                        <c:v>1.8349999998885896E-2</c:v>
                      </c:pt>
                      <c:pt idx="44">
                        <c:v>1.8649999999999976E-2</c:v>
                      </c:pt>
                      <c:pt idx="45">
                        <c:v>1.9430000000000006E-2</c:v>
                      </c:pt>
                      <c:pt idx="46">
                        <c:v>2.3739999999999813E-2</c:v>
                      </c:pt>
                      <c:pt idx="47">
                        <c:v>2.4399999999998895E-2</c:v>
                      </c:pt>
                      <c:pt idx="48">
                        <c:v>2.8679999999969941E-2</c:v>
                      </c:pt>
                      <c:pt idx="49">
                        <c:v>2.9409999999920132E-2</c:v>
                      </c:pt>
                      <c:pt idx="50">
                        <c:v>2.9849999999859871E-2</c:v>
                      </c:pt>
                      <c:pt idx="51">
                        <c:v>3.0269999999836164E-2</c:v>
                      </c:pt>
                      <c:pt idx="52">
                        <c:v>3.0449999999871497E-2</c:v>
                      </c:pt>
                      <c:pt idx="53">
                        <c:v>3.0809999999853628E-2</c:v>
                      </c:pt>
                      <c:pt idx="54">
                        <c:v>3.117999999976049E-2</c:v>
                      </c:pt>
                      <c:pt idx="55">
                        <c:v>3.2449999999473012E-2</c:v>
                      </c:pt>
                      <c:pt idx="56">
                        <c:v>4.0339999999999369E-2</c:v>
                      </c:pt>
                      <c:pt idx="57">
                        <c:v>4.4309999999993605E-2</c:v>
                      </c:pt>
                      <c:pt idx="58">
                        <c:v>4.4759999999990231E-2</c:v>
                      </c:pt>
                      <c:pt idx="59">
                        <c:v>4.5229999999988377E-2</c:v>
                      </c:pt>
                      <c:pt idx="60">
                        <c:v>4.5589999999982991E-2</c:v>
                      </c:pt>
                      <c:pt idx="61">
                        <c:v>5.1529999998726123E-2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CDE-4599-A737-E1263D71ABA3}"/>
                  </c:ext>
                </c:extLst>
              </c15:ser>
            </c15:filteredScatterSeries>
          </c:ext>
        </c:extLst>
      </c:scatterChart>
      <c:valAx>
        <c:axId val="178519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21584"/>
        <c:crosses val="autoZero"/>
        <c:crossBetween val="midCat"/>
      </c:valAx>
      <c:valAx>
        <c:axId val="17852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192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1039036</xdr:colOff>
      <xdr:row>256</xdr:row>
      <xdr:rowOff>0</xdr:rowOff>
    </xdr:from>
    <xdr:to>
      <xdr:col>12</xdr:col>
      <xdr:colOff>118991</xdr:colOff>
      <xdr:row>277</xdr:row>
      <xdr:rowOff>105340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AE44F2-E77E-44AA-A419-BF0A252277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51901</xdr:colOff>
      <xdr:row>256</xdr:row>
      <xdr:rowOff>0</xdr:rowOff>
    </xdr:from>
    <xdr:to>
      <xdr:col>29</xdr:col>
      <xdr:colOff>23741</xdr:colOff>
      <xdr:row>277</xdr:row>
      <xdr:rowOff>105340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9C8033-301E-4A72-ADD9-30BF6AC60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190446</xdr:colOff>
      <xdr:row>283</xdr:row>
      <xdr:rowOff>90493</xdr:rowOff>
    </xdr:from>
    <xdr:to>
      <xdr:col>29</xdr:col>
      <xdr:colOff>162286</xdr:colOff>
      <xdr:row>305</xdr:row>
      <xdr:rowOff>13993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4FAB67-BD0F-4C68-8A4E-4C1578C0F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1013114</xdr:colOff>
      <xdr:row>283</xdr:row>
      <xdr:rowOff>90493</xdr:rowOff>
    </xdr:from>
    <xdr:to>
      <xdr:col>12</xdr:col>
      <xdr:colOff>93069</xdr:colOff>
      <xdr:row>305</xdr:row>
      <xdr:rowOff>13993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51C6EB-66C2-4A22-B081-196582C20A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99</xdr:col>
      <xdr:colOff>0</xdr:colOff>
      <xdr:row>1</xdr:row>
      <xdr:rowOff>0</xdr:rowOff>
    </xdr:from>
    <xdr:to>
      <xdr:col>128</xdr:col>
      <xdr:colOff>263867</xdr:colOff>
      <xdr:row>23</xdr:row>
      <xdr:rowOff>3253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7A95C03-AFC3-49D6-AF8D-B11B723DD0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0</xdr:colOff>
      <xdr:row>256</xdr:row>
      <xdr:rowOff>0</xdr:rowOff>
    </xdr:from>
    <xdr:to>
      <xdr:col>45</xdr:col>
      <xdr:colOff>247774</xdr:colOff>
      <xdr:row>277</xdr:row>
      <xdr:rowOff>105337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959AFFE-F59F-4413-B290-BC3E9DAD0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0</xdr:colOff>
      <xdr:row>279</xdr:row>
      <xdr:rowOff>149413</xdr:rowOff>
    </xdr:from>
    <xdr:to>
      <xdr:col>45</xdr:col>
      <xdr:colOff>247774</xdr:colOff>
      <xdr:row>301</xdr:row>
      <xdr:rowOff>77323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1EB085-74B7-466E-9CEC-E47EF0BC1E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hr451\AppData\Local\Microsoft\Olk\Attachments\ooa-fc4cb3bf-f628-4b9d-9f4e-98b2798b11f0\2b7e35aca9acbf900a2cefd56d07671f36df9acefd5f2fd6f1860a8f6d6c198b\FICW%20-%20Nelson%20Siegel%20Svensson%20Curves%20-%20Fitting.xlsx" TargetMode="External"/><Relationship Id="rId1" Type="http://schemas.openxmlformats.org/officeDocument/2006/relationships/externalLinkPath" Target="file:///C:\Users\adhr451\AppData\Local\Microsoft\Olk\Attachments\ooa-fc4cb3bf-f628-4b9d-9f4e-98b2798b11f0\2b7e35aca9acbf900a2cefd56d07671f36df9acefd5f2fd6f1860a8f6d6c198b\FICW%20-%20Nelson%20Siegel%20Svensson%20Curves%20-%20Fitting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esktop/TOYOTA%202%20pietro.xlsx" TargetMode="External"/><Relationship Id="rId2" Type="http://schemas.openxmlformats.org/officeDocument/2006/relationships/externalLinkPath" Target="https://cityuni-my.sharepoint.com/personal/pietro_rota_bayes_city_ac_uk/Documents/Desktop/TOYOTA%202%20pietro.xlsx" TargetMode="External"/><Relationship Id="rId1" Type="http://schemas.openxmlformats.org/officeDocument/2006/relationships/externalLinkPath" Target="/personal/pietro_rota_bayes_city_ac_uk/Documents/Desktop/TOYOTA%202%20piet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PY NSS"/>
      <sheetName val="BQL FIXED"/>
      <sheetName val="BQL query"/>
      <sheetName val="Nelson Siegel Model"/>
      <sheetName val="Nelson Siegel Svensson Model"/>
    </sheetNames>
    <sheetDataSet>
      <sheetData sheetId="0"/>
      <sheetData sheetId="1"/>
      <sheetData sheetId="2"/>
      <sheetData sheetId="3">
        <row r="16">
          <cell r="B16">
            <v>6.5325591906775738E-3</v>
          </cell>
        </row>
        <row r="17">
          <cell r="B17">
            <v>-1.3132985213715961E-2</v>
          </cell>
        </row>
        <row r="18">
          <cell r="B18">
            <v>3.8442689629585899E-2</v>
          </cell>
        </row>
        <row r="19">
          <cell r="B19">
            <v>8.6539419938065265</v>
          </cell>
        </row>
      </sheetData>
      <sheetData sheetId="4">
        <row r="2">
          <cell r="L2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loomberg (Online)"/>
      <sheetName val="Offline"/>
      <sheetName val="SORT"/>
      <sheetName val="ID filter"/>
      <sheetName val="F coupon&lt;0.5"/>
      <sheetName val="F date&lt;=1"/>
      <sheetName val="NSS"/>
      <sheetName val="MANUAL FILTE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>
        <row r="1">
          <cell r="EC1" t="str">
            <v>AVG yield</v>
          </cell>
        </row>
        <row r="250">
          <cell r="N250">
            <v>1.8405349705237883E-2</v>
          </cell>
          <cell r="O250">
            <v>2.0709832194344635E-2</v>
          </cell>
          <cell r="P250">
            <v>2.2480708118509884E-2</v>
          </cell>
          <cell r="Q250">
            <v>2.4166244816891114E-2</v>
          </cell>
          <cell r="R250">
            <v>2.5769725368030683E-2</v>
          </cell>
          <cell r="S250">
            <v>2.7294325827311949E-2</v>
          </cell>
          <cell r="T250">
            <v>2.8743117789756578E-2</v>
          </cell>
          <cell r="U250">
            <v>3.0119070962416172E-2</v>
          </cell>
          <cell r="V250">
            <v>3.142505573852894E-2</v>
          </cell>
          <cell r="W250">
            <v>3.2663845766382371E-2</v>
          </cell>
          <cell r="X250">
            <v>3.3838120506629821E-2</v>
          </cell>
          <cell r="Y250">
            <v>3.4950467772458138E-2</v>
          </cell>
          <cell r="Z250">
            <v>3.6003386247642988E-2</v>
          </cell>
          <cell r="AA250">
            <v>3.6999287978162432E-2</v>
          </cell>
          <cell r="AB250">
            <v>3.7940500833491875E-2</v>
          </cell>
          <cell r="AC250">
            <v>3.8829270934226168E-2</v>
          </cell>
          <cell r="AD250">
            <v>3.9667765043152059E-2</v>
          </cell>
          <cell r="AE250">
            <v>4.0458072917247456E-2</v>
          </cell>
          <cell r="AF250">
            <v>4.1202209618476759E-2</v>
          </cell>
          <cell r="AG250">
            <v>4.1902117781557946E-2</v>
          </cell>
          <cell r="AH250">
            <v>4.255966983727566E-2</v>
          </cell>
          <cell r="AI250">
            <v>4.3176670190047339E-2</v>
          </cell>
          <cell r="AJ250">
            <v>4.3754857348807352E-2</v>
          </cell>
          <cell r="AK250">
            <v>4.4295906010516362E-2</v>
          </cell>
          <cell r="AL250">
            <v>4.4801429095675971E-2</v>
          </cell>
          <cell r="AM250">
            <v>4.5272979735556218E-2</v>
          </cell>
          <cell r="AN250">
            <v>4.5712053210945625E-2</v>
          </cell>
          <cell r="AO250">
            <v>4.6120088842386719E-2</v>
          </cell>
          <cell r="AP250">
            <v>4.6498471831991406E-2</v>
          </cell>
          <cell r="AQ250">
            <v>4.6848535057038676E-2</v>
          </cell>
          <cell r="AR250">
            <v>4.7171560815723046E-2</v>
          </cell>
          <cell r="AS250">
            <v>4.7468782525424968E-2</v>
          </cell>
          <cell r="AT250">
            <v>4.7741386374017036E-2</v>
          </cell>
          <cell r="AU250">
            <v>4.7990512924780404E-2</v>
          </cell>
          <cell r="AV250">
            <v>4.8217258675573804E-2</v>
          </cell>
          <cell r="AW250">
            <v>4.8422677572943496E-2</v>
          </cell>
          <cell r="AX250">
            <v>4.8607782481843165E-2</v>
          </cell>
          <cell r="AY250">
            <v>4.8773546611856622E-2</v>
          </cell>
          <cell r="AZ250">
            <v>4.8920904900681128E-2</v>
          </cell>
          <cell r="BA250">
            <v>4.9050755355618536E-2</v>
          </cell>
          <cell r="BB250">
            <v>4.9163960354080327E-2</v>
          </cell>
          <cell r="BC250">
            <v>4.9261347903952535E-2</v>
          </cell>
          <cell r="BD250">
            <v>4.9343712864562184E-2</v>
          </cell>
          <cell r="BE250">
            <v>4.9411818129373453E-2</v>
          </cell>
          <cell r="BF250">
            <v>4.9466395771152083E-2</v>
          </cell>
          <cell r="BG250">
            <v>4.9508148150575026E-2</v>
          </cell>
          <cell r="BH250">
            <v>4.9537748989215036E-2</v>
          </cell>
          <cell r="BI250">
            <v>4.955584440771843E-2</v>
          </cell>
          <cell r="BJ250">
            <v>4.9563053930248735E-2</v>
          </cell>
          <cell r="BK250">
            <v>4.9559971455874097E-2</v>
          </cell>
          <cell r="BL250">
            <v>4.9547166197970505E-2</v>
          </cell>
          <cell r="BM250">
            <v>4.9525183592479483E-2</v>
          </cell>
          <cell r="BN250">
            <v>4.949454617579474E-2</v>
          </cell>
          <cell r="BO250">
            <v>4.945575443327499E-2</v>
          </cell>
          <cell r="BP250">
            <v>4.9409287619135434E-2</v>
          </cell>
          <cell r="BQ250">
            <v>4.9355604548574128E-2</v>
          </cell>
          <cell r="BR250">
            <v>4.929514436296123E-2</v>
          </cell>
          <cell r="BS250">
            <v>4.9228327268891592E-2</v>
          </cell>
          <cell r="BT250">
            <v>4.9155555251864103E-2</v>
          </cell>
          <cell r="BU250">
            <v>4.9077212765361589E-2</v>
          </cell>
          <cell r="BV250">
            <v>4.8993667396152185E-2</v>
          </cell>
          <cell r="BW250">
            <v>4.890527050641591E-2</v>
          </cell>
          <cell r="BX250">
            <v>4.8812357853530663E-2</v>
          </cell>
          <cell r="BY250">
            <v>4.8715250188222647E-2</v>
          </cell>
          <cell r="BZ250">
            <v>4.8614253831616772E-2</v>
          </cell>
          <cell r="CA250">
            <v>4.8509661232060797E-2</v>
          </cell>
          <cell r="CB250">
            <v>4.8401751502257229E-2</v>
          </cell>
          <cell r="CC250">
            <v>4.8290790937326911E-2</v>
          </cell>
          <cell r="CD250">
            <v>4.8177033514453127E-2</v>
          </cell>
          <cell r="CE250">
            <v>4.8060721374758142E-2</v>
          </cell>
          <cell r="CF250">
            <v>4.7942085287886238E-2</v>
          </cell>
          <cell r="CG250">
            <v>4.7821345099928081E-2</v>
          </cell>
          <cell r="CH250">
            <v>4.769871016529148E-2</v>
          </cell>
          <cell r="CI250">
            <v>4.7574379762868491E-2</v>
          </cell>
          <cell r="CJ250">
            <v>4.744854349728711E-2</v>
          </cell>
          <cell r="CK250">
            <v>4.7321381685502928E-2</v>
          </cell>
        </row>
      </sheetData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B288-7EBA-4633-9457-1643141845CE}">
  <dimension ref="A1:X328"/>
  <sheetViews>
    <sheetView topLeftCell="O1" workbookViewId="0">
      <selection activeCell="T2" sqref="T2"/>
    </sheetView>
  </sheetViews>
  <sheetFormatPr defaultRowHeight="12.75" x14ac:dyDescent="0.35"/>
  <cols>
    <col min="1" max="1" width="14.73046875" bestFit="1" customWidth="1"/>
    <col min="2" max="2" width="32.73046875" bestFit="1" customWidth="1"/>
    <col min="3" max="3" width="6" bestFit="1" customWidth="1"/>
    <col min="4" max="4" width="13.86328125" bestFit="1" customWidth="1"/>
    <col min="5" max="5" width="8.3984375" bestFit="1" customWidth="1"/>
    <col min="6" max="6" width="10.1328125" bestFit="1" customWidth="1"/>
    <col min="7" max="7" width="11.86328125" bestFit="1" customWidth="1"/>
    <col min="8" max="8" width="16.73046875" bestFit="1" customWidth="1"/>
    <col min="9" max="9" width="7.265625" bestFit="1" customWidth="1"/>
    <col min="10" max="10" width="18.73046875" style="4" bestFit="1" customWidth="1"/>
    <col min="11" max="11" width="18.1328125" style="4" bestFit="1" customWidth="1"/>
    <col min="12" max="12" width="9.1328125" bestFit="1" customWidth="1"/>
    <col min="13" max="13" width="8.59765625" bestFit="1" customWidth="1"/>
    <col min="14" max="14" width="11.1328125" bestFit="1" customWidth="1"/>
    <col min="15" max="15" width="14.1328125" bestFit="1" customWidth="1"/>
    <col min="16" max="16" width="25.73046875" bestFit="1" customWidth="1"/>
    <col min="17" max="17" width="10.1328125" bestFit="1" customWidth="1"/>
    <col min="18" max="18" width="22" style="3" bestFit="1" customWidth="1"/>
    <col min="21" max="22" width="10.1328125" bestFit="1" customWidth="1"/>
    <col min="24" max="24" width="10.1328125" bestFit="1" customWidth="1"/>
  </cols>
  <sheetData>
    <row r="1" spans="1:24" x14ac:dyDescent="0.35">
      <c r="A1" s="1" t="s">
        <v>44</v>
      </c>
      <c r="B1" s="1" t="s">
        <v>45</v>
      </c>
      <c r="C1" s="1" t="s">
        <v>46</v>
      </c>
      <c r="D1" s="2" t="s">
        <v>47</v>
      </c>
      <c r="E1" s="1" t="s">
        <v>48</v>
      </c>
      <c r="F1" s="1" t="s">
        <v>8</v>
      </c>
      <c r="G1" s="1" t="s">
        <v>49</v>
      </c>
      <c r="H1" s="1" t="s">
        <v>50</v>
      </c>
      <c r="I1" s="1" t="s">
        <v>9</v>
      </c>
      <c r="J1" s="7" t="s">
        <v>51</v>
      </c>
      <c r="K1" s="7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31" t="s">
        <v>59</v>
      </c>
      <c r="S1" s="1" t="s">
        <v>60</v>
      </c>
    </row>
    <row r="2" spans="1:24" x14ac:dyDescent="0.35">
      <c r="A2" s="5" t="s">
        <v>61</v>
      </c>
      <c r="B2" s="1" t="e" cm="1">
        <f t="array" aca="1" ref="B2" ca="1">_xll.BDP("AL516835 Corp","DS520")</f>
        <v>#NAME?</v>
      </c>
      <c r="C2" s="1" t="e" cm="1">
        <f t="array" aca="1" ref="C2" ca="1">_xll.BDP("AL516835 Corp","DS001")</f>
        <v>#NAME?</v>
      </c>
      <c r="D2" s="1" t="e" cm="1">
        <f t="array" aca="1" ref="D2" ca="1">_xll.BDP("AL516835 Corp","DS458")</f>
        <v>#NAME?</v>
      </c>
      <c r="E2" s="1" t="e" cm="1">
        <f t="array" aca="1" ref="E2" ca="1">_xll.BDP("AL516835 Corp","DS004")</f>
        <v>#NAME?</v>
      </c>
      <c r="F2" s="1" t="e" cm="1">
        <f t="array" aca="1" ref="F2" ca="1">_xll.BDP("AL516835 Corp","DS035")</f>
        <v>#NAME?</v>
      </c>
      <c r="G2" s="1" t="e" cm="1">
        <f t="array" aca="1" ref="G2" ca="1">_xll.BDP("AL516835 Corp","DS086")</f>
        <v>#NAME?</v>
      </c>
      <c r="H2" s="1" t="e" cm="1">
        <f t="array" aca="1" ref="H2" ca="1">_xll.BDP("AL516835 Corp","DS034")</f>
        <v>#NAME?</v>
      </c>
      <c r="I2" s="1" t="e" cm="1">
        <f t="array" aca="1" ref="I2" ca="1">_xll.BDP("AL516835 Corp","DS033")</f>
        <v>#NAME?</v>
      </c>
      <c r="J2" s="7" t="e" cm="1">
        <f t="array" aca="1" ref="J2" ca="1">_xll.BDP("AL516835 Corp","YL018")</f>
        <v>#NAME?</v>
      </c>
      <c r="K2" s="7" t="e" cm="1">
        <f t="array" aca="1" ref="K2" ca="1">_xll.BDP("AL516835 Corp","YL016")</f>
        <v>#NAME?</v>
      </c>
      <c r="L2" s="7" t="e" cm="1">
        <f t="array" aca="1" ref="L2" ca="1">_xll.BDP("AL516835 Corp","PR004")</f>
        <v>#NAME?</v>
      </c>
      <c r="M2" s="7" t="e" cm="1">
        <f t="array" aca="1" ref="M2" ca="1">_xll.BDP("AL516835 Corp","PR002")</f>
        <v>#NAME?</v>
      </c>
      <c r="N2" s="1" t="e" cm="1">
        <f t="array" aca="1" ref="N2" ca="1">_xll.BDP("AL516835 Corp","ID028")</f>
        <v>#NAME?</v>
      </c>
      <c r="O2" s="1" t="e" cm="1">
        <f t="array" aca="1" ref="O2" ca="1">_xll.BDP("AL516835 Corp","ID005")</f>
        <v>#NAME?</v>
      </c>
      <c r="P2" s="1" t="e" cm="1">
        <f t="array" aca="1" ref="P2" ca="1">_xll.BDP(A2,"RA007")</f>
        <v>#NAME?</v>
      </c>
      <c r="Q2" s="1" t="e" cm="1">
        <f t="array" aca="1" ref="Q2" ca="1">_xll.BDP(A2,"DS219")</f>
        <v>#NAME?</v>
      </c>
      <c r="R2" s="3" t="e" cm="1">
        <f t="array" aca="1" ref="R2" ca="1">_xll.BDP(A2,"DS040")</f>
        <v>#NAME?</v>
      </c>
      <c r="S2" s="4" t="e">
        <f ca="1">(F2-TODAY())/365.25</f>
        <v>#NAME?</v>
      </c>
      <c r="T2" s="7" t="e">
        <f ca="1">S2-ROUNDDOWN(S2,0)</f>
        <v>#NAME?</v>
      </c>
      <c r="U2" s="3" t="e">
        <f ca="1">DATE(2026,MONTH(TODAY()),DAY(F2))&gt;DATEVALUE(R2)</f>
        <v>#NAME?</v>
      </c>
      <c r="X2" s="3"/>
    </row>
    <row r="3" spans="1:24" x14ac:dyDescent="0.35">
      <c r="A3" s="5" t="s">
        <v>62</v>
      </c>
      <c r="B3" s="1" t="e" cm="1">
        <f t="array" aca="1" ref="B3" ca="1">_xll.BDP("AL662876 Corp","DS520")</f>
        <v>#NAME?</v>
      </c>
      <c r="C3" s="1" t="e" cm="1">
        <f t="array" aca="1" ref="C3" ca="1">_xll.BDP("AL662876 Corp","DS001")</f>
        <v>#NAME?</v>
      </c>
      <c r="D3" s="1" t="e" cm="1">
        <f t="array" aca="1" ref="D3" ca="1">_xll.BDP("AL662876 Corp","DS458")</f>
        <v>#NAME?</v>
      </c>
      <c r="E3" s="1" t="e" cm="1">
        <f t="array" aca="1" ref="E3" ca="1">_xll.BDP("AL662876 Corp","DS004")</f>
        <v>#NAME?</v>
      </c>
      <c r="F3" s="1" t="e" cm="1">
        <f t="array" aca="1" ref="F3" ca="1">_xll.BDP("AL662876 Corp","DS035")</f>
        <v>#NAME?</v>
      </c>
      <c r="G3" s="1" t="e" cm="1">
        <f t="array" aca="1" ref="G3" ca="1">_xll.BDP("AL662876 Corp","DS086")</f>
        <v>#NAME?</v>
      </c>
      <c r="H3" s="1" t="e" cm="1">
        <f t="array" aca="1" ref="H3" ca="1">_xll.BDP("AL662876 Corp","DS034")</f>
        <v>#NAME?</v>
      </c>
      <c r="I3" s="1" t="e" cm="1">
        <f t="array" aca="1" ref="I3" ca="1">_xll.BDP("AL662876 Corp","DS033")</f>
        <v>#NAME?</v>
      </c>
      <c r="J3" s="7" t="e" cm="1">
        <f t="array" aca="1" ref="J3" ca="1">_xll.BDP("AL662876 Corp","YL018")</f>
        <v>#NAME?</v>
      </c>
      <c r="K3" s="7" t="e" cm="1">
        <f t="array" aca="1" ref="K3" ca="1">_xll.BDP("AL662876 Corp","YL016")</f>
        <v>#NAME?</v>
      </c>
      <c r="L3" s="7" t="e" cm="1">
        <f t="array" aca="1" ref="L3" ca="1">_xll.BDP("AL662876 Corp","PR004")</f>
        <v>#NAME?</v>
      </c>
      <c r="M3" s="7" t="e" cm="1">
        <f t="array" aca="1" ref="M3" ca="1">_xll.BDP("AL662876 Corp","PR002")</f>
        <v>#NAME?</v>
      </c>
      <c r="N3" s="1" t="e" cm="1">
        <f t="array" aca="1" ref="N3" ca="1">_xll.BDP("AL662876 Corp","ID028")</f>
        <v>#NAME?</v>
      </c>
      <c r="O3" s="1" t="e" cm="1">
        <f t="array" aca="1" ref="O3" ca="1">_xll.BDP("AL662876 Corp","ID005")</f>
        <v>#NAME?</v>
      </c>
      <c r="P3" s="1" t="e" cm="1">
        <f t="array" aca="1" ref="P3" ca="1">_xll.BDP(A3,"RA007")</f>
        <v>#NAME?</v>
      </c>
      <c r="Q3" s="1" t="e" cm="1">
        <f t="array" aca="1" ref="Q3" ca="1">_xll.BDP(A3,"DS219")</f>
        <v>#NAME?</v>
      </c>
      <c r="R3" s="3" t="e" cm="1">
        <f t="array" aca="1" ref="R3" ca="1">_xll.BDP(A3,"DS040")</f>
        <v>#NAME?</v>
      </c>
      <c r="S3" s="4" t="e">
        <f t="shared" ref="S3:S66" ca="1" si="0">(F3-TODAY())/365.25</f>
        <v>#NAME?</v>
      </c>
      <c r="T3" s="7" t="e">
        <f t="shared" ref="T3:T66" ca="1" si="1">S3-ROUNDDOWN(S3,0)</f>
        <v>#NAME?</v>
      </c>
      <c r="U3" s="3" t="e">
        <f t="shared" ref="U3:U66" ca="1" si="2">DATE(2026,MONTH(TODAY()),DAY(F3))&gt;DATEVALUE(R3)</f>
        <v>#NAME?</v>
      </c>
    </row>
    <row r="4" spans="1:24" x14ac:dyDescent="0.35">
      <c r="A4" s="5" t="s">
        <v>63</v>
      </c>
      <c r="B4" s="1" t="e" cm="1">
        <f t="array" aca="1" ref="B4" ca="1">_xll.BDP("AL797512 Corp","DS520")</f>
        <v>#NAME?</v>
      </c>
      <c r="C4" s="1" t="e" cm="1">
        <f t="array" aca="1" ref="C4" ca="1">_xll.BDP("AL797512 Corp","DS001")</f>
        <v>#NAME?</v>
      </c>
      <c r="D4" s="1" t="e" cm="1">
        <f t="array" aca="1" ref="D4" ca="1">_xll.BDP("AL797512 Corp","DS458")</f>
        <v>#NAME?</v>
      </c>
      <c r="E4" s="1" t="e" cm="1">
        <f t="array" aca="1" ref="E4" ca="1">_xll.BDP("AL797512 Corp","DS004")</f>
        <v>#NAME?</v>
      </c>
      <c r="F4" s="1" t="e" cm="1">
        <f t="array" aca="1" ref="F4" ca="1">_xll.BDP("AL797512 Corp","DS035")</f>
        <v>#NAME?</v>
      </c>
      <c r="G4" s="1" t="e" cm="1">
        <f t="array" aca="1" ref="G4" ca="1">_xll.BDP("AL797512 Corp","DS086")</f>
        <v>#NAME?</v>
      </c>
      <c r="H4" s="1" t="e" cm="1">
        <f t="array" aca="1" ref="H4" ca="1">_xll.BDP("AL797512 Corp","DS034")</f>
        <v>#NAME?</v>
      </c>
      <c r="I4" s="1" t="e" cm="1">
        <f t="array" aca="1" ref="I4" ca="1">_xll.BDP("AL797512 Corp","DS033")</f>
        <v>#NAME?</v>
      </c>
      <c r="J4" s="7" t="e" cm="1">
        <f t="array" aca="1" ref="J4" ca="1">_xll.BDP("AL797512 Corp","YL018")</f>
        <v>#NAME?</v>
      </c>
      <c r="K4" s="7" t="e" cm="1">
        <f t="array" aca="1" ref="K4" ca="1">_xll.BDP("AL797512 Corp","YL016")</f>
        <v>#NAME?</v>
      </c>
      <c r="L4" s="7" t="e" cm="1">
        <f t="array" aca="1" ref="L4" ca="1">_xll.BDP("AL797512 Corp","PR004")</f>
        <v>#NAME?</v>
      </c>
      <c r="M4" s="7" t="e" cm="1">
        <f t="array" aca="1" ref="M4" ca="1">_xll.BDP("AL797512 Corp","PR002")</f>
        <v>#NAME?</v>
      </c>
      <c r="N4" s="1" t="e" cm="1">
        <f t="array" aca="1" ref="N4" ca="1">_xll.BDP("AL797512 Corp","ID028")</f>
        <v>#NAME?</v>
      </c>
      <c r="O4" s="1" t="e" cm="1">
        <f t="array" aca="1" ref="O4" ca="1">_xll.BDP("AL797512 Corp","ID005")</f>
        <v>#NAME?</v>
      </c>
      <c r="P4" s="1" t="e" cm="1">
        <f t="array" aca="1" ref="P4" ca="1">_xll.BDP(A4,"RA007")</f>
        <v>#NAME?</v>
      </c>
      <c r="Q4" s="1" t="e" cm="1">
        <f t="array" aca="1" ref="Q4" ca="1">_xll.BDP(A4,"DS219")</f>
        <v>#NAME?</v>
      </c>
      <c r="R4" s="3" t="e" cm="1">
        <f t="array" aca="1" ref="R4" ca="1">_xll.BDP(A4,"DS040")</f>
        <v>#NAME?</v>
      </c>
      <c r="S4" s="4" t="e">
        <f t="shared" ca="1" si="0"/>
        <v>#NAME?</v>
      </c>
      <c r="T4" s="7" t="e">
        <f t="shared" ca="1" si="1"/>
        <v>#NAME?</v>
      </c>
      <c r="U4" s="3" t="e">
        <f t="shared" ca="1" si="2"/>
        <v>#NAME?</v>
      </c>
    </row>
    <row r="5" spans="1:24" x14ac:dyDescent="0.35">
      <c r="A5" s="5" t="s">
        <v>64</v>
      </c>
      <c r="B5" s="1" t="e" cm="1">
        <f t="array" aca="1" ref="B5" ca="1">_xll.BDP("AM713129 Corp","DS520")</f>
        <v>#NAME?</v>
      </c>
      <c r="C5" s="1" t="e" cm="1">
        <f t="array" aca="1" ref="C5" ca="1">_xll.BDP("AM713129 Corp","DS001")</f>
        <v>#NAME?</v>
      </c>
      <c r="D5" s="1" t="e" cm="1">
        <f t="array" aca="1" ref="D5" ca="1">_xll.BDP("AM713129 Corp","DS458")</f>
        <v>#NAME?</v>
      </c>
      <c r="E5" s="1" t="e" cm="1">
        <f t="array" aca="1" ref="E5" ca="1">_xll.BDP("AM713129 Corp","DS004")</f>
        <v>#NAME?</v>
      </c>
      <c r="F5" s="1" t="e" cm="1">
        <f t="array" aca="1" ref="F5" ca="1">_xll.BDP("AM713129 Corp","DS035")</f>
        <v>#NAME?</v>
      </c>
      <c r="G5" s="1" t="e" cm="1">
        <f t="array" aca="1" ref="G5" ca="1">_xll.BDP("AM713129 Corp","DS086")</f>
        <v>#NAME?</v>
      </c>
      <c r="H5" s="1" t="e" cm="1">
        <f t="array" aca="1" ref="H5" ca="1">_xll.BDP("AM713129 Corp","DS034")</f>
        <v>#NAME?</v>
      </c>
      <c r="I5" s="1" t="e" cm="1">
        <f t="array" aca="1" ref="I5" ca="1">_xll.BDP("AM713129 Corp","DS033")</f>
        <v>#NAME?</v>
      </c>
      <c r="J5" s="7" t="e" cm="1">
        <f t="array" aca="1" ref="J5" ca="1">_xll.BDP("AM713129 Corp","YL018")</f>
        <v>#NAME?</v>
      </c>
      <c r="K5" s="7" t="e" cm="1">
        <f t="array" aca="1" ref="K5" ca="1">_xll.BDP("AM713129 Corp","YL016")</f>
        <v>#NAME?</v>
      </c>
      <c r="L5" s="7" t="e" cm="1">
        <f t="array" aca="1" ref="L5" ca="1">_xll.BDP("AM713129 Corp","PR004")</f>
        <v>#NAME?</v>
      </c>
      <c r="M5" s="7" t="e" cm="1">
        <f t="array" aca="1" ref="M5" ca="1">_xll.BDP("AM713129 Corp","PR002")</f>
        <v>#NAME?</v>
      </c>
      <c r="N5" s="1" t="e" cm="1">
        <f t="array" aca="1" ref="N5" ca="1">_xll.BDP("AM713129 Corp","ID028")</f>
        <v>#NAME?</v>
      </c>
      <c r="O5" s="1" t="e" cm="1">
        <f t="array" aca="1" ref="O5" ca="1">_xll.BDP("AM713129 Corp","ID005")</f>
        <v>#NAME?</v>
      </c>
      <c r="P5" s="1" t="e" cm="1">
        <f t="array" aca="1" ref="P5" ca="1">_xll.BDP(A5,"RA007")</f>
        <v>#NAME?</v>
      </c>
      <c r="Q5" s="1" t="e" cm="1">
        <f t="array" aca="1" ref="Q5" ca="1">_xll.BDP(A5,"DS219")</f>
        <v>#NAME?</v>
      </c>
      <c r="R5" s="3" t="e" cm="1">
        <f t="array" aca="1" ref="R5" ca="1">_xll.BDP(A5,"DS040")</f>
        <v>#NAME?</v>
      </c>
      <c r="S5" s="4" t="e">
        <f t="shared" ca="1" si="0"/>
        <v>#NAME?</v>
      </c>
      <c r="T5" s="7" t="e">
        <f t="shared" ca="1" si="1"/>
        <v>#NAME?</v>
      </c>
      <c r="U5" s="3" t="e">
        <f t="shared" ca="1" si="2"/>
        <v>#NAME?</v>
      </c>
    </row>
    <row r="6" spans="1:24" x14ac:dyDescent="0.35">
      <c r="A6" s="5" t="s">
        <v>65</v>
      </c>
      <c r="B6" s="1" t="e" cm="1">
        <f t="array" aca="1" ref="B6" ca="1">_xll.BDP("AM766737 Corp","DS520")</f>
        <v>#NAME?</v>
      </c>
      <c r="C6" s="1" t="e" cm="1">
        <f t="array" aca="1" ref="C6" ca="1">_xll.BDP("AM766737 Corp","DS001")</f>
        <v>#NAME?</v>
      </c>
      <c r="D6" s="1" t="e" cm="1">
        <f t="array" aca="1" ref="D6" ca="1">_xll.BDP("AM766737 Corp","DS458")</f>
        <v>#NAME?</v>
      </c>
      <c r="E6" s="1" t="e" cm="1">
        <f t="array" aca="1" ref="E6" ca="1">_xll.BDP("AM766737 Corp","DS004")</f>
        <v>#NAME?</v>
      </c>
      <c r="F6" s="1" t="e" cm="1">
        <f t="array" aca="1" ref="F6" ca="1">_xll.BDP("AM766737 Corp","DS035")</f>
        <v>#NAME?</v>
      </c>
      <c r="G6" s="1" t="e" cm="1">
        <f t="array" aca="1" ref="G6" ca="1">_xll.BDP("AM766737 Corp","DS086")</f>
        <v>#NAME?</v>
      </c>
      <c r="H6" s="1" t="e" cm="1">
        <f t="array" aca="1" ref="H6" ca="1">_xll.BDP("AM766737 Corp","DS034")</f>
        <v>#NAME?</v>
      </c>
      <c r="I6" s="1" t="e" cm="1">
        <f t="array" aca="1" ref="I6" ca="1">_xll.BDP("AM766737 Corp","DS033")</f>
        <v>#NAME?</v>
      </c>
      <c r="J6" s="7" t="e" cm="1">
        <f t="array" aca="1" ref="J6" ca="1">_xll.BDP("AM766737 Corp","YL018")</f>
        <v>#NAME?</v>
      </c>
      <c r="K6" s="7" t="e" cm="1">
        <f t="array" aca="1" ref="K6" ca="1">_xll.BDP("AM766737 Corp","YL016")</f>
        <v>#NAME?</v>
      </c>
      <c r="L6" s="7" t="e" cm="1">
        <f t="array" aca="1" ref="L6" ca="1">_xll.BDP("AM766737 Corp","PR004")</f>
        <v>#NAME?</v>
      </c>
      <c r="M6" s="7" t="e" cm="1">
        <f t="array" aca="1" ref="M6" ca="1">_xll.BDP("AM766737 Corp","PR002")</f>
        <v>#NAME?</v>
      </c>
      <c r="N6" s="1" t="e" cm="1">
        <f t="array" aca="1" ref="N6" ca="1">_xll.BDP("AM766737 Corp","ID028")</f>
        <v>#NAME?</v>
      </c>
      <c r="O6" s="1" t="e" cm="1">
        <f t="array" aca="1" ref="O6" ca="1">_xll.BDP("AM766737 Corp","ID005")</f>
        <v>#NAME?</v>
      </c>
      <c r="P6" s="1" t="e" cm="1">
        <f t="array" aca="1" ref="P6" ca="1">_xll.BDP(A6,"RA007")</f>
        <v>#NAME?</v>
      </c>
      <c r="Q6" s="1" t="e" cm="1">
        <f t="array" aca="1" ref="Q6" ca="1">_xll.BDP(A6,"DS219")</f>
        <v>#NAME?</v>
      </c>
      <c r="R6" s="3" t="e" cm="1">
        <f t="array" aca="1" ref="R6" ca="1">_xll.BDP(A6,"DS040")</f>
        <v>#NAME?</v>
      </c>
      <c r="S6" s="4" t="e">
        <f t="shared" ca="1" si="0"/>
        <v>#NAME?</v>
      </c>
      <c r="T6" s="7" t="e">
        <f t="shared" ca="1" si="1"/>
        <v>#NAME?</v>
      </c>
      <c r="U6" s="3" t="e">
        <f t="shared" ca="1" si="2"/>
        <v>#NAME?</v>
      </c>
    </row>
    <row r="7" spans="1:24" x14ac:dyDescent="0.35">
      <c r="A7" s="5" t="s">
        <v>66</v>
      </c>
      <c r="B7" s="1" t="e" cm="1">
        <f t="array" aca="1" ref="B7" ca="1">_xll.BDP("AM850328 Corp","DS520")</f>
        <v>#NAME?</v>
      </c>
      <c r="C7" s="1" t="e" cm="1">
        <f t="array" aca="1" ref="C7" ca="1">_xll.BDP("AM850328 Corp","DS001")</f>
        <v>#NAME?</v>
      </c>
      <c r="D7" s="1" t="e" cm="1">
        <f t="array" aca="1" ref="D7" ca="1">_xll.BDP("AM850328 Corp","DS458")</f>
        <v>#NAME?</v>
      </c>
      <c r="E7" s="1" t="e" cm="1">
        <f t="array" aca="1" ref="E7" ca="1">_xll.BDP("AM850328 Corp","DS004")</f>
        <v>#NAME?</v>
      </c>
      <c r="F7" s="1" t="e" cm="1">
        <f t="array" aca="1" ref="F7" ca="1">_xll.BDP("AM850328 Corp","DS035")</f>
        <v>#NAME?</v>
      </c>
      <c r="G7" s="1" t="e" cm="1">
        <f t="array" aca="1" ref="G7" ca="1">_xll.BDP("AM850328 Corp","DS086")</f>
        <v>#NAME?</v>
      </c>
      <c r="H7" s="1" t="e" cm="1">
        <f t="array" aca="1" ref="H7" ca="1">_xll.BDP("AM850328 Corp","DS034")</f>
        <v>#NAME?</v>
      </c>
      <c r="I7" s="1" t="e" cm="1">
        <f t="array" aca="1" ref="I7" ca="1">_xll.BDP("AM850328 Corp","DS033")</f>
        <v>#NAME?</v>
      </c>
      <c r="J7" s="7" t="e" cm="1">
        <f t="array" aca="1" ref="J7" ca="1">_xll.BDP("AM850328 Corp","YL018")</f>
        <v>#NAME?</v>
      </c>
      <c r="K7" s="7" t="e" cm="1">
        <f t="array" aca="1" ref="K7" ca="1">_xll.BDP("AM850328 Corp","YL016")</f>
        <v>#NAME?</v>
      </c>
      <c r="L7" s="7" t="e" cm="1">
        <f t="array" aca="1" ref="L7" ca="1">_xll.BDP("AM850328 Corp","PR004")</f>
        <v>#NAME?</v>
      </c>
      <c r="M7" s="7" t="e" cm="1">
        <f t="array" aca="1" ref="M7" ca="1">_xll.BDP("AM850328 Corp","PR002")</f>
        <v>#NAME?</v>
      </c>
      <c r="N7" s="1" t="e" cm="1">
        <f t="array" aca="1" ref="N7" ca="1">_xll.BDP("AM850328 Corp","ID028")</f>
        <v>#NAME?</v>
      </c>
      <c r="O7" s="1" t="e" cm="1">
        <f t="array" aca="1" ref="O7" ca="1">_xll.BDP("AM850328 Corp","ID005")</f>
        <v>#NAME?</v>
      </c>
      <c r="P7" s="1" t="e" cm="1">
        <f t="array" aca="1" ref="P7" ca="1">_xll.BDP(A7,"RA007")</f>
        <v>#NAME?</v>
      </c>
      <c r="Q7" s="1" t="e" cm="1">
        <f t="array" aca="1" ref="Q7" ca="1">_xll.BDP(A7,"DS219")</f>
        <v>#NAME?</v>
      </c>
      <c r="R7" s="3" t="e" cm="1">
        <f t="array" aca="1" ref="R7" ca="1">_xll.BDP(A7,"DS040")</f>
        <v>#NAME?</v>
      </c>
      <c r="S7" s="4" t="e">
        <f t="shared" ca="1" si="0"/>
        <v>#NAME?</v>
      </c>
      <c r="T7" s="7" t="e">
        <f t="shared" ca="1" si="1"/>
        <v>#NAME?</v>
      </c>
      <c r="U7" s="3" t="e">
        <f t="shared" ca="1" si="2"/>
        <v>#NAME?</v>
      </c>
    </row>
    <row r="8" spans="1:24" x14ac:dyDescent="0.35">
      <c r="A8" s="5" t="s">
        <v>67</v>
      </c>
      <c r="B8" s="1" t="e" cm="1">
        <f t="array" aca="1" ref="B8" ca="1">_xll.BDP("AN751153 Corp","DS520")</f>
        <v>#NAME?</v>
      </c>
      <c r="C8" s="1" t="e" cm="1">
        <f t="array" aca="1" ref="C8" ca="1">_xll.BDP("AN751153 Corp","DS001")</f>
        <v>#NAME?</v>
      </c>
      <c r="D8" s="1" t="e" cm="1">
        <f t="array" aca="1" ref="D8" ca="1">_xll.BDP("AN751153 Corp","DS458")</f>
        <v>#NAME?</v>
      </c>
      <c r="E8" s="1" t="e" cm="1">
        <f t="array" aca="1" ref="E8" ca="1">_xll.BDP("AN751153 Corp","DS004")</f>
        <v>#NAME?</v>
      </c>
      <c r="F8" s="1" t="e" cm="1">
        <f t="array" aca="1" ref="F8" ca="1">_xll.BDP("AN751153 Corp","DS035")</f>
        <v>#NAME?</v>
      </c>
      <c r="G8" s="1" t="e" cm="1">
        <f t="array" aca="1" ref="G8" ca="1">_xll.BDP("AN751153 Corp","DS086")</f>
        <v>#NAME?</v>
      </c>
      <c r="H8" s="1" t="e" cm="1">
        <f t="array" aca="1" ref="H8" ca="1">_xll.BDP("AN751153 Corp","DS034")</f>
        <v>#NAME?</v>
      </c>
      <c r="I8" s="1" t="e" cm="1">
        <f t="array" aca="1" ref="I8" ca="1">_xll.BDP("AN751153 Corp","DS033")</f>
        <v>#NAME?</v>
      </c>
      <c r="J8" s="7" t="e" cm="1">
        <f t="array" aca="1" ref="J8" ca="1">_xll.BDP("AN751153 Corp","YL018")</f>
        <v>#NAME?</v>
      </c>
      <c r="K8" s="7" t="e" cm="1">
        <f t="array" aca="1" ref="K8" ca="1">_xll.BDP("AN751153 Corp","YL016")</f>
        <v>#NAME?</v>
      </c>
      <c r="L8" s="7" t="e" cm="1">
        <f t="array" aca="1" ref="L8" ca="1">_xll.BDP("AN751153 Corp","PR004")</f>
        <v>#NAME?</v>
      </c>
      <c r="M8" s="7" t="e" cm="1">
        <f t="array" aca="1" ref="M8" ca="1">_xll.BDP("AN751153 Corp","PR002")</f>
        <v>#NAME?</v>
      </c>
      <c r="N8" s="1" t="e" cm="1">
        <f t="array" aca="1" ref="N8" ca="1">_xll.BDP("AN751153 Corp","ID028")</f>
        <v>#NAME?</v>
      </c>
      <c r="O8" s="1" t="e" cm="1">
        <f t="array" aca="1" ref="O8" ca="1">_xll.BDP("AN751153 Corp","ID005")</f>
        <v>#NAME?</v>
      </c>
      <c r="P8" s="1" t="e" cm="1">
        <f t="array" aca="1" ref="P8" ca="1">_xll.BDP(A8,"RA007")</f>
        <v>#NAME?</v>
      </c>
      <c r="Q8" s="1" t="e" cm="1">
        <f t="array" aca="1" ref="Q8" ca="1">_xll.BDP(A8,"DS219")</f>
        <v>#NAME?</v>
      </c>
      <c r="R8" s="3" t="e" cm="1">
        <f t="array" aca="1" ref="R8" ca="1">_xll.BDP(A8,"DS040")</f>
        <v>#NAME?</v>
      </c>
      <c r="S8" s="4" t="e">
        <f t="shared" ca="1" si="0"/>
        <v>#NAME?</v>
      </c>
      <c r="T8" s="7" t="e">
        <f t="shared" ca="1" si="1"/>
        <v>#NAME?</v>
      </c>
      <c r="U8" s="3" t="e">
        <f t="shared" ca="1" si="2"/>
        <v>#NAME?</v>
      </c>
    </row>
    <row r="9" spans="1:24" x14ac:dyDescent="0.35">
      <c r="A9" s="5" t="s">
        <v>68</v>
      </c>
      <c r="B9" s="1" t="e" cm="1">
        <f t="array" aca="1" ref="B9" ca="1">_xll.BDP("AN821370 Corp","DS520")</f>
        <v>#NAME?</v>
      </c>
      <c r="C9" s="1" t="e" cm="1">
        <f t="array" aca="1" ref="C9" ca="1">_xll.BDP("AN821370 Corp","DS001")</f>
        <v>#NAME?</v>
      </c>
      <c r="D9" s="1" t="e" cm="1">
        <f t="array" aca="1" ref="D9" ca="1">_xll.BDP("AN821370 Corp","DS458")</f>
        <v>#NAME?</v>
      </c>
      <c r="E9" s="1" t="e" cm="1">
        <f t="array" aca="1" ref="E9" ca="1">_xll.BDP("AN821370 Corp","DS004")</f>
        <v>#NAME?</v>
      </c>
      <c r="F9" s="1" t="e" cm="1">
        <f t="array" aca="1" ref="F9" ca="1">_xll.BDP("AN821370 Corp","DS035")</f>
        <v>#NAME?</v>
      </c>
      <c r="G9" s="1" t="e" cm="1">
        <f t="array" aca="1" ref="G9" ca="1">_xll.BDP("AN821370 Corp","DS086")</f>
        <v>#NAME?</v>
      </c>
      <c r="H9" s="1" t="e" cm="1">
        <f t="array" aca="1" ref="H9" ca="1">_xll.BDP("AN821370 Corp","DS034")</f>
        <v>#NAME?</v>
      </c>
      <c r="I9" s="1" t="e" cm="1">
        <f t="array" aca="1" ref="I9" ca="1">_xll.BDP("AN821370 Corp","DS033")</f>
        <v>#NAME?</v>
      </c>
      <c r="J9" s="7" t="e" cm="1">
        <f t="array" aca="1" ref="J9" ca="1">_xll.BDP("AN821370 Corp","YL018")</f>
        <v>#NAME?</v>
      </c>
      <c r="K9" s="7" t="e" cm="1">
        <f t="array" aca="1" ref="K9" ca="1">_xll.BDP("AN821370 Corp","YL016")</f>
        <v>#NAME?</v>
      </c>
      <c r="L9" s="7" t="e" cm="1">
        <f t="array" aca="1" ref="L9" ca="1">_xll.BDP("AN821370 Corp","PR004")</f>
        <v>#NAME?</v>
      </c>
      <c r="M9" s="7" t="e" cm="1">
        <f t="array" aca="1" ref="M9" ca="1">_xll.BDP("AN821370 Corp","PR002")</f>
        <v>#NAME?</v>
      </c>
      <c r="N9" s="1" t="e" cm="1">
        <f t="array" aca="1" ref="N9" ca="1">_xll.BDP("AN821370 Corp","ID028")</f>
        <v>#NAME?</v>
      </c>
      <c r="O9" s="1" t="e" cm="1">
        <f t="array" aca="1" ref="O9" ca="1">_xll.BDP("AN821370 Corp","ID005")</f>
        <v>#NAME?</v>
      </c>
      <c r="P9" s="1" t="e" cm="1">
        <f t="array" aca="1" ref="P9" ca="1">_xll.BDP(A9,"RA007")</f>
        <v>#NAME?</v>
      </c>
      <c r="Q9" s="1" t="e" cm="1">
        <f t="array" aca="1" ref="Q9" ca="1">_xll.BDP(A9,"DS219")</f>
        <v>#NAME?</v>
      </c>
      <c r="R9" s="3" t="e" cm="1">
        <f t="array" aca="1" ref="R9" ca="1">_xll.BDP(A9,"DS040")</f>
        <v>#NAME?</v>
      </c>
      <c r="S9" s="4" t="e">
        <f t="shared" ca="1" si="0"/>
        <v>#NAME?</v>
      </c>
      <c r="T9" s="7" t="e">
        <f t="shared" ca="1" si="1"/>
        <v>#NAME?</v>
      </c>
      <c r="U9" s="3" t="e">
        <f t="shared" ca="1" si="2"/>
        <v>#NAME?</v>
      </c>
    </row>
    <row r="10" spans="1:24" x14ac:dyDescent="0.35">
      <c r="A10" s="5" t="s">
        <v>69</v>
      </c>
      <c r="B10" s="1" t="e" cm="1">
        <f t="array" aca="1" ref="B10" ca="1">_xll.BDP("AN861997 Corp","DS520")</f>
        <v>#NAME?</v>
      </c>
      <c r="C10" s="1" t="e" cm="1">
        <f t="array" aca="1" ref="C10" ca="1">_xll.BDP("AN861997 Corp","DS001")</f>
        <v>#NAME?</v>
      </c>
      <c r="D10" s="1" t="e" cm="1">
        <f t="array" aca="1" ref="D10" ca="1">_xll.BDP("AN861997 Corp","DS458")</f>
        <v>#NAME?</v>
      </c>
      <c r="E10" s="1" t="e" cm="1">
        <f t="array" aca="1" ref="E10" ca="1">_xll.BDP("AN861997 Corp","DS004")</f>
        <v>#NAME?</v>
      </c>
      <c r="F10" s="1" t="e" cm="1">
        <f t="array" aca="1" ref="F10" ca="1">_xll.BDP("AN861997 Corp","DS035")</f>
        <v>#NAME?</v>
      </c>
      <c r="G10" s="1" t="e" cm="1">
        <f t="array" aca="1" ref="G10" ca="1">_xll.BDP("AN861997 Corp","DS086")</f>
        <v>#NAME?</v>
      </c>
      <c r="H10" s="1" t="e" cm="1">
        <f t="array" aca="1" ref="H10" ca="1">_xll.BDP("AN861997 Corp","DS034")</f>
        <v>#NAME?</v>
      </c>
      <c r="I10" s="1" t="e" cm="1">
        <f t="array" aca="1" ref="I10" ca="1">_xll.BDP("AN861997 Corp","DS033")</f>
        <v>#NAME?</v>
      </c>
      <c r="J10" s="7" t="e" cm="1">
        <f t="array" aca="1" ref="J10" ca="1">_xll.BDP("AN861997 Corp","YL018")</f>
        <v>#NAME?</v>
      </c>
      <c r="K10" s="7" t="e" cm="1">
        <f t="array" aca="1" ref="K10" ca="1">_xll.BDP("AN861997 Corp","YL016")</f>
        <v>#NAME?</v>
      </c>
      <c r="L10" s="7" t="e" cm="1">
        <f t="array" aca="1" ref="L10" ca="1">_xll.BDP("AN861997 Corp","PR004")</f>
        <v>#NAME?</v>
      </c>
      <c r="M10" s="7" t="e" cm="1">
        <f t="array" aca="1" ref="M10" ca="1">_xll.BDP("AN861997 Corp","PR002")</f>
        <v>#NAME?</v>
      </c>
      <c r="N10" s="1" t="e" cm="1">
        <f t="array" aca="1" ref="N10" ca="1">_xll.BDP("AN861997 Corp","ID028")</f>
        <v>#NAME?</v>
      </c>
      <c r="O10" s="1" t="e" cm="1">
        <f t="array" aca="1" ref="O10" ca="1">_xll.BDP("AN861997 Corp","ID005")</f>
        <v>#NAME?</v>
      </c>
      <c r="P10" s="1" t="e" cm="1">
        <f t="array" aca="1" ref="P10" ca="1">_xll.BDP(A10,"RA007")</f>
        <v>#NAME?</v>
      </c>
      <c r="Q10" s="1" t="e" cm="1">
        <f t="array" aca="1" ref="Q10" ca="1">_xll.BDP(A10,"DS219")</f>
        <v>#NAME?</v>
      </c>
      <c r="R10" s="3" t="e" cm="1">
        <f t="array" aca="1" ref="R10" ca="1">_xll.BDP(A10,"DS040")</f>
        <v>#NAME?</v>
      </c>
      <c r="S10" s="4" t="e">
        <f t="shared" ca="1" si="0"/>
        <v>#NAME?</v>
      </c>
      <c r="T10" s="7" t="e">
        <f t="shared" ca="1" si="1"/>
        <v>#NAME?</v>
      </c>
      <c r="U10" s="3" t="e">
        <f t="shared" ca="1" si="2"/>
        <v>#NAME?</v>
      </c>
    </row>
    <row r="11" spans="1:24" x14ac:dyDescent="0.35">
      <c r="A11" s="5" t="s">
        <v>70</v>
      </c>
      <c r="B11" s="1" t="e" cm="1">
        <f t="array" aca="1" ref="B11" ca="1">_xll.BDP("AN958432 Corp","DS520")</f>
        <v>#NAME?</v>
      </c>
      <c r="C11" s="1" t="e" cm="1">
        <f t="array" aca="1" ref="C11" ca="1">_xll.BDP("AN958432 Corp","DS001")</f>
        <v>#NAME?</v>
      </c>
      <c r="D11" s="1" t="e" cm="1">
        <f t="array" aca="1" ref="D11" ca="1">_xll.BDP("AN958432 Corp","DS458")</f>
        <v>#NAME?</v>
      </c>
      <c r="E11" s="1" t="e" cm="1">
        <f t="array" aca="1" ref="E11" ca="1">_xll.BDP("AN958432 Corp","DS004")</f>
        <v>#NAME?</v>
      </c>
      <c r="F11" s="1" t="e" cm="1">
        <f t="array" aca="1" ref="F11" ca="1">_xll.BDP("AN958432 Corp","DS035")</f>
        <v>#NAME?</v>
      </c>
      <c r="G11" s="1" t="e" cm="1">
        <f t="array" aca="1" ref="G11" ca="1">_xll.BDP("AN958432 Corp","DS086")</f>
        <v>#NAME?</v>
      </c>
      <c r="H11" s="1" t="e" cm="1">
        <f t="array" aca="1" ref="H11" ca="1">_xll.BDP("AN958432 Corp","DS034")</f>
        <v>#NAME?</v>
      </c>
      <c r="I11" s="1" t="e" cm="1">
        <f t="array" aca="1" ref="I11" ca="1">_xll.BDP("AN958432 Corp","DS033")</f>
        <v>#NAME?</v>
      </c>
      <c r="J11" s="7" t="e" cm="1">
        <f t="array" aca="1" ref="J11" ca="1">_xll.BDP("AN958432 Corp","YL018")</f>
        <v>#NAME?</v>
      </c>
      <c r="K11" s="7" t="e" cm="1">
        <f t="array" aca="1" ref="K11" ca="1">_xll.BDP("AN958432 Corp","YL016")</f>
        <v>#NAME?</v>
      </c>
      <c r="L11" s="7" t="e" cm="1">
        <f t="array" aca="1" ref="L11" ca="1">_xll.BDP("AN958432 Corp","PR004")</f>
        <v>#NAME?</v>
      </c>
      <c r="M11" s="7" t="e" cm="1">
        <f t="array" aca="1" ref="M11" ca="1">_xll.BDP("AN958432 Corp","PR002")</f>
        <v>#NAME?</v>
      </c>
      <c r="N11" s="1" t="e" cm="1">
        <f t="array" aca="1" ref="N11" ca="1">_xll.BDP("AN958432 Corp","ID028")</f>
        <v>#NAME?</v>
      </c>
      <c r="O11" s="1" t="e" cm="1">
        <f t="array" aca="1" ref="O11" ca="1">_xll.BDP("AN958432 Corp","ID005")</f>
        <v>#NAME?</v>
      </c>
      <c r="P11" s="1" t="e" cm="1">
        <f t="array" aca="1" ref="P11" ca="1">_xll.BDP(A11,"RA007")</f>
        <v>#NAME?</v>
      </c>
      <c r="Q11" s="1" t="e" cm="1">
        <f t="array" aca="1" ref="Q11" ca="1">_xll.BDP(A11,"DS219")</f>
        <v>#NAME?</v>
      </c>
      <c r="R11" s="3" t="e" cm="1">
        <f t="array" aca="1" ref="R11" ca="1">_xll.BDP(A11,"DS040")</f>
        <v>#NAME?</v>
      </c>
      <c r="S11" s="4" t="e">
        <f t="shared" ca="1" si="0"/>
        <v>#NAME?</v>
      </c>
      <c r="T11" s="7" t="e">
        <f t="shared" ca="1" si="1"/>
        <v>#NAME?</v>
      </c>
      <c r="U11" s="3" t="e">
        <f t="shared" ca="1" si="2"/>
        <v>#NAME?</v>
      </c>
    </row>
    <row r="12" spans="1:24" x14ac:dyDescent="0.35">
      <c r="A12" s="5" t="s">
        <v>71</v>
      </c>
      <c r="B12" s="1" t="e" cm="1">
        <f t="array" aca="1" ref="B12" ca="1">_xll.BDP("AP027592 Corp","DS520")</f>
        <v>#NAME?</v>
      </c>
      <c r="C12" s="1" t="e" cm="1">
        <f t="array" aca="1" ref="C12" ca="1">_xll.BDP("AP027592 Corp","DS001")</f>
        <v>#NAME?</v>
      </c>
      <c r="D12" s="1" t="e" cm="1">
        <f t="array" aca="1" ref="D12" ca="1">_xll.BDP("AP027592 Corp","DS458")</f>
        <v>#NAME?</v>
      </c>
      <c r="E12" s="1" t="e" cm="1">
        <f t="array" aca="1" ref="E12" ca="1">_xll.BDP("AP027592 Corp","DS004")</f>
        <v>#NAME?</v>
      </c>
      <c r="F12" s="1" t="e" cm="1">
        <f t="array" aca="1" ref="F12" ca="1">_xll.BDP("AP027592 Corp","DS035")</f>
        <v>#NAME?</v>
      </c>
      <c r="G12" s="1" t="e" cm="1">
        <f t="array" aca="1" ref="G12" ca="1">_xll.BDP("AP027592 Corp","DS086")</f>
        <v>#NAME?</v>
      </c>
      <c r="H12" s="1" t="e" cm="1">
        <f t="array" aca="1" ref="H12" ca="1">_xll.BDP("AP027592 Corp","DS034")</f>
        <v>#NAME?</v>
      </c>
      <c r="I12" s="1" t="e" cm="1">
        <f t="array" aca="1" ref="I12" ca="1">_xll.BDP("AP027592 Corp","DS033")</f>
        <v>#NAME?</v>
      </c>
      <c r="J12" s="7" t="e" cm="1">
        <f t="array" aca="1" ref="J12" ca="1">_xll.BDP("AP027592 Corp","YL018")</f>
        <v>#NAME?</v>
      </c>
      <c r="K12" s="7" t="e" cm="1">
        <f t="array" aca="1" ref="K12" ca="1">_xll.BDP("AP027592 Corp","YL016")</f>
        <v>#NAME?</v>
      </c>
      <c r="L12" s="7" t="e" cm="1">
        <f t="array" aca="1" ref="L12" ca="1">_xll.BDP("AP027592 Corp","PR004")</f>
        <v>#NAME?</v>
      </c>
      <c r="M12" s="7" t="e" cm="1">
        <f t="array" aca="1" ref="M12" ca="1">_xll.BDP("AP027592 Corp","PR002")</f>
        <v>#NAME?</v>
      </c>
      <c r="N12" s="1" t="e" cm="1">
        <f t="array" aca="1" ref="N12" ca="1">_xll.BDP("AP027592 Corp","ID028")</f>
        <v>#NAME?</v>
      </c>
      <c r="O12" s="1" t="e" cm="1">
        <f t="array" aca="1" ref="O12" ca="1">_xll.BDP("AP027592 Corp","ID005")</f>
        <v>#NAME?</v>
      </c>
      <c r="P12" s="1" t="e" cm="1">
        <f t="array" aca="1" ref="P12" ca="1">_xll.BDP(A12,"RA007")</f>
        <v>#NAME?</v>
      </c>
      <c r="Q12" s="1" t="e" cm="1">
        <f t="array" aca="1" ref="Q12" ca="1">_xll.BDP(A12,"DS219")</f>
        <v>#NAME?</v>
      </c>
      <c r="R12" s="3" t="e" cm="1">
        <f t="array" aca="1" ref="R12" ca="1">_xll.BDP(A12,"DS040")</f>
        <v>#NAME?</v>
      </c>
      <c r="S12" s="4" t="e">
        <f t="shared" ca="1" si="0"/>
        <v>#NAME?</v>
      </c>
      <c r="T12" s="7" t="e">
        <f t="shared" ca="1" si="1"/>
        <v>#NAME?</v>
      </c>
      <c r="U12" s="3" t="e">
        <f t="shared" ca="1" si="2"/>
        <v>#NAME?</v>
      </c>
    </row>
    <row r="13" spans="1:24" x14ac:dyDescent="0.35">
      <c r="A13" s="5" t="s">
        <v>72</v>
      </c>
      <c r="B13" s="1" t="e" cm="1">
        <f t="array" aca="1" ref="B13" ca="1">_xll.BDP("AP059339 Corp","DS520")</f>
        <v>#NAME?</v>
      </c>
      <c r="C13" s="1" t="e" cm="1">
        <f t="array" aca="1" ref="C13" ca="1">_xll.BDP("AP059339 Corp","DS001")</f>
        <v>#NAME?</v>
      </c>
      <c r="D13" s="1" t="e" cm="1">
        <f t="array" aca="1" ref="D13" ca="1">_xll.BDP("AP059339 Corp","DS458")</f>
        <v>#NAME?</v>
      </c>
      <c r="E13" s="1" t="e" cm="1">
        <f t="array" aca="1" ref="E13" ca="1">_xll.BDP("AP059339 Corp","DS004")</f>
        <v>#NAME?</v>
      </c>
      <c r="F13" s="1" t="e" cm="1">
        <f t="array" aca="1" ref="F13" ca="1">_xll.BDP("AP059339 Corp","DS035")</f>
        <v>#NAME?</v>
      </c>
      <c r="G13" s="1" t="e" cm="1">
        <f t="array" aca="1" ref="G13" ca="1">_xll.BDP("AP059339 Corp","DS086")</f>
        <v>#NAME?</v>
      </c>
      <c r="H13" s="1" t="e" cm="1">
        <f t="array" aca="1" ref="H13" ca="1">_xll.BDP("AP059339 Corp","DS034")</f>
        <v>#NAME?</v>
      </c>
      <c r="I13" s="1" t="e" cm="1">
        <f t="array" aca="1" ref="I13" ca="1">_xll.BDP("AP059339 Corp","DS033")</f>
        <v>#NAME?</v>
      </c>
      <c r="J13" s="7" t="e" cm="1">
        <f t="array" aca="1" ref="J13" ca="1">_xll.BDP("AP059339 Corp","YL018")</f>
        <v>#NAME?</v>
      </c>
      <c r="K13" s="7" t="e" cm="1">
        <f t="array" aca="1" ref="K13" ca="1">_xll.BDP("AP059339 Corp","YL016")</f>
        <v>#NAME?</v>
      </c>
      <c r="L13" s="7" t="e" cm="1">
        <f t="array" aca="1" ref="L13" ca="1">_xll.BDP("AP059339 Corp","PR004")</f>
        <v>#NAME?</v>
      </c>
      <c r="M13" s="7" t="e" cm="1">
        <f t="array" aca="1" ref="M13" ca="1">_xll.BDP("AP059339 Corp","PR002")</f>
        <v>#NAME?</v>
      </c>
      <c r="N13" s="1" t="e" cm="1">
        <f t="array" aca="1" ref="N13" ca="1">_xll.BDP("AP059339 Corp","ID028")</f>
        <v>#NAME?</v>
      </c>
      <c r="O13" s="1" t="e" cm="1">
        <f t="array" aca="1" ref="O13" ca="1">_xll.BDP("AP059339 Corp","ID005")</f>
        <v>#NAME?</v>
      </c>
      <c r="P13" s="1" t="e" cm="1">
        <f t="array" aca="1" ref="P13" ca="1">_xll.BDP(A13,"RA007")</f>
        <v>#NAME?</v>
      </c>
      <c r="Q13" s="1" t="e" cm="1">
        <f t="array" aca="1" ref="Q13" ca="1">_xll.BDP(A13,"DS219")</f>
        <v>#NAME?</v>
      </c>
      <c r="R13" s="3" t="e" cm="1">
        <f t="array" aca="1" ref="R13" ca="1">_xll.BDP(A13,"DS040")</f>
        <v>#NAME?</v>
      </c>
      <c r="S13" s="4" t="e">
        <f t="shared" ca="1" si="0"/>
        <v>#NAME?</v>
      </c>
      <c r="T13" s="7" t="e">
        <f t="shared" ca="1" si="1"/>
        <v>#NAME?</v>
      </c>
      <c r="U13" s="3" t="e">
        <f t="shared" ca="1" si="2"/>
        <v>#NAME?</v>
      </c>
    </row>
    <row r="14" spans="1:24" x14ac:dyDescent="0.35">
      <c r="A14" s="5" t="s">
        <v>73</v>
      </c>
      <c r="B14" s="1" t="e" cm="1">
        <f t="array" aca="1" ref="B14" ca="1">_xll.BDP("AP155275 Corp","DS520")</f>
        <v>#NAME?</v>
      </c>
      <c r="C14" s="1" t="e" cm="1">
        <f t="array" aca="1" ref="C14" ca="1">_xll.BDP("AP155275 Corp","DS001")</f>
        <v>#NAME?</v>
      </c>
      <c r="D14" s="1" t="e" cm="1">
        <f t="array" aca="1" ref="D14" ca="1">_xll.BDP("AP155275 Corp","DS458")</f>
        <v>#NAME?</v>
      </c>
      <c r="E14" s="1" t="e" cm="1">
        <f t="array" aca="1" ref="E14" ca="1">_xll.BDP("AP155275 Corp","DS004")</f>
        <v>#NAME?</v>
      </c>
      <c r="F14" s="1" t="e" cm="1">
        <f t="array" aca="1" ref="F14" ca="1">_xll.BDP("AP155275 Corp","DS035")</f>
        <v>#NAME?</v>
      </c>
      <c r="G14" s="1" t="e" cm="1">
        <f t="array" aca="1" ref="G14" ca="1">_xll.BDP("AP155275 Corp","DS086")</f>
        <v>#NAME?</v>
      </c>
      <c r="H14" s="1" t="e" cm="1">
        <f t="array" aca="1" ref="H14" ca="1">_xll.BDP("AP155275 Corp","DS034")</f>
        <v>#NAME?</v>
      </c>
      <c r="I14" s="1" t="e" cm="1">
        <f t="array" aca="1" ref="I14" ca="1">_xll.BDP("AP155275 Corp","DS033")</f>
        <v>#NAME?</v>
      </c>
      <c r="J14" s="7" t="e" cm="1">
        <f t="array" aca="1" ref="J14" ca="1">_xll.BDP("AP155275 Corp","YL018")</f>
        <v>#NAME?</v>
      </c>
      <c r="K14" s="7" t="e" cm="1">
        <f t="array" aca="1" ref="K14" ca="1">_xll.BDP("AP155275 Corp","YL016")</f>
        <v>#NAME?</v>
      </c>
      <c r="L14" s="7" t="e" cm="1">
        <f t="array" aca="1" ref="L14" ca="1">_xll.BDP("AP155275 Corp","PR004")</f>
        <v>#NAME?</v>
      </c>
      <c r="M14" s="7" t="e" cm="1">
        <f t="array" aca="1" ref="M14" ca="1">_xll.BDP("AP155275 Corp","PR002")</f>
        <v>#NAME?</v>
      </c>
      <c r="N14" s="1" t="e" cm="1">
        <f t="array" aca="1" ref="N14" ca="1">_xll.BDP("AP155275 Corp","ID028")</f>
        <v>#NAME?</v>
      </c>
      <c r="O14" s="1" t="e" cm="1">
        <f t="array" aca="1" ref="O14" ca="1">_xll.BDP("AP155275 Corp","ID005")</f>
        <v>#NAME?</v>
      </c>
      <c r="P14" s="1" t="e" cm="1">
        <f t="array" aca="1" ref="P14" ca="1">_xll.BDP(A14,"RA007")</f>
        <v>#NAME?</v>
      </c>
      <c r="Q14" s="1" t="e" cm="1">
        <f t="array" aca="1" ref="Q14" ca="1">_xll.BDP(A14,"DS219")</f>
        <v>#NAME?</v>
      </c>
      <c r="R14" s="3" t="e" cm="1">
        <f t="array" aca="1" ref="R14" ca="1">_xll.BDP(A14,"DS040")</f>
        <v>#NAME?</v>
      </c>
      <c r="S14" s="4" t="e">
        <f t="shared" ca="1" si="0"/>
        <v>#NAME?</v>
      </c>
      <c r="T14" s="7" t="e">
        <f t="shared" ca="1" si="1"/>
        <v>#NAME?</v>
      </c>
      <c r="U14" s="3" t="e">
        <f t="shared" ca="1" si="2"/>
        <v>#NAME?</v>
      </c>
    </row>
    <row r="15" spans="1:24" x14ac:dyDescent="0.35">
      <c r="A15" s="5" t="s">
        <v>74</v>
      </c>
      <c r="B15" s="1" t="e" cm="1">
        <f t="array" aca="1" ref="B15" ca="1">_xll.BDP("AQ307103 Corp","DS520")</f>
        <v>#NAME?</v>
      </c>
      <c r="C15" s="1" t="e" cm="1">
        <f t="array" aca="1" ref="C15" ca="1">_xll.BDP("AQ307103 Corp","DS001")</f>
        <v>#NAME?</v>
      </c>
      <c r="D15" s="1" t="e" cm="1">
        <f t="array" aca="1" ref="D15" ca="1">_xll.BDP("AQ307103 Corp","DS458")</f>
        <v>#NAME?</v>
      </c>
      <c r="E15" s="1" t="e" cm="1">
        <f t="array" aca="1" ref="E15" ca="1">_xll.BDP("AQ307103 Corp","DS004")</f>
        <v>#NAME?</v>
      </c>
      <c r="F15" s="1" t="e" cm="1">
        <f t="array" aca="1" ref="F15" ca="1">_xll.BDP("AQ307103 Corp","DS035")</f>
        <v>#NAME?</v>
      </c>
      <c r="G15" s="1" t="e" cm="1">
        <f t="array" aca="1" ref="G15" ca="1">_xll.BDP("AQ307103 Corp","DS086")</f>
        <v>#NAME?</v>
      </c>
      <c r="H15" s="1" t="e" cm="1">
        <f t="array" aca="1" ref="H15" ca="1">_xll.BDP("AQ307103 Corp","DS034")</f>
        <v>#NAME?</v>
      </c>
      <c r="I15" s="1" t="e" cm="1">
        <f t="array" aca="1" ref="I15" ca="1">_xll.BDP("AQ307103 Corp","DS033")</f>
        <v>#NAME?</v>
      </c>
      <c r="J15" s="7" t="e" cm="1">
        <f t="array" aca="1" ref="J15" ca="1">_xll.BDP("AQ307103 Corp","YL018")</f>
        <v>#NAME?</v>
      </c>
      <c r="K15" s="7" t="e" cm="1">
        <f t="array" aca="1" ref="K15" ca="1">_xll.BDP("AQ307103 Corp","YL016")</f>
        <v>#NAME?</v>
      </c>
      <c r="L15" s="7" t="e" cm="1">
        <f t="array" aca="1" ref="L15" ca="1">_xll.BDP("AQ307103 Corp","PR004")</f>
        <v>#NAME?</v>
      </c>
      <c r="M15" s="7" t="e" cm="1">
        <f t="array" aca="1" ref="M15" ca="1">_xll.BDP("AQ307103 Corp","PR002")</f>
        <v>#NAME?</v>
      </c>
      <c r="N15" s="1" t="e" cm="1">
        <f t="array" aca="1" ref="N15" ca="1">_xll.BDP("AQ307103 Corp","ID028")</f>
        <v>#NAME?</v>
      </c>
      <c r="O15" s="1" t="e" cm="1">
        <f t="array" aca="1" ref="O15" ca="1">_xll.BDP("AQ307103 Corp","ID005")</f>
        <v>#NAME?</v>
      </c>
      <c r="P15" s="1" t="e" cm="1">
        <f t="array" aca="1" ref="P15" ca="1">_xll.BDP(A15,"RA007")</f>
        <v>#NAME?</v>
      </c>
      <c r="Q15" s="1" t="e" cm="1">
        <f t="array" aca="1" ref="Q15" ca="1">_xll.BDP(A15,"DS219")</f>
        <v>#NAME?</v>
      </c>
      <c r="R15" s="3" t="e" cm="1">
        <f t="array" aca="1" ref="R15" ca="1">_xll.BDP(A15,"DS040")</f>
        <v>#NAME?</v>
      </c>
      <c r="S15" s="4" t="e">
        <f t="shared" ca="1" si="0"/>
        <v>#NAME?</v>
      </c>
      <c r="T15" s="7" t="e">
        <f t="shared" ca="1" si="1"/>
        <v>#NAME?</v>
      </c>
      <c r="U15" s="3" t="e">
        <f t="shared" ca="1" si="2"/>
        <v>#NAME?</v>
      </c>
    </row>
    <row r="16" spans="1:24" x14ac:dyDescent="0.35">
      <c r="A16" s="5" t="s">
        <v>75</v>
      </c>
      <c r="B16" s="1" t="e" cm="1">
        <f t="array" aca="1" ref="B16" ca="1">_xll.BDP("AQ340832 Corp","DS520")</f>
        <v>#NAME?</v>
      </c>
      <c r="C16" s="1" t="e" cm="1">
        <f t="array" aca="1" ref="C16" ca="1">_xll.BDP("AQ340832 Corp","DS001")</f>
        <v>#NAME?</v>
      </c>
      <c r="D16" s="1" t="e" cm="1">
        <f t="array" aca="1" ref="D16" ca="1">_xll.BDP("AQ340832 Corp","DS458")</f>
        <v>#NAME?</v>
      </c>
      <c r="E16" s="1" t="e" cm="1">
        <f t="array" aca="1" ref="E16" ca="1">_xll.BDP("AQ340832 Corp","DS004")</f>
        <v>#NAME?</v>
      </c>
      <c r="F16" s="1" t="e" cm="1">
        <f t="array" aca="1" ref="F16" ca="1">_xll.BDP("AQ340832 Corp","DS035")</f>
        <v>#NAME?</v>
      </c>
      <c r="G16" s="1" t="e" cm="1">
        <f t="array" aca="1" ref="G16" ca="1">_xll.BDP("AQ340832 Corp","DS086")</f>
        <v>#NAME?</v>
      </c>
      <c r="H16" s="1" t="e" cm="1">
        <f t="array" aca="1" ref="H16" ca="1">_xll.BDP("AQ340832 Corp","DS034")</f>
        <v>#NAME?</v>
      </c>
      <c r="I16" s="1" t="e" cm="1">
        <f t="array" aca="1" ref="I16" ca="1">_xll.BDP("AQ340832 Corp","DS033")</f>
        <v>#NAME?</v>
      </c>
      <c r="J16" s="7" t="e" cm="1">
        <f t="array" aca="1" ref="J16" ca="1">_xll.BDP("AQ340832 Corp","YL018")</f>
        <v>#NAME?</v>
      </c>
      <c r="K16" s="7" t="e" cm="1">
        <f t="array" aca="1" ref="K16" ca="1">_xll.BDP("AQ340832 Corp","YL016")</f>
        <v>#NAME?</v>
      </c>
      <c r="L16" s="7" t="e" cm="1">
        <f t="array" aca="1" ref="L16" ca="1">_xll.BDP("AQ340832 Corp","PR004")</f>
        <v>#NAME?</v>
      </c>
      <c r="M16" s="7" t="e" cm="1">
        <f t="array" aca="1" ref="M16" ca="1">_xll.BDP("AQ340832 Corp","PR002")</f>
        <v>#NAME?</v>
      </c>
      <c r="N16" s="1" t="e" cm="1">
        <f t="array" aca="1" ref="N16" ca="1">_xll.BDP("AQ340832 Corp","ID028")</f>
        <v>#NAME?</v>
      </c>
      <c r="O16" s="1" t="e" cm="1">
        <f t="array" aca="1" ref="O16" ca="1">_xll.BDP("AQ340832 Corp","ID005")</f>
        <v>#NAME?</v>
      </c>
      <c r="P16" s="1" t="e" cm="1">
        <f t="array" aca="1" ref="P16" ca="1">_xll.BDP(A16,"RA007")</f>
        <v>#NAME?</v>
      </c>
      <c r="Q16" s="1" t="e" cm="1">
        <f t="array" aca="1" ref="Q16" ca="1">_xll.BDP(A16,"DS219")</f>
        <v>#NAME?</v>
      </c>
      <c r="R16" s="3" t="e" cm="1">
        <f t="array" aca="1" ref="R16" ca="1">_xll.BDP(A16,"DS040")</f>
        <v>#NAME?</v>
      </c>
      <c r="S16" s="4" t="e">
        <f t="shared" ca="1" si="0"/>
        <v>#NAME?</v>
      </c>
      <c r="T16" s="7" t="e">
        <f t="shared" ca="1" si="1"/>
        <v>#NAME?</v>
      </c>
      <c r="U16" s="3" t="e">
        <f t="shared" ca="1" si="2"/>
        <v>#NAME?</v>
      </c>
    </row>
    <row r="17" spans="1:21" x14ac:dyDescent="0.35">
      <c r="A17" s="5" t="s">
        <v>76</v>
      </c>
      <c r="B17" s="1" t="e" cm="1">
        <f t="array" aca="1" ref="B17" ca="1">_xll.BDP("AQ417830 Corp","DS520")</f>
        <v>#NAME?</v>
      </c>
      <c r="C17" s="1" t="e" cm="1">
        <f t="array" aca="1" ref="C17" ca="1">_xll.BDP("AQ417830 Corp","DS001")</f>
        <v>#NAME?</v>
      </c>
      <c r="D17" s="1" t="e" cm="1">
        <f t="array" aca="1" ref="D17" ca="1">_xll.BDP("AQ417830 Corp","DS458")</f>
        <v>#NAME?</v>
      </c>
      <c r="E17" s="1" t="e" cm="1">
        <f t="array" aca="1" ref="E17" ca="1">_xll.BDP("AQ417830 Corp","DS004")</f>
        <v>#NAME?</v>
      </c>
      <c r="F17" s="1" t="e" cm="1">
        <f t="array" aca="1" ref="F17" ca="1">_xll.BDP("AQ417830 Corp","DS035")</f>
        <v>#NAME?</v>
      </c>
      <c r="G17" s="1" t="e" cm="1">
        <f t="array" aca="1" ref="G17" ca="1">_xll.BDP("AQ417830 Corp","DS086")</f>
        <v>#NAME?</v>
      </c>
      <c r="H17" s="1" t="e" cm="1">
        <f t="array" aca="1" ref="H17" ca="1">_xll.BDP("AQ417830 Corp","DS034")</f>
        <v>#NAME?</v>
      </c>
      <c r="I17" s="1" t="e" cm="1">
        <f t="array" aca="1" ref="I17" ca="1">_xll.BDP("AQ417830 Corp","DS033")</f>
        <v>#NAME?</v>
      </c>
      <c r="J17" s="7" t="e" cm="1">
        <f t="array" aca="1" ref="J17" ca="1">_xll.BDP("AQ417830 Corp","YL018")</f>
        <v>#NAME?</v>
      </c>
      <c r="K17" s="7" t="e" cm="1">
        <f t="array" aca="1" ref="K17" ca="1">_xll.BDP("AQ417830 Corp","YL016")</f>
        <v>#NAME?</v>
      </c>
      <c r="L17" s="7" t="e" cm="1">
        <f t="array" aca="1" ref="L17" ca="1">_xll.BDP("AQ417830 Corp","PR004")</f>
        <v>#NAME?</v>
      </c>
      <c r="M17" s="7" t="e" cm="1">
        <f t="array" aca="1" ref="M17" ca="1">_xll.BDP("AQ417830 Corp","PR002")</f>
        <v>#NAME?</v>
      </c>
      <c r="N17" s="1" t="e" cm="1">
        <f t="array" aca="1" ref="N17" ca="1">_xll.BDP("AQ417830 Corp","ID028")</f>
        <v>#NAME?</v>
      </c>
      <c r="O17" s="1" t="e" cm="1">
        <f t="array" aca="1" ref="O17" ca="1">_xll.BDP("AQ417830 Corp","ID005")</f>
        <v>#NAME?</v>
      </c>
      <c r="P17" s="1" t="e" cm="1">
        <f t="array" aca="1" ref="P17" ca="1">_xll.BDP(A17,"RA007")</f>
        <v>#NAME?</v>
      </c>
      <c r="Q17" s="1" t="e" cm="1">
        <f t="array" aca="1" ref="Q17" ca="1">_xll.BDP(A17,"DS219")</f>
        <v>#NAME?</v>
      </c>
      <c r="R17" s="3" t="e" cm="1">
        <f t="array" aca="1" ref="R17" ca="1">_xll.BDP(A17,"DS040")</f>
        <v>#NAME?</v>
      </c>
      <c r="S17" s="4" t="e">
        <f t="shared" ca="1" si="0"/>
        <v>#NAME?</v>
      </c>
      <c r="T17" s="7" t="e">
        <f t="shared" ca="1" si="1"/>
        <v>#NAME?</v>
      </c>
      <c r="U17" s="3" t="e">
        <f t="shared" ca="1" si="2"/>
        <v>#NAME?</v>
      </c>
    </row>
    <row r="18" spans="1:21" x14ac:dyDescent="0.35">
      <c r="A18" s="5" t="s">
        <v>77</v>
      </c>
      <c r="B18" s="1" t="e" cm="1">
        <f t="array" aca="1" ref="B18" ca="1">_xll.BDP("AR545005 Corp","DS520")</f>
        <v>#NAME?</v>
      </c>
      <c r="C18" s="1" t="e" cm="1">
        <f t="array" aca="1" ref="C18" ca="1">_xll.BDP("AR545005 Corp","DS001")</f>
        <v>#NAME?</v>
      </c>
      <c r="D18" s="1" t="e" cm="1">
        <f t="array" aca="1" ref="D18" ca="1">_xll.BDP("AR545005 Corp","DS458")</f>
        <v>#NAME?</v>
      </c>
      <c r="E18" s="1" t="e" cm="1">
        <f t="array" aca="1" ref="E18" ca="1">_xll.BDP("AR545005 Corp","DS004")</f>
        <v>#NAME?</v>
      </c>
      <c r="F18" s="1" t="e" cm="1">
        <f t="array" aca="1" ref="F18" ca="1">_xll.BDP("AR545005 Corp","DS035")</f>
        <v>#NAME?</v>
      </c>
      <c r="G18" s="1" t="e" cm="1">
        <f t="array" aca="1" ref="G18" ca="1">_xll.BDP("AR545005 Corp","DS086")</f>
        <v>#NAME?</v>
      </c>
      <c r="H18" s="1" t="e" cm="1">
        <f t="array" aca="1" ref="H18" ca="1">_xll.BDP("AR545005 Corp","DS034")</f>
        <v>#NAME?</v>
      </c>
      <c r="I18" s="1" t="e" cm="1">
        <f t="array" aca="1" ref="I18" ca="1">_xll.BDP("AR545005 Corp","DS033")</f>
        <v>#NAME?</v>
      </c>
      <c r="J18" s="7" t="e" cm="1">
        <f t="array" aca="1" ref="J18" ca="1">_xll.BDP("AR545005 Corp","YL018")</f>
        <v>#NAME?</v>
      </c>
      <c r="K18" s="7" t="e" cm="1">
        <f t="array" aca="1" ref="K18" ca="1">_xll.BDP("AR545005 Corp","YL016")</f>
        <v>#NAME?</v>
      </c>
      <c r="L18" s="7" t="e" cm="1">
        <f t="array" aca="1" ref="L18" ca="1">_xll.BDP("AR545005 Corp","PR004")</f>
        <v>#NAME?</v>
      </c>
      <c r="M18" s="7" t="e" cm="1">
        <f t="array" aca="1" ref="M18" ca="1">_xll.BDP("AR545005 Corp","PR002")</f>
        <v>#NAME?</v>
      </c>
      <c r="N18" s="1" t="e" cm="1">
        <f t="array" aca="1" ref="N18" ca="1">_xll.BDP("AR545005 Corp","ID028")</f>
        <v>#NAME?</v>
      </c>
      <c r="O18" s="1" t="e" cm="1">
        <f t="array" aca="1" ref="O18" ca="1">_xll.BDP("AR545005 Corp","ID005")</f>
        <v>#NAME?</v>
      </c>
      <c r="P18" s="1" t="e" cm="1">
        <f t="array" aca="1" ref="P18" ca="1">_xll.BDP(A18,"RA007")</f>
        <v>#NAME?</v>
      </c>
      <c r="Q18" s="1" t="e" cm="1">
        <f t="array" aca="1" ref="Q18" ca="1">_xll.BDP(A18,"DS219")</f>
        <v>#NAME?</v>
      </c>
      <c r="R18" s="3" t="e" cm="1">
        <f t="array" aca="1" ref="R18" ca="1">_xll.BDP(A18,"DS040")</f>
        <v>#NAME?</v>
      </c>
      <c r="S18" s="4" t="e">
        <f t="shared" ca="1" si="0"/>
        <v>#NAME?</v>
      </c>
      <c r="T18" s="7" t="e">
        <f t="shared" ca="1" si="1"/>
        <v>#NAME?</v>
      </c>
      <c r="U18" s="3" t="e">
        <f t="shared" ca="1" si="2"/>
        <v>#NAME?</v>
      </c>
    </row>
    <row r="19" spans="1:21" x14ac:dyDescent="0.35">
      <c r="A19" s="5" t="s">
        <v>78</v>
      </c>
      <c r="B19" s="1" t="e" cm="1">
        <f t="array" aca="1" ref="B19" ca="1">_xll.BDP("AR620065 Corp","DS520")</f>
        <v>#NAME?</v>
      </c>
      <c r="C19" s="1" t="e" cm="1">
        <f t="array" aca="1" ref="C19" ca="1">_xll.BDP("AR620065 Corp","DS001")</f>
        <v>#NAME?</v>
      </c>
      <c r="D19" s="1" t="e" cm="1">
        <f t="array" aca="1" ref="D19" ca="1">_xll.BDP("AR620065 Corp","DS458")</f>
        <v>#NAME?</v>
      </c>
      <c r="E19" s="1" t="e" cm="1">
        <f t="array" aca="1" ref="E19" ca="1">_xll.BDP("AR620065 Corp","DS004")</f>
        <v>#NAME?</v>
      </c>
      <c r="F19" s="1" t="e" cm="1">
        <f t="array" aca="1" ref="F19" ca="1">_xll.BDP("AR620065 Corp","DS035")</f>
        <v>#NAME?</v>
      </c>
      <c r="G19" s="1" t="e" cm="1">
        <f t="array" aca="1" ref="G19" ca="1">_xll.BDP("AR620065 Corp","DS086")</f>
        <v>#NAME?</v>
      </c>
      <c r="H19" s="1" t="e" cm="1">
        <f t="array" aca="1" ref="H19" ca="1">_xll.BDP("AR620065 Corp","DS034")</f>
        <v>#NAME?</v>
      </c>
      <c r="I19" s="1" t="e" cm="1">
        <f t="array" aca="1" ref="I19" ca="1">_xll.BDP("AR620065 Corp","DS033")</f>
        <v>#NAME?</v>
      </c>
      <c r="J19" s="7" t="e" cm="1">
        <f t="array" aca="1" ref="J19" ca="1">_xll.BDP("AR620065 Corp","YL018")</f>
        <v>#NAME?</v>
      </c>
      <c r="K19" s="7" t="e" cm="1">
        <f t="array" aca="1" ref="K19" ca="1">_xll.BDP("AR620065 Corp","YL016")</f>
        <v>#NAME?</v>
      </c>
      <c r="L19" s="7" t="e" cm="1">
        <f t="array" aca="1" ref="L19" ca="1">_xll.BDP("AR620065 Corp","PR004")</f>
        <v>#NAME?</v>
      </c>
      <c r="M19" s="7" t="e" cm="1">
        <f t="array" aca="1" ref="M19" ca="1">_xll.BDP("AR620065 Corp","PR002")</f>
        <v>#NAME?</v>
      </c>
      <c r="N19" s="1" t="e" cm="1">
        <f t="array" aca="1" ref="N19" ca="1">_xll.BDP("AR620065 Corp","ID028")</f>
        <v>#NAME?</v>
      </c>
      <c r="O19" s="1" t="e" cm="1">
        <f t="array" aca="1" ref="O19" ca="1">_xll.BDP("AR620065 Corp","ID005")</f>
        <v>#NAME?</v>
      </c>
      <c r="P19" s="1" t="e" cm="1">
        <f t="array" aca="1" ref="P19" ca="1">_xll.BDP(A19,"RA007")</f>
        <v>#NAME?</v>
      </c>
      <c r="Q19" s="1" t="e" cm="1">
        <f t="array" aca="1" ref="Q19" ca="1">_xll.BDP(A19,"DS219")</f>
        <v>#NAME?</v>
      </c>
      <c r="R19" s="3" t="e" cm="1">
        <f t="array" aca="1" ref="R19" ca="1">_xll.BDP(A19,"DS040")</f>
        <v>#NAME?</v>
      </c>
      <c r="S19" s="4" t="e">
        <f t="shared" ca="1" si="0"/>
        <v>#NAME?</v>
      </c>
      <c r="T19" s="7" t="e">
        <f t="shared" ca="1" si="1"/>
        <v>#NAME?</v>
      </c>
      <c r="U19" s="3" t="e">
        <f t="shared" ca="1" si="2"/>
        <v>#NAME?</v>
      </c>
    </row>
    <row r="20" spans="1:21" x14ac:dyDescent="0.35">
      <c r="A20" s="5" t="s">
        <v>79</v>
      </c>
      <c r="B20" s="1" t="e" cm="1">
        <f t="array" aca="1" ref="B20" ca="1">_xll.BDP("AR775109 Corp","DS520")</f>
        <v>#NAME?</v>
      </c>
      <c r="C20" s="1" t="e" cm="1">
        <f t="array" aca="1" ref="C20" ca="1">_xll.BDP("AR775109 Corp","DS001")</f>
        <v>#NAME?</v>
      </c>
      <c r="D20" s="1" t="e" cm="1">
        <f t="array" aca="1" ref="D20" ca="1">_xll.BDP("AR775109 Corp","DS458")</f>
        <v>#NAME?</v>
      </c>
      <c r="E20" s="1" t="e" cm="1">
        <f t="array" aca="1" ref="E20" ca="1">_xll.BDP("AR775109 Corp","DS004")</f>
        <v>#NAME?</v>
      </c>
      <c r="F20" s="1" t="e" cm="1">
        <f t="array" aca="1" ref="F20" ca="1">_xll.BDP("AR775109 Corp","DS035")</f>
        <v>#NAME?</v>
      </c>
      <c r="G20" s="1" t="e" cm="1">
        <f t="array" aca="1" ref="G20" ca="1">_xll.BDP("AR775109 Corp","DS086")</f>
        <v>#NAME?</v>
      </c>
      <c r="H20" s="1" t="e" cm="1">
        <f t="array" aca="1" ref="H20" ca="1">_xll.BDP("AR775109 Corp","DS034")</f>
        <v>#NAME?</v>
      </c>
      <c r="I20" s="1" t="e" cm="1">
        <f t="array" aca="1" ref="I20" ca="1">_xll.BDP("AR775109 Corp","DS033")</f>
        <v>#NAME?</v>
      </c>
      <c r="J20" s="7" t="e" cm="1">
        <f t="array" aca="1" ref="J20" ca="1">_xll.BDP("AR775109 Corp","YL018")</f>
        <v>#NAME?</v>
      </c>
      <c r="K20" s="7" t="e" cm="1">
        <f t="array" aca="1" ref="K20" ca="1">_xll.BDP("AR775109 Corp","YL016")</f>
        <v>#NAME?</v>
      </c>
      <c r="L20" s="7" t="e" cm="1">
        <f t="array" aca="1" ref="L20" ca="1">_xll.BDP("AR775109 Corp","PR004")</f>
        <v>#NAME?</v>
      </c>
      <c r="M20" s="7" t="e" cm="1">
        <f t="array" aca="1" ref="M20" ca="1">_xll.BDP("AR775109 Corp","PR002")</f>
        <v>#NAME?</v>
      </c>
      <c r="N20" s="1" t="e" cm="1">
        <f t="array" aca="1" ref="N20" ca="1">_xll.BDP("AR775109 Corp","ID028")</f>
        <v>#NAME?</v>
      </c>
      <c r="O20" s="1" t="e" cm="1">
        <f t="array" aca="1" ref="O20" ca="1">_xll.BDP("AR775109 Corp","ID005")</f>
        <v>#NAME?</v>
      </c>
      <c r="P20" s="1" t="e" cm="1">
        <f t="array" aca="1" ref="P20" ca="1">_xll.BDP(A20,"RA007")</f>
        <v>#NAME?</v>
      </c>
      <c r="Q20" s="1" t="e" cm="1">
        <f t="array" aca="1" ref="Q20" ca="1">_xll.BDP(A20,"DS219")</f>
        <v>#NAME?</v>
      </c>
      <c r="R20" s="3" t="e" cm="1">
        <f t="array" aca="1" ref="R20" ca="1">_xll.BDP(A20,"DS040")</f>
        <v>#NAME?</v>
      </c>
      <c r="S20" s="4" t="e">
        <f t="shared" ca="1" si="0"/>
        <v>#NAME?</v>
      </c>
      <c r="T20" s="7" t="e">
        <f t="shared" ca="1" si="1"/>
        <v>#NAME?</v>
      </c>
      <c r="U20" s="3" t="e">
        <f t="shared" ca="1" si="2"/>
        <v>#NAME?</v>
      </c>
    </row>
    <row r="21" spans="1:21" x14ac:dyDescent="0.35">
      <c r="A21" s="5" t="s">
        <v>80</v>
      </c>
      <c r="B21" s="1" t="e" cm="1">
        <f t="array" aca="1" ref="B21" ca="1">_xll.BDP("AS843222 Corp","DS520")</f>
        <v>#NAME?</v>
      </c>
      <c r="C21" s="1" t="e" cm="1">
        <f t="array" aca="1" ref="C21" ca="1">_xll.BDP("AS843222 Corp","DS001")</f>
        <v>#NAME?</v>
      </c>
      <c r="D21" s="1" t="e" cm="1">
        <f t="array" aca="1" ref="D21" ca="1">_xll.BDP("AS843222 Corp","DS458")</f>
        <v>#NAME?</v>
      </c>
      <c r="E21" s="1" t="e" cm="1">
        <f t="array" aca="1" ref="E21" ca="1">_xll.BDP("AS843222 Corp","DS004")</f>
        <v>#NAME?</v>
      </c>
      <c r="F21" s="1" t="e" cm="1">
        <f t="array" aca="1" ref="F21" ca="1">_xll.BDP("AS843222 Corp","DS035")</f>
        <v>#NAME?</v>
      </c>
      <c r="G21" s="1" t="e" cm="1">
        <f t="array" aca="1" ref="G21" ca="1">_xll.BDP("AS843222 Corp","DS086")</f>
        <v>#NAME?</v>
      </c>
      <c r="H21" s="1" t="e" cm="1">
        <f t="array" aca="1" ref="H21" ca="1">_xll.BDP("AS843222 Corp","DS034")</f>
        <v>#NAME?</v>
      </c>
      <c r="I21" s="1" t="e" cm="1">
        <f t="array" aca="1" ref="I21" ca="1">_xll.BDP("AS843222 Corp","DS033")</f>
        <v>#NAME?</v>
      </c>
      <c r="J21" s="7" t="e" cm="1">
        <f t="array" aca="1" ref="J21" ca="1">_xll.BDP("AS843222 Corp","YL018")</f>
        <v>#NAME?</v>
      </c>
      <c r="K21" s="7" t="e" cm="1">
        <f t="array" aca="1" ref="K21" ca="1">_xll.BDP("AS843222 Corp","YL016")</f>
        <v>#NAME?</v>
      </c>
      <c r="L21" s="7" t="e" cm="1">
        <f t="array" aca="1" ref="L21" ca="1">_xll.BDP("AS843222 Corp","PR004")</f>
        <v>#NAME?</v>
      </c>
      <c r="M21" s="7" t="e" cm="1">
        <f t="array" aca="1" ref="M21" ca="1">_xll.BDP("AS843222 Corp","PR002")</f>
        <v>#NAME?</v>
      </c>
      <c r="N21" s="1" t="e" cm="1">
        <f t="array" aca="1" ref="N21" ca="1">_xll.BDP("AS843222 Corp","ID028")</f>
        <v>#NAME?</v>
      </c>
      <c r="O21" s="1" t="e" cm="1">
        <f t="array" aca="1" ref="O21" ca="1">_xll.BDP("AS843222 Corp","ID005")</f>
        <v>#NAME?</v>
      </c>
      <c r="P21" s="1" t="e" cm="1">
        <f t="array" aca="1" ref="P21" ca="1">_xll.BDP(A21,"RA007")</f>
        <v>#NAME?</v>
      </c>
      <c r="Q21" s="1" t="e" cm="1">
        <f t="array" aca="1" ref="Q21" ca="1">_xll.BDP(A21,"DS219")</f>
        <v>#NAME?</v>
      </c>
      <c r="R21" s="3" t="e" cm="1">
        <f t="array" aca="1" ref="R21" ca="1">_xll.BDP(A21,"DS040")</f>
        <v>#NAME?</v>
      </c>
      <c r="S21" s="4" t="e">
        <f t="shared" ca="1" si="0"/>
        <v>#NAME?</v>
      </c>
      <c r="T21" s="7" t="e">
        <f t="shared" ca="1" si="1"/>
        <v>#NAME?</v>
      </c>
      <c r="U21" s="3" t="e">
        <f t="shared" ca="1" si="2"/>
        <v>#NAME?</v>
      </c>
    </row>
    <row r="22" spans="1:21" x14ac:dyDescent="0.35">
      <c r="A22" s="5" t="s">
        <v>81</v>
      </c>
      <c r="B22" s="1" t="e" cm="1">
        <f t="array" aca="1" ref="B22" ca="1">_xll.BDP("AT427280 Corp","DS520")</f>
        <v>#NAME?</v>
      </c>
      <c r="C22" s="1" t="e" cm="1">
        <f t="array" aca="1" ref="C22" ca="1">_xll.BDP("AT427280 Corp","DS001")</f>
        <v>#NAME?</v>
      </c>
      <c r="D22" s="1" t="e" cm="1">
        <f t="array" aca="1" ref="D22" ca="1">_xll.BDP("AT427280 Corp","DS458")</f>
        <v>#NAME?</v>
      </c>
      <c r="E22" s="1" t="e" cm="1">
        <f t="array" aca="1" ref="E22" ca="1">_xll.BDP("AT427280 Corp","DS004")</f>
        <v>#NAME?</v>
      </c>
      <c r="F22" s="1" t="e" cm="1">
        <f t="array" aca="1" ref="F22" ca="1">_xll.BDP("AT427280 Corp","DS035")</f>
        <v>#NAME?</v>
      </c>
      <c r="G22" s="1" t="e" cm="1">
        <f t="array" aca="1" ref="G22" ca="1">_xll.BDP("AT427280 Corp","DS086")</f>
        <v>#NAME?</v>
      </c>
      <c r="H22" s="1" t="e" cm="1">
        <f t="array" aca="1" ref="H22" ca="1">_xll.BDP("AT427280 Corp","DS034")</f>
        <v>#NAME?</v>
      </c>
      <c r="I22" s="1" t="e" cm="1">
        <f t="array" aca="1" ref="I22" ca="1">_xll.BDP("AT427280 Corp","DS033")</f>
        <v>#NAME?</v>
      </c>
      <c r="J22" s="7" t="e" cm="1">
        <f t="array" aca="1" ref="J22" ca="1">_xll.BDP("AT427280 Corp","YL018")</f>
        <v>#NAME?</v>
      </c>
      <c r="K22" s="7" t="e" cm="1">
        <f t="array" aca="1" ref="K22" ca="1">_xll.BDP("AT427280 Corp","YL016")</f>
        <v>#NAME?</v>
      </c>
      <c r="L22" s="7" t="e" cm="1">
        <f t="array" aca="1" ref="L22" ca="1">_xll.BDP("AT427280 Corp","PR004")</f>
        <v>#NAME?</v>
      </c>
      <c r="M22" s="7" t="e" cm="1">
        <f t="array" aca="1" ref="M22" ca="1">_xll.BDP("AT427280 Corp","PR002")</f>
        <v>#NAME?</v>
      </c>
      <c r="N22" s="1" t="e" cm="1">
        <f t="array" aca="1" ref="N22" ca="1">_xll.BDP("AT427280 Corp","ID028")</f>
        <v>#NAME?</v>
      </c>
      <c r="O22" s="1" t="e" cm="1">
        <f t="array" aca="1" ref="O22" ca="1">_xll.BDP("AT427280 Corp","ID005")</f>
        <v>#NAME?</v>
      </c>
      <c r="P22" s="1" t="e" cm="1">
        <f t="array" aca="1" ref="P22" ca="1">_xll.BDP(A22,"RA007")</f>
        <v>#NAME?</v>
      </c>
      <c r="Q22" s="1" t="e" cm="1">
        <f t="array" aca="1" ref="Q22" ca="1">_xll.BDP(A22,"DS219")</f>
        <v>#NAME?</v>
      </c>
      <c r="R22" s="3" t="e" cm="1">
        <f t="array" aca="1" ref="R22" ca="1">_xll.BDP(A22,"DS040")</f>
        <v>#NAME?</v>
      </c>
      <c r="S22" s="4" t="e">
        <f t="shared" ca="1" si="0"/>
        <v>#NAME?</v>
      </c>
      <c r="T22" s="7" t="e">
        <f t="shared" ca="1" si="1"/>
        <v>#NAME?</v>
      </c>
      <c r="U22" s="3" t="e">
        <f t="shared" ca="1" si="2"/>
        <v>#NAME?</v>
      </c>
    </row>
    <row r="23" spans="1:21" x14ac:dyDescent="0.35">
      <c r="A23" s="5" t="s">
        <v>82</v>
      </c>
      <c r="B23" s="1" t="e" cm="1">
        <f t="array" aca="1" ref="B23" ca="1">_xll.BDP("AT476518 Corp","DS520")</f>
        <v>#NAME?</v>
      </c>
      <c r="C23" s="1" t="e" cm="1">
        <f t="array" aca="1" ref="C23" ca="1">_xll.BDP("AT476518 Corp","DS001")</f>
        <v>#NAME?</v>
      </c>
      <c r="D23" s="1" t="e" cm="1">
        <f t="array" aca="1" ref="D23" ca="1">_xll.BDP("AT476518 Corp","DS458")</f>
        <v>#NAME?</v>
      </c>
      <c r="E23" s="1" t="e" cm="1">
        <f t="array" aca="1" ref="E23" ca="1">_xll.BDP("AT476518 Corp","DS004")</f>
        <v>#NAME?</v>
      </c>
      <c r="F23" s="1" t="e" cm="1">
        <f t="array" aca="1" ref="F23" ca="1">_xll.BDP("AT476518 Corp","DS035")</f>
        <v>#NAME?</v>
      </c>
      <c r="G23" s="1" t="e" cm="1">
        <f t="array" aca="1" ref="G23" ca="1">_xll.BDP("AT476518 Corp","DS086")</f>
        <v>#NAME?</v>
      </c>
      <c r="H23" s="1" t="e" cm="1">
        <f t="array" aca="1" ref="H23" ca="1">_xll.BDP("AT476518 Corp","DS034")</f>
        <v>#NAME?</v>
      </c>
      <c r="I23" s="1" t="e" cm="1">
        <f t="array" aca="1" ref="I23" ca="1">_xll.BDP("AT476518 Corp","DS033")</f>
        <v>#NAME?</v>
      </c>
      <c r="J23" s="7" t="e" cm="1">
        <f t="array" aca="1" ref="J23" ca="1">_xll.BDP("AT476518 Corp","YL018")</f>
        <v>#NAME?</v>
      </c>
      <c r="K23" s="7" t="e" cm="1">
        <f t="array" aca="1" ref="K23" ca="1">_xll.BDP("AT476518 Corp","YL016")</f>
        <v>#NAME?</v>
      </c>
      <c r="L23" s="7" t="e" cm="1">
        <f t="array" aca="1" ref="L23" ca="1">_xll.BDP("AT476518 Corp","PR004")</f>
        <v>#NAME?</v>
      </c>
      <c r="M23" s="7" t="e" cm="1">
        <f t="array" aca="1" ref="M23" ca="1">_xll.BDP("AT476518 Corp","PR002")</f>
        <v>#NAME?</v>
      </c>
      <c r="N23" s="1" t="e" cm="1">
        <f t="array" aca="1" ref="N23" ca="1">_xll.BDP("AT476518 Corp","ID028")</f>
        <v>#NAME?</v>
      </c>
      <c r="O23" s="1" t="e" cm="1">
        <f t="array" aca="1" ref="O23" ca="1">_xll.BDP("AT476518 Corp","ID005")</f>
        <v>#NAME?</v>
      </c>
      <c r="P23" s="1" t="e" cm="1">
        <f t="array" aca="1" ref="P23" ca="1">_xll.BDP(A23,"RA007")</f>
        <v>#NAME?</v>
      </c>
      <c r="Q23" s="1" t="e" cm="1">
        <f t="array" aca="1" ref="Q23" ca="1">_xll.BDP(A23,"DS219")</f>
        <v>#NAME?</v>
      </c>
      <c r="R23" s="3" t="e" cm="1">
        <f t="array" aca="1" ref="R23" ca="1">_xll.BDP(A23,"DS040")</f>
        <v>#NAME?</v>
      </c>
      <c r="S23" s="4" t="e">
        <f t="shared" ca="1" si="0"/>
        <v>#NAME?</v>
      </c>
      <c r="T23" s="7" t="e">
        <f t="shared" ca="1" si="1"/>
        <v>#NAME?</v>
      </c>
      <c r="U23" s="3" t="e">
        <f t="shared" ca="1" si="2"/>
        <v>#NAME?</v>
      </c>
    </row>
    <row r="24" spans="1:21" x14ac:dyDescent="0.35">
      <c r="A24" s="5" t="s">
        <v>83</v>
      </c>
      <c r="B24" s="1" t="e" cm="1">
        <f t="array" aca="1" ref="B24" ca="1">_xll.BDP("AT578853 Corp","DS520")</f>
        <v>#NAME?</v>
      </c>
      <c r="C24" s="1" t="e" cm="1">
        <f t="array" aca="1" ref="C24" ca="1">_xll.BDP("AT578853 Corp","DS001")</f>
        <v>#NAME?</v>
      </c>
      <c r="D24" s="1" t="e" cm="1">
        <f t="array" aca="1" ref="D24" ca="1">_xll.BDP("AT578853 Corp","DS458")</f>
        <v>#NAME?</v>
      </c>
      <c r="E24" s="1" t="e" cm="1">
        <f t="array" aca="1" ref="E24" ca="1">_xll.BDP("AT578853 Corp","DS004")</f>
        <v>#NAME?</v>
      </c>
      <c r="F24" s="1" t="e" cm="1">
        <f t="array" aca="1" ref="F24" ca="1">_xll.BDP("AT578853 Corp","DS035")</f>
        <v>#NAME?</v>
      </c>
      <c r="G24" s="1" t="e" cm="1">
        <f t="array" aca="1" ref="G24" ca="1">_xll.BDP("AT578853 Corp","DS086")</f>
        <v>#NAME?</v>
      </c>
      <c r="H24" s="1" t="e" cm="1">
        <f t="array" aca="1" ref="H24" ca="1">_xll.BDP("AT578853 Corp","DS034")</f>
        <v>#NAME?</v>
      </c>
      <c r="I24" s="1" t="e" cm="1">
        <f t="array" aca="1" ref="I24" ca="1">_xll.BDP("AT578853 Corp","DS033")</f>
        <v>#NAME?</v>
      </c>
      <c r="J24" s="7" t="e" cm="1">
        <f t="array" aca="1" ref="J24" ca="1">_xll.BDP("AT578853 Corp","YL018")</f>
        <v>#NAME?</v>
      </c>
      <c r="K24" s="7" t="e" cm="1">
        <f t="array" aca="1" ref="K24" ca="1">_xll.BDP("AT578853 Corp","YL016")</f>
        <v>#NAME?</v>
      </c>
      <c r="L24" s="7" t="e" cm="1">
        <f t="array" aca="1" ref="L24" ca="1">_xll.BDP("AT578853 Corp","PR004")</f>
        <v>#NAME?</v>
      </c>
      <c r="M24" s="7" t="e" cm="1">
        <f t="array" aca="1" ref="M24" ca="1">_xll.BDP("AT578853 Corp","PR002")</f>
        <v>#NAME?</v>
      </c>
      <c r="N24" s="1" t="e" cm="1">
        <f t="array" aca="1" ref="N24" ca="1">_xll.BDP("AT578853 Corp","ID028")</f>
        <v>#NAME?</v>
      </c>
      <c r="O24" s="1" t="e" cm="1">
        <f t="array" aca="1" ref="O24" ca="1">_xll.BDP("AT578853 Corp","ID005")</f>
        <v>#NAME?</v>
      </c>
      <c r="P24" s="1" t="e" cm="1">
        <f t="array" aca="1" ref="P24" ca="1">_xll.BDP(A24,"RA007")</f>
        <v>#NAME?</v>
      </c>
      <c r="Q24" s="1" t="e" cm="1">
        <f t="array" aca="1" ref="Q24" ca="1">_xll.BDP(A24,"DS219")</f>
        <v>#NAME?</v>
      </c>
      <c r="R24" s="3" t="e" cm="1">
        <f t="array" aca="1" ref="R24" ca="1">_xll.BDP(A24,"DS040")</f>
        <v>#NAME?</v>
      </c>
      <c r="S24" s="4" t="e">
        <f t="shared" ca="1" si="0"/>
        <v>#NAME?</v>
      </c>
      <c r="T24" s="7" t="e">
        <f t="shared" ca="1" si="1"/>
        <v>#NAME?</v>
      </c>
      <c r="U24" s="3" t="e">
        <f t="shared" ca="1" si="2"/>
        <v>#NAME?</v>
      </c>
    </row>
    <row r="25" spans="1:21" x14ac:dyDescent="0.35">
      <c r="A25" s="5" t="s">
        <v>84</v>
      </c>
      <c r="B25" s="1" t="e" cm="1">
        <f t="array" aca="1" ref="B25" ca="1">_xll.BDP("AU788839 Corp","DS520")</f>
        <v>#NAME?</v>
      </c>
      <c r="C25" s="1" t="e" cm="1">
        <f t="array" aca="1" ref="C25" ca="1">_xll.BDP("AU788839 Corp","DS001")</f>
        <v>#NAME?</v>
      </c>
      <c r="D25" s="1" t="e" cm="1">
        <f t="array" aca="1" ref="D25" ca="1">_xll.BDP("AU788839 Corp","DS458")</f>
        <v>#NAME?</v>
      </c>
      <c r="E25" s="1" t="e" cm="1">
        <f t="array" aca="1" ref="E25" ca="1">_xll.BDP("AU788839 Corp","DS004")</f>
        <v>#NAME?</v>
      </c>
      <c r="F25" s="1" t="e" cm="1">
        <f t="array" aca="1" ref="F25" ca="1">_xll.BDP("AU788839 Corp","DS035")</f>
        <v>#NAME?</v>
      </c>
      <c r="G25" s="1" t="e" cm="1">
        <f t="array" aca="1" ref="G25" ca="1">_xll.BDP("AU788839 Corp","DS086")</f>
        <v>#NAME?</v>
      </c>
      <c r="H25" s="1" t="e" cm="1">
        <f t="array" aca="1" ref="H25" ca="1">_xll.BDP("AU788839 Corp","DS034")</f>
        <v>#NAME?</v>
      </c>
      <c r="I25" s="1" t="e" cm="1">
        <f t="array" aca="1" ref="I25" ca="1">_xll.BDP("AU788839 Corp","DS033")</f>
        <v>#NAME?</v>
      </c>
      <c r="J25" s="7" t="e" cm="1">
        <f t="array" aca="1" ref="J25" ca="1">_xll.BDP("AU788839 Corp","YL018")</f>
        <v>#NAME?</v>
      </c>
      <c r="K25" s="7" t="e" cm="1">
        <f t="array" aca="1" ref="K25" ca="1">_xll.BDP("AU788839 Corp","YL016")</f>
        <v>#NAME?</v>
      </c>
      <c r="L25" s="7" t="e" cm="1">
        <f t="array" aca="1" ref="L25" ca="1">_xll.BDP("AU788839 Corp","PR004")</f>
        <v>#NAME?</v>
      </c>
      <c r="M25" s="7" t="e" cm="1">
        <f t="array" aca="1" ref="M25" ca="1">_xll.BDP("AU788839 Corp","PR002")</f>
        <v>#NAME?</v>
      </c>
      <c r="N25" s="1" t="e" cm="1">
        <f t="array" aca="1" ref="N25" ca="1">_xll.BDP("AU788839 Corp","ID028")</f>
        <v>#NAME?</v>
      </c>
      <c r="O25" s="1" t="e" cm="1">
        <f t="array" aca="1" ref="O25" ca="1">_xll.BDP("AU788839 Corp","ID005")</f>
        <v>#NAME?</v>
      </c>
      <c r="P25" s="1" t="e" cm="1">
        <f t="array" aca="1" ref="P25" ca="1">_xll.BDP(A25,"RA007")</f>
        <v>#NAME?</v>
      </c>
      <c r="Q25" s="1" t="e" cm="1">
        <f t="array" aca="1" ref="Q25" ca="1">_xll.BDP(A25,"DS219")</f>
        <v>#NAME?</v>
      </c>
      <c r="R25" s="3" t="e" cm="1">
        <f t="array" aca="1" ref="R25" ca="1">_xll.BDP(A25,"DS040")</f>
        <v>#NAME?</v>
      </c>
      <c r="S25" s="4" t="e">
        <f t="shared" ca="1" si="0"/>
        <v>#NAME?</v>
      </c>
      <c r="T25" s="7" t="e">
        <f t="shared" ca="1" si="1"/>
        <v>#NAME?</v>
      </c>
      <c r="U25" s="3" t="e">
        <f t="shared" ca="1" si="2"/>
        <v>#NAME?</v>
      </c>
    </row>
    <row r="26" spans="1:21" x14ac:dyDescent="0.35">
      <c r="A26" s="5" t="s">
        <v>85</v>
      </c>
      <c r="B26" s="1" t="e" cm="1">
        <f t="array" aca="1" ref="B26" ca="1">_xll.BDP("AU951286 Corp","DS520")</f>
        <v>#NAME?</v>
      </c>
      <c r="C26" s="1" t="e" cm="1">
        <f t="array" aca="1" ref="C26" ca="1">_xll.BDP("AU951286 Corp","DS001")</f>
        <v>#NAME?</v>
      </c>
      <c r="D26" s="1" t="e" cm="1">
        <f t="array" aca="1" ref="D26" ca="1">_xll.BDP("AU951286 Corp","DS458")</f>
        <v>#NAME?</v>
      </c>
      <c r="E26" s="1" t="e" cm="1">
        <f t="array" aca="1" ref="E26" ca="1">_xll.BDP("AU951286 Corp","DS004")</f>
        <v>#NAME?</v>
      </c>
      <c r="F26" s="1" t="e" cm="1">
        <f t="array" aca="1" ref="F26" ca="1">_xll.BDP("AU951286 Corp","DS035")</f>
        <v>#NAME?</v>
      </c>
      <c r="G26" s="1" t="e" cm="1">
        <f t="array" aca="1" ref="G26" ca="1">_xll.BDP("AU951286 Corp","DS086")</f>
        <v>#NAME?</v>
      </c>
      <c r="H26" s="1" t="e" cm="1">
        <f t="array" aca="1" ref="H26" ca="1">_xll.BDP("AU951286 Corp","DS034")</f>
        <v>#NAME?</v>
      </c>
      <c r="I26" s="1" t="e" cm="1">
        <f t="array" aca="1" ref="I26" ca="1">_xll.BDP("AU951286 Corp","DS033")</f>
        <v>#NAME?</v>
      </c>
      <c r="J26" s="7" t="e" cm="1">
        <f t="array" aca="1" ref="J26" ca="1">_xll.BDP("AU951286 Corp","YL018")</f>
        <v>#NAME?</v>
      </c>
      <c r="K26" s="7" t="e" cm="1">
        <f t="array" aca="1" ref="K26" ca="1">_xll.BDP("AU951286 Corp","YL016")</f>
        <v>#NAME?</v>
      </c>
      <c r="L26" s="7" t="e" cm="1">
        <f t="array" aca="1" ref="L26" ca="1">_xll.BDP("AU951286 Corp","PR004")</f>
        <v>#NAME?</v>
      </c>
      <c r="M26" s="7" t="e" cm="1">
        <f t="array" aca="1" ref="M26" ca="1">_xll.BDP("AU951286 Corp","PR002")</f>
        <v>#NAME?</v>
      </c>
      <c r="N26" s="1" t="e" cm="1">
        <f t="array" aca="1" ref="N26" ca="1">_xll.BDP("AU951286 Corp","ID028")</f>
        <v>#NAME?</v>
      </c>
      <c r="O26" s="1" t="e" cm="1">
        <f t="array" aca="1" ref="O26" ca="1">_xll.BDP("AU951286 Corp","ID005")</f>
        <v>#NAME?</v>
      </c>
      <c r="P26" s="1" t="e" cm="1">
        <f t="array" aca="1" ref="P26" ca="1">_xll.BDP(A26,"RA007")</f>
        <v>#NAME?</v>
      </c>
      <c r="Q26" s="1" t="e" cm="1">
        <f t="array" aca="1" ref="Q26" ca="1">_xll.BDP(A26,"DS219")</f>
        <v>#NAME?</v>
      </c>
      <c r="R26" s="3" t="e" cm="1">
        <f t="array" aca="1" ref="R26" ca="1">_xll.BDP(A26,"DS040")</f>
        <v>#NAME?</v>
      </c>
      <c r="S26" s="4" t="e">
        <f t="shared" ca="1" si="0"/>
        <v>#NAME?</v>
      </c>
      <c r="T26" s="7" t="e">
        <f t="shared" ca="1" si="1"/>
        <v>#NAME?</v>
      </c>
      <c r="U26" s="3" t="e">
        <f t="shared" ca="1" si="2"/>
        <v>#NAME?</v>
      </c>
    </row>
    <row r="27" spans="1:21" x14ac:dyDescent="0.35">
      <c r="A27" s="5" t="s">
        <v>86</v>
      </c>
      <c r="B27" s="1" t="e" cm="1">
        <f t="array" aca="1" ref="B27" ca="1">_xll.BDP("AV122750 Corp","DS520")</f>
        <v>#NAME?</v>
      </c>
      <c r="C27" s="1" t="e" cm="1">
        <f t="array" aca="1" ref="C27" ca="1">_xll.BDP("AV122750 Corp","DS001")</f>
        <v>#NAME?</v>
      </c>
      <c r="D27" s="1" t="e" cm="1">
        <f t="array" aca="1" ref="D27" ca="1">_xll.BDP("AV122750 Corp","DS458")</f>
        <v>#NAME?</v>
      </c>
      <c r="E27" s="1" t="e" cm="1">
        <f t="array" aca="1" ref="E27" ca="1">_xll.BDP("AV122750 Corp","DS004")</f>
        <v>#NAME?</v>
      </c>
      <c r="F27" s="1" t="e" cm="1">
        <f t="array" aca="1" ref="F27" ca="1">_xll.BDP("AV122750 Corp","DS035")</f>
        <v>#NAME?</v>
      </c>
      <c r="G27" s="1" t="e" cm="1">
        <f t="array" aca="1" ref="G27" ca="1">_xll.BDP("AV122750 Corp","DS086")</f>
        <v>#NAME?</v>
      </c>
      <c r="H27" s="1" t="e" cm="1">
        <f t="array" aca="1" ref="H27" ca="1">_xll.BDP("AV122750 Corp","DS034")</f>
        <v>#NAME?</v>
      </c>
      <c r="I27" s="1" t="e" cm="1">
        <f t="array" aca="1" ref="I27" ca="1">_xll.BDP("AV122750 Corp","DS033")</f>
        <v>#NAME?</v>
      </c>
      <c r="J27" s="7" t="e" cm="1">
        <f t="array" aca="1" ref="J27" ca="1">_xll.BDP("AV122750 Corp","YL018")</f>
        <v>#NAME?</v>
      </c>
      <c r="K27" s="7" t="e" cm="1">
        <f t="array" aca="1" ref="K27" ca="1">_xll.BDP("AV122750 Corp","YL016")</f>
        <v>#NAME?</v>
      </c>
      <c r="L27" s="7" t="e" cm="1">
        <f t="array" aca="1" ref="L27" ca="1">_xll.BDP("AV122750 Corp","PR004")</f>
        <v>#NAME?</v>
      </c>
      <c r="M27" s="7" t="e" cm="1">
        <f t="array" aca="1" ref="M27" ca="1">_xll.BDP("AV122750 Corp","PR002")</f>
        <v>#NAME?</v>
      </c>
      <c r="N27" s="1" t="e" cm="1">
        <f t="array" aca="1" ref="N27" ca="1">_xll.BDP("AV122750 Corp","ID028")</f>
        <v>#NAME?</v>
      </c>
      <c r="O27" s="1" t="e" cm="1">
        <f t="array" aca="1" ref="O27" ca="1">_xll.BDP("AV122750 Corp","ID005")</f>
        <v>#NAME?</v>
      </c>
      <c r="P27" s="1" t="e" cm="1">
        <f t="array" aca="1" ref="P27" ca="1">_xll.BDP(A27,"RA007")</f>
        <v>#NAME?</v>
      </c>
      <c r="Q27" s="1" t="e" cm="1">
        <f t="array" aca="1" ref="Q27" ca="1">_xll.BDP(A27,"DS219")</f>
        <v>#NAME?</v>
      </c>
      <c r="R27" s="3" t="e" cm="1">
        <f t="array" aca="1" ref="R27" ca="1">_xll.BDP(A27,"DS040")</f>
        <v>#NAME?</v>
      </c>
      <c r="S27" s="4" t="e">
        <f t="shared" ca="1" si="0"/>
        <v>#NAME?</v>
      </c>
      <c r="T27" s="7" t="e">
        <f t="shared" ca="1" si="1"/>
        <v>#NAME?</v>
      </c>
      <c r="U27" s="3" t="e">
        <f t="shared" ca="1" si="2"/>
        <v>#NAME?</v>
      </c>
    </row>
    <row r="28" spans="1:21" x14ac:dyDescent="0.35">
      <c r="A28" s="5" t="s">
        <v>87</v>
      </c>
      <c r="B28" s="1" t="e" cm="1">
        <f t="array" aca="1" ref="B28" ca="1">_xll.BDP("AW566680 Corp","DS520")</f>
        <v>#NAME?</v>
      </c>
      <c r="C28" s="1" t="e" cm="1">
        <f t="array" aca="1" ref="C28" ca="1">_xll.BDP("AW566680 Corp","DS001")</f>
        <v>#NAME?</v>
      </c>
      <c r="D28" s="1" t="e" cm="1">
        <f t="array" aca="1" ref="D28" ca="1">_xll.BDP("AW566680 Corp","DS458")</f>
        <v>#NAME?</v>
      </c>
      <c r="E28" s="1" t="e" cm="1">
        <f t="array" aca="1" ref="E28" ca="1">_xll.BDP("AW566680 Corp","DS004")</f>
        <v>#NAME?</v>
      </c>
      <c r="F28" s="1" t="e" cm="1">
        <f t="array" aca="1" ref="F28" ca="1">_xll.BDP("AW566680 Corp","DS035")</f>
        <v>#NAME?</v>
      </c>
      <c r="G28" s="1" t="e" cm="1">
        <f t="array" aca="1" ref="G28" ca="1">_xll.BDP("AW566680 Corp","DS086")</f>
        <v>#NAME?</v>
      </c>
      <c r="H28" s="1" t="e" cm="1">
        <f t="array" aca="1" ref="H28" ca="1">_xll.BDP("AW566680 Corp","DS034")</f>
        <v>#NAME?</v>
      </c>
      <c r="I28" s="1" t="e" cm="1">
        <f t="array" aca="1" ref="I28" ca="1">_xll.BDP("AW566680 Corp","DS033")</f>
        <v>#NAME?</v>
      </c>
      <c r="J28" s="7" t="e" cm="1">
        <f t="array" aca="1" ref="J28" ca="1">_xll.BDP("AW566680 Corp","YL018")</f>
        <v>#NAME?</v>
      </c>
      <c r="K28" s="7" t="e" cm="1">
        <f t="array" aca="1" ref="K28" ca="1">_xll.BDP("AW566680 Corp","YL016")</f>
        <v>#NAME?</v>
      </c>
      <c r="L28" s="7" t="e" cm="1">
        <f t="array" aca="1" ref="L28" ca="1">_xll.BDP("AW566680 Corp","PR004")</f>
        <v>#NAME?</v>
      </c>
      <c r="M28" s="7" t="e" cm="1">
        <f t="array" aca="1" ref="M28" ca="1">_xll.BDP("AW566680 Corp","PR002")</f>
        <v>#NAME?</v>
      </c>
      <c r="N28" s="1" t="e" cm="1">
        <f t="array" aca="1" ref="N28" ca="1">_xll.BDP("AW566680 Corp","ID028")</f>
        <v>#NAME?</v>
      </c>
      <c r="O28" s="1" t="e" cm="1">
        <f t="array" aca="1" ref="O28" ca="1">_xll.BDP("AW566680 Corp","ID005")</f>
        <v>#NAME?</v>
      </c>
      <c r="P28" s="1" t="e" cm="1">
        <f t="array" aca="1" ref="P28" ca="1">_xll.BDP(A28,"RA007")</f>
        <v>#NAME?</v>
      </c>
      <c r="Q28" s="1" t="e" cm="1">
        <f t="array" aca="1" ref="Q28" ca="1">_xll.BDP(A28,"DS219")</f>
        <v>#NAME?</v>
      </c>
      <c r="R28" s="3" t="e" cm="1">
        <f t="array" aca="1" ref="R28" ca="1">_xll.BDP(A28,"DS040")</f>
        <v>#NAME?</v>
      </c>
      <c r="S28" s="4" t="e">
        <f t="shared" ca="1" si="0"/>
        <v>#NAME?</v>
      </c>
      <c r="T28" s="7" t="e">
        <f t="shared" ca="1" si="1"/>
        <v>#NAME?</v>
      </c>
      <c r="U28" s="3" t="e">
        <f t="shared" ca="1" si="2"/>
        <v>#NAME?</v>
      </c>
    </row>
    <row r="29" spans="1:21" x14ac:dyDescent="0.35">
      <c r="A29" s="5" t="s">
        <v>88</v>
      </c>
      <c r="B29" s="1" t="e" cm="1">
        <f t="array" aca="1" ref="B29" ca="1">_xll.BDP("AW634174 Corp","DS520")</f>
        <v>#NAME?</v>
      </c>
      <c r="C29" s="1" t="e" cm="1">
        <f t="array" aca="1" ref="C29" ca="1">_xll.BDP("AW634174 Corp","DS001")</f>
        <v>#NAME?</v>
      </c>
      <c r="D29" s="1" t="e" cm="1">
        <f t="array" aca="1" ref="D29" ca="1">_xll.BDP("AW634174 Corp","DS458")</f>
        <v>#NAME?</v>
      </c>
      <c r="E29" s="1" t="e" cm="1">
        <f t="array" aca="1" ref="E29" ca="1">_xll.BDP("AW634174 Corp","DS004")</f>
        <v>#NAME?</v>
      </c>
      <c r="F29" s="1" t="e" cm="1">
        <f t="array" aca="1" ref="F29" ca="1">_xll.BDP("AW634174 Corp","DS035")</f>
        <v>#NAME?</v>
      </c>
      <c r="G29" s="1" t="e" cm="1">
        <f t="array" aca="1" ref="G29" ca="1">_xll.BDP("AW634174 Corp","DS086")</f>
        <v>#NAME?</v>
      </c>
      <c r="H29" s="1" t="e" cm="1">
        <f t="array" aca="1" ref="H29" ca="1">_xll.BDP("AW634174 Corp","DS034")</f>
        <v>#NAME?</v>
      </c>
      <c r="I29" s="1" t="e" cm="1">
        <f t="array" aca="1" ref="I29" ca="1">_xll.BDP("AW634174 Corp","DS033")</f>
        <v>#NAME?</v>
      </c>
      <c r="J29" s="7" t="e" cm="1">
        <f t="array" aca="1" ref="J29" ca="1">_xll.BDP("AW634174 Corp","YL018")</f>
        <v>#NAME?</v>
      </c>
      <c r="K29" s="7" t="e" cm="1">
        <f t="array" aca="1" ref="K29" ca="1">_xll.BDP("AW634174 Corp","YL016")</f>
        <v>#NAME?</v>
      </c>
      <c r="L29" s="7" t="e" cm="1">
        <f t="array" aca="1" ref="L29" ca="1">_xll.BDP("AW634174 Corp","PR004")</f>
        <v>#NAME?</v>
      </c>
      <c r="M29" s="7" t="e" cm="1">
        <f t="array" aca="1" ref="M29" ca="1">_xll.BDP("AW634174 Corp","PR002")</f>
        <v>#NAME?</v>
      </c>
      <c r="N29" s="1" t="e" cm="1">
        <f t="array" aca="1" ref="N29" ca="1">_xll.BDP("AW634174 Corp","ID028")</f>
        <v>#NAME?</v>
      </c>
      <c r="O29" s="1" t="e" cm="1">
        <f t="array" aca="1" ref="O29" ca="1">_xll.BDP("AW634174 Corp","ID005")</f>
        <v>#NAME?</v>
      </c>
      <c r="P29" s="1" t="e" cm="1">
        <f t="array" aca="1" ref="P29" ca="1">_xll.BDP(A29,"RA007")</f>
        <v>#NAME?</v>
      </c>
      <c r="Q29" s="1" t="e" cm="1">
        <f t="array" aca="1" ref="Q29" ca="1">_xll.BDP(A29,"DS219")</f>
        <v>#NAME?</v>
      </c>
      <c r="R29" s="3" t="e" cm="1">
        <f t="array" aca="1" ref="R29" ca="1">_xll.BDP(A29,"DS040")</f>
        <v>#NAME?</v>
      </c>
      <c r="S29" s="4" t="e">
        <f t="shared" ca="1" si="0"/>
        <v>#NAME?</v>
      </c>
      <c r="T29" s="7" t="e">
        <f t="shared" ca="1" si="1"/>
        <v>#NAME?</v>
      </c>
      <c r="U29" s="3" t="e">
        <f t="shared" ca="1" si="2"/>
        <v>#NAME?</v>
      </c>
    </row>
    <row r="30" spans="1:21" x14ac:dyDescent="0.35">
      <c r="A30" s="5" t="s">
        <v>89</v>
      </c>
      <c r="B30" s="1" t="e" cm="1">
        <f t="array" aca="1" ref="B30" ca="1">_xll.BDP("AW892884 Corp","DS520")</f>
        <v>#NAME?</v>
      </c>
      <c r="C30" s="1" t="e" cm="1">
        <f t="array" aca="1" ref="C30" ca="1">_xll.BDP("AW892884 Corp","DS001")</f>
        <v>#NAME?</v>
      </c>
      <c r="D30" s="1" t="e" cm="1">
        <f t="array" aca="1" ref="D30" ca="1">_xll.BDP("AW892884 Corp","DS458")</f>
        <v>#NAME?</v>
      </c>
      <c r="E30" s="1" t="e" cm="1">
        <f t="array" aca="1" ref="E30" ca="1">_xll.BDP("AW892884 Corp","DS004")</f>
        <v>#NAME?</v>
      </c>
      <c r="F30" s="1" t="e" cm="1">
        <f t="array" aca="1" ref="F30" ca="1">_xll.BDP("AW892884 Corp","DS035")</f>
        <v>#NAME?</v>
      </c>
      <c r="G30" s="1" t="e" cm="1">
        <f t="array" aca="1" ref="G30" ca="1">_xll.BDP("AW892884 Corp","DS086")</f>
        <v>#NAME?</v>
      </c>
      <c r="H30" s="1" t="e" cm="1">
        <f t="array" aca="1" ref="H30" ca="1">_xll.BDP("AW892884 Corp","DS034")</f>
        <v>#NAME?</v>
      </c>
      <c r="I30" s="1" t="e" cm="1">
        <f t="array" aca="1" ref="I30" ca="1">_xll.BDP("AW892884 Corp","DS033")</f>
        <v>#NAME?</v>
      </c>
      <c r="J30" s="7" t="e" cm="1">
        <f t="array" aca="1" ref="J30" ca="1">_xll.BDP("AW892884 Corp","YL018")</f>
        <v>#NAME?</v>
      </c>
      <c r="K30" s="7" t="e" cm="1">
        <f t="array" aca="1" ref="K30" ca="1">_xll.BDP("AW892884 Corp","YL016")</f>
        <v>#NAME?</v>
      </c>
      <c r="L30" s="7" t="e" cm="1">
        <f t="array" aca="1" ref="L30" ca="1">_xll.BDP("AW892884 Corp","PR004")</f>
        <v>#NAME?</v>
      </c>
      <c r="M30" s="7" t="e" cm="1">
        <f t="array" aca="1" ref="M30" ca="1">_xll.BDP("AW892884 Corp","PR002")</f>
        <v>#NAME?</v>
      </c>
      <c r="N30" s="1" t="e" cm="1">
        <f t="array" aca="1" ref="N30" ca="1">_xll.BDP("AW892884 Corp","ID028")</f>
        <v>#NAME?</v>
      </c>
      <c r="O30" s="1" t="e" cm="1">
        <f t="array" aca="1" ref="O30" ca="1">_xll.BDP("AW892884 Corp","ID005")</f>
        <v>#NAME?</v>
      </c>
      <c r="P30" s="1" t="e" cm="1">
        <f t="array" aca="1" ref="P30" ca="1">_xll.BDP(A30,"RA007")</f>
        <v>#NAME?</v>
      </c>
      <c r="Q30" s="1" t="e" cm="1">
        <f t="array" aca="1" ref="Q30" ca="1">_xll.BDP(A30,"DS219")</f>
        <v>#NAME?</v>
      </c>
      <c r="R30" s="3" t="e" cm="1">
        <f t="array" aca="1" ref="R30" ca="1">_xll.BDP(A30,"DS040")</f>
        <v>#NAME?</v>
      </c>
      <c r="S30" s="4" t="e">
        <f t="shared" ca="1" si="0"/>
        <v>#NAME?</v>
      </c>
      <c r="T30" s="7" t="e">
        <f t="shared" ca="1" si="1"/>
        <v>#NAME?</v>
      </c>
      <c r="U30" s="3" t="e">
        <f t="shared" ca="1" si="2"/>
        <v>#NAME?</v>
      </c>
    </row>
    <row r="31" spans="1:21" x14ac:dyDescent="0.35">
      <c r="A31" s="5" t="s">
        <v>90</v>
      </c>
      <c r="B31" s="1" t="e" cm="1">
        <f t="array" aca="1" ref="B31" ca="1">_xll.BDP("AX991345 Corp","DS520")</f>
        <v>#NAME?</v>
      </c>
      <c r="C31" s="1" t="e" cm="1">
        <f t="array" aca="1" ref="C31" ca="1">_xll.BDP("AX991345 Corp","DS001")</f>
        <v>#NAME?</v>
      </c>
      <c r="D31" s="1" t="e" cm="1">
        <f t="array" aca="1" ref="D31" ca="1">_xll.BDP("AX991345 Corp","DS458")</f>
        <v>#NAME?</v>
      </c>
      <c r="E31" s="1" t="e" cm="1">
        <f t="array" aca="1" ref="E31" ca="1">_xll.BDP("AX991345 Corp","DS004")</f>
        <v>#NAME?</v>
      </c>
      <c r="F31" s="1" t="e" cm="1">
        <f t="array" aca="1" ref="F31" ca="1">_xll.BDP("AX991345 Corp","DS035")</f>
        <v>#NAME?</v>
      </c>
      <c r="G31" s="1" t="e" cm="1">
        <f t="array" aca="1" ref="G31" ca="1">_xll.BDP("AX991345 Corp","DS086")</f>
        <v>#NAME?</v>
      </c>
      <c r="H31" s="1" t="e" cm="1">
        <f t="array" aca="1" ref="H31" ca="1">_xll.BDP("AX991345 Corp","DS034")</f>
        <v>#NAME?</v>
      </c>
      <c r="I31" s="1" t="e" cm="1">
        <f t="array" aca="1" ref="I31" ca="1">_xll.BDP("AX991345 Corp","DS033")</f>
        <v>#NAME?</v>
      </c>
      <c r="J31" s="7" t="e" cm="1">
        <f t="array" aca="1" ref="J31" ca="1">_xll.BDP("AX991345 Corp","YL018")</f>
        <v>#NAME?</v>
      </c>
      <c r="K31" s="7" t="e" cm="1">
        <f t="array" aca="1" ref="K31" ca="1">_xll.BDP("AX991345 Corp","YL016")</f>
        <v>#NAME?</v>
      </c>
      <c r="L31" s="7" t="e" cm="1">
        <f t="array" aca="1" ref="L31" ca="1">_xll.BDP("AX991345 Corp","PR004")</f>
        <v>#NAME?</v>
      </c>
      <c r="M31" s="7" t="e" cm="1">
        <f t="array" aca="1" ref="M31" ca="1">_xll.BDP("AX991345 Corp","PR002")</f>
        <v>#NAME?</v>
      </c>
      <c r="N31" s="1" t="e" cm="1">
        <f t="array" aca="1" ref="N31" ca="1">_xll.BDP("AX991345 Corp","ID028")</f>
        <v>#NAME?</v>
      </c>
      <c r="O31" s="1" t="e" cm="1">
        <f t="array" aca="1" ref="O31" ca="1">_xll.BDP("AX991345 Corp","ID005")</f>
        <v>#NAME?</v>
      </c>
      <c r="P31" s="1" t="e" cm="1">
        <f t="array" aca="1" ref="P31" ca="1">_xll.BDP(A31,"RA007")</f>
        <v>#NAME?</v>
      </c>
      <c r="Q31" s="1" t="e" cm="1">
        <f t="array" aca="1" ref="Q31" ca="1">_xll.BDP(A31,"DS219")</f>
        <v>#NAME?</v>
      </c>
      <c r="R31" s="3" t="e" cm="1">
        <f t="array" aca="1" ref="R31" ca="1">_xll.BDP(A31,"DS040")</f>
        <v>#NAME?</v>
      </c>
      <c r="S31" s="4" t="e">
        <f t="shared" ca="1" si="0"/>
        <v>#NAME?</v>
      </c>
      <c r="T31" s="7" t="e">
        <f t="shared" ca="1" si="1"/>
        <v>#NAME?</v>
      </c>
      <c r="U31" s="3" t="e">
        <f t="shared" ca="1" si="2"/>
        <v>#NAME?</v>
      </c>
    </row>
    <row r="32" spans="1:21" x14ac:dyDescent="0.35">
      <c r="A32" s="5" t="s">
        <v>91</v>
      </c>
      <c r="B32" s="1" t="e" cm="1">
        <f t="array" aca="1" ref="B32" ca="1">_xll.BDP("AZ459860 Corp","DS520")</f>
        <v>#NAME?</v>
      </c>
      <c r="C32" s="1" t="e" cm="1">
        <f t="array" aca="1" ref="C32" ca="1">_xll.BDP("AZ459860 Corp","DS001")</f>
        <v>#NAME?</v>
      </c>
      <c r="D32" s="1" t="e" cm="1">
        <f t="array" aca="1" ref="D32" ca="1">_xll.BDP("AZ459860 Corp","DS458")</f>
        <v>#NAME?</v>
      </c>
      <c r="E32" s="1" t="e" cm="1">
        <f t="array" aca="1" ref="E32" ca="1">_xll.BDP("AZ459860 Corp","DS004")</f>
        <v>#NAME?</v>
      </c>
      <c r="F32" s="1" t="e" cm="1">
        <f t="array" aca="1" ref="F32" ca="1">_xll.BDP("AZ459860 Corp","DS035")</f>
        <v>#NAME?</v>
      </c>
      <c r="G32" s="1" t="e" cm="1">
        <f t="array" aca="1" ref="G32" ca="1">_xll.BDP("AZ459860 Corp","DS086")</f>
        <v>#NAME?</v>
      </c>
      <c r="H32" s="1" t="e" cm="1">
        <f t="array" aca="1" ref="H32" ca="1">_xll.BDP("AZ459860 Corp","DS034")</f>
        <v>#NAME?</v>
      </c>
      <c r="I32" s="1" t="e" cm="1">
        <f t="array" aca="1" ref="I32" ca="1">_xll.BDP("AZ459860 Corp","DS033")</f>
        <v>#NAME?</v>
      </c>
      <c r="J32" s="7" t="e" cm="1">
        <f t="array" aca="1" ref="J32" ca="1">_xll.BDP("AZ459860 Corp","YL018")</f>
        <v>#NAME?</v>
      </c>
      <c r="K32" s="7" t="e" cm="1">
        <f t="array" aca="1" ref="K32" ca="1">_xll.BDP("AZ459860 Corp","YL016")</f>
        <v>#NAME?</v>
      </c>
      <c r="L32" s="7" t="e" cm="1">
        <f t="array" aca="1" ref="L32" ca="1">_xll.BDP("AZ459860 Corp","PR004")</f>
        <v>#NAME?</v>
      </c>
      <c r="M32" s="7" t="e" cm="1">
        <f t="array" aca="1" ref="M32" ca="1">_xll.BDP("AZ459860 Corp","PR002")</f>
        <v>#NAME?</v>
      </c>
      <c r="N32" s="1" t="e" cm="1">
        <f t="array" aca="1" ref="N32" ca="1">_xll.BDP("AZ459860 Corp","ID028")</f>
        <v>#NAME?</v>
      </c>
      <c r="O32" s="1" t="e" cm="1">
        <f t="array" aca="1" ref="O32" ca="1">_xll.BDP("AZ459860 Corp","ID005")</f>
        <v>#NAME?</v>
      </c>
      <c r="P32" s="1" t="e" cm="1">
        <f t="array" aca="1" ref="P32" ca="1">_xll.BDP(A32,"RA007")</f>
        <v>#NAME?</v>
      </c>
      <c r="Q32" s="1" t="e" cm="1">
        <f t="array" aca="1" ref="Q32" ca="1">_xll.BDP(A32,"DS219")</f>
        <v>#NAME?</v>
      </c>
      <c r="R32" s="3" t="e" cm="1">
        <f t="array" aca="1" ref="R32" ca="1">_xll.BDP(A32,"DS040")</f>
        <v>#NAME?</v>
      </c>
      <c r="S32" s="4" t="e">
        <f t="shared" ca="1" si="0"/>
        <v>#NAME?</v>
      </c>
      <c r="T32" s="7" t="e">
        <f t="shared" ca="1" si="1"/>
        <v>#NAME?</v>
      </c>
      <c r="U32" s="3" t="e">
        <f t="shared" ca="1" si="2"/>
        <v>#NAME?</v>
      </c>
    </row>
    <row r="33" spans="1:21" x14ac:dyDescent="0.35">
      <c r="A33" s="5" t="s">
        <v>92</v>
      </c>
      <c r="B33" s="1" t="e" cm="1">
        <f t="array" aca="1" ref="B33" ca="1">_xll.BDP("AZ527231 Corp","DS520")</f>
        <v>#NAME?</v>
      </c>
      <c r="C33" s="1" t="e" cm="1">
        <f t="array" aca="1" ref="C33" ca="1">_xll.BDP("AZ527231 Corp","DS001")</f>
        <v>#NAME?</v>
      </c>
      <c r="D33" s="1" t="e" cm="1">
        <f t="array" aca="1" ref="D33" ca="1">_xll.BDP("AZ527231 Corp","DS458")</f>
        <v>#NAME?</v>
      </c>
      <c r="E33" s="1" t="e" cm="1">
        <f t="array" aca="1" ref="E33" ca="1">_xll.BDP("AZ527231 Corp","DS004")</f>
        <v>#NAME?</v>
      </c>
      <c r="F33" s="1" t="e" cm="1">
        <f t="array" aca="1" ref="F33" ca="1">_xll.BDP("AZ527231 Corp","DS035")</f>
        <v>#NAME?</v>
      </c>
      <c r="G33" s="1" t="e" cm="1">
        <f t="array" aca="1" ref="G33" ca="1">_xll.BDP("AZ527231 Corp","DS086")</f>
        <v>#NAME?</v>
      </c>
      <c r="H33" s="1" t="e" cm="1">
        <f t="array" aca="1" ref="H33" ca="1">_xll.BDP("AZ527231 Corp","DS034")</f>
        <v>#NAME?</v>
      </c>
      <c r="I33" s="1" t="e" cm="1">
        <f t="array" aca="1" ref="I33" ca="1">_xll.BDP("AZ527231 Corp","DS033")</f>
        <v>#NAME?</v>
      </c>
      <c r="J33" s="7" t="e" cm="1">
        <f t="array" aca="1" ref="J33" ca="1">_xll.BDP("AZ527231 Corp","YL018")</f>
        <v>#NAME?</v>
      </c>
      <c r="K33" s="7" t="e" cm="1">
        <f t="array" aca="1" ref="K33" ca="1">_xll.BDP("AZ527231 Corp","YL016")</f>
        <v>#NAME?</v>
      </c>
      <c r="L33" s="7" t="e" cm="1">
        <f t="array" aca="1" ref="L33" ca="1">_xll.BDP("AZ527231 Corp","PR004")</f>
        <v>#NAME?</v>
      </c>
      <c r="M33" s="7" t="e" cm="1">
        <f t="array" aca="1" ref="M33" ca="1">_xll.BDP("AZ527231 Corp","PR002")</f>
        <v>#NAME?</v>
      </c>
      <c r="N33" s="1" t="e" cm="1">
        <f t="array" aca="1" ref="N33" ca="1">_xll.BDP("AZ527231 Corp","ID028")</f>
        <v>#NAME?</v>
      </c>
      <c r="O33" s="1" t="e" cm="1">
        <f t="array" aca="1" ref="O33" ca="1">_xll.BDP("AZ527231 Corp","ID005")</f>
        <v>#NAME?</v>
      </c>
      <c r="P33" s="1" t="e" cm="1">
        <f t="array" aca="1" ref="P33" ca="1">_xll.BDP(A33,"RA007")</f>
        <v>#NAME?</v>
      </c>
      <c r="Q33" s="1" t="e" cm="1">
        <f t="array" aca="1" ref="Q33" ca="1">_xll.BDP(A33,"DS219")</f>
        <v>#NAME?</v>
      </c>
      <c r="R33" s="3" t="e" cm="1">
        <f t="array" aca="1" ref="R33" ca="1">_xll.BDP(A33,"DS040")</f>
        <v>#NAME?</v>
      </c>
      <c r="S33" s="4" t="e">
        <f t="shared" ca="1" si="0"/>
        <v>#NAME?</v>
      </c>
      <c r="T33" s="7" t="e">
        <f t="shared" ca="1" si="1"/>
        <v>#NAME?</v>
      </c>
      <c r="U33" s="3" t="e">
        <f t="shared" ca="1" si="2"/>
        <v>#NAME?</v>
      </c>
    </row>
    <row r="34" spans="1:21" x14ac:dyDescent="0.35">
      <c r="A34" s="5" t="s">
        <v>93</v>
      </c>
      <c r="B34" s="1" t="e" cm="1">
        <f t="array" aca="1" ref="B34" ca="1">_xll.BDP("AZ694472 Corp","DS520")</f>
        <v>#NAME?</v>
      </c>
      <c r="C34" s="1" t="e" cm="1">
        <f t="array" aca="1" ref="C34" ca="1">_xll.BDP("AZ694472 Corp","DS001")</f>
        <v>#NAME?</v>
      </c>
      <c r="D34" s="1" t="e" cm="1">
        <f t="array" aca="1" ref="D34" ca="1">_xll.BDP("AZ694472 Corp","DS458")</f>
        <v>#NAME?</v>
      </c>
      <c r="E34" s="1" t="e" cm="1">
        <f t="array" aca="1" ref="E34" ca="1">_xll.BDP("AZ694472 Corp","DS004")</f>
        <v>#NAME?</v>
      </c>
      <c r="F34" s="1" t="e" cm="1">
        <f t="array" aca="1" ref="F34" ca="1">_xll.BDP("AZ694472 Corp","DS035")</f>
        <v>#NAME?</v>
      </c>
      <c r="G34" s="1" t="e" cm="1">
        <f t="array" aca="1" ref="G34" ca="1">_xll.BDP("AZ694472 Corp","DS086")</f>
        <v>#NAME?</v>
      </c>
      <c r="H34" s="1" t="e" cm="1">
        <f t="array" aca="1" ref="H34" ca="1">_xll.BDP("AZ694472 Corp","DS034")</f>
        <v>#NAME?</v>
      </c>
      <c r="I34" s="1" t="e" cm="1">
        <f t="array" aca="1" ref="I34" ca="1">_xll.BDP("AZ694472 Corp","DS033")</f>
        <v>#NAME?</v>
      </c>
      <c r="J34" s="7" t="e" cm="1">
        <f t="array" aca="1" ref="J34" ca="1">_xll.BDP("AZ694472 Corp","YL018")</f>
        <v>#NAME?</v>
      </c>
      <c r="K34" s="7" t="e" cm="1">
        <f t="array" aca="1" ref="K34" ca="1">_xll.BDP("AZ694472 Corp","YL016")</f>
        <v>#NAME?</v>
      </c>
      <c r="L34" s="7" t="e" cm="1">
        <f t="array" aca="1" ref="L34" ca="1">_xll.BDP("AZ694472 Corp","PR004")</f>
        <v>#NAME?</v>
      </c>
      <c r="M34" s="7" t="e" cm="1">
        <f t="array" aca="1" ref="M34" ca="1">_xll.BDP("AZ694472 Corp","PR002")</f>
        <v>#NAME?</v>
      </c>
      <c r="N34" s="1" t="e" cm="1">
        <f t="array" aca="1" ref="N34" ca="1">_xll.BDP("AZ694472 Corp","ID028")</f>
        <v>#NAME?</v>
      </c>
      <c r="O34" s="1" t="e" cm="1">
        <f t="array" aca="1" ref="O34" ca="1">_xll.BDP("AZ694472 Corp","ID005")</f>
        <v>#NAME?</v>
      </c>
      <c r="P34" s="1" t="e" cm="1">
        <f t="array" aca="1" ref="P34" ca="1">_xll.BDP(A34,"RA007")</f>
        <v>#NAME?</v>
      </c>
      <c r="Q34" s="1" t="e" cm="1">
        <f t="array" aca="1" ref="Q34" ca="1">_xll.BDP(A34,"DS219")</f>
        <v>#NAME?</v>
      </c>
      <c r="R34" s="3" t="e" cm="1">
        <f t="array" aca="1" ref="R34" ca="1">_xll.BDP(A34,"DS040")</f>
        <v>#NAME?</v>
      </c>
      <c r="S34" s="4" t="e">
        <f t="shared" ca="1" si="0"/>
        <v>#NAME?</v>
      </c>
      <c r="T34" s="7" t="e">
        <f t="shared" ca="1" si="1"/>
        <v>#NAME?</v>
      </c>
      <c r="U34" s="3" t="e">
        <f t="shared" ca="1" si="2"/>
        <v>#NAME?</v>
      </c>
    </row>
    <row r="35" spans="1:21" x14ac:dyDescent="0.35">
      <c r="A35" s="5" t="s">
        <v>94</v>
      </c>
      <c r="B35" s="1" t="e" cm="1">
        <f t="array" aca="1" ref="B35" ca="1">_xll.BDP("BH527948 Corp","DS520")</f>
        <v>#NAME?</v>
      </c>
      <c r="C35" s="1" t="e" cm="1">
        <f t="array" aca="1" ref="C35" ca="1">_xll.BDP("BH527948 Corp","DS001")</f>
        <v>#NAME?</v>
      </c>
      <c r="D35" s="1" t="e" cm="1">
        <f t="array" aca="1" ref="D35" ca="1">_xll.BDP("BH527948 Corp","DS458")</f>
        <v>#NAME?</v>
      </c>
      <c r="E35" s="1" t="e" cm="1">
        <f t="array" aca="1" ref="E35" ca="1">_xll.BDP("BH527948 Corp","DS004")</f>
        <v>#NAME?</v>
      </c>
      <c r="F35" s="1" t="e" cm="1">
        <f t="array" aca="1" ref="F35" ca="1">_xll.BDP("BH527948 Corp","DS035")</f>
        <v>#NAME?</v>
      </c>
      <c r="G35" s="1" t="e" cm="1">
        <f t="array" aca="1" ref="G35" ca="1">_xll.BDP("BH527948 Corp","DS086")</f>
        <v>#NAME?</v>
      </c>
      <c r="H35" s="1" t="e" cm="1">
        <f t="array" aca="1" ref="H35" ca="1">_xll.BDP("BH527948 Corp","DS034")</f>
        <v>#NAME?</v>
      </c>
      <c r="I35" s="1" t="e" cm="1">
        <f t="array" aca="1" ref="I35" ca="1">_xll.BDP("BH527948 Corp","DS033")</f>
        <v>#NAME?</v>
      </c>
      <c r="J35" s="7" t="e" cm="1">
        <f t="array" aca="1" ref="J35" ca="1">_xll.BDP("BH527948 Corp","YL018")</f>
        <v>#NAME?</v>
      </c>
      <c r="K35" s="7" t="e" cm="1">
        <f t="array" aca="1" ref="K35" ca="1">_xll.BDP("BH527948 Corp","YL016")</f>
        <v>#NAME?</v>
      </c>
      <c r="L35" s="7" t="e" cm="1">
        <f t="array" aca="1" ref="L35" ca="1">_xll.BDP("BH527948 Corp","PR004")</f>
        <v>#NAME?</v>
      </c>
      <c r="M35" s="7" t="e" cm="1">
        <f t="array" aca="1" ref="M35" ca="1">_xll.BDP("BH527948 Corp","PR002")</f>
        <v>#NAME?</v>
      </c>
      <c r="N35" s="1" t="e" cm="1">
        <f t="array" aca="1" ref="N35" ca="1">_xll.BDP("BH527948 Corp","ID028")</f>
        <v>#NAME?</v>
      </c>
      <c r="O35" s="1" t="e" cm="1">
        <f t="array" aca="1" ref="O35" ca="1">_xll.BDP("BH527948 Corp","ID005")</f>
        <v>#NAME?</v>
      </c>
      <c r="P35" s="1" t="e" cm="1">
        <f t="array" aca="1" ref="P35" ca="1">_xll.BDP(A35,"RA007")</f>
        <v>#NAME?</v>
      </c>
      <c r="Q35" s="1" t="e" cm="1">
        <f t="array" aca="1" ref="Q35" ca="1">_xll.BDP(A35,"DS219")</f>
        <v>#NAME?</v>
      </c>
      <c r="R35" s="3" t="e" cm="1">
        <f t="array" aca="1" ref="R35" ca="1">_xll.BDP(A35,"DS040")</f>
        <v>#NAME?</v>
      </c>
      <c r="S35" s="4" t="e">
        <f t="shared" ca="1" si="0"/>
        <v>#NAME?</v>
      </c>
      <c r="T35" s="7" t="e">
        <f t="shared" ca="1" si="1"/>
        <v>#NAME?</v>
      </c>
      <c r="U35" s="3" t="e">
        <f t="shared" ca="1" si="2"/>
        <v>#NAME?</v>
      </c>
    </row>
    <row r="36" spans="1:21" x14ac:dyDescent="0.35">
      <c r="A36" s="5" t="s">
        <v>95</v>
      </c>
      <c r="B36" s="1" t="e" cm="1">
        <f t="array" aca="1" ref="B36" ca="1">_xll.BDP("BH620692 Corp","DS520")</f>
        <v>#NAME?</v>
      </c>
      <c r="C36" s="1" t="e" cm="1">
        <f t="array" aca="1" ref="C36" ca="1">_xll.BDP("BH620692 Corp","DS001")</f>
        <v>#NAME?</v>
      </c>
      <c r="D36" s="1" t="e" cm="1">
        <f t="array" aca="1" ref="D36" ca="1">_xll.BDP("BH620692 Corp","DS458")</f>
        <v>#NAME?</v>
      </c>
      <c r="E36" s="1" t="e" cm="1">
        <f t="array" aca="1" ref="E36" ca="1">_xll.BDP("BH620692 Corp","DS004")</f>
        <v>#NAME?</v>
      </c>
      <c r="F36" s="1" t="e" cm="1">
        <f t="array" aca="1" ref="F36" ca="1">_xll.BDP("BH620692 Corp","DS035")</f>
        <v>#NAME?</v>
      </c>
      <c r="G36" s="1" t="e" cm="1">
        <f t="array" aca="1" ref="G36" ca="1">_xll.BDP("BH620692 Corp","DS086")</f>
        <v>#NAME?</v>
      </c>
      <c r="H36" s="1" t="e" cm="1">
        <f t="array" aca="1" ref="H36" ca="1">_xll.BDP("BH620692 Corp","DS034")</f>
        <v>#NAME?</v>
      </c>
      <c r="I36" s="1" t="e" cm="1">
        <f t="array" aca="1" ref="I36" ca="1">_xll.BDP("BH620692 Corp","DS033")</f>
        <v>#NAME?</v>
      </c>
      <c r="J36" s="7" t="e" cm="1">
        <f t="array" aca="1" ref="J36" ca="1">_xll.BDP("BH620692 Corp","YL018")</f>
        <v>#NAME?</v>
      </c>
      <c r="K36" s="7" t="e" cm="1">
        <f t="array" aca="1" ref="K36" ca="1">_xll.BDP("BH620692 Corp","YL016")</f>
        <v>#NAME?</v>
      </c>
      <c r="L36" s="7" t="e" cm="1">
        <f t="array" aca="1" ref="L36" ca="1">_xll.BDP("BH620692 Corp","PR004")</f>
        <v>#NAME?</v>
      </c>
      <c r="M36" s="7" t="e" cm="1">
        <f t="array" aca="1" ref="M36" ca="1">_xll.BDP("BH620692 Corp","PR002")</f>
        <v>#NAME?</v>
      </c>
      <c r="N36" s="1" t="e" cm="1">
        <f t="array" aca="1" ref="N36" ca="1">_xll.BDP("BH620692 Corp","ID028")</f>
        <v>#NAME?</v>
      </c>
      <c r="O36" s="1" t="e" cm="1">
        <f t="array" aca="1" ref="O36" ca="1">_xll.BDP("BH620692 Corp","ID005")</f>
        <v>#NAME?</v>
      </c>
      <c r="P36" s="1" t="e" cm="1">
        <f t="array" aca="1" ref="P36" ca="1">_xll.BDP(A36,"RA007")</f>
        <v>#NAME?</v>
      </c>
      <c r="Q36" s="1" t="e" cm="1">
        <f t="array" aca="1" ref="Q36" ca="1">_xll.BDP(A36,"DS219")</f>
        <v>#NAME?</v>
      </c>
      <c r="R36" s="3" t="e" cm="1">
        <f t="array" aca="1" ref="R36" ca="1">_xll.BDP(A36,"DS040")</f>
        <v>#NAME?</v>
      </c>
      <c r="S36" s="4" t="e">
        <f t="shared" ca="1" si="0"/>
        <v>#NAME?</v>
      </c>
      <c r="T36" s="7" t="e">
        <f t="shared" ca="1" si="1"/>
        <v>#NAME?</v>
      </c>
      <c r="U36" s="3" t="e">
        <f t="shared" ca="1" si="2"/>
        <v>#NAME?</v>
      </c>
    </row>
    <row r="37" spans="1:21" x14ac:dyDescent="0.35">
      <c r="A37" s="5" t="s">
        <v>96</v>
      </c>
      <c r="B37" s="1" t="e" cm="1">
        <f t="array" aca="1" ref="B37" ca="1">_xll.BDP("BI018471 Corp","DS520")</f>
        <v>#NAME?</v>
      </c>
      <c r="C37" s="1" t="e" cm="1">
        <f t="array" aca="1" ref="C37" ca="1">_xll.BDP("BI018471 Corp","DS001")</f>
        <v>#NAME?</v>
      </c>
      <c r="D37" s="1" t="e" cm="1">
        <f t="array" aca="1" ref="D37" ca="1">_xll.BDP("BI018471 Corp","DS458")</f>
        <v>#NAME?</v>
      </c>
      <c r="E37" s="1" t="e" cm="1">
        <f t="array" aca="1" ref="E37" ca="1">_xll.BDP("BI018471 Corp","DS004")</f>
        <v>#NAME?</v>
      </c>
      <c r="F37" s="1" t="e" cm="1">
        <f t="array" aca="1" ref="F37" ca="1">_xll.BDP("BI018471 Corp","DS035")</f>
        <v>#NAME?</v>
      </c>
      <c r="G37" s="1" t="e" cm="1">
        <f t="array" aca="1" ref="G37" ca="1">_xll.BDP("BI018471 Corp","DS086")</f>
        <v>#NAME?</v>
      </c>
      <c r="H37" s="1" t="e" cm="1">
        <f t="array" aca="1" ref="H37" ca="1">_xll.BDP("BI018471 Corp","DS034")</f>
        <v>#NAME?</v>
      </c>
      <c r="I37" s="1" t="e" cm="1">
        <f t="array" aca="1" ref="I37" ca="1">_xll.BDP("BI018471 Corp","DS033")</f>
        <v>#NAME?</v>
      </c>
      <c r="J37" s="7" t="e" cm="1">
        <f t="array" aca="1" ref="J37" ca="1">_xll.BDP("BI018471 Corp","YL018")</f>
        <v>#NAME?</v>
      </c>
      <c r="K37" s="7" t="e" cm="1">
        <f t="array" aca="1" ref="K37" ca="1">_xll.BDP("BI018471 Corp","YL016")</f>
        <v>#NAME?</v>
      </c>
      <c r="L37" s="7" t="e" cm="1">
        <f t="array" aca="1" ref="L37" ca="1">_xll.BDP("BI018471 Corp","PR004")</f>
        <v>#NAME?</v>
      </c>
      <c r="M37" s="7" t="e" cm="1">
        <f t="array" aca="1" ref="M37" ca="1">_xll.BDP("BI018471 Corp","PR002")</f>
        <v>#NAME?</v>
      </c>
      <c r="N37" s="1" t="e" cm="1">
        <f t="array" aca="1" ref="N37" ca="1">_xll.BDP("BI018471 Corp","ID028")</f>
        <v>#NAME?</v>
      </c>
      <c r="O37" s="1" t="e" cm="1">
        <f t="array" aca="1" ref="O37" ca="1">_xll.BDP("BI018471 Corp","ID005")</f>
        <v>#NAME?</v>
      </c>
      <c r="P37" s="1" t="e" cm="1">
        <f t="array" aca="1" ref="P37" ca="1">_xll.BDP(A37,"RA007")</f>
        <v>#NAME?</v>
      </c>
      <c r="Q37" s="1" t="e" cm="1">
        <f t="array" aca="1" ref="Q37" ca="1">_xll.BDP(A37,"DS219")</f>
        <v>#NAME?</v>
      </c>
      <c r="R37" s="3" t="e" cm="1">
        <f t="array" aca="1" ref="R37" ca="1">_xll.BDP(A37,"DS040")</f>
        <v>#NAME?</v>
      </c>
      <c r="S37" s="4" t="e">
        <f t="shared" ca="1" si="0"/>
        <v>#NAME?</v>
      </c>
      <c r="T37" s="7" t="e">
        <f t="shared" ca="1" si="1"/>
        <v>#NAME?</v>
      </c>
      <c r="U37" s="3" t="e">
        <f t="shared" ca="1" si="2"/>
        <v>#NAME?</v>
      </c>
    </row>
    <row r="38" spans="1:21" x14ac:dyDescent="0.35">
      <c r="A38" s="5" t="s">
        <v>97</v>
      </c>
      <c r="B38" s="1" t="e" cm="1">
        <f t="array" aca="1" ref="B38" ca="1">_xll.BDP("BJ706274 Corp","DS520")</f>
        <v>#NAME?</v>
      </c>
      <c r="C38" s="1" t="e" cm="1">
        <f t="array" aca="1" ref="C38" ca="1">_xll.BDP("BJ706274 Corp","DS001")</f>
        <v>#NAME?</v>
      </c>
      <c r="D38" s="1" t="e" cm="1">
        <f t="array" aca="1" ref="D38" ca="1">_xll.BDP("BJ706274 Corp","DS458")</f>
        <v>#NAME?</v>
      </c>
      <c r="E38" s="1" t="e" cm="1">
        <f t="array" aca="1" ref="E38" ca="1">_xll.BDP("BJ706274 Corp","DS004")</f>
        <v>#NAME?</v>
      </c>
      <c r="F38" s="1" t="e" cm="1">
        <f t="array" aca="1" ref="F38" ca="1">_xll.BDP("BJ706274 Corp","DS035")</f>
        <v>#NAME?</v>
      </c>
      <c r="G38" s="1" t="e" cm="1">
        <f t="array" aca="1" ref="G38" ca="1">_xll.BDP("BJ706274 Corp","DS086")</f>
        <v>#NAME?</v>
      </c>
      <c r="H38" s="1" t="e" cm="1">
        <f t="array" aca="1" ref="H38" ca="1">_xll.BDP("BJ706274 Corp","DS034")</f>
        <v>#NAME?</v>
      </c>
      <c r="I38" s="1" t="e" cm="1">
        <f t="array" aca="1" ref="I38" ca="1">_xll.BDP("BJ706274 Corp","DS033")</f>
        <v>#NAME?</v>
      </c>
      <c r="J38" s="7" t="e" cm="1">
        <f t="array" aca="1" ref="J38" ca="1">_xll.BDP("BJ706274 Corp","YL018")</f>
        <v>#NAME?</v>
      </c>
      <c r="K38" s="7" t="e" cm="1">
        <f t="array" aca="1" ref="K38" ca="1">_xll.BDP("BJ706274 Corp","YL016")</f>
        <v>#NAME?</v>
      </c>
      <c r="L38" s="7" t="e" cm="1">
        <f t="array" aca="1" ref="L38" ca="1">_xll.BDP("BJ706274 Corp","PR004")</f>
        <v>#NAME?</v>
      </c>
      <c r="M38" s="7" t="e" cm="1">
        <f t="array" aca="1" ref="M38" ca="1">_xll.BDP("BJ706274 Corp","PR002")</f>
        <v>#NAME?</v>
      </c>
      <c r="N38" s="1" t="e" cm="1">
        <f t="array" aca="1" ref="N38" ca="1">_xll.BDP("BJ706274 Corp","ID028")</f>
        <v>#NAME?</v>
      </c>
      <c r="O38" s="1" t="e" cm="1">
        <f t="array" aca="1" ref="O38" ca="1">_xll.BDP("BJ706274 Corp","ID005")</f>
        <v>#NAME?</v>
      </c>
      <c r="P38" s="1" t="e" cm="1">
        <f t="array" aca="1" ref="P38" ca="1">_xll.BDP(A38,"RA007")</f>
        <v>#NAME?</v>
      </c>
      <c r="Q38" s="1" t="e" cm="1">
        <f t="array" aca="1" ref="Q38" ca="1">_xll.BDP(A38,"DS219")</f>
        <v>#NAME?</v>
      </c>
      <c r="R38" s="3" t="e" cm="1">
        <f t="array" aca="1" ref="R38" ca="1">_xll.BDP(A38,"DS040")</f>
        <v>#NAME?</v>
      </c>
      <c r="S38" s="4" t="e">
        <f t="shared" ca="1" si="0"/>
        <v>#NAME?</v>
      </c>
      <c r="T38" s="7" t="e">
        <f t="shared" ca="1" si="1"/>
        <v>#NAME?</v>
      </c>
      <c r="U38" s="3" t="e">
        <f t="shared" ca="1" si="2"/>
        <v>#NAME?</v>
      </c>
    </row>
    <row r="39" spans="1:21" x14ac:dyDescent="0.35">
      <c r="A39" s="5" t="s">
        <v>98</v>
      </c>
      <c r="B39" s="1" t="e" cm="1">
        <f t="array" aca="1" ref="B39" ca="1">_xll.BDP("BK340998 Corp","DS520")</f>
        <v>#NAME?</v>
      </c>
      <c r="C39" s="1" t="e" cm="1">
        <f t="array" aca="1" ref="C39" ca="1">_xll.BDP("BK340998 Corp","DS001")</f>
        <v>#NAME?</v>
      </c>
      <c r="D39" s="1" t="e" cm="1">
        <f t="array" aca="1" ref="D39" ca="1">_xll.BDP("BK340998 Corp","DS458")</f>
        <v>#NAME?</v>
      </c>
      <c r="E39" s="1" t="e" cm="1">
        <f t="array" aca="1" ref="E39" ca="1">_xll.BDP("BK340998 Corp","DS004")</f>
        <v>#NAME?</v>
      </c>
      <c r="F39" s="1" t="e" cm="1">
        <f t="array" aca="1" ref="F39" ca="1">_xll.BDP("BK340998 Corp","DS035")</f>
        <v>#NAME?</v>
      </c>
      <c r="G39" s="1" t="e" cm="1">
        <f t="array" aca="1" ref="G39" ca="1">_xll.BDP("BK340998 Corp","DS086")</f>
        <v>#NAME?</v>
      </c>
      <c r="H39" s="1" t="e" cm="1">
        <f t="array" aca="1" ref="H39" ca="1">_xll.BDP("BK340998 Corp","DS034")</f>
        <v>#NAME?</v>
      </c>
      <c r="I39" s="1" t="e" cm="1">
        <f t="array" aca="1" ref="I39" ca="1">_xll.BDP("BK340998 Corp","DS033")</f>
        <v>#NAME?</v>
      </c>
      <c r="J39" s="7" t="e" cm="1">
        <f t="array" aca="1" ref="J39" ca="1">_xll.BDP("BK340998 Corp","YL018")</f>
        <v>#NAME?</v>
      </c>
      <c r="K39" s="7" t="e" cm="1">
        <f t="array" aca="1" ref="K39" ca="1">_xll.BDP("BK340998 Corp","YL016")</f>
        <v>#NAME?</v>
      </c>
      <c r="L39" s="7" t="e" cm="1">
        <f t="array" aca="1" ref="L39" ca="1">_xll.BDP("BK340998 Corp","PR004")</f>
        <v>#NAME?</v>
      </c>
      <c r="M39" s="7" t="e" cm="1">
        <f t="array" aca="1" ref="M39" ca="1">_xll.BDP("BK340998 Corp","PR002")</f>
        <v>#NAME?</v>
      </c>
      <c r="N39" s="1" t="e" cm="1">
        <f t="array" aca="1" ref="N39" ca="1">_xll.BDP("BK340998 Corp","ID028")</f>
        <v>#NAME?</v>
      </c>
      <c r="O39" s="1" t="e" cm="1">
        <f t="array" aca="1" ref="O39" ca="1">_xll.BDP("BK340998 Corp","ID005")</f>
        <v>#NAME?</v>
      </c>
      <c r="P39" s="1" t="e" cm="1">
        <f t="array" aca="1" ref="P39" ca="1">_xll.BDP(A39,"RA007")</f>
        <v>#NAME?</v>
      </c>
      <c r="Q39" s="1" t="e" cm="1">
        <f t="array" aca="1" ref="Q39" ca="1">_xll.BDP(A39,"DS219")</f>
        <v>#NAME?</v>
      </c>
      <c r="R39" s="3" t="e" cm="1">
        <f t="array" aca="1" ref="R39" ca="1">_xll.BDP(A39,"DS040")</f>
        <v>#NAME?</v>
      </c>
      <c r="S39" s="4" t="e">
        <f t="shared" ca="1" si="0"/>
        <v>#NAME?</v>
      </c>
      <c r="T39" s="7" t="e">
        <f t="shared" ca="1" si="1"/>
        <v>#NAME?</v>
      </c>
      <c r="U39" s="3" t="e">
        <f t="shared" ca="1" si="2"/>
        <v>#NAME?</v>
      </c>
    </row>
    <row r="40" spans="1:21" x14ac:dyDescent="0.35">
      <c r="A40" s="5" t="s">
        <v>99</v>
      </c>
      <c r="B40" s="1" t="e" cm="1">
        <f t="array" aca="1" ref="B40" ca="1">_xll.BDP("BK411989 Corp","DS520")</f>
        <v>#NAME?</v>
      </c>
      <c r="C40" s="1" t="e" cm="1">
        <f t="array" aca="1" ref="C40" ca="1">_xll.BDP("BK411989 Corp","DS001")</f>
        <v>#NAME?</v>
      </c>
      <c r="D40" s="1" t="e" cm="1">
        <f t="array" aca="1" ref="D40" ca="1">_xll.BDP("BK411989 Corp","DS458")</f>
        <v>#NAME?</v>
      </c>
      <c r="E40" s="1" t="e" cm="1">
        <f t="array" aca="1" ref="E40" ca="1">_xll.BDP("BK411989 Corp","DS004")</f>
        <v>#NAME?</v>
      </c>
      <c r="F40" s="1" t="e" cm="1">
        <f t="array" aca="1" ref="F40" ca="1">_xll.BDP("BK411989 Corp","DS035")</f>
        <v>#NAME?</v>
      </c>
      <c r="G40" s="1" t="e" cm="1">
        <f t="array" aca="1" ref="G40" ca="1">_xll.BDP("BK411989 Corp","DS086")</f>
        <v>#NAME?</v>
      </c>
      <c r="H40" s="1" t="e" cm="1">
        <f t="array" aca="1" ref="H40" ca="1">_xll.BDP("BK411989 Corp","DS034")</f>
        <v>#NAME?</v>
      </c>
      <c r="I40" s="1" t="e" cm="1">
        <f t="array" aca="1" ref="I40" ca="1">_xll.BDP("BK411989 Corp","DS033")</f>
        <v>#NAME?</v>
      </c>
      <c r="J40" s="7" t="e" cm="1">
        <f t="array" aca="1" ref="J40" ca="1">_xll.BDP("BK411989 Corp","YL018")</f>
        <v>#NAME?</v>
      </c>
      <c r="K40" s="7" t="e" cm="1">
        <f t="array" aca="1" ref="K40" ca="1">_xll.BDP("BK411989 Corp","YL016")</f>
        <v>#NAME?</v>
      </c>
      <c r="L40" s="7" t="e" cm="1">
        <f t="array" aca="1" ref="L40" ca="1">_xll.BDP("BK411989 Corp","PR004")</f>
        <v>#NAME?</v>
      </c>
      <c r="M40" s="7" t="e" cm="1">
        <f t="array" aca="1" ref="M40" ca="1">_xll.BDP("BK411989 Corp","PR002")</f>
        <v>#NAME?</v>
      </c>
      <c r="N40" s="1" t="e" cm="1">
        <f t="array" aca="1" ref="N40" ca="1">_xll.BDP("BK411989 Corp","ID028")</f>
        <v>#NAME?</v>
      </c>
      <c r="O40" s="1" t="e" cm="1">
        <f t="array" aca="1" ref="O40" ca="1">_xll.BDP("BK411989 Corp","ID005")</f>
        <v>#NAME?</v>
      </c>
      <c r="P40" s="1" t="e" cm="1">
        <f t="array" aca="1" ref="P40" ca="1">_xll.BDP(A40,"RA007")</f>
        <v>#NAME?</v>
      </c>
      <c r="Q40" s="1" t="e" cm="1">
        <f t="array" aca="1" ref="Q40" ca="1">_xll.BDP(A40,"DS219")</f>
        <v>#NAME?</v>
      </c>
      <c r="R40" s="3" t="e" cm="1">
        <f t="array" aca="1" ref="R40" ca="1">_xll.BDP(A40,"DS040")</f>
        <v>#NAME?</v>
      </c>
      <c r="S40" s="4" t="e">
        <f t="shared" ca="1" si="0"/>
        <v>#NAME?</v>
      </c>
      <c r="T40" s="7" t="e">
        <f t="shared" ca="1" si="1"/>
        <v>#NAME?</v>
      </c>
      <c r="U40" s="3" t="e">
        <f t="shared" ca="1" si="2"/>
        <v>#NAME?</v>
      </c>
    </row>
    <row r="41" spans="1:21" x14ac:dyDescent="0.35">
      <c r="A41" s="5" t="s">
        <v>100</v>
      </c>
      <c r="B41" s="1" t="e" cm="1">
        <f t="array" aca="1" ref="B41" ca="1">_xll.BDP("BK594564 Corp","DS520")</f>
        <v>#NAME?</v>
      </c>
      <c r="C41" s="1" t="e" cm="1">
        <f t="array" aca="1" ref="C41" ca="1">_xll.BDP("BK594564 Corp","DS001")</f>
        <v>#NAME?</v>
      </c>
      <c r="D41" s="1" t="e" cm="1">
        <f t="array" aca="1" ref="D41" ca="1">_xll.BDP("BK594564 Corp","DS458")</f>
        <v>#NAME?</v>
      </c>
      <c r="E41" s="1" t="e" cm="1">
        <f t="array" aca="1" ref="E41" ca="1">_xll.BDP("BK594564 Corp","DS004")</f>
        <v>#NAME?</v>
      </c>
      <c r="F41" s="1" t="e" cm="1">
        <f t="array" aca="1" ref="F41" ca="1">_xll.BDP("BK594564 Corp","DS035")</f>
        <v>#NAME?</v>
      </c>
      <c r="G41" s="1" t="e" cm="1">
        <f t="array" aca="1" ref="G41" ca="1">_xll.BDP("BK594564 Corp","DS086")</f>
        <v>#NAME?</v>
      </c>
      <c r="H41" s="1" t="e" cm="1">
        <f t="array" aca="1" ref="H41" ca="1">_xll.BDP("BK594564 Corp","DS034")</f>
        <v>#NAME?</v>
      </c>
      <c r="I41" s="1" t="e" cm="1">
        <f t="array" aca="1" ref="I41" ca="1">_xll.BDP("BK594564 Corp","DS033")</f>
        <v>#NAME?</v>
      </c>
      <c r="J41" s="7" t="e" cm="1">
        <f t="array" aca="1" ref="J41" ca="1">_xll.BDP("BK594564 Corp","YL018")</f>
        <v>#NAME?</v>
      </c>
      <c r="K41" s="7" t="e" cm="1">
        <f t="array" aca="1" ref="K41" ca="1">_xll.BDP("BK594564 Corp","YL016")</f>
        <v>#NAME?</v>
      </c>
      <c r="L41" s="7" t="e" cm="1">
        <f t="array" aca="1" ref="L41" ca="1">_xll.BDP("BK594564 Corp","PR004")</f>
        <v>#NAME?</v>
      </c>
      <c r="M41" s="7" t="e" cm="1">
        <f t="array" aca="1" ref="M41" ca="1">_xll.BDP("BK594564 Corp","PR002")</f>
        <v>#NAME?</v>
      </c>
      <c r="N41" s="1" t="e" cm="1">
        <f t="array" aca="1" ref="N41" ca="1">_xll.BDP("BK594564 Corp","ID028")</f>
        <v>#NAME?</v>
      </c>
      <c r="O41" s="1" t="e" cm="1">
        <f t="array" aca="1" ref="O41" ca="1">_xll.BDP("BK594564 Corp","ID005")</f>
        <v>#NAME?</v>
      </c>
      <c r="P41" s="1" t="e" cm="1">
        <f t="array" aca="1" ref="P41" ca="1">_xll.BDP(A41,"RA007")</f>
        <v>#NAME?</v>
      </c>
      <c r="Q41" s="1" t="e" cm="1">
        <f t="array" aca="1" ref="Q41" ca="1">_xll.BDP(A41,"DS219")</f>
        <v>#NAME?</v>
      </c>
      <c r="R41" s="3" t="e" cm="1">
        <f t="array" aca="1" ref="R41" ca="1">_xll.BDP(A41,"DS040")</f>
        <v>#NAME?</v>
      </c>
      <c r="S41" s="4" t="e">
        <f t="shared" ca="1" si="0"/>
        <v>#NAME?</v>
      </c>
      <c r="T41" s="7" t="e">
        <f t="shared" ca="1" si="1"/>
        <v>#NAME?</v>
      </c>
      <c r="U41" s="3" t="e">
        <f t="shared" ca="1" si="2"/>
        <v>#NAME?</v>
      </c>
    </row>
    <row r="42" spans="1:21" x14ac:dyDescent="0.35">
      <c r="A42" s="5" t="s">
        <v>101</v>
      </c>
      <c r="B42" s="1" t="e" cm="1">
        <f t="array" aca="1" ref="B42" ca="1">_xll.BDP("BM027946 Corp","DS520")</f>
        <v>#NAME?</v>
      </c>
      <c r="C42" s="1" t="e" cm="1">
        <f t="array" aca="1" ref="C42" ca="1">_xll.BDP("BM027946 Corp","DS001")</f>
        <v>#NAME?</v>
      </c>
      <c r="D42" s="1" t="e" cm="1">
        <f t="array" aca="1" ref="D42" ca="1">_xll.BDP("BM027946 Corp","DS458")</f>
        <v>#NAME?</v>
      </c>
      <c r="E42" s="1" t="e" cm="1">
        <f t="array" aca="1" ref="E42" ca="1">_xll.BDP("BM027946 Corp","DS004")</f>
        <v>#NAME?</v>
      </c>
      <c r="F42" s="1" t="e" cm="1">
        <f t="array" aca="1" ref="F42" ca="1">_xll.BDP("BM027946 Corp","DS035")</f>
        <v>#NAME?</v>
      </c>
      <c r="G42" s="1" t="e" cm="1">
        <f t="array" aca="1" ref="G42" ca="1">_xll.BDP("BM027946 Corp","DS086")</f>
        <v>#NAME?</v>
      </c>
      <c r="H42" s="1" t="e" cm="1">
        <f t="array" aca="1" ref="H42" ca="1">_xll.BDP("BM027946 Corp","DS034")</f>
        <v>#NAME?</v>
      </c>
      <c r="I42" s="1" t="e" cm="1">
        <f t="array" aca="1" ref="I42" ca="1">_xll.BDP("BM027946 Corp","DS033")</f>
        <v>#NAME?</v>
      </c>
      <c r="J42" s="7" t="e" cm="1">
        <f t="array" aca="1" ref="J42" ca="1">_xll.BDP("BM027946 Corp","YL018")</f>
        <v>#NAME?</v>
      </c>
      <c r="K42" s="7" t="e" cm="1">
        <f t="array" aca="1" ref="K42" ca="1">_xll.BDP("BM027946 Corp","YL016")</f>
        <v>#NAME?</v>
      </c>
      <c r="L42" s="7" t="e" cm="1">
        <f t="array" aca="1" ref="L42" ca="1">_xll.BDP("BM027946 Corp","PR004")</f>
        <v>#NAME?</v>
      </c>
      <c r="M42" s="7" t="e" cm="1">
        <f t="array" aca="1" ref="M42" ca="1">_xll.BDP("BM027946 Corp","PR002")</f>
        <v>#NAME?</v>
      </c>
      <c r="N42" s="1" t="e" cm="1">
        <f t="array" aca="1" ref="N42" ca="1">_xll.BDP("BM027946 Corp","ID028")</f>
        <v>#NAME?</v>
      </c>
      <c r="O42" s="1" t="e" cm="1">
        <f t="array" aca="1" ref="O42" ca="1">_xll.BDP("BM027946 Corp","ID005")</f>
        <v>#NAME?</v>
      </c>
      <c r="P42" s="1" t="e" cm="1">
        <f t="array" aca="1" ref="P42" ca="1">_xll.BDP(A42,"RA007")</f>
        <v>#NAME?</v>
      </c>
      <c r="Q42" s="1" t="e" cm="1">
        <f t="array" aca="1" ref="Q42" ca="1">_xll.BDP(A42,"DS219")</f>
        <v>#NAME?</v>
      </c>
      <c r="R42" s="3" t="e" cm="1">
        <f t="array" aca="1" ref="R42" ca="1">_xll.BDP(A42,"DS040")</f>
        <v>#NAME?</v>
      </c>
      <c r="S42" s="4" t="e">
        <f t="shared" ca="1" si="0"/>
        <v>#NAME?</v>
      </c>
      <c r="T42" s="7" t="e">
        <f t="shared" ca="1" si="1"/>
        <v>#NAME?</v>
      </c>
      <c r="U42" s="3" t="e">
        <f t="shared" ca="1" si="2"/>
        <v>#NAME?</v>
      </c>
    </row>
    <row r="43" spans="1:21" x14ac:dyDescent="0.35">
      <c r="A43" s="5" t="s">
        <v>102</v>
      </c>
      <c r="B43" s="1" t="e" cm="1">
        <f t="array" aca="1" ref="B43" ca="1">_xll.BDP("BN361059 Corp","DS520")</f>
        <v>#NAME?</v>
      </c>
      <c r="C43" s="1" t="e" cm="1">
        <f t="array" aca="1" ref="C43" ca="1">_xll.BDP("BN361059 Corp","DS001")</f>
        <v>#NAME?</v>
      </c>
      <c r="D43" s="1" t="e" cm="1">
        <f t="array" aca="1" ref="D43" ca="1">_xll.BDP("BN361059 Corp","DS458")</f>
        <v>#NAME?</v>
      </c>
      <c r="E43" s="1" t="e" cm="1">
        <f t="array" aca="1" ref="E43" ca="1">_xll.BDP("BN361059 Corp","DS004")</f>
        <v>#NAME?</v>
      </c>
      <c r="F43" s="1" t="e" cm="1">
        <f t="array" aca="1" ref="F43" ca="1">_xll.BDP("BN361059 Corp","DS035")</f>
        <v>#NAME?</v>
      </c>
      <c r="G43" s="1" t="e" cm="1">
        <f t="array" aca="1" ref="G43" ca="1">_xll.BDP("BN361059 Corp","DS086")</f>
        <v>#NAME?</v>
      </c>
      <c r="H43" s="1" t="e" cm="1">
        <f t="array" aca="1" ref="H43" ca="1">_xll.BDP("BN361059 Corp","DS034")</f>
        <v>#NAME?</v>
      </c>
      <c r="I43" s="1" t="e" cm="1">
        <f t="array" aca="1" ref="I43" ca="1">_xll.BDP("BN361059 Corp","DS033")</f>
        <v>#NAME?</v>
      </c>
      <c r="J43" s="7" t="e" cm="1">
        <f t="array" aca="1" ref="J43" ca="1">_xll.BDP("BN361059 Corp","YL018")</f>
        <v>#NAME?</v>
      </c>
      <c r="K43" s="7" t="e" cm="1">
        <f t="array" aca="1" ref="K43" ca="1">_xll.BDP("BN361059 Corp","YL016")</f>
        <v>#NAME?</v>
      </c>
      <c r="L43" s="7" t="e" cm="1">
        <f t="array" aca="1" ref="L43" ca="1">_xll.BDP("BN361059 Corp","PR004")</f>
        <v>#NAME?</v>
      </c>
      <c r="M43" s="7" t="e" cm="1">
        <f t="array" aca="1" ref="M43" ca="1">_xll.BDP("BN361059 Corp","PR002")</f>
        <v>#NAME?</v>
      </c>
      <c r="N43" s="1" t="e" cm="1">
        <f t="array" aca="1" ref="N43" ca="1">_xll.BDP("BN361059 Corp","ID028")</f>
        <v>#NAME?</v>
      </c>
      <c r="O43" s="1" t="e" cm="1">
        <f t="array" aca="1" ref="O43" ca="1">_xll.BDP("BN361059 Corp","ID005")</f>
        <v>#NAME?</v>
      </c>
      <c r="P43" s="1" t="e" cm="1">
        <f t="array" aca="1" ref="P43" ca="1">_xll.BDP(A43,"RA007")</f>
        <v>#NAME?</v>
      </c>
      <c r="Q43" s="1" t="e" cm="1">
        <f t="array" aca="1" ref="Q43" ca="1">_xll.BDP(A43,"DS219")</f>
        <v>#NAME?</v>
      </c>
      <c r="R43" s="3" t="e" cm="1">
        <f t="array" aca="1" ref="R43" ca="1">_xll.BDP(A43,"DS040")</f>
        <v>#NAME?</v>
      </c>
      <c r="S43" s="4" t="e">
        <f t="shared" ca="1" si="0"/>
        <v>#NAME?</v>
      </c>
      <c r="T43" s="7" t="e">
        <f t="shared" ca="1" si="1"/>
        <v>#NAME?</v>
      </c>
      <c r="U43" s="3" t="e">
        <f t="shared" ca="1" si="2"/>
        <v>#NAME?</v>
      </c>
    </row>
    <row r="44" spans="1:21" x14ac:dyDescent="0.35">
      <c r="A44" s="5" t="s">
        <v>103</v>
      </c>
      <c r="B44" s="1" t="e" cm="1">
        <f t="array" aca="1" ref="B44" ca="1">_xll.BDP("BN417655 Corp","DS520")</f>
        <v>#NAME?</v>
      </c>
      <c r="C44" s="1" t="e" cm="1">
        <f t="array" aca="1" ref="C44" ca="1">_xll.BDP("BN417655 Corp","DS001")</f>
        <v>#NAME?</v>
      </c>
      <c r="D44" s="1" t="e" cm="1">
        <f t="array" aca="1" ref="D44" ca="1">_xll.BDP("BN417655 Corp","DS458")</f>
        <v>#NAME?</v>
      </c>
      <c r="E44" s="1" t="e" cm="1">
        <f t="array" aca="1" ref="E44" ca="1">_xll.BDP("BN417655 Corp","DS004")</f>
        <v>#NAME?</v>
      </c>
      <c r="F44" s="1" t="e" cm="1">
        <f t="array" aca="1" ref="F44" ca="1">_xll.BDP("BN417655 Corp","DS035")</f>
        <v>#NAME?</v>
      </c>
      <c r="G44" s="1" t="e" cm="1">
        <f t="array" aca="1" ref="G44" ca="1">_xll.BDP("BN417655 Corp","DS086")</f>
        <v>#NAME?</v>
      </c>
      <c r="H44" s="1" t="e" cm="1">
        <f t="array" aca="1" ref="H44" ca="1">_xll.BDP("BN417655 Corp","DS034")</f>
        <v>#NAME?</v>
      </c>
      <c r="I44" s="1" t="e" cm="1">
        <f t="array" aca="1" ref="I44" ca="1">_xll.BDP("BN417655 Corp","DS033")</f>
        <v>#NAME?</v>
      </c>
      <c r="J44" s="7" t="e" cm="1">
        <f t="array" aca="1" ref="J44" ca="1">_xll.BDP("BN417655 Corp","YL018")</f>
        <v>#NAME?</v>
      </c>
      <c r="K44" s="7" t="e" cm="1">
        <f t="array" aca="1" ref="K44" ca="1">_xll.BDP("BN417655 Corp","YL016")</f>
        <v>#NAME?</v>
      </c>
      <c r="L44" s="7" t="e" cm="1">
        <f t="array" aca="1" ref="L44" ca="1">_xll.BDP("BN417655 Corp","PR004")</f>
        <v>#NAME?</v>
      </c>
      <c r="M44" s="7" t="e" cm="1">
        <f t="array" aca="1" ref="M44" ca="1">_xll.BDP("BN417655 Corp","PR002")</f>
        <v>#NAME?</v>
      </c>
      <c r="N44" s="1" t="e" cm="1">
        <f t="array" aca="1" ref="N44" ca="1">_xll.BDP("BN417655 Corp","ID028")</f>
        <v>#NAME?</v>
      </c>
      <c r="O44" s="1" t="e" cm="1">
        <f t="array" aca="1" ref="O44" ca="1">_xll.BDP("BN417655 Corp","ID005")</f>
        <v>#NAME?</v>
      </c>
      <c r="P44" s="1" t="e" cm="1">
        <f t="array" aca="1" ref="P44" ca="1">_xll.BDP(A44,"RA007")</f>
        <v>#NAME?</v>
      </c>
      <c r="Q44" s="1" t="e" cm="1">
        <f t="array" aca="1" ref="Q44" ca="1">_xll.BDP(A44,"DS219")</f>
        <v>#NAME?</v>
      </c>
      <c r="R44" s="3" t="e" cm="1">
        <f t="array" aca="1" ref="R44" ca="1">_xll.BDP(A44,"DS040")</f>
        <v>#NAME?</v>
      </c>
      <c r="S44" s="4" t="e">
        <f t="shared" ca="1" si="0"/>
        <v>#NAME?</v>
      </c>
      <c r="T44" s="7" t="e">
        <f t="shared" ca="1" si="1"/>
        <v>#NAME?</v>
      </c>
      <c r="U44" s="3" t="e">
        <f t="shared" ca="1" si="2"/>
        <v>#NAME?</v>
      </c>
    </row>
    <row r="45" spans="1:21" x14ac:dyDescent="0.35">
      <c r="A45" s="5" t="s">
        <v>104</v>
      </c>
      <c r="B45" s="1" t="e" cm="1">
        <f t="array" aca="1" ref="B45" ca="1">_xll.BDP("BN612844 Corp","DS520")</f>
        <v>#NAME?</v>
      </c>
      <c r="C45" s="1" t="e" cm="1">
        <f t="array" aca="1" ref="C45" ca="1">_xll.BDP("BN612844 Corp","DS001")</f>
        <v>#NAME?</v>
      </c>
      <c r="D45" s="1" t="e" cm="1">
        <f t="array" aca="1" ref="D45" ca="1">_xll.BDP("BN612844 Corp","DS458")</f>
        <v>#NAME?</v>
      </c>
      <c r="E45" s="1" t="e" cm="1">
        <f t="array" aca="1" ref="E45" ca="1">_xll.BDP("BN612844 Corp","DS004")</f>
        <v>#NAME?</v>
      </c>
      <c r="F45" s="1" t="e" cm="1">
        <f t="array" aca="1" ref="F45" ca="1">_xll.BDP("BN612844 Corp","DS035")</f>
        <v>#NAME?</v>
      </c>
      <c r="G45" s="1" t="e" cm="1">
        <f t="array" aca="1" ref="G45" ca="1">_xll.BDP("BN612844 Corp","DS086")</f>
        <v>#NAME?</v>
      </c>
      <c r="H45" s="1" t="e" cm="1">
        <f t="array" aca="1" ref="H45" ca="1">_xll.BDP("BN612844 Corp","DS034")</f>
        <v>#NAME?</v>
      </c>
      <c r="I45" s="1" t="e" cm="1">
        <f t="array" aca="1" ref="I45" ca="1">_xll.BDP("BN612844 Corp","DS033")</f>
        <v>#NAME?</v>
      </c>
      <c r="J45" s="7" t="e" cm="1">
        <f t="array" aca="1" ref="J45" ca="1">_xll.BDP("BN612844 Corp","YL018")</f>
        <v>#NAME?</v>
      </c>
      <c r="K45" s="7" t="e" cm="1">
        <f t="array" aca="1" ref="K45" ca="1">_xll.BDP("BN612844 Corp","YL016")</f>
        <v>#NAME?</v>
      </c>
      <c r="L45" s="7" t="e" cm="1">
        <f t="array" aca="1" ref="L45" ca="1">_xll.BDP("BN612844 Corp","PR004")</f>
        <v>#NAME?</v>
      </c>
      <c r="M45" s="7" t="e" cm="1">
        <f t="array" aca="1" ref="M45" ca="1">_xll.BDP("BN612844 Corp","PR002")</f>
        <v>#NAME?</v>
      </c>
      <c r="N45" s="1" t="e" cm="1">
        <f t="array" aca="1" ref="N45" ca="1">_xll.BDP("BN612844 Corp","ID028")</f>
        <v>#NAME?</v>
      </c>
      <c r="O45" s="1" t="e" cm="1">
        <f t="array" aca="1" ref="O45" ca="1">_xll.BDP("BN612844 Corp","ID005")</f>
        <v>#NAME?</v>
      </c>
      <c r="P45" s="1" t="e" cm="1">
        <f t="array" aca="1" ref="P45" ca="1">_xll.BDP(A45,"RA007")</f>
        <v>#NAME?</v>
      </c>
      <c r="Q45" s="1" t="e" cm="1">
        <f t="array" aca="1" ref="Q45" ca="1">_xll.BDP(A45,"DS219")</f>
        <v>#NAME?</v>
      </c>
      <c r="R45" s="3" t="e" cm="1">
        <f t="array" aca="1" ref="R45" ca="1">_xll.BDP(A45,"DS040")</f>
        <v>#NAME?</v>
      </c>
      <c r="S45" s="4" t="e">
        <f t="shared" ca="1" si="0"/>
        <v>#NAME?</v>
      </c>
      <c r="T45" s="7" t="e">
        <f t="shared" ca="1" si="1"/>
        <v>#NAME?</v>
      </c>
      <c r="U45" s="3" t="e">
        <f t="shared" ca="1" si="2"/>
        <v>#NAME?</v>
      </c>
    </row>
    <row r="46" spans="1:21" x14ac:dyDescent="0.35">
      <c r="A46" s="5" t="s">
        <v>105</v>
      </c>
      <c r="B46" s="1" t="e" cm="1">
        <f t="array" aca="1" ref="B46" ca="1">_xll.BDP("BO911343 Corp","DS520")</f>
        <v>#NAME?</v>
      </c>
      <c r="C46" s="1" t="e" cm="1">
        <f t="array" aca="1" ref="C46" ca="1">_xll.BDP("BO911343 Corp","DS001")</f>
        <v>#NAME?</v>
      </c>
      <c r="D46" s="1" t="e" cm="1">
        <f t="array" aca="1" ref="D46" ca="1">_xll.BDP("BO911343 Corp","DS458")</f>
        <v>#NAME?</v>
      </c>
      <c r="E46" s="1" t="e" cm="1">
        <f t="array" aca="1" ref="E46" ca="1">_xll.BDP("BO911343 Corp","DS004")</f>
        <v>#NAME?</v>
      </c>
      <c r="F46" s="1" t="e" cm="1">
        <f t="array" aca="1" ref="F46" ca="1">_xll.BDP("BO911343 Corp","DS035")</f>
        <v>#NAME?</v>
      </c>
      <c r="G46" s="1" t="e" cm="1">
        <f t="array" aca="1" ref="G46" ca="1">_xll.BDP("BO911343 Corp","DS086")</f>
        <v>#NAME?</v>
      </c>
      <c r="H46" s="1" t="e" cm="1">
        <f t="array" aca="1" ref="H46" ca="1">_xll.BDP("BO911343 Corp","DS034")</f>
        <v>#NAME?</v>
      </c>
      <c r="I46" s="1" t="e" cm="1">
        <f t="array" aca="1" ref="I46" ca="1">_xll.BDP("BO911343 Corp","DS033")</f>
        <v>#NAME?</v>
      </c>
      <c r="J46" s="7" t="e" cm="1">
        <f t="array" aca="1" ref="J46" ca="1">_xll.BDP("BO911343 Corp","YL018")</f>
        <v>#NAME?</v>
      </c>
      <c r="K46" s="7" t="e" cm="1">
        <f t="array" aca="1" ref="K46" ca="1">_xll.BDP("BO911343 Corp","YL016")</f>
        <v>#NAME?</v>
      </c>
      <c r="L46" s="7" t="e" cm="1">
        <f t="array" aca="1" ref="L46" ca="1">_xll.BDP("BO911343 Corp","PR004")</f>
        <v>#NAME?</v>
      </c>
      <c r="M46" s="7" t="e" cm="1">
        <f t="array" aca="1" ref="M46" ca="1">_xll.BDP("BO911343 Corp","PR002")</f>
        <v>#NAME?</v>
      </c>
      <c r="N46" s="1" t="e" cm="1">
        <f t="array" aca="1" ref="N46" ca="1">_xll.BDP("BO911343 Corp","ID028")</f>
        <v>#NAME?</v>
      </c>
      <c r="O46" s="1" t="e" cm="1">
        <f t="array" aca="1" ref="O46" ca="1">_xll.BDP("BO911343 Corp","ID005")</f>
        <v>#NAME?</v>
      </c>
      <c r="P46" s="1" t="e" cm="1">
        <f t="array" aca="1" ref="P46" ca="1">_xll.BDP(A46,"RA007")</f>
        <v>#NAME?</v>
      </c>
      <c r="Q46" s="1" t="e" cm="1">
        <f t="array" aca="1" ref="Q46" ca="1">_xll.BDP(A46,"DS219")</f>
        <v>#NAME?</v>
      </c>
      <c r="R46" s="3" t="e" cm="1">
        <f t="array" aca="1" ref="R46" ca="1">_xll.BDP(A46,"DS040")</f>
        <v>#NAME?</v>
      </c>
      <c r="S46" s="4" t="e">
        <f t="shared" ca="1" si="0"/>
        <v>#NAME?</v>
      </c>
      <c r="T46" s="7" t="e">
        <f t="shared" ca="1" si="1"/>
        <v>#NAME?</v>
      </c>
      <c r="U46" s="3" t="e">
        <f t="shared" ca="1" si="2"/>
        <v>#NAME?</v>
      </c>
    </row>
    <row r="47" spans="1:21" x14ac:dyDescent="0.35">
      <c r="A47" s="5" t="s">
        <v>106</v>
      </c>
      <c r="B47" s="1" t="e" cm="1">
        <f t="array" aca="1" ref="B47" ca="1">_xll.BDP("BO941870 Corp","DS520")</f>
        <v>#NAME?</v>
      </c>
      <c r="C47" s="1" t="e" cm="1">
        <f t="array" aca="1" ref="C47" ca="1">_xll.BDP("BO941870 Corp","DS001")</f>
        <v>#NAME?</v>
      </c>
      <c r="D47" s="1" t="e" cm="1">
        <f t="array" aca="1" ref="D47" ca="1">_xll.BDP("BO941870 Corp","DS458")</f>
        <v>#NAME?</v>
      </c>
      <c r="E47" s="1" t="e" cm="1">
        <f t="array" aca="1" ref="E47" ca="1">_xll.BDP("BO941870 Corp","DS004")</f>
        <v>#NAME?</v>
      </c>
      <c r="F47" s="1" t="e" cm="1">
        <f t="array" aca="1" ref="F47" ca="1">_xll.BDP("BO941870 Corp","DS035")</f>
        <v>#NAME?</v>
      </c>
      <c r="G47" s="1" t="e" cm="1">
        <f t="array" aca="1" ref="G47" ca="1">_xll.BDP("BO941870 Corp","DS086")</f>
        <v>#NAME?</v>
      </c>
      <c r="H47" s="1" t="e" cm="1">
        <f t="array" aca="1" ref="H47" ca="1">_xll.BDP("BO941870 Corp","DS034")</f>
        <v>#NAME?</v>
      </c>
      <c r="I47" s="1" t="e" cm="1">
        <f t="array" aca="1" ref="I47" ca="1">_xll.BDP("BO941870 Corp","DS033")</f>
        <v>#NAME?</v>
      </c>
      <c r="J47" s="7" t="e" cm="1">
        <f t="array" aca="1" ref="J47" ca="1">_xll.BDP("BO941870 Corp","YL018")</f>
        <v>#NAME?</v>
      </c>
      <c r="K47" s="7" t="e" cm="1">
        <f t="array" aca="1" ref="K47" ca="1">_xll.BDP("BO941870 Corp","YL016")</f>
        <v>#NAME?</v>
      </c>
      <c r="L47" s="7" t="e" cm="1">
        <f t="array" aca="1" ref="L47" ca="1">_xll.BDP("BO941870 Corp","PR004")</f>
        <v>#NAME?</v>
      </c>
      <c r="M47" s="7" t="e" cm="1">
        <f t="array" aca="1" ref="M47" ca="1">_xll.BDP("BO941870 Corp","PR002")</f>
        <v>#NAME?</v>
      </c>
      <c r="N47" s="1" t="e" cm="1">
        <f t="array" aca="1" ref="N47" ca="1">_xll.BDP("BO941870 Corp","ID028")</f>
        <v>#NAME?</v>
      </c>
      <c r="O47" s="1" t="e" cm="1">
        <f t="array" aca="1" ref="O47" ca="1">_xll.BDP("BO941870 Corp","ID005")</f>
        <v>#NAME?</v>
      </c>
      <c r="P47" s="1" t="e" cm="1">
        <f t="array" aca="1" ref="P47" ca="1">_xll.BDP(A47,"RA007")</f>
        <v>#NAME?</v>
      </c>
      <c r="Q47" s="1" t="e" cm="1">
        <f t="array" aca="1" ref="Q47" ca="1">_xll.BDP(A47,"DS219")</f>
        <v>#NAME?</v>
      </c>
      <c r="R47" s="3" t="e" cm="1">
        <f t="array" aca="1" ref="R47" ca="1">_xll.BDP(A47,"DS040")</f>
        <v>#NAME?</v>
      </c>
      <c r="S47" s="4" t="e">
        <f t="shared" ca="1" si="0"/>
        <v>#NAME?</v>
      </c>
      <c r="T47" s="7" t="e">
        <f t="shared" ca="1" si="1"/>
        <v>#NAME?</v>
      </c>
      <c r="U47" s="3" t="e">
        <f t="shared" ca="1" si="2"/>
        <v>#NAME?</v>
      </c>
    </row>
    <row r="48" spans="1:21" x14ac:dyDescent="0.35">
      <c r="A48" s="5" t="s">
        <v>107</v>
      </c>
      <c r="B48" s="1" t="e" cm="1">
        <f t="array" aca="1" ref="B48" ca="1">_xll.BDP("BO997638 Corp","DS520")</f>
        <v>#NAME?</v>
      </c>
      <c r="C48" s="1" t="e" cm="1">
        <f t="array" aca="1" ref="C48" ca="1">_xll.BDP("BO997638 Corp","DS001")</f>
        <v>#NAME?</v>
      </c>
      <c r="D48" s="1" t="e" cm="1">
        <f t="array" aca="1" ref="D48" ca="1">_xll.BDP("BO997638 Corp","DS458")</f>
        <v>#NAME?</v>
      </c>
      <c r="E48" s="1" t="e" cm="1">
        <f t="array" aca="1" ref="E48" ca="1">_xll.BDP("BO997638 Corp","DS004")</f>
        <v>#NAME?</v>
      </c>
      <c r="F48" s="1" t="e" cm="1">
        <f t="array" aca="1" ref="F48" ca="1">_xll.BDP("BO997638 Corp","DS035")</f>
        <v>#NAME?</v>
      </c>
      <c r="G48" s="1" t="e" cm="1">
        <f t="array" aca="1" ref="G48" ca="1">_xll.BDP("BO997638 Corp","DS086")</f>
        <v>#NAME?</v>
      </c>
      <c r="H48" s="1" t="e" cm="1">
        <f t="array" aca="1" ref="H48" ca="1">_xll.BDP("BO997638 Corp","DS034")</f>
        <v>#NAME?</v>
      </c>
      <c r="I48" s="1" t="e" cm="1">
        <f t="array" aca="1" ref="I48" ca="1">_xll.BDP("BO997638 Corp","DS033")</f>
        <v>#NAME?</v>
      </c>
      <c r="J48" s="7" t="e" cm="1">
        <f t="array" aca="1" ref="J48" ca="1">_xll.BDP("BO997638 Corp","YL018")</f>
        <v>#NAME?</v>
      </c>
      <c r="K48" s="7" t="e" cm="1">
        <f t="array" aca="1" ref="K48" ca="1">_xll.BDP("BO997638 Corp","YL016")</f>
        <v>#NAME?</v>
      </c>
      <c r="L48" s="7" t="e" cm="1">
        <f t="array" aca="1" ref="L48" ca="1">_xll.BDP("BO997638 Corp","PR004")</f>
        <v>#NAME?</v>
      </c>
      <c r="M48" s="7" t="e" cm="1">
        <f t="array" aca="1" ref="M48" ca="1">_xll.BDP("BO997638 Corp","PR002")</f>
        <v>#NAME?</v>
      </c>
      <c r="N48" s="1" t="e" cm="1">
        <f t="array" aca="1" ref="N48" ca="1">_xll.BDP("BO997638 Corp","ID028")</f>
        <v>#NAME?</v>
      </c>
      <c r="O48" s="1" t="e" cm="1">
        <f t="array" aca="1" ref="O48" ca="1">_xll.BDP("BO997638 Corp","ID005")</f>
        <v>#NAME?</v>
      </c>
      <c r="P48" s="1" t="e" cm="1">
        <f t="array" aca="1" ref="P48" ca="1">_xll.BDP(A48,"RA007")</f>
        <v>#NAME?</v>
      </c>
      <c r="Q48" s="1" t="e" cm="1">
        <f t="array" aca="1" ref="Q48" ca="1">_xll.BDP(A48,"DS219")</f>
        <v>#NAME?</v>
      </c>
      <c r="R48" s="3" t="e" cm="1">
        <f t="array" aca="1" ref="R48" ca="1">_xll.BDP(A48,"DS040")</f>
        <v>#NAME?</v>
      </c>
      <c r="S48" s="4" t="e">
        <f t="shared" ca="1" si="0"/>
        <v>#NAME?</v>
      </c>
      <c r="T48" s="7" t="e">
        <f t="shared" ca="1" si="1"/>
        <v>#NAME?</v>
      </c>
      <c r="U48" s="3" t="e">
        <f t="shared" ca="1" si="2"/>
        <v>#NAME?</v>
      </c>
    </row>
    <row r="49" spans="1:21" x14ac:dyDescent="0.35">
      <c r="A49" s="5" t="s">
        <v>108</v>
      </c>
      <c r="B49" s="1" t="e" cm="1">
        <f t="array" aca="1" ref="B49" ca="1">_xll.BDP("BP172580 Corp","DS520")</f>
        <v>#NAME?</v>
      </c>
      <c r="C49" s="1" t="e" cm="1">
        <f t="array" aca="1" ref="C49" ca="1">_xll.BDP("BP172580 Corp","DS001")</f>
        <v>#NAME?</v>
      </c>
      <c r="D49" s="1" t="e" cm="1">
        <f t="array" aca="1" ref="D49" ca="1">_xll.BDP("BP172580 Corp","DS458")</f>
        <v>#NAME?</v>
      </c>
      <c r="E49" s="1" t="e" cm="1">
        <f t="array" aca="1" ref="E49" ca="1">_xll.BDP("BP172580 Corp","DS004")</f>
        <v>#NAME?</v>
      </c>
      <c r="F49" s="1" t="e" cm="1">
        <f t="array" aca="1" ref="F49" ca="1">_xll.BDP("BP172580 Corp","DS035")</f>
        <v>#NAME?</v>
      </c>
      <c r="G49" s="1" t="e" cm="1">
        <f t="array" aca="1" ref="G49" ca="1">_xll.BDP("BP172580 Corp","DS086")</f>
        <v>#NAME?</v>
      </c>
      <c r="H49" s="1" t="e" cm="1">
        <f t="array" aca="1" ref="H49" ca="1">_xll.BDP("BP172580 Corp","DS034")</f>
        <v>#NAME?</v>
      </c>
      <c r="I49" s="1" t="e" cm="1">
        <f t="array" aca="1" ref="I49" ca="1">_xll.BDP("BP172580 Corp","DS033")</f>
        <v>#NAME?</v>
      </c>
      <c r="J49" s="7" t="e" cm="1">
        <f t="array" aca="1" ref="J49" ca="1">_xll.BDP("BP172580 Corp","YL018")</f>
        <v>#NAME?</v>
      </c>
      <c r="K49" s="7" t="e" cm="1">
        <f t="array" aca="1" ref="K49" ca="1">_xll.BDP("BP172580 Corp","YL016")</f>
        <v>#NAME?</v>
      </c>
      <c r="L49" s="7" t="e" cm="1">
        <f t="array" aca="1" ref="L49" ca="1">_xll.BDP("BP172580 Corp","PR004")</f>
        <v>#NAME?</v>
      </c>
      <c r="M49" s="7" t="e" cm="1">
        <f t="array" aca="1" ref="M49" ca="1">_xll.BDP("BP172580 Corp","PR002")</f>
        <v>#NAME?</v>
      </c>
      <c r="N49" s="1" t="e" cm="1">
        <f t="array" aca="1" ref="N49" ca="1">_xll.BDP("BP172580 Corp","ID028")</f>
        <v>#NAME?</v>
      </c>
      <c r="O49" s="1" t="e" cm="1">
        <f t="array" aca="1" ref="O49" ca="1">_xll.BDP("BP172580 Corp","ID005")</f>
        <v>#NAME?</v>
      </c>
      <c r="P49" s="1" t="e" cm="1">
        <f t="array" aca="1" ref="P49" ca="1">_xll.BDP(A49,"RA007")</f>
        <v>#NAME?</v>
      </c>
      <c r="Q49" s="1" t="e" cm="1">
        <f t="array" aca="1" ref="Q49" ca="1">_xll.BDP(A49,"DS219")</f>
        <v>#NAME?</v>
      </c>
      <c r="R49" s="3" t="e" cm="1">
        <f t="array" aca="1" ref="R49" ca="1">_xll.BDP(A49,"DS040")</f>
        <v>#NAME?</v>
      </c>
      <c r="S49" s="4" t="e">
        <f t="shared" ca="1" si="0"/>
        <v>#NAME?</v>
      </c>
      <c r="T49" s="7" t="e">
        <f t="shared" ca="1" si="1"/>
        <v>#NAME?</v>
      </c>
      <c r="U49" s="3" t="e">
        <f t="shared" ca="1" si="2"/>
        <v>#NAME?</v>
      </c>
    </row>
    <row r="50" spans="1:21" x14ac:dyDescent="0.35">
      <c r="A50" s="5" t="s">
        <v>109</v>
      </c>
      <c r="B50" s="1" t="e" cm="1">
        <f t="array" aca="1" ref="B50" ca="1">_xll.BDP("BP809355 Corp","DS520")</f>
        <v>#NAME?</v>
      </c>
      <c r="C50" s="1" t="e" cm="1">
        <f t="array" aca="1" ref="C50" ca="1">_xll.BDP("BP809355 Corp","DS001")</f>
        <v>#NAME?</v>
      </c>
      <c r="D50" s="1" t="e" cm="1">
        <f t="array" aca="1" ref="D50" ca="1">_xll.BDP("BP809355 Corp","DS458")</f>
        <v>#NAME?</v>
      </c>
      <c r="E50" s="1" t="e" cm="1">
        <f t="array" aca="1" ref="E50" ca="1">_xll.BDP("BP809355 Corp","DS004")</f>
        <v>#NAME?</v>
      </c>
      <c r="F50" s="1" t="e" cm="1">
        <f t="array" aca="1" ref="F50" ca="1">_xll.BDP("BP809355 Corp","DS035")</f>
        <v>#NAME?</v>
      </c>
      <c r="G50" s="1" t="e" cm="1">
        <f t="array" aca="1" ref="G50" ca="1">_xll.BDP("BP809355 Corp","DS086")</f>
        <v>#NAME?</v>
      </c>
      <c r="H50" s="1" t="e" cm="1">
        <f t="array" aca="1" ref="H50" ca="1">_xll.BDP("BP809355 Corp","DS034")</f>
        <v>#NAME?</v>
      </c>
      <c r="I50" s="1" t="e" cm="1">
        <f t="array" aca="1" ref="I50" ca="1">_xll.BDP("BP809355 Corp","DS033")</f>
        <v>#NAME?</v>
      </c>
      <c r="J50" s="7" t="e" cm="1">
        <f t="array" aca="1" ref="J50" ca="1">_xll.BDP("BP809355 Corp","YL018")</f>
        <v>#NAME?</v>
      </c>
      <c r="K50" s="7" t="e" cm="1">
        <f t="array" aca="1" ref="K50" ca="1">_xll.BDP("BP809355 Corp","YL016")</f>
        <v>#NAME?</v>
      </c>
      <c r="L50" s="7" t="e" cm="1">
        <f t="array" aca="1" ref="L50" ca="1">_xll.BDP("BP809355 Corp","PR004")</f>
        <v>#NAME?</v>
      </c>
      <c r="M50" s="7" t="e" cm="1">
        <f t="array" aca="1" ref="M50" ca="1">_xll.BDP("BP809355 Corp","PR002")</f>
        <v>#NAME?</v>
      </c>
      <c r="N50" s="1" t="e" cm="1">
        <f t="array" aca="1" ref="N50" ca="1">_xll.BDP("BP809355 Corp","ID028")</f>
        <v>#NAME?</v>
      </c>
      <c r="O50" s="1" t="e" cm="1">
        <f t="array" aca="1" ref="O50" ca="1">_xll.BDP("BP809355 Corp","ID005")</f>
        <v>#NAME?</v>
      </c>
      <c r="P50" s="1" t="e" cm="1">
        <f t="array" aca="1" ref="P50" ca="1">_xll.BDP(A50,"RA007")</f>
        <v>#NAME?</v>
      </c>
      <c r="Q50" s="1" t="e" cm="1">
        <f t="array" aca="1" ref="Q50" ca="1">_xll.BDP(A50,"DS219")</f>
        <v>#NAME?</v>
      </c>
      <c r="R50" s="3" t="e" cm="1">
        <f t="array" aca="1" ref="R50" ca="1">_xll.BDP(A50,"DS040")</f>
        <v>#NAME?</v>
      </c>
      <c r="S50" s="4" t="e">
        <f t="shared" ca="1" si="0"/>
        <v>#NAME?</v>
      </c>
      <c r="T50" s="7" t="e">
        <f t="shared" ca="1" si="1"/>
        <v>#NAME?</v>
      </c>
      <c r="U50" s="3" t="e">
        <f t="shared" ca="1" si="2"/>
        <v>#NAME?</v>
      </c>
    </row>
    <row r="51" spans="1:21" x14ac:dyDescent="0.35">
      <c r="A51" s="5" t="s">
        <v>110</v>
      </c>
      <c r="B51" s="1" t="e" cm="1">
        <f t="array" aca="1" ref="B51" ca="1">_xll.BDP("BQ348089 Corp","DS520")</f>
        <v>#NAME?</v>
      </c>
      <c r="C51" s="1" t="e" cm="1">
        <f t="array" aca="1" ref="C51" ca="1">_xll.BDP("BQ348089 Corp","DS001")</f>
        <v>#NAME?</v>
      </c>
      <c r="D51" s="1" t="e" cm="1">
        <f t="array" aca="1" ref="D51" ca="1">_xll.BDP("BQ348089 Corp","DS458")</f>
        <v>#NAME?</v>
      </c>
      <c r="E51" s="1" t="e" cm="1">
        <f t="array" aca="1" ref="E51" ca="1">_xll.BDP("BQ348089 Corp","DS004")</f>
        <v>#NAME?</v>
      </c>
      <c r="F51" s="1" t="e" cm="1">
        <f t="array" aca="1" ref="F51" ca="1">_xll.BDP("BQ348089 Corp","DS035")</f>
        <v>#NAME?</v>
      </c>
      <c r="G51" s="1" t="e" cm="1">
        <f t="array" aca="1" ref="G51" ca="1">_xll.BDP("BQ348089 Corp","DS086")</f>
        <v>#NAME?</v>
      </c>
      <c r="H51" s="1" t="e" cm="1">
        <f t="array" aca="1" ref="H51" ca="1">_xll.BDP("BQ348089 Corp","DS034")</f>
        <v>#NAME?</v>
      </c>
      <c r="I51" s="1" t="e" cm="1">
        <f t="array" aca="1" ref="I51" ca="1">_xll.BDP("BQ348089 Corp","DS033")</f>
        <v>#NAME?</v>
      </c>
      <c r="J51" s="7" t="e" cm="1">
        <f t="array" aca="1" ref="J51" ca="1">_xll.BDP("BQ348089 Corp","YL018")</f>
        <v>#NAME?</v>
      </c>
      <c r="K51" s="7" t="e" cm="1">
        <f t="array" aca="1" ref="K51" ca="1">_xll.BDP("BQ348089 Corp","YL016")</f>
        <v>#NAME?</v>
      </c>
      <c r="L51" s="7" t="e" cm="1">
        <f t="array" aca="1" ref="L51" ca="1">_xll.BDP("BQ348089 Corp","PR004")</f>
        <v>#NAME?</v>
      </c>
      <c r="M51" s="7" t="e" cm="1">
        <f t="array" aca="1" ref="M51" ca="1">_xll.BDP("BQ348089 Corp","PR002")</f>
        <v>#NAME?</v>
      </c>
      <c r="N51" s="1" t="e" cm="1">
        <f t="array" aca="1" ref="N51" ca="1">_xll.BDP("BQ348089 Corp","ID028")</f>
        <v>#NAME?</v>
      </c>
      <c r="O51" s="1" t="e" cm="1">
        <f t="array" aca="1" ref="O51" ca="1">_xll.BDP("BQ348089 Corp","ID005")</f>
        <v>#NAME?</v>
      </c>
      <c r="P51" s="1" t="e" cm="1">
        <f t="array" aca="1" ref="P51" ca="1">_xll.BDP(A51,"RA007")</f>
        <v>#NAME?</v>
      </c>
      <c r="Q51" s="1" t="e" cm="1">
        <f t="array" aca="1" ref="Q51" ca="1">_xll.BDP(A51,"DS219")</f>
        <v>#NAME?</v>
      </c>
      <c r="R51" s="3" t="e" cm="1">
        <f t="array" aca="1" ref="R51" ca="1">_xll.BDP(A51,"DS040")</f>
        <v>#NAME?</v>
      </c>
      <c r="S51" s="4" t="e">
        <f t="shared" ca="1" si="0"/>
        <v>#NAME?</v>
      </c>
      <c r="T51" s="7" t="e">
        <f t="shared" ca="1" si="1"/>
        <v>#NAME?</v>
      </c>
      <c r="U51" s="3" t="e">
        <f t="shared" ca="1" si="2"/>
        <v>#NAME?</v>
      </c>
    </row>
    <row r="52" spans="1:21" x14ac:dyDescent="0.35">
      <c r="A52" s="5" t="s">
        <v>111</v>
      </c>
      <c r="B52" s="1" t="e" cm="1">
        <f t="array" aca="1" ref="B52" ca="1">_xll.BDP("BQ405120 Corp","DS520")</f>
        <v>#NAME?</v>
      </c>
      <c r="C52" s="1" t="e" cm="1">
        <f t="array" aca="1" ref="C52" ca="1">_xll.BDP("BQ405120 Corp","DS001")</f>
        <v>#NAME?</v>
      </c>
      <c r="D52" s="1" t="e" cm="1">
        <f t="array" aca="1" ref="D52" ca="1">_xll.BDP("BQ405120 Corp","DS458")</f>
        <v>#NAME?</v>
      </c>
      <c r="E52" s="1" t="e" cm="1">
        <f t="array" aca="1" ref="E52" ca="1">_xll.BDP("BQ405120 Corp","DS004")</f>
        <v>#NAME?</v>
      </c>
      <c r="F52" s="1" t="e" cm="1">
        <f t="array" aca="1" ref="F52" ca="1">_xll.BDP("BQ405120 Corp","DS035")</f>
        <v>#NAME?</v>
      </c>
      <c r="G52" s="1" t="e" cm="1">
        <f t="array" aca="1" ref="G52" ca="1">_xll.BDP("BQ405120 Corp","DS086")</f>
        <v>#NAME?</v>
      </c>
      <c r="H52" s="1" t="e" cm="1">
        <f t="array" aca="1" ref="H52" ca="1">_xll.BDP("BQ405120 Corp","DS034")</f>
        <v>#NAME?</v>
      </c>
      <c r="I52" s="1" t="e" cm="1">
        <f t="array" aca="1" ref="I52" ca="1">_xll.BDP("BQ405120 Corp","DS033")</f>
        <v>#NAME?</v>
      </c>
      <c r="J52" s="7" t="e" cm="1">
        <f t="array" aca="1" ref="J52" ca="1">_xll.BDP("BQ405120 Corp","YL018")</f>
        <v>#NAME?</v>
      </c>
      <c r="K52" s="7" t="e" cm="1">
        <f t="array" aca="1" ref="K52" ca="1">_xll.BDP("BQ405120 Corp","YL016")</f>
        <v>#NAME?</v>
      </c>
      <c r="L52" s="7" t="e" cm="1">
        <f t="array" aca="1" ref="L52" ca="1">_xll.BDP("BQ405120 Corp","PR004")</f>
        <v>#NAME?</v>
      </c>
      <c r="M52" s="7" t="e" cm="1">
        <f t="array" aca="1" ref="M52" ca="1">_xll.BDP("BQ405120 Corp","PR002")</f>
        <v>#NAME?</v>
      </c>
      <c r="N52" s="1" t="e" cm="1">
        <f t="array" aca="1" ref="N52" ca="1">_xll.BDP("BQ405120 Corp","ID028")</f>
        <v>#NAME?</v>
      </c>
      <c r="O52" s="1" t="e" cm="1">
        <f t="array" aca="1" ref="O52" ca="1">_xll.BDP("BQ405120 Corp","ID005")</f>
        <v>#NAME?</v>
      </c>
      <c r="P52" s="1" t="e" cm="1">
        <f t="array" aca="1" ref="P52" ca="1">_xll.BDP(A52,"RA007")</f>
        <v>#NAME?</v>
      </c>
      <c r="Q52" s="1" t="e" cm="1">
        <f t="array" aca="1" ref="Q52" ca="1">_xll.BDP(A52,"DS219")</f>
        <v>#NAME?</v>
      </c>
      <c r="R52" s="3" t="e" cm="1">
        <f t="array" aca="1" ref="R52" ca="1">_xll.BDP(A52,"DS040")</f>
        <v>#NAME?</v>
      </c>
      <c r="S52" s="4" t="e">
        <f t="shared" ca="1" si="0"/>
        <v>#NAME?</v>
      </c>
      <c r="T52" s="7" t="e">
        <f t="shared" ca="1" si="1"/>
        <v>#NAME?</v>
      </c>
      <c r="U52" s="3" t="e">
        <f t="shared" ca="1" si="2"/>
        <v>#NAME?</v>
      </c>
    </row>
    <row r="53" spans="1:21" x14ac:dyDescent="0.35">
      <c r="A53" s="5" t="s">
        <v>112</v>
      </c>
      <c r="B53" s="1" t="e" cm="1">
        <f t="array" aca="1" ref="B53" ca="1">_xll.BDP("BQ447894 Corp","DS520")</f>
        <v>#NAME?</v>
      </c>
      <c r="C53" s="1" t="e" cm="1">
        <f t="array" aca="1" ref="C53" ca="1">_xll.BDP("BQ447894 Corp","DS001")</f>
        <v>#NAME?</v>
      </c>
      <c r="D53" s="1" t="e" cm="1">
        <f t="array" aca="1" ref="D53" ca="1">_xll.BDP("BQ447894 Corp","DS458")</f>
        <v>#NAME?</v>
      </c>
      <c r="E53" s="1" t="e" cm="1">
        <f t="array" aca="1" ref="E53" ca="1">_xll.BDP("BQ447894 Corp","DS004")</f>
        <v>#NAME?</v>
      </c>
      <c r="F53" s="1" t="e" cm="1">
        <f t="array" aca="1" ref="F53" ca="1">_xll.BDP("BQ447894 Corp","DS035")</f>
        <v>#NAME?</v>
      </c>
      <c r="G53" s="1" t="e" cm="1">
        <f t="array" aca="1" ref="G53" ca="1">_xll.BDP("BQ447894 Corp","DS086")</f>
        <v>#NAME?</v>
      </c>
      <c r="H53" s="1" t="e" cm="1">
        <f t="array" aca="1" ref="H53" ca="1">_xll.BDP("BQ447894 Corp","DS034")</f>
        <v>#NAME?</v>
      </c>
      <c r="I53" s="1" t="e" cm="1">
        <f t="array" aca="1" ref="I53" ca="1">_xll.BDP("BQ447894 Corp","DS033")</f>
        <v>#NAME?</v>
      </c>
      <c r="J53" s="7" t="e" cm="1">
        <f t="array" aca="1" ref="J53" ca="1">_xll.BDP("BQ447894 Corp","YL018")</f>
        <v>#NAME?</v>
      </c>
      <c r="K53" s="7" t="e" cm="1">
        <f t="array" aca="1" ref="K53" ca="1">_xll.BDP("BQ447894 Corp","YL016")</f>
        <v>#NAME?</v>
      </c>
      <c r="L53" s="7" t="e" cm="1">
        <f t="array" aca="1" ref="L53" ca="1">_xll.BDP("BQ447894 Corp","PR004")</f>
        <v>#NAME?</v>
      </c>
      <c r="M53" s="7" t="e" cm="1">
        <f t="array" aca="1" ref="M53" ca="1">_xll.BDP("BQ447894 Corp","PR002")</f>
        <v>#NAME?</v>
      </c>
      <c r="N53" s="1" t="e" cm="1">
        <f t="array" aca="1" ref="N53" ca="1">_xll.BDP("BQ447894 Corp","ID028")</f>
        <v>#NAME?</v>
      </c>
      <c r="O53" s="1" t="e" cm="1">
        <f t="array" aca="1" ref="O53" ca="1">_xll.BDP("BQ447894 Corp","ID005")</f>
        <v>#NAME?</v>
      </c>
      <c r="P53" s="1" t="e" cm="1">
        <f t="array" aca="1" ref="P53" ca="1">_xll.BDP(A53,"RA007")</f>
        <v>#NAME?</v>
      </c>
      <c r="Q53" s="1" t="e" cm="1">
        <f t="array" aca="1" ref="Q53" ca="1">_xll.BDP(A53,"DS219")</f>
        <v>#NAME?</v>
      </c>
      <c r="R53" s="3" t="e" cm="1">
        <f t="array" aca="1" ref="R53" ca="1">_xll.BDP(A53,"DS040")</f>
        <v>#NAME?</v>
      </c>
      <c r="S53" s="4" t="e">
        <f t="shared" ca="1" si="0"/>
        <v>#NAME?</v>
      </c>
      <c r="T53" s="7" t="e">
        <f t="shared" ca="1" si="1"/>
        <v>#NAME?</v>
      </c>
      <c r="U53" s="3" t="e">
        <f t="shared" ca="1" si="2"/>
        <v>#NAME?</v>
      </c>
    </row>
    <row r="54" spans="1:21" x14ac:dyDescent="0.35">
      <c r="A54" s="5" t="s">
        <v>113</v>
      </c>
      <c r="B54" s="1" t="e" cm="1">
        <f t="array" aca="1" ref="B54" ca="1">_xll.BDP("BQ516777 Corp","DS520")</f>
        <v>#NAME?</v>
      </c>
      <c r="C54" s="1" t="e" cm="1">
        <f t="array" aca="1" ref="C54" ca="1">_xll.BDP("BQ516777 Corp","DS001")</f>
        <v>#NAME?</v>
      </c>
      <c r="D54" s="1" t="e" cm="1">
        <f t="array" aca="1" ref="D54" ca="1">_xll.BDP("BQ516777 Corp","DS458")</f>
        <v>#NAME?</v>
      </c>
      <c r="E54" s="1" t="e" cm="1">
        <f t="array" aca="1" ref="E54" ca="1">_xll.BDP("BQ516777 Corp","DS004")</f>
        <v>#NAME?</v>
      </c>
      <c r="F54" s="1" t="e" cm="1">
        <f t="array" aca="1" ref="F54" ca="1">_xll.BDP("BQ516777 Corp","DS035")</f>
        <v>#NAME?</v>
      </c>
      <c r="G54" s="1" t="e" cm="1">
        <f t="array" aca="1" ref="G54" ca="1">_xll.BDP("BQ516777 Corp","DS086")</f>
        <v>#NAME?</v>
      </c>
      <c r="H54" s="1" t="e" cm="1">
        <f t="array" aca="1" ref="H54" ca="1">_xll.BDP("BQ516777 Corp","DS034")</f>
        <v>#NAME?</v>
      </c>
      <c r="I54" s="1" t="e" cm="1">
        <f t="array" aca="1" ref="I54" ca="1">_xll.BDP("BQ516777 Corp","DS033")</f>
        <v>#NAME?</v>
      </c>
      <c r="J54" s="7" t="e" cm="1">
        <f t="array" aca="1" ref="J54" ca="1">_xll.BDP("BQ516777 Corp","YL018")</f>
        <v>#NAME?</v>
      </c>
      <c r="K54" s="7" t="e" cm="1">
        <f t="array" aca="1" ref="K54" ca="1">_xll.BDP("BQ516777 Corp","YL016")</f>
        <v>#NAME?</v>
      </c>
      <c r="L54" s="7" t="e" cm="1">
        <f t="array" aca="1" ref="L54" ca="1">_xll.BDP("BQ516777 Corp","PR004")</f>
        <v>#NAME?</v>
      </c>
      <c r="M54" s="7" t="e" cm="1">
        <f t="array" aca="1" ref="M54" ca="1">_xll.BDP("BQ516777 Corp","PR002")</f>
        <v>#NAME?</v>
      </c>
      <c r="N54" s="1" t="e" cm="1">
        <f t="array" aca="1" ref="N54" ca="1">_xll.BDP("BQ516777 Corp","ID028")</f>
        <v>#NAME?</v>
      </c>
      <c r="O54" s="1" t="e" cm="1">
        <f t="array" aca="1" ref="O54" ca="1">_xll.BDP("BQ516777 Corp","ID005")</f>
        <v>#NAME?</v>
      </c>
      <c r="P54" s="1" t="e" cm="1">
        <f t="array" aca="1" ref="P54" ca="1">_xll.BDP(A54,"RA007")</f>
        <v>#NAME?</v>
      </c>
      <c r="Q54" s="1" t="e" cm="1">
        <f t="array" aca="1" ref="Q54" ca="1">_xll.BDP(A54,"DS219")</f>
        <v>#NAME?</v>
      </c>
      <c r="R54" s="3" t="e" cm="1">
        <f t="array" aca="1" ref="R54" ca="1">_xll.BDP(A54,"DS040")</f>
        <v>#NAME?</v>
      </c>
      <c r="S54" s="4" t="e">
        <f t="shared" ca="1" si="0"/>
        <v>#NAME?</v>
      </c>
      <c r="T54" s="7" t="e">
        <f t="shared" ca="1" si="1"/>
        <v>#NAME?</v>
      </c>
      <c r="U54" s="3" t="e">
        <f t="shared" ca="1" si="2"/>
        <v>#NAME?</v>
      </c>
    </row>
    <row r="55" spans="1:21" x14ac:dyDescent="0.35">
      <c r="A55" s="5" t="s">
        <v>114</v>
      </c>
      <c r="B55" s="1" t="e" cm="1">
        <f t="array" aca="1" ref="B55" ca="1">_xll.BDP("BR788662 Corp","DS520")</f>
        <v>#NAME?</v>
      </c>
      <c r="C55" s="1" t="e" cm="1">
        <f t="array" aca="1" ref="C55" ca="1">_xll.BDP("BR788662 Corp","DS001")</f>
        <v>#NAME?</v>
      </c>
      <c r="D55" s="1" t="e" cm="1">
        <f t="array" aca="1" ref="D55" ca="1">_xll.BDP("BR788662 Corp","DS458")</f>
        <v>#NAME?</v>
      </c>
      <c r="E55" s="1" t="e" cm="1">
        <f t="array" aca="1" ref="E55" ca="1">_xll.BDP("BR788662 Corp","DS004")</f>
        <v>#NAME?</v>
      </c>
      <c r="F55" s="1" t="e" cm="1">
        <f t="array" aca="1" ref="F55" ca="1">_xll.BDP("BR788662 Corp","DS035")</f>
        <v>#NAME?</v>
      </c>
      <c r="G55" s="1" t="e" cm="1">
        <f t="array" aca="1" ref="G55" ca="1">_xll.BDP("BR788662 Corp","DS086")</f>
        <v>#NAME?</v>
      </c>
      <c r="H55" s="1" t="e" cm="1">
        <f t="array" aca="1" ref="H55" ca="1">_xll.BDP("BR788662 Corp","DS034")</f>
        <v>#NAME?</v>
      </c>
      <c r="I55" s="1" t="e" cm="1">
        <f t="array" aca="1" ref="I55" ca="1">_xll.BDP("BR788662 Corp","DS033")</f>
        <v>#NAME?</v>
      </c>
      <c r="J55" s="7" t="e" cm="1">
        <f t="array" aca="1" ref="J55" ca="1">_xll.BDP("BR788662 Corp","YL018")</f>
        <v>#NAME?</v>
      </c>
      <c r="K55" s="7" t="e" cm="1">
        <f t="array" aca="1" ref="K55" ca="1">_xll.BDP("BR788662 Corp","YL016")</f>
        <v>#NAME?</v>
      </c>
      <c r="L55" s="7" t="e" cm="1">
        <f t="array" aca="1" ref="L55" ca="1">_xll.BDP("BR788662 Corp","PR004")</f>
        <v>#NAME?</v>
      </c>
      <c r="M55" s="7" t="e" cm="1">
        <f t="array" aca="1" ref="M55" ca="1">_xll.BDP("BR788662 Corp","PR002")</f>
        <v>#NAME?</v>
      </c>
      <c r="N55" s="1" t="e" cm="1">
        <f t="array" aca="1" ref="N55" ca="1">_xll.BDP("BR788662 Corp","ID028")</f>
        <v>#NAME?</v>
      </c>
      <c r="O55" s="1" t="e" cm="1">
        <f t="array" aca="1" ref="O55" ca="1">_xll.BDP("BR788662 Corp","ID005")</f>
        <v>#NAME?</v>
      </c>
      <c r="P55" s="1" t="e" cm="1">
        <f t="array" aca="1" ref="P55" ca="1">_xll.BDP(A55,"RA007")</f>
        <v>#NAME?</v>
      </c>
      <c r="Q55" s="1" t="e" cm="1">
        <f t="array" aca="1" ref="Q55" ca="1">_xll.BDP(A55,"DS219")</f>
        <v>#NAME?</v>
      </c>
      <c r="R55" s="3" t="e" cm="1">
        <f t="array" aca="1" ref="R55" ca="1">_xll.BDP(A55,"DS040")</f>
        <v>#NAME?</v>
      </c>
      <c r="S55" s="4" t="e">
        <f t="shared" ca="1" si="0"/>
        <v>#NAME?</v>
      </c>
      <c r="T55" s="7" t="e">
        <f t="shared" ca="1" si="1"/>
        <v>#NAME?</v>
      </c>
      <c r="U55" s="3" t="e">
        <f t="shared" ca="1" si="2"/>
        <v>#NAME?</v>
      </c>
    </row>
    <row r="56" spans="1:21" x14ac:dyDescent="0.35">
      <c r="A56" s="5" t="s">
        <v>115</v>
      </c>
      <c r="B56" s="1" t="e" cm="1">
        <f t="array" aca="1" ref="B56" ca="1">_xll.BDP("BR921605 Corp","DS520")</f>
        <v>#NAME?</v>
      </c>
      <c r="C56" s="1" t="e" cm="1">
        <f t="array" aca="1" ref="C56" ca="1">_xll.BDP("BR921605 Corp","DS001")</f>
        <v>#NAME?</v>
      </c>
      <c r="D56" s="1" t="e" cm="1">
        <f t="array" aca="1" ref="D56" ca="1">_xll.BDP("BR921605 Corp","DS458")</f>
        <v>#NAME?</v>
      </c>
      <c r="E56" s="1" t="e" cm="1">
        <f t="array" aca="1" ref="E56" ca="1">_xll.BDP("BR921605 Corp","DS004")</f>
        <v>#NAME?</v>
      </c>
      <c r="F56" s="1" t="e" cm="1">
        <f t="array" aca="1" ref="F56" ca="1">_xll.BDP("BR921605 Corp","DS035")</f>
        <v>#NAME?</v>
      </c>
      <c r="G56" s="1" t="e" cm="1">
        <f t="array" aca="1" ref="G56" ca="1">_xll.BDP("BR921605 Corp","DS086")</f>
        <v>#NAME?</v>
      </c>
      <c r="H56" s="1" t="e" cm="1">
        <f t="array" aca="1" ref="H56" ca="1">_xll.BDP("BR921605 Corp","DS034")</f>
        <v>#NAME?</v>
      </c>
      <c r="I56" s="1" t="e" cm="1">
        <f t="array" aca="1" ref="I56" ca="1">_xll.BDP("BR921605 Corp","DS033")</f>
        <v>#NAME?</v>
      </c>
      <c r="J56" s="7" t="e" cm="1">
        <f t="array" aca="1" ref="J56" ca="1">_xll.BDP("BR921605 Corp","YL018")</f>
        <v>#NAME?</v>
      </c>
      <c r="K56" s="7" t="e" cm="1">
        <f t="array" aca="1" ref="K56" ca="1">_xll.BDP("BR921605 Corp","YL016")</f>
        <v>#NAME?</v>
      </c>
      <c r="L56" s="7" t="e" cm="1">
        <f t="array" aca="1" ref="L56" ca="1">_xll.BDP("BR921605 Corp","PR004")</f>
        <v>#NAME?</v>
      </c>
      <c r="M56" s="7" t="e" cm="1">
        <f t="array" aca="1" ref="M56" ca="1">_xll.BDP("BR921605 Corp","PR002")</f>
        <v>#NAME?</v>
      </c>
      <c r="N56" s="1" t="e" cm="1">
        <f t="array" aca="1" ref="N56" ca="1">_xll.BDP("BR921605 Corp","ID028")</f>
        <v>#NAME?</v>
      </c>
      <c r="O56" s="1" t="e" cm="1">
        <f t="array" aca="1" ref="O56" ca="1">_xll.BDP("BR921605 Corp","ID005")</f>
        <v>#NAME?</v>
      </c>
      <c r="P56" s="1" t="e" cm="1">
        <f t="array" aca="1" ref="P56" ca="1">_xll.BDP(A56,"RA007")</f>
        <v>#NAME?</v>
      </c>
      <c r="Q56" s="1" t="e" cm="1">
        <f t="array" aca="1" ref="Q56" ca="1">_xll.BDP(A56,"DS219")</f>
        <v>#NAME?</v>
      </c>
      <c r="R56" s="3" t="e" cm="1">
        <f t="array" aca="1" ref="R56" ca="1">_xll.BDP(A56,"DS040")</f>
        <v>#NAME?</v>
      </c>
      <c r="S56" s="4" t="e">
        <f t="shared" ca="1" si="0"/>
        <v>#NAME?</v>
      </c>
      <c r="T56" s="7" t="e">
        <f t="shared" ca="1" si="1"/>
        <v>#NAME?</v>
      </c>
      <c r="U56" s="3" t="e">
        <f t="shared" ca="1" si="2"/>
        <v>#NAME?</v>
      </c>
    </row>
    <row r="57" spans="1:21" x14ac:dyDescent="0.35">
      <c r="A57" s="5" t="s">
        <v>116</v>
      </c>
      <c r="B57" s="1" t="e" cm="1">
        <f t="array" aca="1" ref="B57" ca="1">_xll.BDP("BR962540 Corp","DS520")</f>
        <v>#NAME?</v>
      </c>
      <c r="C57" s="1" t="e" cm="1">
        <f t="array" aca="1" ref="C57" ca="1">_xll.BDP("BR962540 Corp","DS001")</f>
        <v>#NAME?</v>
      </c>
      <c r="D57" s="1" t="e" cm="1">
        <f t="array" aca="1" ref="D57" ca="1">_xll.BDP("BR962540 Corp","DS458")</f>
        <v>#NAME?</v>
      </c>
      <c r="E57" s="1" t="e" cm="1">
        <f t="array" aca="1" ref="E57" ca="1">_xll.BDP("BR962540 Corp","DS004")</f>
        <v>#NAME?</v>
      </c>
      <c r="F57" s="1" t="e" cm="1">
        <f t="array" aca="1" ref="F57" ca="1">_xll.BDP("BR962540 Corp","DS035")</f>
        <v>#NAME?</v>
      </c>
      <c r="G57" s="1" t="e" cm="1">
        <f t="array" aca="1" ref="G57" ca="1">_xll.BDP("BR962540 Corp","DS086")</f>
        <v>#NAME?</v>
      </c>
      <c r="H57" s="1" t="e" cm="1">
        <f t="array" aca="1" ref="H57" ca="1">_xll.BDP("BR962540 Corp","DS034")</f>
        <v>#NAME?</v>
      </c>
      <c r="I57" s="1" t="e" cm="1">
        <f t="array" aca="1" ref="I57" ca="1">_xll.BDP("BR962540 Corp","DS033")</f>
        <v>#NAME?</v>
      </c>
      <c r="J57" s="7" t="e" cm="1">
        <f t="array" aca="1" ref="J57" ca="1">_xll.BDP("BR962540 Corp","YL018")</f>
        <v>#NAME?</v>
      </c>
      <c r="K57" s="7" t="e" cm="1">
        <f t="array" aca="1" ref="K57" ca="1">_xll.BDP("BR962540 Corp","YL016")</f>
        <v>#NAME?</v>
      </c>
      <c r="L57" s="7" t="e" cm="1">
        <f t="array" aca="1" ref="L57" ca="1">_xll.BDP("BR962540 Corp","PR004")</f>
        <v>#NAME?</v>
      </c>
      <c r="M57" s="7" t="e" cm="1">
        <f t="array" aca="1" ref="M57" ca="1">_xll.BDP("BR962540 Corp","PR002")</f>
        <v>#NAME?</v>
      </c>
      <c r="N57" s="1" t="e" cm="1">
        <f t="array" aca="1" ref="N57" ca="1">_xll.BDP("BR962540 Corp","ID028")</f>
        <v>#NAME?</v>
      </c>
      <c r="O57" s="1" t="e" cm="1">
        <f t="array" aca="1" ref="O57" ca="1">_xll.BDP("BR962540 Corp","ID005")</f>
        <v>#NAME?</v>
      </c>
      <c r="P57" s="1" t="e" cm="1">
        <f t="array" aca="1" ref="P57" ca="1">_xll.BDP(A57,"RA007")</f>
        <v>#NAME?</v>
      </c>
      <c r="Q57" s="1" t="e" cm="1">
        <f t="array" aca="1" ref="Q57" ca="1">_xll.BDP(A57,"DS219")</f>
        <v>#NAME?</v>
      </c>
      <c r="R57" s="3" t="e" cm="1">
        <f t="array" aca="1" ref="R57" ca="1">_xll.BDP(A57,"DS040")</f>
        <v>#NAME?</v>
      </c>
      <c r="S57" s="4" t="e">
        <f t="shared" ca="1" si="0"/>
        <v>#NAME?</v>
      </c>
      <c r="T57" s="7" t="e">
        <f t="shared" ca="1" si="1"/>
        <v>#NAME?</v>
      </c>
      <c r="U57" s="3" t="e">
        <f t="shared" ca="1" si="2"/>
        <v>#NAME?</v>
      </c>
    </row>
    <row r="58" spans="1:21" x14ac:dyDescent="0.35">
      <c r="A58" s="5" t="s">
        <v>117</v>
      </c>
      <c r="B58" s="1" t="e" cm="1">
        <f t="array" aca="1" ref="B58" ca="1">_xll.BDP("BS028901 Corp","DS520")</f>
        <v>#NAME?</v>
      </c>
      <c r="C58" s="1" t="e" cm="1">
        <f t="array" aca="1" ref="C58" ca="1">_xll.BDP("BS028901 Corp","DS001")</f>
        <v>#NAME?</v>
      </c>
      <c r="D58" s="1" t="e" cm="1">
        <f t="array" aca="1" ref="D58" ca="1">_xll.BDP("BS028901 Corp","DS458")</f>
        <v>#NAME?</v>
      </c>
      <c r="E58" s="1" t="e" cm="1">
        <f t="array" aca="1" ref="E58" ca="1">_xll.BDP("BS028901 Corp","DS004")</f>
        <v>#NAME?</v>
      </c>
      <c r="F58" s="1" t="e" cm="1">
        <f t="array" aca="1" ref="F58" ca="1">_xll.BDP("BS028901 Corp","DS035")</f>
        <v>#NAME?</v>
      </c>
      <c r="G58" s="1" t="e" cm="1">
        <f t="array" aca="1" ref="G58" ca="1">_xll.BDP("BS028901 Corp","DS086")</f>
        <v>#NAME?</v>
      </c>
      <c r="H58" s="1" t="e" cm="1">
        <f t="array" aca="1" ref="H58" ca="1">_xll.BDP("BS028901 Corp","DS034")</f>
        <v>#NAME?</v>
      </c>
      <c r="I58" s="1" t="e" cm="1">
        <f t="array" aca="1" ref="I58" ca="1">_xll.BDP("BS028901 Corp","DS033")</f>
        <v>#NAME?</v>
      </c>
      <c r="J58" s="7" t="e" cm="1">
        <f t="array" aca="1" ref="J58" ca="1">_xll.BDP("BS028901 Corp","YL018")</f>
        <v>#NAME?</v>
      </c>
      <c r="K58" s="7" t="e" cm="1">
        <f t="array" aca="1" ref="K58" ca="1">_xll.BDP("BS028901 Corp","YL016")</f>
        <v>#NAME?</v>
      </c>
      <c r="L58" s="7" t="e" cm="1">
        <f t="array" aca="1" ref="L58" ca="1">_xll.BDP("BS028901 Corp","PR004")</f>
        <v>#NAME?</v>
      </c>
      <c r="M58" s="7" t="e" cm="1">
        <f t="array" aca="1" ref="M58" ca="1">_xll.BDP("BS028901 Corp","PR002")</f>
        <v>#NAME?</v>
      </c>
      <c r="N58" s="1" t="e" cm="1">
        <f t="array" aca="1" ref="N58" ca="1">_xll.BDP("BS028901 Corp","ID028")</f>
        <v>#NAME?</v>
      </c>
      <c r="O58" s="1" t="e" cm="1">
        <f t="array" aca="1" ref="O58" ca="1">_xll.BDP("BS028901 Corp","ID005")</f>
        <v>#NAME?</v>
      </c>
      <c r="P58" s="1" t="e" cm="1">
        <f t="array" aca="1" ref="P58" ca="1">_xll.BDP(A58,"RA007")</f>
        <v>#NAME?</v>
      </c>
      <c r="Q58" s="1" t="e" cm="1">
        <f t="array" aca="1" ref="Q58" ca="1">_xll.BDP(A58,"DS219")</f>
        <v>#NAME?</v>
      </c>
      <c r="R58" s="3" t="e" cm="1">
        <f t="array" aca="1" ref="R58" ca="1">_xll.BDP(A58,"DS040")</f>
        <v>#NAME?</v>
      </c>
      <c r="S58" s="4" t="e">
        <f t="shared" ca="1" si="0"/>
        <v>#NAME?</v>
      </c>
      <c r="T58" s="7" t="e">
        <f t="shared" ca="1" si="1"/>
        <v>#NAME?</v>
      </c>
      <c r="U58" s="3" t="e">
        <f t="shared" ca="1" si="2"/>
        <v>#NAME?</v>
      </c>
    </row>
    <row r="59" spans="1:21" x14ac:dyDescent="0.35">
      <c r="A59" s="5" t="s">
        <v>118</v>
      </c>
      <c r="B59" s="1" t="e" cm="1">
        <f t="array" aca="1" ref="B59" ca="1">_xll.BDP("BT330618 Corp","DS520")</f>
        <v>#NAME?</v>
      </c>
      <c r="C59" s="1" t="e" cm="1">
        <f t="array" aca="1" ref="C59" ca="1">_xll.BDP("BT330618 Corp","DS001")</f>
        <v>#NAME?</v>
      </c>
      <c r="D59" s="1" t="e" cm="1">
        <f t="array" aca="1" ref="D59" ca="1">_xll.BDP("BT330618 Corp","DS458")</f>
        <v>#NAME?</v>
      </c>
      <c r="E59" s="1" t="e" cm="1">
        <f t="array" aca="1" ref="E59" ca="1">_xll.BDP("BT330618 Corp","DS004")</f>
        <v>#NAME?</v>
      </c>
      <c r="F59" s="1" t="e" cm="1">
        <f t="array" aca="1" ref="F59" ca="1">_xll.BDP("BT330618 Corp","DS035")</f>
        <v>#NAME?</v>
      </c>
      <c r="G59" s="1" t="e" cm="1">
        <f t="array" aca="1" ref="G59" ca="1">_xll.BDP("BT330618 Corp","DS086")</f>
        <v>#NAME?</v>
      </c>
      <c r="H59" s="1" t="e" cm="1">
        <f t="array" aca="1" ref="H59" ca="1">_xll.BDP("BT330618 Corp","DS034")</f>
        <v>#NAME?</v>
      </c>
      <c r="I59" s="1" t="e" cm="1">
        <f t="array" aca="1" ref="I59" ca="1">_xll.BDP("BT330618 Corp","DS033")</f>
        <v>#NAME?</v>
      </c>
      <c r="J59" s="7" t="e" cm="1">
        <f t="array" aca="1" ref="J59" ca="1">_xll.BDP("BT330618 Corp","YL018")</f>
        <v>#NAME?</v>
      </c>
      <c r="K59" s="7" t="e" cm="1">
        <f t="array" aca="1" ref="K59" ca="1">_xll.BDP("BT330618 Corp","YL016")</f>
        <v>#NAME?</v>
      </c>
      <c r="L59" s="7" t="e" cm="1">
        <f t="array" aca="1" ref="L59" ca="1">_xll.BDP("BT330618 Corp","PR004")</f>
        <v>#NAME?</v>
      </c>
      <c r="M59" s="7" t="e" cm="1">
        <f t="array" aca="1" ref="M59" ca="1">_xll.BDP("BT330618 Corp","PR002")</f>
        <v>#NAME?</v>
      </c>
      <c r="N59" s="1" t="e" cm="1">
        <f t="array" aca="1" ref="N59" ca="1">_xll.BDP("BT330618 Corp","ID028")</f>
        <v>#NAME?</v>
      </c>
      <c r="O59" s="1" t="e" cm="1">
        <f t="array" aca="1" ref="O59" ca="1">_xll.BDP("BT330618 Corp","ID005")</f>
        <v>#NAME?</v>
      </c>
      <c r="P59" s="1" t="e" cm="1">
        <f t="array" aca="1" ref="P59" ca="1">_xll.BDP(A59,"RA007")</f>
        <v>#NAME?</v>
      </c>
      <c r="Q59" s="1" t="e" cm="1">
        <f t="array" aca="1" ref="Q59" ca="1">_xll.BDP(A59,"DS219")</f>
        <v>#NAME?</v>
      </c>
      <c r="R59" s="3" t="e" cm="1">
        <f t="array" aca="1" ref="R59" ca="1">_xll.BDP(A59,"DS040")</f>
        <v>#NAME?</v>
      </c>
      <c r="S59" s="4" t="e">
        <f t="shared" ca="1" si="0"/>
        <v>#NAME?</v>
      </c>
      <c r="T59" s="7" t="e">
        <f t="shared" ca="1" si="1"/>
        <v>#NAME?</v>
      </c>
      <c r="U59" s="3" t="e">
        <f t="shared" ca="1" si="2"/>
        <v>#NAME?</v>
      </c>
    </row>
    <row r="60" spans="1:21" x14ac:dyDescent="0.35">
      <c r="A60" s="5" t="s">
        <v>119</v>
      </c>
      <c r="B60" s="1" t="e" cm="1">
        <f t="array" aca="1" ref="B60" ca="1">_xll.BDP("BT386064 Corp","DS520")</f>
        <v>#NAME?</v>
      </c>
      <c r="C60" s="1" t="e" cm="1">
        <f t="array" aca="1" ref="C60" ca="1">_xll.BDP("BT386064 Corp","DS001")</f>
        <v>#NAME?</v>
      </c>
      <c r="D60" s="1" t="e" cm="1">
        <f t="array" aca="1" ref="D60" ca="1">_xll.BDP("BT386064 Corp","DS458")</f>
        <v>#NAME?</v>
      </c>
      <c r="E60" s="1" t="e" cm="1">
        <f t="array" aca="1" ref="E60" ca="1">_xll.BDP("BT386064 Corp","DS004")</f>
        <v>#NAME?</v>
      </c>
      <c r="F60" s="1" t="e" cm="1">
        <f t="array" aca="1" ref="F60" ca="1">_xll.BDP("BT386064 Corp","DS035")</f>
        <v>#NAME?</v>
      </c>
      <c r="G60" s="1" t="e" cm="1">
        <f t="array" aca="1" ref="G60" ca="1">_xll.BDP("BT386064 Corp","DS086")</f>
        <v>#NAME?</v>
      </c>
      <c r="H60" s="1" t="e" cm="1">
        <f t="array" aca="1" ref="H60" ca="1">_xll.BDP("BT386064 Corp","DS034")</f>
        <v>#NAME?</v>
      </c>
      <c r="I60" s="1" t="e" cm="1">
        <f t="array" aca="1" ref="I60" ca="1">_xll.BDP("BT386064 Corp","DS033")</f>
        <v>#NAME?</v>
      </c>
      <c r="J60" s="7" t="e" cm="1">
        <f t="array" aca="1" ref="J60" ca="1">_xll.BDP("BT386064 Corp","YL018")</f>
        <v>#NAME?</v>
      </c>
      <c r="K60" s="7" t="e" cm="1">
        <f t="array" aca="1" ref="K60" ca="1">_xll.BDP("BT386064 Corp","YL016")</f>
        <v>#NAME?</v>
      </c>
      <c r="L60" s="7" t="e" cm="1">
        <f t="array" aca="1" ref="L60" ca="1">_xll.BDP("BT386064 Corp","PR004")</f>
        <v>#NAME?</v>
      </c>
      <c r="M60" s="7" t="e" cm="1">
        <f t="array" aca="1" ref="M60" ca="1">_xll.BDP("BT386064 Corp","PR002")</f>
        <v>#NAME?</v>
      </c>
      <c r="N60" s="1" t="e" cm="1">
        <f t="array" aca="1" ref="N60" ca="1">_xll.BDP("BT386064 Corp","ID028")</f>
        <v>#NAME?</v>
      </c>
      <c r="O60" s="1" t="e" cm="1">
        <f t="array" aca="1" ref="O60" ca="1">_xll.BDP("BT386064 Corp","ID005")</f>
        <v>#NAME?</v>
      </c>
      <c r="P60" s="1" t="e" cm="1">
        <f t="array" aca="1" ref="P60" ca="1">_xll.BDP(A60,"RA007")</f>
        <v>#NAME?</v>
      </c>
      <c r="Q60" s="1" t="e" cm="1">
        <f t="array" aca="1" ref="Q60" ca="1">_xll.BDP(A60,"DS219")</f>
        <v>#NAME?</v>
      </c>
      <c r="R60" s="3" t="e" cm="1">
        <f t="array" aca="1" ref="R60" ca="1">_xll.BDP(A60,"DS040")</f>
        <v>#NAME?</v>
      </c>
      <c r="S60" s="4" t="e">
        <f t="shared" ca="1" si="0"/>
        <v>#NAME?</v>
      </c>
      <c r="T60" s="7" t="e">
        <f t="shared" ca="1" si="1"/>
        <v>#NAME?</v>
      </c>
      <c r="U60" s="3" t="e">
        <f t="shared" ca="1" si="2"/>
        <v>#NAME?</v>
      </c>
    </row>
    <row r="61" spans="1:21" x14ac:dyDescent="0.35">
      <c r="A61" s="5" t="s">
        <v>120</v>
      </c>
      <c r="B61" s="1" t="e" cm="1">
        <f t="array" aca="1" ref="B61" ca="1">_xll.BDP("BT484763 Corp","DS520")</f>
        <v>#NAME?</v>
      </c>
      <c r="C61" s="1" t="e" cm="1">
        <f t="array" aca="1" ref="C61" ca="1">_xll.BDP("BT484763 Corp","DS001")</f>
        <v>#NAME?</v>
      </c>
      <c r="D61" s="1" t="e" cm="1">
        <f t="array" aca="1" ref="D61" ca="1">_xll.BDP("BT484763 Corp","DS458")</f>
        <v>#NAME?</v>
      </c>
      <c r="E61" s="1" t="e" cm="1">
        <f t="array" aca="1" ref="E61" ca="1">_xll.BDP("BT484763 Corp","DS004")</f>
        <v>#NAME?</v>
      </c>
      <c r="F61" s="1" t="e" cm="1">
        <f t="array" aca="1" ref="F61" ca="1">_xll.BDP("BT484763 Corp","DS035")</f>
        <v>#NAME?</v>
      </c>
      <c r="G61" s="1" t="e" cm="1">
        <f t="array" aca="1" ref="G61" ca="1">_xll.BDP("BT484763 Corp","DS086")</f>
        <v>#NAME?</v>
      </c>
      <c r="H61" s="1" t="e" cm="1">
        <f t="array" aca="1" ref="H61" ca="1">_xll.BDP("BT484763 Corp","DS034")</f>
        <v>#NAME?</v>
      </c>
      <c r="I61" s="1" t="e" cm="1">
        <f t="array" aca="1" ref="I61" ca="1">_xll.BDP("BT484763 Corp","DS033")</f>
        <v>#NAME?</v>
      </c>
      <c r="J61" s="7" t="e" cm="1">
        <f t="array" aca="1" ref="J61" ca="1">_xll.BDP("BT484763 Corp","YL018")</f>
        <v>#NAME?</v>
      </c>
      <c r="K61" s="7" t="e" cm="1">
        <f t="array" aca="1" ref="K61" ca="1">_xll.BDP("BT484763 Corp","YL016")</f>
        <v>#NAME?</v>
      </c>
      <c r="L61" s="7" t="e" cm="1">
        <f t="array" aca="1" ref="L61" ca="1">_xll.BDP("BT484763 Corp","PR004")</f>
        <v>#NAME?</v>
      </c>
      <c r="M61" s="7" t="e" cm="1">
        <f t="array" aca="1" ref="M61" ca="1">_xll.BDP("BT484763 Corp","PR002")</f>
        <v>#NAME?</v>
      </c>
      <c r="N61" s="1" t="e" cm="1">
        <f t="array" aca="1" ref="N61" ca="1">_xll.BDP("BT484763 Corp","ID028")</f>
        <v>#NAME?</v>
      </c>
      <c r="O61" s="1" t="e" cm="1">
        <f t="array" aca="1" ref="O61" ca="1">_xll.BDP("BT484763 Corp","ID005")</f>
        <v>#NAME?</v>
      </c>
      <c r="P61" s="1" t="e" cm="1">
        <f t="array" aca="1" ref="P61" ca="1">_xll.BDP(A61,"RA007")</f>
        <v>#NAME?</v>
      </c>
      <c r="Q61" s="1" t="e" cm="1">
        <f t="array" aca="1" ref="Q61" ca="1">_xll.BDP(A61,"DS219")</f>
        <v>#NAME?</v>
      </c>
      <c r="R61" s="3" t="e" cm="1">
        <f t="array" aca="1" ref="R61" ca="1">_xll.BDP(A61,"DS040")</f>
        <v>#NAME?</v>
      </c>
      <c r="S61" s="4" t="e">
        <f t="shared" ca="1" si="0"/>
        <v>#NAME?</v>
      </c>
      <c r="T61" s="7" t="e">
        <f t="shared" ca="1" si="1"/>
        <v>#NAME?</v>
      </c>
      <c r="U61" s="3" t="e">
        <f t="shared" ca="1" si="2"/>
        <v>#NAME?</v>
      </c>
    </row>
    <row r="62" spans="1:21" x14ac:dyDescent="0.35">
      <c r="A62" s="5" t="s">
        <v>121</v>
      </c>
      <c r="B62" s="1" t="e" cm="1">
        <f t="array" aca="1" ref="B62" ca="1">_xll.BDP("BT530456 Corp","DS520")</f>
        <v>#NAME?</v>
      </c>
      <c r="C62" s="1" t="e" cm="1">
        <f t="array" aca="1" ref="C62" ca="1">_xll.BDP("BT530456 Corp","DS001")</f>
        <v>#NAME?</v>
      </c>
      <c r="D62" s="1" t="e" cm="1">
        <f t="array" aca="1" ref="D62" ca="1">_xll.BDP("BT530456 Corp","DS458")</f>
        <v>#NAME?</v>
      </c>
      <c r="E62" s="1" t="e" cm="1">
        <f t="array" aca="1" ref="E62" ca="1">_xll.BDP("BT530456 Corp","DS004")</f>
        <v>#NAME?</v>
      </c>
      <c r="F62" s="1" t="e" cm="1">
        <f t="array" aca="1" ref="F62" ca="1">_xll.BDP("BT530456 Corp","DS035")</f>
        <v>#NAME?</v>
      </c>
      <c r="G62" s="1" t="e" cm="1">
        <f t="array" aca="1" ref="G62" ca="1">_xll.BDP("BT530456 Corp","DS086")</f>
        <v>#NAME?</v>
      </c>
      <c r="H62" s="1" t="e" cm="1">
        <f t="array" aca="1" ref="H62" ca="1">_xll.BDP("BT530456 Corp","DS034")</f>
        <v>#NAME?</v>
      </c>
      <c r="I62" s="1" t="e" cm="1">
        <f t="array" aca="1" ref="I62" ca="1">_xll.BDP("BT530456 Corp","DS033")</f>
        <v>#NAME?</v>
      </c>
      <c r="J62" s="7" t="e" cm="1">
        <f t="array" aca="1" ref="J62" ca="1">_xll.BDP("BT530456 Corp","YL018")</f>
        <v>#NAME?</v>
      </c>
      <c r="K62" s="7" t="e" cm="1">
        <f t="array" aca="1" ref="K62" ca="1">_xll.BDP("BT530456 Corp","YL016")</f>
        <v>#NAME?</v>
      </c>
      <c r="L62" s="7" t="e" cm="1">
        <f t="array" aca="1" ref="L62" ca="1">_xll.BDP("BT530456 Corp","PR004")</f>
        <v>#NAME?</v>
      </c>
      <c r="M62" s="7" t="e" cm="1">
        <f t="array" aca="1" ref="M62" ca="1">_xll.BDP("BT530456 Corp","PR002")</f>
        <v>#NAME?</v>
      </c>
      <c r="N62" s="1" t="e" cm="1">
        <f t="array" aca="1" ref="N62" ca="1">_xll.BDP("BT530456 Corp","ID028")</f>
        <v>#NAME?</v>
      </c>
      <c r="O62" s="1" t="e" cm="1">
        <f t="array" aca="1" ref="O62" ca="1">_xll.BDP("BT530456 Corp","ID005")</f>
        <v>#NAME?</v>
      </c>
      <c r="P62" s="1" t="e" cm="1">
        <f t="array" aca="1" ref="P62" ca="1">_xll.BDP(A62,"RA007")</f>
        <v>#NAME?</v>
      </c>
      <c r="Q62" s="1" t="e" cm="1">
        <f t="array" aca="1" ref="Q62" ca="1">_xll.BDP(A62,"DS219")</f>
        <v>#NAME?</v>
      </c>
      <c r="R62" s="3" t="e" cm="1">
        <f t="array" aca="1" ref="R62" ca="1">_xll.BDP(A62,"DS040")</f>
        <v>#NAME?</v>
      </c>
      <c r="S62" s="4" t="e">
        <f t="shared" ca="1" si="0"/>
        <v>#NAME?</v>
      </c>
      <c r="T62" s="7" t="e">
        <f t="shared" ca="1" si="1"/>
        <v>#NAME?</v>
      </c>
      <c r="U62" s="3" t="e">
        <f t="shared" ca="1" si="2"/>
        <v>#NAME?</v>
      </c>
    </row>
    <row r="63" spans="1:21" x14ac:dyDescent="0.35">
      <c r="A63" s="5" t="s">
        <v>122</v>
      </c>
      <c r="B63" s="1" t="e" cm="1">
        <f t="array" aca="1" ref="B63" ca="1">_xll.BDP("BV737650 Corp","DS520")</f>
        <v>#NAME?</v>
      </c>
      <c r="C63" s="1" t="e" cm="1">
        <f t="array" aca="1" ref="C63" ca="1">_xll.BDP("BV737650 Corp","DS001")</f>
        <v>#NAME?</v>
      </c>
      <c r="D63" s="1" t="e" cm="1">
        <f t="array" aca="1" ref="D63" ca="1">_xll.BDP("BV737650 Corp","DS458")</f>
        <v>#NAME?</v>
      </c>
      <c r="E63" s="1" t="e" cm="1">
        <f t="array" aca="1" ref="E63" ca="1">_xll.BDP("BV737650 Corp","DS004")</f>
        <v>#NAME?</v>
      </c>
      <c r="F63" s="1" t="e" cm="1">
        <f t="array" aca="1" ref="F63" ca="1">_xll.BDP("BV737650 Corp","DS035")</f>
        <v>#NAME?</v>
      </c>
      <c r="G63" s="1" t="e" cm="1">
        <f t="array" aca="1" ref="G63" ca="1">_xll.BDP("BV737650 Corp","DS086")</f>
        <v>#NAME?</v>
      </c>
      <c r="H63" s="1" t="e" cm="1">
        <f t="array" aca="1" ref="H63" ca="1">_xll.BDP("BV737650 Corp","DS034")</f>
        <v>#NAME?</v>
      </c>
      <c r="I63" s="1" t="e" cm="1">
        <f t="array" aca="1" ref="I63" ca="1">_xll.BDP("BV737650 Corp","DS033")</f>
        <v>#NAME?</v>
      </c>
      <c r="J63" s="7" t="e" cm="1">
        <f t="array" aca="1" ref="J63" ca="1">_xll.BDP("BV737650 Corp","YL018")</f>
        <v>#NAME?</v>
      </c>
      <c r="K63" s="7" t="e" cm="1">
        <f t="array" aca="1" ref="K63" ca="1">_xll.BDP("BV737650 Corp","YL016")</f>
        <v>#NAME?</v>
      </c>
      <c r="L63" s="7" t="e" cm="1">
        <f t="array" aca="1" ref="L63" ca="1">_xll.BDP("BV737650 Corp","PR004")</f>
        <v>#NAME?</v>
      </c>
      <c r="M63" s="7" t="e" cm="1">
        <f t="array" aca="1" ref="M63" ca="1">_xll.BDP("BV737650 Corp","PR002")</f>
        <v>#NAME?</v>
      </c>
      <c r="N63" s="1" t="e" cm="1">
        <f t="array" aca="1" ref="N63" ca="1">_xll.BDP("BV737650 Corp","ID028")</f>
        <v>#NAME?</v>
      </c>
      <c r="O63" s="1" t="e" cm="1">
        <f t="array" aca="1" ref="O63" ca="1">_xll.BDP("BV737650 Corp","ID005")</f>
        <v>#NAME?</v>
      </c>
      <c r="P63" s="1" t="e" cm="1">
        <f t="array" aca="1" ref="P63" ca="1">_xll.BDP(A63,"RA007")</f>
        <v>#NAME?</v>
      </c>
      <c r="Q63" s="1" t="e" cm="1">
        <f t="array" aca="1" ref="Q63" ca="1">_xll.BDP(A63,"DS219")</f>
        <v>#NAME?</v>
      </c>
      <c r="R63" s="3" t="e" cm="1">
        <f t="array" aca="1" ref="R63" ca="1">_xll.BDP(A63,"DS040")</f>
        <v>#NAME?</v>
      </c>
      <c r="S63" s="4" t="e">
        <f t="shared" ca="1" si="0"/>
        <v>#NAME?</v>
      </c>
      <c r="T63" s="7" t="e">
        <f t="shared" ca="1" si="1"/>
        <v>#NAME?</v>
      </c>
      <c r="U63" s="3" t="e">
        <f t="shared" ca="1" si="2"/>
        <v>#NAME?</v>
      </c>
    </row>
    <row r="64" spans="1:21" x14ac:dyDescent="0.35">
      <c r="A64" s="5" t="s">
        <v>123</v>
      </c>
      <c r="B64" s="1" t="e" cm="1">
        <f t="array" aca="1" ref="B64" ca="1">_xll.BDP("BV801821 Corp","DS520")</f>
        <v>#NAME?</v>
      </c>
      <c r="C64" s="1" t="e" cm="1">
        <f t="array" aca="1" ref="C64" ca="1">_xll.BDP("BV801821 Corp","DS001")</f>
        <v>#NAME?</v>
      </c>
      <c r="D64" s="1" t="e" cm="1">
        <f t="array" aca="1" ref="D64" ca="1">_xll.BDP("BV801821 Corp","DS458")</f>
        <v>#NAME?</v>
      </c>
      <c r="E64" s="1" t="e" cm="1">
        <f t="array" aca="1" ref="E64" ca="1">_xll.BDP("BV801821 Corp","DS004")</f>
        <v>#NAME?</v>
      </c>
      <c r="F64" s="1" t="e" cm="1">
        <f t="array" aca="1" ref="F64" ca="1">_xll.BDP("BV801821 Corp","DS035")</f>
        <v>#NAME?</v>
      </c>
      <c r="G64" s="1" t="e" cm="1">
        <f t="array" aca="1" ref="G64" ca="1">_xll.BDP("BV801821 Corp","DS086")</f>
        <v>#NAME?</v>
      </c>
      <c r="H64" s="1" t="e" cm="1">
        <f t="array" aca="1" ref="H64" ca="1">_xll.BDP("BV801821 Corp","DS034")</f>
        <v>#NAME?</v>
      </c>
      <c r="I64" s="1" t="e" cm="1">
        <f t="array" aca="1" ref="I64" ca="1">_xll.BDP("BV801821 Corp","DS033")</f>
        <v>#NAME?</v>
      </c>
      <c r="J64" s="7" t="e" cm="1">
        <f t="array" aca="1" ref="J64" ca="1">_xll.BDP("BV801821 Corp","YL018")</f>
        <v>#NAME?</v>
      </c>
      <c r="K64" s="7" t="e" cm="1">
        <f t="array" aca="1" ref="K64" ca="1">_xll.BDP("BV801821 Corp","YL016")</f>
        <v>#NAME?</v>
      </c>
      <c r="L64" s="7" t="e" cm="1">
        <f t="array" aca="1" ref="L64" ca="1">_xll.BDP("BV801821 Corp","PR004")</f>
        <v>#NAME?</v>
      </c>
      <c r="M64" s="7" t="e" cm="1">
        <f t="array" aca="1" ref="M64" ca="1">_xll.BDP("BV801821 Corp","PR002")</f>
        <v>#NAME?</v>
      </c>
      <c r="N64" s="1" t="e" cm="1">
        <f t="array" aca="1" ref="N64" ca="1">_xll.BDP("BV801821 Corp","ID028")</f>
        <v>#NAME?</v>
      </c>
      <c r="O64" s="1" t="e" cm="1">
        <f t="array" aca="1" ref="O64" ca="1">_xll.BDP("BV801821 Corp","ID005")</f>
        <v>#NAME?</v>
      </c>
      <c r="P64" s="1" t="e" cm="1">
        <f t="array" aca="1" ref="P64" ca="1">_xll.BDP(A64,"RA007")</f>
        <v>#NAME?</v>
      </c>
      <c r="Q64" s="1" t="e" cm="1">
        <f t="array" aca="1" ref="Q64" ca="1">_xll.BDP(A64,"DS219")</f>
        <v>#NAME?</v>
      </c>
      <c r="R64" s="3" t="e" cm="1">
        <f t="array" aca="1" ref="R64" ca="1">_xll.BDP(A64,"DS040")</f>
        <v>#NAME?</v>
      </c>
      <c r="S64" s="4" t="e">
        <f t="shared" ca="1" si="0"/>
        <v>#NAME?</v>
      </c>
      <c r="T64" s="7" t="e">
        <f t="shared" ca="1" si="1"/>
        <v>#NAME?</v>
      </c>
      <c r="U64" s="3" t="e">
        <f t="shared" ca="1" si="2"/>
        <v>#NAME?</v>
      </c>
    </row>
    <row r="65" spans="1:21" x14ac:dyDescent="0.35">
      <c r="A65" s="5" t="s">
        <v>124</v>
      </c>
      <c r="B65" s="1" t="e" cm="1">
        <f t="array" aca="1" ref="B65" ca="1">_xll.BDP("BV894033 Corp","DS520")</f>
        <v>#NAME?</v>
      </c>
      <c r="C65" s="1" t="e" cm="1">
        <f t="array" aca="1" ref="C65" ca="1">_xll.BDP("BV894033 Corp","DS001")</f>
        <v>#NAME?</v>
      </c>
      <c r="D65" s="1" t="e" cm="1">
        <f t="array" aca="1" ref="D65" ca="1">_xll.BDP("BV894033 Corp","DS458")</f>
        <v>#NAME?</v>
      </c>
      <c r="E65" s="1" t="e" cm="1">
        <f t="array" aca="1" ref="E65" ca="1">_xll.BDP("BV894033 Corp","DS004")</f>
        <v>#NAME?</v>
      </c>
      <c r="F65" s="1" t="e" cm="1">
        <f t="array" aca="1" ref="F65" ca="1">_xll.BDP("BV894033 Corp","DS035")</f>
        <v>#NAME?</v>
      </c>
      <c r="G65" s="1" t="e" cm="1">
        <f t="array" aca="1" ref="G65" ca="1">_xll.BDP("BV894033 Corp","DS086")</f>
        <v>#NAME?</v>
      </c>
      <c r="H65" s="1" t="e" cm="1">
        <f t="array" aca="1" ref="H65" ca="1">_xll.BDP("BV894033 Corp","DS034")</f>
        <v>#NAME?</v>
      </c>
      <c r="I65" s="1" t="e" cm="1">
        <f t="array" aca="1" ref="I65" ca="1">_xll.BDP("BV894033 Corp","DS033")</f>
        <v>#NAME?</v>
      </c>
      <c r="J65" s="7" t="e" cm="1">
        <f t="array" aca="1" ref="J65" ca="1">_xll.BDP("BV894033 Corp","YL018")</f>
        <v>#NAME?</v>
      </c>
      <c r="K65" s="7" t="e" cm="1">
        <f t="array" aca="1" ref="K65" ca="1">_xll.BDP("BV894033 Corp","YL016")</f>
        <v>#NAME?</v>
      </c>
      <c r="L65" s="7" t="e" cm="1">
        <f t="array" aca="1" ref="L65" ca="1">_xll.BDP("BV894033 Corp","PR004")</f>
        <v>#NAME?</v>
      </c>
      <c r="M65" s="7" t="e" cm="1">
        <f t="array" aca="1" ref="M65" ca="1">_xll.BDP("BV894033 Corp","PR002")</f>
        <v>#NAME?</v>
      </c>
      <c r="N65" s="1" t="e" cm="1">
        <f t="array" aca="1" ref="N65" ca="1">_xll.BDP("BV894033 Corp","ID028")</f>
        <v>#NAME?</v>
      </c>
      <c r="O65" s="1" t="e" cm="1">
        <f t="array" aca="1" ref="O65" ca="1">_xll.BDP("BV894033 Corp","ID005")</f>
        <v>#NAME?</v>
      </c>
      <c r="P65" s="1" t="e" cm="1">
        <f t="array" aca="1" ref="P65" ca="1">_xll.BDP(A65,"RA007")</f>
        <v>#NAME?</v>
      </c>
      <c r="Q65" s="1" t="e" cm="1">
        <f t="array" aca="1" ref="Q65" ca="1">_xll.BDP(A65,"DS219")</f>
        <v>#NAME?</v>
      </c>
      <c r="R65" s="3" t="e" cm="1">
        <f t="array" aca="1" ref="R65" ca="1">_xll.BDP(A65,"DS040")</f>
        <v>#NAME?</v>
      </c>
      <c r="S65" s="4" t="e">
        <f t="shared" ca="1" si="0"/>
        <v>#NAME?</v>
      </c>
      <c r="T65" s="7" t="e">
        <f t="shared" ca="1" si="1"/>
        <v>#NAME?</v>
      </c>
      <c r="U65" s="3" t="e">
        <f t="shared" ca="1" si="2"/>
        <v>#NAME?</v>
      </c>
    </row>
    <row r="66" spans="1:21" x14ac:dyDescent="0.35">
      <c r="A66" s="5" t="s">
        <v>125</v>
      </c>
      <c r="B66" s="1" t="e" cm="1">
        <f t="array" aca="1" ref="B66" ca="1">_xll.BDP("BV949862 Corp","DS520")</f>
        <v>#NAME?</v>
      </c>
      <c r="C66" s="1" t="e" cm="1">
        <f t="array" aca="1" ref="C66" ca="1">_xll.BDP("BV949862 Corp","DS001")</f>
        <v>#NAME?</v>
      </c>
      <c r="D66" s="1" t="e" cm="1">
        <f t="array" aca="1" ref="D66" ca="1">_xll.BDP("BV949862 Corp","DS458")</f>
        <v>#NAME?</v>
      </c>
      <c r="E66" s="1" t="e" cm="1">
        <f t="array" aca="1" ref="E66" ca="1">_xll.BDP("BV949862 Corp","DS004")</f>
        <v>#NAME?</v>
      </c>
      <c r="F66" s="1" t="e" cm="1">
        <f t="array" aca="1" ref="F66" ca="1">_xll.BDP("BV949862 Corp","DS035")</f>
        <v>#NAME?</v>
      </c>
      <c r="G66" s="1" t="e" cm="1">
        <f t="array" aca="1" ref="G66" ca="1">_xll.BDP("BV949862 Corp","DS086")</f>
        <v>#NAME?</v>
      </c>
      <c r="H66" s="1" t="e" cm="1">
        <f t="array" aca="1" ref="H66" ca="1">_xll.BDP("BV949862 Corp","DS034")</f>
        <v>#NAME?</v>
      </c>
      <c r="I66" s="1" t="e" cm="1">
        <f t="array" aca="1" ref="I66" ca="1">_xll.BDP("BV949862 Corp","DS033")</f>
        <v>#NAME?</v>
      </c>
      <c r="J66" s="7" t="e" cm="1">
        <f t="array" aca="1" ref="J66" ca="1">_xll.BDP("BV949862 Corp","YL018")</f>
        <v>#NAME?</v>
      </c>
      <c r="K66" s="7" t="e" cm="1">
        <f t="array" aca="1" ref="K66" ca="1">_xll.BDP("BV949862 Corp","YL016")</f>
        <v>#NAME?</v>
      </c>
      <c r="L66" s="7" t="e" cm="1">
        <f t="array" aca="1" ref="L66" ca="1">_xll.BDP("BV949862 Corp","PR004")</f>
        <v>#NAME?</v>
      </c>
      <c r="M66" s="7" t="e" cm="1">
        <f t="array" aca="1" ref="M66" ca="1">_xll.BDP("BV949862 Corp","PR002")</f>
        <v>#NAME?</v>
      </c>
      <c r="N66" s="1" t="e" cm="1">
        <f t="array" aca="1" ref="N66" ca="1">_xll.BDP("BV949862 Corp","ID028")</f>
        <v>#NAME?</v>
      </c>
      <c r="O66" s="1" t="e" cm="1">
        <f t="array" aca="1" ref="O66" ca="1">_xll.BDP("BV949862 Corp","ID005")</f>
        <v>#NAME?</v>
      </c>
      <c r="P66" s="1" t="e" cm="1">
        <f t="array" aca="1" ref="P66" ca="1">_xll.BDP(A66,"RA007")</f>
        <v>#NAME?</v>
      </c>
      <c r="Q66" s="1" t="e" cm="1">
        <f t="array" aca="1" ref="Q66" ca="1">_xll.BDP(A66,"DS219")</f>
        <v>#NAME?</v>
      </c>
      <c r="R66" s="3" t="e" cm="1">
        <f t="array" aca="1" ref="R66" ca="1">_xll.BDP(A66,"DS040")</f>
        <v>#NAME?</v>
      </c>
      <c r="S66" s="4" t="e">
        <f t="shared" ca="1" si="0"/>
        <v>#NAME?</v>
      </c>
      <c r="T66" s="7" t="e">
        <f t="shared" ca="1" si="1"/>
        <v>#NAME?</v>
      </c>
      <c r="U66" s="3" t="e">
        <f t="shared" ca="1" si="2"/>
        <v>#NAME?</v>
      </c>
    </row>
    <row r="67" spans="1:21" x14ac:dyDescent="0.35">
      <c r="A67" s="5" t="s">
        <v>126</v>
      </c>
      <c r="B67" s="1" t="e" cm="1">
        <f t="array" aca="1" ref="B67" ca="1">_xll.BDP("BW843591 Corp","DS520")</f>
        <v>#NAME?</v>
      </c>
      <c r="C67" s="1" t="e" cm="1">
        <f t="array" aca="1" ref="C67" ca="1">_xll.BDP("BW843591 Corp","DS001")</f>
        <v>#NAME?</v>
      </c>
      <c r="D67" s="1" t="e" cm="1">
        <f t="array" aca="1" ref="D67" ca="1">_xll.BDP("BW843591 Corp","DS458")</f>
        <v>#NAME?</v>
      </c>
      <c r="E67" s="1" t="e" cm="1">
        <f t="array" aca="1" ref="E67" ca="1">_xll.BDP("BW843591 Corp","DS004")</f>
        <v>#NAME?</v>
      </c>
      <c r="F67" s="1" t="e" cm="1">
        <f t="array" aca="1" ref="F67" ca="1">_xll.BDP("BW843591 Corp","DS035")</f>
        <v>#NAME?</v>
      </c>
      <c r="G67" s="1" t="e" cm="1">
        <f t="array" aca="1" ref="G67" ca="1">_xll.BDP("BW843591 Corp","DS086")</f>
        <v>#NAME?</v>
      </c>
      <c r="H67" s="1" t="e" cm="1">
        <f t="array" aca="1" ref="H67" ca="1">_xll.BDP("BW843591 Corp","DS034")</f>
        <v>#NAME?</v>
      </c>
      <c r="I67" s="1" t="e" cm="1">
        <f t="array" aca="1" ref="I67" ca="1">_xll.BDP("BW843591 Corp","DS033")</f>
        <v>#NAME?</v>
      </c>
      <c r="J67" s="7" t="e" cm="1">
        <f t="array" aca="1" ref="J67" ca="1">_xll.BDP("BW843591 Corp","YL018")</f>
        <v>#NAME?</v>
      </c>
      <c r="K67" s="7" t="e" cm="1">
        <f t="array" aca="1" ref="K67" ca="1">_xll.BDP("BW843591 Corp","YL016")</f>
        <v>#NAME?</v>
      </c>
      <c r="L67" s="7" t="e" cm="1">
        <f t="array" aca="1" ref="L67" ca="1">_xll.BDP("BW843591 Corp","PR004")</f>
        <v>#NAME?</v>
      </c>
      <c r="M67" s="7" t="e" cm="1">
        <f t="array" aca="1" ref="M67" ca="1">_xll.BDP("BW843591 Corp","PR002")</f>
        <v>#NAME?</v>
      </c>
      <c r="N67" s="1" t="e" cm="1">
        <f t="array" aca="1" ref="N67" ca="1">_xll.BDP("BW843591 Corp","ID028")</f>
        <v>#NAME?</v>
      </c>
      <c r="O67" s="1" t="e" cm="1">
        <f t="array" aca="1" ref="O67" ca="1">_xll.BDP("BW843591 Corp","ID005")</f>
        <v>#NAME?</v>
      </c>
      <c r="P67" s="1" t="e" cm="1">
        <f t="array" aca="1" ref="P67" ca="1">_xll.BDP(A67,"RA007")</f>
        <v>#NAME?</v>
      </c>
      <c r="Q67" s="1" t="e" cm="1">
        <f t="array" aca="1" ref="Q67" ca="1">_xll.BDP(A67,"DS219")</f>
        <v>#NAME?</v>
      </c>
      <c r="R67" s="3" t="e" cm="1">
        <f t="array" aca="1" ref="R67" ca="1">_xll.BDP(A67,"DS040")</f>
        <v>#NAME?</v>
      </c>
      <c r="S67" s="4" t="e">
        <f t="shared" ref="S67:S130" ca="1" si="3">(F67-TODAY())/365.25</f>
        <v>#NAME?</v>
      </c>
      <c r="T67" s="7" t="e">
        <f t="shared" ref="T67:T130" ca="1" si="4">S67-ROUNDDOWN(S67,0)</f>
        <v>#NAME?</v>
      </c>
      <c r="U67" s="3" t="e">
        <f t="shared" ref="U67:U130" ca="1" si="5">DATE(2026,MONTH(TODAY()),DAY(F67))&gt;DATEVALUE(R67)</f>
        <v>#NAME?</v>
      </c>
    </row>
    <row r="68" spans="1:21" x14ac:dyDescent="0.35">
      <c r="A68" s="5" t="s">
        <v>127</v>
      </c>
      <c r="B68" s="1" t="e" cm="1">
        <f t="array" aca="1" ref="B68" ca="1">_xll.BDP("BX331425 Corp","DS520")</f>
        <v>#NAME?</v>
      </c>
      <c r="C68" s="1" t="e" cm="1">
        <f t="array" aca="1" ref="C68" ca="1">_xll.BDP("BX331425 Corp","DS001")</f>
        <v>#NAME?</v>
      </c>
      <c r="D68" s="1" t="e" cm="1">
        <f t="array" aca="1" ref="D68" ca="1">_xll.BDP("BX331425 Corp","DS458")</f>
        <v>#NAME?</v>
      </c>
      <c r="E68" s="1" t="e" cm="1">
        <f t="array" aca="1" ref="E68" ca="1">_xll.BDP("BX331425 Corp","DS004")</f>
        <v>#NAME?</v>
      </c>
      <c r="F68" s="1" t="e" cm="1">
        <f t="array" aca="1" ref="F68" ca="1">_xll.BDP("BX331425 Corp","DS035")</f>
        <v>#NAME?</v>
      </c>
      <c r="G68" s="1" t="e" cm="1">
        <f t="array" aca="1" ref="G68" ca="1">_xll.BDP("BX331425 Corp","DS086")</f>
        <v>#NAME?</v>
      </c>
      <c r="H68" s="1" t="e" cm="1">
        <f t="array" aca="1" ref="H68" ca="1">_xll.BDP("BX331425 Corp","DS034")</f>
        <v>#NAME?</v>
      </c>
      <c r="I68" s="1" t="e" cm="1">
        <f t="array" aca="1" ref="I68" ca="1">_xll.BDP("BX331425 Corp","DS033")</f>
        <v>#NAME?</v>
      </c>
      <c r="J68" s="7" t="e" cm="1">
        <f t="array" aca="1" ref="J68" ca="1">_xll.BDP("BX331425 Corp","YL018")</f>
        <v>#NAME?</v>
      </c>
      <c r="K68" s="7" t="e" cm="1">
        <f t="array" aca="1" ref="K68" ca="1">_xll.BDP("BX331425 Corp","YL016")</f>
        <v>#NAME?</v>
      </c>
      <c r="L68" s="7" t="e" cm="1">
        <f t="array" aca="1" ref="L68" ca="1">_xll.BDP("BX331425 Corp","PR004")</f>
        <v>#NAME?</v>
      </c>
      <c r="M68" s="7" t="e" cm="1">
        <f t="array" aca="1" ref="M68" ca="1">_xll.BDP("BX331425 Corp","PR002")</f>
        <v>#NAME?</v>
      </c>
      <c r="N68" s="1" t="e" cm="1">
        <f t="array" aca="1" ref="N68" ca="1">_xll.BDP("BX331425 Corp","ID028")</f>
        <v>#NAME?</v>
      </c>
      <c r="O68" s="1" t="e" cm="1">
        <f t="array" aca="1" ref="O68" ca="1">_xll.BDP("BX331425 Corp","ID005")</f>
        <v>#NAME?</v>
      </c>
      <c r="P68" s="1" t="e" cm="1">
        <f t="array" aca="1" ref="P68" ca="1">_xll.BDP(A68,"RA007")</f>
        <v>#NAME?</v>
      </c>
      <c r="Q68" s="1" t="e" cm="1">
        <f t="array" aca="1" ref="Q68" ca="1">_xll.BDP(A68,"DS219")</f>
        <v>#NAME?</v>
      </c>
      <c r="R68" s="3" t="e" cm="1">
        <f t="array" aca="1" ref="R68" ca="1">_xll.BDP(A68,"DS040")</f>
        <v>#NAME?</v>
      </c>
      <c r="S68" s="4" t="e">
        <f t="shared" ca="1" si="3"/>
        <v>#NAME?</v>
      </c>
      <c r="T68" s="7" t="e">
        <f t="shared" ca="1" si="4"/>
        <v>#NAME?</v>
      </c>
      <c r="U68" s="3" t="e">
        <f t="shared" ca="1" si="5"/>
        <v>#NAME?</v>
      </c>
    </row>
    <row r="69" spans="1:21" x14ac:dyDescent="0.35">
      <c r="A69" s="5" t="s">
        <v>128</v>
      </c>
      <c r="B69" s="1" t="e" cm="1">
        <f t="array" aca="1" ref="B69" ca="1">_xll.BDP("BX625748 Corp","DS520")</f>
        <v>#NAME?</v>
      </c>
      <c r="C69" s="1" t="e" cm="1">
        <f t="array" aca="1" ref="C69" ca="1">_xll.BDP("BX625748 Corp","DS001")</f>
        <v>#NAME?</v>
      </c>
      <c r="D69" s="1" t="e" cm="1">
        <f t="array" aca="1" ref="D69" ca="1">_xll.BDP("BX625748 Corp","DS458")</f>
        <v>#NAME?</v>
      </c>
      <c r="E69" s="1" t="e" cm="1">
        <f t="array" aca="1" ref="E69" ca="1">_xll.BDP("BX625748 Corp","DS004")</f>
        <v>#NAME?</v>
      </c>
      <c r="F69" s="1" t="e" cm="1">
        <f t="array" aca="1" ref="F69" ca="1">_xll.BDP("BX625748 Corp","DS035")</f>
        <v>#NAME?</v>
      </c>
      <c r="G69" s="1" t="e" cm="1">
        <f t="array" aca="1" ref="G69" ca="1">_xll.BDP("BX625748 Corp","DS086")</f>
        <v>#NAME?</v>
      </c>
      <c r="H69" s="1" t="e" cm="1">
        <f t="array" aca="1" ref="H69" ca="1">_xll.BDP("BX625748 Corp","DS034")</f>
        <v>#NAME?</v>
      </c>
      <c r="I69" s="1" t="e" cm="1">
        <f t="array" aca="1" ref="I69" ca="1">_xll.BDP("BX625748 Corp","DS033")</f>
        <v>#NAME?</v>
      </c>
      <c r="J69" s="7" t="e" cm="1">
        <f t="array" aca="1" ref="J69" ca="1">_xll.BDP("BX625748 Corp","YL018")</f>
        <v>#NAME?</v>
      </c>
      <c r="K69" s="7" t="e" cm="1">
        <f t="array" aca="1" ref="K69" ca="1">_xll.BDP("BX625748 Corp","YL016")</f>
        <v>#NAME?</v>
      </c>
      <c r="L69" s="7" t="e" cm="1">
        <f t="array" aca="1" ref="L69" ca="1">_xll.BDP("BX625748 Corp","PR004")</f>
        <v>#NAME?</v>
      </c>
      <c r="M69" s="7" t="e" cm="1">
        <f t="array" aca="1" ref="M69" ca="1">_xll.BDP("BX625748 Corp","PR002")</f>
        <v>#NAME?</v>
      </c>
      <c r="N69" s="1" t="e" cm="1">
        <f t="array" aca="1" ref="N69" ca="1">_xll.BDP("BX625748 Corp","ID028")</f>
        <v>#NAME?</v>
      </c>
      <c r="O69" s="1" t="e" cm="1">
        <f t="array" aca="1" ref="O69" ca="1">_xll.BDP("BX625748 Corp","ID005")</f>
        <v>#NAME?</v>
      </c>
      <c r="P69" s="1" t="e" cm="1">
        <f t="array" aca="1" ref="P69" ca="1">_xll.BDP(A69,"RA007")</f>
        <v>#NAME?</v>
      </c>
      <c r="Q69" s="1" t="e" cm="1">
        <f t="array" aca="1" ref="Q69" ca="1">_xll.BDP(A69,"DS219")</f>
        <v>#NAME?</v>
      </c>
      <c r="R69" s="3" t="e" cm="1">
        <f t="array" aca="1" ref="R69" ca="1">_xll.BDP(A69,"DS040")</f>
        <v>#NAME?</v>
      </c>
      <c r="S69" s="4" t="e">
        <f t="shared" ca="1" si="3"/>
        <v>#NAME?</v>
      </c>
      <c r="T69" s="7" t="e">
        <f t="shared" ca="1" si="4"/>
        <v>#NAME?</v>
      </c>
      <c r="U69" s="3" t="e">
        <f t="shared" ca="1" si="5"/>
        <v>#NAME?</v>
      </c>
    </row>
    <row r="70" spans="1:21" x14ac:dyDescent="0.35">
      <c r="A70" s="5" t="s">
        <v>129</v>
      </c>
      <c r="B70" s="1" t="e" cm="1">
        <f t="array" aca="1" ref="B70" ca="1">_xll.BDP("BX715025 Corp","DS520")</f>
        <v>#NAME?</v>
      </c>
      <c r="C70" s="1" t="e" cm="1">
        <f t="array" aca="1" ref="C70" ca="1">_xll.BDP("BX715025 Corp","DS001")</f>
        <v>#NAME?</v>
      </c>
      <c r="D70" s="1" t="e" cm="1">
        <f t="array" aca="1" ref="D70" ca="1">_xll.BDP("BX715025 Corp","DS458")</f>
        <v>#NAME?</v>
      </c>
      <c r="E70" s="1" t="e" cm="1">
        <f t="array" aca="1" ref="E70" ca="1">_xll.BDP("BX715025 Corp","DS004")</f>
        <v>#NAME?</v>
      </c>
      <c r="F70" s="1" t="e" cm="1">
        <f t="array" aca="1" ref="F70" ca="1">_xll.BDP("BX715025 Corp","DS035")</f>
        <v>#NAME?</v>
      </c>
      <c r="G70" s="1" t="e" cm="1">
        <f t="array" aca="1" ref="G70" ca="1">_xll.BDP("BX715025 Corp","DS086")</f>
        <v>#NAME?</v>
      </c>
      <c r="H70" s="1" t="e" cm="1">
        <f t="array" aca="1" ref="H70" ca="1">_xll.BDP("BX715025 Corp","DS034")</f>
        <v>#NAME?</v>
      </c>
      <c r="I70" s="1" t="e" cm="1">
        <f t="array" aca="1" ref="I70" ca="1">_xll.BDP("BX715025 Corp","DS033")</f>
        <v>#NAME?</v>
      </c>
      <c r="J70" s="7" t="e" cm="1">
        <f t="array" aca="1" ref="J70" ca="1">_xll.BDP("BX715025 Corp","YL018")</f>
        <v>#NAME?</v>
      </c>
      <c r="K70" s="7" t="e" cm="1">
        <f t="array" aca="1" ref="K70" ca="1">_xll.BDP("BX715025 Corp","YL016")</f>
        <v>#NAME?</v>
      </c>
      <c r="L70" s="7" t="e" cm="1">
        <f t="array" aca="1" ref="L70" ca="1">_xll.BDP("BX715025 Corp","PR004")</f>
        <v>#NAME?</v>
      </c>
      <c r="M70" s="7" t="e" cm="1">
        <f t="array" aca="1" ref="M70" ca="1">_xll.BDP("BX715025 Corp","PR002")</f>
        <v>#NAME?</v>
      </c>
      <c r="N70" s="1" t="e" cm="1">
        <f t="array" aca="1" ref="N70" ca="1">_xll.BDP("BX715025 Corp","ID028")</f>
        <v>#NAME?</v>
      </c>
      <c r="O70" s="1" t="e" cm="1">
        <f t="array" aca="1" ref="O70" ca="1">_xll.BDP("BX715025 Corp","ID005")</f>
        <v>#NAME?</v>
      </c>
      <c r="P70" s="1" t="e" cm="1">
        <f t="array" aca="1" ref="P70" ca="1">_xll.BDP(A70,"RA007")</f>
        <v>#NAME?</v>
      </c>
      <c r="Q70" s="1" t="e" cm="1">
        <f t="array" aca="1" ref="Q70" ca="1">_xll.BDP(A70,"DS219")</f>
        <v>#NAME?</v>
      </c>
      <c r="R70" s="3" t="e" cm="1">
        <f t="array" aca="1" ref="R70" ca="1">_xll.BDP(A70,"DS040")</f>
        <v>#NAME?</v>
      </c>
      <c r="S70" s="4" t="e">
        <f t="shared" ca="1" si="3"/>
        <v>#NAME?</v>
      </c>
      <c r="T70" s="7" t="e">
        <f t="shared" ca="1" si="4"/>
        <v>#NAME?</v>
      </c>
      <c r="U70" s="3" t="e">
        <f t="shared" ca="1" si="5"/>
        <v>#NAME?</v>
      </c>
    </row>
    <row r="71" spans="1:21" x14ac:dyDescent="0.35">
      <c r="A71" s="5" t="s">
        <v>130</v>
      </c>
      <c r="B71" s="1" t="e" cm="1">
        <f t="array" aca="1" ref="B71" ca="1">_xll.BDP("BX810244 Corp","DS520")</f>
        <v>#NAME?</v>
      </c>
      <c r="C71" s="1" t="e" cm="1">
        <f t="array" aca="1" ref="C71" ca="1">_xll.BDP("BX810244 Corp","DS001")</f>
        <v>#NAME?</v>
      </c>
      <c r="D71" s="1" t="e" cm="1">
        <f t="array" aca="1" ref="D71" ca="1">_xll.BDP("BX810244 Corp","DS458")</f>
        <v>#NAME?</v>
      </c>
      <c r="E71" s="1" t="e" cm="1">
        <f t="array" aca="1" ref="E71" ca="1">_xll.BDP("BX810244 Corp","DS004")</f>
        <v>#NAME?</v>
      </c>
      <c r="F71" s="1" t="e" cm="1">
        <f t="array" aca="1" ref="F71" ca="1">_xll.BDP("BX810244 Corp","DS035")</f>
        <v>#NAME?</v>
      </c>
      <c r="G71" s="1" t="e" cm="1">
        <f t="array" aca="1" ref="G71" ca="1">_xll.BDP("BX810244 Corp","DS086")</f>
        <v>#NAME?</v>
      </c>
      <c r="H71" s="1" t="e" cm="1">
        <f t="array" aca="1" ref="H71" ca="1">_xll.BDP("BX810244 Corp","DS034")</f>
        <v>#NAME?</v>
      </c>
      <c r="I71" s="1" t="e" cm="1">
        <f t="array" aca="1" ref="I71" ca="1">_xll.BDP("BX810244 Corp","DS033")</f>
        <v>#NAME?</v>
      </c>
      <c r="J71" s="7" t="e" cm="1">
        <f t="array" aca="1" ref="J71" ca="1">_xll.BDP("BX810244 Corp","YL018")</f>
        <v>#NAME?</v>
      </c>
      <c r="K71" s="7" t="e" cm="1">
        <f t="array" aca="1" ref="K71" ca="1">_xll.BDP("BX810244 Corp","YL016")</f>
        <v>#NAME?</v>
      </c>
      <c r="L71" s="7" t="e" cm="1">
        <f t="array" aca="1" ref="L71" ca="1">_xll.BDP("BX810244 Corp","PR004")</f>
        <v>#NAME?</v>
      </c>
      <c r="M71" s="7" t="e" cm="1">
        <f t="array" aca="1" ref="M71" ca="1">_xll.BDP("BX810244 Corp","PR002")</f>
        <v>#NAME?</v>
      </c>
      <c r="N71" s="1" t="e" cm="1">
        <f t="array" aca="1" ref="N71" ca="1">_xll.BDP("BX810244 Corp","ID028")</f>
        <v>#NAME?</v>
      </c>
      <c r="O71" s="1" t="e" cm="1">
        <f t="array" aca="1" ref="O71" ca="1">_xll.BDP("BX810244 Corp","ID005")</f>
        <v>#NAME?</v>
      </c>
      <c r="P71" s="1" t="e" cm="1">
        <f t="array" aca="1" ref="P71" ca="1">_xll.BDP(A71,"RA007")</f>
        <v>#NAME?</v>
      </c>
      <c r="Q71" s="1" t="e" cm="1">
        <f t="array" aca="1" ref="Q71" ca="1">_xll.BDP(A71,"DS219")</f>
        <v>#NAME?</v>
      </c>
      <c r="R71" s="3" t="e" cm="1">
        <f t="array" aca="1" ref="R71" ca="1">_xll.BDP(A71,"DS040")</f>
        <v>#NAME?</v>
      </c>
      <c r="S71" s="4" t="e">
        <f t="shared" ca="1" si="3"/>
        <v>#NAME?</v>
      </c>
      <c r="T71" s="7" t="e">
        <f t="shared" ca="1" si="4"/>
        <v>#NAME?</v>
      </c>
      <c r="U71" s="3" t="e">
        <f t="shared" ca="1" si="5"/>
        <v>#NAME?</v>
      </c>
    </row>
    <row r="72" spans="1:21" x14ac:dyDescent="0.35">
      <c r="A72" s="5" t="s">
        <v>131</v>
      </c>
      <c r="B72" s="1" t="e" cm="1">
        <f t="array" aca="1" ref="B72" ca="1">_xll.BDP("BX863121 Corp","DS520")</f>
        <v>#NAME?</v>
      </c>
      <c r="C72" s="1" t="e" cm="1">
        <f t="array" aca="1" ref="C72" ca="1">_xll.BDP("BX863121 Corp","DS001")</f>
        <v>#NAME?</v>
      </c>
      <c r="D72" s="1" t="e" cm="1">
        <f t="array" aca="1" ref="D72" ca="1">_xll.BDP("BX863121 Corp","DS458")</f>
        <v>#NAME?</v>
      </c>
      <c r="E72" s="1" t="e" cm="1">
        <f t="array" aca="1" ref="E72" ca="1">_xll.BDP("BX863121 Corp","DS004")</f>
        <v>#NAME?</v>
      </c>
      <c r="F72" s="1" t="e" cm="1">
        <f t="array" aca="1" ref="F72" ca="1">_xll.BDP("BX863121 Corp","DS035")</f>
        <v>#NAME?</v>
      </c>
      <c r="G72" s="1" t="e" cm="1">
        <f t="array" aca="1" ref="G72" ca="1">_xll.BDP("BX863121 Corp","DS086")</f>
        <v>#NAME?</v>
      </c>
      <c r="H72" s="1" t="e" cm="1">
        <f t="array" aca="1" ref="H72" ca="1">_xll.BDP("BX863121 Corp","DS034")</f>
        <v>#NAME?</v>
      </c>
      <c r="I72" s="1" t="e" cm="1">
        <f t="array" aca="1" ref="I72" ca="1">_xll.BDP("BX863121 Corp","DS033")</f>
        <v>#NAME?</v>
      </c>
      <c r="J72" s="7" t="e" cm="1">
        <f t="array" aca="1" ref="J72" ca="1">_xll.BDP("BX863121 Corp","YL018")</f>
        <v>#NAME?</v>
      </c>
      <c r="K72" s="7" t="e" cm="1">
        <f t="array" aca="1" ref="K72" ca="1">_xll.BDP("BX863121 Corp","YL016")</f>
        <v>#NAME?</v>
      </c>
      <c r="L72" s="7" t="e" cm="1">
        <f t="array" aca="1" ref="L72" ca="1">_xll.BDP("BX863121 Corp","PR004")</f>
        <v>#NAME?</v>
      </c>
      <c r="M72" s="7" t="e" cm="1">
        <f t="array" aca="1" ref="M72" ca="1">_xll.BDP("BX863121 Corp","PR002")</f>
        <v>#NAME?</v>
      </c>
      <c r="N72" s="1" t="e" cm="1">
        <f t="array" aca="1" ref="N72" ca="1">_xll.BDP("BX863121 Corp","ID028")</f>
        <v>#NAME?</v>
      </c>
      <c r="O72" s="1" t="e" cm="1">
        <f t="array" aca="1" ref="O72" ca="1">_xll.BDP("BX863121 Corp","ID005")</f>
        <v>#NAME?</v>
      </c>
      <c r="P72" s="1" t="e" cm="1">
        <f t="array" aca="1" ref="P72" ca="1">_xll.BDP(A72,"RA007")</f>
        <v>#NAME?</v>
      </c>
      <c r="Q72" s="1" t="e" cm="1">
        <f t="array" aca="1" ref="Q72" ca="1">_xll.BDP(A72,"DS219")</f>
        <v>#NAME?</v>
      </c>
      <c r="R72" s="3" t="e" cm="1">
        <f t="array" aca="1" ref="R72" ca="1">_xll.BDP(A72,"DS040")</f>
        <v>#NAME?</v>
      </c>
      <c r="S72" s="4" t="e">
        <f t="shared" ca="1" si="3"/>
        <v>#NAME?</v>
      </c>
      <c r="T72" s="7" t="e">
        <f t="shared" ca="1" si="4"/>
        <v>#NAME?</v>
      </c>
      <c r="U72" s="3" t="e">
        <f t="shared" ca="1" si="5"/>
        <v>#NAME?</v>
      </c>
    </row>
    <row r="73" spans="1:21" x14ac:dyDescent="0.35">
      <c r="A73" s="5" t="s">
        <v>132</v>
      </c>
      <c r="B73" s="1" t="e" cm="1">
        <f t="array" aca="1" ref="B73" ca="1">_xll.BDP("BZ503564 Corp","DS520")</f>
        <v>#NAME?</v>
      </c>
      <c r="C73" s="1" t="e" cm="1">
        <f t="array" aca="1" ref="C73" ca="1">_xll.BDP("BZ503564 Corp","DS001")</f>
        <v>#NAME?</v>
      </c>
      <c r="D73" s="1" t="e" cm="1">
        <f t="array" aca="1" ref="D73" ca="1">_xll.BDP("BZ503564 Corp","DS458")</f>
        <v>#NAME?</v>
      </c>
      <c r="E73" s="1" t="e" cm="1">
        <f t="array" aca="1" ref="E73" ca="1">_xll.BDP("BZ503564 Corp","DS004")</f>
        <v>#NAME?</v>
      </c>
      <c r="F73" s="1" t="e" cm="1">
        <f t="array" aca="1" ref="F73" ca="1">_xll.BDP("BZ503564 Corp","DS035")</f>
        <v>#NAME?</v>
      </c>
      <c r="G73" s="1" t="e" cm="1">
        <f t="array" aca="1" ref="G73" ca="1">_xll.BDP("BZ503564 Corp","DS086")</f>
        <v>#NAME?</v>
      </c>
      <c r="H73" s="1" t="e" cm="1">
        <f t="array" aca="1" ref="H73" ca="1">_xll.BDP("BZ503564 Corp","DS034")</f>
        <v>#NAME?</v>
      </c>
      <c r="I73" s="1" t="e" cm="1">
        <f t="array" aca="1" ref="I73" ca="1">_xll.BDP("BZ503564 Corp","DS033")</f>
        <v>#NAME?</v>
      </c>
      <c r="J73" s="7" t="e" cm="1">
        <f t="array" aca="1" ref="J73" ca="1">_xll.BDP("BZ503564 Corp","YL018")</f>
        <v>#NAME?</v>
      </c>
      <c r="K73" s="7" t="e" cm="1">
        <f t="array" aca="1" ref="K73" ca="1">_xll.BDP("BZ503564 Corp","YL016")</f>
        <v>#NAME?</v>
      </c>
      <c r="L73" s="7" t="e" cm="1">
        <f t="array" aca="1" ref="L73" ca="1">_xll.BDP("BZ503564 Corp","PR004")</f>
        <v>#NAME?</v>
      </c>
      <c r="M73" s="7" t="e" cm="1">
        <f t="array" aca="1" ref="M73" ca="1">_xll.BDP("BZ503564 Corp","PR002")</f>
        <v>#NAME?</v>
      </c>
      <c r="N73" s="1" t="e" cm="1">
        <f t="array" aca="1" ref="N73" ca="1">_xll.BDP("BZ503564 Corp","ID028")</f>
        <v>#NAME?</v>
      </c>
      <c r="O73" s="1" t="e" cm="1">
        <f t="array" aca="1" ref="O73" ca="1">_xll.BDP("BZ503564 Corp","ID005")</f>
        <v>#NAME?</v>
      </c>
      <c r="P73" s="1" t="e" cm="1">
        <f t="array" aca="1" ref="P73" ca="1">_xll.BDP(A73,"RA007")</f>
        <v>#NAME?</v>
      </c>
      <c r="Q73" s="1" t="e" cm="1">
        <f t="array" aca="1" ref="Q73" ca="1">_xll.BDP(A73,"DS219")</f>
        <v>#NAME?</v>
      </c>
      <c r="R73" s="3" t="e" cm="1">
        <f t="array" aca="1" ref="R73" ca="1">_xll.BDP(A73,"DS040")</f>
        <v>#NAME?</v>
      </c>
      <c r="S73" s="4" t="e">
        <f t="shared" ca="1" si="3"/>
        <v>#NAME?</v>
      </c>
      <c r="T73" s="7" t="e">
        <f t="shared" ca="1" si="4"/>
        <v>#NAME?</v>
      </c>
      <c r="U73" s="3" t="e">
        <f t="shared" ca="1" si="5"/>
        <v>#NAME?</v>
      </c>
    </row>
    <row r="74" spans="1:21" x14ac:dyDescent="0.35">
      <c r="A74" s="5" t="s">
        <v>133</v>
      </c>
      <c r="B74" s="1" t="e" cm="1">
        <f t="array" aca="1" ref="B74" ca="1">_xll.BDP("BZ687913 Corp","DS520")</f>
        <v>#NAME?</v>
      </c>
      <c r="C74" s="1" t="e" cm="1">
        <f t="array" aca="1" ref="C74" ca="1">_xll.BDP("BZ687913 Corp","DS001")</f>
        <v>#NAME?</v>
      </c>
      <c r="D74" s="1" t="e" cm="1">
        <f t="array" aca="1" ref="D74" ca="1">_xll.BDP("BZ687913 Corp","DS458")</f>
        <v>#NAME?</v>
      </c>
      <c r="E74" s="1" t="e" cm="1">
        <f t="array" aca="1" ref="E74" ca="1">_xll.BDP("BZ687913 Corp","DS004")</f>
        <v>#NAME?</v>
      </c>
      <c r="F74" s="1" t="e" cm="1">
        <f t="array" aca="1" ref="F74" ca="1">_xll.BDP("BZ687913 Corp","DS035")</f>
        <v>#NAME?</v>
      </c>
      <c r="G74" s="1" t="e" cm="1">
        <f t="array" aca="1" ref="G74" ca="1">_xll.BDP("BZ687913 Corp","DS086")</f>
        <v>#NAME?</v>
      </c>
      <c r="H74" s="1" t="e" cm="1">
        <f t="array" aca="1" ref="H74" ca="1">_xll.BDP("BZ687913 Corp","DS034")</f>
        <v>#NAME?</v>
      </c>
      <c r="I74" s="1" t="e" cm="1">
        <f t="array" aca="1" ref="I74" ca="1">_xll.BDP("BZ687913 Corp","DS033")</f>
        <v>#NAME?</v>
      </c>
      <c r="J74" s="7" t="e" cm="1">
        <f t="array" aca="1" ref="J74" ca="1">_xll.BDP("BZ687913 Corp","YL018")</f>
        <v>#NAME?</v>
      </c>
      <c r="K74" s="7" t="e" cm="1">
        <f t="array" aca="1" ref="K74" ca="1">_xll.BDP("BZ687913 Corp","YL016")</f>
        <v>#NAME?</v>
      </c>
      <c r="L74" s="7" t="e" cm="1">
        <f t="array" aca="1" ref="L74" ca="1">_xll.BDP("BZ687913 Corp","PR004")</f>
        <v>#NAME?</v>
      </c>
      <c r="M74" s="7" t="e" cm="1">
        <f t="array" aca="1" ref="M74" ca="1">_xll.BDP("BZ687913 Corp","PR002")</f>
        <v>#NAME?</v>
      </c>
      <c r="N74" s="1" t="e" cm="1">
        <f t="array" aca="1" ref="N74" ca="1">_xll.BDP("BZ687913 Corp","ID028")</f>
        <v>#NAME?</v>
      </c>
      <c r="O74" s="1" t="e" cm="1">
        <f t="array" aca="1" ref="O74" ca="1">_xll.BDP("BZ687913 Corp","ID005")</f>
        <v>#NAME?</v>
      </c>
      <c r="P74" s="1" t="e" cm="1">
        <f t="array" aca="1" ref="P74" ca="1">_xll.BDP(A74,"RA007")</f>
        <v>#NAME?</v>
      </c>
      <c r="Q74" s="1" t="e" cm="1">
        <f t="array" aca="1" ref="Q74" ca="1">_xll.BDP(A74,"DS219")</f>
        <v>#NAME?</v>
      </c>
      <c r="R74" s="3" t="e" cm="1">
        <f t="array" aca="1" ref="R74" ca="1">_xll.BDP(A74,"DS040")</f>
        <v>#NAME?</v>
      </c>
      <c r="S74" s="4" t="e">
        <f t="shared" ca="1" si="3"/>
        <v>#NAME?</v>
      </c>
      <c r="T74" s="7" t="e">
        <f t="shared" ca="1" si="4"/>
        <v>#NAME?</v>
      </c>
      <c r="U74" s="3" t="e">
        <f t="shared" ca="1" si="5"/>
        <v>#NAME?</v>
      </c>
    </row>
    <row r="75" spans="1:21" x14ac:dyDescent="0.35">
      <c r="A75" s="5" t="s">
        <v>134</v>
      </c>
      <c r="B75" s="1" t="e" cm="1">
        <f t="array" aca="1" ref="B75" ca="1">_xll.BDP("BZ743105 Corp","DS520")</f>
        <v>#NAME?</v>
      </c>
      <c r="C75" s="1" t="e" cm="1">
        <f t="array" aca="1" ref="C75" ca="1">_xll.BDP("BZ743105 Corp","DS001")</f>
        <v>#NAME?</v>
      </c>
      <c r="D75" s="1" t="e" cm="1">
        <f t="array" aca="1" ref="D75" ca="1">_xll.BDP("BZ743105 Corp","DS458")</f>
        <v>#NAME?</v>
      </c>
      <c r="E75" s="1" t="e" cm="1">
        <f t="array" aca="1" ref="E75" ca="1">_xll.BDP("BZ743105 Corp","DS004")</f>
        <v>#NAME?</v>
      </c>
      <c r="F75" s="1" t="e" cm="1">
        <f t="array" aca="1" ref="F75" ca="1">_xll.BDP("BZ743105 Corp","DS035")</f>
        <v>#NAME?</v>
      </c>
      <c r="G75" s="1" t="e" cm="1">
        <f t="array" aca="1" ref="G75" ca="1">_xll.BDP("BZ743105 Corp","DS086")</f>
        <v>#NAME?</v>
      </c>
      <c r="H75" s="1" t="e" cm="1">
        <f t="array" aca="1" ref="H75" ca="1">_xll.BDP("BZ743105 Corp","DS034")</f>
        <v>#NAME?</v>
      </c>
      <c r="I75" s="1" t="e" cm="1">
        <f t="array" aca="1" ref="I75" ca="1">_xll.BDP("BZ743105 Corp","DS033")</f>
        <v>#NAME?</v>
      </c>
      <c r="J75" s="7" t="e" cm="1">
        <f t="array" aca="1" ref="J75" ca="1">_xll.BDP("BZ743105 Corp","YL018")</f>
        <v>#NAME?</v>
      </c>
      <c r="K75" s="7" t="e" cm="1">
        <f t="array" aca="1" ref="K75" ca="1">_xll.BDP("BZ743105 Corp","YL016")</f>
        <v>#NAME?</v>
      </c>
      <c r="L75" s="7" t="e" cm="1">
        <f t="array" aca="1" ref="L75" ca="1">_xll.BDP("BZ743105 Corp","PR004")</f>
        <v>#NAME?</v>
      </c>
      <c r="M75" s="7" t="e" cm="1">
        <f t="array" aca="1" ref="M75" ca="1">_xll.BDP("BZ743105 Corp","PR002")</f>
        <v>#NAME?</v>
      </c>
      <c r="N75" s="1" t="e" cm="1">
        <f t="array" aca="1" ref="N75" ca="1">_xll.BDP("BZ743105 Corp","ID028")</f>
        <v>#NAME?</v>
      </c>
      <c r="O75" s="1" t="e" cm="1">
        <f t="array" aca="1" ref="O75" ca="1">_xll.BDP("BZ743105 Corp","ID005")</f>
        <v>#NAME?</v>
      </c>
      <c r="P75" s="1" t="e" cm="1">
        <f t="array" aca="1" ref="P75" ca="1">_xll.BDP(A75,"RA007")</f>
        <v>#NAME?</v>
      </c>
      <c r="Q75" s="1" t="e" cm="1">
        <f t="array" aca="1" ref="Q75" ca="1">_xll.BDP(A75,"DS219")</f>
        <v>#NAME?</v>
      </c>
      <c r="R75" s="3" t="e" cm="1">
        <f t="array" aca="1" ref="R75" ca="1">_xll.BDP(A75,"DS040")</f>
        <v>#NAME?</v>
      </c>
      <c r="S75" s="4" t="e">
        <f t="shared" ca="1" si="3"/>
        <v>#NAME?</v>
      </c>
      <c r="T75" s="7" t="e">
        <f t="shared" ca="1" si="4"/>
        <v>#NAME?</v>
      </c>
      <c r="U75" s="3" t="e">
        <f t="shared" ca="1" si="5"/>
        <v>#NAME?</v>
      </c>
    </row>
    <row r="76" spans="1:21" x14ac:dyDescent="0.35">
      <c r="A76" s="5" t="s">
        <v>135</v>
      </c>
      <c r="B76" s="1" t="e" cm="1">
        <f t="array" aca="1" ref="B76" ca="1">_xll.BDP("BZ802616 Corp","DS520")</f>
        <v>#NAME?</v>
      </c>
      <c r="C76" s="1" t="e" cm="1">
        <f t="array" aca="1" ref="C76" ca="1">_xll.BDP("BZ802616 Corp","DS001")</f>
        <v>#NAME?</v>
      </c>
      <c r="D76" s="1" t="e" cm="1">
        <f t="array" aca="1" ref="D76" ca="1">_xll.BDP("BZ802616 Corp","DS458")</f>
        <v>#NAME?</v>
      </c>
      <c r="E76" s="1" t="e" cm="1">
        <f t="array" aca="1" ref="E76" ca="1">_xll.BDP("BZ802616 Corp","DS004")</f>
        <v>#NAME?</v>
      </c>
      <c r="F76" s="1" t="e" cm="1">
        <f t="array" aca="1" ref="F76" ca="1">_xll.BDP("BZ802616 Corp","DS035")</f>
        <v>#NAME?</v>
      </c>
      <c r="G76" s="1" t="e" cm="1">
        <f t="array" aca="1" ref="G76" ca="1">_xll.BDP("BZ802616 Corp","DS086")</f>
        <v>#NAME?</v>
      </c>
      <c r="H76" s="1" t="e" cm="1">
        <f t="array" aca="1" ref="H76" ca="1">_xll.BDP("BZ802616 Corp","DS034")</f>
        <v>#NAME?</v>
      </c>
      <c r="I76" s="1" t="e" cm="1">
        <f t="array" aca="1" ref="I76" ca="1">_xll.BDP("BZ802616 Corp","DS033")</f>
        <v>#NAME?</v>
      </c>
      <c r="J76" s="7" t="e" cm="1">
        <f t="array" aca="1" ref="J76" ca="1">_xll.BDP("BZ802616 Corp","YL018")</f>
        <v>#NAME?</v>
      </c>
      <c r="K76" s="7" t="e" cm="1">
        <f t="array" aca="1" ref="K76" ca="1">_xll.BDP("BZ802616 Corp","YL016")</f>
        <v>#NAME?</v>
      </c>
      <c r="L76" s="7" t="e" cm="1">
        <f t="array" aca="1" ref="L76" ca="1">_xll.BDP("BZ802616 Corp","PR004")</f>
        <v>#NAME?</v>
      </c>
      <c r="M76" s="7" t="e" cm="1">
        <f t="array" aca="1" ref="M76" ca="1">_xll.BDP("BZ802616 Corp","PR002")</f>
        <v>#NAME?</v>
      </c>
      <c r="N76" s="1" t="e" cm="1">
        <f t="array" aca="1" ref="N76" ca="1">_xll.BDP("BZ802616 Corp","ID028")</f>
        <v>#NAME?</v>
      </c>
      <c r="O76" s="1" t="e" cm="1">
        <f t="array" aca="1" ref="O76" ca="1">_xll.BDP("BZ802616 Corp","ID005")</f>
        <v>#NAME?</v>
      </c>
      <c r="P76" s="1" t="e" cm="1">
        <f t="array" aca="1" ref="P76" ca="1">_xll.BDP(A76,"RA007")</f>
        <v>#NAME?</v>
      </c>
      <c r="Q76" s="1" t="e" cm="1">
        <f t="array" aca="1" ref="Q76" ca="1">_xll.BDP(A76,"DS219")</f>
        <v>#NAME?</v>
      </c>
      <c r="R76" s="3" t="e" cm="1">
        <f t="array" aca="1" ref="R76" ca="1">_xll.BDP(A76,"DS040")</f>
        <v>#NAME?</v>
      </c>
      <c r="S76" s="4" t="e">
        <f t="shared" ca="1" si="3"/>
        <v>#NAME?</v>
      </c>
      <c r="T76" s="7" t="e">
        <f t="shared" ca="1" si="4"/>
        <v>#NAME?</v>
      </c>
      <c r="U76" s="3" t="e">
        <f t="shared" ca="1" si="5"/>
        <v>#NAME?</v>
      </c>
    </row>
    <row r="77" spans="1:21" x14ac:dyDescent="0.35">
      <c r="A77" s="5" t="s">
        <v>136</v>
      </c>
      <c r="B77" s="1" t="e" cm="1">
        <f t="array" aca="1" ref="B77" ca="1">_xll.BDP("DA962213 Corp","DS520")</f>
        <v>#NAME?</v>
      </c>
      <c r="C77" s="1" t="e" cm="1">
        <f t="array" aca="1" ref="C77" ca="1">_xll.BDP("DA962213 Corp","DS001")</f>
        <v>#NAME?</v>
      </c>
      <c r="D77" s="1" t="e" cm="1">
        <f t="array" aca="1" ref="D77" ca="1">_xll.BDP("DA962213 Corp","DS458")</f>
        <v>#NAME?</v>
      </c>
      <c r="E77" s="1" t="e" cm="1">
        <f t="array" aca="1" ref="E77" ca="1">_xll.BDP("DA962213 Corp","DS004")</f>
        <v>#NAME?</v>
      </c>
      <c r="F77" s="1" t="e" cm="1">
        <f t="array" aca="1" ref="F77" ca="1">_xll.BDP("DA962213 Corp","DS035")</f>
        <v>#NAME?</v>
      </c>
      <c r="G77" s="1" t="e" cm="1">
        <f t="array" aca="1" ref="G77" ca="1">_xll.BDP("DA962213 Corp","DS086")</f>
        <v>#NAME?</v>
      </c>
      <c r="H77" s="1" t="e" cm="1">
        <f t="array" aca="1" ref="H77" ca="1">_xll.BDP("DA962213 Corp","DS034")</f>
        <v>#NAME?</v>
      </c>
      <c r="I77" s="1" t="e" cm="1">
        <f t="array" aca="1" ref="I77" ca="1">_xll.BDP("DA962213 Corp","DS033")</f>
        <v>#NAME?</v>
      </c>
      <c r="J77" s="7" t="e" cm="1">
        <f t="array" aca="1" ref="J77" ca="1">_xll.BDP("DA962213 Corp","YL018")</f>
        <v>#NAME?</v>
      </c>
      <c r="K77" s="7" t="e" cm="1">
        <f t="array" aca="1" ref="K77" ca="1">_xll.BDP("DA962213 Corp","YL016")</f>
        <v>#NAME?</v>
      </c>
      <c r="L77" s="7" t="e" cm="1">
        <f t="array" aca="1" ref="L77" ca="1">_xll.BDP("DA962213 Corp","PR004")</f>
        <v>#NAME?</v>
      </c>
      <c r="M77" s="7" t="e" cm="1">
        <f t="array" aca="1" ref="M77" ca="1">_xll.BDP("DA962213 Corp","PR002")</f>
        <v>#NAME?</v>
      </c>
      <c r="N77" s="1" t="e" cm="1">
        <f t="array" aca="1" ref="N77" ca="1">_xll.BDP("DA962213 Corp","ID028")</f>
        <v>#NAME?</v>
      </c>
      <c r="O77" s="1" t="e" cm="1">
        <f t="array" aca="1" ref="O77" ca="1">_xll.BDP("DA962213 Corp","ID005")</f>
        <v>#NAME?</v>
      </c>
      <c r="P77" s="1" t="e" cm="1">
        <f t="array" aca="1" ref="P77" ca="1">_xll.BDP(A77,"RA007")</f>
        <v>#NAME?</v>
      </c>
      <c r="Q77" s="1" t="e" cm="1">
        <f t="array" aca="1" ref="Q77" ca="1">_xll.BDP(A77,"DS219")</f>
        <v>#NAME?</v>
      </c>
      <c r="R77" s="3" t="e" cm="1">
        <f t="array" aca="1" ref="R77" ca="1">_xll.BDP(A77,"DS040")</f>
        <v>#NAME?</v>
      </c>
      <c r="S77" s="4" t="e">
        <f t="shared" ca="1" si="3"/>
        <v>#NAME?</v>
      </c>
      <c r="T77" s="7" t="e">
        <f t="shared" ca="1" si="4"/>
        <v>#NAME?</v>
      </c>
      <c r="U77" s="3" t="e">
        <f t="shared" ca="1" si="5"/>
        <v>#NAME?</v>
      </c>
    </row>
    <row r="78" spans="1:21" x14ac:dyDescent="0.35">
      <c r="A78" s="5" t="s">
        <v>137</v>
      </c>
      <c r="B78" s="1" t="e" cm="1">
        <f t="array" aca="1" ref="B78" ca="1">_xll.BDP("DC209344 Corp","DS520")</f>
        <v>#NAME?</v>
      </c>
      <c r="C78" s="1" t="e" cm="1">
        <f t="array" aca="1" ref="C78" ca="1">_xll.BDP("DC209344 Corp","DS001")</f>
        <v>#NAME?</v>
      </c>
      <c r="D78" s="1" t="e" cm="1">
        <f t="array" aca="1" ref="D78" ca="1">_xll.BDP("DC209344 Corp","DS458")</f>
        <v>#NAME?</v>
      </c>
      <c r="E78" s="1" t="e" cm="1">
        <f t="array" aca="1" ref="E78" ca="1">_xll.BDP("DC209344 Corp","DS004")</f>
        <v>#NAME?</v>
      </c>
      <c r="F78" s="1" t="e" cm="1">
        <f t="array" aca="1" ref="F78" ca="1">_xll.BDP("DC209344 Corp","DS035")</f>
        <v>#NAME?</v>
      </c>
      <c r="G78" s="1" t="e" cm="1">
        <f t="array" aca="1" ref="G78" ca="1">_xll.BDP("DC209344 Corp","DS086")</f>
        <v>#NAME?</v>
      </c>
      <c r="H78" s="1" t="e" cm="1">
        <f t="array" aca="1" ref="H78" ca="1">_xll.BDP("DC209344 Corp","DS034")</f>
        <v>#NAME?</v>
      </c>
      <c r="I78" s="1" t="e" cm="1">
        <f t="array" aca="1" ref="I78" ca="1">_xll.BDP("DC209344 Corp","DS033")</f>
        <v>#NAME?</v>
      </c>
      <c r="J78" s="7" t="e" cm="1">
        <f t="array" aca="1" ref="J78" ca="1">_xll.BDP("DC209344 Corp","YL018")</f>
        <v>#NAME?</v>
      </c>
      <c r="K78" s="7" t="e" cm="1">
        <f t="array" aca="1" ref="K78" ca="1">_xll.BDP("DC209344 Corp","YL016")</f>
        <v>#NAME?</v>
      </c>
      <c r="L78" s="7" t="e" cm="1">
        <f t="array" aca="1" ref="L78" ca="1">_xll.BDP("DC209344 Corp","PR004")</f>
        <v>#NAME?</v>
      </c>
      <c r="M78" s="7" t="e" cm="1">
        <f t="array" aca="1" ref="M78" ca="1">_xll.BDP("DC209344 Corp","PR002")</f>
        <v>#NAME?</v>
      </c>
      <c r="N78" s="1" t="e" cm="1">
        <f t="array" aca="1" ref="N78" ca="1">_xll.BDP("DC209344 Corp","ID028")</f>
        <v>#NAME?</v>
      </c>
      <c r="O78" s="1" t="e" cm="1">
        <f t="array" aca="1" ref="O78" ca="1">_xll.BDP("DC209344 Corp","ID005")</f>
        <v>#NAME?</v>
      </c>
      <c r="P78" s="1" t="e" cm="1">
        <f t="array" aca="1" ref="P78" ca="1">_xll.BDP(A78,"RA007")</f>
        <v>#NAME?</v>
      </c>
      <c r="Q78" s="1" t="e" cm="1">
        <f t="array" aca="1" ref="Q78" ca="1">_xll.BDP(A78,"DS219")</f>
        <v>#NAME?</v>
      </c>
      <c r="R78" s="3" t="e" cm="1">
        <f t="array" aca="1" ref="R78" ca="1">_xll.BDP(A78,"DS040")</f>
        <v>#NAME?</v>
      </c>
      <c r="S78" s="4" t="e">
        <f t="shared" ca="1" si="3"/>
        <v>#NAME?</v>
      </c>
      <c r="T78" s="7" t="e">
        <f t="shared" ca="1" si="4"/>
        <v>#NAME?</v>
      </c>
      <c r="U78" s="3" t="e">
        <f t="shared" ca="1" si="5"/>
        <v>#NAME?</v>
      </c>
    </row>
    <row r="79" spans="1:21" x14ac:dyDescent="0.35">
      <c r="A79" s="5" t="s">
        <v>138</v>
      </c>
      <c r="B79" s="1" t="e" cm="1">
        <f t="array" aca="1" ref="B79" ca="1">_xll.BDP("DC578379 Corp","DS520")</f>
        <v>#NAME?</v>
      </c>
      <c r="C79" s="1" t="e" cm="1">
        <f t="array" aca="1" ref="C79" ca="1">_xll.BDP("DC578379 Corp","DS001")</f>
        <v>#NAME?</v>
      </c>
      <c r="D79" s="1" t="e" cm="1">
        <f t="array" aca="1" ref="D79" ca="1">_xll.BDP("DC578379 Corp","DS458")</f>
        <v>#NAME?</v>
      </c>
      <c r="E79" s="1" t="e" cm="1">
        <f t="array" aca="1" ref="E79" ca="1">_xll.BDP("DC578379 Corp","DS004")</f>
        <v>#NAME?</v>
      </c>
      <c r="F79" s="1" t="e" cm="1">
        <f t="array" aca="1" ref="F79" ca="1">_xll.BDP("DC578379 Corp","DS035")</f>
        <v>#NAME?</v>
      </c>
      <c r="G79" s="1" t="e" cm="1">
        <f t="array" aca="1" ref="G79" ca="1">_xll.BDP("DC578379 Corp","DS086")</f>
        <v>#NAME?</v>
      </c>
      <c r="H79" s="1" t="e" cm="1">
        <f t="array" aca="1" ref="H79" ca="1">_xll.BDP("DC578379 Corp","DS034")</f>
        <v>#NAME?</v>
      </c>
      <c r="I79" s="1" t="e" cm="1">
        <f t="array" aca="1" ref="I79" ca="1">_xll.BDP("DC578379 Corp","DS033")</f>
        <v>#NAME?</v>
      </c>
      <c r="J79" s="7" t="e" cm="1">
        <f t="array" aca="1" ref="J79" ca="1">_xll.BDP("DC578379 Corp","YL018")</f>
        <v>#NAME?</v>
      </c>
      <c r="K79" s="7" t="e" cm="1">
        <f t="array" aca="1" ref="K79" ca="1">_xll.BDP("DC578379 Corp","YL016")</f>
        <v>#NAME?</v>
      </c>
      <c r="L79" s="7" t="e" cm="1">
        <f t="array" aca="1" ref="L79" ca="1">_xll.BDP("DC578379 Corp","PR004")</f>
        <v>#NAME?</v>
      </c>
      <c r="M79" s="7" t="e" cm="1">
        <f t="array" aca="1" ref="M79" ca="1">_xll.BDP("DC578379 Corp","PR002")</f>
        <v>#NAME?</v>
      </c>
      <c r="N79" s="1" t="e" cm="1">
        <f t="array" aca="1" ref="N79" ca="1">_xll.BDP("DC578379 Corp","ID028")</f>
        <v>#NAME?</v>
      </c>
      <c r="O79" s="1" t="e" cm="1">
        <f t="array" aca="1" ref="O79" ca="1">_xll.BDP("DC578379 Corp","ID005")</f>
        <v>#NAME?</v>
      </c>
      <c r="P79" s="1" t="e" cm="1">
        <f t="array" aca="1" ref="P79" ca="1">_xll.BDP(A79,"RA007")</f>
        <v>#NAME?</v>
      </c>
      <c r="Q79" s="1" t="e" cm="1">
        <f t="array" aca="1" ref="Q79" ca="1">_xll.BDP(A79,"DS219")</f>
        <v>#NAME?</v>
      </c>
      <c r="R79" s="3" t="e" cm="1">
        <f t="array" aca="1" ref="R79" ca="1">_xll.BDP(A79,"DS040")</f>
        <v>#NAME?</v>
      </c>
      <c r="S79" s="4" t="e">
        <f t="shared" ca="1" si="3"/>
        <v>#NAME?</v>
      </c>
      <c r="T79" s="7" t="e">
        <f t="shared" ca="1" si="4"/>
        <v>#NAME?</v>
      </c>
      <c r="U79" s="3" t="e">
        <f t="shared" ca="1" si="5"/>
        <v>#NAME?</v>
      </c>
    </row>
    <row r="80" spans="1:21" x14ac:dyDescent="0.35">
      <c r="A80" s="5" t="s">
        <v>139</v>
      </c>
      <c r="B80" s="1" t="e" cm="1">
        <f t="array" aca="1" ref="B80" ca="1">_xll.BDP("DC746693 Corp","DS520")</f>
        <v>#NAME?</v>
      </c>
      <c r="C80" s="1" t="e" cm="1">
        <f t="array" aca="1" ref="C80" ca="1">_xll.BDP("DC746693 Corp","DS001")</f>
        <v>#NAME?</v>
      </c>
      <c r="D80" s="1" t="e" cm="1">
        <f t="array" aca="1" ref="D80" ca="1">_xll.BDP("DC746693 Corp","DS458")</f>
        <v>#NAME?</v>
      </c>
      <c r="E80" s="1" t="e" cm="1">
        <f t="array" aca="1" ref="E80" ca="1">_xll.BDP("DC746693 Corp","DS004")</f>
        <v>#NAME?</v>
      </c>
      <c r="F80" s="1" t="e" cm="1">
        <f t="array" aca="1" ref="F80" ca="1">_xll.BDP("DC746693 Corp","DS035")</f>
        <v>#NAME?</v>
      </c>
      <c r="G80" s="1" t="e" cm="1">
        <f t="array" aca="1" ref="G80" ca="1">_xll.BDP("DC746693 Corp","DS086")</f>
        <v>#NAME?</v>
      </c>
      <c r="H80" s="1" t="e" cm="1">
        <f t="array" aca="1" ref="H80" ca="1">_xll.BDP("DC746693 Corp","DS034")</f>
        <v>#NAME?</v>
      </c>
      <c r="I80" s="1" t="e" cm="1">
        <f t="array" aca="1" ref="I80" ca="1">_xll.BDP("DC746693 Corp","DS033")</f>
        <v>#NAME?</v>
      </c>
      <c r="J80" s="7" t="e" cm="1">
        <f t="array" aca="1" ref="J80" ca="1">_xll.BDP("DC746693 Corp","YL018")</f>
        <v>#NAME?</v>
      </c>
      <c r="K80" s="7" t="e" cm="1">
        <f t="array" aca="1" ref="K80" ca="1">_xll.BDP("DC746693 Corp","YL016")</f>
        <v>#NAME?</v>
      </c>
      <c r="L80" s="7" t="e" cm="1">
        <f t="array" aca="1" ref="L80" ca="1">_xll.BDP("DC746693 Corp","PR004")</f>
        <v>#NAME?</v>
      </c>
      <c r="M80" s="7" t="e" cm="1">
        <f t="array" aca="1" ref="M80" ca="1">_xll.BDP("DC746693 Corp","PR002")</f>
        <v>#NAME?</v>
      </c>
      <c r="N80" s="1" t="e" cm="1">
        <f t="array" aca="1" ref="N80" ca="1">_xll.BDP("DC746693 Corp","ID028")</f>
        <v>#NAME?</v>
      </c>
      <c r="O80" s="1" t="e" cm="1">
        <f t="array" aca="1" ref="O80" ca="1">_xll.BDP("DC746693 Corp","ID005")</f>
        <v>#NAME?</v>
      </c>
      <c r="P80" s="1" t="e" cm="1">
        <f t="array" aca="1" ref="P80" ca="1">_xll.BDP(A80,"RA007")</f>
        <v>#NAME?</v>
      </c>
      <c r="Q80" s="1" t="e" cm="1">
        <f t="array" aca="1" ref="Q80" ca="1">_xll.BDP(A80,"DS219")</f>
        <v>#NAME?</v>
      </c>
      <c r="R80" s="3" t="e" cm="1">
        <f t="array" aca="1" ref="R80" ca="1">_xll.BDP(A80,"DS040")</f>
        <v>#NAME?</v>
      </c>
      <c r="S80" s="4" t="e">
        <f t="shared" ca="1" si="3"/>
        <v>#NAME?</v>
      </c>
      <c r="T80" s="7" t="e">
        <f t="shared" ca="1" si="4"/>
        <v>#NAME?</v>
      </c>
      <c r="U80" s="3" t="e">
        <f t="shared" ca="1" si="5"/>
        <v>#NAME?</v>
      </c>
    </row>
    <row r="81" spans="1:21" x14ac:dyDescent="0.35">
      <c r="A81" s="5" t="s">
        <v>140</v>
      </c>
      <c r="B81" s="1" t="e" cm="1">
        <f t="array" aca="1" ref="B81" ca="1">_xll.BDP("DC841111 Corp","DS520")</f>
        <v>#NAME?</v>
      </c>
      <c r="C81" s="1" t="e" cm="1">
        <f t="array" aca="1" ref="C81" ca="1">_xll.BDP("DC841111 Corp","DS001")</f>
        <v>#NAME?</v>
      </c>
      <c r="D81" s="1" t="e" cm="1">
        <f t="array" aca="1" ref="D81" ca="1">_xll.BDP("DC841111 Corp","DS458")</f>
        <v>#NAME?</v>
      </c>
      <c r="E81" s="1" t="e" cm="1">
        <f t="array" aca="1" ref="E81" ca="1">_xll.BDP("DC841111 Corp","DS004")</f>
        <v>#NAME?</v>
      </c>
      <c r="F81" s="1" t="e" cm="1">
        <f t="array" aca="1" ref="F81" ca="1">_xll.BDP("DC841111 Corp","DS035")</f>
        <v>#NAME?</v>
      </c>
      <c r="G81" s="1" t="e" cm="1">
        <f t="array" aca="1" ref="G81" ca="1">_xll.BDP("DC841111 Corp","DS086")</f>
        <v>#NAME?</v>
      </c>
      <c r="H81" s="1" t="e" cm="1">
        <f t="array" aca="1" ref="H81" ca="1">_xll.BDP("DC841111 Corp","DS034")</f>
        <v>#NAME?</v>
      </c>
      <c r="I81" s="1" t="e" cm="1">
        <f t="array" aca="1" ref="I81" ca="1">_xll.BDP("DC841111 Corp","DS033")</f>
        <v>#NAME?</v>
      </c>
      <c r="J81" s="7" t="e" cm="1">
        <f t="array" aca="1" ref="J81" ca="1">_xll.BDP("DC841111 Corp","YL018")</f>
        <v>#NAME?</v>
      </c>
      <c r="K81" s="7" t="e" cm="1">
        <f t="array" aca="1" ref="K81" ca="1">_xll.BDP("DC841111 Corp","YL016")</f>
        <v>#NAME?</v>
      </c>
      <c r="L81" s="7" t="e" cm="1">
        <f t="array" aca="1" ref="L81" ca="1">_xll.BDP("DC841111 Corp","PR004")</f>
        <v>#NAME?</v>
      </c>
      <c r="M81" s="7" t="e" cm="1">
        <f t="array" aca="1" ref="M81" ca="1">_xll.BDP("DC841111 Corp","PR002")</f>
        <v>#NAME?</v>
      </c>
      <c r="N81" s="1" t="e" cm="1">
        <f t="array" aca="1" ref="N81" ca="1">_xll.BDP("DC841111 Corp","ID028")</f>
        <v>#NAME?</v>
      </c>
      <c r="O81" s="1" t="e" cm="1">
        <f t="array" aca="1" ref="O81" ca="1">_xll.BDP("DC841111 Corp","ID005")</f>
        <v>#NAME?</v>
      </c>
      <c r="P81" s="1" t="e" cm="1">
        <f t="array" aca="1" ref="P81" ca="1">_xll.BDP(A81,"RA007")</f>
        <v>#NAME?</v>
      </c>
      <c r="Q81" s="1" t="e" cm="1">
        <f t="array" aca="1" ref="Q81" ca="1">_xll.BDP(A81,"DS219")</f>
        <v>#NAME?</v>
      </c>
      <c r="R81" s="3" t="e" cm="1">
        <f t="array" aca="1" ref="R81" ca="1">_xll.BDP(A81,"DS040")</f>
        <v>#NAME?</v>
      </c>
      <c r="S81" s="4" t="e">
        <f t="shared" ca="1" si="3"/>
        <v>#NAME?</v>
      </c>
      <c r="T81" s="7" t="e">
        <f t="shared" ca="1" si="4"/>
        <v>#NAME?</v>
      </c>
      <c r="U81" s="3" t="e">
        <f t="shared" ca="1" si="5"/>
        <v>#NAME?</v>
      </c>
    </row>
    <row r="82" spans="1:21" x14ac:dyDescent="0.35">
      <c r="A82" s="5" t="s">
        <v>141</v>
      </c>
      <c r="B82" s="1" t="e" cm="1">
        <f t="array" aca="1" ref="B82" ca="1">_xll.BDP("DF972719 Corp","DS520")</f>
        <v>#NAME?</v>
      </c>
      <c r="C82" s="1" t="e" cm="1">
        <f t="array" aca="1" ref="C82" ca="1">_xll.BDP("DF972719 Corp","DS001")</f>
        <v>#NAME?</v>
      </c>
      <c r="D82" s="1" t="e" cm="1">
        <f t="array" aca="1" ref="D82" ca="1">_xll.BDP("DF972719 Corp","DS458")</f>
        <v>#NAME?</v>
      </c>
      <c r="E82" s="1" t="e" cm="1">
        <f t="array" aca="1" ref="E82" ca="1">_xll.BDP("DF972719 Corp","DS004")</f>
        <v>#NAME?</v>
      </c>
      <c r="F82" s="1" t="e" cm="1">
        <f t="array" aca="1" ref="F82" ca="1">_xll.BDP("DF972719 Corp","DS035")</f>
        <v>#NAME?</v>
      </c>
      <c r="G82" s="1" t="e" cm="1">
        <f t="array" aca="1" ref="G82" ca="1">_xll.BDP("DF972719 Corp","DS086")</f>
        <v>#NAME?</v>
      </c>
      <c r="H82" s="1" t="e" cm="1">
        <f t="array" aca="1" ref="H82" ca="1">_xll.BDP("DF972719 Corp","DS034")</f>
        <v>#NAME?</v>
      </c>
      <c r="I82" s="1" t="e" cm="1">
        <f t="array" aca="1" ref="I82" ca="1">_xll.BDP("DF972719 Corp","DS033")</f>
        <v>#NAME?</v>
      </c>
      <c r="J82" s="7" t="e" cm="1">
        <f t="array" aca="1" ref="J82" ca="1">_xll.BDP("DF972719 Corp","YL018")</f>
        <v>#NAME?</v>
      </c>
      <c r="K82" s="7" t="e" cm="1">
        <f t="array" aca="1" ref="K82" ca="1">_xll.BDP("DF972719 Corp","YL016")</f>
        <v>#NAME?</v>
      </c>
      <c r="L82" s="7" t="e" cm="1">
        <f t="array" aca="1" ref="L82" ca="1">_xll.BDP("DF972719 Corp","PR004")</f>
        <v>#NAME?</v>
      </c>
      <c r="M82" s="7" t="e" cm="1">
        <f t="array" aca="1" ref="M82" ca="1">_xll.BDP("DF972719 Corp","PR002")</f>
        <v>#NAME?</v>
      </c>
      <c r="N82" s="1" t="e" cm="1">
        <f t="array" aca="1" ref="N82" ca="1">_xll.BDP("DF972719 Corp","ID028")</f>
        <v>#NAME?</v>
      </c>
      <c r="O82" s="1" t="e" cm="1">
        <f t="array" aca="1" ref="O82" ca="1">_xll.BDP("DF972719 Corp","ID005")</f>
        <v>#NAME?</v>
      </c>
      <c r="P82" s="1" t="e" cm="1">
        <f t="array" aca="1" ref="P82" ca="1">_xll.BDP(A82,"RA007")</f>
        <v>#NAME?</v>
      </c>
      <c r="Q82" s="1" t="e" cm="1">
        <f t="array" aca="1" ref="Q82" ca="1">_xll.BDP(A82,"DS219")</f>
        <v>#NAME?</v>
      </c>
      <c r="R82" s="3" t="e" cm="1">
        <f t="array" aca="1" ref="R82" ca="1">_xll.BDP(A82,"DS040")</f>
        <v>#NAME?</v>
      </c>
      <c r="S82" s="4" t="e">
        <f t="shared" ca="1" si="3"/>
        <v>#NAME?</v>
      </c>
      <c r="T82" s="7" t="e">
        <f t="shared" ca="1" si="4"/>
        <v>#NAME?</v>
      </c>
      <c r="U82" s="3" t="e">
        <f t="shared" ca="1" si="5"/>
        <v>#NAME?</v>
      </c>
    </row>
    <row r="83" spans="1:21" x14ac:dyDescent="0.35">
      <c r="A83" s="5" t="s">
        <v>142</v>
      </c>
      <c r="B83" s="1" t="e" cm="1">
        <f t="array" aca="1" ref="B83" ca="1">_xll.BDP("EC174534 Corp","DS520")</f>
        <v>#NAME?</v>
      </c>
      <c r="C83" s="1" t="e" cm="1">
        <f t="array" aca="1" ref="C83" ca="1">_xll.BDP("EC174534 Corp","DS001")</f>
        <v>#NAME?</v>
      </c>
      <c r="D83" s="1" t="e" cm="1">
        <f t="array" aca="1" ref="D83" ca="1">_xll.BDP("EC174534 Corp","DS458")</f>
        <v>#NAME?</v>
      </c>
      <c r="E83" s="1" t="e" cm="1">
        <f t="array" aca="1" ref="E83" ca="1">_xll.BDP("EC174534 Corp","DS004")</f>
        <v>#NAME?</v>
      </c>
      <c r="F83" s="1" t="e" cm="1">
        <f t="array" aca="1" ref="F83" ca="1">_xll.BDP("EC174534 Corp","DS035")</f>
        <v>#NAME?</v>
      </c>
      <c r="G83" s="1" t="e" cm="1">
        <f t="array" aca="1" ref="G83" ca="1">_xll.BDP("EC174534 Corp","DS086")</f>
        <v>#NAME?</v>
      </c>
      <c r="H83" s="1" t="e" cm="1">
        <f t="array" aca="1" ref="H83" ca="1">_xll.BDP("EC174534 Corp","DS034")</f>
        <v>#NAME?</v>
      </c>
      <c r="I83" s="1" t="e" cm="1">
        <f t="array" aca="1" ref="I83" ca="1">_xll.BDP("EC174534 Corp","DS033")</f>
        <v>#NAME?</v>
      </c>
      <c r="J83" s="7" t="e" cm="1">
        <f t="array" aca="1" ref="J83" ca="1">_xll.BDP("EC174534 Corp","YL018")</f>
        <v>#NAME?</v>
      </c>
      <c r="K83" s="7" t="e" cm="1">
        <f t="array" aca="1" ref="K83" ca="1">_xll.BDP("EC174534 Corp","YL016")</f>
        <v>#NAME?</v>
      </c>
      <c r="L83" s="7" t="e" cm="1">
        <f t="array" aca="1" ref="L83" ca="1">_xll.BDP("EC174534 Corp","PR004")</f>
        <v>#NAME?</v>
      </c>
      <c r="M83" s="7" t="e" cm="1">
        <f t="array" aca="1" ref="M83" ca="1">_xll.BDP("EC174534 Corp","PR002")</f>
        <v>#NAME?</v>
      </c>
      <c r="N83" s="1" t="e" cm="1">
        <f t="array" aca="1" ref="N83" ca="1">_xll.BDP("EC174534 Corp","ID028")</f>
        <v>#NAME?</v>
      </c>
      <c r="O83" s="1" t="e" cm="1">
        <f t="array" aca="1" ref="O83" ca="1">_xll.BDP("EC174534 Corp","ID005")</f>
        <v>#NAME?</v>
      </c>
      <c r="P83" s="1" t="e" cm="1">
        <f t="array" aca="1" ref="P83" ca="1">_xll.BDP(A83,"RA007")</f>
        <v>#NAME?</v>
      </c>
      <c r="Q83" s="1" t="e" cm="1">
        <f t="array" aca="1" ref="Q83" ca="1">_xll.BDP(A83,"DS219")</f>
        <v>#NAME?</v>
      </c>
      <c r="R83" s="3" t="e" cm="1">
        <f t="array" aca="1" ref="R83" ca="1">_xll.BDP(A83,"DS040")</f>
        <v>#NAME?</v>
      </c>
      <c r="S83" s="4" t="e">
        <f t="shared" ca="1" si="3"/>
        <v>#NAME?</v>
      </c>
      <c r="T83" s="7" t="e">
        <f t="shared" ca="1" si="4"/>
        <v>#NAME?</v>
      </c>
      <c r="U83" s="3" t="e">
        <f t="shared" ca="1" si="5"/>
        <v>#NAME?</v>
      </c>
    </row>
    <row r="84" spans="1:21" x14ac:dyDescent="0.35">
      <c r="A84" s="5" t="s">
        <v>143</v>
      </c>
      <c r="B84" s="1" t="e" cm="1">
        <f t="array" aca="1" ref="B84" ca="1">_xll.BDP("EC222031 Corp","DS520")</f>
        <v>#NAME?</v>
      </c>
      <c r="C84" s="1" t="e" cm="1">
        <f t="array" aca="1" ref="C84" ca="1">_xll.BDP("EC222031 Corp","DS001")</f>
        <v>#NAME?</v>
      </c>
      <c r="D84" s="1" t="e" cm="1">
        <f t="array" aca="1" ref="D84" ca="1">_xll.BDP("EC222031 Corp","DS458")</f>
        <v>#NAME?</v>
      </c>
      <c r="E84" s="1" t="e" cm="1">
        <f t="array" aca="1" ref="E84" ca="1">_xll.BDP("EC222031 Corp","DS004")</f>
        <v>#NAME?</v>
      </c>
      <c r="F84" s="1" t="e" cm="1">
        <f t="array" aca="1" ref="F84" ca="1">_xll.BDP("EC222031 Corp","DS035")</f>
        <v>#NAME?</v>
      </c>
      <c r="G84" s="1" t="e" cm="1">
        <f t="array" aca="1" ref="G84" ca="1">_xll.BDP("EC222031 Corp","DS086")</f>
        <v>#NAME?</v>
      </c>
      <c r="H84" s="1" t="e" cm="1">
        <f t="array" aca="1" ref="H84" ca="1">_xll.BDP("EC222031 Corp","DS034")</f>
        <v>#NAME?</v>
      </c>
      <c r="I84" s="1" t="e" cm="1">
        <f t="array" aca="1" ref="I84" ca="1">_xll.BDP("EC222031 Corp","DS033")</f>
        <v>#NAME?</v>
      </c>
      <c r="J84" s="7" t="e" cm="1">
        <f t="array" aca="1" ref="J84" ca="1">_xll.BDP("EC222031 Corp","YL018")</f>
        <v>#NAME?</v>
      </c>
      <c r="K84" s="7" t="e" cm="1">
        <f t="array" aca="1" ref="K84" ca="1">_xll.BDP("EC222031 Corp","YL016")</f>
        <v>#NAME?</v>
      </c>
      <c r="L84" s="7" t="e" cm="1">
        <f t="array" aca="1" ref="L84" ca="1">_xll.BDP("EC222031 Corp","PR004")</f>
        <v>#NAME?</v>
      </c>
      <c r="M84" s="7" t="e" cm="1">
        <f t="array" aca="1" ref="M84" ca="1">_xll.BDP("EC222031 Corp","PR002")</f>
        <v>#NAME?</v>
      </c>
      <c r="N84" s="1" t="e" cm="1">
        <f t="array" aca="1" ref="N84" ca="1">_xll.BDP("EC222031 Corp","ID028")</f>
        <v>#NAME?</v>
      </c>
      <c r="O84" s="1" t="e" cm="1">
        <f t="array" aca="1" ref="O84" ca="1">_xll.BDP("EC222031 Corp","ID005")</f>
        <v>#NAME?</v>
      </c>
      <c r="P84" s="1" t="e" cm="1">
        <f t="array" aca="1" ref="P84" ca="1">_xll.BDP(A84,"RA007")</f>
        <v>#NAME?</v>
      </c>
      <c r="Q84" s="1" t="e" cm="1">
        <f t="array" aca="1" ref="Q84" ca="1">_xll.BDP(A84,"DS219")</f>
        <v>#NAME?</v>
      </c>
      <c r="R84" s="3" t="e" cm="1">
        <f t="array" aca="1" ref="R84" ca="1">_xll.BDP(A84,"DS040")</f>
        <v>#NAME?</v>
      </c>
      <c r="S84" s="4" t="e">
        <f t="shared" ca="1" si="3"/>
        <v>#NAME?</v>
      </c>
      <c r="T84" s="7" t="e">
        <f t="shared" ca="1" si="4"/>
        <v>#NAME?</v>
      </c>
      <c r="U84" s="3" t="e">
        <f t="shared" ca="1" si="5"/>
        <v>#NAME?</v>
      </c>
    </row>
    <row r="85" spans="1:21" x14ac:dyDescent="0.35">
      <c r="A85" s="5" t="s">
        <v>144</v>
      </c>
      <c r="B85" s="1" t="e" cm="1">
        <f t="array" aca="1" ref="B85" ca="1">_xll.BDP("EC256531 Corp","DS520")</f>
        <v>#NAME?</v>
      </c>
      <c r="C85" s="1" t="e" cm="1">
        <f t="array" aca="1" ref="C85" ca="1">_xll.BDP("EC256531 Corp","DS001")</f>
        <v>#NAME?</v>
      </c>
      <c r="D85" s="1" t="e" cm="1">
        <f t="array" aca="1" ref="D85" ca="1">_xll.BDP("EC256531 Corp","DS458")</f>
        <v>#NAME?</v>
      </c>
      <c r="E85" s="1" t="e" cm="1">
        <f t="array" aca="1" ref="E85" ca="1">_xll.BDP("EC256531 Corp","DS004")</f>
        <v>#NAME?</v>
      </c>
      <c r="F85" s="1" t="e" cm="1">
        <f t="array" aca="1" ref="F85" ca="1">_xll.BDP("EC256531 Corp","DS035")</f>
        <v>#NAME?</v>
      </c>
      <c r="G85" s="1" t="e" cm="1">
        <f t="array" aca="1" ref="G85" ca="1">_xll.BDP("EC256531 Corp","DS086")</f>
        <v>#NAME?</v>
      </c>
      <c r="H85" s="1" t="e" cm="1">
        <f t="array" aca="1" ref="H85" ca="1">_xll.BDP("EC256531 Corp","DS034")</f>
        <v>#NAME?</v>
      </c>
      <c r="I85" s="1" t="e" cm="1">
        <f t="array" aca="1" ref="I85" ca="1">_xll.BDP("EC256531 Corp","DS033")</f>
        <v>#NAME?</v>
      </c>
      <c r="J85" s="7" t="e" cm="1">
        <f t="array" aca="1" ref="J85" ca="1">_xll.BDP("EC256531 Corp","YL018")</f>
        <v>#NAME?</v>
      </c>
      <c r="K85" s="7" t="e" cm="1">
        <f t="array" aca="1" ref="K85" ca="1">_xll.BDP("EC256531 Corp","YL016")</f>
        <v>#NAME?</v>
      </c>
      <c r="L85" s="7" t="e" cm="1">
        <f t="array" aca="1" ref="L85" ca="1">_xll.BDP("EC256531 Corp","PR004")</f>
        <v>#NAME?</v>
      </c>
      <c r="M85" s="7" t="e" cm="1">
        <f t="array" aca="1" ref="M85" ca="1">_xll.BDP("EC256531 Corp","PR002")</f>
        <v>#NAME?</v>
      </c>
      <c r="N85" s="1" t="e" cm="1">
        <f t="array" aca="1" ref="N85" ca="1">_xll.BDP("EC256531 Corp","ID028")</f>
        <v>#NAME?</v>
      </c>
      <c r="O85" s="1" t="e" cm="1">
        <f t="array" aca="1" ref="O85" ca="1">_xll.BDP("EC256531 Corp","ID005")</f>
        <v>#NAME?</v>
      </c>
      <c r="P85" s="1" t="e" cm="1">
        <f t="array" aca="1" ref="P85" ca="1">_xll.BDP(A85,"RA007")</f>
        <v>#NAME?</v>
      </c>
      <c r="Q85" s="1" t="e" cm="1">
        <f t="array" aca="1" ref="Q85" ca="1">_xll.BDP(A85,"DS219")</f>
        <v>#NAME?</v>
      </c>
      <c r="R85" s="3" t="e" cm="1">
        <f t="array" aca="1" ref="R85" ca="1">_xll.BDP(A85,"DS040")</f>
        <v>#NAME?</v>
      </c>
      <c r="S85" s="4" t="e">
        <f t="shared" ca="1" si="3"/>
        <v>#NAME?</v>
      </c>
      <c r="T85" s="7" t="e">
        <f t="shared" ca="1" si="4"/>
        <v>#NAME?</v>
      </c>
      <c r="U85" s="3" t="e">
        <f t="shared" ca="1" si="5"/>
        <v>#NAME?</v>
      </c>
    </row>
    <row r="86" spans="1:21" x14ac:dyDescent="0.35">
      <c r="A86" s="5" t="s">
        <v>145</v>
      </c>
      <c r="B86" s="1" t="e" cm="1">
        <f t="array" aca="1" ref="B86" ca="1">_xll.BDP("EC306656 Corp","DS520")</f>
        <v>#NAME?</v>
      </c>
      <c r="C86" s="1" t="e" cm="1">
        <f t="array" aca="1" ref="C86" ca="1">_xll.BDP("EC306656 Corp","DS001")</f>
        <v>#NAME?</v>
      </c>
      <c r="D86" s="1" t="e" cm="1">
        <f t="array" aca="1" ref="D86" ca="1">_xll.BDP("EC306656 Corp","DS458")</f>
        <v>#NAME?</v>
      </c>
      <c r="E86" s="1" t="e" cm="1">
        <f t="array" aca="1" ref="E86" ca="1">_xll.BDP("EC306656 Corp","DS004")</f>
        <v>#NAME?</v>
      </c>
      <c r="F86" s="1" t="e" cm="1">
        <f t="array" aca="1" ref="F86" ca="1">_xll.BDP("EC306656 Corp","DS035")</f>
        <v>#NAME?</v>
      </c>
      <c r="G86" s="1" t="e" cm="1">
        <f t="array" aca="1" ref="G86" ca="1">_xll.BDP("EC306656 Corp","DS086")</f>
        <v>#NAME?</v>
      </c>
      <c r="H86" s="1" t="e" cm="1">
        <f t="array" aca="1" ref="H86" ca="1">_xll.BDP("EC306656 Corp","DS034")</f>
        <v>#NAME?</v>
      </c>
      <c r="I86" s="1" t="e" cm="1">
        <f t="array" aca="1" ref="I86" ca="1">_xll.BDP("EC306656 Corp","DS033")</f>
        <v>#NAME?</v>
      </c>
      <c r="J86" s="7" t="e" cm="1">
        <f t="array" aca="1" ref="J86" ca="1">_xll.BDP("EC306656 Corp","YL018")</f>
        <v>#NAME?</v>
      </c>
      <c r="K86" s="7" t="e" cm="1">
        <f t="array" aca="1" ref="K86" ca="1">_xll.BDP("EC306656 Corp","YL016")</f>
        <v>#NAME?</v>
      </c>
      <c r="L86" s="7" t="e" cm="1">
        <f t="array" aca="1" ref="L86" ca="1">_xll.BDP("EC306656 Corp","PR004")</f>
        <v>#NAME?</v>
      </c>
      <c r="M86" s="7" t="e" cm="1">
        <f t="array" aca="1" ref="M86" ca="1">_xll.BDP("EC306656 Corp","PR002")</f>
        <v>#NAME?</v>
      </c>
      <c r="N86" s="1" t="e" cm="1">
        <f t="array" aca="1" ref="N86" ca="1">_xll.BDP("EC306656 Corp","ID028")</f>
        <v>#NAME?</v>
      </c>
      <c r="O86" s="1" t="e" cm="1">
        <f t="array" aca="1" ref="O86" ca="1">_xll.BDP("EC306656 Corp","ID005")</f>
        <v>#NAME?</v>
      </c>
      <c r="P86" s="1" t="e" cm="1">
        <f t="array" aca="1" ref="P86" ca="1">_xll.BDP(A86,"RA007")</f>
        <v>#NAME?</v>
      </c>
      <c r="Q86" s="1" t="e" cm="1">
        <f t="array" aca="1" ref="Q86" ca="1">_xll.BDP(A86,"DS219")</f>
        <v>#NAME?</v>
      </c>
      <c r="R86" s="3" t="e" cm="1">
        <f t="array" aca="1" ref="R86" ca="1">_xll.BDP(A86,"DS040")</f>
        <v>#NAME?</v>
      </c>
      <c r="S86" s="4" t="e">
        <f t="shared" ca="1" si="3"/>
        <v>#NAME?</v>
      </c>
      <c r="T86" s="7" t="e">
        <f t="shared" ca="1" si="4"/>
        <v>#NAME?</v>
      </c>
      <c r="U86" s="3" t="e">
        <f t="shared" ca="1" si="5"/>
        <v>#NAME?</v>
      </c>
    </row>
    <row r="87" spans="1:21" x14ac:dyDescent="0.35">
      <c r="A87" s="5" t="s">
        <v>146</v>
      </c>
      <c r="B87" s="1" t="e" cm="1">
        <f t="array" aca="1" ref="B87" ca="1">_xll.BDP("EC387594 Corp","DS520")</f>
        <v>#NAME?</v>
      </c>
      <c r="C87" s="1" t="e" cm="1">
        <f t="array" aca="1" ref="C87" ca="1">_xll.BDP("EC387594 Corp","DS001")</f>
        <v>#NAME?</v>
      </c>
      <c r="D87" s="1" t="e" cm="1">
        <f t="array" aca="1" ref="D87" ca="1">_xll.BDP("EC387594 Corp","DS458")</f>
        <v>#NAME?</v>
      </c>
      <c r="E87" s="1" t="e" cm="1">
        <f t="array" aca="1" ref="E87" ca="1">_xll.BDP("EC387594 Corp","DS004")</f>
        <v>#NAME?</v>
      </c>
      <c r="F87" s="1" t="e" cm="1">
        <f t="array" aca="1" ref="F87" ca="1">_xll.BDP("EC387594 Corp","DS035")</f>
        <v>#NAME?</v>
      </c>
      <c r="G87" s="1" t="e" cm="1">
        <f t="array" aca="1" ref="G87" ca="1">_xll.BDP("EC387594 Corp","DS086")</f>
        <v>#NAME?</v>
      </c>
      <c r="H87" s="1" t="e" cm="1">
        <f t="array" aca="1" ref="H87" ca="1">_xll.BDP("EC387594 Corp","DS034")</f>
        <v>#NAME?</v>
      </c>
      <c r="I87" s="1" t="e" cm="1">
        <f t="array" aca="1" ref="I87" ca="1">_xll.BDP("EC387594 Corp","DS033")</f>
        <v>#NAME?</v>
      </c>
      <c r="J87" s="7" t="e" cm="1">
        <f t="array" aca="1" ref="J87" ca="1">_xll.BDP("EC387594 Corp","YL018")</f>
        <v>#NAME?</v>
      </c>
      <c r="K87" s="7" t="e" cm="1">
        <f t="array" aca="1" ref="K87" ca="1">_xll.BDP("EC387594 Corp","YL016")</f>
        <v>#NAME?</v>
      </c>
      <c r="L87" s="7" t="e" cm="1">
        <f t="array" aca="1" ref="L87" ca="1">_xll.BDP("EC387594 Corp","PR004")</f>
        <v>#NAME?</v>
      </c>
      <c r="M87" s="7" t="e" cm="1">
        <f t="array" aca="1" ref="M87" ca="1">_xll.BDP("EC387594 Corp","PR002")</f>
        <v>#NAME?</v>
      </c>
      <c r="N87" s="1" t="e" cm="1">
        <f t="array" aca="1" ref="N87" ca="1">_xll.BDP("EC387594 Corp","ID028")</f>
        <v>#NAME?</v>
      </c>
      <c r="O87" s="1" t="e" cm="1">
        <f t="array" aca="1" ref="O87" ca="1">_xll.BDP("EC387594 Corp","ID005")</f>
        <v>#NAME?</v>
      </c>
      <c r="P87" s="1" t="e" cm="1">
        <f t="array" aca="1" ref="P87" ca="1">_xll.BDP(A87,"RA007")</f>
        <v>#NAME?</v>
      </c>
      <c r="Q87" s="1" t="e" cm="1">
        <f t="array" aca="1" ref="Q87" ca="1">_xll.BDP(A87,"DS219")</f>
        <v>#NAME?</v>
      </c>
      <c r="R87" s="3" t="e" cm="1">
        <f t="array" aca="1" ref="R87" ca="1">_xll.BDP(A87,"DS040")</f>
        <v>#NAME?</v>
      </c>
      <c r="S87" s="4" t="e">
        <f t="shared" ca="1" si="3"/>
        <v>#NAME?</v>
      </c>
      <c r="T87" s="7" t="e">
        <f t="shared" ca="1" si="4"/>
        <v>#NAME?</v>
      </c>
      <c r="U87" s="3" t="e">
        <f t="shared" ca="1" si="5"/>
        <v>#NAME?</v>
      </c>
    </row>
    <row r="88" spans="1:21" x14ac:dyDescent="0.35">
      <c r="A88" s="5" t="s">
        <v>147</v>
      </c>
      <c r="B88" s="1" t="e" cm="1">
        <f t="array" aca="1" ref="B88" ca="1">_xll.BDP("EC474539 Corp","DS520")</f>
        <v>#NAME?</v>
      </c>
      <c r="C88" s="1" t="e" cm="1">
        <f t="array" aca="1" ref="C88" ca="1">_xll.BDP("EC474539 Corp","DS001")</f>
        <v>#NAME?</v>
      </c>
      <c r="D88" s="1" t="e" cm="1">
        <f t="array" aca="1" ref="D88" ca="1">_xll.BDP("EC474539 Corp","DS458")</f>
        <v>#NAME?</v>
      </c>
      <c r="E88" s="1" t="e" cm="1">
        <f t="array" aca="1" ref="E88" ca="1">_xll.BDP("EC474539 Corp","DS004")</f>
        <v>#NAME?</v>
      </c>
      <c r="F88" s="1" t="e" cm="1">
        <f t="array" aca="1" ref="F88" ca="1">_xll.BDP("EC474539 Corp","DS035")</f>
        <v>#NAME?</v>
      </c>
      <c r="G88" s="1" t="e" cm="1">
        <f t="array" aca="1" ref="G88" ca="1">_xll.BDP("EC474539 Corp","DS086")</f>
        <v>#NAME?</v>
      </c>
      <c r="H88" s="1" t="e" cm="1">
        <f t="array" aca="1" ref="H88" ca="1">_xll.BDP("EC474539 Corp","DS034")</f>
        <v>#NAME?</v>
      </c>
      <c r="I88" s="1" t="e" cm="1">
        <f t="array" aca="1" ref="I88" ca="1">_xll.BDP("EC474539 Corp","DS033")</f>
        <v>#NAME?</v>
      </c>
      <c r="J88" s="7" t="e" cm="1">
        <f t="array" aca="1" ref="J88" ca="1">_xll.BDP("EC474539 Corp","YL018")</f>
        <v>#NAME?</v>
      </c>
      <c r="K88" s="7" t="e" cm="1">
        <f t="array" aca="1" ref="K88" ca="1">_xll.BDP("EC474539 Corp","YL016")</f>
        <v>#NAME?</v>
      </c>
      <c r="L88" s="7" t="e" cm="1">
        <f t="array" aca="1" ref="L88" ca="1">_xll.BDP("EC474539 Corp","PR004")</f>
        <v>#NAME?</v>
      </c>
      <c r="M88" s="7" t="e" cm="1">
        <f t="array" aca="1" ref="M88" ca="1">_xll.BDP("EC474539 Corp","PR002")</f>
        <v>#NAME?</v>
      </c>
      <c r="N88" s="1" t="e" cm="1">
        <f t="array" aca="1" ref="N88" ca="1">_xll.BDP("EC474539 Corp","ID028")</f>
        <v>#NAME?</v>
      </c>
      <c r="O88" s="1" t="e" cm="1">
        <f t="array" aca="1" ref="O88" ca="1">_xll.BDP("EC474539 Corp","ID005")</f>
        <v>#NAME?</v>
      </c>
      <c r="P88" s="1" t="e" cm="1">
        <f t="array" aca="1" ref="P88" ca="1">_xll.BDP(A88,"RA007")</f>
        <v>#NAME?</v>
      </c>
      <c r="Q88" s="1" t="e" cm="1">
        <f t="array" aca="1" ref="Q88" ca="1">_xll.BDP(A88,"DS219")</f>
        <v>#NAME?</v>
      </c>
      <c r="R88" s="3" t="e" cm="1">
        <f t="array" aca="1" ref="R88" ca="1">_xll.BDP(A88,"DS040")</f>
        <v>#NAME?</v>
      </c>
      <c r="S88" s="4" t="e">
        <f t="shared" ca="1" si="3"/>
        <v>#NAME?</v>
      </c>
      <c r="T88" s="7" t="e">
        <f t="shared" ca="1" si="4"/>
        <v>#NAME?</v>
      </c>
      <c r="U88" s="3" t="e">
        <f t="shared" ca="1" si="5"/>
        <v>#NAME?</v>
      </c>
    </row>
    <row r="89" spans="1:21" x14ac:dyDescent="0.35">
      <c r="A89" s="5" t="s">
        <v>148</v>
      </c>
      <c r="B89" s="1" t="e" cm="1">
        <f t="array" aca="1" ref="B89" ca="1">_xll.BDP("EC565086 Corp","DS520")</f>
        <v>#NAME?</v>
      </c>
      <c r="C89" s="1" t="e" cm="1">
        <f t="array" aca="1" ref="C89" ca="1">_xll.BDP("EC565086 Corp","DS001")</f>
        <v>#NAME?</v>
      </c>
      <c r="D89" s="1" t="e" cm="1">
        <f t="array" aca="1" ref="D89" ca="1">_xll.BDP("EC565086 Corp","DS458")</f>
        <v>#NAME?</v>
      </c>
      <c r="E89" s="1" t="e" cm="1">
        <f t="array" aca="1" ref="E89" ca="1">_xll.BDP("EC565086 Corp","DS004")</f>
        <v>#NAME?</v>
      </c>
      <c r="F89" s="1" t="e" cm="1">
        <f t="array" aca="1" ref="F89" ca="1">_xll.BDP("EC565086 Corp","DS035")</f>
        <v>#NAME?</v>
      </c>
      <c r="G89" s="1" t="e" cm="1">
        <f t="array" aca="1" ref="G89" ca="1">_xll.BDP("EC565086 Corp","DS086")</f>
        <v>#NAME?</v>
      </c>
      <c r="H89" s="1" t="e" cm="1">
        <f t="array" aca="1" ref="H89" ca="1">_xll.BDP("EC565086 Corp","DS034")</f>
        <v>#NAME?</v>
      </c>
      <c r="I89" s="1" t="e" cm="1">
        <f t="array" aca="1" ref="I89" ca="1">_xll.BDP("EC565086 Corp","DS033")</f>
        <v>#NAME?</v>
      </c>
      <c r="J89" s="7" t="e" cm="1">
        <f t="array" aca="1" ref="J89" ca="1">_xll.BDP("EC565086 Corp","YL018")</f>
        <v>#NAME?</v>
      </c>
      <c r="K89" s="7" t="e" cm="1">
        <f t="array" aca="1" ref="K89" ca="1">_xll.BDP("EC565086 Corp","YL016")</f>
        <v>#NAME?</v>
      </c>
      <c r="L89" s="7" t="e" cm="1">
        <f t="array" aca="1" ref="L89" ca="1">_xll.BDP("EC565086 Corp","PR004")</f>
        <v>#NAME?</v>
      </c>
      <c r="M89" s="7" t="e" cm="1">
        <f t="array" aca="1" ref="M89" ca="1">_xll.BDP("EC565086 Corp","PR002")</f>
        <v>#NAME?</v>
      </c>
      <c r="N89" s="1" t="e" cm="1">
        <f t="array" aca="1" ref="N89" ca="1">_xll.BDP("EC565086 Corp","ID028")</f>
        <v>#NAME?</v>
      </c>
      <c r="O89" s="1" t="e" cm="1">
        <f t="array" aca="1" ref="O89" ca="1">_xll.BDP("EC565086 Corp","ID005")</f>
        <v>#NAME?</v>
      </c>
      <c r="P89" s="1" t="e" cm="1">
        <f t="array" aca="1" ref="P89" ca="1">_xll.BDP(A89,"RA007")</f>
        <v>#NAME?</v>
      </c>
      <c r="Q89" s="1" t="e" cm="1">
        <f t="array" aca="1" ref="Q89" ca="1">_xll.BDP(A89,"DS219")</f>
        <v>#NAME?</v>
      </c>
      <c r="R89" s="3" t="e" cm="1">
        <f t="array" aca="1" ref="R89" ca="1">_xll.BDP(A89,"DS040")</f>
        <v>#NAME?</v>
      </c>
      <c r="S89" s="4" t="e">
        <f t="shared" ca="1" si="3"/>
        <v>#NAME?</v>
      </c>
      <c r="T89" s="7" t="e">
        <f t="shared" ca="1" si="4"/>
        <v>#NAME?</v>
      </c>
      <c r="U89" s="3" t="e">
        <f t="shared" ca="1" si="5"/>
        <v>#NAME?</v>
      </c>
    </row>
    <row r="90" spans="1:21" x14ac:dyDescent="0.35">
      <c r="A90" s="5" t="s">
        <v>149</v>
      </c>
      <c r="B90" s="1" t="e" cm="1">
        <f t="array" aca="1" ref="B90" ca="1">_xll.BDP("EC748607 Corp","DS520")</f>
        <v>#NAME?</v>
      </c>
      <c r="C90" s="1" t="e" cm="1">
        <f t="array" aca="1" ref="C90" ca="1">_xll.BDP("EC748607 Corp","DS001")</f>
        <v>#NAME?</v>
      </c>
      <c r="D90" s="1" t="e" cm="1">
        <f t="array" aca="1" ref="D90" ca="1">_xll.BDP("EC748607 Corp","DS458")</f>
        <v>#NAME?</v>
      </c>
      <c r="E90" s="1" t="e" cm="1">
        <f t="array" aca="1" ref="E90" ca="1">_xll.BDP("EC748607 Corp","DS004")</f>
        <v>#NAME?</v>
      </c>
      <c r="F90" s="1" t="e" cm="1">
        <f t="array" aca="1" ref="F90" ca="1">_xll.BDP("EC748607 Corp","DS035")</f>
        <v>#NAME?</v>
      </c>
      <c r="G90" s="1" t="e" cm="1">
        <f t="array" aca="1" ref="G90" ca="1">_xll.BDP("EC748607 Corp","DS086")</f>
        <v>#NAME?</v>
      </c>
      <c r="H90" s="1" t="e" cm="1">
        <f t="array" aca="1" ref="H90" ca="1">_xll.BDP("EC748607 Corp","DS034")</f>
        <v>#NAME?</v>
      </c>
      <c r="I90" s="1" t="e" cm="1">
        <f t="array" aca="1" ref="I90" ca="1">_xll.BDP("EC748607 Corp","DS033")</f>
        <v>#NAME?</v>
      </c>
      <c r="J90" s="7" t="e" cm="1">
        <f t="array" aca="1" ref="J90" ca="1">_xll.BDP("EC748607 Corp","YL018")</f>
        <v>#NAME?</v>
      </c>
      <c r="K90" s="7" t="e" cm="1">
        <f t="array" aca="1" ref="K90" ca="1">_xll.BDP("EC748607 Corp","YL016")</f>
        <v>#NAME?</v>
      </c>
      <c r="L90" s="7" t="e" cm="1">
        <f t="array" aca="1" ref="L90" ca="1">_xll.BDP("EC748607 Corp","PR004")</f>
        <v>#NAME?</v>
      </c>
      <c r="M90" s="7" t="e" cm="1">
        <f t="array" aca="1" ref="M90" ca="1">_xll.BDP("EC748607 Corp","PR002")</f>
        <v>#NAME?</v>
      </c>
      <c r="N90" s="1" t="e" cm="1">
        <f t="array" aca="1" ref="N90" ca="1">_xll.BDP("EC748607 Corp","ID028")</f>
        <v>#NAME?</v>
      </c>
      <c r="O90" s="1" t="e" cm="1">
        <f t="array" aca="1" ref="O90" ca="1">_xll.BDP("EC748607 Corp","ID005")</f>
        <v>#NAME?</v>
      </c>
      <c r="P90" s="1" t="e" cm="1">
        <f t="array" aca="1" ref="P90" ca="1">_xll.BDP(A90,"RA007")</f>
        <v>#NAME?</v>
      </c>
      <c r="Q90" s="1" t="e" cm="1">
        <f t="array" aca="1" ref="Q90" ca="1">_xll.BDP(A90,"DS219")</f>
        <v>#NAME?</v>
      </c>
      <c r="R90" s="3" t="e" cm="1">
        <f t="array" aca="1" ref="R90" ca="1">_xll.BDP(A90,"DS040")</f>
        <v>#NAME?</v>
      </c>
      <c r="S90" s="4" t="e">
        <f t="shared" ca="1" si="3"/>
        <v>#NAME?</v>
      </c>
      <c r="T90" s="7" t="e">
        <f t="shared" ca="1" si="4"/>
        <v>#NAME?</v>
      </c>
      <c r="U90" s="3" t="e">
        <f t="shared" ca="1" si="5"/>
        <v>#NAME?</v>
      </c>
    </row>
    <row r="91" spans="1:21" x14ac:dyDescent="0.35">
      <c r="A91" s="5" t="s">
        <v>150</v>
      </c>
      <c r="B91" s="1" t="e" cm="1">
        <f t="array" aca="1" ref="B91" ca="1">_xll.BDP("EC820426 Corp","DS520")</f>
        <v>#NAME?</v>
      </c>
      <c r="C91" s="1" t="e" cm="1">
        <f t="array" aca="1" ref="C91" ca="1">_xll.BDP("EC820426 Corp","DS001")</f>
        <v>#NAME?</v>
      </c>
      <c r="D91" s="1" t="e" cm="1">
        <f t="array" aca="1" ref="D91" ca="1">_xll.BDP("EC820426 Corp","DS458")</f>
        <v>#NAME?</v>
      </c>
      <c r="E91" s="1" t="e" cm="1">
        <f t="array" aca="1" ref="E91" ca="1">_xll.BDP("EC820426 Corp","DS004")</f>
        <v>#NAME?</v>
      </c>
      <c r="F91" s="1" t="e" cm="1">
        <f t="array" aca="1" ref="F91" ca="1">_xll.BDP("EC820426 Corp","DS035")</f>
        <v>#NAME?</v>
      </c>
      <c r="G91" s="1" t="e" cm="1">
        <f t="array" aca="1" ref="G91" ca="1">_xll.BDP("EC820426 Corp","DS086")</f>
        <v>#NAME?</v>
      </c>
      <c r="H91" s="1" t="e" cm="1">
        <f t="array" aca="1" ref="H91" ca="1">_xll.BDP("EC820426 Corp","DS034")</f>
        <v>#NAME?</v>
      </c>
      <c r="I91" s="1" t="e" cm="1">
        <f t="array" aca="1" ref="I91" ca="1">_xll.BDP("EC820426 Corp","DS033")</f>
        <v>#NAME?</v>
      </c>
      <c r="J91" s="7" t="e" cm="1">
        <f t="array" aca="1" ref="J91" ca="1">_xll.BDP("EC820426 Corp","YL018")</f>
        <v>#NAME?</v>
      </c>
      <c r="K91" s="7" t="e" cm="1">
        <f t="array" aca="1" ref="K91" ca="1">_xll.BDP("EC820426 Corp","YL016")</f>
        <v>#NAME?</v>
      </c>
      <c r="L91" s="7" t="e" cm="1">
        <f t="array" aca="1" ref="L91" ca="1">_xll.BDP("EC820426 Corp","PR004")</f>
        <v>#NAME?</v>
      </c>
      <c r="M91" s="7" t="e" cm="1">
        <f t="array" aca="1" ref="M91" ca="1">_xll.BDP("EC820426 Corp","PR002")</f>
        <v>#NAME?</v>
      </c>
      <c r="N91" s="1" t="e" cm="1">
        <f t="array" aca="1" ref="N91" ca="1">_xll.BDP("EC820426 Corp","ID028")</f>
        <v>#NAME?</v>
      </c>
      <c r="O91" s="1" t="e" cm="1">
        <f t="array" aca="1" ref="O91" ca="1">_xll.BDP("EC820426 Corp","ID005")</f>
        <v>#NAME?</v>
      </c>
      <c r="P91" s="1" t="e" cm="1">
        <f t="array" aca="1" ref="P91" ca="1">_xll.BDP(A91,"RA007")</f>
        <v>#NAME?</v>
      </c>
      <c r="Q91" s="1" t="e" cm="1">
        <f t="array" aca="1" ref="Q91" ca="1">_xll.BDP(A91,"DS219")</f>
        <v>#NAME?</v>
      </c>
      <c r="R91" s="3" t="e" cm="1">
        <f t="array" aca="1" ref="R91" ca="1">_xll.BDP(A91,"DS040")</f>
        <v>#NAME?</v>
      </c>
      <c r="S91" s="4" t="e">
        <f t="shared" ca="1" si="3"/>
        <v>#NAME?</v>
      </c>
      <c r="T91" s="7" t="e">
        <f t="shared" ca="1" si="4"/>
        <v>#NAME?</v>
      </c>
      <c r="U91" s="3" t="e">
        <f t="shared" ca="1" si="5"/>
        <v>#NAME?</v>
      </c>
    </row>
    <row r="92" spans="1:21" x14ac:dyDescent="0.35">
      <c r="A92" s="5" t="s">
        <v>151</v>
      </c>
      <c r="B92" s="1" t="e" cm="1">
        <f t="array" aca="1" ref="B92" ca="1">_xll.BDP("EC974778 Corp","DS520")</f>
        <v>#NAME?</v>
      </c>
      <c r="C92" s="1" t="e" cm="1">
        <f t="array" aca="1" ref="C92" ca="1">_xll.BDP("EC974778 Corp","DS001")</f>
        <v>#NAME?</v>
      </c>
      <c r="D92" s="1" t="e" cm="1">
        <f t="array" aca="1" ref="D92" ca="1">_xll.BDP("EC974778 Corp","DS458")</f>
        <v>#NAME?</v>
      </c>
      <c r="E92" s="1" t="e" cm="1">
        <f t="array" aca="1" ref="E92" ca="1">_xll.BDP("EC974778 Corp","DS004")</f>
        <v>#NAME?</v>
      </c>
      <c r="F92" s="1" t="e" cm="1">
        <f t="array" aca="1" ref="F92" ca="1">_xll.BDP("EC974778 Corp","DS035")</f>
        <v>#NAME?</v>
      </c>
      <c r="G92" s="1" t="e" cm="1">
        <f t="array" aca="1" ref="G92" ca="1">_xll.BDP("EC974778 Corp","DS086")</f>
        <v>#NAME?</v>
      </c>
      <c r="H92" s="1" t="e" cm="1">
        <f t="array" aca="1" ref="H92" ca="1">_xll.BDP("EC974778 Corp","DS034")</f>
        <v>#NAME?</v>
      </c>
      <c r="I92" s="1" t="e" cm="1">
        <f t="array" aca="1" ref="I92" ca="1">_xll.BDP("EC974778 Corp","DS033")</f>
        <v>#NAME?</v>
      </c>
      <c r="J92" s="7" t="e" cm="1">
        <f t="array" aca="1" ref="J92" ca="1">_xll.BDP("EC974778 Corp","YL018")</f>
        <v>#NAME?</v>
      </c>
      <c r="K92" s="7" t="e" cm="1">
        <f t="array" aca="1" ref="K92" ca="1">_xll.BDP("EC974778 Corp","YL016")</f>
        <v>#NAME?</v>
      </c>
      <c r="L92" s="7" t="e" cm="1">
        <f t="array" aca="1" ref="L92" ca="1">_xll.BDP("EC974778 Corp","PR004")</f>
        <v>#NAME?</v>
      </c>
      <c r="M92" s="7" t="e" cm="1">
        <f t="array" aca="1" ref="M92" ca="1">_xll.BDP("EC974778 Corp","PR002")</f>
        <v>#NAME?</v>
      </c>
      <c r="N92" s="1" t="e" cm="1">
        <f t="array" aca="1" ref="N92" ca="1">_xll.BDP("EC974778 Corp","ID028")</f>
        <v>#NAME?</v>
      </c>
      <c r="O92" s="1" t="e" cm="1">
        <f t="array" aca="1" ref="O92" ca="1">_xll.BDP("EC974778 Corp","ID005")</f>
        <v>#NAME?</v>
      </c>
      <c r="P92" s="1" t="e" cm="1">
        <f t="array" aca="1" ref="P92" ca="1">_xll.BDP(A92,"RA007")</f>
        <v>#NAME?</v>
      </c>
      <c r="Q92" s="1" t="e" cm="1">
        <f t="array" aca="1" ref="Q92" ca="1">_xll.BDP(A92,"DS219")</f>
        <v>#NAME?</v>
      </c>
      <c r="R92" s="3" t="e" cm="1">
        <f t="array" aca="1" ref="R92" ca="1">_xll.BDP(A92,"DS040")</f>
        <v>#NAME?</v>
      </c>
      <c r="S92" s="4" t="e">
        <f t="shared" ca="1" si="3"/>
        <v>#NAME?</v>
      </c>
      <c r="T92" s="7" t="e">
        <f t="shared" ca="1" si="4"/>
        <v>#NAME?</v>
      </c>
      <c r="U92" s="3" t="e">
        <f t="shared" ca="1" si="5"/>
        <v>#NAME?</v>
      </c>
    </row>
    <row r="93" spans="1:21" x14ac:dyDescent="0.35">
      <c r="A93" s="5" t="s">
        <v>152</v>
      </c>
      <c r="B93" s="1" t="e" cm="1">
        <f t="array" aca="1" ref="B93" ca="1">_xll.BDP("ED067043 Corp","DS520")</f>
        <v>#NAME?</v>
      </c>
      <c r="C93" s="1" t="e" cm="1">
        <f t="array" aca="1" ref="C93" ca="1">_xll.BDP("ED067043 Corp","DS001")</f>
        <v>#NAME?</v>
      </c>
      <c r="D93" s="1" t="e" cm="1">
        <f t="array" aca="1" ref="D93" ca="1">_xll.BDP("ED067043 Corp","DS458")</f>
        <v>#NAME?</v>
      </c>
      <c r="E93" s="1" t="e" cm="1">
        <f t="array" aca="1" ref="E93" ca="1">_xll.BDP("ED067043 Corp","DS004")</f>
        <v>#NAME?</v>
      </c>
      <c r="F93" s="1" t="e" cm="1">
        <f t="array" aca="1" ref="F93" ca="1">_xll.BDP("ED067043 Corp","DS035")</f>
        <v>#NAME?</v>
      </c>
      <c r="G93" s="1" t="e" cm="1">
        <f t="array" aca="1" ref="G93" ca="1">_xll.BDP("ED067043 Corp","DS086")</f>
        <v>#NAME?</v>
      </c>
      <c r="H93" s="1" t="e" cm="1">
        <f t="array" aca="1" ref="H93" ca="1">_xll.BDP("ED067043 Corp","DS034")</f>
        <v>#NAME?</v>
      </c>
      <c r="I93" s="1" t="e" cm="1">
        <f t="array" aca="1" ref="I93" ca="1">_xll.BDP("ED067043 Corp","DS033")</f>
        <v>#NAME?</v>
      </c>
      <c r="J93" s="7" t="e" cm="1">
        <f t="array" aca="1" ref="J93" ca="1">_xll.BDP("ED067043 Corp","YL018")</f>
        <v>#NAME?</v>
      </c>
      <c r="K93" s="7" t="e" cm="1">
        <f t="array" aca="1" ref="K93" ca="1">_xll.BDP("ED067043 Corp","YL016")</f>
        <v>#NAME?</v>
      </c>
      <c r="L93" s="7" t="e" cm="1">
        <f t="array" aca="1" ref="L93" ca="1">_xll.BDP("ED067043 Corp","PR004")</f>
        <v>#NAME?</v>
      </c>
      <c r="M93" s="7" t="e" cm="1">
        <f t="array" aca="1" ref="M93" ca="1">_xll.BDP("ED067043 Corp","PR002")</f>
        <v>#NAME?</v>
      </c>
      <c r="N93" s="1" t="e" cm="1">
        <f t="array" aca="1" ref="N93" ca="1">_xll.BDP("ED067043 Corp","ID028")</f>
        <v>#NAME?</v>
      </c>
      <c r="O93" s="1" t="e" cm="1">
        <f t="array" aca="1" ref="O93" ca="1">_xll.BDP("ED067043 Corp","ID005")</f>
        <v>#NAME?</v>
      </c>
      <c r="P93" s="1" t="e" cm="1">
        <f t="array" aca="1" ref="P93" ca="1">_xll.BDP(A93,"RA007")</f>
        <v>#NAME?</v>
      </c>
      <c r="Q93" s="1" t="e" cm="1">
        <f t="array" aca="1" ref="Q93" ca="1">_xll.BDP(A93,"DS219")</f>
        <v>#NAME?</v>
      </c>
      <c r="R93" s="3" t="e" cm="1">
        <f t="array" aca="1" ref="R93" ca="1">_xll.BDP(A93,"DS040")</f>
        <v>#NAME?</v>
      </c>
      <c r="S93" s="4" t="e">
        <f t="shared" ca="1" si="3"/>
        <v>#NAME?</v>
      </c>
      <c r="T93" s="7" t="e">
        <f t="shared" ca="1" si="4"/>
        <v>#NAME?</v>
      </c>
      <c r="U93" s="3" t="e">
        <f t="shared" ca="1" si="5"/>
        <v>#NAME?</v>
      </c>
    </row>
    <row r="94" spans="1:21" x14ac:dyDescent="0.35">
      <c r="A94" s="5" t="s">
        <v>153</v>
      </c>
      <c r="B94" s="1" t="e" cm="1">
        <f t="array" aca="1" ref="B94" ca="1">_xll.BDP("ED216135 Corp","DS520")</f>
        <v>#NAME?</v>
      </c>
      <c r="C94" s="1" t="e" cm="1">
        <f t="array" aca="1" ref="C94" ca="1">_xll.BDP("ED216135 Corp","DS001")</f>
        <v>#NAME?</v>
      </c>
      <c r="D94" s="1" t="e" cm="1">
        <f t="array" aca="1" ref="D94" ca="1">_xll.BDP("ED216135 Corp","DS458")</f>
        <v>#NAME?</v>
      </c>
      <c r="E94" s="1" t="e" cm="1">
        <f t="array" aca="1" ref="E94" ca="1">_xll.BDP("ED216135 Corp","DS004")</f>
        <v>#NAME?</v>
      </c>
      <c r="F94" s="1" t="e" cm="1">
        <f t="array" aca="1" ref="F94" ca="1">_xll.BDP("ED216135 Corp","DS035")</f>
        <v>#NAME?</v>
      </c>
      <c r="G94" s="1" t="e" cm="1">
        <f t="array" aca="1" ref="G94" ca="1">_xll.BDP("ED216135 Corp","DS086")</f>
        <v>#NAME?</v>
      </c>
      <c r="H94" s="1" t="e" cm="1">
        <f t="array" aca="1" ref="H94" ca="1">_xll.BDP("ED216135 Corp","DS034")</f>
        <v>#NAME?</v>
      </c>
      <c r="I94" s="1" t="e" cm="1">
        <f t="array" aca="1" ref="I94" ca="1">_xll.BDP("ED216135 Corp","DS033")</f>
        <v>#NAME?</v>
      </c>
      <c r="J94" s="7" t="e" cm="1">
        <f t="array" aca="1" ref="J94" ca="1">_xll.BDP("ED216135 Corp","YL018")</f>
        <v>#NAME?</v>
      </c>
      <c r="K94" s="7" t="e" cm="1">
        <f t="array" aca="1" ref="K94" ca="1">_xll.BDP("ED216135 Corp","YL016")</f>
        <v>#NAME?</v>
      </c>
      <c r="L94" s="7" t="e" cm="1">
        <f t="array" aca="1" ref="L94" ca="1">_xll.BDP("ED216135 Corp","PR004")</f>
        <v>#NAME?</v>
      </c>
      <c r="M94" s="7" t="e" cm="1">
        <f t="array" aca="1" ref="M94" ca="1">_xll.BDP("ED216135 Corp","PR002")</f>
        <v>#NAME?</v>
      </c>
      <c r="N94" s="1" t="e" cm="1">
        <f t="array" aca="1" ref="N94" ca="1">_xll.BDP("ED216135 Corp","ID028")</f>
        <v>#NAME?</v>
      </c>
      <c r="O94" s="1" t="e" cm="1">
        <f t="array" aca="1" ref="O94" ca="1">_xll.BDP("ED216135 Corp","ID005")</f>
        <v>#NAME?</v>
      </c>
      <c r="P94" s="1" t="e" cm="1">
        <f t="array" aca="1" ref="P94" ca="1">_xll.BDP(A94,"RA007")</f>
        <v>#NAME?</v>
      </c>
      <c r="Q94" s="1" t="e" cm="1">
        <f t="array" aca="1" ref="Q94" ca="1">_xll.BDP(A94,"DS219")</f>
        <v>#NAME?</v>
      </c>
      <c r="R94" s="3" t="e" cm="1">
        <f t="array" aca="1" ref="R94" ca="1">_xll.BDP(A94,"DS040")</f>
        <v>#NAME?</v>
      </c>
      <c r="S94" s="4" t="e">
        <f t="shared" ca="1" si="3"/>
        <v>#NAME?</v>
      </c>
      <c r="T94" s="7" t="e">
        <f t="shared" ca="1" si="4"/>
        <v>#NAME?</v>
      </c>
      <c r="U94" s="3" t="e">
        <f t="shared" ca="1" si="5"/>
        <v>#NAME?</v>
      </c>
    </row>
    <row r="95" spans="1:21" x14ac:dyDescent="0.35">
      <c r="A95" s="5" t="s">
        <v>154</v>
      </c>
      <c r="B95" s="1" t="e" cm="1">
        <f t="array" aca="1" ref="B95" ca="1">_xll.BDP("ED335706 Corp","DS520")</f>
        <v>#NAME?</v>
      </c>
      <c r="C95" s="1" t="e" cm="1">
        <f t="array" aca="1" ref="C95" ca="1">_xll.BDP("ED335706 Corp","DS001")</f>
        <v>#NAME?</v>
      </c>
      <c r="D95" s="1" t="e" cm="1">
        <f t="array" aca="1" ref="D95" ca="1">_xll.BDP("ED335706 Corp","DS458")</f>
        <v>#NAME?</v>
      </c>
      <c r="E95" s="1" t="e" cm="1">
        <f t="array" aca="1" ref="E95" ca="1">_xll.BDP("ED335706 Corp","DS004")</f>
        <v>#NAME?</v>
      </c>
      <c r="F95" s="1" t="e" cm="1">
        <f t="array" aca="1" ref="F95" ca="1">_xll.BDP("ED335706 Corp","DS035")</f>
        <v>#NAME?</v>
      </c>
      <c r="G95" s="1" t="e" cm="1">
        <f t="array" aca="1" ref="G95" ca="1">_xll.BDP("ED335706 Corp","DS086")</f>
        <v>#NAME?</v>
      </c>
      <c r="H95" s="1" t="e" cm="1">
        <f t="array" aca="1" ref="H95" ca="1">_xll.BDP("ED335706 Corp","DS034")</f>
        <v>#NAME?</v>
      </c>
      <c r="I95" s="1" t="e" cm="1">
        <f t="array" aca="1" ref="I95" ca="1">_xll.BDP("ED335706 Corp","DS033")</f>
        <v>#NAME?</v>
      </c>
      <c r="J95" s="7" t="e" cm="1">
        <f t="array" aca="1" ref="J95" ca="1">_xll.BDP("ED335706 Corp","YL018")</f>
        <v>#NAME?</v>
      </c>
      <c r="K95" s="7" t="e" cm="1">
        <f t="array" aca="1" ref="K95" ca="1">_xll.BDP("ED335706 Corp","YL016")</f>
        <v>#NAME?</v>
      </c>
      <c r="L95" s="7" t="e" cm="1">
        <f t="array" aca="1" ref="L95" ca="1">_xll.BDP("ED335706 Corp","PR004")</f>
        <v>#NAME?</v>
      </c>
      <c r="M95" s="7" t="e" cm="1">
        <f t="array" aca="1" ref="M95" ca="1">_xll.BDP("ED335706 Corp","PR002")</f>
        <v>#NAME?</v>
      </c>
      <c r="N95" s="1" t="e" cm="1">
        <f t="array" aca="1" ref="N95" ca="1">_xll.BDP("ED335706 Corp","ID028")</f>
        <v>#NAME?</v>
      </c>
      <c r="O95" s="1" t="e" cm="1">
        <f t="array" aca="1" ref="O95" ca="1">_xll.BDP("ED335706 Corp","ID005")</f>
        <v>#NAME?</v>
      </c>
      <c r="P95" s="1" t="e" cm="1">
        <f t="array" aca="1" ref="P95" ca="1">_xll.BDP(A95,"RA007")</f>
        <v>#NAME?</v>
      </c>
      <c r="Q95" s="1" t="e" cm="1">
        <f t="array" aca="1" ref="Q95" ca="1">_xll.BDP(A95,"DS219")</f>
        <v>#NAME?</v>
      </c>
      <c r="R95" s="3" t="e" cm="1">
        <f t="array" aca="1" ref="R95" ca="1">_xll.BDP(A95,"DS040")</f>
        <v>#NAME?</v>
      </c>
      <c r="S95" s="4" t="e">
        <f t="shared" ca="1" si="3"/>
        <v>#NAME?</v>
      </c>
      <c r="T95" s="7" t="e">
        <f t="shared" ca="1" si="4"/>
        <v>#NAME?</v>
      </c>
      <c r="U95" s="3" t="e">
        <f t="shared" ca="1" si="5"/>
        <v>#NAME?</v>
      </c>
    </row>
    <row r="96" spans="1:21" x14ac:dyDescent="0.35">
      <c r="A96" s="5" t="s">
        <v>155</v>
      </c>
      <c r="B96" s="1" t="e" cm="1">
        <f t="array" aca="1" ref="B96" ca="1">_xll.BDP("ED424001 Corp","DS520")</f>
        <v>#NAME?</v>
      </c>
      <c r="C96" s="1" t="e" cm="1">
        <f t="array" aca="1" ref="C96" ca="1">_xll.BDP("ED424001 Corp","DS001")</f>
        <v>#NAME?</v>
      </c>
      <c r="D96" s="1" t="e" cm="1">
        <f t="array" aca="1" ref="D96" ca="1">_xll.BDP("ED424001 Corp","DS458")</f>
        <v>#NAME?</v>
      </c>
      <c r="E96" s="1" t="e" cm="1">
        <f t="array" aca="1" ref="E96" ca="1">_xll.BDP("ED424001 Corp","DS004")</f>
        <v>#NAME?</v>
      </c>
      <c r="F96" s="1" t="e" cm="1">
        <f t="array" aca="1" ref="F96" ca="1">_xll.BDP("ED424001 Corp","DS035")</f>
        <v>#NAME?</v>
      </c>
      <c r="G96" s="1" t="e" cm="1">
        <f t="array" aca="1" ref="G96" ca="1">_xll.BDP("ED424001 Corp","DS086")</f>
        <v>#NAME?</v>
      </c>
      <c r="H96" s="1" t="e" cm="1">
        <f t="array" aca="1" ref="H96" ca="1">_xll.BDP("ED424001 Corp","DS034")</f>
        <v>#NAME?</v>
      </c>
      <c r="I96" s="1" t="e" cm="1">
        <f t="array" aca="1" ref="I96" ca="1">_xll.BDP("ED424001 Corp","DS033")</f>
        <v>#NAME?</v>
      </c>
      <c r="J96" s="7" t="e" cm="1">
        <f t="array" aca="1" ref="J96" ca="1">_xll.BDP("ED424001 Corp","YL018")</f>
        <v>#NAME?</v>
      </c>
      <c r="K96" s="7" t="e" cm="1">
        <f t="array" aca="1" ref="K96" ca="1">_xll.BDP("ED424001 Corp","YL016")</f>
        <v>#NAME?</v>
      </c>
      <c r="L96" s="7" t="e" cm="1">
        <f t="array" aca="1" ref="L96" ca="1">_xll.BDP("ED424001 Corp","PR004")</f>
        <v>#NAME?</v>
      </c>
      <c r="M96" s="7" t="e" cm="1">
        <f t="array" aca="1" ref="M96" ca="1">_xll.BDP("ED424001 Corp","PR002")</f>
        <v>#NAME?</v>
      </c>
      <c r="N96" s="1" t="e" cm="1">
        <f t="array" aca="1" ref="N96" ca="1">_xll.BDP("ED424001 Corp","ID028")</f>
        <v>#NAME?</v>
      </c>
      <c r="O96" s="1" t="e" cm="1">
        <f t="array" aca="1" ref="O96" ca="1">_xll.BDP("ED424001 Corp","ID005")</f>
        <v>#NAME?</v>
      </c>
      <c r="P96" s="1" t="e" cm="1">
        <f t="array" aca="1" ref="P96" ca="1">_xll.BDP(A96,"RA007")</f>
        <v>#NAME?</v>
      </c>
      <c r="Q96" s="1" t="e" cm="1">
        <f t="array" aca="1" ref="Q96" ca="1">_xll.BDP(A96,"DS219")</f>
        <v>#NAME?</v>
      </c>
      <c r="R96" s="3" t="e" cm="1">
        <f t="array" aca="1" ref="R96" ca="1">_xll.BDP(A96,"DS040")</f>
        <v>#NAME?</v>
      </c>
      <c r="S96" s="4" t="e">
        <f t="shared" ca="1" si="3"/>
        <v>#NAME?</v>
      </c>
      <c r="T96" s="7" t="e">
        <f t="shared" ca="1" si="4"/>
        <v>#NAME?</v>
      </c>
      <c r="U96" s="3" t="e">
        <f t="shared" ca="1" si="5"/>
        <v>#NAME?</v>
      </c>
    </row>
    <row r="97" spans="1:21" x14ac:dyDescent="0.35">
      <c r="A97" s="5" t="s">
        <v>156</v>
      </c>
      <c r="B97" s="1" t="e" cm="1">
        <f t="array" aca="1" ref="B97" ca="1">_xll.BDP("ED580618 Corp","DS520")</f>
        <v>#NAME?</v>
      </c>
      <c r="C97" s="1" t="e" cm="1">
        <f t="array" aca="1" ref="C97" ca="1">_xll.BDP("ED580618 Corp","DS001")</f>
        <v>#NAME?</v>
      </c>
      <c r="D97" s="1" t="e" cm="1">
        <f t="array" aca="1" ref="D97" ca="1">_xll.BDP("ED580618 Corp","DS458")</f>
        <v>#NAME?</v>
      </c>
      <c r="E97" s="1" t="e" cm="1">
        <f t="array" aca="1" ref="E97" ca="1">_xll.BDP("ED580618 Corp","DS004")</f>
        <v>#NAME?</v>
      </c>
      <c r="F97" s="1" t="e" cm="1">
        <f t="array" aca="1" ref="F97" ca="1">_xll.BDP("ED580618 Corp","DS035")</f>
        <v>#NAME?</v>
      </c>
      <c r="G97" s="1" t="e" cm="1">
        <f t="array" aca="1" ref="G97" ca="1">_xll.BDP("ED580618 Corp","DS086")</f>
        <v>#NAME?</v>
      </c>
      <c r="H97" s="1" t="e" cm="1">
        <f t="array" aca="1" ref="H97" ca="1">_xll.BDP("ED580618 Corp","DS034")</f>
        <v>#NAME?</v>
      </c>
      <c r="I97" s="1" t="e" cm="1">
        <f t="array" aca="1" ref="I97" ca="1">_xll.BDP("ED580618 Corp","DS033")</f>
        <v>#NAME?</v>
      </c>
      <c r="J97" s="7" t="e" cm="1">
        <f t="array" aca="1" ref="J97" ca="1">_xll.BDP("ED580618 Corp","YL018")</f>
        <v>#NAME?</v>
      </c>
      <c r="K97" s="7" t="e" cm="1">
        <f t="array" aca="1" ref="K97" ca="1">_xll.BDP("ED580618 Corp","YL016")</f>
        <v>#NAME?</v>
      </c>
      <c r="L97" s="7" t="e" cm="1">
        <f t="array" aca="1" ref="L97" ca="1">_xll.BDP("ED580618 Corp","PR004")</f>
        <v>#NAME?</v>
      </c>
      <c r="M97" s="7" t="e" cm="1">
        <f t="array" aca="1" ref="M97" ca="1">_xll.BDP("ED580618 Corp","PR002")</f>
        <v>#NAME?</v>
      </c>
      <c r="N97" s="1" t="e" cm="1">
        <f t="array" aca="1" ref="N97" ca="1">_xll.BDP("ED580618 Corp","ID028")</f>
        <v>#NAME?</v>
      </c>
      <c r="O97" s="1" t="e" cm="1">
        <f t="array" aca="1" ref="O97" ca="1">_xll.BDP("ED580618 Corp","ID005")</f>
        <v>#NAME?</v>
      </c>
      <c r="P97" s="1" t="e" cm="1">
        <f t="array" aca="1" ref="P97" ca="1">_xll.BDP(A97,"RA007")</f>
        <v>#NAME?</v>
      </c>
      <c r="Q97" s="1" t="e" cm="1">
        <f t="array" aca="1" ref="Q97" ca="1">_xll.BDP(A97,"DS219")</f>
        <v>#NAME?</v>
      </c>
      <c r="R97" s="3" t="e" cm="1">
        <f t="array" aca="1" ref="R97" ca="1">_xll.BDP(A97,"DS040")</f>
        <v>#NAME?</v>
      </c>
      <c r="S97" s="4" t="e">
        <f t="shared" ca="1" si="3"/>
        <v>#NAME?</v>
      </c>
      <c r="T97" s="7" t="e">
        <f t="shared" ca="1" si="4"/>
        <v>#NAME?</v>
      </c>
      <c r="U97" s="3" t="e">
        <f t="shared" ca="1" si="5"/>
        <v>#NAME?</v>
      </c>
    </row>
    <row r="98" spans="1:21" x14ac:dyDescent="0.35">
      <c r="A98" s="5" t="s">
        <v>157</v>
      </c>
      <c r="B98" s="1" t="e" cm="1">
        <f t="array" aca="1" ref="B98" ca="1">_xll.BDP("ED659106 Corp","DS520")</f>
        <v>#NAME?</v>
      </c>
      <c r="C98" s="1" t="e" cm="1">
        <f t="array" aca="1" ref="C98" ca="1">_xll.BDP("ED659106 Corp","DS001")</f>
        <v>#NAME?</v>
      </c>
      <c r="D98" s="1" t="e" cm="1">
        <f t="array" aca="1" ref="D98" ca="1">_xll.BDP("ED659106 Corp","DS458")</f>
        <v>#NAME?</v>
      </c>
      <c r="E98" s="1" t="e" cm="1">
        <f t="array" aca="1" ref="E98" ca="1">_xll.BDP("ED659106 Corp","DS004")</f>
        <v>#NAME?</v>
      </c>
      <c r="F98" s="1" t="e" cm="1">
        <f t="array" aca="1" ref="F98" ca="1">_xll.BDP("ED659106 Corp","DS035")</f>
        <v>#NAME?</v>
      </c>
      <c r="G98" s="1" t="e" cm="1">
        <f t="array" aca="1" ref="G98" ca="1">_xll.BDP("ED659106 Corp","DS086")</f>
        <v>#NAME?</v>
      </c>
      <c r="H98" s="1" t="e" cm="1">
        <f t="array" aca="1" ref="H98" ca="1">_xll.BDP("ED659106 Corp","DS034")</f>
        <v>#NAME?</v>
      </c>
      <c r="I98" s="1" t="e" cm="1">
        <f t="array" aca="1" ref="I98" ca="1">_xll.BDP("ED659106 Corp","DS033")</f>
        <v>#NAME?</v>
      </c>
      <c r="J98" s="7" t="e" cm="1">
        <f t="array" aca="1" ref="J98" ca="1">_xll.BDP("ED659106 Corp","YL018")</f>
        <v>#NAME?</v>
      </c>
      <c r="K98" s="7" t="e" cm="1">
        <f t="array" aca="1" ref="K98" ca="1">_xll.BDP("ED659106 Corp","YL016")</f>
        <v>#NAME?</v>
      </c>
      <c r="L98" s="7" t="e" cm="1">
        <f t="array" aca="1" ref="L98" ca="1">_xll.BDP("ED659106 Corp","PR004")</f>
        <v>#NAME?</v>
      </c>
      <c r="M98" s="7" t="e" cm="1">
        <f t="array" aca="1" ref="M98" ca="1">_xll.BDP("ED659106 Corp","PR002")</f>
        <v>#NAME?</v>
      </c>
      <c r="N98" s="1" t="e" cm="1">
        <f t="array" aca="1" ref="N98" ca="1">_xll.BDP("ED659106 Corp","ID028")</f>
        <v>#NAME?</v>
      </c>
      <c r="O98" s="1" t="e" cm="1">
        <f t="array" aca="1" ref="O98" ca="1">_xll.BDP("ED659106 Corp","ID005")</f>
        <v>#NAME?</v>
      </c>
      <c r="P98" s="1" t="e" cm="1">
        <f t="array" aca="1" ref="P98" ca="1">_xll.BDP(A98,"RA007")</f>
        <v>#NAME?</v>
      </c>
      <c r="Q98" s="1" t="e" cm="1">
        <f t="array" aca="1" ref="Q98" ca="1">_xll.BDP(A98,"DS219")</f>
        <v>#NAME?</v>
      </c>
      <c r="R98" s="3" t="e" cm="1">
        <f t="array" aca="1" ref="R98" ca="1">_xll.BDP(A98,"DS040")</f>
        <v>#NAME?</v>
      </c>
      <c r="S98" s="4" t="e">
        <f t="shared" ca="1" si="3"/>
        <v>#NAME?</v>
      </c>
      <c r="T98" s="7" t="e">
        <f t="shared" ca="1" si="4"/>
        <v>#NAME?</v>
      </c>
      <c r="U98" s="3" t="e">
        <f t="shared" ca="1" si="5"/>
        <v>#NAME?</v>
      </c>
    </row>
    <row r="99" spans="1:21" x14ac:dyDescent="0.35">
      <c r="A99" s="5" t="s">
        <v>158</v>
      </c>
      <c r="B99" s="1" t="e" cm="1">
        <f t="array" aca="1" ref="B99" ca="1">_xll.BDP("ED819390 Corp","DS520")</f>
        <v>#NAME?</v>
      </c>
      <c r="C99" s="1" t="e" cm="1">
        <f t="array" aca="1" ref="C99" ca="1">_xll.BDP("ED819390 Corp","DS001")</f>
        <v>#NAME?</v>
      </c>
      <c r="D99" s="1" t="e" cm="1">
        <f t="array" aca="1" ref="D99" ca="1">_xll.BDP("ED819390 Corp","DS458")</f>
        <v>#NAME?</v>
      </c>
      <c r="E99" s="1" t="e" cm="1">
        <f t="array" aca="1" ref="E99" ca="1">_xll.BDP("ED819390 Corp","DS004")</f>
        <v>#NAME?</v>
      </c>
      <c r="F99" s="1" t="e" cm="1">
        <f t="array" aca="1" ref="F99" ca="1">_xll.BDP("ED819390 Corp","DS035")</f>
        <v>#NAME?</v>
      </c>
      <c r="G99" s="1" t="e" cm="1">
        <f t="array" aca="1" ref="G99" ca="1">_xll.BDP("ED819390 Corp","DS086")</f>
        <v>#NAME?</v>
      </c>
      <c r="H99" s="1" t="e" cm="1">
        <f t="array" aca="1" ref="H99" ca="1">_xll.BDP("ED819390 Corp","DS034")</f>
        <v>#NAME?</v>
      </c>
      <c r="I99" s="1" t="e" cm="1">
        <f t="array" aca="1" ref="I99" ca="1">_xll.BDP("ED819390 Corp","DS033")</f>
        <v>#NAME?</v>
      </c>
      <c r="J99" s="7" t="e" cm="1">
        <f t="array" aca="1" ref="J99" ca="1">_xll.BDP("ED819390 Corp","YL018")</f>
        <v>#NAME?</v>
      </c>
      <c r="K99" s="7" t="e" cm="1">
        <f t="array" aca="1" ref="K99" ca="1">_xll.BDP("ED819390 Corp","YL016")</f>
        <v>#NAME?</v>
      </c>
      <c r="L99" s="7" t="e" cm="1">
        <f t="array" aca="1" ref="L99" ca="1">_xll.BDP("ED819390 Corp","PR004")</f>
        <v>#NAME?</v>
      </c>
      <c r="M99" s="7" t="e" cm="1">
        <f t="array" aca="1" ref="M99" ca="1">_xll.BDP("ED819390 Corp","PR002")</f>
        <v>#NAME?</v>
      </c>
      <c r="N99" s="1" t="e" cm="1">
        <f t="array" aca="1" ref="N99" ca="1">_xll.BDP("ED819390 Corp","ID028")</f>
        <v>#NAME?</v>
      </c>
      <c r="O99" s="1" t="e" cm="1">
        <f t="array" aca="1" ref="O99" ca="1">_xll.BDP("ED819390 Corp","ID005")</f>
        <v>#NAME?</v>
      </c>
      <c r="P99" s="1" t="e" cm="1">
        <f t="array" aca="1" ref="P99" ca="1">_xll.BDP(A99,"RA007")</f>
        <v>#NAME?</v>
      </c>
      <c r="Q99" s="1" t="e" cm="1">
        <f t="array" aca="1" ref="Q99" ca="1">_xll.BDP(A99,"DS219")</f>
        <v>#NAME?</v>
      </c>
      <c r="R99" s="3" t="e" cm="1">
        <f t="array" aca="1" ref="R99" ca="1">_xll.BDP(A99,"DS040")</f>
        <v>#NAME?</v>
      </c>
      <c r="S99" s="4" t="e">
        <f t="shared" ca="1" si="3"/>
        <v>#NAME?</v>
      </c>
      <c r="T99" s="7" t="e">
        <f t="shared" ca="1" si="4"/>
        <v>#NAME?</v>
      </c>
      <c r="U99" s="3" t="e">
        <f t="shared" ca="1" si="5"/>
        <v>#NAME?</v>
      </c>
    </row>
    <row r="100" spans="1:21" x14ac:dyDescent="0.35">
      <c r="A100" s="5" t="s">
        <v>159</v>
      </c>
      <c r="B100" s="1" t="e" cm="1">
        <f t="array" aca="1" ref="B100" ca="1">_xll.BDP("ED903474 Corp","DS520")</f>
        <v>#NAME?</v>
      </c>
      <c r="C100" s="1" t="e" cm="1">
        <f t="array" aca="1" ref="C100" ca="1">_xll.BDP("ED903474 Corp","DS001")</f>
        <v>#NAME?</v>
      </c>
      <c r="D100" s="1" t="e" cm="1">
        <f t="array" aca="1" ref="D100" ca="1">_xll.BDP("ED903474 Corp","DS458")</f>
        <v>#NAME?</v>
      </c>
      <c r="E100" s="1" t="e" cm="1">
        <f t="array" aca="1" ref="E100" ca="1">_xll.BDP("ED903474 Corp","DS004")</f>
        <v>#NAME?</v>
      </c>
      <c r="F100" s="1" t="e" cm="1">
        <f t="array" aca="1" ref="F100" ca="1">_xll.BDP("ED903474 Corp","DS035")</f>
        <v>#NAME?</v>
      </c>
      <c r="G100" s="1" t="e" cm="1">
        <f t="array" aca="1" ref="G100" ca="1">_xll.BDP("ED903474 Corp","DS086")</f>
        <v>#NAME?</v>
      </c>
      <c r="H100" s="1" t="e" cm="1">
        <f t="array" aca="1" ref="H100" ca="1">_xll.BDP("ED903474 Corp","DS034")</f>
        <v>#NAME?</v>
      </c>
      <c r="I100" s="1" t="e" cm="1">
        <f t="array" aca="1" ref="I100" ca="1">_xll.BDP("ED903474 Corp","DS033")</f>
        <v>#NAME?</v>
      </c>
      <c r="J100" s="7" t="e" cm="1">
        <f t="array" aca="1" ref="J100" ca="1">_xll.BDP("ED903474 Corp","YL018")</f>
        <v>#NAME?</v>
      </c>
      <c r="K100" s="7" t="e" cm="1">
        <f t="array" aca="1" ref="K100" ca="1">_xll.BDP("ED903474 Corp","YL016")</f>
        <v>#NAME?</v>
      </c>
      <c r="L100" s="7" t="e" cm="1">
        <f t="array" aca="1" ref="L100" ca="1">_xll.BDP("ED903474 Corp","PR004")</f>
        <v>#NAME?</v>
      </c>
      <c r="M100" s="7" t="e" cm="1">
        <f t="array" aca="1" ref="M100" ca="1">_xll.BDP("ED903474 Corp","PR002")</f>
        <v>#NAME?</v>
      </c>
      <c r="N100" s="1" t="e" cm="1">
        <f t="array" aca="1" ref="N100" ca="1">_xll.BDP("ED903474 Corp","ID028")</f>
        <v>#NAME?</v>
      </c>
      <c r="O100" s="1" t="e" cm="1">
        <f t="array" aca="1" ref="O100" ca="1">_xll.BDP("ED903474 Corp","ID005")</f>
        <v>#NAME?</v>
      </c>
      <c r="P100" s="1" t="e" cm="1">
        <f t="array" aca="1" ref="P100" ca="1">_xll.BDP(A100,"RA007")</f>
        <v>#NAME?</v>
      </c>
      <c r="Q100" s="1" t="e" cm="1">
        <f t="array" aca="1" ref="Q100" ca="1">_xll.BDP(A100,"DS219")</f>
        <v>#NAME?</v>
      </c>
      <c r="R100" s="3" t="e" cm="1">
        <f t="array" aca="1" ref="R100" ca="1">_xll.BDP(A100,"DS040")</f>
        <v>#NAME?</v>
      </c>
      <c r="S100" s="4" t="e">
        <f t="shared" ca="1" si="3"/>
        <v>#NAME?</v>
      </c>
      <c r="T100" s="7" t="e">
        <f t="shared" ca="1" si="4"/>
        <v>#NAME?</v>
      </c>
      <c r="U100" s="3" t="e">
        <f t="shared" ca="1" si="5"/>
        <v>#NAME?</v>
      </c>
    </row>
    <row r="101" spans="1:21" x14ac:dyDescent="0.35">
      <c r="A101" s="5" t="s">
        <v>160</v>
      </c>
      <c r="B101" s="1" t="e" cm="1">
        <f t="array" aca="1" ref="B101" ca="1">_xll.BDP("EF021292 Corp","DS520")</f>
        <v>#NAME?</v>
      </c>
      <c r="C101" s="1" t="e" cm="1">
        <f t="array" aca="1" ref="C101" ca="1">_xll.BDP("EF021292 Corp","DS001")</f>
        <v>#NAME?</v>
      </c>
      <c r="D101" s="1" t="e" cm="1">
        <f t="array" aca="1" ref="D101" ca="1">_xll.BDP("EF021292 Corp","DS458")</f>
        <v>#NAME?</v>
      </c>
      <c r="E101" s="1" t="e" cm="1">
        <f t="array" aca="1" ref="E101" ca="1">_xll.BDP("EF021292 Corp","DS004")</f>
        <v>#NAME?</v>
      </c>
      <c r="F101" s="1" t="e" cm="1">
        <f t="array" aca="1" ref="F101" ca="1">_xll.BDP("EF021292 Corp","DS035")</f>
        <v>#NAME?</v>
      </c>
      <c r="G101" s="1" t="e" cm="1">
        <f t="array" aca="1" ref="G101" ca="1">_xll.BDP("EF021292 Corp","DS086")</f>
        <v>#NAME?</v>
      </c>
      <c r="H101" s="1" t="e" cm="1">
        <f t="array" aca="1" ref="H101" ca="1">_xll.BDP("EF021292 Corp","DS034")</f>
        <v>#NAME?</v>
      </c>
      <c r="I101" s="1" t="e" cm="1">
        <f t="array" aca="1" ref="I101" ca="1">_xll.BDP("EF021292 Corp","DS033")</f>
        <v>#NAME?</v>
      </c>
      <c r="J101" s="7" t="e" cm="1">
        <f t="array" aca="1" ref="J101" ca="1">_xll.BDP("EF021292 Corp","YL018")</f>
        <v>#NAME?</v>
      </c>
      <c r="K101" s="7" t="e" cm="1">
        <f t="array" aca="1" ref="K101" ca="1">_xll.BDP("EF021292 Corp","YL016")</f>
        <v>#NAME?</v>
      </c>
      <c r="L101" s="7" t="e" cm="1">
        <f t="array" aca="1" ref="L101" ca="1">_xll.BDP("EF021292 Corp","PR004")</f>
        <v>#NAME?</v>
      </c>
      <c r="M101" s="7" t="e" cm="1">
        <f t="array" aca="1" ref="M101" ca="1">_xll.BDP("EF021292 Corp","PR002")</f>
        <v>#NAME?</v>
      </c>
      <c r="N101" s="1" t="e" cm="1">
        <f t="array" aca="1" ref="N101" ca="1">_xll.BDP("EF021292 Corp","ID028")</f>
        <v>#NAME?</v>
      </c>
      <c r="O101" s="1" t="e" cm="1">
        <f t="array" aca="1" ref="O101" ca="1">_xll.BDP("EF021292 Corp","ID005")</f>
        <v>#NAME?</v>
      </c>
      <c r="P101" s="1" t="e" cm="1">
        <f t="array" aca="1" ref="P101" ca="1">_xll.BDP(A101,"RA007")</f>
        <v>#NAME?</v>
      </c>
      <c r="Q101" s="1" t="e" cm="1">
        <f t="array" aca="1" ref="Q101" ca="1">_xll.BDP(A101,"DS219")</f>
        <v>#NAME?</v>
      </c>
      <c r="R101" s="3" t="e" cm="1">
        <f t="array" aca="1" ref="R101" ca="1">_xll.BDP(A101,"DS040")</f>
        <v>#NAME?</v>
      </c>
      <c r="S101" s="4" t="e">
        <f t="shared" ca="1" si="3"/>
        <v>#NAME?</v>
      </c>
      <c r="T101" s="7" t="e">
        <f t="shared" ca="1" si="4"/>
        <v>#NAME?</v>
      </c>
      <c r="U101" s="3" t="e">
        <f t="shared" ca="1" si="5"/>
        <v>#NAME?</v>
      </c>
    </row>
    <row r="102" spans="1:21" x14ac:dyDescent="0.35">
      <c r="A102" s="5" t="s">
        <v>161</v>
      </c>
      <c r="B102" s="1" t="e" cm="1">
        <f t="array" aca="1" ref="B102" ca="1">_xll.BDP("EF138652 Corp","DS520")</f>
        <v>#NAME?</v>
      </c>
      <c r="C102" s="1" t="e" cm="1">
        <f t="array" aca="1" ref="C102" ca="1">_xll.BDP("EF138652 Corp","DS001")</f>
        <v>#NAME?</v>
      </c>
      <c r="D102" s="1" t="e" cm="1">
        <f t="array" aca="1" ref="D102" ca="1">_xll.BDP("EF138652 Corp","DS458")</f>
        <v>#NAME?</v>
      </c>
      <c r="E102" s="1" t="e" cm="1">
        <f t="array" aca="1" ref="E102" ca="1">_xll.BDP("EF138652 Corp","DS004")</f>
        <v>#NAME?</v>
      </c>
      <c r="F102" s="1" t="e" cm="1">
        <f t="array" aca="1" ref="F102" ca="1">_xll.BDP("EF138652 Corp","DS035")</f>
        <v>#NAME?</v>
      </c>
      <c r="G102" s="1" t="e" cm="1">
        <f t="array" aca="1" ref="G102" ca="1">_xll.BDP("EF138652 Corp","DS086")</f>
        <v>#NAME?</v>
      </c>
      <c r="H102" s="1" t="e" cm="1">
        <f t="array" aca="1" ref="H102" ca="1">_xll.BDP("EF138652 Corp","DS034")</f>
        <v>#NAME?</v>
      </c>
      <c r="I102" s="1" t="e" cm="1">
        <f t="array" aca="1" ref="I102" ca="1">_xll.BDP("EF138652 Corp","DS033")</f>
        <v>#NAME?</v>
      </c>
      <c r="J102" s="7" t="e" cm="1">
        <f t="array" aca="1" ref="J102" ca="1">_xll.BDP("EF138652 Corp","YL018")</f>
        <v>#NAME?</v>
      </c>
      <c r="K102" s="7" t="e" cm="1">
        <f t="array" aca="1" ref="K102" ca="1">_xll.BDP("EF138652 Corp","YL016")</f>
        <v>#NAME?</v>
      </c>
      <c r="L102" s="7" t="e" cm="1">
        <f t="array" aca="1" ref="L102" ca="1">_xll.BDP("EF138652 Corp","PR004")</f>
        <v>#NAME?</v>
      </c>
      <c r="M102" s="7" t="e" cm="1">
        <f t="array" aca="1" ref="M102" ca="1">_xll.BDP("EF138652 Corp","PR002")</f>
        <v>#NAME?</v>
      </c>
      <c r="N102" s="1" t="e" cm="1">
        <f t="array" aca="1" ref="N102" ca="1">_xll.BDP("EF138652 Corp","ID028")</f>
        <v>#NAME?</v>
      </c>
      <c r="O102" s="1" t="e" cm="1">
        <f t="array" aca="1" ref="O102" ca="1">_xll.BDP("EF138652 Corp","ID005")</f>
        <v>#NAME?</v>
      </c>
      <c r="P102" s="1" t="e" cm="1">
        <f t="array" aca="1" ref="P102" ca="1">_xll.BDP(A102,"RA007")</f>
        <v>#NAME?</v>
      </c>
      <c r="Q102" s="1" t="e" cm="1">
        <f t="array" aca="1" ref="Q102" ca="1">_xll.BDP(A102,"DS219")</f>
        <v>#NAME?</v>
      </c>
      <c r="R102" s="3" t="e" cm="1">
        <f t="array" aca="1" ref="R102" ca="1">_xll.BDP(A102,"DS040")</f>
        <v>#NAME?</v>
      </c>
      <c r="S102" s="4" t="e">
        <f t="shared" ca="1" si="3"/>
        <v>#NAME?</v>
      </c>
      <c r="T102" s="7" t="e">
        <f t="shared" ca="1" si="4"/>
        <v>#NAME?</v>
      </c>
      <c r="U102" s="3" t="e">
        <f t="shared" ca="1" si="5"/>
        <v>#NAME?</v>
      </c>
    </row>
    <row r="103" spans="1:21" x14ac:dyDescent="0.35">
      <c r="A103" s="5" t="s">
        <v>162</v>
      </c>
      <c r="B103" s="1" t="e" cm="1">
        <f t="array" aca="1" ref="B103" ca="1">_xll.BDP("EF250218 Corp","DS520")</f>
        <v>#NAME?</v>
      </c>
      <c r="C103" s="1" t="e" cm="1">
        <f t="array" aca="1" ref="C103" ca="1">_xll.BDP("EF250218 Corp","DS001")</f>
        <v>#NAME?</v>
      </c>
      <c r="D103" s="1" t="e" cm="1">
        <f t="array" aca="1" ref="D103" ca="1">_xll.BDP("EF250218 Corp","DS458")</f>
        <v>#NAME?</v>
      </c>
      <c r="E103" s="1" t="e" cm="1">
        <f t="array" aca="1" ref="E103" ca="1">_xll.BDP("EF250218 Corp","DS004")</f>
        <v>#NAME?</v>
      </c>
      <c r="F103" s="1" t="e" cm="1">
        <f t="array" aca="1" ref="F103" ca="1">_xll.BDP("EF250218 Corp","DS035")</f>
        <v>#NAME?</v>
      </c>
      <c r="G103" s="1" t="e" cm="1">
        <f t="array" aca="1" ref="G103" ca="1">_xll.BDP("EF250218 Corp","DS086")</f>
        <v>#NAME?</v>
      </c>
      <c r="H103" s="1" t="e" cm="1">
        <f t="array" aca="1" ref="H103" ca="1">_xll.BDP("EF250218 Corp","DS034")</f>
        <v>#NAME?</v>
      </c>
      <c r="I103" s="1" t="e" cm="1">
        <f t="array" aca="1" ref="I103" ca="1">_xll.BDP("EF250218 Corp","DS033")</f>
        <v>#NAME?</v>
      </c>
      <c r="J103" s="7" t="e" cm="1">
        <f t="array" aca="1" ref="J103" ca="1">_xll.BDP("EF250218 Corp","YL018")</f>
        <v>#NAME?</v>
      </c>
      <c r="K103" s="7" t="e" cm="1">
        <f t="array" aca="1" ref="K103" ca="1">_xll.BDP("EF250218 Corp","YL016")</f>
        <v>#NAME?</v>
      </c>
      <c r="L103" s="7" t="e" cm="1">
        <f t="array" aca="1" ref="L103" ca="1">_xll.BDP("EF250218 Corp","PR004")</f>
        <v>#NAME?</v>
      </c>
      <c r="M103" s="7" t="e" cm="1">
        <f t="array" aca="1" ref="M103" ca="1">_xll.BDP("EF250218 Corp","PR002")</f>
        <v>#NAME?</v>
      </c>
      <c r="N103" s="1" t="e" cm="1">
        <f t="array" aca="1" ref="N103" ca="1">_xll.BDP("EF250218 Corp","ID028")</f>
        <v>#NAME?</v>
      </c>
      <c r="O103" s="1" t="e" cm="1">
        <f t="array" aca="1" ref="O103" ca="1">_xll.BDP("EF250218 Corp","ID005")</f>
        <v>#NAME?</v>
      </c>
      <c r="P103" s="1" t="e" cm="1">
        <f t="array" aca="1" ref="P103" ca="1">_xll.BDP(A103,"RA007")</f>
        <v>#NAME?</v>
      </c>
      <c r="Q103" s="1" t="e" cm="1">
        <f t="array" aca="1" ref="Q103" ca="1">_xll.BDP(A103,"DS219")</f>
        <v>#NAME?</v>
      </c>
      <c r="R103" s="3" t="e" cm="1">
        <f t="array" aca="1" ref="R103" ca="1">_xll.BDP(A103,"DS040")</f>
        <v>#NAME?</v>
      </c>
      <c r="S103" s="4" t="e">
        <f t="shared" ca="1" si="3"/>
        <v>#NAME?</v>
      </c>
      <c r="T103" s="7" t="e">
        <f t="shared" ca="1" si="4"/>
        <v>#NAME?</v>
      </c>
      <c r="U103" s="3" t="e">
        <f t="shared" ca="1" si="5"/>
        <v>#NAME?</v>
      </c>
    </row>
    <row r="104" spans="1:21" x14ac:dyDescent="0.35">
      <c r="A104" s="5" t="s">
        <v>163</v>
      </c>
      <c r="B104" s="1" t="e" cm="1">
        <f t="array" aca="1" ref="B104" ca="1">_xll.BDP("EF329501 Corp","DS520")</f>
        <v>#NAME?</v>
      </c>
      <c r="C104" s="1" t="e" cm="1">
        <f t="array" aca="1" ref="C104" ca="1">_xll.BDP("EF329501 Corp","DS001")</f>
        <v>#NAME?</v>
      </c>
      <c r="D104" s="1" t="e" cm="1">
        <f t="array" aca="1" ref="D104" ca="1">_xll.BDP("EF329501 Corp","DS458")</f>
        <v>#NAME?</v>
      </c>
      <c r="E104" s="1" t="e" cm="1">
        <f t="array" aca="1" ref="E104" ca="1">_xll.BDP("EF329501 Corp","DS004")</f>
        <v>#NAME?</v>
      </c>
      <c r="F104" s="1" t="e" cm="1">
        <f t="array" aca="1" ref="F104" ca="1">_xll.BDP("EF329501 Corp","DS035")</f>
        <v>#NAME?</v>
      </c>
      <c r="G104" s="1" t="e" cm="1">
        <f t="array" aca="1" ref="G104" ca="1">_xll.BDP("EF329501 Corp","DS086")</f>
        <v>#NAME?</v>
      </c>
      <c r="H104" s="1" t="e" cm="1">
        <f t="array" aca="1" ref="H104" ca="1">_xll.BDP("EF329501 Corp","DS034")</f>
        <v>#NAME?</v>
      </c>
      <c r="I104" s="1" t="e" cm="1">
        <f t="array" aca="1" ref="I104" ca="1">_xll.BDP("EF329501 Corp","DS033")</f>
        <v>#NAME?</v>
      </c>
      <c r="J104" s="7" t="e" cm="1">
        <f t="array" aca="1" ref="J104" ca="1">_xll.BDP("EF329501 Corp","YL018")</f>
        <v>#NAME?</v>
      </c>
      <c r="K104" s="7" t="e" cm="1">
        <f t="array" aca="1" ref="K104" ca="1">_xll.BDP("EF329501 Corp","YL016")</f>
        <v>#NAME?</v>
      </c>
      <c r="L104" s="7" t="e" cm="1">
        <f t="array" aca="1" ref="L104" ca="1">_xll.BDP("EF329501 Corp","PR004")</f>
        <v>#NAME?</v>
      </c>
      <c r="M104" s="7" t="e" cm="1">
        <f t="array" aca="1" ref="M104" ca="1">_xll.BDP("EF329501 Corp","PR002")</f>
        <v>#NAME?</v>
      </c>
      <c r="N104" s="1" t="e" cm="1">
        <f t="array" aca="1" ref="N104" ca="1">_xll.BDP("EF329501 Corp","ID028")</f>
        <v>#NAME?</v>
      </c>
      <c r="O104" s="1" t="e" cm="1">
        <f t="array" aca="1" ref="O104" ca="1">_xll.BDP("EF329501 Corp","ID005")</f>
        <v>#NAME?</v>
      </c>
      <c r="P104" s="1" t="e" cm="1">
        <f t="array" aca="1" ref="P104" ca="1">_xll.BDP(A104,"RA007")</f>
        <v>#NAME?</v>
      </c>
      <c r="Q104" s="1" t="e" cm="1">
        <f t="array" aca="1" ref="Q104" ca="1">_xll.BDP(A104,"DS219")</f>
        <v>#NAME?</v>
      </c>
      <c r="R104" s="3" t="e" cm="1">
        <f t="array" aca="1" ref="R104" ca="1">_xll.BDP(A104,"DS040")</f>
        <v>#NAME?</v>
      </c>
      <c r="S104" s="4" t="e">
        <f t="shared" ca="1" si="3"/>
        <v>#NAME?</v>
      </c>
      <c r="T104" s="7" t="e">
        <f t="shared" ca="1" si="4"/>
        <v>#NAME?</v>
      </c>
      <c r="U104" s="3" t="e">
        <f t="shared" ca="1" si="5"/>
        <v>#NAME?</v>
      </c>
    </row>
    <row r="105" spans="1:21" x14ac:dyDescent="0.35">
      <c r="A105" s="5" t="s">
        <v>164</v>
      </c>
      <c r="B105" s="1" t="e" cm="1">
        <f t="array" aca="1" ref="B105" ca="1">_xll.BDP("EF371144 Corp","DS520")</f>
        <v>#NAME?</v>
      </c>
      <c r="C105" s="1" t="e" cm="1">
        <f t="array" aca="1" ref="C105" ca="1">_xll.BDP("EF371144 Corp","DS001")</f>
        <v>#NAME?</v>
      </c>
      <c r="D105" s="1" t="e" cm="1">
        <f t="array" aca="1" ref="D105" ca="1">_xll.BDP("EF371144 Corp","DS458")</f>
        <v>#NAME?</v>
      </c>
      <c r="E105" s="1" t="e" cm="1">
        <f t="array" aca="1" ref="E105" ca="1">_xll.BDP("EF371144 Corp","DS004")</f>
        <v>#NAME?</v>
      </c>
      <c r="F105" s="1" t="e" cm="1">
        <f t="array" aca="1" ref="F105" ca="1">_xll.BDP("EF371144 Corp","DS035")</f>
        <v>#NAME?</v>
      </c>
      <c r="G105" s="1" t="e" cm="1">
        <f t="array" aca="1" ref="G105" ca="1">_xll.BDP("EF371144 Corp","DS086")</f>
        <v>#NAME?</v>
      </c>
      <c r="H105" s="1" t="e" cm="1">
        <f t="array" aca="1" ref="H105" ca="1">_xll.BDP("EF371144 Corp","DS034")</f>
        <v>#NAME?</v>
      </c>
      <c r="I105" s="1" t="e" cm="1">
        <f t="array" aca="1" ref="I105" ca="1">_xll.BDP("EF371144 Corp","DS033")</f>
        <v>#NAME?</v>
      </c>
      <c r="J105" s="7" t="e" cm="1">
        <f t="array" aca="1" ref="J105" ca="1">_xll.BDP("EF371144 Corp","YL018")</f>
        <v>#NAME?</v>
      </c>
      <c r="K105" s="7" t="e" cm="1">
        <f t="array" aca="1" ref="K105" ca="1">_xll.BDP("EF371144 Corp","YL016")</f>
        <v>#NAME?</v>
      </c>
      <c r="L105" s="7" t="e" cm="1">
        <f t="array" aca="1" ref="L105" ca="1">_xll.BDP("EF371144 Corp","PR004")</f>
        <v>#NAME?</v>
      </c>
      <c r="M105" s="7" t="e" cm="1">
        <f t="array" aca="1" ref="M105" ca="1">_xll.BDP("EF371144 Corp","PR002")</f>
        <v>#NAME?</v>
      </c>
      <c r="N105" s="1" t="e" cm="1">
        <f t="array" aca="1" ref="N105" ca="1">_xll.BDP("EF371144 Corp","ID028")</f>
        <v>#NAME?</v>
      </c>
      <c r="O105" s="1" t="e" cm="1">
        <f t="array" aca="1" ref="O105" ca="1">_xll.BDP("EF371144 Corp","ID005")</f>
        <v>#NAME?</v>
      </c>
      <c r="P105" s="1" t="e" cm="1">
        <f t="array" aca="1" ref="P105" ca="1">_xll.BDP(A105,"RA007")</f>
        <v>#NAME?</v>
      </c>
      <c r="Q105" s="1" t="e" cm="1">
        <f t="array" aca="1" ref="Q105" ca="1">_xll.BDP(A105,"DS219")</f>
        <v>#NAME?</v>
      </c>
      <c r="R105" s="3" t="e" cm="1">
        <f t="array" aca="1" ref="R105" ca="1">_xll.BDP(A105,"DS040")</f>
        <v>#NAME?</v>
      </c>
      <c r="S105" s="4" t="e">
        <f t="shared" ca="1" si="3"/>
        <v>#NAME?</v>
      </c>
      <c r="T105" s="7" t="e">
        <f t="shared" ca="1" si="4"/>
        <v>#NAME?</v>
      </c>
      <c r="U105" s="3" t="e">
        <f t="shared" ca="1" si="5"/>
        <v>#NAME?</v>
      </c>
    </row>
    <row r="106" spans="1:21" x14ac:dyDescent="0.35">
      <c r="A106" s="5" t="s">
        <v>165</v>
      </c>
      <c r="B106" s="1" t="e" cm="1">
        <f t="array" aca="1" ref="B106" ca="1">_xll.BDP("EF381218 Corp","DS520")</f>
        <v>#NAME?</v>
      </c>
      <c r="C106" s="1" t="e" cm="1">
        <f t="array" aca="1" ref="C106" ca="1">_xll.BDP("EF381218 Corp","DS001")</f>
        <v>#NAME?</v>
      </c>
      <c r="D106" s="1" t="e" cm="1">
        <f t="array" aca="1" ref="D106" ca="1">_xll.BDP("EF381218 Corp","DS458")</f>
        <v>#NAME?</v>
      </c>
      <c r="E106" s="1" t="e" cm="1">
        <f t="array" aca="1" ref="E106" ca="1">_xll.BDP("EF381218 Corp","DS004")</f>
        <v>#NAME?</v>
      </c>
      <c r="F106" s="1" t="e" cm="1">
        <f t="array" aca="1" ref="F106" ca="1">_xll.BDP("EF381218 Corp","DS035")</f>
        <v>#NAME?</v>
      </c>
      <c r="G106" s="1" t="e" cm="1">
        <f t="array" aca="1" ref="G106" ca="1">_xll.BDP("EF381218 Corp","DS086")</f>
        <v>#NAME?</v>
      </c>
      <c r="H106" s="1" t="e" cm="1">
        <f t="array" aca="1" ref="H106" ca="1">_xll.BDP("EF381218 Corp","DS034")</f>
        <v>#NAME?</v>
      </c>
      <c r="I106" s="1" t="e" cm="1">
        <f t="array" aca="1" ref="I106" ca="1">_xll.BDP("EF381218 Corp","DS033")</f>
        <v>#NAME?</v>
      </c>
      <c r="J106" s="7" t="e" cm="1">
        <f t="array" aca="1" ref="J106" ca="1">_xll.BDP("EF381218 Corp","YL018")</f>
        <v>#NAME?</v>
      </c>
      <c r="K106" s="7" t="e" cm="1">
        <f t="array" aca="1" ref="K106" ca="1">_xll.BDP("EF381218 Corp","YL016")</f>
        <v>#NAME?</v>
      </c>
      <c r="L106" s="7" t="e" cm="1">
        <f t="array" aca="1" ref="L106" ca="1">_xll.BDP("EF381218 Corp","PR004")</f>
        <v>#NAME?</v>
      </c>
      <c r="M106" s="7" t="e" cm="1">
        <f t="array" aca="1" ref="M106" ca="1">_xll.BDP("EF381218 Corp","PR002")</f>
        <v>#NAME?</v>
      </c>
      <c r="N106" s="1" t="e" cm="1">
        <f t="array" aca="1" ref="N106" ca="1">_xll.BDP("EF381218 Corp","ID028")</f>
        <v>#NAME?</v>
      </c>
      <c r="O106" s="1" t="e" cm="1">
        <f t="array" aca="1" ref="O106" ca="1">_xll.BDP("EF381218 Corp","ID005")</f>
        <v>#NAME?</v>
      </c>
      <c r="P106" s="1" t="e" cm="1">
        <f t="array" aca="1" ref="P106" ca="1">_xll.BDP(A106,"RA007")</f>
        <v>#NAME?</v>
      </c>
      <c r="Q106" s="1" t="e" cm="1">
        <f t="array" aca="1" ref="Q106" ca="1">_xll.BDP(A106,"DS219")</f>
        <v>#NAME?</v>
      </c>
      <c r="R106" s="3" t="e" cm="1">
        <f t="array" aca="1" ref="R106" ca="1">_xll.BDP(A106,"DS040")</f>
        <v>#NAME?</v>
      </c>
      <c r="S106" s="4" t="e">
        <f t="shared" ca="1" si="3"/>
        <v>#NAME?</v>
      </c>
      <c r="T106" s="7" t="e">
        <f t="shared" ca="1" si="4"/>
        <v>#NAME?</v>
      </c>
      <c r="U106" s="3" t="e">
        <f t="shared" ca="1" si="5"/>
        <v>#NAME?</v>
      </c>
    </row>
    <row r="107" spans="1:21" x14ac:dyDescent="0.35">
      <c r="A107" s="5" t="s">
        <v>166</v>
      </c>
      <c r="B107" s="1" t="e" cm="1">
        <f t="array" aca="1" ref="B107" ca="1">_xll.BDP("EF452796 Corp","DS520")</f>
        <v>#NAME?</v>
      </c>
      <c r="C107" s="1" t="e" cm="1">
        <f t="array" aca="1" ref="C107" ca="1">_xll.BDP("EF452796 Corp","DS001")</f>
        <v>#NAME?</v>
      </c>
      <c r="D107" s="1" t="e" cm="1">
        <f t="array" aca="1" ref="D107" ca="1">_xll.BDP("EF452796 Corp","DS458")</f>
        <v>#NAME?</v>
      </c>
      <c r="E107" s="1" t="e" cm="1">
        <f t="array" aca="1" ref="E107" ca="1">_xll.BDP("EF452796 Corp","DS004")</f>
        <v>#NAME?</v>
      </c>
      <c r="F107" s="1" t="e" cm="1">
        <f t="array" aca="1" ref="F107" ca="1">_xll.BDP("EF452796 Corp","DS035")</f>
        <v>#NAME?</v>
      </c>
      <c r="G107" s="1" t="e" cm="1">
        <f t="array" aca="1" ref="G107" ca="1">_xll.BDP("EF452796 Corp","DS086")</f>
        <v>#NAME?</v>
      </c>
      <c r="H107" s="1" t="e" cm="1">
        <f t="array" aca="1" ref="H107" ca="1">_xll.BDP("EF452796 Corp","DS034")</f>
        <v>#NAME?</v>
      </c>
      <c r="I107" s="1" t="e" cm="1">
        <f t="array" aca="1" ref="I107" ca="1">_xll.BDP("EF452796 Corp","DS033")</f>
        <v>#NAME?</v>
      </c>
      <c r="J107" s="7" t="e" cm="1">
        <f t="array" aca="1" ref="J107" ca="1">_xll.BDP("EF452796 Corp","YL018")</f>
        <v>#NAME?</v>
      </c>
      <c r="K107" s="7" t="e" cm="1">
        <f t="array" aca="1" ref="K107" ca="1">_xll.BDP("EF452796 Corp","YL016")</f>
        <v>#NAME?</v>
      </c>
      <c r="L107" s="7" t="e" cm="1">
        <f t="array" aca="1" ref="L107" ca="1">_xll.BDP("EF452796 Corp","PR004")</f>
        <v>#NAME?</v>
      </c>
      <c r="M107" s="7" t="e" cm="1">
        <f t="array" aca="1" ref="M107" ca="1">_xll.BDP("EF452796 Corp","PR002")</f>
        <v>#NAME?</v>
      </c>
      <c r="N107" s="1" t="e" cm="1">
        <f t="array" aca="1" ref="N107" ca="1">_xll.BDP("EF452796 Corp","ID028")</f>
        <v>#NAME?</v>
      </c>
      <c r="O107" s="1" t="e" cm="1">
        <f t="array" aca="1" ref="O107" ca="1">_xll.BDP("EF452796 Corp","ID005")</f>
        <v>#NAME?</v>
      </c>
      <c r="P107" s="1" t="e" cm="1">
        <f t="array" aca="1" ref="P107" ca="1">_xll.BDP(A107,"RA007")</f>
        <v>#NAME?</v>
      </c>
      <c r="Q107" s="1" t="e" cm="1">
        <f t="array" aca="1" ref="Q107" ca="1">_xll.BDP(A107,"DS219")</f>
        <v>#NAME?</v>
      </c>
      <c r="R107" s="3" t="e" cm="1">
        <f t="array" aca="1" ref="R107" ca="1">_xll.BDP(A107,"DS040")</f>
        <v>#NAME?</v>
      </c>
      <c r="S107" s="4" t="e">
        <f t="shared" ca="1" si="3"/>
        <v>#NAME?</v>
      </c>
      <c r="T107" s="7" t="e">
        <f t="shared" ca="1" si="4"/>
        <v>#NAME?</v>
      </c>
      <c r="U107" s="3" t="e">
        <f t="shared" ca="1" si="5"/>
        <v>#NAME?</v>
      </c>
    </row>
    <row r="108" spans="1:21" x14ac:dyDescent="0.35">
      <c r="A108" s="5" t="s">
        <v>167</v>
      </c>
      <c r="B108" s="1" t="e" cm="1">
        <f t="array" aca="1" ref="B108" ca="1">_xll.BDP("EF500367 Corp","DS520")</f>
        <v>#NAME?</v>
      </c>
      <c r="C108" s="1" t="e" cm="1">
        <f t="array" aca="1" ref="C108" ca="1">_xll.BDP("EF500367 Corp","DS001")</f>
        <v>#NAME?</v>
      </c>
      <c r="D108" s="1" t="e" cm="1">
        <f t="array" aca="1" ref="D108" ca="1">_xll.BDP("EF500367 Corp","DS458")</f>
        <v>#NAME?</v>
      </c>
      <c r="E108" s="1" t="e" cm="1">
        <f t="array" aca="1" ref="E108" ca="1">_xll.BDP("EF500367 Corp","DS004")</f>
        <v>#NAME?</v>
      </c>
      <c r="F108" s="1" t="e" cm="1">
        <f t="array" aca="1" ref="F108" ca="1">_xll.BDP("EF500367 Corp","DS035")</f>
        <v>#NAME?</v>
      </c>
      <c r="G108" s="1" t="e" cm="1">
        <f t="array" aca="1" ref="G108" ca="1">_xll.BDP("EF500367 Corp","DS086")</f>
        <v>#NAME?</v>
      </c>
      <c r="H108" s="1" t="e" cm="1">
        <f t="array" aca="1" ref="H108" ca="1">_xll.BDP("EF500367 Corp","DS034")</f>
        <v>#NAME?</v>
      </c>
      <c r="I108" s="1" t="e" cm="1">
        <f t="array" aca="1" ref="I108" ca="1">_xll.BDP("EF500367 Corp","DS033")</f>
        <v>#NAME?</v>
      </c>
      <c r="J108" s="7" t="e" cm="1">
        <f t="array" aca="1" ref="J108" ca="1">_xll.BDP("EF500367 Corp","YL018")</f>
        <v>#NAME?</v>
      </c>
      <c r="K108" s="7" t="e" cm="1">
        <f t="array" aca="1" ref="K108" ca="1">_xll.BDP("EF500367 Corp","YL016")</f>
        <v>#NAME?</v>
      </c>
      <c r="L108" s="7" t="e" cm="1">
        <f t="array" aca="1" ref="L108" ca="1">_xll.BDP("EF500367 Corp","PR004")</f>
        <v>#NAME?</v>
      </c>
      <c r="M108" s="7" t="e" cm="1">
        <f t="array" aca="1" ref="M108" ca="1">_xll.BDP("EF500367 Corp","PR002")</f>
        <v>#NAME?</v>
      </c>
      <c r="N108" s="1" t="e" cm="1">
        <f t="array" aca="1" ref="N108" ca="1">_xll.BDP("EF500367 Corp","ID028")</f>
        <v>#NAME?</v>
      </c>
      <c r="O108" s="1" t="e" cm="1">
        <f t="array" aca="1" ref="O108" ca="1">_xll.BDP("EF500367 Corp","ID005")</f>
        <v>#NAME?</v>
      </c>
      <c r="P108" s="1" t="e" cm="1">
        <f t="array" aca="1" ref="P108" ca="1">_xll.BDP(A108,"RA007")</f>
        <v>#NAME?</v>
      </c>
      <c r="Q108" s="1" t="e" cm="1">
        <f t="array" aca="1" ref="Q108" ca="1">_xll.BDP(A108,"DS219")</f>
        <v>#NAME?</v>
      </c>
      <c r="R108" s="3" t="e" cm="1">
        <f t="array" aca="1" ref="R108" ca="1">_xll.BDP(A108,"DS040")</f>
        <v>#NAME?</v>
      </c>
      <c r="S108" s="4" t="e">
        <f t="shared" ca="1" si="3"/>
        <v>#NAME?</v>
      </c>
      <c r="T108" s="7" t="e">
        <f t="shared" ca="1" si="4"/>
        <v>#NAME?</v>
      </c>
      <c r="U108" s="3" t="e">
        <f t="shared" ca="1" si="5"/>
        <v>#NAME?</v>
      </c>
    </row>
    <row r="109" spans="1:21" x14ac:dyDescent="0.35">
      <c r="A109" s="5" t="s">
        <v>168</v>
      </c>
      <c r="B109" s="1" t="e" cm="1">
        <f t="array" aca="1" ref="B109" ca="1">_xll.BDP("EF559765 Corp","DS520")</f>
        <v>#NAME?</v>
      </c>
      <c r="C109" s="1" t="e" cm="1">
        <f t="array" aca="1" ref="C109" ca="1">_xll.BDP("EF559765 Corp","DS001")</f>
        <v>#NAME?</v>
      </c>
      <c r="D109" s="1" t="e" cm="1">
        <f t="array" aca="1" ref="D109" ca="1">_xll.BDP("EF559765 Corp","DS458")</f>
        <v>#NAME?</v>
      </c>
      <c r="E109" s="1" t="e" cm="1">
        <f t="array" aca="1" ref="E109" ca="1">_xll.BDP("EF559765 Corp","DS004")</f>
        <v>#NAME?</v>
      </c>
      <c r="F109" s="1" t="e" cm="1">
        <f t="array" aca="1" ref="F109" ca="1">_xll.BDP("EF559765 Corp","DS035")</f>
        <v>#NAME?</v>
      </c>
      <c r="G109" s="1" t="e" cm="1">
        <f t="array" aca="1" ref="G109" ca="1">_xll.BDP("EF559765 Corp","DS086")</f>
        <v>#NAME?</v>
      </c>
      <c r="H109" s="1" t="e" cm="1">
        <f t="array" aca="1" ref="H109" ca="1">_xll.BDP("EF559765 Corp","DS034")</f>
        <v>#NAME?</v>
      </c>
      <c r="I109" s="1" t="e" cm="1">
        <f t="array" aca="1" ref="I109" ca="1">_xll.BDP("EF559765 Corp","DS033")</f>
        <v>#NAME?</v>
      </c>
      <c r="J109" s="7" t="e" cm="1">
        <f t="array" aca="1" ref="J109" ca="1">_xll.BDP("EF559765 Corp","YL018")</f>
        <v>#NAME?</v>
      </c>
      <c r="K109" s="7" t="e" cm="1">
        <f t="array" aca="1" ref="K109" ca="1">_xll.BDP("EF559765 Corp","YL016")</f>
        <v>#NAME?</v>
      </c>
      <c r="L109" s="7" t="e" cm="1">
        <f t="array" aca="1" ref="L109" ca="1">_xll.BDP("EF559765 Corp","PR004")</f>
        <v>#NAME?</v>
      </c>
      <c r="M109" s="7" t="e" cm="1">
        <f t="array" aca="1" ref="M109" ca="1">_xll.BDP("EF559765 Corp","PR002")</f>
        <v>#NAME?</v>
      </c>
      <c r="N109" s="1" t="e" cm="1">
        <f t="array" aca="1" ref="N109" ca="1">_xll.BDP("EF559765 Corp","ID028")</f>
        <v>#NAME?</v>
      </c>
      <c r="O109" s="1" t="e" cm="1">
        <f t="array" aca="1" ref="O109" ca="1">_xll.BDP("EF559765 Corp","ID005")</f>
        <v>#NAME?</v>
      </c>
      <c r="P109" s="1" t="e" cm="1">
        <f t="array" aca="1" ref="P109" ca="1">_xll.BDP(A109,"RA007")</f>
        <v>#NAME?</v>
      </c>
      <c r="Q109" s="1" t="e" cm="1">
        <f t="array" aca="1" ref="Q109" ca="1">_xll.BDP(A109,"DS219")</f>
        <v>#NAME?</v>
      </c>
      <c r="R109" s="3" t="e" cm="1">
        <f t="array" aca="1" ref="R109" ca="1">_xll.BDP(A109,"DS040")</f>
        <v>#NAME?</v>
      </c>
      <c r="S109" s="4" t="e">
        <f t="shared" ca="1" si="3"/>
        <v>#NAME?</v>
      </c>
      <c r="T109" s="7" t="e">
        <f t="shared" ca="1" si="4"/>
        <v>#NAME?</v>
      </c>
      <c r="U109" s="3" t="e">
        <f t="shared" ca="1" si="5"/>
        <v>#NAME?</v>
      </c>
    </row>
    <row r="110" spans="1:21" x14ac:dyDescent="0.35">
      <c r="A110" s="5" t="s">
        <v>169</v>
      </c>
      <c r="B110" s="1" t="e" cm="1">
        <f t="array" aca="1" ref="B110" ca="1">_xll.BDP("EF659299 Corp","DS520")</f>
        <v>#NAME?</v>
      </c>
      <c r="C110" s="1" t="e" cm="1">
        <f t="array" aca="1" ref="C110" ca="1">_xll.BDP("EF659299 Corp","DS001")</f>
        <v>#NAME?</v>
      </c>
      <c r="D110" s="1" t="e" cm="1">
        <f t="array" aca="1" ref="D110" ca="1">_xll.BDP("EF659299 Corp","DS458")</f>
        <v>#NAME?</v>
      </c>
      <c r="E110" s="1" t="e" cm="1">
        <f t="array" aca="1" ref="E110" ca="1">_xll.BDP("EF659299 Corp","DS004")</f>
        <v>#NAME?</v>
      </c>
      <c r="F110" s="1" t="e" cm="1">
        <f t="array" aca="1" ref="F110" ca="1">_xll.BDP("EF659299 Corp","DS035")</f>
        <v>#NAME?</v>
      </c>
      <c r="G110" s="1" t="e" cm="1">
        <f t="array" aca="1" ref="G110" ca="1">_xll.BDP("EF659299 Corp","DS086")</f>
        <v>#NAME?</v>
      </c>
      <c r="H110" s="1" t="e" cm="1">
        <f t="array" aca="1" ref="H110" ca="1">_xll.BDP("EF659299 Corp","DS034")</f>
        <v>#NAME?</v>
      </c>
      <c r="I110" s="1" t="e" cm="1">
        <f t="array" aca="1" ref="I110" ca="1">_xll.BDP("EF659299 Corp","DS033")</f>
        <v>#NAME?</v>
      </c>
      <c r="J110" s="7" t="e" cm="1">
        <f t="array" aca="1" ref="J110" ca="1">_xll.BDP("EF659299 Corp","YL018")</f>
        <v>#NAME?</v>
      </c>
      <c r="K110" s="7" t="e" cm="1">
        <f t="array" aca="1" ref="K110" ca="1">_xll.BDP("EF659299 Corp","YL016")</f>
        <v>#NAME?</v>
      </c>
      <c r="L110" s="7" t="e" cm="1">
        <f t="array" aca="1" ref="L110" ca="1">_xll.BDP("EF659299 Corp","PR004")</f>
        <v>#NAME?</v>
      </c>
      <c r="M110" s="7" t="e" cm="1">
        <f t="array" aca="1" ref="M110" ca="1">_xll.BDP("EF659299 Corp","PR002")</f>
        <v>#NAME?</v>
      </c>
      <c r="N110" s="1" t="e" cm="1">
        <f t="array" aca="1" ref="N110" ca="1">_xll.BDP("EF659299 Corp","ID028")</f>
        <v>#NAME?</v>
      </c>
      <c r="O110" s="1" t="e" cm="1">
        <f t="array" aca="1" ref="O110" ca="1">_xll.BDP("EF659299 Corp","ID005")</f>
        <v>#NAME?</v>
      </c>
      <c r="P110" s="1" t="e" cm="1">
        <f t="array" aca="1" ref="P110" ca="1">_xll.BDP(A110,"RA007")</f>
        <v>#NAME?</v>
      </c>
      <c r="Q110" s="1" t="e" cm="1">
        <f t="array" aca="1" ref="Q110" ca="1">_xll.BDP(A110,"DS219")</f>
        <v>#NAME?</v>
      </c>
      <c r="R110" s="3" t="e" cm="1">
        <f t="array" aca="1" ref="R110" ca="1">_xll.BDP(A110,"DS040")</f>
        <v>#NAME?</v>
      </c>
      <c r="S110" s="4" t="e">
        <f t="shared" ca="1" si="3"/>
        <v>#NAME?</v>
      </c>
      <c r="T110" s="7" t="e">
        <f t="shared" ca="1" si="4"/>
        <v>#NAME?</v>
      </c>
      <c r="U110" s="3" t="e">
        <f t="shared" ca="1" si="5"/>
        <v>#NAME?</v>
      </c>
    </row>
    <row r="111" spans="1:21" x14ac:dyDescent="0.35">
      <c r="A111" s="5" t="s">
        <v>170</v>
      </c>
      <c r="B111" s="1" t="e" cm="1">
        <f t="array" aca="1" ref="B111" ca="1">_xll.BDP("EF715379 Corp","DS520")</f>
        <v>#NAME?</v>
      </c>
      <c r="C111" s="1" t="e" cm="1">
        <f t="array" aca="1" ref="C111" ca="1">_xll.BDP("EF715379 Corp","DS001")</f>
        <v>#NAME?</v>
      </c>
      <c r="D111" s="1" t="e" cm="1">
        <f t="array" aca="1" ref="D111" ca="1">_xll.BDP("EF715379 Corp","DS458")</f>
        <v>#NAME?</v>
      </c>
      <c r="E111" s="1" t="e" cm="1">
        <f t="array" aca="1" ref="E111" ca="1">_xll.BDP("EF715379 Corp","DS004")</f>
        <v>#NAME?</v>
      </c>
      <c r="F111" s="1" t="e" cm="1">
        <f t="array" aca="1" ref="F111" ca="1">_xll.BDP("EF715379 Corp","DS035")</f>
        <v>#NAME?</v>
      </c>
      <c r="G111" s="1" t="e" cm="1">
        <f t="array" aca="1" ref="G111" ca="1">_xll.BDP("EF715379 Corp","DS086")</f>
        <v>#NAME?</v>
      </c>
      <c r="H111" s="1" t="e" cm="1">
        <f t="array" aca="1" ref="H111" ca="1">_xll.BDP("EF715379 Corp","DS034")</f>
        <v>#NAME?</v>
      </c>
      <c r="I111" s="1" t="e" cm="1">
        <f t="array" aca="1" ref="I111" ca="1">_xll.BDP("EF715379 Corp","DS033")</f>
        <v>#NAME?</v>
      </c>
      <c r="J111" s="7" t="e" cm="1">
        <f t="array" aca="1" ref="J111" ca="1">_xll.BDP("EF715379 Corp","YL018")</f>
        <v>#NAME?</v>
      </c>
      <c r="K111" s="7" t="e" cm="1">
        <f t="array" aca="1" ref="K111" ca="1">_xll.BDP("EF715379 Corp","YL016")</f>
        <v>#NAME?</v>
      </c>
      <c r="L111" s="7" t="e" cm="1">
        <f t="array" aca="1" ref="L111" ca="1">_xll.BDP("EF715379 Corp","PR004")</f>
        <v>#NAME?</v>
      </c>
      <c r="M111" s="7" t="e" cm="1">
        <f t="array" aca="1" ref="M111" ca="1">_xll.BDP("EF715379 Corp","PR002")</f>
        <v>#NAME?</v>
      </c>
      <c r="N111" s="1" t="e" cm="1">
        <f t="array" aca="1" ref="N111" ca="1">_xll.BDP("EF715379 Corp","ID028")</f>
        <v>#NAME?</v>
      </c>
      <c r="O111" s="1" t="e" cm="1">
        <f t="array" aca="1" ref="O111" ca="1">_xll.BDP("EF715379 Corp","ID005")</f>
        <v>#NAME?</v>
      </c>
      <c r="P111" s="1" t="e" cm="1">
        <f t="array" aca="1" ref="P111" ca="1">_xll.BDP(A111,"RA007")</f>
        <v>#NAME?</v>
      </c>
      <c r="Q111" s="1" t="e" cm="1">
        <f t="array" aca="1" ref="Q111" ca="1">_xll.BDP(A111,"DS219")</f>
        <v>#NAME?</v>
      </c>
      <c r="R111" s="3" t="e" cm="1">
        <f t="array" aca="1" ref="R111" ca="1">_xll.BDP(A111,"DS040")</f>
        <v>#NAME?</v>
      </c>
      <c r="S111" s="4" t="e">
        <f t="shared" ca="1" si="3"/>
        <v>#NAME?</v>
      </c>
      <c r="T111" s="7" t="e">
        <f t="shared" ca="1" si="4"/>
        <v>#NAME?</v>
      </c>
      <c r="U111" s="3" t="e">
        <f t="shared" ca="1" si="5"/>
        <v>#NAME?</v>
      </c>
    </row>
    <row r="112" spans="1:21" x14ac:dyDescent="0.35">
      <c r="A112" s="5" t="s">
        <v>171</v>
      </c>
      <c r="B112" s="1" t="e" cm="1">
        <f t="array" aca="1" ref="B112" ca="1">_xll.BDP("EF778508 Corp","DS520")</f>
        <v>#NAME?</v>
      </c>
      <c r="C112" s="1" t="e" cm="1">
        <f t="array" aca="1" ref="C112" ca="1">_xll.BDP("EF778508 Corp","DS001")</f>
        <v>#NAME?</v>
      </c>
      <c r="D112" s="1" t="e" cm="1">
        <f t="array" aca="1" ref="D112" ca="1">_xll.BDP("EF778508 Corp","DS458")</f>
        <v>#NAME?</v>
      </c>
      <c r="E112" s="1" t="e" cm="1">
        <f t="array" aca="1" ref="E112" ca="1">_xll.BDP("EF778508 Corp","DS004")</f>
        <v>#NAME?</v>
      </c>
      <c r="F112" s="1" t="e" cm="1">
        <f t="array" aca="1" ref="F112" ca="1">_xll.BDP("EF778508 Corp","DS035")</f>
        <v>#NAME?</v>
      </c>
      <c r="G112" s="1" t="e" cm="1">
        <f t="array" aca="1" ref="G112" ca="1">_xll.BDP("EF778508 Corp","DS086")</f>
        <v>#NAME?</v>
      </c>
      <c r="H112" s="1" t="e" cm="1">
        <f t="array" aca="1" ref="H112" ca="1">_xll.BDP("EF778508 Corp","DS034")</f>
        <v>#NAME?</v>
      </c>
      <c r="I112" s="1" t="e" cm="1">
        <f t="array" aca="1" ref="I112" ca="1">_xll.BDP("EF778508 Corp","DS033")</f>
        <v>#NAME?</v>
      </c>
      <c r="J112" s="7" t="e" cm="1">
        <f t="array" aca="1" ref="J112" ca="1">_xll.BDP("EF778508 Corp","YL018")</f>
        <v>#NAME?</v>
      </c>
      <c r="K112" s="7" t="e" cm="1">
        <f t="array" aca="1" ref="K112" ca="1">_xll.BDP("EF778508 Corp","YL016")</f>
        <v>#NAME?</v>
      </c>
      <c r="L112" s="7" t="e" cm="1">
        <f t="array" aca="1" ref="L112" ca="1">_xll.BDP("EF778508 Corp","PR004")</f>
        <v>#NAME?</v>
      </c>
      <c r="M112" s="7" t="e" cm="1">
        <f t="array" aca="1" ref="M112" ca="1">_xll.BDP("EF778508 Corp","PR002")</f>
        <v>#NAME?</v>
      </c>
      <c r="N112" s="1" t="e" cm="1">
        <f t="array" aca="1" ref="N112" ca="1">_xll.BDP("EF778508 Corp","ID028")</f>
        <v>#NAME?</v>
      </c>
      <c r="O112" s="1" t="e" cm="1">
        <f t="array" aca="1" ref="O112" ca="1">_xll.BDP("EF778508 Corp","ID005")</f>
        <v>#NAME?</v>
      </c>
      <c r="P112" s="1" t="e" cm="1">
        <f t="array" aca="1" ref="P112" ca="1">_xll.BDP(A112,"RA007")</f>
        <v>#NAME?</v>
      </c>
      <c r="Q112" s="1" t="e" cm="1">
        <f t="array" aca="1" ref="Q112" ca="1">_xll.BDP(A112,"DS219")</f>
        <v>#NAME?</v>
      </c>
      <c r="R112" s="3" t="e" cm="1">
        <f t="array" aca="1" ref="R112" ca="1">_xll.BDP(A112,"DS040")</f>
        <v>#NAME?</v>
      </c>
      <c r="S112" s="4" t="e">
        <f t="shared" ca="1" si="3"/>
        <v>#NAME?</v>
      </c>
      <c r="T112" s="7" t="e">
        <f t="shared" ca="1" si="4"/>
        <v>#NAME?</v>
      </c>
      <c r="U112" s="3" t="e">
        <f t="shared" ca="1" si="5"/>
        <v>#NAME?</v>
      </c>
    </row>
    <row r="113" spans="1:21" x14ac:dyDescent="0.35">
      <c r="A113" s="5" t="s">
        <v>172</v>
      </c>
      <c r="B113" s="1" t="e" cm="1">
        <f t="array" aca="1" ref="B113" ca="1">_xll.BDP("EF794306 Corp","DS520")</f>
        <v>#NAME?</v>
      </c>
      <c r="C113" s="1" t="e" cm="1">
        <f t="array" aca="1" ref="C113" ca="1">_xll.BDP("EF794306 Corp","DS001")</f>
        <v>#NAME?</v>
      </c>
      <c r="D113" s="1" t="e" cm="1">
        <f t="array" aca="1" ref="D113" ca="1">_xll.BDP("EF794306 Corp","DS458")</f>
        <v>#NAME?</v>
      </c>
      <c r="E113" s="1" t="e" cm="1">
        <f t="array" aca="1" ref="E113" ca="1">_xll.BDP("EF794306 Corp","DS004")</f>
        <v>#NAME?</v>
      </c>
      <c r="F113" s="1" t="e" cm="1">
        <f t="array" aca="1" ref="F113" ca="1">_xll.BDP("EF794306 Corp","DS035")</f>
        <v>#NAME?</v>
      </c>
      <c r="G113" s="1" t="e" cm="1">
        <f t="array" aca="1" ref="G113" ca="1">_xll.BDP("EF794306 Corp","DS086")</f>
        <v>#NAME?</v>
      </c>
      <c r="H113" s="1" t="e" cm="1">
        <f t="array" aca="1" ref="H113" ca="1">_xll.BDP("EF794306 Corp","DS034")</f>
        <v>#NAME?</v>
      </c>
      <c r="I113" s="1" t="e" cm="1">
        <f t="array" aca="1" ref="I113" ca="1">_xll.BDP("EF794306 Corp","DS033")</f>
        <v>#NAME?</v>
      </c>
      <c r="J113" s="7" t="e" cm="1">
        <f t="array" aca="1" ref="J113" ca="1">_xll.BDP("EF794306 Corp","YL018")</f>
        <v>#NAME?</v>
      </c>
      <c r="K113" s="7" t="e" cm="1">
        <f t="array" aca="1" ref="K113" ca="1">_xll.BDP("EF794306 Corp","YL016")</f>
        <v>#NAME?</v>
      </c>
      <c r="L113" s="7" t="e" cm="1">
        <f t="array" aca="1" ref="L113" ca="1">_xll.BDP("EF794306 Corp","PR004")</f>
        <v>#NAME?</v>
      </c>
      <c r="M113" s="7" t="e" cm="1">
        <f t="array" aca="1" ref="M113" ca="1">_xll.BDP("EF794306 Corp","PR002")</f>
        <v>#NAME?</v>
      </c>
      <c r="N113" s="1" t="e" cm="1">
        <f t="array" aca="1" ref="N113" ca="1">_xll.BDP("EF794306 Corp","ID028")</f>
        <v>#NAME?</v>
      </c>
      <c r="O113" s="1" t="e" cm="1">
        <f t="array" aca="1" ref="O113" ca="1">_xll.BDP("EF794306 Corp","ID005")</f>
        <v>#NAME?</v>
      </c>
      <c r="P113" s="1" t="e" cm="1">
        <f t="array" aca="1" ref="P113" ca="1">_xll.BDP(A113,"RA007")</f>
        <v>#NAME?</v>
      </c>
      <c r="Q113" s="1" t="e" cm="1">
        <f t="array" aca="1" ref="Q113" ca="1">_xll.BDP(A113,"DS219")</f>
        <v>#NAME?</v>
      </c>
      <c r="R113" s="3" t="e" cm="1">
        <f t="array" aca="1" ref="R113" ca="1">_xll.BDP(A113,"DS040")</f>
        <v>#NAME?</v>
      </c>
      <c r="S113" s="4" t="e">
        <f t="shared" ca="1" si="3"/>
        <v>#NAME?</v>
      </c>
      <c r="T113" s="7" t="e">
        <f t="shared" ca="1" si="4"/>
        <v>#NAME?</v>
      </c>
      <c r="U113" s="3" t="e">
        <f t="shared" ca="1" si="5"/>
        <v>#NAME?</v>
      </c>
    </row>
    <row r="114" spans="1:21" x14ac:dyDescent="0.35">
      <c r="A114" s="5" t="s">
        <v>173</v>
      </c>
      <c r="B114" s="1" t="e" cm="1">
        <f t="array" aca="1" ref="B114" ca="1">_xll.BDP("EG057459 Corp","DS520")</f>
        <v>#NAME?</v>
      </c>
      <c r="C114" s="1" t="e" cm="1">
        <f t="array" aca="1" ref="C114" ca="1">_xll.BDP("EG057459 Corp","DS001")</f>
        <v>#NAME?</v>
      </c>
      <c r="D114" s="1" t="e" cm="1">
        <f t="array" aca="1" ref="D114" ca="1">_xll.BDP("EG057459 Corp","DS458")</f>
        <v>#NAME?</v>
      </c>
      <c r="E114" s="1" t="e" cm="1">
        <f t="array" aca="1" ref="E114" ca="1">_xll.BDP("EG057459 Corp","DS004")</f>
        <v>#NAME?</v>
      </c>
      <c r="F114" s="1" t="e" cm="1">
        <f t="array" aca="1" ref="F114" ca="1">_xll.BDP("EG057459 Corp","DS035")</f>
        <v>#NAME?</v>
      </c>
      <c r="G114" s="1" t="e" cm="1">
        <f t="array" aca="1" ref="G114" ca="1">_xll.BDP("EG057459 Corp","DS086")</f>
        <v>#NAME?</v>
      </c>
      <c r="H114" s="1" t="e" cm="1">
        <f t="array" aca="1" ref="H114" ca="1">_xll.BDP("EG057459 Corp","DS034")</f>
        <v>#NAME?</v>
      </c>
      <c r="I114" s="1" t="e" cm="1">
        <f t="array" aca="1" ref="I114" ca="1">_xll.BDP("EG057459 Corp","DS033")</f>
        <v>#NAME?</v>
      </c>
      <c r="J114" s="7" t="e" cm="1">
        <f t="array" aca="1" ref="J114" ca="1">_xll.BDP("EG057459 Corp","YL018")</f>
        <v>#NAME?</v>
      </c>
      <c r="K114" s="7" t="e" cm="1">
        <f t="array" aca="1" ref="K114" ca="1">_xll.BDP("EG057459 Corp","YL016")</f>
        <v>#NAME?</v>
      </c>
      <c r="L114" s="7" t="e" cm="1">
        <f t="array" aca="1" ref="L114" ca="1">_xll.BDP("EG057459 Corp","PR004")</f>
        <v>#NAME?</v>
      </c>
      <c r="M114" s="7" t="e" cm="1">
        <f t="array" aca="1" ref="M114" ca="1">_xll.BDP("EG057459 Corp","PR002")</f>
        <v>#NAME?</v>
      </c>
      <c r="N114" s="1" t="e" cm="1">
        <f t="array" aca="1" ref="N114" ca="1">_xll.BDP("EG057459 Corp","ID028")</f>
        <v>#NAME?</v>
      </c>
      <c r="O114" s="1" t="e" cm="1">
        <f t="array" aca="1" ref="O114" ca="1">_xll.BDP("EG057459 Corp","ID005")</f>
        <v>#NAME?</v>
      </c>
      <c r="P114" s="1" t="e" cm="1">
        <f t="array" aca="1" ref="P114" ca="1">_xll.BDP(A114,"RA007")</f>
        <v>#NAME?</v>
      </c>
      <c r="Q114" s="1" t="e" cm="1">
        <f t="array" aca="1" ref="Q114" ca="1">_xll.BDP(A114,"DS219")</f>
        <v>#NAME?</v>
      </c>
      <c r="R114" s="3" t="e" cm="1">
        <f t="array" aca="1" ref="R114" ca="1">_xll.BDP(A114,"DS040")</f>
        <v>#NAME?</v>
      </c>
      <c r="S114" s="4" t="e">
        <f t="shared" ca="1" si="3"/>
        <v>#NAME?</v>
      </c>
      <c r="T114" s="7" t="e">
        <f t="shared" ca="1" si="4"/>
        <v>#NAME?</v>
      </c>
      <c r="U114" s="3" t="e">
        <f t="shared" ca="1" si="5"/>
        <v>#NAME?</v>
      </c>
    </row>
    <row r="115" spans="1:21" x14ac:dyDescent="0.35">
      <c r="A115" s="5" t="s">
        <v>174</v>
      </c>
      <c r="B115" s="1" t="e" cm="1">
        <f t="array" aca="1" ref="B115" ca="1">_xll.BDP("EG125261 Corp","DS520")</f>
        <v>#NAME?</v>
      </c>
      <c r="C115" s="1" t="e" cm="1">
        <f t="array" aca="1" ref="C115" ca="1">_xll.BDP("EG125261 Corp","DS001")</f>
        <v>#NAME?</v>
      </c>
      <c r="D115" s="1" t="e" cm="1">
        <f t="array" aca="1" ref="D115" ca="1">_xll.BDP("EG125261 Corp","DS458")</f>
        <v>#NAME?</v>
      </c>
      <c r="E115" s="1" t="e" cm="1">
        <f t="array" aca="1" ref="E115" ca="1">_xll.BDP("EG125261 Corp","DS004")</f>
        <v>#NAME?</v>
      </c>
      <c r="F115" s="1" t="e" cm="1">
        <f t="array" aca="1" ref="F115" ca="1">_xll.BDP("EG125261 Corp","DS035")</f>
        <v>#NAME?</v>
      </c>
      <c r="G115" s="1" t="e" cm="1">
        <f t="array" aca="1" ref="G115" ca="1">_xll.BDP("EG125261 Corp","DS086")</f>
        <v>#NAME?</v>
      </c>
      <c r="H115" s="1" t="e" cm="1">
        <f t="array" aca="1" ref="H115" ca="1">_xll.BDP("EG125261 Corp","DS034")</f>
        <v>#NAME?</v>
      </c>
      <c r="I115" s="1" t="e" cm="1">
        <f t="array" aca="1" ref="I115" ca="1">_xll.BDP("EG125261 Corp","DS033")</f>
        <v>#NAME?</v>
      </c>
      <c r="J115" s="7" t="e" cm="1">
        <f t="array" aca="1" ref="J115" ca="1">_xll.BDP("EG125261 Corp","YL018")</f>
        <v>#NAME?</v>
      </c>
      <c r="K115" s="7" t="e" cm="1">
        <f t="array" aca="1" ref="K115" ca="1">_xll.BDP("EG125261 Corp","YL016")</f>
        <v>#NAME?</v>
      </c>
      <c r="L115" s="7" t="e" cm="1">
        <f t="array" aca="1" ref="L115" ca="1">_xll.BDP("EG125261 Corp","PR004")</f>
        <v>#NAME?</v>
      </c>
      <c r="M115" s="7" t="e" cm="1">
        <f t="array" aca="1" ref="M115" ca="1">_xll.BDP("EG125261 Corp","PR002")</f>
        <v>#NAME?</v>
      </c>
      <c r="N115" s="1" t="e" cm="1">
        <f t="array" aca="1" ref="N115" ca="1">_xll.BDP("EG125261 Corp","ID028")</f>
        <v>#NAME?</v>
      </c>
      <c r="O115" s="1" t="e" cm="1">
        <f t="array" aca="1" ref="O115" ca="1">_xll.BDP("EG125261 Corp","ID005")</f>
        <v>#NAME?</v>
      </c>
      <c r="P115" s="1" t="e" cm="1">
        <f t="array" aca="1" ref="P115" ca="1">_xll.BDP(A115,"RA007")</f>
        <v>#NAME?</v>
      </c>
      <c r="Q115" s="1" t="e" cm="1">
        <f t="array" aca="1" ref="Q115" ca="1">_xll.BDP(A115,"DS219")</f>
        <v>#NAME?</v>
      </c>
      <c r="R115" s="3" t="e" cm="1">
        <f t="array" aca="1" ref="R115" ca="1">_xll.BDP(A115,"DS040")</f>
        <v>#NAME?</v>
      </c>
      <c r="S115" s="4" t="e">
        <f t="shared" ca="1" si="3"/>
        <v>#NAME?</v>
      </c>
      <c r="T115" s="7" t="e">
        <f t="shared" ca="1" si="4"/>
        <v>#NAME?</v>
      </c>
      <c r="U115" s="3" t="e">
        <f t="shared" ca="1" si="5"/>
        <v>#NAME?</v>
      </c>
    </row>
    <row r="116" spans="1:21" x14ac:dyDescent="0.35">
      <c r="A116" s="5" t="s">
        <v>175</v>
      </c>
      <c r="B116" s="1" t="e" cm="1">
        <f t="array" aca="1" ref="B116" ca="1">_xll.BDP("EG278595 Corp","DS520")</f>
        <v>#NAME?</v>
      </c>
      <c r="C116" s="1" t="e" cm="1">
        <f t="array" aca="1" ref="C116" ca="1">_xll.BDP("EG278595 Corp","DS001")</f>
        <v>#NAME?</v>
      </c>
      <c r="D116" s="1" t="e" cm="1">
        <f t="array" aca="1" ref="D116" ca="1">_xll.BDP("EG278595 Corp","DS458")</f>
        <v>#NAME?</v>
      </c>
      <c r="E116" s="1" t="e" cm="1">
        <f t="array" aca="1" ref="E116" ca="1">_xll.BDP("EG278595 Corp","DS004")</f>
        <v>#NAME?</v>
      </c>
      <c r="F116" s="1" t="e" cm="1">
        <f t="array" aca="1" ref="F116" ca="1">_xll.BDP("EG278595 Corp","DS035")</f>
        <v>#NAME?</v>
      </c>
      <c r="G116" s="1" t="e" cm="1">
        <f t="array" aca="1" ref="G116" ca="1">_xll.BDP("EG278595 Corp","DS086")</f>
        <v>#NAME?</v>
      </c>
      <c r="H116" s="1" t="e" cm="1">
        <f t="array" aca="1" ref="H116" ca="1">_xll.BDP("EG278595 Corp","DS034")</f>
        <v>#NAME?</v>
      </c>
      <c r="I116" s="1" t="e" cm="1">
        <f t="array" aca="1" ref="I116" ca="1">_xll.BDP("EG278595 Corp","DS033")</f>
        <v>#NAME?</v>
      </c>
      <c r="J116" s="7" t="e" cm="1">
        <f t="array" aca="1" ref="J116" ca="1">_xll.BDP("EG278595 Corp","YL018")</f>
        <v>#NAME?</v>
      </c>
      <c r="K116" s="7" t="e" cm="1">
        <f t="array" aca="1" ref="K116" ca="1">_xll.BDP("EG278595 Corp","YL016")</f>
        <v>#NAME?</v>
      </c>
      <c r="L116" s="7" t="e" cm="1">
        <f t="array" aca="1" ref="L116" ca="1">_xll.BDP("EG278595 Corp","PR004")</f>
        <v>#NAME?</v>
      </c>
      <c r="M116" s="7" t="e" cm="1">
        <f t="array" aca="1" ref="M116" ca="1">_xll.BDP("EG278595 Corp","PR002")</f>
        <v>#NAME?</v>
      </c>
      <c r="N116" s="1" t="e" cm="1">
        <f t="array" aca="1" ref="N116" ca="1">_xll.BDP("EG278595 Corp","ID028")</f>
        <v>#NAME?</v>
      </c>
      <c r="O116" s="1" t="e" cm="1">
        <f t="array" aca="1" ref="O116" ca="1">_xll.BDP("EG278595 Corp","ID005")</f>
        <v>#NAME?</v>
      </c>
      <c r="P116" s="1" t="e" cm="1">
        <f t="array" aca="1" ref="P116" ca="1">_xll.BDP(A116,"RA007")</f>
        <v>#NAME?</v>
      </c>
      <c r="Q116" s="1" t="e" cm="1">
        <f t="array" aca="1" ref="Q116" ca="1">_xll.BDP(A116,"DS219")</f>
        <v>#NAME?</v>
      </c>
      <c r="R116" s="3" t="e" cm="1">
        <f t="array" aca="1" ref="R116" ca="1">_xll.BDP(A116,"DS040")</f>
        <v>#NAME?</v>
      </c>
      <c r="S116" s="4" t="e">
        <f t="shared" ca="1" si="3"/>
        <v>#NAME?</v>
      </c>
      <c r="T116" s="7" t="e">
        <f t="shared" ca="1" si="4"/>
        <v>#NAME?</v>
      </c>
      <c r="U116" s="3" t="e">
        <f t="shared" ca="1" si="5"/>
        <v>#NAME?</v>
      </c>
    </row>
    <row r="117" spans="1:21" x14ac:dyDescent="0.35">
      <c r="A117" s="5" t="s">
        <v>176</v>
      </c>
      <c r="B117" s="1" t="e" cm="1">
        <f t="array" aca="1" ref="B117" ca="1">_xll.BDP("EG375737 Corp","DS520")</f>
        <v>#NAME?</v>
      </c>
      <c r="C117" s="1" t="e" cm="1">
        <f t="array" aca="1" ref="C117" ca="1">_xll.BDP("EG375737 Corp","DS001")</f>
        <v>#NAME?</v>
      </c>
      <c r="D117" s="1" t="e" cm="1">
        <f t="array" aca="1" ref="D117" ca="1">_xll.BDP("EG375737 Corp","DS458")</f>
        <v>#NAME?</v>
      </c>
      <c r="E117" s="1" t="e" cm="1">
        <f t="array" aca="1" ref="E117" ca="1">_xll.BDP("EG375737 Corp","DS004")</f>
        <v>#NAME?</v>
      </c>
      <c r="F117" s="1" t="e" cm="1">
        <f t="array" aca="1" ref="F117" ca="1">_xll.BDP("EG375737 Corp","DS035")</f>
        <v>#NAME?</v>
      </c>
      <c r="G117" s="1" t="e" cm="1">
        <f t="array" aca="1" ref="G117" ca="1">_xll.BDP("EG375737 Corp","DS086")</f>
        <v>#NAME?</v>
      </c>
      <c r="H117" s="1" t="e" cm="1">
        <f t="array" aca="1" ref="H117" ca="1">_xll.BDP("EG375737 Corp","DS034")</f>
        <v>#NAME?</v>
      </c>
      <c r="I117" s="1" t="e" cm="1">
        <f t="array" aca="1" ref="I117" ca="1">_xll.BDP("EG375737 Corp","DS033")</f>
        <v>#NAME?</v>
      </c>
      <c r="J117" s="7" t="e" cm="1">
        <f t="array" aca="1" ref="J117" ca="1">_xll.BDP("EG375737 Corp","YL018")</f>
        <v>#NAME?</v>
      </c>
      <c r="K117" s="7" t="e" cm="1">
        <f t="array" aca="1" ref="K117" ca="1">_xll.BDP("EG375737 Corp","YL016")</f>
        <v>#NAME?</v>
      </c>
      <c r="L117" s="7" t="e" cm="1">
        <f t="array" aca="1" ref="L117" ca="1">_xll.BDP("EG375737 Corp","PR004")</f>
        <v>#NAME?</v>
      </c>
      <c r="M117" s="7" t="e" cm="1">
        <f t="array" aca="1" ref="M117" ca="1">_xll.BDP("EG375737 Corp","PR002")</f>
        <v>#NAME?</v>
      </c>
      <c r="N117" s="1" t="e" cm="1">
        <f t="array" aca="1" ref="N117" ca="1">_xll.BDP("EG375737 Corp","ID028")</f>
        <v>#NAME?</v>
      </c>
      <c r="O117" s="1" t="e" cm="1">
        <f t="array" aca="1" ref="O117" ca="1">_xll.BDP("EG375737 Corp","ID005")</f>
        <v>#NAME?</v>
      </c>
      <c r="P117" s="1" t="e" cm="1">
        <f t="array" aca="1" ref="P117" ca="1">_xll.BDP(A117,"RA007")</f>
        <v>#NAME?</v>
      </c>
      <c r="Q117" s="1" t="e" cm="1">
        <f t="array" aca="1" ref="Q117" ca="1">_xll.BDP(A117,"DS219")</f>
        <v>#NAME?</v>
      </c>
      <c r="R117" s="3" t="e" cm="1">
        <f t="array" aca="1" ref="R117" ca="1">_xll.BDP(A117,"DS040")</f>
        <v>#NAME?</v>
      </c>
      <c r="S117" s="4" t="e">
        <f t="shared" ca="1" si="3"/>
        <v>#NAME?</v>
      </c>
      <c r="T117" s="7" t="e">
        <f t="shared" ca="1" si="4"/>
        <v>#NAME?</v>
      </c>
      <c r="U117" s="3" t="e">
        <f t="shared" ca="1" si="5"/>
        <v>#NAME?</v>
      </c>
    </row>
    <row r="118" spans="1:21" x14ac:dyDescent="0.35">
      <c r="A118" s="5" t="s">
        <v>177</v>
      </c>
      <c r="B118" s="1" t="e" cm="1">
        <f t="array" aca="1" ref="B118" ca="1">_xll.BDP("EG396905 Corp","DS520")</f>
        <v>#NAME?</v>
      </c>
      <c r="C118" s="1" t="e" cm="1">
        <f t="array" aca="1" ref="C118" ca="1">_xll.BDP("EG396905 Corp","DS001")</f>
        <v>#NAME?</v>
      </c>
      <c r="D118" s="1" t="e" cm="1">
        <f t="array" aca="1" ref="D118" ca="1">_xll.BDP("EG396905 Corp","DS458")</f>
        <v>#NAME?</v>
      </c>
      <c r="E118" s="1" t="e" cm="1">
        <f t="array" aca="1" ref="E118" ca="1">_xll.BDP("EG396905 Corp","DS004")</f>
        <v>#NAME?</v>
      </c>
      <c r="F118" s="1" t="e" cm="1">
        <f t="array" aca="1" ref="F118" ca="1">_xll.BDP("EG396905 Corp","DS035")</f>
        <v>#NAME?</v>
      </c>
      <c r="G118" s="1" t="e" cm="1">
        <f t="array" aca="1" ref="G118" ca="1">_xll.BDP("EG396905 Corp","DS086")</f>
        <v>#NAME?</v>
      </c>
      <c r="H118" s="1" t="e" cm="1">
        <f t="array" aca="1" ref="H118" ca="1">_xll.BDP("EG396905 Corp","DS034")</f>
        <v>#NAME?</v>
      </c>
      <c r="I118" s="1" t="e" cm="1">
        <f t="array" aca="1" ref="I118" ca="1">_xll.BDP("EG396905 Corp","DS033")</f>
        <v>#NAME?</v>
      </c>
      <c r="J118" s="7" t="e" cm="1">
        <f t="array" aca="1" ref="J118" ca="1">_xll.BDP("EG396905 Corp","YL018")</f>
        <v>#NAME?</v>
      </c>
      <c r="K118" s="7" t="e" cm="1">
        <f t="array" aca="1" ref="K118" ca="1">_xll.BDP("EG396905 Corp","YL016")</f>
        <v>#NAME?</v>
      </c>
      <c r="L118" s="7" t="e" cm="1">
        <f t="array" aca="1" ref="L118" ca="1">_xll.BDP("EG396905 Corp","PR004")</f>
        <v>#NAME?</v>
      </c>
      <c r="M118" s="7" t="e" cm="1">
        <f t="array" aca="1" ref="M118" ca="1">_xll.BDP("EG396905 Corp","PR002")</f>
        <v>#NAME?</v>
      </c>
      <c r="N118" s="1" t="e" cm="1">
        <f t="array" aca="1" ref="N118" ca="1">_xll.BDP("EG396905 Corp","ID028")</f>
        <v>#NAME?</v>
      </c>
      <c r="O118" s="1" t="e" cm="1">
        <f t="array" aca="1" ref="O118" ca="1">_xll.BDP("EG396905 Corp","ID005")</f>
        <v>#NAME?</v>
      </c>
      <c r="P118" s="1" t="e" cm="1">
        <f t="array" aca="1" ref="P118" ca="1">_xll.BDP(A118,"RA007")</f>
        <v>#NAME?</v>
      </c>
      <c r="Q118" s="1" t="e" cm="1">
        <f t="array" aca="1" ref="Q118" ca="1">_xll.BDP(A118,"DS219")</f>
        <v>#NAME?</v>
      </c>
      <c r="R118" s="3" t="e" cm="1">
        <f t="array" aca="1" ref="R118" ca="1">_xll.BDP(A118,"DS040")</f>
        <v>#NAME?</v>
      </c>
      <c r="S118" s="4" t="e">
        <f t="shared" ca="1" si="3"/>
        <v>#NAME?</v>
      </c>
      <c r="T118" s="7" t="e">
        <f t="shared" ca="1" si="4"/>
        <v>#NAME?</v>
      </c>
      <c r="U118" s="3" t="e">
        <f t="shared" ca="1" si="5"/>
        <v>#NAME?</v>
      </c>
    </row>
    <row r="119" spans="1:21" x14ac:dyDescent="0.35">
      <c r="A119" s="5" t="s">
        <v>178</v>
      </c>
      <c r="B119" s="1" t="e" cm="1">
        <f t="array" aca="1" ref="B119" ca="1">_xll.BDP("EG586429 Corp","DS520")</f>
        <v>#NAME?</v>
      </c>
      <c r="C119" s="1" t="e" cm="1">
        <f t="array" aca="1" ref="C119" ca="1">_xll.BDP("EG586429 Corp","DS001")</f>
        <v>#NAME?</v>
      </c>
      <c r="D119" s="1" t="e" cm="1">
        <f t="array" aca="1" ref="D119" ca="1">_xll.BDP("EG586429 Corp","DS458")</f>
        <v>#NAME?</v>
      </c>
      <c r="E119" s="1" t="e" cm="1">
        <f t="array" aca="1" ref="E119" ca="1">_xll.BDP("EG586429 Corp","DS004")</f>
        <v>#NAME?</v>
      </c>
      <c r="F119" s="1" t="e" cm="1">
        <f t="array" aca="1" ref="F119" ca="1">_xll.BDP("EG586429 Corp","DS035")</f>
        <v>#NAME?</v>
      </c>
      <c r="G119" s="1" t="e" cm="1">
        <f t="array" aca="1" ref="G119" ca="1">_xll.BDP("EG586429 Corp","DS086")</f>
        <v>#NAME?</v>
      </c>
      <c r="H119" s="1" t="e" cm="1">
        <f t="array" aca="1" ref="H119" ca="1">_xll.BDP("EG586429 Corp","DS034")</f>
        <v>#NAME?</v>
      </c>
      <c r="I119" s="1" t="e" cm="1">
        <f t="array" aca="1" ref="I119" ca="1">_xll.BDP("EG586429 Corp","DS033")</f>
        <v>#NAME?</v>
      </c>
      <c r="J119" s="7" t="e" cm="1">
        <f t="array" aca="1" ref="J119" ca="1">_xll.BDP("EG586429 Corp","YL018")</f>
        <v>#NAME?</v>
      </c>
      <c r="K119" s="7" t="e" cm="1">
        <f t="array" aca="1" ref="K119" ca="1">_xll.BDP("EG586429 Corp","YL016")</f>
        <v>#NAME?</v>
      </c>
      <c r="L119" s="7" t="e" cm="1">
        <f t="array" aca="1" ref="L119" ca="1">_xll.BDP("EG586429 Corp","PR004")</f>
        <v>#NAME?</v>
      </c>
      <c r="M119" s="7" t="e" cm="1">
        <f t="array" aca="1" ref="M119" ca="1">_xll.BDP("EG586429 Corp","PR002")</f>
        <v>#NAME?</v>
      </c>
      <c r="N119" s="1" t="e" cm="1">
        <f t="array" aca="1" ref="N119" ca="1">_xll.BDP("EG586429 Corp","ID028")</f>
        <v>#NAME?</v>
      </c>
      <c r="O119" s="1" t="e" cm="1">
        <f t="array" aca="1" ref="O119" ca="1">_xll.BDP("EG586429 Corp","ID005")</f>
        <v>#NAME?</v>
      </c>
      <c r="P119" s="1" t="e" cm="1">
        <f t="array" aca="1" ref="P119" ca="1">_xll.BDP(A119,"RA007")</f>
        <v>#NAME?</v>
      </c>
      <c r="Q119" s="1" t="e" cm="1">
        <f t="array" aca="1" ref="Q119" ca="1">_xll.BDP(A119,"DS219")</f>
        <v>#NAME?</v>
      </c>
      <c r="R119" s="3" t="e" cm="1">
        <f t="array" aca="1" ref="R119" ca="1">_xll.BDP(A119,"DS040")</f>
        <v>#NAME?</v>
      </c>
      <c r="S119" s="4" t="e">
        <f t="shared" ca="1" si="3"/>
        <v>#NAME?</v>
      </c>
      <c r="T119" s="7" t="e">
        <f t="shared" ca="1" si="4"/>
        <v>#NAME?</v>
      </c>
      <c r="U119" s="3" t="e">
        <f t="shared" ca="1" si="5"/>
        <v>#NAME?</v>
      </c>
    </row>
    <row r="120" spans="1:21" x14ac:dyDescent="0.35">
      <c r="A120" s="5" t="s">
        <v>179</v>
      </c>
      <c r="B120" s="1" t="e" cm="1">
        <f t="array" aca="1" ref="B120" ca="1">_xll.BDP("EG780776 Corp","DS520")</f>
        <v>#NAME?</v>
      </c>
      <c r="C120" s="1" t="e" cm="1">
        <f t="array" aca="1" ref="C120" ca="1">_xll.BDP("EG780776 Corp","DS001")</f>
        <v>#NAME?</v>
      </c>
      <c r="D120" s="1" t="e" cm="1">
        <f t="array" aca="1" ref="D120" ca="1">_xll.BDP("EG780776 Corp","DS458")</f>
        <v>#NAME?</v>
      </c>
      <c r="E120" s="1" t="e" cm="1">
        <f t="array" aca="1" ref="E120" ca="1">_xll.BDP("EG780776 Corp","DS004")</f>
        <v>#NAME?</v>
      </c>
      <c r="F120" s="1" t="e" cm="1">
        <f t="array" aca="1" ref="F120" ca="1">_xll.BDP("EG780776 Corp","DS035")</f>
        <v>#NAME?</v>
      </c>
      <c r="G120" s="1" t="e" cm="1">
        <f t="array" aca="1" ref="G120" ca="1">_xll.BDP("EG780776 Corp","DS086")</f>
        <v>#NAME?</v>
      </c>
      <c r="H120" s="1" t="e" cm="1">
        <f t="array" aca="1" ref="H120" ca="1">_xll.BDP("EG780776 Corp","DS034")</f>
        <v>#NAME?</v>
      </c>
      <c r="I120" s="1" t="e" cm="1">
        <f t="array" aca="1" ref="I120" ca="1">_xll.BDP("EG780776 Corp","DS033")</f>
        <v>#NAME?</v>
      </c>
      <c r="J120" s="7" t="e" cm="1">
        <f t="array" aca="1" ref="J120" ca="1">_xll.BDP("EG780776 Corp","YL018")</f>
        <v>#NAME?</v>
      </c>
      <c r="K120" s="7" t="e" cm="1">
        <f t="array" aca="1" ref="K120" ca="1">_xll.BDP("EG780776 Corp","YL016")</f>
        <v>#NAME?</v>
      </c>
      <c r="L120" s="7" t="e" cm="1">
        <f t="array" aca="1" ref="L120" ca="1">_xll.BDP("EG780776 Corp","PR004")</f>
        <v>#NAME?</v>
      </c>
      <c r="M120" s="7" t="e" cm="1">
        <f t="array" aca="1" ref="M120" ca="1">_xll.BDP("EG780776 Corp","PR002")</f>
        <v>#NAME?</v>
      </c>
      <c r="N120" s="1" t="e" cm="1">
        <f t="array" aca="1" ref="N120" ca="1">_xll.BDP("EG780776 Corp","ID028")</f>
        <v>#NAME?</v>
      </c>
      <c r="O120" s="1" t="e" cm="1">
        <f t="array" aca="1" ref="O120" ca="1">_xll.BDP("EG780776 Corp","ID005")</f>
        <v>#NAME?</v>
      </c>
      <c r="P120" s="1" t="e" cm="1">
        <f t="array" aca="1" ref="P120" ca="1">_xll.BDP(A120,"RA007")</f>
        <v>#NAME?</v>
      </c>
      <c r="Q120" s="1" t="e" cm="1">
        <f t="array" aca="1" ref="Q120" ca="1">_xll.BDP(A120,"DS219")</f>
        <v>#NAME?</v>
      </c>
      <c r="R120" s="3" t="e" cm="1">
        <f t="array" aca="1" ref="R120" ca="1">_xll.BDP(A120,"DS040")</f>
        <v>#NAME?</v>
      </c>
      <c r="S120" s="4" t="e">
        <f t="shared" ca="1" si="3"/>
        <v>#NAME?</v>
      </c>
      <c r="T120" s="7" t="e">
        <f t="shared" ca="1" si="4"/>
        <v>#NAME?</v>
      </c>
      <c r="U120" s="3" t="e">
        <f t="shared" ca="1" si="5"/>
        <v>#NAME?</v>
      </c>
    </row>
    <row r="121" spans="1:21" x14ac:dyDescent="0.35">
      <c r="A121" s="5" t="s">
        <v>180</v>
      </c>
      <c r="B121" s="1" t="e" cm="1">
        <f t="array" aca="1" ref="B121" ca="1">_xll.BDP("EG857336 Corp","DS520")</f>
        <v>#NAME?</v>
      </c>
      <c r="C121" s="1" t="e" cm="1">
        <f t="array" aca="1" ref="C121" ca="1">_xll.BDP("EG857336 Corp","DS001")</f>
        <v>#NAME?</v>
      </c>
      <c r="D121" s="1" t="e" cm="1">
        <f t="array" aca="1" ref="D121" ca="1">_xll.BDP("EG857336 Corp","DS458")</f>
        <v>#NAME?</v>
      </c>
      <c r="E121" s="1" t="e" cm="1">
        <f t="array" aca="1" ref="E121" ca="1">_xll.BDP("EG857336 Corp","DS004")</f>
        <v>#NAME?</v>
      </c>
      <c r="F121" s="1" t="e" cm="1">
        <f t="array" aca="1" ref="F121" ca="1">_xll.BDP("EG857336 Corp","DS035")</f>
        <v>#NAME?</v>
      </c>
      <c r="G121" s="1" t="e" cm="1">
        <f t="array" aca="1" ref="G121" ca="1">_xll.BDP("EG857336 Corp","DS086")</f>
        <v>#NAME?</v>
      </c>
      <c r="H121" s="1" t="e" cm="1">
        <f t="array" aca="1" ref="H121" ca="1">_xll.BDP("EG857336 Corp","DS034")</f>
        <v>#NAME?</v>
      </c>
      <c r="I121" s="1" t="e" cm="1">
        <f t="array" aca="1" ref="I121" ca="1">_xll.BDP("EG857336 Corp","DS033")</f>
        <v>#NAME?</v>
      </c>
      <c r="J121" s="7" t="e" cm="1">
        <f t="array" aca="1" ref="J121" ca="1">_xll.BDP("EG857336 Corp","YL018")</f>
        <v>#NAME?</v>
      </c>
      <c r="K121" s="7" t="e" cm="1">
        <f t="array" aca="1" ref="K121" ca="1">_xll.BDP("EG857336 Corp","YL016")</f>
        <v>#NAME?</v>
      </c>
      <c r="L121" s="7" t="e" cm="1">
        <f t="array" aca="1" ref="L121" ca="1">_xll.BDP("EG857336 Corp","PR004")</f>
        <v>#NAME?</v>
      </c>
      <c r="M121" s="7" t="e" cm="1">
        <f t="array" aca="1" ref="M121" ca="1">_xll.BDP("EG857336 Corp","PR002")</f>
        <v>#NAME?</v>
      </c>
      <c r="N121" s="1" t="e" cm="1">
        <f t="array" aca="1" ref="N121" ca="1">_xll.BDP("EG857336 Corp","ID028")</f>
        <v>#NAME?</v>
      </c>
      <c r="O121" s="1" t="e" cm="1">
        <f t="array" aca="1" ref="O121" ca="1">_xll.BDP("EG857336 Corp","ID005")</f>
        <v>#NAME?</v>
      </c>
      <c r="P121" s="1" t="e" cm="1">
        <f t="array" aca="1" ref="P121" ca="1">_xll.BDP(A121,"RA007")</f>
        <v>#NAME?</v>
      </c>
      <c r="Q121" s="1" t="e" cm="1">
        <f t="array" aca="1" ref="Q121" ca="1">_xll.BDP(A121,"DS219")</f>
        <v>#NAME?</v>
      </c>
      <c r="R121" s="3" t="e" cm="1">
        <f t="array" aca="1" ref="R121" ca="1">_xll.BDP(A121,"DS040")</f>
        <v>#NAME?</v>
      </c>
      <c r="S121" s="4" t="e">
        <f t="shared" ca="1" si="3"/>
        <v>#NAME?</v>
      </c>
      <c r="T121" s="7" t="e">
        <f t="shared" ca="1" si="4"/>
        <v>#NAME?</v>
      </c>
      <c r="U121" s="3" t="e">
        <f t="shared" ca="1" si="5"/>
        <v>#NAME?</v>
      </c>
    </row>
    <row r="122" spans="1:21" x14ac:dyDescent="0.35">
      <c r="A122" s="5" t="s">
        <v>181</v>
      </c>
      <c r="B122" s="1" t="e" cm="1">
        <f t="array" aca="1" ref="B122" ca="1">_xll.BDP("EG883955 Corp","DS520")</f>
        <v>#NAME?</v>
      </c>
      <c r="C122" s="1" t="e" cm="1">
        <f t="array" aca="1" ref="C122" ca="1">_xll.BDP("EG883955 Corp","DS001")</f>
        <v>#NAME?</v>
      </c>
      <c r="D122" s="1" t="e" cm="1">
        <f t="array" aca="1" ref="D122" ca="1">_xll.BDP("EG883955 Corp","DS458")</f>
        <v>#NAME?</v>
      </c>
      <c r="E122" s="1" t="e" cm="1">
        <f t="array" aca="1" ref="E122" ca="1">_xll.BDP("EG883955 Corp","DS004")</f>
        <v>#NAME?</v>
      </c>
      <c r="F122" s="1" t="e" cm="1">
        <f t="array" aca="1" ref="F122" ca="1">_xll.BDP("EG883955 Corp","DS035")</f>
        <v>#NAME?</v>
      </c>
      <c r="G122" s="1" t="e" cm="1">
        <f t="array" aca="1" ref="G122" ca="1">_xll.BDP("EG883955 Corp","DS086")</f>
        <v>#NAME?</v>
      </c>
      <c r="H122" s="1" t="e" cm="1">
        <f t="array" aca="1" ref="H122" ca="1">_xll.BDP("EG883955 Corp","DS034")</f>
        <v>#NAME?</v>
      </c>
      <c r="I122" s="1" t="e" cm="1">
        <f t="array" aca="1" ref="I122" ca="1">_xll.BDP("EG883955 Corp","DS033")</f>
        <v>#NAME?</v>
      </c>
      <c r="J122" s="7" t="e" cm="1">
        <f t="array" aca="1" ref="J122" ca="1">_xll.BDP("EG883955 Corp","YL018")</f>
        <v>#NAME?</v>
      </c>
      <c r="K122" s="7" t="e" cm="1">
        <f t="array" aca="1" ref="K122" ca="1">_xll.BDP("EG883955 Corp","YL016")</f>
        <v>#NAME?</v>
      </c>
      <c r="L122" s="7" t="e" cm="1">
        <f t="array" aca="1" ref="L122" ca="1">_xll.BDP("EG883955 Corp","PR004")</f>
        <v>#NAME?</v>
      </c>
      <c r="M122" s="7" t="e" cm="1">
        <f t="array" aca="1" ref="M122" ca="1">_xll.BDP("EG883955 Corp","PR002")</f>
        <v>#NAME?</v>
      </c>
      <c r="N122" s="1" t="e" cm="1">
        <f t="array" aca="1" ref="N122" ca="1">_xll.BDP("EG883955 Corp","ID028")</f>
        <v>#NAME?</v>
      </c>
      <c r="O122" s="1" t="e" cm="1">
        <f t="array" aca="1" ref="O122" ca="1">_xll.BDP("EG883955 Corp","ID005")</f>
        <v>#NAME?</v>
      </c>
      <c r="P122" s="1" t="e" cm="1">
        <f t="array" aca="1" ref="P122" ca="1">_xll.BDP(A122,"RA007")</f>
        <v>#NAME?</v>
      </c>
      <c r="Q122" s="1" t="e" cm="1">
        <f t="array" aca="1" ref="Q122" ca="1">_xll.BDP(A122,"DS219")</f>
        <v>#NAME?</v>
      </c>
      <c r="R122" s="3" t="e" cm="1">
        <f t="array" aca="1" ref="R122" ca="1">_xll.BDP(A122,"DS040")</f>
        <v>#NAME?</v>
      </c>
      <c r="S122" s="4" t="e">
        <f t="shared" ca="1" si="3"/>
        <v>#NAME?</v>
      </c>
      <c r="T122" s="7" t="e">
        <f t="shared" ca="1" si="4"/>
        <v>#NAME?</v>
      </c>
      <c r="U122" s="3" t="e">
        <f t="shared" ca="1" si="5"/>
        <v>#NAME?</v>
      </c>
    </row>
    <row r="123" spans="1:21" x14ac:dyDescent="0.35">
      <c r="A123" s="5" t="s">
        <v>182</v>
      </c>
      <c r="B123" s="1" t="e" cm="1">
        <f t="array" aca="1" ref="B123" ca="1">_xll.BDP("EG938408 Corp","DS520")</f>
        <v>#NAME?</v>
      </c>
      <c r="C123" s="1" t="e" cm="1">
        <f t="array" aca="1" ref="C123" ca="1">_xll.BDP("EG938408 Corp","DS001")</f>
        <v>#NAME?</v>
      </c>
      <c r="D123" s="1" t="e" cm="1">
        <f t="array" aca="1" ref="D123" ca="1">_xll.BDP("EG938408 Corp","DS458")</f>
        <v>#NAME?</v>
      </c>
      <c r="E123" s="1" t="e" cm="1">
        <f t="array" aca="1" ref="E123" ca="1">_xll.BDP("EG938408 Corp","DS004")</f>
        <v>#NAME?</v>
      </c>
      <c r="F123" s="1" t="e" cm="1">
        <f t="array" aca="1" ref="F123" ca="1">_xll.BDP("EG938408 Corp","DS035")</f>
        <v>#NAME?</v>
      </c>
      <c r="G123" s="1" t="e" cm="1">
        <f t="array" aca="1" ref="G123" ca="1">_xll.BDP("EG938408 Corp","DS086")</f>
        <v>#NAME?</v>
      </c>
      <c r="H123" s="1" t="e" cm="1">
        <f t="array" aca="1" ref="H123" ca="1">_xll.BDP("EG938408 Corp","DS034")</f>
        <v>#NAME?</v>
      </c>
      <c r="I123" s="1" t="e" cm="1">
        <f t="array" aca="1" ref="I123" ca="1">_xll.BDP("EG938408 Corp","DS033")</f>
        <v>#NAME?</v>
      </c>
      <c r="J123" s="7" t="e" cm="1">
        <f t="array" aca="1" ref="J123" ca="1">_xll.BDP("EG938408 Corp","YL018")</f>
        <v>#NAME?</v>
      </c>
      <c r="K123" s="7" t="e" cm="1">
        <f t="array" aca="1" ref="K123" ca="1">_xll.BDP("EG938408 Corp","YL016")</f>
        <v>#NAME?</v>
      </c>
      <c r="L123" s="7" t="e" cm="1">
        <f t="array" aca="1" ref="L123" ca="1">_xll.BDP("EG938408 Corp","PR004")</f>
        <v>#NAME?</v>
      </c>
      <c r="M123" s="7" t="e" cm="1">
        <f t="array" aca="1" ref="M123" ca="1">_xll.BDP("EG938408 Corp","PR002")</f>
        <v>#NAME?</v>
      </c>
      <c r="N123" s="1" t="e" cm="1">
        <f t="array" aca="1" ref="N123" ca="1">_xll.BDP("EG938408 Corp","ID028")</f>
        <v>#NAME?</v>
      </c>
      <c r="O123" s="1" t="e" cm="1">
        <f t="array" aca="1" ref="O123" ca="1">_xll.BDP("EG938408 Corp","ID005")</f>
        <v>#NAME?</v>
      </c>
      <c r="P123" s="1" t="e" cm="1">
        <f t="array" aca="1" ref="P123" ca="1">_xll.BDP(A123,"RA007")</f>
        <v>#NAME?</v>
      </c>
      <c r="Q123" s="1" t="e" cm="1">
        <f t="array" aca="1" ref="Q123" ca="1">_xll.BDP(A123,"DS219")</f>
        <v>#NAME?</v>
      </c>
      <c r="R123" s="3" t="e" cm="1">
        <f t="array" aca="1" ref="R123" ca="1">_xll.BDP(A123,"DS040")</f>
        <v>#NAME?</v>
      </c>
      <c r="S123" s="4" t="e">
        <f t="shared" ca="1" si="3"/>
        <v>#NAME?</v>
      </c>
      <c r="T123" s="7" t="e">
        <f t="shared" ca="1" si="4"/>
        <v>#NAME?</v>
      </c>
      <c r="U123" s="3" t="e">
        <f t="shared" ca="1" si="5"/>
        <v>#NAME?</v>
      </c>
    </row>
    <row r="124" spans="1:21" x14ac:dyDescent="0.35">
      <c r="A124" s="5" t="s">
        <v>183</v>
      </c>
      <c r="B124" s="1" t="e" cm="1">
        <f t="array" aca="1" ref="B124" ca="1">_xll.BDP("EH063365 Corp","DS520")</f>
        <v>#NAME?</v>
      </c>
      <c r="C124" s="1" t="e" cm="1">
        <f t="array" aca="1" ref="C124" ca="1">_xll.BDP("EH063365 Corp","DS001")</f>
        <v>#NAME?</v>
      </c>
      <c r="D124" s="1" t="e" cm="1">
        <f t="array" aca="1" ref="D124" ca="1">_xll.BDP("EH063365 Corp","DS458")</f>
        <v>#NAME?</v>
      </c>
      <c r="E124" s="1" t="e" cm="1">
        <f t="array" aca="1" ref="E124" ca="1">_xll.BDP("EH063365 Corp","DS004")</f>
        <v>#NAME?</v>
      </c>
      <c r="F124" s="1" t="e" cm="1">
        <f t="array" aca="1" ref="F124" ca="1">_xll.BDP("EH063365 Corp","DS035")</f>
        <v>#NAME?</v>
      </c>
      <c r="G124" s="1" t="e" cm="1">
        <f t="array" aca="1" ref="G124" ca="1">_xll.BDP("EH063365 Corp","DS086")</f>
        <v>#NAME?</v>
      </c>
      <c r="H124" s="1" t="e" cm="1">
        <f t="array" aca="1" ref="H124" ca="1">_xll.BDP("EH063365 Corp","DS034")</f>
        <v>#NAME?</v>
      </c>
      <c r="I124" s="1" t="e" cm="1">
        <f t="array" aca="1" ref="I124" ca="1">_xll.BDP("EH063365 Corp","DS033")</f>
        <v>#NAME?</v>
      </c>
      <c r="J124" s="7" t="e" cm="1">
        <f t="array" aca="1" ref="J124" ca="1">_xll.BDP("EH063365 Corp","YL018")</f>
        <v>#NAME?</v>
      </c>
      <c r="K124" s="7" t="e" cm="1">
        <f t="array" aca="1" ref="K124" ca="1">_xll.BDP("EH063365 Corp","YL016")</f>
        <v>#NAME?</v>
      </c>
      <c r="L124" s="7" t="e" cm="1">
        <f t="array" aca="1" ref="L124" ca="1">_xll.BDP("EH063365 Corp","PR004")</f>
        <v>#NAME?</v>
      </c>
      <c r="M124" s="7" t="e" cm="1">
        <f t="array" aca="1" ref="M124" ca="1">_xll.BDP("EH063365 Corp","PR002")</f>
        <v>#NAME?</v>
      </c>
      <c r="N124" s="1" t="e" cm="1">
        <f t="array" aca="1" ref="N124" ca="1">_xll.BDP("EH063365 Corp","ID028")</f>
        <v>#NAME?</v>
      </c>
      <c r="O124" s="1" t="e" cm="1">
        <f t="array" aca="1" ref="O124" ca="1">_xll.BDP("EH063365 Corp","ID005")</f>
        <v>#NAME?</v>
      </c>
      <c r="P124" s="1" t="e" cm="1">
        <f t="array" aca="1" ref="P124" ca="1">_xll.BDP(A124,"RA007")</f>
        <v>#NAME?</v>
      </c>
      <c r="Q124" s="1" t="e" cm="1">
        <f t="array" aca="1" ref="Q124" ca="1">_xll.BDP(A124,"DS219")</f>
        <v>#NAME?</v>
      </c>
      <c r="R124" s="3" t="e" cm="1">
        <f t="array" aca="1" ref="R124" ca="1">_xll.BDP(A124,"DS040")</f>
        <v>#NAME?</v>
      </c>
      <c r="S124" s="4" t="e">
        <f t="shared" ca="1" si="3"/>
        <v>#NAME?</v>
      </c>
      <c r="T124" s="7" t="e">
        <f t="shared" ca="1" si="4"/>
        <v>#NAME?</v>
      </c>
      <c r="U124" s="3" t="e">
        <f t="shared" ca="1" si="5"/>
        <v>#NAME?</v>
      </c>
    </row>
    <row r="125" spans="1:21" x14ac:dyDescent="0.35">
      <c r="A125" s="5" t="s">
        <v>184</v>
      </c>
      <c r="B125" s="1" t="e" cm="1">
        <f t="array" aca="1" ref="B125" ca="1">_xll.BDP("EH131379 Corp","DS520")</f>
        <v>#NAME?</v>
      </c>
      <c r="C125" s="1" t="e" cm="1">
        <f t="array" aca="1" ref="C125" ca="1">_xll.BDP("EH131379 Corp","DS001")</f>
        <v>#NAME?</v>
      </c>
      <c r="D125" s="1" t="e" cm="1">
        <f t="array" aca="1" ref="D125" ca="1">_xll.BDP("EH131379 Corp","DS458")</f>
        <v>#NAME?</v>
      </c>
      <c r="E125" s="1" t="e" cm="1">
        <f t="array" aca="1" ref="E125" ca="1">_xll.BDP("EH131379 Corp","DS004")</f>
        <v>#NAME?</v>
      </c>
      <c r="F125" s="1" t="e" cm="1">
        <f t="array" aca="1" ref="F125" ca="1">_xll.BDP("EH131379 Corp","DS035")</f>
        <v>#NAME?</v>
      </c>
      <c r="G125" s="1" t="e" cm="1">
        <f t="array" aca="1" ref="G125" ca="1">_xll.BDP("EH131379 Corp","DS086")</f>
        <v>#NAME?</v>
      </c>
      <c r="H125" s="1" t="e" cm="1">
        <f t="array" aca="1" ref="H125" ca="1">_xll.BDP("EH131379 Corp","DS034")</f>
        <v>#NAME?</v>
      </c>
      <c r="I125" s="1" t="e" cm="1">
        <f t="array" aca="1" ref="I125" ca="1">_xll.BDP("EH131379 Corp","DS033")</f>
        <v>#NAME?</v>
      </c>
      <c r="J125" s="7" t="e" cm="1">
        <f t="array" aca="1" ref="J125" ca="1">_xll.BDP("EH131379 Corp","YL018")</f>
        <v>#NAME?</v>
      </c>
      <c r="K125" s="7" t="e" cm="1">
        <f t="array" aca="1" ref="K125" ca="1">_xll.BDP("EH131379 Corp","YL016")</f>
        <v>#NAME?</v>
      </c>
      <c r="L125" s="7" t="e" cm="1">
        <f t="array" aca="1" ref="L125" ca="1">_xll.BDP("EH131379 Corp","PR004")</f>
        <v>#NAME?</v>
      </c>
      <c r="M125" s="7" t="e" cm="1">
        <f t="array" aca="1" ref="M125" ca="1">_xll.BDP("EH131379 Corp","PR002")</f>
        <v>#NAME?</v>
      </c>
      <c r="N125" s="1" t="e" cm="1">
        <f t="array" aca="1" ref="N125" ca="1">_xll.BDP("EH131379 Corp","ID028")</f>
        <v>#NAME?</v>
      </c>
      <c r="O125" s="1" t="e" cm="1">
        <f t="array" aca="1" ref="O125" ca="1">_xll.BDP("EH131379 Corp","ID005")</f>
        <v>#NAME?</v>
      </c>
      <c r="P125" s="1" t="e" cm="1">
        <f t="array" aca="1" ref="P125" ca="1">_xll.BDP(A125,"RA007")</f>
        <v>#NAME?</v>
      </c>
      <c r="Q125" s="1" t="e" cm="1">
        <f t="array" aca="1" ref="Q125" ca="1">_xll.BDP(A125,"DS219")</f>
        <v>#NAME?</v>
      </c>
      <c r="R125" s="3" t="e" cm="1">
        <f t="array" aca="1" ref="R125" ca="1">_xll.BDP(A125,"DS040")</f>
        <v>#NAME?</v>
      </c>
      <c r="S125" s="4" t="e">
        <f t="shared" ca="1" si="3"/>
        <v>#NAME?</v>
      </c>
      <c r="T125" s="7" t="e">
        <f t="shared" ca="1" si="4"/>
        <v>#NAME?</v>
      </c>
      <c r="U125" s="3" t="e">
        <f t="shared" ca="1" si="5"/>
        <v>#NAME?</v>
      </c>
    </row>
    <row r="126" spans="1:21" x14ac:dyDescent="0.35">
      <c r="A126" s="5" t="s">
        <v>185</v>
      </c>
      <c r="B126" s="1" t="e" cm="1">
        <f t="array" aca="1" ref="B126" ca="1">_xll.BDP("EH269031 Corp","DS520")</f>
        <v>#NAME?</v>
      </c>
      <c r="C126" s="1" t="e" cm="1">
        <f t="array" aca="1" ref="C126" ca="1">_xll.BDP("EH269031 Corp","DS001")</f>
        <v>#NAME?</v>
      </c>
      <c r="D126" s="1" t="e" cm="1">
        <f t="array" aca="1" ref="D126" ca="1">_xll.BDP("EH269031 Corp","DS458")</f>
        <v>#NAME?</v>
      </c>
      <c r="E126" s="1" t="e" cm="1">
        <f t="array" aca="1" ref="E126" ca="1">_xll.BDP("EH269031 Corp","DS004")</f>
        <v>#NAME?</v>
      </c>
      <c r="F126" s="1" t="e" cm="1">
        <f t="array" aca="1" ref="F126" ca="1">_xll.BDP("EH269031 Corp","DS035")</f>
        <v>#NAME?</v>
      </c>
      <c r="G126" s="1" t="e" cm="1">
        <f t="array" aca="1" ref="G126" ca="1">_xll.BDP("EH269031 Corp","DS086")</f>
        <v>#NAME?</v>
      </c>
      <c r="H126" s="1" t="e" cm="1">
        <f t="array" aca="1" ref="H126" ca="1">_xll.BDP("EH269031 Corp","DS034")</f>
        <v>#NAME?</v>
      </c>
      <c r="I126" s="1" t="e" cm="1">
        <f t="array" aca="1" ref="I126" ca="1">_xll.BDP("EH269031 Corp","DS033")</f>
        <v>#NAME?</v>
      </c>
      <c r="J126" s="7" t="e" cm="1">
        <f t="array" aca="1" ref="J126" ca="1">_xll.BDP("EH269031 Corp","YL018")</f>
        <v>#NAME?</v>
      </c>
      <c r="K126" s="7" t="e" cm="1">
        <f t="array" aca="1" ref="K126" ca="1">_xll.BDP("EH269031 Corp","YL016")</f>
        <v>#NAME?</v>
      </c>
      <c r="L126" s="7" t="e" cm="1">
        <f t="array" aca="1" ref="L126" ca="1">_xll.BDP("EH269031 Corp","PR004")</f>
        <v>#NAME?</v>
      </c>
      <c r="M126" s="7" t="e" cm="1">
        <f t="array" aca="1" ref="M126" ca="1">_xll.BDP("EH269031 Corp","PR002")</f>
        <v>#NAME?</v>
      </c>
      <c r="N126" s="1" t="e" cm="1">
        <f t="array" aca="1" ref="N126" ca="1">_xll.BDP("EH269031 Corp","ID028")</f>
        <v>#NAME?</v>
      </c>
      <c r="O126" s="1" t="e" cm="1">
        <f t="array" aca="1" ref="O126" ca="1">_xll.BDP("EH269031 Corp","ID005")</f>
        <v>#NAME?</v>
      </c>
      <c r="P126" s="1" t="e" cm="1">
        <f t="array" aca="1" ref="P126" ca="1">_xll.BDP(A126,"RA007")</f>
        <v>#NAME?</v>
      </c>
      <c r="Q126" s="1" t="e" cm="1">
        <f t="array" aca="1" ref="Q126" ca="1">_xll.BDP(A126,"DS219")</f>
        <v>#NAME?</v>
      </c>
      <c r="R126" s="3" t="e" cm="1">
        <f t="array" aca="1" ref="R126" ca="1">_xll.BDP(A126,"DS040")</f>
        <v>#NAME?</v>
      </c>
      <c r="S126" s="4" t="e">
        <f t="shared" ca="1" si="3"/>
        <v>#NAME?</v>
      </c>
      <c r="T126" s="7" t="e">
        <f t="shared" ca="1" si="4"/>
        <v>#NAME?</v>
      </c>
      <c r="U126" s="3" t="e">
        <f t="shared" ca="1" si="5"/>
        <v>#NAME?</v>
      </c>
    </row>
    <row r="127" spans="1:21" x14ac:dyDescent="0.35">
      <c r="A127" s="5" t="s">
        <v>186</v>
      </c>
      <c r="B127" s="1" t="e" cm="1">
        <f t="array" aca="1" ref="B127" ca="1">_xll.BDP("EH314693 Corp","DS520")</f>
        <v>#NAME?</v>
      </c>
      <c r="C127" s="1" t="e" cm="1">
        <f t="array" aca="1" ref="C127" ca="1">_xll.BDP("EH314693 Corp","DS001")</f>
        <v>#NAME?</v>
      </c>
      <c r="D127" s="1" t="e" cm="1">
        <f t="array" aca="1" ref="D127" ca="1">_xll.BDP("EH314693 Corp","DS458")</f>
        <v>#NAME?</v>
      </c>
      <c r="E127" s="1" t="e" cm="1">
        <f t="array" aca="1" ref="E127" ca="1">_xll.BDP("EH314693 Corp","DS004")</f>
        <v>#NAME?</v>
      </c>
      <c r="F127" s="1" t="e" cm="1">
        <f t="array" aca="1" ref="F127" ca="1">_xll.BDP("EH314693 Corp","DS035")</f>
        <v>#NAME?</v>
      </c>
      <c r="G127" s="1" t="e" cm="1">
        <f t="array" aca="1" ref="G127" ca="1">_xll.BDP("EH314693 Corp","DS086")</f>
        <v>#NAME?</v>
      </c>
      <c r="H127" s="1" t="e" cm="1">
        <f t="array" aca="1" ref="H127" ca="1">_xll.BDP("EH314693 Corp","DS034")</f>
        <v>#NAME?</v>
      </c>
      <c r="I127" s="1" t="e" cm="1">
        <f t="array" aca="1" ref="I127" ca="1">_xll.BDP("EH314693 Corp","DS033")</f>
        <v>#NAME?</v>
      </c>
      <c r="J127" s="7" t="e" cm="1">
        <f t="array" aca="1" ref="J127" ca="1">_xll.BDP("EH314693 Corp","YL018")</f>
        <v>#NAME?</v>
      </c>
      <c r="K127" s="7" t="e" cm="1">
        <f t="array" aca="1" ref="K127" ca="1">_xll.BDP("EH314693 Corp","YL016")</f>
        <v>#NAME?</v>
      </c>
      <c r="L127" s="7" t="e" cm="1">
        <f t="array" aca="1" ref="L127" ca="1">_xll.BDP("EH314693 Corp","PR004")</f>
        <v>#NAME?</v>
      </c>
      <c r="M127" s="7" t="e" cm="1">
        <f t="array" aca="1" ref="M127" ca="1">_xll.BDP("EH314693 Corp","PR002")</f>
        <v>#NAME?</v>
      </c>
      <c r="N127" s="1" t="e" cm="1">
        <f t="array" aca="1" ref="N127" ca="1">_xll.BDP("EH314693 Corp","ID028")</f>
        <v>#NAME?</v>
      </c>
      <c r="O127" s="1" t="e" cm="1">
        <f t="array" aca="1" ref="O127" ca="1">_xll.BDP("EH314693 Corp","ID005")</f>
        <v>#NAME?</v>
      </c>
      <c r="P127" s="1" t="e" cm="1">
        <f t="array" aca="1" ref="P127" ca="1">_xll.BDP(A127,"RA007")</f>
        <v>#NAME?</v>
      </c>
      <c r="Q127" s="1" t="e" cm="1">
        <f t="array" aca="1" ref="Q127" ca="1">_xll.BDP(A127,"DS219")</f>
        <v>#NAME?</v>
      </c>
      <c r="R127" s="3" t="e" cm="1">
        <f t="array" aca="1" ref="R127" ca="1">_xll.BDP(A127,"DS040")</f>
        <v>#NAME?</v>
      </c>
      <c r="S127" s="4" t="e">
        <f t="shared" ca="1" si="3"/>
        <v>#NAME?</v>
      </c>
      <c r="T127" s="7" t="e">
        <f t="shared" ca="1" si="4"/>
        <v>#NAME?</v>
      </c>
      <c r="U127" s="3" t="e">
        <f t="shared" ca="1" si="5"/>
        <v>#NAME?</v>
      </c>
    </row>
    <row r="128" spans="1:21" x14ac:dyDescent="0.35">
      <c r="A128" s="5" t="s">
        <v>187</v>
      </c>
      <c r="B128" s="1" t="e" cm="1">
        <f t="array" aca="1" ref="B128" ca="1">_xll.BDP("EH385409 Corp","DS520")</f>
        <v>#NAME?</v>
      </c>
      <c r="C128" s="1" t="e" cm="1">
        <f t="array" aca="1" ref="C128" ca="1">_xll.BDP("EH385409 Corp","DS001")</f>
        <v>#NAME?</v>
      </c>
      <c r="D128" s="1" t="e" cm="1">
        <f t="array" aca="1" ref="D128" ca="1">_xll.BDP("EH385409 Corp","DS458")</f>
        <v>#NAME?</v>
      </c>
      <c r="E128" s="1" t="e" cm="1">
        <f t="array" aca="1" ref="E128" ca="1">_xll.BDP("EH385409 Corp","DS004")</f>
        <v>#NAME?</v>
      </c>
      <c r="F128" s="1" t="e" cm="1">
        <f t="array" aca="1" ref="F128" ca="1">_xll.BDP("EH385409 Corp","DS035")</f>
        <v>#NAME?</v>
      </c>
      <c r="G128" s="1" t="e" cm="1">
        <f t="array" aca="1" ref="G128" ca="1">_xll.BDP("EH385409 Corp","DS086")</f>
        <v>#NAME?</v>
      </c>
      <c r="H128" s="1" t="e" cm="1">
        <f t="array" aca="1" ref="H128" ca="1">_xll.BDP("EH385409 Corp","DS034")</f>
        <v>#NAME?</v>
      </c>
      <c r="I128" s="1" t="e" cm="1">
        <f t="array" aca="1" ref="I128" ca="1">_xll.BDP("EH385409 Corp","DS033")</f>
        <v>#NAME?</v>
      </c>
      <c r="J128" s="7" t="e" cm="1">
        <f t="array" aca="1" ref="J128" ca="1">_xll.BDP("EH385409 Corp","YL018")</f>
        <v>#NAME?</v>
      </c>
      <c r="K128" s="7" t="e" cm="1">
        <f t="array" aca="1" ref="K128" ca="1">_xll.BDP("EH385409 Corp","YL016")</f>
        <v>#NAME?</v>
      </c>
      <c r="L128" s="7" t="e" cm="1">
        <f t="array" aca="1" ref="L128" ca="1">_xll.BDP("EH385409 Corp","PR004")</f>
        <v>#NAME?</v>
      </c>
      <c r="M128" s="7" t="e" cm="1">
        <f t="array" aca="1" ref="M128" ca="1">_xll.BDP("EH385409 Corp","PR002")</f>
        <v>#NAME?</v>
      </c>
      <c r="N128" s="1" t="e" cm="1">
        <f t="array" aca="1" ref="N128" ca="1">_xll.BDP("EH385409 Corp","ID028")</f>
        <v>#NAME?</v>
      </c>
      <c r="O128" s="1" t="e" cm="1">
        <f t="array" aca="1" ref="O128" ca="1">_xll.BDP("EH385409 Corp","ID005")</f>
        <v>#NAME?</v>
      </c>
      <c r="P128" s="1" t="e" cm="1">
        <f t="array" aca="1" ref="P128" ca="1">_xll.BDP(A128,"RA007")</f>
        <v>#NAME?</v>
      </c>
      <c r="Q128" s="1" t="e" cm="1">
        <f t="array" aca="1" ref="Q128" ca="1">_xll.BDP(A128,"DS219")</f>
        <v>#NAME?</v>
      </c>
      <c r="R128" s="3" t="e" cm="1">
        <f t="array" aca="1" ref="R128" ca="1">_xll.BDP(A128,"DS040")</f>
        <v>#NAME?</v>
      </c>
      <c r="S128" s="4" t="e">
        <f t="shared" ca="1" si="3"/>
        <v>#NAME?</v>
      </c>
      <c r="T128" s="7" t="e">
        <f t="shared" ca="1" si="4"/>
        <v>#NAME?</v>
      </c>
      <c r="U128" s="3" t="e">
        <f t="shared" ca="1" si="5"/>
        <v>#NAME?</v>
      </c>
    </row>
    <row r="129" spans="1:21" x14ac:dyDescent="0.35">
      <c r="A129" s="5" t="s">
        <v>188</v>
      </c>
      <c r="B129" s="1" t="e" cm="1">
        <f t="array" aca="1" ref="B129" ca="1">_xll.BDP("EH423708 Corp","DS520")</f>
        <v>#NAME?</v>
      </c>
      <c r="C129" s="1" t="e" cm="1">
        <f t="array" aca="1" ref="C129" ca="1">_xll.BDP("EH423708 Corp","DS001")</f>
        <v>#NAME?</v>
      </c>
      <c r="D129" s="1" t="e" cm="1">
        <f t="array" aca="1" ref="D129" ca="1">_xll.BDP("EH423708 Corp","DS458")</f>
        <v>#NAME?</v>
      </c>
      <c r="E129" s="1" t="e" cm="1">
        <f t="array" aca="1" ref="E129" ca="1">_xll.BDP("EH423708 Corp","DS004")</f>
        <v>#NAME?</v>
      </c>
      <c r="F129" s="1" t="e" cm="1">
        <f t="array" aca="1" ref="F129" ca="1">_xll.BDP("EH423708 Corp","DS035")</f>
        <v>#NAME?</v>
      </c>
      <c r="G129" s="1" t="e" cm="1">
        <f t="array" aca="1" ref="G129" ca="1">_xll.BDP("EH423708 Corp","DS086")</f>
        <v>#NAME?</v>
      </c>
      <c r="H129" s="1" t="e" cm="1">
        <f t="array" aca="1" ref="H129" ca="1">_xll.BDP("EH423708 Corp","DS034")</f>
        <v>#NAME?</v>
      </c>
      <c r="I129" s="1" t="e" cm="1">
        <f t="array" aca="1" ref="I129" ca="1">_xll.BDP("EH423708 Corp","DS033")</f>
        <v>#NAME?</v>
      </c>
      <c r="J129" s="7" t="e" cm="1">
        <f t="array" aca="1" ref="J129" ca="1">_xll.BDP("EH423708 Corp","YL018")</f>
        <v>#NAME?</v>
      </c>
      <c r="K129" s="7" t="e" cm="1">
        <f t="array" aca="1" ref="K129" ca="1">_xll.BDP("EH423708 Corp","YL016")</f>
        <v>#NAME?</v>
      </c>
      <c r="L129" s="7" t="e" cm="1">
        <f t="array" aca="1" ref="L129" ca="1">_xll.BDP("EH423708 Corp","PR004")</f>
        <v>#NAME?</v>
      </c>
      <c r="M129" s="7" t="e" cm="1">
        <f t="array" aca="1" ref="M129" ca="1">_xll.BDP("EH423708 Corp","PR002")</f>
        <v>#NAME?</v>
      </c>
      <c r="N129" s="1" t="e" cm="1">
        <f t="array" aca="1" ref="N129" ca="1">_xll.BDP("EH423708 Corp","ID028")</f>
        <v>#NAME?</v>
      </c>
      <c r="O129" s="1" t="e" cm="1">
        <f t="array" aca="1" ref="O129" ca="1">_xll.BDP("EH423708 Corp","ID005")</f>
        <v>#NAME?</v>
      </c>
      <c r="P129" s="1" t="e" cm="1">
        <f t="array" aca="1" ref="P129" ca="1">_xll.BDP(A129,"RA007")</f>
        <v>#NAME?</v>
      </c>
      <c r="Q129" s="1" t="e" cm="1">
        <f t="array" aca="1" ref="Q129" ca="1">_xll.BDP(A129,"DS219")</f>
        <v>#NAME?</v>
      </c>
      <c r="R129" s="3" t="e" cm="1">
        <f t="array" aca="1" ref="R129" ca="1">_xll.BDP(A129,"DS040")</f>
        <v>#NAME?</v>
      </c>
      <c r="S129" s="4" t="e">
        <f t="shared" ca="1" si="3"/>
        <v>#NAME?</v>
      </c>
      <c r="T129" s="7" t="e">
        <f t="shared" ca="1" si="4"/>
        <v>#NAME?</v>
      </c>
      <c r="U129" s="3" t="e">
        <f t="shared" ca="1" si="5"/>
        <v>#NAME?</v>
      </c>
    </row>
    <row r="130" spans="1:21" x14ac:dyDescent="0.35">
      <c r="A130" s="5" t="s">
        <v>189</v>
      </c>
      <c r="B130" s="1" t="e" cm="1">
        <f t="array" aca="1" ref="B130" ca="1">_xll.BDP("EH482900 Corp","DS520")</f>
        <v>#NAME?</v>
      </c>
      <c r="C130" s="1" t="e" cm="1">
        <f t="array" aca="1" ref="C130" ca="1">_xll.BDP("EH482900 Corp","DS001")</f>
        <v>#NAME?</v>
      </c>
      <c r="D130" s="1" t="e" cm="1">
        <f t="array" aca="1" ref="D130" ca="1">_xll.BDP("EH482900 Corp","DS458")</f>
        <v>#NAME?</v>
      </c>
      <c r="E130" s="1" t="e" cm="1">
        <f t="array" aca="1" ref="E130" ca="1">_xll.BDP("EH482900 Corp","DS004")</f>
        <v>#NAME?</v>
      </c>
      <c r="F130" s="1" t="e" cm="1">
        <f t="array" aca="1" ref="F130" ca="1">_xll.BDP("EH482900 Corp","DS035")</f>
        <v>#NAME?</v>
      </c>
      <c r="G130" s="1" t="e" cm="1">
        <f t="array" aca="1" ref="G130" ca="1">_xll.BDP("EH482900 Corp","DS086")</f>
        <v>#NAME?</v>
      </c>
      <c r="H130" s="1" t="e" cm="1">
        <f t="array" aca="1" ref="H130" ca="1">_xll.BDP("EH482900 Corp","DS034")</f>
        <v>#NAME?</v>
      </c>
      <c r="I130" s="1" t="e" cm="1">
        <f t="array" aca="1" ref="I130" ca="1">_xll.BDP("EH482900 Corp","DS033")</f>
        <v>#NAME?</v>
      </c>
      <c r="J130" s="7" t="e" cm="1">
        <f t="array" aca="1" ref="J130" ca="1">_xll.BDP("EH482900 Corp","YL018")</f>
        <v>#NAME?</v>
      </c>
      <c r="K130" s="7" t="e" cm="1">
        <f t="array" aca="1" ref="K130" ca="1">_xll.BDP("EH482900 Corp","YL016")</f>
        <v>#NAME?</v>
      </c>
      <c r="L130" s="7" t="e" cm="1">
        <f t="array" aca="1" ref="L130" ca="1">_xll.BDP("EH482900 Corp","PR004")</f>
        <v>#NAME?</v>
      </c>
      <c r="M130" s="7" t="e" cm="1">
        <f t="array" aca="1" ref="M130" ca="1">_xll.BDP("EH482900 Corp","PR002")</f>
        <v>#NAME?</v>
      </c>
      <c r="N130" s="1" t="e" cm="1">
        <f t="array" aca="1" ref="N130" ca="1">_xll.BDP("EH482900 Corp","ID028")</f>
        <v>#NAME?</v>
      </c>
      <c r="O130" s="1" t="e" cm="1">
        <f t="array" aca="1" ref="O130" ca="1">_xll.BDP("EH482900 Corp","ID005")</f>
        <v>#NAME?</v>
      </c>
      <c r="P130" s="1" t="e" cm="1">
        <f t="array" aca="1" ref="P130" ca="1">_xll.BDP(A130,"RA007")</f>
        <v>#NAME?</v>
      </c>
      <c r="Q130" s="1" t="e" cm="1">
        <f t="array" aca="1" ref="Q130" ca="1">_xll.BDP(A130,"DS219")</f>
        <v>#NAME?</v>
      </c>
      <c r="R130" s="3" t="e" cm="1">
        <f t="array" aca="1" ref="R130" ca="1">_xll.BDP(A130,"DS040")</f>
        <v>#NAME?</v>
      </c>
      <c r="S130" s="4" t="e">
        <f t="shared" ca="1" si="3"/>
        <v>#NAME?</v>
      </c>
      <c r="T130" s="7" t="e">
        <f t="shared" ca="1" si="4"/>
        <v>#NAME?</v>
      </c>
      <c r="U130" s="3" t="e">
        <f t="shared" ca="1" si="5"/>
        <v>#NAME?</v>
      </c>
    </row>
    <row r="131" spans="1:21" x14ac:dyDescent="0.35">
      <c r="A131" s="5" t="s">
        <v>190</v>
      </c>
      <c r="B131" s="1" t="e" cm="1">
        <f t="array" aca="1" ref="B131" ca="1">_xll.BDP("EH528555 Corp","DS520")</f>
        <v>#NAME?</v>
      </c>
      <c r="C131" s="1" t="e" cm="1">
        <f t="array" aca="1" ref="C131" ca="1">_xll.BDP("EH528555 Corp","DS001")</f>
        <v>#NAME?</v>
      </c>
      <c r="D131" s="1" t="e" cm="1">
        <f t="array" aca="1" ref="D131" ca="1">_xll.BDP("EH528555 Corp","DS458")</f>
        <v>#NAME?</v>
      </c>
      <c r="E131" s="1" t="e" cm="1">
        <f t="array" aca="1" ref="E131" ca="1">_xll.BDP("EH528555 Corp","DS004")</f>
        <v>#NAME?</v>
      </c>
      <c r="F131" s="1" t="e" cm="1">
        <f t="array" aca="1" ref="F131" ca="1">_xll.BDP("EH528555 Corp","DS035")</f>
        <v>#NAME?</v>
      </c>
      <c r="G131" s="1" t="e" cm="1">
        <f t="array" aca="1" ref="G131" ca="1">_xll.BDP("EH528555 Corp","DS086")</f>
        <v>#NAME?</v>
      </c>
      <c r="H131" s="1" t="e" cm="1">
        <f t="array" aca="1" ref="H131" ca="1">_xll.BDP("EH528555 Corp","DS034")</f>
        <v>#NAME?</v>
      </c>
      <c r="I131" s="1" t="e" cm="1">
        <f t="array" aca="1" ref="I131" ca="1">_xll.BDP("EH528555 Corp","DS033")</f>
        <v>#NAME?</v>
      </c>
      <c r="J131" s="7" t="e" cm="1">
        <f t="array" aca="1" ref="J131" ca="1">_xll.BDP("EH528555 Corp","YL018")</f>
        <v>#NAME?</v>
      </c>
      <c r="K131" s="7" t="e" cm="1">
        <f t="array" aca="1" ref="K131" ca="1">_xll.BDP("EH528555 Corp","YL016")</f>
        <v>#NAME?</v>
      </c>
      <c r="L131" s="7" t="e" cm="1">
        <f t="array" aca="1" ref="L131" ca="1">_xll.BDP("EH528555 Corp","PR004")</f>
        <v>#NAME?</v>
      </c>
      <c r="M131" s="7" t="e" cm="1">
        <f t="array" aca="1" ref="M131" ca="1">_xll.BDP("EH528555 Corp","PR002")</f>
        <v>#NAME?</v>
      </c>
      <c r="N131" s="1" t="e" cm="1">
        <f t="array" aca="1" ref="N131" ca="1">_xll.BDP("EH528555 Corp","ID028")</f>
        <v>#NAME?</v>
      </c>
      <c r="O131" s="1" t="e" cm="1">
        <f t="array" aca="1" ref="O131" ca="1">_xll.BDP("EH528555 Corp","ID005")</f>
        <v>#NAME?</v>
      </c>
      <c r="P131" s="1" t="e" cm="1">
        <f t="array" aca="1" ref="P131" ca="1">_xll.BDP(A131,"RA007")</f>
        <v>#NAME?</v>
      </c>
      <c r="Q131" s="1" t="e" cm="1">
        <f t="array" aca="1" ref="Q131" ca="1">_xll.BDP(A131,"DS219")</f>
        <v>#NAME?</v>
      </c>
      <c r="R131" s="3" t="e" cm="1">
        <f t="array" aca="1" ref="R131" ca="1">_xll.BDP(A131,"DS040")</f>
        <v>#NAME?</v>
      </c>
      <c r="S131" s="4" t="e">
        <f t="shared" ref="S131:S194" ca="1" si="6">(F131-TODAY())/365.25</f>
        <v>#NAME?</v>
      </c>
      <c r="T131" s="7" t="e">
        <f t="shared" ref="T131:T194" ca="1" si="7">S131-ROUNDDOWN(S131,0)</f>
        <v>#NAME?</v>
      </c>
      <c r="U131" s="3" t="e">
        <f t="shared" ref="U131:U194" ca="1" si="8">DATE(2026,MONTH(TODAY()),DAY(F131))&gt;DATEVALUE(R131)</f>
        <v>#NAME?</v>
      </c>
    </row>
    <row r="132" spans="1:21" x14ac:dyDescent="0.35">
      <c r="A132" s="5" t="s">
        <v>191</v>
      </c>
      <c r="B132" s="1" t="e" cm="1">
        <f t="array" aca="1" ref="B132" ca="1">_xll.BDP("EH562271 Corp","DS520")</f>
        <v>#NAME?</v>
      </c>
      <c r="C132" s="1" t="e" cm="1">
        <f t="array" aca="1" ref="C132" ca="1">_xll.BDP("EH562271 Corp","DS001")</f>
        <v>#NAME?</v>
      </c>
      <c r="D132" s="1" t="e" cm="1">
        <f t="array" aca="1" ref="D132" ca="1">_xll.BDP("EH562271 Corp","DS458")</f>
        <v>#NAME?</v>
      </c>
      <c r="E132" s="1" t="e" cm="1">
        <f t="array" aca="1" ref="E132" ca="1">_xll.BDP("EH562271 Corp","DS004")</f>
        <v>#NAME?</v>
      </c>
      <c r="F132" s="1" t="e" cm="1">
        <f t="array" aca="1" ref="F132" ca="1">_xll.BDP("EH562271 Corp","DS035")</f>
        <v>#NAME?</v>
      </c>
      <c r="G132" s="1" t="e" cm="1">
        <f t="array" aca="1" ref="G132" ca="1">_xll.BDP("EH562271 Corp","DS086")</f>
        <v>#NAME?</v>
      </c>
      <c r="H132" s="1" t="e" cm="1">
        <f t="array" aca="1" ref="H132" ca="1">_xll.BDP("EH562271 Corp","DS034")</f>
        <v>#NAME?</v>
      </c>
      <c r="I132" s="1" t="e" cm="1">
        <f t="array" aca="1" ref="I132" ca="1">_xll.BDP("EH562271 Corp","DS033")</f>
        <v>#NAME?</v>
      </c>
      <c r="J132" s="7" t="e" cm="1">
        <f t="array" aca="1" ref="J132" ca="1">_xll.BDP("EH562271 Corp","YL018")</f>
        <v>#NAME?</v>
      </c>
      <c r="K132" s="7" t="e" cm="1">
        <f t="array" aca="1" ref="K132" ca="1">_xll.BDP("EH562271 Corp","YL016")</f>
        <v>#NAME?</v>
      </c>
      <c r="L132" s="7" t="e" cm="1">
        <f t="array" aca="1" ref="L132" ca="1">_xll.BDP("EH562271 Corp","PR004")</f>
        <v>#NAME?</v>
      </c>
      <c r="M132" s="7" t="e" cm="1">
        <f t="array" aca="1" ref="M132" ca="1">_xll.BDP("EH562271 Corp","PR002")</f>
        <v>#NAME?</v>
      </c>
      <c r="N132" s="1" t="e" cm="1">
        <f t="array" aca="1" ref="N132" ca="1">_xll.BDP("EH562271 Corp","ID028")</f>
        <v>#NAME?</v>
      </c>
      <c r="O132" s="1" t="e" cm="1">
        <f t="array" aca="1" ref="O132" ca="1">_xll.BDP("EH562271 Corp","ID005")</f>
        <v>#NAME?</v>
      </c>
      <c r="P132" s="1" t="e" cm="1">
        <f t="array" aca="1" ref="P132" ca="1">_xll.BDP(A132,"RA007")</f>
        <v>#NAME?</v>
      </c>
      <c r="Q132" s="1" t="e" cm="1">
        <f t="array" aca="1" ref="Q132" ca="1">_xll.BDP(A132,"DS219")</f>
        <v>#NAME?</v>
      </c>
      <c r="R132" s="3" t="e" cm="1">
        <f t="array" aca="1" ref="R132" ca="1">_xll.BDP(A132,"DS040")</f>
        <v>#NAME?</v>
      </c>
      <c r="S132" s="4" t="e">
        <f t="shared" ca="1" si="6"/>
        <v>#NAME?</v>
      </c>
      <c r="T132" s="7" t="e">
        <f t="shared" ca="1" si="7"/>
        <v>#NAME?</v>
      </c>
      <c r="U132" s="3" t="e">
        <f t="shared" ca="1" si="8"/>
        <v>#NAME?</v>
      </c>
    </row>
    <row r="133" spans="1:21" x14ac:dyDescent="0.35">
      <c r="A133" s="5" t="s">
        <v>192</v>
      </c>
      <c r="B133" s="1" t="e" cm="1">
        <f t="array" aca="1" ref="B133" ca="1">_xll.BDP("EH598545 Corp","DS520")</f>
        <v>#NAME?</v>
      </c>
      <c r="C133" s="1" t="e" cm="1">
        <f t="array" aca="1" ref="C133" ca="1">_xll.BDP("EH598545 Corp","DS001")</f>
        <v>#NAME?</v>
      </c>
      <c r="D133" s="1" t="e" cm="1">
        <f t="array" aca="1" ref="D133" ca="1">_xll.BDP("EH598545 Corp","DS458")</f>
        <v>#NAME?</v>
      </c>
      <c r="E133" s="1" t="e" cm="1">
        <f t="array" aca="1" ref="E133" ca="1">_xll.BDP("EH598545 Corp","DS004")</f>
        <v>#NAME?</v>
      </c>
      <c r="F133" s="1" t="e" cm="1">
        <f t="array" aca="1" ref="F133" ca="1">_xll.BDP("EH598545 Corp","DS035")</f>
        <v>#NAME?</v>
      </c>
      <c r="G133" s="1" t="e" cm="1">
        <f t="array" aca="1" ref="G133" ca="1">_xll.BDP("EH598545 Corp","DS086")</f>
        <v>#NAME?</v>
      </c>
      <c r="H133" s="1" t="e" cm="1">
        <f t="array" aca="1" ref="H133" ca="1">_xll.BDP("EH598545 Corp","DS034")</f>
        <v>#NAME?</v>
      </c>
      <c r="I133" s="1" t="e" cm="1">
        <f t="array" aca="1" ref="I133" ca="1">_xll.BDP("EH598545 Corp","DS033")</f>
        <v>#NAME?</v>
      </c>
      <c r="J133" s="7" t="e" cm="1">
        <f t="array" aca="1" ref="J133" ca="1">_xll.BDP("EH598545 Corp","YL018")</f>
        <v>#NAME?</v>
      </c>
      <c r="K133" s="7" t="e" cm="1">
        <f t="array" aca="1" ref="K133" ca="1">_xll.BDP("EH598545 Corp","YL016")</f>
        <v>#NAME?</v>
      </c>
      <c r="L133" s="7" t="e" cm="1">
        <f t="array" aca="1" ref="L133" ca="1">_xll.BDP("EH598545 Corp","PR004")</f>
        <v>#NAME?</v>
      </c>
      <c r="M133" s="7" t="e" cm="1">
        <f t="array" aca="1" ref="M133" ca="1">_xll.BDP("EH598545 Corp","PR002")</f>
        <v>#NAME?</v>
      </c>
      <c r="N133" s="1" t="e" cm="1">
        <f t="array" aca="1" ref="N133" ca="1">_xll.BDP("EH598545 Corp","ID028")</f>
        <v>#NAME?</v>
      </c>
      <c r="O133" s="1" t="e" cm="1">
        <f t="array" aca="1" ref="O133" ca="1">_xll.BDP("EH598545 Corp","ID005")</f>
        <v>#NAME?</v>
      </c>
      <c r="P133" s="1" t="e" cm="1">
        <f t="array" aca="1" ref="P133" ca="1">_xll.BDP(A133,"RA007")</f>
        <v>#NAME?</v>
      </c>
      <c r="Q133" s="1" t="e" cm="1">
        <f t="array" aca="1" ref="Q133" ca="1">_xll.BDP(A133,"DS219")</f>
        <v>#NAME?</v>
      </c>
      <c r="R133" s="3" t="e" cm="1">
        <f t="array" aca="1" ref="R133" ca="1">_xll.BDP(A133,"DS040")</f>
        <v>#NAME?</v>
      </c>
      <c r="S133" s="4" t="e">
        <f t="shared" ca="1" si="6"/>
        <v>#NAME?</v>
      </c>
      <c r="T133" s="7" t="e">
        <f t="shared" ca="1" si="7"/>
        <v>#NAME?</v>
      </c>
      <c r="U133" s="3" t="e">
        <f t="shared" ca="1" si="8"/>
        <v>#NAME?</v>
      </c>
    </row>
    <row r="134" spans="1:21" x14ac:dyDescent="0.35">
      <c r="A134" s="5" t="s">
        <v>193</v>
      </c>
      <c r="B134" s="1" t="e" cm="1">
        <f t="array" aca="1" ref="B134" ca="1">_xll.BDP("EH606623 Corp","DS520")</f>
        <v>#NAME?</v>
      </c>
      <c r="C134" s="1" t="e" cm="1">
        <f t="array" aca="1" ref="C134" ca="1">_xll.BDP("EH606623 Corp","DS001")</f>
        <v>#NAME?</v>
      </c>
      <c r="D134" s="1" t="e" cm="1">
        <f t="array" aca="1" ref="D134" ca="1">_xll.BDP("EH606623 Corp","DS458")</f>
        <v>#NAME?</v>
      </c>
      <c r="E134" s="1" t="e" cm="1">
        <f t="array" aca="1" ref="E134" ca="1">_xll.BDP("EH606623 Corp","DS004")</f>
        <v>#NAME?</v>
      </c>
      <c r="F134" s="1" t="e" cm="1">
        <f t="array" aca="1" ref="F134" ca="1">_xll.BDP("EH606623 Corp","DS035")</f>
        <v>#NAME?</v>
      </c>
      <c r="G134" s="1" t="e" cm="1">
        <f t="array" aca="1" ref="G134" ca="1">_xll.BDP("EH606623 Corp","DS086")</f>
        <v>#NAME?</v>
      </c>
      <c r="H134" s="1" t="e" cm="1">
        <f t="array" aca="1" ref="H134" ca="1">_xll.BDP("EH606623 Corp","DS034")</f>
        <v>#NAME?</v>
      </c>
      <c r="I134" s="1" t="e" cm="1">
        <f t="array" aca="1" ref="I134" ca="1">_xll.BDP("EH606623 Corp","DS033")</f>
        <v>#NAME?</v>
      </c>
      <c r="J134" s="7" t="e" cm="1">
        <f t="array" aca="1" ref="J134" ca="1">_xll.BDP("EH606623 Corp","YL018")</f>
        <v>#NAME?</v>
      </c>
      <c r="K134" s="7" t="e" cm="1">
        <f t="array" aca="1" ref="K134" ca="1">_xll.BDP("EH606623 Corp","YL016")</f>
        <v>#NAME?</v>
      </c>
      <c r="L134" s="7" t="e" cm="1">
        <f t="array" aca="1" ref="L134" ca="1">_xll.BDP("EH606623 Corp","PR004")</f>
        <v>#NAME?</v>
      </c>
      <c r="M134" s="7" t="e" cm="1">
        <f t="array" aca="1" ref="M134" ca="1">_xll.BDP("EH606623 Corp","PR002")</f>
        <v>#NAME?</v>
      </c>
      <c r="N134" s="1" t="e" cm="1">
        <f t="array" aca="1" ref="N134" ca="1">_xll.BDP("EH606623 Corp","ID028")</f>
        <v>#NAME?</v>
      </c>
      <c r="O134" s="1" t="e" cm="1">
        <f t="array" aca="1" ref="O134" ca="1">_xll.BDP("EH606623 Corp","ID005")</f>
        <v>#NAME?</v>
      </c>
      <c r="P134" s="1" t="e" cm="1">
        <f t="array" aca="1" ref="P134" ca="1">_xll.BDP(A134,"RA007")</f>
        <v>#NAME?</v>
      </c>
      <c r="Q134" s="1" t="e" cm="1">
        <f t="array" aca="1" ref="Q134" ca="1">_xll.BDP(A134,"DS219")</f>
        <v>#NAME?</v>
      </c>
      <c r="R134" s="3" t="e" cm="1">
        <f t="array" aca="1" ref="R134" ca="1">_xll.BDP(A134,"DS040")</f>
        <v>#NAME?</v>
      </c>
      <c r="S134" s="4" t="e">
        <f t="shared" ca="1" si="6"/>
        <v>#NAME?</v>
      </c>
      <c r="T134" s="7" t="e">
        <f t="shared" ca="1" si="7"/>
        <v>#NAME?</v>
      </c>
      <c r="U134" s="3" t="e">
        <f t="shared" ca="1" si="8"/>
        <v>#NAME?</v>
      </c>
    </row>
    <row r="135" spans="1:21" x14ac:dyDescent="0.35">
      <c r="A135" s="5" t="s">
        <v>194</v>
      </c>
      <c r="B135" s="1" t="e" cm="1">
        <f t="array" aca="1" ref="B135" ca="1">_xll.BDP("EH660472 Corp","DS520")</f>
        <v>#NAME?</v>
      </c>
      <c r="C135" s="1" t="e" cm="1">
        <f t="array" aca="1" ref="C135" ca="1">_xll.BDP("EH660472 Corp","DS001")</f>
        <v>#NAME?</v>
      </c>
      <c r="D135" s="1" t="e" cm="1">
        <f t="array" aca="1" ref="D135" ca="1">_xll.BDP("EH660472 Corp","DS458")</f>
        <v>#NAME?</v>
      </c>
      <c r="E135" s="1" t="e" cm="1">
        <f t="array" aca="1" ref="E135" ca="1">_xll.BDP("EH660472 Corp","DS004")</f>
        <v>#NAME?</v>
      </c>
      <c r="F135" s="1" t="e" cm="1">
        <f t="array" aca="1" ref="F135" ca="1">_xll.BDP("EH660472 Corp","DS035")</f>
        <v>#NAME?</v>
      </c>
      <c r="G135" s="1" t="e" cm="1">
        <f t="array" aca="1" ref="G135" ca="1">_xll.BDP("EH660472 Corp","DS086")</f>
        <v>#NAME?</v>
      </c>
      <c r="H135" s="1" t="e" cm="1">
        <f t="array" aca="1" ref="H135" ca="1">_xll.BDP("EH660472 Corp","DS034")</f>
        <v>#NAME?</v>
      </c>
      <c r="I135" s="1" t="e" cm="1">
        <f t="array" aca="1" ref="I135" ca="1">_xll.BDP("EH660472 Corp","DS033")</f>
        <v>#NAME?</v>
      </c>
      <c r="J135" s="7" t="e" cm="1">
        <f t="array" aca="1" ref="J135" ca="1">_xll.BDP("EH660472 Corp","YL018")</f>
        <v>#NAME?</v>
      </c>
      <c r="K135" s="7" t="e" cm="1">
        <f t="array" aca="1" ref="K135" ca="1">_xll.BDP("EH660472 Corp","YL016")</f>
        <v>#NAME?</v>
      </c>
      <c r="L135" s="7" t="e" cm="1">
        <f t="array" aca="1" ref="L135" ca="1">_xll.BDP("EH660472 Corp","PR004")</f>
        <v>#NAME?</v>
      </c>
      <c r="M135" s="7" t="e" cm="1">
        <f t="array" aca="1" ref="M135" ca="1">_xll.BDP("EH660472 Corp","PR002")</f>
        <v>#NAME?</v>
      </c>
      <c r="N135" s="1" t="e" cm="1">
        <f t="array" aca="1" ref="N135" ca="1">_xll.BDP("EH660472 Corp","ID028")</f>
        <v>#NAME?</v>
      </c>
      <c r="O135" s="1" t="e" cm="1">
        <f t="array" aca="1" ref="O135" ca="1">_xll.BDP("EH660472 Corp","ID005")</f>
        <v>#NAME?</v>
      </c>
      <c r="P135" s="1" t="e" cm="1">
        <f t="array" aca="1" ref="P135" ca="1">_xll.BDP(A135,"RA007")</f>
        <v>#NAME?</v>
      </c>
      <c r="Q135" s="1" t="e" cm="1">
        <f t="array" aca="1" ref="Q135" ca="1">_xll.BDP(A135,"DS219")</f>
        <v>#NAME?</v>
      </c>
      <c r="R135" s="3" t="e" cm="1">
        <f t="array" aca="1" ref="R135" ca="1">_xll.BDP(A135,"DS040")</f>
        <v>#NAME?</v>
      </c>
      <c r="S135" s="4" t="e">
        <f t="shared" ca="1" si="6"/>
        <v>#NAME?</v>
      </c>
      <c r="T135" s="7" t="e">
        <f t="shared" ca="1" si="7"/>
        <v>#NAME?</v>
      </c>
      <c r="U135" s="3" t="e">
        <f t="shared" ca="1" si="8"/>
        <v>#NAME?</v>
      </c>
    </row>
    <row r="136" spans="1:21" x14ac:dyDescent="0.35">
      <c r="A136" s="5" t="s">
        <v>195</v>
      </c>
      <c r="B136" s="1" t="e" cm="1">
        <f t="array" aca="1" ref="B136" ca="1">_xll.BDP("EH703406 Corp","DS520")</f>
        <v>#NAME?</v>
      </c>
      <c r="C136" s="1" t="e" cm="1">
        <f t="array" aca="1" ref="C136" ca="1">_xll.BDP("EH703406 Corp","DS001")</f>
        <v>#NAME?</v>
      </c>
      <c r="D136" s="1" t="e" cm="1">
        <f t="array" aca="1" ref="D136" ca="1">_xll.BDP("EH703406 Corp","DS458")</f>
        <v>#NAME?</v>
      </c>
      <c r="E136" s="1" t="e" cm="1">
        <f t="array" aca="1" ref="E136" ca="1">_xll.BDP("EH703406 Corp","DS004")</f>
        <v>#NAME?</v>
      </c>
      <c r="F136" s="1" t="e" cm="1">
        <f t="array" aca="1" ref="F136" ca="1">_xll.BDP("EH703406 Corp","DS035")</f>
        <v>#NAME?</v>
      </c>
      <c r="G136" s="1" t="e" cm="1">
        <f t="array" aca="1" ref="G136" ca="1">_xll.BDP("EH703406 Corp","DS086")</f>
        <v>#NAME?</v>
      </c>
      <c r="H136" s="1" t="e" cm="1">
        <f t="array" aca="1" ref="H136" ca="1">_xll.BDP("EH703406 Corp","DS034")</f>
        <v>#NAME?</v>
      </c>
      <c r="I136" s="1" t="e" cm="1">
        <f t="array" aca="1" ref="I136" ca="1">_xll.BDP("EH703406 Corp","DS033")</f>
        <v>#NAME?</v>
      </c>
      <c r="J136" s="7" t="e" cm="1">
        <f t="array" aca="1" ref="J136" ca="1">_xll.BDP("EH703406 Corp","YL018")</f>
        <v>#NAME?</v>
      </c>
      <c r="K136" s="7" t="e" cm="1">
        <f t="array" aca="1" ref="K136" ca="1">_xll.BDP("EH703406 Corp","YL016")</f>
        <v>#NAME?</v>
      </c>
      <c r="L136" s="7" t="e" cm="1">
        <f t="array" aca="1" ref="L136" ca="1">_xll.BDP("EH703406 Corp","PR004")</f>
        <v>#NAME?</v>
      </c>
      <c r="M136" s="7" t="e" cm="1">
        <f t="array" aca="1" ref="M136" ca="1">_xll.BDP("EH703406 Corp","PR002")</f>
        <v>#NAME?</v>
      </c>
      <c r="N136" s="1" t="e" cm="1">
        <f t="array" aca="1" ref="N136" ca="1">_xll.BDP("EH703406 Corp","ID028")</f>
        <v>#NAME?</v>
      </c>
      <c r="O136" s="1" t="e" cm="1">
        <f t="array" aca="1" ref="O136" ca="1">_xll.BDP("EH703406 Corp","ID005")</f>
        <v>#NAME?</v>
      </c>
      <c r="P136" s="1" t="e" cm="1">
        <f t="array" aca="1" ref="P136" ca="1">_xll.BDP(A136,"RA007")</f>
        <v>#NAME?</v>
      </c>
      <c r="Q136" s="1" t="e" cm="1">
        <f t="array" aca="1" ref="Q136" ca="1">_xll.BDP(A136,"DS219")</f>
        <v>#NAME?</v>
      </c>
      <c r="R136" s="3" t="e" cm="1">
        <f t="array" aca="1" ref="R136" ca="1">_xll.BDP(A136,"DS040")</f>
        <v>#NAME?</v>
      </c>
      <c r="S136" s="4" t="e">
        <f t="shared" ca="1" si="6"/>
        <v>#NAME?</v>
      </c>
      <c r="T136" s="7" t="e">
        <f t="shared" ca="1" si="7"/>
        <v>#NAME?</v>
      </c>
      <c r="U136" s="3" t="e">
        <f t="shared" ca="1" si="8"/>
        <v>#NAME?</v>
      </c>
    </row>
    <row r="137" spans="1:21" x14ac:dyDescent="0.35">
      <c r="A137" s="5" t="s">
        <v>196</v>
      </c>
      <c r="B137" s="1" t="e" cm="1">
        <f t="array" aca="1" ref="B137" ca="1">_xll.BDP("EH761125 Corp","DS520")</f>
        <v>#NAME?</v>
      </c>
      <c r="C137" s="1" t="e" cm="1">
        <f t="array" aca="1" ref="C137" ca="1">_xll.BDP("EH761125 Corp","DS001")</f>
        <v>#NAME?</v>
      </c>
      <c r="D137" s="1" t="e" cm="1">
        <f t="array" aca="1" ref="D137" ca="1">_xll.BDP("EH761125 Corp","DS458")</f>
        <v>#NAME?</v>
      </c>
      <c r="E137" s="1" t="e" cm="1">
        <f t="array" aca="1" ref="E137" ca="1">_xll.BDP("EH761125 Corp","DS004")</f>
        <v>#NAME?</v>
      </c>
      <c r="F137" s="1" t="e" cm="1">
        <f t="array" aca="1" ref="F137" ca="1">_xll.BDP("EH761125 Corp","DS035")</f>
        <v>#NAME?</v>
      </c>
      <c r="G137" s="1" t="e" cm="1">
        <f t="array" aca="1" ref="G137" ca="1">_xll.BDP("EH761125 Corp","DS086")</f>
        <v>#NAME?</v>
      </c>
      <c r="H137" s="1" t="e" cm="1">
        <f t="array" aca="1" ref="H137" ca="1">_xll.BDP("EH761125 Corp","DS034")</f>
        <v>#NAME?</v>
      </c>
      <c r="I137" s="1" t="e" cm="1">
        <f t="array" aca="1" ref="I137" ca="1">_xll.BDP("EH761125 Corp","DS033")</f>
        <v>#NAME?</v>
      </c>
      <c r="J137" s="7" t="e" cm="1">
        <f t="array" aca="1" ref="J137" ca="1">_xll.BDP("EH761125 Corp","YL018")</f>
        <v>#NAME?</v>
      </c>
      <c r="K137" s="7" t="e" cm="1">
        <f t="array" aca="1" ref="K137" ca="1">_xll.BDP("EH761125 Corp","YL016")</f>
        <v>#NAME?</v>
      </c>
      <c r="L137" s="7" t="e" cm="1">
        <f t="array" aca="1" ref="L137" ca="1">_xll.BDP("EH761125 Corp","PR004")</f>
        <v>#NAME?</v>
      </c>
      <c r="M137" s="7" t="e" cm="1">
        <f t="array" aca="1" ref="M137" ca="1">_xll.BDP("EH761125 Corp","PR002")</f>
        <v>#NAME?</v>
      </c>
      <c r="N137" s="1" t="e" cm="1">
        <f t="array" aca="1" ref="N137" ca="1">_xll.BDP("EH761125 Corp","ID028")</f>
        <v>#NAME?</v>
      </c>
      <c r="O137" s="1" t="e" cm="1">
        <f t="array" aca="1" ref="O137" ca="1">_xll.BDP("EH761125 Corp","ID005")</f>
        <v>#NAME?</v>
      </c>
      <c r="P137" s="1" t="e" cm="1">
        <f t="array" aca="1" ref="P137" ca="1">_xll.BDP(A137,"RA007")</f>
        <v>#NAME?</v>
      </c>
      <c r="Q137" s="1" t="e" cm="1">
        <f t="array" aca="1" ref="Q137" ca="1">_xll.BDP(A137,"DS219")</f>
        <v>#NAME?</v>
      </c>
      <c r="R137" s="3" t="e" cm="1">
        <f t="array" aca="1" ref="R137" ca="1">_xll.BDP(A137,"DS040")</f>
        <v>#NAME?</v>
      </c>
      <c r="S137" s="4" t="e">
        <f t="shared" ca="1" si="6"/>
        <v>#NAME?</v>
      </c>
      <c r="T137" s="7" t="e">
        <f t="shared" ca="1" si="7"/>
        <v>#NAME?</v>
      </c>
      <c r="U137" s="3" t="e">
        <f t="shared" ca="1" si="8"/>
        <v>#NAME?</v>
      </c>
    </row>
    <row r="138" spans="1:21" x14ac:dyDescent="0.35">
      <c r="A138" s="5" t="s">
        <v>197</v>
      </c>
      <c r="B138" s="1" t="e" cm="1">
        <f t="array" aca="1" ref="B138" ca="1">_xll.BDP("EH791118 Corp","DS520")</f>
        <v>#NAME?</v>
      </c>
      <c r="C138" s="1" t="e" cm="1">
        <f t="array" aca="1" ref="C138" ca="1">_xll.BDP("EH791118 Corp","DS001")</f>
        <v>#NAME?</v>
      </c>
      <c r="D138" s="1" t="e" cm="1">
        <f t="array" aca="1" ref="D138" ca="1">_xll.BDP("EH791118 Corp","DS458")</f>
        <v>#NAME?</v>
      </c>
      <c r="E138" s="1" t="e" cm="1">
        <f t="array" aca="1" ref="E138" ca="1">_xll.BDP("EH791118 Corp","DS004")</f>
        <v>#NAME?</v>
      </c>
      <c r="F138" s="1" t="e" cm="1">
        <f t="array" aca="1" ref="F138" ca="1">_xll.BDP("EH791118 Corp","DS035")</f>
        <v>#NAME?</v>
      </c>
      <c r="G138" s="1" t="e" cm="1">
        <f t="array" aca="1" ref="G138" ca="1">_xll.BDP("EH791118 Corp","DS086")</f>
        <v>#NAME?</v>
      </c>
      <c r="H138" s="1" t="e" cm="1">
        <f t="array" aca="1" ref="H138" ca="1">_xll.BDP("EH791118 Corp","DS034")</f>
        <v>#NAME?</v>
      </c>
      <c r="I138" s="1" t="e" cm="1">
        <f t="array" aca="1" ref="I138" ca="1">_xll.BDP("EH791118 Corp","DS033")</f>
        <v>#NAME?</v>
      </c>
      <c r="J138" s="7" t="e" cm="1">
        <f t="array" aca="1" ref="J138" ca="1">_xll.BDP("EH791118 Corp","YL018")</f>
        <v>#NAME?</v>
      </c>
      <c r="K138" s="7" t="e" cm="1">
        <f t="array" aca="1" ref="K138" ca="1">_xll.BDP("EH791118 Corp","YL016")</f>
        <v>#NAME?</v>
      </c>
      <c r="L138" s="7" t="e" cm="1">
        <f t="array" aca="1" ref="L138" ca="1">_xll.BDP("EH791118 Corp","PR004")</f>
        <v>#NAME?</v>
      </c>
      <c r="M138" s="7" t="e" cm="1">
        <f t="array" aca="1" ref="M138" ca="1">_xll.BDP("EH791118 Corp","PR002")</f>
        <v>#NAME?</v>
      </c>
      <c r="N138" s="1" t="e" cm="1">
        <f t="array" aca="1" ref="N138" ca="1">_xll.BDP("EH791118 Corp","ID028")</f>
        <v>#NAME?</v>
      </c>
      <c r="O138" s="1" t="e" cm="1">
        <f t="array" aca="1" ref="O138" ca="1">_xll.BDP("EH791118 Corp","ID005")</f>
        <v>#NAME?</v>
      </c>
      <c r="P138" s="1" t="e" cm="1">
        <f t="array" aca="1" ref="P138" ca="1">_xll.BDP(A138,"RA007")</f>
        <v>#NAME?</v>
      </c>
      <c r="Q138" s="1" t="e" cm="1">
        <f t="array" aca="1" ref="Q138" ca="1">_xll.BDP(A138,"DS219")</f>
        <v>#NAME?</v>
      </c>
      <c r="R138" s="3" t="e" cm="1">
        <f t="array" aca="1" ref="R138" ca="1">_xll.BDP(A138,"DS040")</f>
        <v>#NAME?</v>
      </c>
      <c r="S138" s="4" t="e">
        <f t="shared" ca="1" si="6"/>
        <v>#NAME?</v>
      </c>
      <c r="T138" s="7" t="e">
        <f t="shared" ca="1" si="7"/>
        <v>#NAME?</v>
      </c>
      <c r="U138" s="3" t="e">
        <f t="shared" ca="1" si="8"/>
        <v>#NAME?</v>
      </c>
    </row>
    <row r="139" spans="1:21" x14ac:dyDescent="0.35">
      <c r="A139" s="5" t="s">
        <v>198</v>
      </c>
      <c r="B139" s="1" t="e" cm="1">
        <f t="array" aca="1" ref="B139" ca="1">_xll.BDP("EH799588 Corp","DS520")</f>
        <v>#NAME?</v>
      </c>
      <c r="C139" s="1" t="e" cm="1">
        <f t="array" aca="1" ref="C139" ca="1">_xll.BDP("EH799588 Corp","DS001")</f>
        <v>#NAME?</v>
      </c>
      <c r="D139" s="1" t="e" cm="1">
        <f t="array" aca="1" ref="D139" ca="1">_xll.BDP("EH799588 Corp","DS458")</f>
        <v>#NAME?</v>
      </c>
      <c r="E139" s="1" t="e" cm="1">
        <f t="array" aca="1" ref="E139" ca="1">_xll.BDP("EH799588 Corp","DS004")</f>
        <v>#NAME?</v>
      </c>
      <c r="F139" s="1" t="e" cm="1">
        <f t="array" aca="1" ref="F139" ca="1">_xll.BDP("EH799588 Corp","DS035")</f>
        <v>#NAME?</v>
      </c>
      <c r="G139" s="1" t="e" cm="1">
        <f t="array" aca="1" ref="G139" ca="1">_xll.BDP("EH799588 Corp","DS086")</f>
        <v>#NAME?</v>
      </c>
      <c r="H139" s="1" t="e" cm="1">
        <f t="array" aca="1" ref="H139" ca="1">_xll.BDP("EH799588 Corp","DS034")</f>
        <v>#NAME?</v>
      </c>
      <c r="I139" s="1" t="e" cm="1">
        <f t="array" aca="1" ref="I139" ca="1">_xll.BDP("EH799588 Corp","DS033")</f>
        <v>#NAME?</v>
      </c>
      <c r="J139" s="7" t="e" cm="1">
        <f t="array" aca="1" ref="J139" ca="1">_xll.BDP("EH799588 Corp","YL018")</f>
        <v>#NAME?</v>
      </c>
      <c r="K139" s="7" t="e" cm="1">
        <f t="array" aca="1" ref="K139" ca="1">_xll.BDP("EH799588 Corp","YL016")</f>
        <v>#NAME?</v>
      </c>
      <c r="L139" s="7" t="e" cm="1">
        <f t="array" aca="1" ref="L139" ca="1">_xll.BDP("EH799588 Corp","PR004")</f>
        <v>#NAME?</v>
      </c>
      <c r="M139" s="7" t="e" cm="1">
        <f t="array" aca="1" ref="M139" ca="1">_xll.BDP("EH799588 Corp","PR002")</f>
        <v>#NAME?</v>
      </c>
      <c r="N139" s="1" t="e" cm="1">
        <f t="array" aca="1" ref="N139" ca="1">_xll.BDP("EH799588 Corp","ID028")</f>
        <v>#NAME?</v>
      </c>
      <c r="O139" s="1" t="e" cm="1">
        <f t="array" aca="1" ref="O139" ca="1">_xll.BDP("EH799588 Corp","ID005")</f>
        <v>#NAME?</v>
      </c>
      <c r="P139" s="1" t="e" cm="1">
        <f t="array" aca="1" ref="P139" ca="1">_xll.BDP(A139,"RA007")</f>
        <v>#NAME?</v>
      </c>
      <c r="Q139" s="1" t="e" cm="1">
        <f t="array" aca="1" ref="Q139" ca="1">_xll.BDP(A139,"DS219")</f>
        <v>#NAME?</v>
      </c>
      <c r="R139" s="3" t="e" cm="1">
        <f t="array" aca="1" ref="R139" ca="1">_xll.BDP(A139,"DS040")</f>
        <v>#NAME?</v>
      </c>
      <c r="S139" s="4" t="e">
        <f t="shared" ca="1" si="6"/>
        <v>#NAME?</v>
      </c>
      <c r="T139" s="7" t="e">
        <f t="shared" ca="1" si="7"/>
        <v>#NAME?</v>
      </c>
      <c r="U139" s="3" t="e">
        <f t="shared" ca="1" si="8"/>
        <v>#NAME?</v>
      </c>
    </row>
    <row r="140" spans="1:21" x14ac:dyDescent="0.35">
      <c r="A140" s="5" t="s">
        <v>199</v>
      </c>
      <c r="B140" s="1" t="e" cm="1">
        <f t="array" aca="1" ref="B140" ca="1">_xll.BDP("EH829698 Corp","DS520")</f>
        <v>#NAME?</v>
      </c>
      <c r="C140" s="1" t="e" cm="1">
        <f t="array" aca="1" ref="C140" ca="1">_xll.BDP("EH829698 Corp","DS001")</f>
        <v>#NAME?</v>
      </c>
      <c r="D140" s="1" t="e" cm="1">
        <f t="array" aca="1" ref="D140" ca="1">_xll.BDP("EH829698 Corp","DS458")</f>
        <v>#NAME?</v>
      </c>
      <c r="E140" s="1" t="e" cm="1">
        <f t="array" aca="1" ref="E140" ca="1">_xll.BDP("EH829698 Corp","DS004")</f>
        <v>#NAME?</v>
      </c>
      <c r="F140" s="1" t="e" cm="1">
        <f t="array" aca="1" ref="F140" ca="1">_xll.BDP("EH829698 Corp","DS035")</f>
        <v>#NAME?</v>
      </c>
      <c r="G140" s="1" t="e" cm="1">
        <f t="array" aca="1" ref="G140" ca="1">_xll.BDP("EH829698 Corp","DS086")</f>
        <v>#NAME?</v>
      </c>
      <c r="H140" s="1" t="e" cm="1">
        <f t="array" aca="1" ref="H140" ca="1">_xll.BDP("EH829698 Corp","DS034")</f>
        <v>#NAME?</v>
      </c>
      <c r="I140" s="1" t="e" cm="1">
        <f t="array" aca="1" ref="I140" ca="1">_xll.BDP("EH829698 Corp","DS033")</f>
        <v>#NAME?</v>
      </c>
      <c r="J140" s="7" t="e" cm="1">
        <f t="array" aca="1" ref="J140" ca="1">_xll.BDP("EH829698 Corp","YL018")</f>
        <v>#NAME?</v>
      </c>
      <c r="K140" s="7" t="e" cm="1">
        <f t="array" aca="1" ref="K140" ca="1">_xll.BDP("EH829698 Corp","YL016")</f>
        <v>#NAME?</v>
      </c>
      <c r="L140" s="7" t="e" cm="1">
        <f t="array" aca="1" ref="L140" ca="1">_xll.BDP("EH829698 Corp","PR004")</f>
        <v>#NAME?</v>
      </c>
      <c r="M140" s="7" t="e" cm="1">
        <f t="array" aca="1" ref="M140" ca="1">_xll.BDP("EH829698 Corp","PR002")</f>
        <v>#NAME?</v>
      </c>
      <c r="N140" s="1" t="e" cm="1">
        <f t="array" aca="1" ref="N140" ca="1">_xll.BDP("EH829698 Corp","ID028")</f>
        <v>#NAME?</v>
      </c>
      <c r="O140" s="1" t="e" cm="1">
        <f t="array" aca="1" ref="O140" ca="1">_xll.BDP("EH829698 Corp","ID005")</f>
        <v>#NAME?</v>
      </c>
      <c r="P140" s="1" t="e" cm="1">
        <f t="array" aca="1" ref="P140" ca="1">_xll.BDP(A140,"RA007")</f>
        <v>#NAME?</v>
      </c>
      <c r="Q140" s="1" t="e" cm="1">
        <f t="array" aca="1" ref="Q140" ca="1">_xll.BDP(A140,"DS219")</f>
        <v>#NAME?</v>
      </c>
      <c r="R140" s="3" t="e" cm="1">
        <f t="array" aca="1" ref="R140" ca="1">_xll.BDP(A140,"DS040")</f>
        <v>#NAME?</v>
      </c>
      <c r="S140" s="4" t="e">
        <f t="shared" ca="1" si="6"/>
        <v>#NAME?</v>
      </c>
      <c r="T140" s="7" t="e">
        <f t="shared" ca="1" si="7"/>
        <v>#NAME?</v>
      </c>
      <c r="U140" s="3" t="e">
        <f t="shared" ca="1" si="8"/>
        <v>#NAME?</v>
      </c>
    </row>
    <row r="141" spans="1:21" x14ac:dyDescent="0.35">
      <c r="A141" s="5" t="s">
        <v>200</v>
      </c>
      <c r="B141" s="1" t="e" cm="1">
        <f t="array" aca="1" ref="B141" ca="1">_xll.BDP("EH871549 Corp","DS520")</f>
        <v>#NAME?</v>
      </c>
      <c r="C141" s="1" t="e" cm="1">
        <f t="array" aca="1" ref="C141" ca="1">_xll.BDP("EH871549 Corp","DS001")</f>
        <v>#NAME?</v>
      </c>
      <c r="D141" s="1" t="e" cm="1">
        <f t="array" aca="1" ref="D141" ca="1">_xll.BDP("EH871549 Corp","DS458")</f>
        <v>#NAME?</v>
      </c>
      <c r="E141" s="1" t="e" cm="1">
        <f t="array" aca="1" ref="E141" ca="1">_xll.BDP("EH871549 Corp","DS004")</f>
        <v>#NAME?</v>
      </c>
      <c r="F141" s="1" t="e" cm="1">
        <f t="array" aca="1" ref="F141" ca="1">_xll.BDP("EH871549 Corp","DS035")</f>
        <v>#NAME?</v>
      </c>
      <c r="G141" s="1" t="e" cm="1">
        <f t="array" aca="1" ref="G141" ca="1">_xll.BDP("EH871549 Corp","DS086")</f>
        <v>#NAME?</v>
      </c>
      <c r="H141" s="1" t="e" cm="1">
        <f t="array" aca="1" ref="H141" ca="1">_xll.BDP("EH871549 Corp","DS034")</f>
        <v>#NAME?</v>
      </c>
      <c r="I141" s="1" t="e" cm="1">
        <f t="array" aca="1" ref="I141" ca="1">_xll.BDP("EH871549 Corp","DS033")</f>
        <v>#NAME?</v>
      </c>
      <c r="J141" s="7" t="e" cm="1">
        <f t="array" aca="1" ref="J141" ca="1">_xll.BDP("EH871549 Corp","YL018")</f>
        <v>#NAME?</v>
      </c>
      <c r="K141" s="7" t="e" cm="1">
        <f t="array" aca="1" ref="K141" ca="1">_xll.BDP("EH871549 Corp","YL016")</f>
        <v>#NAME?</v>
      </c>
      <c r="L141" s="7" t="e" cm="1">
        <f t="array" aca="1" ref="L141" ca="1">_xll.BDP("EH871549 Corp","PR004")</f>
        <v>#NAME?</v>
      </c>
      <c r="M141" s="7" t="e" cm="1">
        <f t="array" aca="1" ref="M141" ca="1">_xll.BDP("EH871549 Corp","PR002")</f>
        <v>#NAME?</v>
      </c>
      <c r="N141" s="1" t="e" cm="1">
        <f t="array" aca="1" ref="N141" ca="1">_xll.BDP("EH871549 Corp","ID028")</f>
        <v>#NAME?</v>
      </c>
      <c r="O141" s="1" t="e" cm="1">
        <f t="array" aca="1" ref="O141" ca="1">_xll.BDP("EH871549 Corp","ID005")</f>
        <v>#NAME?</v>
      </c>
      <c r="P141" s="1" t="e" cm="1">
        <f t="array" aca="1" ref="P141" ca="1">_xll.BDP(A141,"RA007")</f>
        <v>#NAME?</v>
      </c>
      <c r="Q141" s="1" t="e" cm="1">
        <f t="array" aca="1" ref="Q141" ca="1">_xll.BDP(A141,"DS219")</f>
        <v>#NAME?</v>
      </c>
      <c r="R141" s="3" t="e" cm="1">
        <f t="array" aca="1" ref="R141" ca="1">_xll.BDP(A141,"DS040")</f>
        <v>#NAME?</v>
      </c>
      <c r="S141" s="4" t="e">
        <f t="shared" ca="1" si="6"/>
        <v>#NAME?</v>
      </c>
      <c r="T141" s="7" t="e">
        <f t="shared" ca="1" si="7"/>
        <v>#NAME?</v>
      </c>
      <c r="U141" s="3" t="e">
        <f t="shared" ca="1" si="8"/>
        <v>#NAME?</v>
      </c>
    </row>
    <row r="142" spans="1:21" x14ac:dyDescent="0.35">
      <c r="A142" s="5" t="s">
        <v>201</v>
      </c>
      <c r="B142" s="1" t="e" cm="1">
        <f t="array" aca="1" ref="B142" ca="1">_xll.BDP("EH914171 Corp","DS520")</f>
        <v>#NAME?</v>
      </c>
      <c r="C142" s="1" t="e" cm="1">
        <f t="array" aca="1" ref="C142" ca="1">_xll.BDP("EH914171 Corp","DS001")</f>
        <v>#NAME?</v>
      </c>
      <c r="D142" s="1" t="e" cm="1">
        <f t="array" aca="1" ref="D142" ca="1">_xll.BDP("EH914171 Corp","DS458")</f>
        <v>#NAME?</v>
      </c>
      <c r="E142" s="1" t="e" cm="1">
        <f t="array" aca="1" ref="E142" ca="1">_xll.BDP("EH914171 Corp","DS004")</f>
        <v>#NAME?</v>
      </c>
      <c r="F142" s="1" t="e" cm="1">
        <f t="array" aca="1" ref="F142" ca="1">_xll.BDP("EH914171 Corp","DS035")</f>
        <v>#NAME?</v>
      </c>
      <c r="G142" s="1" t="e" cm="1">
        <f t="array" aca="1" ref="G142" ca="1">_xll.BDP("EH914171 Corp","DS086")</f>
        <v>#NAME?</v>
      </c>
      <c r="H142" s="1" t="e" cm="1">
        <f t="array" aca="1" ref="H142" ca="1">_xll.BDP("EH914171 Corp","DS034")</f>
        <v>#NAME?</v>
      </c>
      <c r="I142" s="1" t="e" cm="1">
        <f t="array" aca="1" ref="I142" ca="1">_xll.BDP("EH914171 Corp","DS033")</f>
        <v>#NAME?</v>
      </c>
      <c r="J142" s="7" t="e" cm="1">
        <f t="array" aca="1" ref="J142" ca="1">_xll.BDP("EH914171 Corp","YL018")</f>
        <v>#NAME?</v>
      </c>
      <c r="K142" s="7" t="e" cm="1">
        <f t="array" aca="1" ref="K142" ca="1">_xll.BDP("EH914171 Corp","YL016")</f>
        <v>#NAME?</v>
      </c>
      <c r="L142" s="7" t="e" cm="1">
        <f t="array" aca="1" ref="L142" ca="1">_xll.BDP("EH914171 Corp","PR004")</f>
        <v>#NAME?</v>
      </c>
      <c r="M142" s="7" t="e" cm="1">
        <f t="array" aca="1" ref="M142" ca="1">_xll.BDP("EH914171 Corp","PR002")</f>
        <v>#NAME?</v>
      </c>
      <c r="N142" s="1" t="e" cm="1">
        <f t="array" aca="1" ref="N142" ca="1">_xll.BDP("EH914171 Corp","ID028")</f>
        <v>#NAME?</v>
      </c>
      <c r="O142" s="1" t="e" cm="1">
        <f t="array" aca="1" ref="O142" ca="1">_xll.BDP("EH914171 Corp","ID005")</f>
        <v>#NAME?</v>
      </c>
      <c r="P142" s="1" t="e" cm="1">
        <f t="array" aca="1" ref="P142" ca="1">_xll.BDP(A142,"RA007")</f>
        <v>#NAME?</v>
      </c>
      <c r="Q142" s="1" t="e" cm="1">
        <f t="array" aca="1" ref="Q142" ca="1">_xll.BDP(A142,"DS219")</f>
        <v>#NAME?</v>
      </c>
      <c r="R142" s="3" t="e" cm="1">
        <f t="array" aca="1" ref="R142" ca="1">_xll.BDP(A142,"DS040")</f>
        <v>#NAME?</v>
      </c>
      <c r="S142" s="4" t="e">
        <f t="shared" ca="1" si="6"/>
        <v>#NAME?</v>
      </c>
      <c r="T142" s="7" t="e">
        <f t="shared" ca="1" si="7"/>
        <v>#NAME?</v>
      </c>
      <c r="U142" s="3" t="e">
        <f t="shared" ca="1" si="8"/>
        <v>#NAME?</v>
      </c>
    </row>
    <row r="143" spans="1:21" x14ac:dyDescent="0.35">
      <c r="A143" s="5" t="s">
        <v>202</v>
      </c>
      <c r="B143" s="1" t="e" cm="1">
        <f t="array" aca="1" ref="B143" ca="1">_xll.BDP("EH975344 Corp","DS520")</f>
        <v>#NAME?</v>
      </c>
      <c r="C143" s="1" t="e" cm="1">
        <f t="array" aca="1" ref="C143" ca="1">_xll.BDP("EH975344 Corp","DS001")</f>
        <v>#NAME?</v>
      </c>
      <c r="D143" s="1" t="e" cm="1">
        <f t="array" aca="1" ref="D143" ca="1">_xll.BDP("EH975344 Corp","DS458")</f>
        <v>#NAME?</v>
      </c>
      <c r="E143" s="1" t="e" cm="1">
        <f t="array" aca="1" ref="E143" ca="1">_xll.BDP("EH975344 Corp","DS004")</f>
        <v>#NAME?</v>
      </c>
      <c r="F143" s="1" t="e" cm="1">
        <f t="array" aca="1" ref="F143" ca="1">_xll.BDP("EH975344 Corp","DS035")</f>
        <v>#NAME?</v>
      </c>
      <c r="G143" s="1" t="e" cm="1">
        <f t="array" aca="1" ref="G143" ca="1">_xll.BDP("EH975344 Corp","DS086")</f>
        <v>#NAME?</v>
      </c>
      <c r="H143" s="1" t="e" cm="1">
        <f t="array" aca="1" ref="H143" ca="1">_xll.BDP("EH975344 Corp","DS034")</f>
        <v>#NAME?</v>
      </c>
      <c r="I143" s="1" t="e" cm="1">
        <f t="array" aca="1" ref="I143" ca="1">_xll.BDP("EH975344 Corp","DS033")</f>
        <v>#NAME?</v>
      </c>
      <c r="J143" s="7" t="e" cm="1">
        <f t="array" aca="1" ref="J143" ca="1">_xll.BDP("EH975344 Corp","YL018")</f>
        <v>#NAME?</v>
      </c>
      <c r="K143" s="7" t="e" cm="1">
        <f t="array" aca="1" ref="K143" ca="1">_xll.BDP("EH975344 Corp","YL016")</f>
        <v>#NAME?</v>
      </c>
      <c r="L143" s="7" t="e" cm="1">
        <f t="array" aca="1" ref="L143" ca="1">_xll.BDP("EH975344 Corp","PR004")</f>
        <v>#NAME?</v>
      </c>
      <c r="M143" s="7" t="e" cm="1">
        <f t="array" aca="1" ref="M143" ca="1">_xll.BDP("EH975344 Corp","PR002")</f>
        <v>#NAME?</v>
      </c>
      <c r="N143" s="1" t="e" cm="1">
        <f t="array" aca="1" ref="N143" ca="1">_xll.BDP("EH975344 Corp","ID028")</f>
        <v>#NAME?</v>
      </c>
      <c r="O143" s="1" t="e" cm="1">
        <f t="array" aca="1" ref="O143" ca="1">_xll.BDP("EH975344 Corp","ID005")</f>
        <v>#NAME?</v>
      </c>
      <c r="P143" s="1" t="e" cm="1">
        <f t="array" aca="1" ref="P143" ca="1">_xll.BDP(A143,"RA007")</f>
        <v>#NAME?</v>
      </c>
      <c r="Q143" s="1" t="e" cm="1">
        <f t="array" aca="1" ref="Q143" ca="1">_xll.BDP(A143,"DS219")</f>
        <v>#NAME?</v>
      </c>
      <c r="R143" s="3" t="e" cm="1">
        <f t="array" aca="1" ref="R143" ca="1">_xll.BDP(A143,"DS040")</f>
        <v>#NAME?</v>
      </c>
      <c r="S143" s="4" t="e">
        <f t="shared" ca="1" si="6"/>
        <v>#NAME?</v>
      </c>
      <c r="T143" s="7" t="e">
        <f t="shared" ca="1" si="7"/>
        <v>#NAME?</v>
      </c>
      <c r="U143" s="3" t="e">
        <f t="shared" ca="1" si="8"/>
        <v>#NAME?</v>
      </c>
    </row>
    <row r="144" spans="1:21" x14ac:dyDescent="0.35">
      <c r="A144" s="5" t="s">
        <v>203</v>
      </c>
      <c r="B144" s="1" t="e" cm="1">
        <f t="array" aca="1" ref="B144" ca="1">_xll.BDP("EI004805 Corp","DS520")</f>
        <v>#NAME?</v>
      </c>
      <c r="C144" s="1" t="e" cm="1">
        <f t="array" aca="1" ref="C144" ca="1">_xll.BDP("EI004805 Corp","DS001")</f>
        <v>#NAME?</v>
      </c>
      <c r="D144" s="1" t="e" cm="1">
        <f t="array" aca="1" ref="D144" ca="1">_xll.BDP("EI004805 Corp","DS458")</f>
        <v>#NAME?</v>
      </c>
      <c r="E144" s="1" t="e" cm="1">
        <f t="array" aca="1" ref="E144" ca="1">_xll.BDP("EI004805 Corp","DS004")</f>
        <v>#NAME?</v>
      </c>
      <c r="F144" s="1" t="e" cm="1">
        <f t="array" aca="1" ref="F144" ca="1">_xll.BDP("EI004805 Corp","DS035")</f>
        <v>#NAME?</v>
      </c>
      <c r="G144" s="1" t="e" cm="1">
        <f t="array" aca="1" ref="G144" ca="1">_xll.BDP("EI004805 Corp","DS086")</f>
        <v>#NAME?</v>
      </c>
      <c r="H144" s="1" t="e" cm="1">
        <f t="array" aca="1" ref="H144" ca="1">_xll.BDP("EI004805 Corp","DS034")</f>
        <v>#NAME?</v>
      </c>
      <c r="I144" s="1" t="e" cm="1">
        <f t="array" aca="1" ref="I144" ca="1">_xll.BDP("EI004805 Corp","DS033")</f>
        <v>#NAME?</v>
      </c>
      <c r="J144" s="7" t="e" cm="1">
        <f t="array" aca="1" ref="J144" ca="1">_xll.BDP("EI004805 Corp","YL018")</f>
        <v>#NAME?</v>
      </c>
      <c r="K144" s="7" t="e" cm="1">
        <f t="array" aca="1" ref="K144" ca="1">_xll.BDP("EI004805 Corp","YL016")</f>
        <v>#NAME?</v>
      </c>
      <c r="L144" s="7" t="e" cm="1">
        <f t="array" aca="1" ref="L144" ca="1">_xll.BDP("EI004805 Corp","PR004")</f>
        <v>#NAME?</v>
      </c>
      <c r="M144" s="7" t="e" cm="1">
        <f t="array" aca="1" ref="M144" ca="1">_xll.BDP("EI004805 Corp","PR002")</f>
        <v>#NAME?</v>
      </c>
      <c r="N144" s="1" t="e" cm="1">
        <f t="array" aca="1" ref="N144" ca="1">_xll.BDP("EI004805 Corp","ID028")</f>
        <v>#NAME?</v>
      </c>
      <c r="O144" s="1" t="e" cm="1">
        <f t="array" aca="1" ref="O144" ca="1">_xll.BDP("EI004805 Corp","ID005")</f>
        <v>#NAME?</v>
      </c>
      <c r="P144" s="1" t="e" cm="1">
        <f t="array" aca="1" ref="P144" ca="1">_xll.BDP(A144,"RA007")</f>
        <v>#NAME?</v>
      </c>
      <c r="Q144" s="1" t="e" cm="1">
        <f t="array" aca="1" ref="Q144" ca="1">_xll.BDP(A144,"DS219")</f>
        <v>#NAME?</v>
      </c>
      <c r="R144" s="3" t="e" cm="1">
        <f t="array" aca="1" ref="R144" ca="1">_xll.BDP(A144,"DS040")</f>
        <v>#NAME?</v>
      </c>
      <c r="S144" s="4" t="e">
        <f t="shared" ca="1" si="6"/>
        <v>#NAME?</v>
      </c>
      <c r="T144" s="7" t="e">
        <f t="shared" ca="1" si="7"/>
        <v>#NAME?</v>
      </c>
      <c r="U144" s="3" t="e">
        <f t="shared" ca="1" si="8"/>
        <v>#NAME?</v>
      </c>
    </row>
    <row r="145" spans="1:21" x14ac:dyDescent="0.35">
      <c r="A145" s="5" t="s">
        <v>204</v>
      </c>
      <c r="B145" s="1" t="e" cm="1">
        <f t="array" aca="1" ref="B145" ca="1">_xll.BDP("EI083545 Corp","DS520")</f>
        <v>#NAME?</v>
      </c>
      <c r="C145" s="1" t="e" cm="1">
        <f t="array" aca="1" ref="C145" ca="1">_xll.BDP("EI083545 Corp","DS001")</f>
        <v>#NAME?</v>
      </c>
      <c r="D145" s="1" t="e" cm="1">
        <f t="array" aca="1" ref="D145" ca="1">_xll.BDP("EI083545 Corp","DS458")</f>
        <v>#NAME?</v>
      </c>
      <c r="E145" s="1" t="e" cm="1">
        <f t="array" aca="1" ref="E145" ca="1">_xll.BDP("EI083545 Corp","DS004")</f>
        <v>#NAME?</v>
      </c>
      <c r="F145" s="1" t="e" cm="1">
        <f t="array" aca="1" ref="F145" ca="1">_xll.BDP("EI083545 Corp","DS035")</f>
        <v>#NAME?</v>
      </c>
      <c r="G145" s="1" t="e" cm="1">
        <f t="array" aca="1" ref="G145" ca="1">_xll.BDP("EI083545 Corp","DS086")</f>
        <v>#NAME?</v>
      </c>
      <c r="H145" s="1" t="e" cm="1">
        <f t="array" aca="1" ref="H145" ca="1">_xll.BDP("EI083545 Corp","DS034")</f>
        <v>#NAME?</v>
      </c>
      <c r="I145" s="1" t="e" cm="1">
        <f t="array" aca="1" ref="I145" ca="1">_xll.BDP("EI083545 Corp","DS033")</f>
        <v>#NAME?</v>
      </c>
      <c r="J145" s="7" t="e" cm="1">
        <f t="array" aca="1" ref="J145" ca="1">_xll.BDP("EI083545 Corp","YL018")</f>
        <v>#NAME?</v>
      </c>
      <c r="K145" s="7" t="e" cm="1">
        <f t="array" aca="1" ref="K145" ca="1">_xll.BDP("EI083545 Corp","YL016")</f>
        <v>#NAME?</v>
      </c>
      <c r="L145" s="7" t="e" cm="1">
        <f t="array" aca="1" ref="L145" ca="1">_xll.BDP("EI083545 Corp","PR004")</f>
        <v>#NAME?</v>
      </c>
      <c r="M145" s="7" t="e" cm="1">
        <f t="array" aca="1" ref="M145" ca="1">_xll.BDP("EI083545 Corp","PR002")</f>
        <v>#NAME?</v>
      </c>
      <c r="N145" s="1" t="e" cm="1">
        <f t="array" aca="1" ref="N145" ca="1">_xll.BDP("EI083545 Corp","ID028")</f>
        <v>#NAME?</v>
      </c>
      <c r="O145" s="1" t="e" cm="1">
        <f t="array" aca="1" ref="O145" ca="1">_xll.BDP("EI083545 Corp","ID005")</f>
        <v>#NAME?</v>
      </c>
      <c r="P145" s="1" t="e" cm="1">
        <f t="array" aca="1" ref="P145" ca="1">_xll.BDP(A145,"RA007")</f>
        <v>#NAME?</v>
      </c>
      <c r="Q145" s="1" t="e" cm="1">
        <f t="array" aca="1" ref="Q145" ca="1">_xll.BDP(A145,"DS219")</f>
        <v>#NAME?</v>
      </c>
      <c r="R145" s="3" t="e" cm="1">
        <f t="array" aca="1" ref="R145" ca="1">_xll.BDP(A145,"DS040")</f>
        <v>#NAME?</v>
      </c>
      <c r="S145" s="4" t="e">
        <f t="shared" ca="1" si="6"/>
        <v>#NAME?</v>
      </c>
      <c r="T145" s="7" t="e">
        <f t="shared" ca="1" si="7"/>
        <v>#NAME?</v>
      </c>
      <c r="U145" s="3" t="e">
        <f t="shared" ca="1" si="8"/>
        <v>#NAME?</v>
      </c>
    </row>
    <row r="146" spans="1:21" x14ac:dyDescent="0.35">
      <c r="A146" s="5" t="s">
        <v>205</v>
      </c>
      <c r="B146" s="1" t="e" cm="1">
        <f t="array" aca="1" ref="B146" ca="1">_xll.BDP("EI159052 Corp","DS520")</f>
        <v>#NAME?</v>
      </c>
      <c r="C146" s="1" t="e" cm="1">
        <f t="array" aca="1" ref="C146" ca="1">_xll.BDP("EI159052 Corp","DS001")</f>
        <v>#NAME?</v>
      </c>
      <c r="D146" s="1" t="e" cm="1">
        <f t="array" aca="1" ref="D146" ca="1">_xll.BDP("EI159052 Corp","DS458")</f>
        <v>#NAME?</v>
      </c>
      <c r="E146" s="1" t="e" cm="1">
        <f t="array" aca="1" ref="E146" ca="1">_xll.BDP("EI159052 Corp","DS004")</f>
        <v>#NAME?</v>
      </c>
      <c r="F146" s="1" t="e" cm="1">
        <f t="array" aca="1" ref="F146" ca="1">_xll.BDP("EI159052 Corp","DS035")</f>
        <v>#NAME?</v>
      </c>
      <c r="G146" s="1" t="e" cm="1">
        <f t="array" aca="1" ref="G146" ca="1">_xll.BDP("EI159052 Corp","DS086")</f>
        <v>#NAME?</v>
      </c>
      <c r="H146" s="1" t="e" cm="1">
        <f t="array" aca="1" ref="H146" ca="1">_xll.BDP("EI159052 Corp","DS034")</f>
        <v>#NAME?</v>
      </c>
      <c r="I146" s="1" t="e" cm="1">
        <f t="array" aca="1" ref="I146" ca="1">_xll.BDP("EI159052 Corp","DS033")</f>
        <v>#NAME?</v>
      </c>
      <c r="J146" s="7" t="e" cm="1">
        <f t="array" aca="1" ref="J146" ca="1">_xll.BDP("EI159052 Corp","YL018")</f>
        <v>#NAME?</v>
      </c>
      <c r="K146" s="7" t="e" cm="1">
        <f t="array" aca="1" ref="K146" ca="1">_xll.BDP("EI159052 Corp","YL016")</f>
        <v>#NAME?</v>
      </c>
      <c r="L146" s="7" t="e" cm="1">
        <f t="array" aca="1" ref="L146" ca="1">_xll.BDP("EI159052 Corp","PR004")</f>
        <v>#NAME?</v>
      </c>
      <c r="M146" s="7" t="e" cm="1">
        <f t="array" aca="1" ref="M146" ca="1">_xll.BDP("EI159052 Corp","PR002")</f>
        <v>#NAME?</v>
      </c>
      <c r="N146" s="1" t="e" cm="1">
        <f t="array" aca="1" ref="N146" ca="1">_xll.BDP("EI159052 Corp","ID028")</f>
        <v>#NAME?</v>
      </c>
      <c r="O146" s="1" t="e" cm="1">
        <f t="array" aca="1" ref="O146" ca="1">_xll.BDP("EI159052 Corp","ID005")</f>
        <v>#NAME?</v>
      </c>
      <c r="P146" s="1" t="e" cm="1">
        <f t="array" aca="1" ref="P146" ca="1">_xll.BDP(A146,"RA007")</f>
        <v>#NAME?</v>
      </c>
      <c r="Q146" s="1" t="e" cm="1">
        <f t="array" aca="1" ref="Q146" ca="1">_xll.BDP(A146,"DS219")</f>
        <v>#NAME?</v>
      </c>
      <c r="R146" s="3" t="e" cm="1">
        <f t="array" aca="1" ref="R146" ca="1">_xll.BDP(A146,"DS040")</f>
        <v>#NAME?</v>
      </c>
      <c r="S146" s="4" t="e">
        <f t="shared" ca="1" si="6"/>
        <v>#NAME?</v>
      </c>
      <c r="T146" s="7" t="e">
        <f t="shared" ca="1" si="7"/>
        <v>#NAME?</v>
      </c>
      <c r="U146" s="3" t="e">
        <f t="shared" ca="1" si="8"/>
        <v>#NAME?</v>
      </c>
    </row>
    <row r="147" spans="1:21" x14ac:dyDescent="0.35">
      <c r="A147" s="5" t="s">
        <v>206</v>
      </c>
      <c r="B147" s="1" t="e" cm="1">
        <f t="array" aca="1" ref="B147" ca="1">_xll.BDP("EI181923 Corp","DS520")</f>
        <v>#NAME?</v>
      </c>
      <c r="C147" s="1" t="e" cm="1">
        <f t="array" aca="1" ref="C147" ca="1">_xll.BDP("EI181923 Corp","DS001")</f>
        <v>#NAME?</v>
      </c>
      <c r="D147" s="1" t="e" cm="1">
        <f t="array" aca="1" ref="D147" ca="1">_xll.BDP("EI181923 Corp","DS458")</f>
        <v>#NAME?</v>
      </c>
      <c r="E147" s="1" t="e" cm="1">
        <f t="array" aca="1" ref="E147" ca="1">_xll.BDP("EI181923 Corp","DS004")</f>
        <v>#NAME?</v>
      </c>
      <c r="F147" s="1" t="e" cm="1">
        <f t="array" aca="1" ref="F147" ca="1">_xll.BDP("EI181923 Corp","DS035")</f>
        <v>#NAME?</v>
      </c>
      <c r="G147" s="1" t="e" cm="1">
        <f t="array" aca="1" ref="G147" ca="1">_xll.BDP("EI181923 Corp","DS086")</f>
        <v>#NAME?</v>
      </c>
      <c r="H147" s="1" t="e" cm="1">
        <f t="array" aca="1" ref="H147" ca="1">_xll.BDP("EI181923 Corp","DS034")</f>
        <v>#NAME?</v>
      </c>
      <c r="I147" s="1" t="e" cm="1">
        <f t="array" aca="1" ref="I147" ca="1">_xll.BDP("EI181923 Corp","DS033")</f>
        <v>#NAME?</v>
      </c>
      <c r="J147" s="7" t="e" cm="1">
        <f t="array" aca="1" ref="J147" ca="1">_xll.BDP("EI181923 Corp","YL018")</f>
        <v>#NAME?</v>
      </c>
      <c r="K147" s="7" t="e" cm="1">
        <f t="array" aca="1" ref="K147" ca="1">_xll.BDP("EI181923 Corp","YL016")</f>
        <v>#NAME?</v>
      </c>
      <c r="L147" s="7" t="e" cm="1">
        <f t="array" aca="1" ref="L147" ca="1">_xll.BDP("EI181923 Corp","PR004")</f>
        <v>#NAME?</v>
      </c>
      <c r="M147" s="7" t="e" cm="1">
        <f t="array" aca="1" ref="M147" ca="1">_xll.BDP("EI181923 Corp","PR002")</f>
        <v>#NAME?</v>
      </c>
      <c r="N147" s="1" t="e" cm="1">
        <f t="array" aca="1" ref="N147" ca="1">_xll.BDP("EI181923 Corp","ID028")</f>
        <v>#NAME?</v>
      </c>
      <c r="O147" s="1" t="e" cm="1">
        <f t="array" aca="1" ref="O147" ca="1">_xll.BDP("EI181923 Corp","ID005")</f>
        <v>#NAME?</v>
      </c>
      <c r="P147" s="1" t="e" cm="1">
        <f t="array" aca="1" ref="P147" ca="1">_xll.BDP(A147,"RA007")</f>
        <v>#NAME?</v>
      </c>
      <c r="Q147" s="1" t="e" cm="1">
        <f t="array" aca="1" ref="Q147" ca="1">_xll.BDP(A147,"DS219")</f>
        <v>#NAME?</v>
      </c>
      <c r="R147" s="3" t="e" cm="1">
        <f t="array" aca="1" ref="R147" ca="1">_xll.BDP(A147,"DS040")</f>
        <v>#NAME?</v>
      </c>
      <c r="S147" s="4" t="e">
        <f t="shared" ca="1" si="6"/>
        <v>#NAME?</v>
      </c>
      <c r="T147" s="7" t="e">
        <f t="shared" ca="1" si="7"/>
        <v>#NAME?</v>
      </c>
      <c r="U147" s="3" t="e">
        <f t="shared" ca="1" si="8"/>
        <v>#NAME?</v>
      </c>
    </row>
    <row r="148" spans="1:21" x14ac:dyDescent="0.35">
      <c r="A148" s="5" t="s">
        <v>207</v>
      </c>
      <c r="B148" s="1" t="e" cm="1">
        <f t="array" aca="1" ref="B148" ca="1">_xll.BDP("EI190878 Corp","DS520")</f>
        <v>#NAME?</v>
      </c>
      <c r="C148" s="1" t="e" cm="1">
        <f t="array" aca="1" ref="C148" ca="1">_xll.BDP("EI190878 Corp","DS001")</f>
        <v>#NAME?</v>
      </c>
      <c r="D148" s="1" t="e" cm="1">
        <f t="array" aca="1" ref="D148" ca="1">_xll.BDP("EI190878 Corp","DS458")</f>
        <v>#NAME?</v>
      </c>
      <c r="E148" s="1" t="e" cm="1">
        <f t="array" aca="1" ref="E148" ca="1">_xll.BDP("EI190878 Corp","DS004")</f>
        <v>#NAME?</v>
      </c>
      <c r="F148" s="1" t="e" cm="1">
        <f t="array" aca="1" ref="F148" ca="1">_xll.BDP("EI190878 Corp","DS035")</f>
        <v>#NAME?</v>
      </c>
      <c r="G148" s="1" t="e" cm="1">
        <f t="array" aca="1" ref="G148" ca="1">_xll.BDP("EI190878 Corp","DS086")</f>
        <v>#NAME?</v>
      </c>
      <c r="H148" s="1" t="e" cm="1">
        <f t="array" aca="1" ref="H148" ca="1">_xll.BDP("EI190878 Corp","DS034")</f>
        <v>#NAME?</v>
      </c>
      <c r="I148" s="1" t="e" cm="1">
        <f t="array" aca="1" ref="I148" ca="1">_xll.BDP("EI190878 Corp","DS033")</f>
        <v>#NAME?</v>
      </c>
      <c r="J148" s="7" t="e" cm="1">
        <f t="array" aca="1" ref="J148" ca="1">_xll.BDP("EI190878 Corp","YL018")</f>
        <v>#NAME?</v>
      </c>
      <c r="K148" s="7" t="e" cm="1">
        <f t="array" aca="1" ref="K148" ca="1">_xll.BDP("EI190878 Corp","YL016")</f>
        <v>#NAME?</v>
      </c>
      <c r="L148" s="7" t="e" cm="1">
        <f t="array" aca="1" ref="L148" ca="1">_xll.BDP("EI190878 Corp","PR004")</f>
        <v>#NAME?</v>
      </c>
      <c r="M148" s="7" t="e" cm="1">
        <f t="array" aca="1" ref="M148" ca="1">_xll.BDP("EI190878 Corp","PR002")</f>
        <v>#NAME?</v>
      </c>
      <c r="N148" s="1" t="e" cm="1">
        <f t="array" aca="1" ref="N148" ca="1">_xll.BDP("EI190878 Corp","ID028")</f>
        <v>#NAME?</v>
      </c>
      <c r="O148" s="1" t="e" cm="1">
        <f t="array" aca="1" ref="O148" ca="1">_xll.BDP("EI190878 Corp","ID005")</f>
        <v>#NAME?</v>
      </c>
      <c r="P148" s="1" t="e" cm="1">
        <f t="array" aca="1" ref="P148" ca="1">_xll.BDP(A148,"RA007")</f>
        <v>#NAME?</v>
      </c>
      <c r="Q148" s="1" t="e" cm="1">
        <f t="array" aca="1" ref="Q148" ca="1">_xll.BDP(A148,"DS219")</f>
        <v>#NAME?</v>
      </c>
      <c r="R148" s="3" t="e" cm="1">
        <f t="array" aca="1" ref="R148" ca="1">_xll.BDP(A148,"DS040")</f>
        <v>#NAME?</v>
      </c>
      <c r="S148" s="4" t="e">
        <f t="shared" ca="1" si="6"/>
        <v>#NAME?</v>
      </c>
      <c r="T148" s="7" t="e">
        <f t="shared" ca="1" si="7"/>
        <v>#NAME?</v>
      </c>
      <c r="U148" s="3" t="e">
        <f t="shared" ca="1" si="8"/>
        <v>#NAME?</v>
      </c>
    </row>
    <row r="149" spans="1:21" x14ac:dyDescent="0.35">
      <c r="A149" s="5" t="s">
        <v>208</v>
      </c>
      <c r="B149" s="1" t="e" cm="1">
        <f t="array" aca="1" ref="B149" ca="1">_xll.BDP("EI232143 Corp","DS520")</f>
        <v>#NAME?</v>
      </c>
      <c r="C149" s="1" t="e" cm="1">
        <f t="array" aca="1" ref="C149" ca="1">_xll.BDP("EI232143 Corp","DS001")</f>
        <v>#NAME?</v>
      </c>
      <c r="D149" s="1" t="e" cm="1">
        <f t="array" aca="1" ref="D149" ca="1">_xll.BDP("EI232143 Corp","DS458")</f>
        <v>#NAME?</v>
      </c>
      <c r="E149" s="1" t="e" cm="1">
        <f t="array" aca="1" ref="E149" ca="1">_xll.BDP("EI232143 Corp","DS004")</f>
        <v>#NAME?</v>
      </c>
      <c r="F149" s="1" t="e" cm="1">
        <f t="array" aca="1" ref="F149" ca="1">_xll.BDP("EI232143 Corp","DS035")</f>
        <v>#NAME?</v>
      </c>
      <c r="G149" s="1" t="e" cm="1">
        <f t="array" aca="1" ref="G149" ca="1">_xll.BDP("EI232143 Corp","DS086")</f>
        <v>#NAME?</v>
      </c>
      <c r="H149" s="1" t="e" cm="1">
        <f t="array" aca="1" ref="H149" ca="1">_xll.BDP("EI232143 Corp","DS034")</f>
        <v>#NAME?</v>
      </c>
      <c r="I149" s="1" t="e" cm="1">
        <f t="array" aca="1" ref="I149" ca="1">_xll.BDP("EI232143 Corp","DS033")</f>
        <v>#NAME?</v>
      </c>
      <c r="J149" s="7" t="e" cm="1">
        <f t="array" aca="1" ref="J149" ca="1">_xll.BDP("EI232143 Corp","YL018")</f>
        <v>#NAME?</v>
      </c>
      <c r="K149" s="7" t="e" cm="1">
        <f t="array" aca="1" ref="K149" ca="1">_xll.BDP("EI232143 Corp","YL016")</f>
        <v>#NAME?</v>
      </c>
      <c r="L149" s="7" t="e" cm="1">
        <f t="array" aca="1" ref="L149" ca="1">_xll.BDP("EI232143 Corp","PR004")</f>
        <v>#NAME?</v>
      </c>
      <c r="M149" s="7" t="e" cm="1">
        <f t="array" aca="1" ref="M149" ca="1">_xll.BDP("EI232143 Corp","PR002")</f>
        <v>#NAME?</v>
      </c>
      <c r="N149" s="1" t="e" cm="1">
        <f t="array" aca="1" ref="N149" ca="1">_xll.BDP("EI232143 Corp","ID028")</f>
        <v>#NAME?</v>
      </c>
      <c r="O149" s="1" t="e" cm="1">
        <f t="array" aca="1" ref="O149" ca="1">_xll.BDP("EI232143 Corp","ID005")</f>
        <v>#NAME?</v>
      </c>
      <c r="P149" s="1" t="e" cm="1">
        <f t="array" aca="1" ref="P149" ca="1">_xll.BDP(A149,"RA007")</f>
        <v>#NAME?</v>
      </c>
      <c r="Q149" s="1" t="e" cm="1">
        <f t="array" aca="1" ref="Q149" ca="1">_xll.BDP(A149,"DS219")</f>
        <v>#NAME?</v>
      </c>
      <c r="R149" s="3" t="e" cm="1">
        <f t="array" aca="1" ref="R149" ca="1">_xll.BDP(A149,"DS040")</f>
        <v>#NAME?</v>
      </c>
      <c r="S149" s="4" t="e">
        <f t="shared" ca="1" si="6"/>
        <v>#NAME?</v>
      </c>
      <c r="T149" s="7" t="e">
        <f t="shared" ca="1" si="7"/>
        <v>#NAME?</v>
      </c>
      <c r="U149" s="3" t="e">
        <f t="shared" ca="1" si="8"/>
        <v>#NAME?</v>
      </c>
    </row>
    <row r="150" spans="1:21" x14ac:dyDescent="0.35">
      <c r="A150" s="5" t="s">
        <v>209</v>
      </c>
      <c r="B150" s="1" t="e" cm="1">
        <f t="array" aca="1" ref="B150" ca="1">_xll.BDP("EI252407 Corp","DS520")</f>
        <v>#NAME?</v>
      </c>
      <c r="C150" s="1" t="e" cm="1">
        <f t="array" aca="1" ref="C150" ca="1">_xll.BDP("EI252407 Corp","DS001")</f>
        <v>#NAME?</v>
      </c>
      <c r="D150" s="1" t="e" cm="1">
        <f t="array" aca="1" ref="D150" ca="1">_xll.BDP("EI252407 Corp","DS458")</f>
        <v>#NAME?</v>
      </c>
      <c r="E150" s="1" t="e" cm="1">
        <f t="array" aca="1" ref="E150" ca="1">_xll.BDP("EI252407 Corp","DS004")</f>
        <v>#NAME?</v>
      </c>
      <c r="F150" s="1" t="e" cm="1">
        <f t="array" aca="1" ref="F150" ca="1">_xll.BDP("EI252407 Corp","DS035")</f>
        <v>#NAME?</v>
      </c>
      <c r="G150" s="1" t="e" cm="1">
        <f t="array" aca="1" ref="G150" ca="1">_xll.BDP("EI252407 Corp","DS086")</f>
        <v>#NAME?</v>
      </c>
      <c r="H150" s="1" t="e" cm="1">
        <f t="array" aca="1" ref="H150" ca="1">_xll.BDP("EI252407 Corp","DS034")</f>
        <v>#NAME?</v>
      </c>
      <c r="I150" s="1" t="e" cm="1">
        <f t="array" aca="1" ref="I150" ca="1">_xll.BDP("EI252407 Corp","DS033")</f>
        <v>#NAME?</v>
      </c>
      <c r="J150" s="7" t="e" cm="1">
        <f t="array" aca="1" ref="J150" ca="1">_xll.BDP("EI252407 Corp","YL018")</f>
        <v>#NAME?</v>
      </c>
      <c r="K150" s="7" t="e" cm="1">
        <f t="array" aca="1" ref="K150" ca="1">_xll.BDP("EI252407 Corp","YL016")</f>
        <v>#NAME?</v>
      </c>
      <c r="L150" s="7" t="e" cm="1">
        <f t="array" aca="1" ref="L150" ca="1">_xll.BDP("EI252407 Corp","PR004")</f>
        <v>#NAME?</v>
      </c>
      <c r="M150" s="7" t="e" cm="1">
        <f t="array" aca="1" ref="M150" ca="1">_xll.BDP("EI252407 Corp","PR002")</f>
        <v>#NAME?</v>
      </c>
      <c r="N150" s="1" t="e" cm="1">
        <f t="array" aca="1" ref="N150" ca="1">_xll.BDP("EI252407 Corp","ID028")</f>
        <v>#NAME?</v>
      </c>
      <c r="O150" s="1" t="e" cm="1">
        <f t="array" aca="1" ref="O150" ca="1">_xll.BDP("EI252407 Corp","ID005")</f>
        <v>#NAME?</v>
      </c>
      <c r="P150" s="1" t="e" cm="1">
        <f t="array" aca="1" ref="P150" ca="1">_xll.BDP(A150,"RA007")</f>
        <v>#NAME?</v>
      </c>
      <c r="Q150" s="1" t="e" cm="1">
        <f t="array" aca="1" ref="Q150" ca="1">_xll.BDP(A150,"DS219")</f>
        <v>#NAME?</v>
      </c>
      <c r="R150" s="3" t="e" cm="1">
        <f t="array" aca="1" ref="R150" ca="1">_xll.BDP(A150,"DS040")</f>
        <v>#NAME?</v>
      </c>
      <c r="S150" s="4" t="e">
        <f t="shared" ca="1" si="6"/>
        <v>#NAME?</v>
      </c>
      <c r="T150" s="7" t="e">
        <f t="shared" ca="1" si="7"/>
        <v>#NAME?</v>
      </c>
      <c r="U150" s="3" t="e">
        <f t="shared" ca="1" si="8"/>
        <v>#NAME?</v>
      </c>
    </row>
    <row r="151" spans="1:21" x14ac:dyDescent="0.35">
      <c r="A151" s="5" t="s">
        <v>210</v>
      </c>
      <c r="B151" s="1" t="e" cm="1">
        <f t="array" aca="1" ref="B151" ca="1">_xll.BDP("EI290341 Corp","DS520")</f>
        <v>#NAME?</v>
      </c>
      <c r="C151" s="1" t="e" cm="1">
        <f t="array" aca="1" ref="C151" ca="1">_xll.BDP("EI290341 Corp","DS001")</f>
        <v>#NAME?</v>
      </c>
      <c r="D151" s="1" t="e" cm="1">
        <f t="array" aca="1" ref="D151" ca="1">_xll.BDP("EI290341 Corp","DS458")</f>
        <v>#NAME?</v>
      </c>
      <c r="E151" s="1" t="e" cm="1">
        <f t="array" aca="1" ref="E151" ca="1">_xll.BDP("EI290341 Corp","DS004")</f>
        <v>#NAME?</v>
      </c>
      <c r="F151" s="1" t="e" cm="1">
        <f t="array" aca="1" ref="F151" ca="1">_xll.BDP("EI290341 Corp","DS035")</f>
        <v>#NAME?</v>
      </c>
      <c r="G151" s="1" t="e" cm="1">
        <f t="array" aca="1" ref="G151" ca="1">_xll.BDP("EI290341 Corp","DS086")</f>
        <v>#NAME?</v>
      </c>
      <c r="H151" s="1" t="e" cm="1">
        <f t="array" aca="1" ref="H151" ca="1">_xll.BDP("EI290341 Corp","DS034")</f>
        <v>#NAME?</v>
      </c>
      <c r="I151" s="1" t="e" cm="1">
        <f t="array" aca="1" ref="I151" ca="1">_xll.BDP("EI290341 Corp","DS033")</f>
        <v>#NAME?</v>
      </c>
      <c r="J151" s="7" t="e" cm="1">
        <f t="array" aca="1" ref="J151" ca="1">_xll.BDP("EI290341 Corp","YL018")</f>
        <v>#NAME?</v>
      </c>
      <c r="K151" s="7" t="e" cm="1">
        <f t="array" aca="1" ref="K151" ca="1">_xll.BDP("EI290341 Corp","YL016")</f>
        <v>#NAME?</v>
      </c>
      <c r="L151" s="7" t="e" cm="1">
        <f t="array" aca="1" ref="L151" ca="1">_xll.BDP("EI290341 Corp","PR004")</f>
        <v>#NAME?</v>
      </c>
      <c r="M151" s="7" t="e" cm="1">
        <f t="array" aca="1" ref="M151" ca="1">_xll.BDP("EI290341 Corp","PR002")</f>
        <v>#NAME?</v>
      </c>
      <c r="N151" s="1" t="e" cm="1">
        <f t="array" aca="1" ref="N151" ca="1">_xll.BDP("EI290341 Corp","ID028")</f>
        <v>#NAME?</v>
      </c>
      <c r="O151" s="1" t="e" cm="1">
        <f t="array" aca="1" ref="O151" ca="1">_xll.BDP("EI290341 Corp","ID005")</f>
        <v>#NAME?</v>
      </c>
      <c r="P151" s="1" t="e" cm="1">
        <f t="array" aca="1" ref="P151" ca="1">_xll.BDP(A151,"RA007")</f>
        <v>#NAME?</v>
      </c>
      <c r="Q151" s="1" t="e" cm="1">
        <f t="array" aca="1" ref="Q151" ca="1">_xll.BDP(A151,"DS219")</f>
        <v>#NAME?</v>
      </c>
      <c r="R151" s="3" t="e" cm="1">
        <f t="array" aca="1" ref="R151" ca="1">_xll.BDP(A151,"DS040")</f>
        <v>#NAME?</v>
      </c>
      <c r="S151" s="4" t="e">
        <f t="shared" ca="1" si="6"/>
        <v>#NAME?</v>
      </c>
      <c r="T151" s="7" t="e">
        <f t="shared" ca="1" si="7"/>
        <v>#NAME?</v>
      </c>
      <c r="U151" s="3" t="e">
        <f t="shared" ca="1" si="8"/>
        <v>#NAME?</v>
      </c>
    </row>
    <row r="152" spans="1:21" x14ac:dyDescent="0.35">
      <c r="A152" s="5" t="s">
        <v>211</v>
      </c>
      <c r="B152" s="1" t="e" cm="1">
        <f t="array" aca="1" ref="B152" ca="1">_xll.BDP("EI332542 Corp","DS520")</f>
        <v>#NAME?</v>
      </c>
      <c r="C152" s="1" t="e" cm="1">
        <f t="array" aca="1" ref="C152" ca="1">_xll.BDP("EI332542 Corp","DS001")</f>
        <v>#NAME?</v>
      </c>
      <c r="D152" s="1" t="e" cm="1">
        <f t="array" aca="1" ref="D152" ca="1">_xll.BDP("EI332542 Corp","DS458")</f>
        <v>#NAME?</v>
      </c>
      <c r="E152" s="1" t="e" cm="1">
        <f t="array" aca="1" ref="E152" ca="1">_xll.BDP("EI332542 Corp","DS004")</f>
        <v>#NAME?</v>
      </c>
      <c r="F152" s="1" t="e" cm="1">
        <f t="array" aca="1" ref="F152" ca="1">_xll.BDP("EI332542 Corp","DS035")</f>
        <v>#NAME?</v>
      </c>
      <c r="G152" s="1" t="e" cm="1">
        <f t="array" aca="1" ref="G152" ca="1">_xll.BDP("EI332542 Corp","DS086")</f>
        <v>#NAME?</v>
      </c>
      <c r="H152" s="1" t="e" cm="1">
        <f t="array" aca="1" ref="H152" ca="1">_xll.BDP("EI332542 Corp","DS034")</f>
        <v>#NAME?</v>
      </c>
      <c r="I152" s="1" t="e" cm="1">
        <f t="array" aca="1" ref="I152" ca="1">_xll.BDP("EI332542 Corp","DS033")</f>
        <v>#NAME?</v>
      </c>
      <c r="J152" s="7" t="e" cm="1">
        <f t="array" aca="1" ref="J152" ca="1">_xll.BDP("EI332542 Corp","YL018")</f>
        <v>#NAME?</v>
      </c>
      <c r="K152" s="7" t="e" cm="1">
        <f t="array" aca="1" ref="K152" ca="1">_xll.BDP("EI332542 Corp","YL016")</f>
        <v>#NAME?</v>
      </c>
      <c r="L152" s="7" t="e" cm="1">
        <f t="array" aca="1" ref="L152" ca="1">_xll.BDP("EI332542 Corp","PR004")</f>
        <v>#NAME?</v>
      </c>
      <c r="M152" s="7" t="e" cm="1">
        <f t="array" aca="1" ref="M152" ca="1">_xll.BDP("EI332542 Corp","PR002")</f>
        <v>#NAME?</v>
      </c>
      <c r="N152" s="1" t="e" cm="1">
        <f t="array" aca="1" ref="N152" ca="1">_xll.BDP("EI332542 Corp","ID028")</f>
        <v>#NAME?</v>
      </c>
      <c r="O152" s="1" t="e" cm="1">
        <f t="array" aca="1" ref="O152" ca="1">_xll.BDP("EI332542 Corp","ID005")</f>
        <v>#NAME?</v>
      </c>
      <c r="P152" s="1" t="e" cm="1">
        <f t="array" aca="1" ref="P152" ca="1">_xll.BDP(A152,"RA007")</f>
        <v>#NAME?</v>
      </c>
      <c r="Q152" s="1" t="e" cm="1">
        <f t="array" aca="1" ref="Q152" ca="1">_xll.BDP(A152,"DS219")</f>
        <v>#NAME?</v>
      </c>
      <c r="R152" s="3" t="e" cm="1">
        <f t="array" aca="1" ref="R152" ca="1">_xll.BDP(A152,"DS040")</f>
        <v>#NAME?</v>
      </c>
      <c r="S152" s="4" t="e">
        <f t="shared" ca="1" si="6"/>
        <v>#NAME?</v>
      </c>
      <c r="T152" s="7" t="e">
        <f t="shared" ca="1" si="7"/>
        <v>#NAME?</v>
      </c>
      <c r="U152" s="3" t="e">
        <f t="shared" ca="1" si="8"/>
        <v>#NAME?</v>
      </c>
    </row>
    <row r="153" spans="1:21" x14ac:dyDescent="0.35">
      <c r="A153" s="5" t="s">
        <v>212</v>
      </c>
      <c r="B153" s="1" t="e" cm="1">
        <f t="array" aca="1" ref="B153" ca="1">_xll.BDP("EI385485 Corp","DS520")</f>
        <v>#NAME?</v>
      </c>
      <c r="C153" s="1" t="e" cm="1">
        <f t="array" aca="1" ref="C153" ca="1">_xll.BDP("EI385485 Corp","DS001")</f>
        <v>#NAME?</v>
      </c>
      <c r="D153" s="1" t="e" cm="1">
        <f t="array" aca="1" ref="D153" ca="1">_xll.BDP("EI385485 Corp","DS458")</f>
        <v>#NAME?</v>
      </c>
      <c r="E153" s="1" t="e" cm="1">
        <f t="array" aca="1" ref="E153" ca="1">_xll.BDP("EI385485 Corp","DS004")</f>
        <v>#NAME?</v>
      </c>
      <c r="F153" s="1" t="e" cm="1">
        <f t="array" aca="1" ref="F153" ca="1">_xll.BDP("EI385485 Corp","DS035")</f>
        <v>#NAME?</v>
      </c>
      <c r="G153" s="1" t="e" cm="1">
        <f t="array" aca="1" ref="G153" ca="1">_xll.BDP("EI385485 Corp","DS086")</f>
        <v>#NAME?</v>
      </c>
      <c r="H153" s="1" t="e" cm="1">
        <f t="array" aca="1" ref="H153" ca="1">_xll.BDP("EI385485 Corp","DS034")</f>
        <v>#NAME?</v>
      </c>
      <c r="I153" s="1" t="e" cm="1">
        <f t="array" aca="1" ref="I153" ca="1">_xll.BDP("EI385485 Corp","DS033")</f>
        <v>#NAME?</v>
      </c>
      <c r="J153" s="7" t="e" cm="1">
        <f t="array" aca="1" ref="J153" ca="1">_xll.BDP("EI385485 Corp","YL018")</f>
        <v>#NAME?</v>
      </c>
      <c r="K153" s="7" t="e" cm="1">
        <f t="array" aca="1" ref="K153" ca="1">_xll.BDP("EI385485 Corp","YL016")</f>
        <v>#NAME?</v>
      </c>
      <c r="L153" s="7" t="e" cm="1">
        <f t="array" aca="1" ref="L153" ca="1">_xll.BDP("EI385485 Corp","PR004")</f>
        <v>#NAME?</v>
      </c>
      <c r="M153" s="7" t="e" cm="1">
        <f t="array" aca="1" ref="M153" ca="1">_xll.BDP("EI385485 Corp","PR002")</f>
        <v>#NAME?</v>
      </c>
      <c r="N153" s="1" t="e" cm="1">
        <f t="array" aca="1" ref="N153" ca="1">_xll.BDP("EI385485 Corp","ID028")</f>
        <v>#NAME?</v>
      </c>
      <c r="O153" s="1" t="e" cm="1">
        <f t="array" aca="1" ref="O153" ca="1">_xll.BDP("EI385485 Corp","ID005")</f>
        <v>#NAME?</v>
      </c>
      <c r="P153" s="1" t="e" cm="1">
        <f t="array" aca="1" ref="P153" ca="1">_xll.BDP(A153,"RA007")</f>
        <v>#NAME?</v>
      </c>
      <c r="Q153" s="1" t="e" cm="1">
        <f t="array" aca="1" ref="Q153" ca="1">_xll.BDP(A153,"DS219")</f>
        <v>#NAME?</v>
      </c>
      <c r="R153" s="3" t="e" cm="1">
        <f t="array" aca="1" ref="R153" ca="1">_xll.BDP(A153,"DS040")</f>
        <v>#NAME?</v>
      </c>
      <c r="S153" s="4" t="e">
        <f t="shared" ca="1" si="6"/>
        <v>#NAME?</v>
      </c>
      <c r="T153" s="7" t="e">
        <f t="shared" ca="1" si="7"/>
        <v>#NAME?</v>
      </c>
      <c r="U153" s="3" t="e">
        <f t="shared" ca="1" si="8"/>
        <v>#NAME?</v>
      </c>
    </row>
    <row r="154" spans="1:21" x14ac:dyDescent="0.35">
      <c r="A154" s="5" t="s">
        <v>213</v>
      </c>
      <c r="B154" s="1" t="e" cm="1">
        <f t="array" aca="1" ref="B154" ca="1">_xll.BDP("EI399537 Corp","DS520")</f>
        <v>#NAME?</v>
      </c>
      <c r="C154" s="1" t="e" cm="1">
        <f t="array" aca="1" ref="C154" ca="1">_xll.BDP("EI399537 Corp","DS001")</f>
        <v>#NAME?</v>
      </c>
      <c r="D154" s="1" t="e" cm="1">
        <f t="array" aca="1" ref="D154" ca="1">_xll.BDP("EI399537 Corp","DS458")</f>
        <v>#NAME?</v>
      </c>
      <c r="E154" s="1" t="e" cm="1">
        <f t="array" aca="1" ref="E154" ca="1">_xll.BDP("EI399537 Corp","DS004")</f>
        <v>#NAME?</v>
      </c>
      <c r="F154" s="1" t="e" cm="1">
        <f t="array" aca="1" ref="F154" ca="1">_xll.BDP("EI399537 Corp","DS035")</f>
        <v>#NAME?</v>
      </c>
      <c r="G154" s="1" t="e" cm="1">
        <f t="array" aca="1" ref="G154" ca="1">_xll.BDP("EI399537 Corp","DS086")</f>
        <v>#NAME?</v>
      </c>
      <c r="H154" s="1" t="e" cm="1">
        <f t="array" aca="1" ref="H154" ca="1">_xll.BDP("EI399537 Corp","DS034")</f>
        <v>#NAME?</v>
      </c>
      <c r="I154" s="1" t="e" cm="1">
        <f t="array" aca="1" ref="I154" ca="1">_xll.BDP("EI399537 Corp","DS033")</f>
        <v>#NAME?</v>
      </c>
      <c r="J154" s="7" t="e" cm="1">
        <f t="array" aca="1" ref="J154" ca="1">_xll.BDP("EI399537 Corp","YL018")</f>
        <v>#NAME?</v>
      </c>
      <c r="K154" s="7" t="e" cm="1">
        <f t="array" aca="1" ref="K154" ca="1">_xll.BDP("EI399537 Corp","YL016")</f>
        <v>#NAME?</v>
      </c>
      <c r="L154" s="7" t="e" cm="1">
        <f t="array" aca="1" ref="L154" ca="1">_xll.BDP("EI399537 Corp","PR004")</f>
        <v>#NAME?</v>
      </c>
      <c r="M154" s="7" t="e" cm="1">
        <f t="array" aca="1" ref="M154" ca="1">_xll.BDP("EI399537 Corp","PR002")</f>
        <v>#NAME?</v>
      </c>
      <c r="N154" s="1" t="e" cm="1">
        <f t="array" aca="1" ref="N154" ca="1">_xll.BDP("EI399537 Corp","ID028")</f>
        <v>#NAME?</v>
      </c>
      <c r="O154" s="1" t="e" cm="1">
        <f t="array" aca="1" ref="O154" ca="1">_xll.BDP("EI399537 Corp","ID005")</f>
        <v>#NAME?</v>
      </c>
      <c r="P154" s="1" t="e" cm="1">
        <f t="array" aca="1" ref="P154" ca="1">_xll.BDP(A154,"RA007")</f>
        <v>#NAME?</v>
      </c>
      <c r="Q154" s="1" t="e" cm="1">
        <f t="array" aca="1" ref="Q154" ca="1">_xll.BDP(A154,"DS219")</f>
        <v>#NAME?</v>
      </c>
      <c r="R154" s="3" t="e" cm="1">
        <f t="array" aca="1" ref="R154" ca="1">_xll.BDP(A154,"DS040")</f>
        <v>#NAME?</v>
      </c>
      <c r="S154" s="4" t="e">
        <f t="shared" ca="1" si="6"/>
        <v>#NAME?</v>
      </c>
      <c r="T154" s="7" t="e">
        <f t="shared" ca="1" si="7"/>
        <v>#NAME?</v>
      </c>
      <c r="U154" s="3" t="e">
        <f t="shared" ca="1" si="8"/>
        <v>#NAME?</v>
      </c>
    </row>
    <row r="155" spans="1:21" x14ac:dyDescent="0.35">
      <c r="A155" s="5" t="s">
        <v>214</v>
      </c>
      <c r="B155" s="1" t="e" cm="1">
        <f t="array" aca="1" ref="B155" ca="1">_xll.BDP("EI404063 Corp","DS520")</f>
        <v>#NAME?</v>
      </c>
      <c r="C155" s="1" t="e" cm="1">
        <f t="array" aca="1" ref="C155" ca="1">_xll.BDP("EI404063 Corp","DS001")</f>
        <v>#NAME?</v>
      </c>
      <c r="D155" s="1" t="e" cm="1">
        <f t="array" aca="1" ref="D155" ca="1">_xll.BDP("EI404063 Corp","DS458")</f>
        <v>#NAME?</v>
      </c>
      <c r="E155" s="1" t="e" cm="1">
        <f t="array" aca="1" ref="E155" ca="1">_xll.BDP("EI404063 Corp","DS004")</f>
        <v>#NAME?</v>
      </c>
      <c r="F155" s="1" t="e" cm="1">
        <f t="array" aca="1" ref="F155" ca="1">_xll.BDP("EI404063 Corp","DS035")</f>
        <v>#NAME?</v>
      </c>
      <c r="G155" s="1" t="e" cm="1">
        <f t="array" aca="1" ref="G155" ca="1">_xll.BDP("EI404063 Corp","DS086")</f>
        <v>#NAME?</v>
      </c>
      <c r="H155" s="1" t="e" cm="1">
        <f t="array" aca="1" ref="H155" ca="1">_xll.BDP("EI404063 Corp","DS034")</f>
        <v>#NAME?</v>
      </c>
      <c r="I155" s="1" t="e" cm="1">
        <f t="array" aca="1" ref="I155" ca="1">_xll.BDP("EI404063 Corp","DS033")</f>
        <v>#NAME?</v>
      </c>
      <c r="J155" s="7" t="e" cm="1">
        <f t="array" aca="1" ref="J155" ca="1">_xll.BDP("EI404063 Corp","YL018")</f>
        <v>#NAME?</v>
      </c>
      <c r="K155" s="7" t="e" cm="1">
        <f t="array" aca="1" ref="K155" ca="1">_xll.BDP("EI404063 Corp","YL016")</f>
        <v>#NAME?</v>
      </c>
      <c r="L155" s="7" t="e" cm="1">
        <f t="array" aca="1" ref="L155" ca="1">_xll.BDP("EI404063 Corp","PR004")</f>
        <v>#NAME?</v>
      </c>
      <c r="M155" s="7" t="e" cm="1">
        <f t="array" aca="1" ref="M155" ca="1">_xll.BDP("EI404063 Corp","PR002")</f>
        <v>#NAME?</v>
      </c>
      <c r="N155" s="1" t="e" cm="1">
        <f t="array" aca="1" ref="N155" ca="1">_xll.BDP("EI404063 Corp","ID028")</f>
        <v>#NAME?</v>
      </c>
      <c r="O155" s="1" t="e" cm="1">
        <f t="array" aca="1" ref="O155" ca="1">_xll.BDP("EI404063 Corp","ID005")</f>
        <v>#NAME?</v>
      </c>
      <c r="P155" s="1" t="e" cm="1">
        <f t="array" aca="1" ref="P155" ca="1">_xll.BDP(A155,"RA007")</f>
        <v>#NAME?</v>
      </c>
      <c r="Q155" s="1" t="e" cm="1">
        <f t="array" aca="1" ref="Q155" ca="1">_xll.BDP(A155,"DS219")</f>
        <v>#NAME?</v>
      </c>
      <c r="R155" s="3" t="e" cm="1">
        <f t="array" aca="1" ref="R155" ca="1">_xll.BDP(A155,"DS040")</f>
        <v>#NAME?</v>
      </c>
      <c r="S155" s="4" t="e">
        <f t="shared" ca="1" si="6"/>
        <v>#NAME?</v>
      </c>
      <c r="T155" s="7" t="e">
        <f t="shared" ca="1" si="7"/>
        <v>#NAME?</v>
      </c>
      <c r="U155" s="3" t="e">
        <f t="shared" ca="1" si="8"/>
        <v>#NAME?</v>
      </c>
    </row>
    <row r="156" spans="1:21" x14ac:dyDescent="0.35">
      <c r="A156" s="5" t="s">
        <v>215</v>
      </c>
      <c r="B156" s="1" t="e" cm="1">
        <f t="array" aca="1" ref="B156" ca="1">_xll.BDP("EI444310 Corp","DS520")</f>
        <v>#NAME?</v>
      </c>
      <c r="C156" s="1" t="e" cm="1">
        <f t="array" aca="1" ref="C156" ca="1">_xll.BDP("EI444310 Corp","DS001")</f>
        <v>#NAME?</v>
      </c>
      <c r="D156" s="1" t="e" cm="1">
        <f t="array" aca="1" ref="D156" ca="1">_xll.BDP("EI444310 Corp","DS458")</f>
        <v>#NAME?</v>
      </c>
      <c r="E156" s="1" t="e" cm="1">
        <f t="array" aca="1" ref="E156" ca="1">_xll.BDP("EI444310 Corp","DS004")</f>
        <v>#NAME?</v>
      </c>
      <c r="F156" s="1" t="e" cm="1">
        <f t="array" aca="1" ref="F156" ca="1">_xll.BDP("EI444310 Corp","DS035")</f>
        <v>#NAME?</v>
      </c>
      <c r="G156" s="1" t="e" cm="1">
        <f t="array" aca="1" ref="G156" ca="1">_xll.BDP("EI444310 Corp","DS086")</f>
        <v>#NAME?</v>
      </c>
      <c r="H156" s="1" t="e" cm="1">
        <f t="array" aca="1" ref="H156" ca="1">_xll.BDP("EI444310 Corp","DS034")</f>
        <v>#NAME?</v>
      </c>
      <c r="I156" s="1" t="e" cm="1">
        <f t="array" aca="1" ref="I156" ca="1">_xll.BDP("EI444310 Corp","DS033")</f>
        <v>#NAME?</v>
      </c>
      <c r="J156" s="7" t="e" cm="1">
        <f t="array" aca="1" ref="J156" ca="1">_xll.BDP("EI444310 Corp","YL018")</f>
        <v>#NAME?</v>
      </c>
      <c r="K156" s="7" t="e" cm="1">
        <f t="array" aca="1" ref="K156" ca="1">_xll.BDP("EI444310 Corp","YL016")</f>
        <v>#NAME?</v>
      </c>
      <c r="L156" s="7" t="e" cm="1">
        <f t="array" aca="1" ref="L156" ca="1">_xll.BDP("EI444310 Corp","PR004")</f>
        <v>#NAME?</v>
      </c>
      <c r="M156" s="7" t="e" cm="1">
        <f t="array" aca="1" ref="M156" ca="1">_xll.BDP("EI444310 Corp","PR002")</f>
        <v>#NAME?</v>
      </c>
      <c r="N156" s="1" t="e" cm="1">
        <f t="array" aca="1" ref="N156" ca="1">_xll.BDP("EI444310 Corp","ID028")</f>
        <v>#NAME?</v>
      </c>
      <c r="O156" s="1" t="e" cm="1">
        <f t="array" aca="1" ref="O156" ca="1">_xll.BDP("EI444310 Corp","ID005")</f>
        <v>#NAME?</v>
      </c>
      <c r="P156" s="1" t="e" cm="1">
        <f t="array" aca="1" ref="P156" ca="1">_xll.BDP(A156,"RA007")</f>
        <v>#NAME?</v>
      </c>
      <c r="Q156" s="1" t="e" cm="1">
        <f t="array" aca="1" ref="Q156" ca="1">_xll.BDP(A156,"DS219")</f>
        <v>#NAME?</v>
      </c>
      <c r="R156" s="3" t="e" cm="1">
        <f t="array" aca="1" ref="R156" ca="1">_xll.BDP(A156,"DS040")</f>
        <v>#NAME?</v>
      </c>
      <c r="S156" s="4" t="e">
        <f t="shared" ca="1" si="6"/>
        <v>#NAME?</v>
      </c>
      <c r="T156" s="7" t="e">
        <f t="shared" ca="1" si="7"/>
        <v>#NAME?</v>
      </c>
      <c r="U156" s="3" t="e">
        <f t="shared" ca="1" si="8"/>
        <v>#NAME?</v>
      </c>
    </row>
    <row r="157" spans="1:21" x14ac:dyDescent="0.35">
      <c r="A157" s="5" t="s">
        <v>216</v>
      </c>
      <c r="B157" s="1" t="e" cm="1">
        <f t="array" aca="1" ref="B157" ca="1">_xll.BDP("EI513049 Corp","DS520")</f>
        <v>#NAME?</v>
      </c>
      <c r="C157" s="1" t="e" cm="1">
        <f t="array" aca="1" ref="C157" ca="1">_xll.BDP("EI513049 Corp","DS001")</f>
        <v>#NAME?</v>
      </c>
      <c r="D157" s="1" t="e" cm="1">
        <f t="array" aca="1" ref="D157" ca="1">_xll.BDP("EI513049 Corp","DS458")</f>
        <v>#NAME?</v>
      </c>
      <c r="E157" s="1" t="e" cm="1">
        <f t="array" aca="1" ref="E157" ca="1">_xll.BDP("EI513049 Corp","DS004")</f>
        <v>#NAME?</v>
      </c>
      <c r="F157" s="1" t="e" cm="1">
        <f t="array" aca="1" ref="F157" ca="1">_xll.BDP("EI513049 Corp","DS035")</f>
        <v>#NAME?</v>
      </c>
      <c r="G157" s="1" t="e" cm="1">
        <f t="array" aca="1" ref="G157" ca="1">_xll.BDP("EI513049 Corp","DS086")</f>
        <v>#NAME?</v>
      </c>
      <c r="H157" s="1" t="e" cm="1">
        <f t="array" aca="1" ref="H157" ca="1">_xll.BDP("EI513049 Corp","DS034")</f>
        <v>#NAME?</v>
      </c>
      <c r="I157" s="1" t="e" cm="1">
        <f t="array" aca="1" ref="I157" ca="1">_xll.BDP("EI513049 Corp","DS033")</f>
        <v>#NAME?</v>
      </c>
      <c r="J157" s="7" t="e" cm="1">
        <f t="array" aca="1" ref="J157" ca="1">_xll.BDP("EI513049 Corp","YL018")</f>
        <v>#NAME?</v>
      </c>
      <c r="K157" s="7" t="e" cm="1">
        <f t="array" aca="1" ref="K157" ca="1">_xll.BDP("EI513049 Corp","YL016")</f>
        <v>#NAME?</v>
      </c>
      <c r="L157" s="7" t="e" cm="1">
        <f t="array" aca="1" ref="L157" ca="1">_xll.BDP("EI513049 Corp","PR004")</f>
        <v>#NAME?</v>
      </c>
      <c r="M157" s="7" t="e" cm="1">
        <f t="array" aca="1" ref="M157" ca="1">_xll.BDP("EI513049 Corp","PR002")</f>
        <v>#NAME?</v>
      </c>
      <c r="N157" s="1" t="e" cm="1">
        <f t="array" aca="1" ref="N157" ca="1">_xll.BDP("EI513049 Corp","ID028")</f>
        <v>#NAME?</v>
      </c>
      <c r="O157" s="1" t="e" cm="1">
        <f t="array" aca="1" ref="O157" ca="1">_xll.BDP("EI513049 Corp","ID005")</f>
        <v>#NAME?</v>
      </c>
      <c r="P157" s="1" t="e" cm="1">
        <f t="array" aca="1" ref="P157" ca="1">_xll.BDP(A157,"RA007")</f>
        <v>#NAME?</v>
      </c>
      <c r="Q157" s="1" t="e" cm="1">
        <f t="array" aca="1" ref="Q157" ca="1">_xll.BDP(A157,"DS219")</f>
        <v>#NAME?</v>
      </c>
      <c r="R157" s="3" t="e" cm="1">
        <f t="array" aca="1" ref="R157" ca="1">_xll.BDP(A157,"DS040")</f>
        <v>#NAME?</v>
      </c>
      <c r="S157" s="4" t="e">
        <f t="shared" ca="1" si="6"/>
        <v>#NAME?</v>
      </c>
      <c r="T157" s="7" t="e">
        <f t="shared" ca="1" si="7"/>
        <v>#NAME?</v>
      </c>
      <c r="U157" s="3" t="e">
        <f t="shared" ca="1" si="8"/>
        <v>#NAME?</v>
      </c>
    </row>
    <row r="158" spans="1:21" x14ac:dyDescent="0.35">
      <c r="A158" s="5" t="s">
        <v>217</v>
      </c>
      <c r="B158" s="1" t="e" cm="1">
        <f t="array" aca="1" ref="B158" ca="1">_xll.BDP("EI587608 Corp","DS520")</f>
        <v>#NAME?</v>
      </c>
      <c r="C158" s="1" t="e" cm="1">
        <f t="array" aca="1" ref="C158" ca="1">_xll.BDP("EI587608 Corp","DS001")</f>
        <v>#NAME?</v>
      </c>
      <c r="D158" s="1" t="e" cm="1">
        <f t="array" aca="1" ref="D158" ca="1">_xll.BDP("EI587608 Corp","DS458")</f>
        <v>#NAME?</v>
      </c>
      <c r="E158" s="1" t="e" cm="1">
        <f t="array" aca="1" ref="E158" ca="1">_xll.BDP("EI587608 Corp","DS004")</f>
        <v>#NAME?</v>
      </c>
      <c r="F158" s="1" t="e" cm="1">
        <f t="array" aca="1" ref="F158" ca="1">_xll.BDP("EI587608 Corp","DS035")</f>
        <v>#NAME?</v>
      </c>
      <c r="G158" s="1" t="e" cm="1">
        <f t="array" aca="1" ref="G158" ca="1">_xll.BDP("EI587608 Corp","DS086")</f>
        <v>#NAME?</v>
      </c>
      <c r="H158" s="1" t="e" cm="1">
        <f t="array" aca="1" ref="H158" ca="1">_xll.BDP("EI587608 Corp","DS034")</f>
        <v>#NAME?</v>
      </c>
      <c r="I158" s="1" t="e" cm="1">
        <f t="array" aca="1" ref="I158" ca="1">_xll.BDP("EI587608 Corp","DS033")</f>
        <v>#NAME?</v>
      </c>
      <c r="J158" s="7" t="e" cm="1">
        <f t="array" aca="1" ref="J158" ca="1">_xll.BDP("EI587608 Corp","YL018")</f>
        <v>#NAME?</v>
      </c>
      <c r="K158" s="7" t="e" cm="1">
        <f t="array" aca="1" ref="K158" ca="1">_xll.BDP("EI587608 Corp","YL016")</f>
        <v>#NAME?</v>
      </c>
      <c r="L158" s="7" t="e" cm="1">
        <f t="array" aca="1" ref="L158" ca="1">_xll.BDP("EI587608 Corp","PR004")</f>
        <v>#NAME?</v>
      </c>
      <c r="M158" s="7" t="e" cm="1">
        <f t="array" aca="1" ref="M158" ca="1">_xll.BDP("EI587608 Corp","PR002")</f>
        <v>#NAME?</v>
      </c>
      <c r="N158" s="1" t="e" cm="1">
        <f t="array" aca="1" ref="N158" ca="1">_xll.BDP("EI587608 Corp","ID028")</f>
        <v>#NAME?</v>
      </c>
      <c r="O158" s="1" t="e" cm="1">
        <f t="array" aca="1" ref="O158" ca="1">_xll.BDP("EI587608 Corp","ID005")</f>
        <v>#NAME?</v>
      </c>
      <c r="P158" s="1" t="e" cm="1">
        <f t="array" aca="1" ref="P158" ca="1">_xll.BDP(A158,"RA007")</f>
        <v>#NAME?</v>
      </c>
      <c r="Q158" s="1" t="e" cm="1">
        <f t="array" aca="1" ref="Q158" ca="1">_xll.BDP(A158,"DS219")</f>
        <v>#NAME?</v>
      </c>
      <c r="R158" s="3" t="e" cm="1">
        <f t="array" aca="1" ref="R158" ca="1">_xll.BDP(A158,"DS040")</f>
        <v>#NAME?</v>
      </c>
      <c r="S158" s="4" t="e">
        <f t="shared" ca="1" si="6"/>
        <v>#NAME?</v>
      </c>
      <c r="T158" s="7" t="e">
        <f t="shared" ca="1" si="7"/>
        <v>#NAME?</v>
      </c>
      <c r="U158" s="3" t="e">
        <f t="shared" ca="1" si="8"/>
        <v>#NAME?</v>
      </c>
    </row>
    <row r="159" spans="1:21" x14ac:dyDescent="0.35">
      <c r="A159" s="5" t="s">
        <v>218</v>
      </c>
      <c r="B159" s="1" t="e" cm="1">
        <f t="array" aca="1" ref="B159" ca="1">_xll.BDP("EI603757 Corp","DS520")</f>
        <v>#NAME?</v>
      </c>
      <c r="C159" s="1" t="e" cm="1">
        <f t="array" aca="1" ref="C159" ca="1">_xll.BDP("EI603757 Corp","DS001")</f>
        <v>#NAME?</v>
      </c>
      <c r="D159" s="1" t="e" cm="1">
        <f t="array" aca="1" ref="D159" ca="1">_xll.BDP("EI603757 Corp","DS458")</f>
        <v>#NAME?</v>
      </c>
      <c r="E159" s="1" t="e" cm="1">
        <f t="array" aca="1" ref="E159" ca="1">_xll.BDP("EI603757 Corp","DS004")</f>
        <v>#NAME?</v>
      </c>
      <c r="F159" s="1" t="e" cm="1">
        <f t="array" aca="1" ref="F159" ca="1">_xll.BDP("EI603757 Corp","DS035")</f>
        <v>#NAME?</v>
      </c>
      <c r="G159" s="1" t="e" cm="1">
        <f t="array" aca="1" ref="G159" ca="1">_xll.BDP("EI603757 Corp","DS086")</f>
        <v>#NAME?</v>
      </c>
      <c r="H159" s="1" t="e" cm="1">
        <f t="array" aca="1" ref="H159" ca="1">_xll.BDP("EI603757 Corp","DS034")</f>
        <v>#NAME?</v>
      </c>
      <c r="I159" s="1" t="e" cm="1">
        <f t="array" aca="1" ref="I159" ca="1">_xll.BDP("EI603757 Corp","DS033")</f>
        <v>#NAME?</v>
      </c>
      <c r="J159" s="7" t="e" cm="1">
        <f t="array" aca="1" ref="J159" ca="1">_xll.BDP("EI603757 Corp","YL018")</f>
        <v>#NAME?</v>
      </c>
      <c r="K159" s="7" t="e" cm="1">
        <f t="array" aca="1" ref="K159" ca="1">_xll.BDP("EI603757 Corp","YL016")</f>
        <v>#NAME?</v>
      </c>
      <c r="L159" s="7" t="e" cm="1">
        <f t="array" aca="1" ref="L159" ca="1">_xll.BDP("EI603757 Corp","PR004")</f>
        <v>#NAME?</v>
      </c>
      <c r="M159" s="7" t="e" cm="1">
        <f t="array" aca="1" ref="M159" ca="1">_xll.BDP("EI603757 Corp","PR002")</f>
        <v>#NAME?</v>
      </c>
      <c r="N159" s="1" t="e" cm="1">
        <f t="array" aca="1" ref="N159" ca="1">_xll.BDP("EI603757 Corp","ID028")</f>
        <v>#NAME?</v>
      </c>
      <c r="O159" s="1" t="e" cm="1">
        <f t="array" aca="1" ref="O159" ca="1">_xll.BDP("EI603757 Corp","ID005")</f>
        <v>#NAME?</v>
      </c>
      <c r="P159" s="1" t="e" cm="1">
        <f t="array" aca="1" ref="P159" ca="1">_xll.BDP(A159,"RA007")</f>
        <v>#NAME?</v>
      </c>
      <c r="Q159" s="1" t="e" cm="1">
        <f t="array" aca="1" ref="Q159" ca="1">_xll.BDP(A159,"DS219")</f>
        <v>#NAME?</v>
      </c>
      <c r="R159" s="3" t="e" cm="1">
        <f t="array" aca="1" ref="R159" ca="1">_xll.BDP(A159,"DS040")</f>
        <v>#NAME?</v>
      </c>
      <c r="S159" s="4" t="e">
        <f t="shared" ca="1" si="6"/>
        <v>#NAME?</v>
      </c>
      <c r="T159" s="7" t="e">
        <f t="shared" ca="1" si="7"/>
        <v>#NAME?</v>
      </c>
      <c r="U159" s="3" t="e">
        <f t="shared" ca="1" si="8"/>
        <v>#NAME?</v>
      </c>
    </row>
    <row r="160" spans="1:21" x14ac:dyDescent="0.35">
      <c r="A160" s="5" t="s">
        <v>219</v>
      </c>
      <c r="B160" s="1" t="e" cm="1">
        <f t="array" aca="1" ref="B160" ca="1">_xll.BDP("EI613256 Corp","DS520")</f>
        <v>#NAME?</v>
      </c>
      <c r="C160" s="1" t="e" cm="1">
        <f t="array" aca="1" ref="C160" ca="1">_xll.BDP("EI613256 Corp","DS001")</f>
        <v>#NAME?</v>
      </c>
      <c r="D160" s="1" t="e" cm="1">
        <f t="array" aca="1" ref="D160" ca="1">_xll.BDP("EI613256 Corp","DS458")</f>
        <v>#NAME?</v>
      </c>
      <c r="E160" s="1" t="e" cm="1">
        <f t="array" aca="1" ref="E160" ca="1">_xll.BDP("EI613256 Corp","DS004")</f>
        <v>#NAME?</v>
      </c>
      <c r="F160" s="1" t="e" cm="1">
        <f t="array" aca="1" ref="F160" ca="1">_xll.BDP("EI613256 Corp","DS035")</f>
        <v>#NAME?</v>
      </c>
      <c r="G160" s="1" t="e" cm="1">
        <f t="array" aca="1" ref="G160" ca="1">_xll.BDP("EI613256 Corp","DS086")</f>
        <v>#NAME?</v>
      </c>
      <c r="H160" s="1" t="e" cm="1">
        <f t="array" aca="1" ref="H160" ca="1">_xll.BDP("EI613256 Corp","DS034")</f>
        <v>#NAME?</v>
      </c>
      <c r="I160" s="1" t="e" cm="1">
        <f t="array" aca="1" ref="I160" ca="1">_xll.BDP("EI613256 Corp","DS033")</f>
        <v>#NAME?</v>
      </c>
      <c r="J160" s="7" t="e" cm="1">
        <f t="array" aca="1" ref="J160" ca="1">_xll.BDP("EI613256 Corp","YL018")</f>
        <v>#NAME?</v>
      </c>
      <c r="K160" s="7" t="e" cm="1">
        <f t="array" aca="1" ref="K160" ca="1">_xll.BDP("EI613256 Corp","YL016")</f>
        <v>#NAME?</v>
      </c>
      <c r="L160" s="7" t="e" cm="1">
        <f t="array" aca="1" ref="L160" ca="1">_xll.BDP("EI613256 Corp","PR004")</f>
        <v>#NAME?</v>
      </c>
      <c r="M160" s="7" t="e" cm="1">
        <f t="array" aca="1" ref="M160" ca="1">_xll.BDP("EI613256 Corp","PR002")</f>
        <v>#NAME?</v>
      </c>
      <c r="N160" s="1" t="e" cm="1">
        <f t="array" aca="1" ref="N160" ca="1">_xll.BDP("EI613256 Corp","ID028")</f>
        <v>#NAME?</v>
      </c>
      <c r="O160" s="1" t="e" cm="1">
        <f t="array" aca="1" ref="O160" ca="1">_xll.BDP("EI613256 Corp","ID005")</f>
        <v>#NAME?</v>
      </c>
      <c r="P160" s="1" t="e" cm="1">
        <f t="array" aca="1" ref="P160" ca="1">_xll.BDP(A160,"RA007")</f>
        <v>#NAME?</v>
      </c>
      <c r="Q160" s="1" t="e" cm="1">
        <f t="array" aca="1" ref="Q160" ca="1">_xll.BDP(A160,"DS219")</f>
        <v>#NAME?</v>
      </c>
      <c r="R160" s="3" t="e" cm="1">
        <f t="array" aca="1" ref="R160" ca="1">_xll.BDP(A160,"DS040")</f>
        <v>#NAME?</v>
      </c>
      <c r="S160" s="4" t="e">
        <f t="shared" ca="1" si="6"/>
        <v>#NAME?</v>
      </c>
      <c r="T160" s="7" t="e">
        <f t="shared" ca="1" si="7"/>
        <v>#NAME?</v>
      </c>
      <c r="U160" s="3" t="e">
        <f t="shared" ca="1" si="8"/>
        <v>#NAME?</v>
      </c>
    </row>
    <row r="161" spans="1:21" x14ac:dyDescent="0.35">
      <c r="A161" s="5" t="s">
        <v>220</v>
      </c>
      <c r="B161" s="1" t="e" cm="1">
        <f t="array" aca="1" ref="B161" ca="1">_xll.BDP("EI653529 Corp","DS520")</f>
        <v>#NAME?</v>
      </c>
      <c r="C161" s="1" t="e" cm="1">
        <f t="array" aca="1" ref="C161" ca="1">_xll.BDP("EI653529 Corp","DS001")</f>
        <v>#NAME?</v>
      </c>
      <c r="D161" s="1" t="e" cm="1">
        <f t="array" aca="1" ref="D161" ca="1">_xll.BDP("EI653529 Corp","DS458")</f>
        <v>#NAME?</v>
      </c>
      <c r="E161" s="1" t="e" cm="1">
        <f t="array" aca="1" ref="E161" ca="1">_xll.BDP("EI653529 Corp","DS004")</f>
        <v>#NAME?</v>
      </c>
      <c r="F161" s="1" t="e" cm="1">
        <f t="array" aca="1" ref="F161" ca="1">_xll.BDP("EI653529 Corp","DS035")</f>
        <v>#NAME?</v>
      </c>
      <c r="G161" s="1" t="e" cm="1">
        <f t="array" aca="1" ref="G161" ca="1">_xll.BDP("EI653529 Corp","DS086")</f>
        <v>#NAME?</v>
      </c>
      <c r="H161" s="1" t="e" cm="1">
        <f t="array" aca="1" ref="H161" ca="1">_xll.BDP("EI653529 Corp","DS034")</f>
        <v>#NAME?</v>
      </c>
      <c r="I161" s="1" t="e" cm="1">
        <f t="array" aca="1" ref="I161" ca="1">_xll.BDP("EI653529 Corp","DS033")</f>
        <v>#NAME?</v>
      </c>
      <c r="J161" s="7" t="e" cm="1">
        <f t="array" aca="1" ref="J161" ca="1">_xll.BDP("EI653529 Corp","YL018")</f>
        <v>#NAME?</v>
      </c>
      <c r="K161" s="7" t="e" cm="1">
        <f t="array" aca="1" ref="K161" ca="1">_xll.BDP("EI653529 Corp","YL016")</f>
        <v>#NAME?</v>
      </c>
      <c r="L161" s="7" t="e" cm="1">
        <f t="array" aca="1" ref="L161" ca="1">_xll.BDP("EI653529 Corp","PR004")</f>
        <v>#NAME?</v>
      </c>
      <c r="M161" s="7" t="e" cm="1">
        <f t="array" aca="1" ref="M161" ca="1">_xll.BDP("EI653529 Corp","PR002")</f>
        <v>#NAME?</v>
      </c>
      <c r="N161" s="1" t="e" cm="1">
        <f t="array" aca="1" ref="N161" ca="1">_xll.BDP("EI653529 Corp","ID028")</f>
        <v>#NAME?</v>
      </c>
      <c r="O161" s="1" t="e" cm="1">
        <f t="array" aca="1" ref="O161" ca="1">_xll.BDP("EI653529 Corp","ID005")</f>
        <v>#NAME?</v>
      </c>
      <c r="P161" s="1" t="e" cm="1">
        <f t="array" aca="1" ref="P161" ca="1">_xll.BDP(A161,"RA007")</f>
        <v>#NAME?</v>
      </c>
      <c r="Q161" s="1" t="e" cm="1">
        <f t="array" aca="1" ref="Q161" ca="1">_xll.BDP(A161,"DS219")</f>
        <v>#NAME?</v>
      </c>
      <c r="R161" s="3" t="e" cm="1">
        <f t="array" aca="1" ref="R161" ca="1">_xll.BDP(A161,"DS040")</f>
        <v>#NAME?</v>
      </c>
      <c r="S161" s="4" t="e">
        <f t="shared" ca="1" si="6"/>
        <v>#NAME?</v>
      </c>
      <c r="T161" s="7" t="e">
        <f t="shared" ca="1" si="7"/>
        <v>#NAME?</v>
      </c>
      <c r="U161" s="3" t="e">
        <f t="shared" ca="1" si="8"/>
        <v>#NAME?</v>
      </c>
    </row>
    <row r="162" spans="1:21" x14ac:dyDescent="0.35">
      <c r="A162" s="5" t="s">
        <v>221</v>
      </c>
      <c r="B162" s="1" t="e" cm="1">
        <f t="array" aca="1" ref="B162" ca="1">_xll.BDP("EI681422 Corp","DS520")</f>
        <v>#NAME?</v>
      </c>
      <c r="C162" s="1" t="e" cm="1">
        <f t="array" aca="1" ref="C162" ca="1">_xll.BDP("EI681422 Corp","DS001")</f>
        <v>#NAME?</v>
      </c>
      <c r="D162" s="1" t="e" cm="1">
        <f t="array" aca="1" ref="D162" ca="1">_xll.BDP("EI681422 Corp","DS458")</f>
        <v>#NAME?</v>
      </c>
      <c r="E162" s="1" t="e" cm="1">
        <f t="array" aca="1" ref="E162" ca="1">_xll.BDP("EI681422 Corp","DS004")</f>
        <v>#NAME?</v>
      </c>
      <c r="F162" s="1" t="e" cm="1">
        <f t="array" aca="1" ref="F162" ca="1">_xll.BDP("EI681422 Corp","DS035")</f>
        <v>#NAME?</v>
      </c>
      <c r="G162" s="1" t="e" cm="1">
        <f t="array" aca="1" ref="G162" ca="1">_xll.BDP("EI681422 Corp","DS086")</f>
        <v>#NAME?</v>
      </c>
      <c r="H162" s="1" t="e" cm="1">
        <f t="array" aca="1" ref="H162" ca="1">_xll.BDP("EI681422 Corp","DS034")</f>
        <v>#NAME?</v>
      </c>
      <c r="I162" s="1" t="e" cm="1">
        <f t="array" aca="1" ref="I162" ca="1">_xll.BDP("EI681422 Corp","DS033")</f>
        <v>#NAME?</v>
      </c>
      <c r="J162" s="7" t="e" cm="1">
        <f t="array" aca="1" ref="J162" ca="1">_xll.BDP("EI681422 Corp","YL018")</f>
        <v>#NAME?</v>
      </c>
      <c r="K162" s="7" t="e" cm="1">
        <f t="array" aca="1" ref="K162" ca="1">_xll.BDP("EI681422 Corp","YL016")</f>
        <v>#NAME?</v>
      </c>
      <c r="L162" s="7" t="e" cm="1">
        <f t="array" aca="1" ref="L162" ca="1">_xll.BDP("EI681422 Corp","PR004")</f>
        <v>#NAME?</v>
      </c>
      <c r="M162" s="7" t="e" cm="1">
        <f t="array" aca="1" ref="M162" ca="1">_xll.BDP("EI681422 Corp","PR002")</f>
        <v>#NAME?</v>
      </c>
      <c r="N162" s="1" t="e" cm="1">
        <f t="array" aca="1" ref="N162" ca="1">_xll.BDP("EI681422 Corp","ID028")</f>
        <v>#NAME?</v>
      </c>
      <c r="O162" s="1" t="e" cm="1">
        <f t="array" aca="1" ref="O162" ca="1">_xll.BDP("EI681422 Corp","ID005")</f>
        <v>#NAME?</v>
      </c>
      <c r="P162" s="1" t="e" cm="1">
        <f t="array" aca="1" ref="P162" ca="1">_xll.BDP(A162,"RA007")</f>
        <v>#NAME?</v>
      </c>
      <c r="Q162" s="1" t="e" cm="1">
        <f t="array" aca="1" ref="Q162" ca="1">_xll.BDP(A162,"DS219")</f>
        <v>#NAME?</v>
      </c>
      <c r="R162" s="3" t="e" cm="1">
        <f t="array" aca="1" ref="R162" ca="1">_xll.BDP(A162,"DS040")</f>
        <v>#NAME?</v>
      </c>
      <c r="S162" s="4" t="e">
        <f t="shared" ca="1" si="6"/>
        <v>#NAME?</v>
      </c>
      <c r="T162" s="7" t="e">
        <f t="shared" ca="1" si="7"/>
        <v>#NAME?</v>
      </c>
      <c r="U162" s="3" t="e">
        <f t="shared" ca="1" si="8"/>
        <v>#NAME?</v>
      </c>
    </row>
    <row r="163" spans="1:21" x14ac:dyDescent="0.35">
      <c r="A163" s="5" t="s">
        <v>222</v>
      </c>
      <c r="B163" s="1" t="e" cm="1">
        <f t="array" aca="1" ref="B163" ca="1">_xll.BDP("EI692405 Corp","DS520")</f>
        <v>#NAME?</v>
      </c>
      <c r="C163" s="1" t="e" cm="1">
        <f t="array" aca="1" ref="C163" ca="1">_xll.BDP("EI692405 Corp","DS001")</f>
        <v>#NAME?</v>
      </c>
      <c r="D163" s="1" t="e" cm="1">
        <f t="array" aca="1" ref="D163" ca="1">_xll.BDP("EI692405 Corp","DS458")</f>
        <v>#NAME?</v>
      </c>
      <c r="E163" s="1" t="e" cm="1">
        <f t="array" aca="1" ref="E163" ca="1">_xll.BDP("EI692405 Corp","DS004")</f>
        <v>#NAME?</v>
      </c>
      <c r="F163" s="1" t="e" cm="1">
        <f t="array" aca="1" ref="F163" ca="1">_xll.BDP("EI692405 Corp","DS035")</f>
        <v>#NAME?</v>
      </c>
      <c r="G163" s="1" t="e" cm="1">
        <f t="array" aca="1" ref="G163" ca="1">_xll.BDP("EI692405 Corp","DS086")</f>
        <v>#NAME?</v>
      </c>
      <c r="H163" s="1" t="e" cm="1">
        <f t="array" aca="1" ref="H163" ca="1">_xll.BDP("EI692405 Corp","DS034")</f>
        <v>#NAME?</v>
      </c>
      <c r="I163" s="1" t="e" cm="1">
        <f t="array" aca="1" ref="I163" ca="1">_xll.BDP("EI692405 Corp","DS033")</f>
        <v>#NAME?</v>
      </c>
      <c r="J163" s="7" t="e" cm="1">
        <f t="array" aca="1" ref="J163" ca="1">_xll.BDP("EI692405 Corp","YL018")</f>
        <v>#NAME?</v>
      </c>
      <c r="K163" s="7" t="e" cm="1">
        <f t="array" aca="1" ref="K163" ca="1">_xll.BDP("EI692405 Corp","YL016")</f>
        <v>#NAME?</v>
      </c>
      <c r="L163" s="7" t="e" cm="1">
        <f t="array" aca="1" ref="L163" ca="1">_xll.BDP("EI692405 Corp","PR004")</f>
        <v>#NAME?</v>
      </c>
      <c r="M163" s="7" t="e" cm="1">
        <f t="array" aca="1" ref="M163" ca="1">_xll.BDP("EI692405 Corp","PR002")</f>
        <v>#NAME?</v>
      </c>
      <c r="N163" s="1" t="e" cm="1">
        <f t="array" aca="1" ref="N163" ca="1">_xll.BDP("EI692405 Corp","ID028")</f>
        <v>#NAME?</v>
      </c>
      <c r="O163" s="1" t="e" cm="1">
        <f t="array" aca="1" ref="O163" ca="1">_xll.BDP("EI692405 Corp","ID005")</f>
        <v>#NAME?</v>
      </c>
      <c r="P163" s="1" t="e" cm="1">
        <f t="array" aca="1" ref="P163" ca="1">_xll.BDP(A163,"RA007")</f>
        <v>#NAME?</v>
      </c>
      <c r="Q163" s="1" t="e" cm="1">
        <f t="array" aca="1" ref="Q163" ca="1">_xll.BDP(A163,"DS219")</f>
        <v>#NAME?</v>
      </c>
      <c r="R163" s="3" t="e" cm="1">
        <f t="array" aca="1" ref="R163" ca="1">_xll.BDP(A163,"DS040")</f>
        <v>#NAME?</v>
      </c>
      <c r="S163" s="4" t="e">
        <f t="shared" ca="1" si="6"/>
        <v>#NAME?</v>
      </c>
      <c r="T163" s="7" t="e">
        <f t="shared" ca="1" si="7"/>
        <v>#NAME?</v>
      </c>
      <c r="U163" s="3" t="e">
        <f t="shared" ca="1" si="8"/>
        <v>#NAME?</v>
      </c>
    </row>
    <row r="164" spans="1:21" x14ac:dyDescent="0.35">
      <c r="A164" s="5" t="s">
        <v>223</v>
      </c>
      <c r="B164" s="1" t="e" cm="1">
        <f t="array" aca="1" ref="B164" ca="1">_xll.BDP("EI713861 Corp","DS520")</f>
        <v>#NAME?</v>
      </c>
      <c r="C164" s="1" t="e" cm="1">
        <f t="array" aca="1" ref="C164" ca="1">_xll.BDP("EI713861 Corp","DS001")</f>
        <v>#NAME?</v>
      </c>
      <c r="D164" s="1" t="e" cm="1">
        <f t="array" aca="1" ref="D164" ca="1">_xll.BDP("EI713861 Corp","DS458")</f>
        <v>#NAME?</v>
      </c>
      <c r="E164" s="1" t="e" cm="1">
        <f t="array" aca="1" ref="E164" ca="1">_xll.BDP("EI713861 Corp","DS004")</f>
        <v>#NAME?</v>
      </c>
      <c r="F164" s="1" t="e" cm="1">
        <f t="array" aca="1" ref="F164" ca="1">_xll.BDP("EI713861 Corp","DS035")</f>
        <v>#NAME?</v>
      </c>
      <c r="G164" s="1" t="e" cm="1">
        <f t="array" aca="1" ref="G164" ca="1">_xll.BDP("EI713861 Corp","DS086")</f>
        <v>#NAME?</v>
      </c>
      <c r="H164" s="1" t="e" cm="1">
        <f t="array" aca="1" ref="H164" ca="1">_xll.BDP("EI713861 Corp","DS034")</f>
        <v>#NAME?</v>
      </c>
      <c r="I164" s="1" t="e" cm="1">
        <f t="array" aca="1" ref="I164" ca="1">_xll.BDP("EI713861 Corp","DS033")</f>
        <v>#NAME?</v>
      </c>
      <c r="J164" s="7" t="e" cm="1">
        <f t="array" aca="1" ref="J164" ca="1">_xll.BDP("EI713861 Corp","YL018")</f>
        <v>#NAME?</v>
      </c>
      <c r="K164" s="7" t="e" cm="1">
        <f t="array" aca="1" ref="K164" ca="1">_xll.BDP("EI713861 Corp","YL016")</f>
        <v>#NAME?</v>
      </c>
      <c r="L164" s="7" t="e" cm="1">
        <f t="array" aca="1" ref="L164" ca="1">_xll.BDP("EI713861 Corp","PR004")</f>
        <v>#NAME?</v>
      </c>
      <c r="M164" s="7" t="e" cm="1">
        <f t="array" aca="1" ref="M164" ca="1">_xll.BDP("EI713861 Corp","PR002")</f>
        <v>#NAME?</v>
      </c>
      <c r="N164" s="1" t="e" cm="1">
        <f t="array" aca="1" ref="N164" ca="1">_xll.BDP("EI713861 Corp","ID028")</f>
        <v>#NAME?</v>
      </c>
      <c r="O164" s="1" t="e" cm="1">
        <f t="array" aca="1" ref="O164" ca="1">_xll.BDP("EI713861 Corp","ID005")</f>
        <v>#NAME?</v>
      </c>
      <c r="P164" s="1" t="e" cm="1">
        <f t="array" aca="1" ref="P164" ca="1">_xll.BDP(A164,"RA007")</f>
        <v>#NAME?</v>
      </c>
      <c r="Q164" s="1" t="e" cm="1">
        <f t="array" aca="1" ref="Q164" ca="1">_xll.BDP(A164,"DS219")</f>
        <v>#NAME?</v>
      </c>
      <c r="R164" s="3" t="e" cm="1">
        <f t="array" aca="1" ref="R164" ca="1">_xll.BDP(A164,"DS040")</f>
        <v>#NAME?</v>
      </c>
      <c r="S164" s="4" t="e">
        <f t="shared" ca="1" si="6"/>
        <v>#NAME?</v>
      </c>
      <c r="T164" s="7" t="e">
        <f t="shared" ca="1" si="7"/>
        <v>#NAME?</v>
      </c>
      <c r="U164" s="3" t="e">
        <f t="shared" ca="1" si="8"/>
        <v>#NAME?</v>
      </c>
    </row>
    <row r="165" spans="1:21" x14ac:dyDescent="0.35">
      <c r="A165" s="5" t="s">
        <v>224</v>
      </c>
      <c r="B165" s="1" t="e" cm="1">
        <f t="array" aca="1" ref="B165" ca="1">_xll.BDP("EI795310 Corp","DS520")</f>
        <v>#NAME?</v>
      </c>
      <c r="C165" s="1" t="e" cm="1">
        <f t="array" aca="1" ref="C165" ca="1">_xll.BDP("EI795310 Corp","DS001")</f>
        <v>#NAME?</v>
      </c>
      <c r="D165" s="1" t="e" cm="1">
        <f t="array" aca="1" ref="D165" ca="1">_xll.BDP("EI795310 Corp","DS458")</f>
        <v>#NAME?</v>
      </c>
      <c r="E165" s="1" t="e" cm="1">
        <f t="array" aca="1" ref="E165" ca="1">_xll.BDP("EI795310 Corp","DS004")</f>
        <v>#NAME?</v>
      </c>
      <c r="F165" s="1" t="e" cm="1">
        <f t="array" aca="1" ref="F165" ca="1">_xll.BDP("EI795310 Corp","DS035")</f>
        <v>#NAME?</v>
      </c>
      <c r="G165" s="1" t="e" cm="1">
        <f t="array" aca="1" ref="G165" ca="1">_xll.BDP("EI795310 Corp","DS086")</f>
        <v>#NAME?</v>
      </c>
      <c r="H165" s="1" t="e" cm="1">
        <f t="array" aca="1" ref="H165" ca="1">_xll.BDP("EI795310 Corp","DS034")</f>
        <v>#NAME?</v>
      </c>
      <c r="I165" s="1" t="e" cm="1">
        <f t="array" aca="1" ref="I165" ca="1">_xll.BDP("EI795310 Corp","DS033")</f>
        <v>#NAME?</v>
      </c>
      <c r="J165" s="7" t="e" cm="1">
        <f t="array" aca="1" ref="J165" ca="1">_xll.BDP("EI795310 Corp","YL018")</f>
        <v>#NAME?</v>
      </c>
      <c r="K165" s="7" t="e" cm="1">
        <f t="array" aca="1" ref="K165" ca="1">_xll.BDP("EI795310 Corp","YL016")</f>
        <v>#NAME?</v>
      </c>
      <c r="L165" s="7" t="e" cm="1">
        <f t="array" aca="1" ref="L165" ca="1">_xll.BDP("EI795310 Corp","PR004")</f>
        <v>#NAME?</v>
      </c>
      <c r="M165" s="7" t="e" cm="1">
        <f t="array" aca="1" ref="M165" ca="1">_xll.BDP("EI795310 Corp","PR002")</f>
        <v>#NAME?</v>
      </c>
      <c r="N165" s="1" t="e" cm="1">
        <f t="array" aca="1" ref="N165" ca="1">_xll.BDP("EI795310 Corp","ID028")</f>
        <v>#NAME?</v>
      </c>
      <c r="O165" s="1" t="e" cm="1">
        <f t="array" aca="1" ref="O165" ca="1">_xll.BDP("EI795310 Corp","ID005")</f>
        <v>#NAME?</v>
      </c>
      <c r="P165" s="1" t="e" cm="1">
        <f t="array" aca="1" ref="P165" ca="1">_xll.BDP(A165,"RA007")</f>
        <v>#NAME?</v>
      </c>
      <c r="Q165" s="1" t="e" cm="1">
        <f t="array" aca="1" ref="Q165" ca="1">_xll.BDP(A165,"DS219")</f>
        <v>#NAME?</v>
      </c>
      <c r="R165" s="3" t="e" cm="1">
        <f t="array" aca="1" ref="R165" ca="1">_xll.BDP(A165,"DS040")</f>
        <v>#NAME?</v>
      </c>
      <c r="S165" s="4" t="e">
        <f t="shared" ca="1" si="6"/>
        <v>#NAME?</v>
      </c>
      <c r="T165" s="7" t="e">
        <f t="shared" ca="1" si="7"/>
        <v>#NAME?</v>
      </c>
      <c r="U165" s="3" t="e">
        <f t="shared" ca="1" si="8"/>
        <v>#NAME?</v>
      </c>
    </row>
    <row r="166" spans="1:21" x14ac:dyDescent="0.35">
      <c r="A166" s="5" t="s">
        <v>225</v>
      </c>
      <c r="B166" s="1" t="e" cm="1">
        <f t="array" aca="1" ref="B166" ca="1">_xll.BDP("EI805566 Corp","DS520")</f>
        <v>#NAME?</v>
      </c>
      <c r="C166" s="1" t="e" cm="1">
        <f t="array" aca="1" ref="C166" ca="1">_xll.BDP("EI805566 Corp","DS001")</f>
        <v>#NAME?</v>
      </c>
      <c r="D166" s="1" t="e" cm="1">
        <f t="array" aca="1" ref="D166" ca="1">_xll.BDP("EI805566 Corp","DS458")</f>
        <v>#NAME?</v>
      </c>
      <c r="E166" s="1" t="e" cm="1">
        <f t="array" aca="1" ref="E166" ca="1">_xll.BDP("EI805566 Corp","DS004")</f>
        <v>#NAME?</v>
      </c>
      <c r="F166" s="1" t="e" cm="1">
        <f t="array" aca="1" ref="F166" ca="1">_xll.BDP("EI805566 Corp","DS035")</f>
        <v>#NAME?</v>
      </c>
      <c r="G166" s="1" t="e" cm="1">
        <f t="array" aca="1" ref="G166" ca="1">_xll.BDP("EI805566 Corp","DS086")</f>
        <v>#NAME?</v>
      </c>
      <c r="H166" s="1" t="e" cm="1">
        <f t="array" aca="1" ref="H166" ca="1">_xll.BDP("EI805566 Corp","DS034")</f>
        <v>#NAME?</v>
      </c>
      <c r="I166" s="1" t="e" cm="1">
        <f t="array" aca="1" ref="I166" ca="1">_xll.BDP("EI805566 Corp","DS033")</f>
        <v>#NAME?</v>
      </c>
      <c r="J166" s="7" t="e" cm="1">
        <f t="array" aca="1" ref="J166" ca="1">_xll.BDP("EI805566 Corp","YL018")</f>
        <v>#NAME?</v>
      </c>
      <c r="K166" s="7" t="e" cm="1">
        <f t="array" aca="1" ref="K166" ca="1">_xll.BDP("EI805566 Corp","YL016")</f>
        <v>#NAME?</v>
      </c>
      <c r="L166" s="7" t="e" cm="1">
        <f t="array" aca="1" ref="L166" ca="1">_xll.BDP("EI805566 Corp","PR004")</f>
        <v>#NAME?</v>
      </c>
      <c r="M166" s="7" t="e" cm="1">
        <f t="array" aca="1" ref="M166" ca="1">_xll.BDP("EI805566 Corp","PR002")</f>
        <v>#NAME?</v>
      </c>
      <c r="N166" s="1" t="e" cm="1">
        <f t="array" aca="1" ref="N166" ca="1">_xll.BDP("EI805566 Corp","ID028")</f>
        <v>#NAME?</v>
      </c>
      <c r="O166" s="1" t="e" cm="1">
        <f t="array" aca="1" ref="O166" ca="1">_xll.BDP("EI805566 Corp","ID005")</f>
        <v>#NAME?</v>
      </c>
      <c r="P166" s="1" t="e" cm="1">
        <f t="array" aca="1" ref="P166" ca="1">_xll.BDP(A166,"RA007")</f>
        <v>#NAME?</v>
      </c>
      <c r="Q166" s="1" t="e" cm="1">
        <f t="array" aca="1" ref="Q166" ca="1">_xll.BDP(A166,"DS219")</f>
        <v>#NAME?</v>
      </c>
      <c r="R166" s="3" t="e" cm="1">
        <f t="array" aca="1" ref="R166" ca="1">_xll.BDP(A166,"DS040")</f>
        <v>#NAME?</v>
      </c>
      <c r="S166" s="4" t="e">
        <f t="shared" ca="1" si="6"/>
        <v>#NAME?</v>
      </c>
      <c r="T166" s="7" t="e">
        <f t="shared" ca="1" si="7"/>
        <v>#NAME?</v>
      </c>
      <c r="U166" s="3" t="e">
        <f t="shared" ca="1" si="8"/>
        <v>#NAME?</v>
      </c>
    </row>
    <row r="167" spans="1:21" x14ac:dyDescent="0.35">
      <c r="A167" s="5" t="s">
        <v>226</v>
      </c>
      <c r="B167" s="1" t="e" cm="1">
        <f t="array" aca="1" ref="B167" ca="1">_xll.BDP("EI813196 Corp","DS520")</f>
        <v>#NAME?</v>
      </c>
      <c r="C167" s="1" t="e" cm="1">
        <f t="array" aca="1" ref="C167" ca="1">_xll.BDP("EI813196 Corp","DS001")</f>
        <v>#NAME?</v>
      </c>
      <c r="D167" s="1" t="e" cm="1">
        <f t="array" aca="1" ref="D167" ca="1">_xll.BDP("EI813196 Corp","DS458")</f>
        <v>#NAME?</v>
      </c>
      <c r="E167" s="1" t="e" cm="1">
        <f t="array" aca="1" ref="E167" ca="1">_xll.BDP("EI813196 Corp","DS004")</f>
        <v>#NAME?</v>
      </c>
      <c r="F167" s="1" t="e" cm="1">
        <f t="array" aca="1" ref="F167" ca="1">_xll.BDP("EI813196 Corp","DS035")</f>
        <v>#NAME?</v>
      </c>
      <c r="G167" s="1" t="e" cm="1">
        <f t="array" aca="1" ref="G167" ca="1">_xll.BDP("EI813196 Corp","DS086")</f>
        <v>#NAME?</v>
      </c>
      <c r="H167" s="1" t="e" cm="1">
        <f t="array" aca="1" ref="H167" ca="1">_xll.BDP("EI813196 Corp","DS034")</f>
        <v>#NAME?</v>
      </c>
      <c r="I167" s="1" t="e" cm="1">
        <f t="array" aca="1" ref="I167" ca="1">_xll.BDP("EI813196 Corp","DS033")</f>
        <v>#NAME?</v>
      </c>
      <c r="J167" s="7" t="e" cm="1">
        <f t="array" aca="1" ref="J167" ca="1">_xll.BDP("EI813196 Corp","YL018")</f>
        <v>#NAME?</v>
      </c>
      <c r="K167" s="7" t="e" cm="1">
        <f t="array" aca="1" ref="K167" ca="1">_xll.BDP("EI813196 Corp","YL016")</f>
        <v>#NAME?</v>
      </c>
      <c r="L167" s="7" t="e" cm="1">
        <f t="array" aca="1" ref="L167" ca="1">_xll.BDP("EI813196 Corp","PR004")</f>
        <v>#NAME?</v>
      </c>
      <c r="M167" s="7" t="e" cm="1">
        <f t="array" aca="1" ref="M167" ca="1">_xll.BDP("EI813196 Corp","PR002")</f>
        <v>#NAME?</v>
      </c>
      <c r="N167" s="1" t="e" cm="1">
        <f t="array" aca="1" ref="N167" ca="1">_xll.BDP("EI813196 Corp","ID028")</f>
        <v>#NAME?</v>
      </c>
      <c r="O167" s="1" t="e" cm="1">
        <f t="array" aca="1" ref="O167" ca="1">_xll.BDP("EI813196 Corp","ID005")</f>
        <v>#NAME?</v>
      </c>
      <c r="P167" s="1" t="e" cm="1">
        <f t="array" aca="1" ref="P167" ca="1">_xll.BDP(A167,"RA007")</f>
        <v>#NAME?</v>
      </c>
      <c r="Q167" s="1" t="e" cm="1">
        <f t="array" aca="1" ref="Q167" ca="1">_xll.BDP(A167,"DS219")</f>
        <v>#NAME?</v>
      </c>
      <c r="R167" s="3" t="e" cm="1">
        <f t="array" aca="1" ref="R167" ca="1">_xll.BDP(A167,"DS040")</f>
        <v>#NAME?</v>
      </c>
      <c r="S167" s="4" t="e">
        <f t="shared" ca="1" si="6"/>
        <v>#NAME?</v>
      </c>
      <c r="T167" s="7" t="e">
        <f t="shared" ca="1" si="7"/>
        <v>#NAME?</v>
      </c>
      <c r="U167" s="3" t="e">
        <f t="shared" ca="1" si="8"/>
        <v>#NAME?</v>
      </c>
    </row>
    <row r="168" spans="1:21" x14ac:dyDescent="0.35">
      <c r="A168" s="5" t="s">
        <v>227</v>
      </c>
      <c r="B168" s="1" t="e" cm="1">
        <f t="array" aca="1" ref="B168" ca="1">_xll.BDP("EI886396 Corp","DS520")</f>
        <v>#NAME?</v>
      </c>
      <c r="C168" s="1" t="e" cm="1">
        <f t="array" aca="1" ref="C168" ca="1">_xll.BDP("EI886396 Corp","DS001")</f>
        <v>#NAME?</v>
      </c>
      <c r="D168" s="1" t="e" cm="1">
        <f t="array" aca="1" ref="D168" ca="1">_xll.BDP("EI886396 Corp","DS458")</f>
        <v>#NAME?</v>
      </c>
      <c r="E168" s="1" t="e" cm="1">
        <f t="array" aca="1" ref="E168" ca="1">_xll.BDP("EI886396 Corp","DS004")</f>
        <v>#NAME?</v>
      </c>
      <c r="F168" s="1" t="e" cm="1">
        <f t="array" aca="1" ref="F168" ca="1">_xll.BDP("EI886396 Corp","DS035")</f>
        <v>#NAME?</v>
      </c>
      <c r="G168" s="1" t="e" cm="1">
        <f t="array" aca="1" ref="G168" ca="1">_xll.BDP("EI886396 Corp","DS086")</f>
        <v>#NAME?</v>
      </c>
      <c r="H168" s="1" t="e" cm="1">
        <f t="array" aca="1" ref="H168" ca="1">_xll.BDP("EI886396 Corp","DS034")</f>
        <v>#NAME?</v>
      </c>
      <c r="I168" s="1" t="e" cm="1">
        <f t="array" aca="1" ref="I168" ca="1">_xll.BDP("EI886396 Corp","DS033")</f>
        <v>#NAME?</v>
      </c>
      <c r="J168" s="7" t="e" cm="1">
        <f t="array" aca="1" ref="J168" ca="1">_xll.BDP("EI886396 Corp","YL018")</f>
        <v>#NAME?</v>
      </c>
      <c r="K168" s="7" t="e" cm="1">
        <f t="array" aca="1" ref="K168" ca="1">_xll.BDP("EI886396 Corp","YL016")</f>
        <v>#NAME?</v>
      </c>
      <c r="L168" s="7" t="e" cm="1">
        <f t="array" aca="1" ref="L168" ca="1">_xll.BDP("EI886396 Corp","PR004")</f>
        <v>#NAME?</v>
      </c>
      <c r="M168" s="7" t="e" cm="1">
        <f t="array" aca="1" ref="M168" ca="1">_xll.BDP("EI886396 Corp","PR002")</f>
        <v>#NAME?</v>
      </c>
      <c r="N168" s="1" t="e" cm="1">
        <f t="array" aca="1" ref="N168" ca="1">_xll.BDP("EI886396 Corp","ID028")</f>
        <v>#NAME?</v>
      </c>
      <c r="O168" s="1" t="e" cm="1">
        <f t="array" aca="1" ref="O168" ca="1">_xll.BDP("EI886396 Corp","ID005")</f>
        <v>#NAME?</v>
      </c>
      <c r="P168" s="1" t="e" cm="1">
        <f t="array" aca="1" ref="P168" ca="1">_xll.BDP(A168,"RA007")</f>
        <v>#NAME?</v>
      </c>
      <c r="Q168" s="1" t="e" cm="1">
        <f t="array" aca="1" ref="Q168" ca="1">_xll.BDP(A168,"DS219")</f>
        <v>#NAME?</v>
      </c>
      <c r="R168" s="3" t="e" cm="1">
        <f t="array" aca="1" ref="R168" ca="1">_xll.BDP(A168,"DS040")</f>
        <v>#NAME?</v>
      </c>
      <c r="S168" s="4" t="e">
        <f t="shared" ca="1" si="6"/>
        <v>#NAME?</v>
      </c>
      <c r="T168" s="7" t="e">
        <f t="shared" ca="1" si="7"/>
        <v>#NAME?</v>
      </c>
      <c r="U168" s="3" t="e">
        <f t="shared" ca="1" si="8"/>
        <v>#NAME?</v>
      </c>
    </row>
    <row r="169" spans="1:21" x14ac:dyDescent="0.35">
      <c r="A169" s="5" t="s">
        <v>228</v>
      </c>
      <c r="B169" s="1" t="e" cm="1">
        <f t="array" aca="1" ref="B169" ca="1">_xll.BDP("EI910474 Corp","DS520")</f>
        <v>#NAME?</v>
      </c>
      <c r="C169" s="1" t="e" cm="1">
        <f t="array" aca="1" ref="C169" ca="1">_xll.BDP("EI910474 Corp","DS001")</f>
        <v>#NAME?</v>
      </c>
      <c r="D169" s="1" t="e" cm="1">
        <f t="array" aca="1" ref="D169" ca="1">_xll.BDP("EI910474 Corp","DS458")</f>
        <v>#NAME?</v>
      </c>
      <c r="E169" s="1" t="e" cm="1">
        <f t="array" aca="1" ref="E169" ca="1">_xll.BDP("EI910474 Corp","DS004")</f>
        <v>#NAME?</v>
      </c>
      <c r="F169" s="1" t="e" cm="1">
        <f t="array" aca="1" ref="F169" ca="1">_xll.BDP("EI910474 Corp","DS035")</f>
        <v>#NAME?</v>
      </c>
      <c r="G169" s="1" t="e" cm="1">
        <f t="array" aca="1" ref="G169" ca="1">_xll.BDP("EI910474 Corp","DS086")</f>
        <v>#NAME?</v>
      </c>
      <c r="H169" s="1" t="e" cm="1">
        <f t="array" aca="1" ref="H169" ca="1">_xll.BDP("EI910474 Corp","DS034")</f>
        <v>#NAME?</v>
      </c>
      <c r="I169" s="1" t="e" cm="1">
        <f t="array" aca="1" ref="I169" ca="1">_xll.BDP("EI910474 Corp","DS033")</f>
        <v>#NAME?</v>
      </c>
      <c r="J169" s="7" t="e" cm="1">
        <f t="array" aca="1" ref="J169" ca="1">_xll.BDP("EI910474 Corp","YL018")</f>
        <v>#NAME?</v>
      </c>
      <c r="K169" s="7" t="e" cm="1">
        <f t="array" aca="1" ref="K169" ca="1">_xll.BDP("EI910474 Corp","YL016")</f>
        <v>#NAME?</v>
      </c>
      <c r="L169" s="7" t="e" cm="1">
        <f t="array" aca="1" ref="L169" ca="1">_xll.BDP("EI910474 Corp","PR004")</f>
        <v>#NAME?</v>
      </c>
      <c r="M169" s="7" t="e" cm="1">
        <f t="array" aca="1" ref="M169" ca="1">_xll.BDP("EI910474 Corp","PR002")</f>
        <v>#NAME?</v>
      </c>
      <c r="N169" s="1" t="e" cm="1">
        <f t="array" aca="1" ref="N169" ca="1">_xll.BDP("EI910474 Corp","ID028")</f>
        <v>#NAME?</v>
      </c>
      <c r="O169" s="1" t="e" cm="1">
        <f t="array" aca="1" ref="O169" ca="1">_xll.BDP("EI910474 Corp","ID005")</f>
        <v>#NAME?</v>
      </c>
      <c r="P169" s="1" t="e" cm="1">
        <f t="array" aca="1" ref="P169" ca="1">_xll.BDP(A169,"RA007")</f>
        <v>#NAME?</v>
      </c>
      <c r="Q169" s="1" t="e" cm="1">
        <f t="array" aca="1" ref="Q169" ca="1">_xll.BDP(A169,"DS219")</f>
        <v>#NAME?</v>
      </c>
      <c r="R169" s="3" t="e" cm="1">
        <f t="array" aca="1" ref="R169" ca="1">_xll.BDP(A169,"DS040")</f>
        <v>#NAME?</v>
      </c>
      <c r="S169" s="4" t="e">
        <f t="shared" ca="1" si="6"/>
        <v>#NAME?</v>
      </c>
      <c r="T169" s="7" t="e">
        <f t="shared" ca="1" si="7"/>
        <v>#NAME?</v>
      </c>
      <c r="U169" s="3" t="e">
        <f t="shared" ca="1" si="8"/>
        <v>#NAME?</v>
      </c>
    </row>
    <row r="170" spans="1:21" x14ac:dyDescent="0.35">
      <c r="A170" s="5" t="s">
        <v>229</v>
      </c>
      <c r="B170" s="1" t="e" cm="1">
        <f t="array" aca="1" ref="B170" ca="1">_xll.BDP("EJ001484 Corp","DS520")</f>
        <v>#NAME?</v>
      </c>
      <c r="C170" s="1" t="e" cm="1">
        <f t="array" aca="1" ref="C170" ca="1">_xll.BDP("EJ001484 Corp","DS001")</f>
        <v>#NAME?</v>
      </c>
      <c r="D170" s="1" t="e" cm="1">
        <f t="array" aca="1" ref="D170" ca="1">_xll.BDP("EJ001484 Corp","DS458")</f>
        <v>#NAME?</v>
      </c>
      <c r="E170" s="1" t="e" cm="1">
        <f t="array" aca="1" ref="E170" ca="1">_xll.BDP("EJ001484 Corp","DS004")</f>
        <v>#NAME?</v>
      </c>
      <c r="F170" s="1" t="e" cm="1">
        <f t="array" aca="1" ref="F170" ca="1">_xll.BDP("EJ001484 Corp","DS035")</f>
        <v>#NAME?</v>
      </c>
      <c r="G170" s="1" t="e" cm="1">
        <f t="array" aca="1" ref="G170" ca="1">_xll.BDP("EJ001484 Corp","DS086")</f>
        <v>#NAME?</v>
      </c>
      <c r="H170" s="1" t="e" cm="1">
        <f t="array" aca="1" ref="H170" ca="1">_xll.BDP("EJ001484 Corp","DS034")</f>
        <v>#NAME?</v>
      </c>
      <c r="I170" s="1" t="e" cm="1">
        <f t="array" aca="1" ref="I170" ca="1">_xll.BDP("EJ001484 Corp","DS033")</f>
        <v>#NAME?</v>
      </c>
      <c r="J170" s="7" t="e" cm="1">
        <f t="array" aca="1" ref="J170" ca="1">_xll.BDP("EJ001484 Corp","YL018")</f>
        <v>#NAME?</v>
      </c>
      <c r="K170" s="7" t="e" cm="1">
        <f t="array" aca="1" ref="K170" ca="1">_xll.BDP("EJ001484 Corp","YL016")</f>
        <v>#NAME?</v>
      </c>
      <c r="L170" s="7" t="e" cm="1">
        <f t="array" aca="1" ref="L170" ca="1">_xll.BDP("EJ001484 Corp","PR004")</f>
        <v>#NAME?</v>
      </c>
      <c r="M170" s="7" t="e" cm="1">
        <f t="array" aca="1" ref="M170" ca="1">_xll.BDP("EJ001484 Corp","PR002")</f>
        <v>#NAME?</v>
      </c>
      <c r="N170" s="1" t="e" cm="1">
        <f t="array" aca="1" ref="N170" ca="1">_xll.BDP("EJ001484 Corp","ID028")</f>
        <v>#NAME?</v>
      </c>
      <c r="O170" s="1" t="e" cm="1">
        <f t="array" aca="1" ref="O170" ca="1">_xll.BDP("EJ001484 Corp","ID005")</f>
        <v>#NAME?</v>
      </c>
      <c r="P170" s="1" t="e" cm="1">
        <f t="array" aca="1" ref="P170" ca="1">_xll.BDP(A170,"RA007")</f>
        <v>#NAME?</v>
      </c>
      <c r="Q170" s="1" t="e" cm="1">
        <f t="array" aca="1" ref="Q170" ca="1">_xll.BDP(A170,"DS219")</f>
        <v>#NAME?</v>
      </c>
      <c r="R170" s="3" t="e" cm="1">
        <f t="array" aca="1" ref="R170" ca="1">_xll.BDP(A170,"DS040")</f>
        <v>#NAME?</v>
      </c>
      <c r="S170" s="4" t="e">
        <f t="shared" ca="1" si="6"/>
        <v>#NAME?</v>
      </c>
      <c r="T170" s="7" t="e">
        <f t="shared" ca="1" si="7"/>
        <v>#NAME?</v>
      </c>
      <c r="U170" s="3" t="e">
        <f t="shared" ca="1" si="8"/>
        <v>#NAME?</v>
      </c>
    </row>
    <row r="171" spans="1:21" x14ac:dyDescent="0.35">
      <c r="A171" s="5" t="s">
        <v>230</v>
      </c>
      <c r="B171" s="1" t="e" cm="1">
        <f t="array" aca="1" ref="B171" ca="1">_xll.BDP("EJ053825 Corp","DS520")</f>
        <v>#NAME?</v>
      </c>
      <c r="C171" s="1" t="e" cm="1">
        <f t="array" aca="1" ref="C171" ca="1">_xll.BDP("EJ053825 Corp","DS001")</f>
        <v>#NAME?</v>
      </c>
      <c r="D171" s="1" t="e" cm="1">
        <f t="array" aca="1" ref="D171" ca="1">_xll.BDP("EJ053825 Corp","DS458")</f>
        <v>#NAME?</v>
      </c>
      <c r="E171" s="1" t="e" cm="1">
        <f t="array" aca="1" ref="E171" ca="1">_xll.BDP("EJ053825 Corp","DS004")</f>
        <v>#NAME?</v>
      </c>
      <c r="F171" s="1" t="e" cm="1">
        <f t="array" aca="1" ref="F171" ca="1">_xll.BDP("EJ053825 Corp","DS035")</f>
        <v>#NAME?</v>
      </c>
      <c r="G171" s="1" t="e" cm="1">
        <f t="array" aca="1" ref="G171" ca="1">_xll.BDP("EJ053825 Corp","DS086")</f>
        <v>#NAME?</v>
      </c>
      <c r="H171" s="1" t="e" cm="1">
        <f t="array" aca="1" ref="H171" ca="1">_xll.BDP("EJ053825 Corp","DS034")</f>
        <v>#NAME?</v>
      </c>
      <c r="I171" s="1" t="e" cm="1">
        <f t="array" aca="1" ref="I171" ca="1">_xll.BDP("EJ053825 Corp","DS033")</f>
        <v>#NAME?</v>
      </c>
      <c r="J171" s="7" t="e" cm="1">
        <f t="array" aca="1" ref="J171" ca="1">_xll.BDP("EJ053825 Corp","YL018")</f>
        <v>#NAME?</v>
      </c>
      <c r="K171" s="7" t="e" cm="1">
        <f t="array" aca="1" ref="K171" ca="1">_xll.BDP("EJ053825 Corp","YL016")</f>
        <v>#NAME?</v>
      </c>
      <c r="L171" s="7" t="e" cm="1">
        <f t="array" aca="1" ref="L171" ca="1">_xll.BDP("EJ053825 Corp","PR004")</f>
        <v>#NAME?</v>
      </c>
      <c r="M171" s="7" t="e" cm="1">
        <f t="array" aca="1" ref="M171" ca="1">_xll.BDP("EJ053825 Corp","PR002")</f>
        <v>#NAME?</v>
      </c>
      <c r="N171" s="1" t="e" cm="1">
        <f t="array" aca="1" ref="N171" ca="1">_xll.BDP("EJ053825 Corp","ID028")</f>
        <v>#NAME?</v>
      </c>
      <c r="O171" s="1" t="e" cm="1">
        <f t="array" aca="1" ref="O171" ca="1">_xll.BDP("EJ053825 Corp","ID005")</f>
        <v>#NAME?</v>
      </c>
      <c r="P171" s="1" t="e" cm="1">
        <f t="array" aca="1" ref="P171" ca="1">_xll.BDP(A171,"RA007")</f>
        <v>#NAME?</v>
      </c>
      <c r="Q171" s="1" t="e" cm="1">
        <f t="array" aca="1" ref="Q171" ca="1">_xll.BDP(A171,"DS219")</f>
        <v>#NAME?</v>
      </c>
      <c r="R171" s="3" t="e" cm="1">
        <f t="array" aca="1" ref="R171" ca="1">_xll.BDP(A171,"DS040")</f>
        <v>#NAME?</v>
      </c>
      <c r="S171" s="4" t="e">
        <f t="shared" ca="1" si="6"/>
        <v>#NAME?</v>
      </c>
      <c r="T171" s="7" t="e">
        <f t="shared" ca="1" si="7"/>
        <v>#NAME?</v>
      </c>
      <c r="U171" s="3" t="e">
        <f t="shared" ca="1" si="8"/>
        <v>#NAME?</v>
      </c>
    </row>
    <row r="172" spans="1:21" x14ac:dyDescent="0.35">
      <c r="A172" s="5" t="s">
        <v>231</v>
      </c>
      <c r="B172" s="1" t="e" cm="1">
        <f t="array" aca="1" ref="B172" ca="1">_xll.BDP("EJ096338 Corp","DS520")</f>
        <v>#NAME?</v>
      </c>
      <c r="C172" s="1" t="e" cm="1">
        <f t="array" aca="1" ref="C172" ca="1">_xll.BDP("EJ096338 Corp","DS001")</f>
        <v>#NAME?</v>
      </c>
      <c r="D172" s="1" t="e" cm="1">
        <f t="array" aca="1" ref="D172" ca="1">_xll.BDP("EJ096338 Corp","DS458")</f>
        <v>#NAME?</v>
      </c>
      <c r="E172" s="1" t="e" cm="1">
        <f t="array" aca="1" ref="E172" ca="1">_xll.BDP("EJ096338 Corp","DS004")</f>
        <v>#NAME?</v>
      </c>
      <c r="F172" s="1" t="e" cm="1">
        <f t="array" aca="1" ref="F172" ca="1">_xll.BDP("EJ096338 Corp","DS035")</f>
        <v>#NAME?</v>
      </c>
      <c r="G172" s="1" t="e" cm="1">
        <f t="array" aca="1" ref="G172" ca="1">_xll.BDP("EJ096338 Corp","DS086")</f>
        <v>#NAME?</v>
      </c>
      <c r="H172" s="1" t="e" cm="1">
        <f t="array" aca="1" ref="H172" ca="1">_xll.BDP("EJ096338 Corp","DS034")</f>
        <v>#NAME?</v>
      </c>
      <c r="I172" s="1" t="e" cm="1">
        <f t="array" aca="1" ref="I172" ca="1">_xll.BDP("EJ096338 Corp","DS033")</f>
        <v>#NAME?</v>
      </c>
      <c r="J172" s="7" t="e" cm="1">
        <f t="array" aca="1" ref="J172" ca="1">_xll.BDP("EJ096338 Corp","YL018")</f>
        <v>#NAME?</v>
      </c>
      <c r="K172" s="7" t="e" cm="1">
        <f t="array" aca="1" ref="K172" ca="1">_xll.BDP("EJ096338 Corp","YL016")</f>
        <v>#NAME?</v>
      </c>
      <c r="L172" s="7" t="e" cm="1">
        <f t="array" aca="1" ref="L172" ca="1">_xll.BDP("EJ096338 Corp","PR004")</f>
        <v>#NAME?</v>
      </c>
      <c r="M172" s="7" t="e" cm="1">
        <f t="array" aca="1" ref="M172" ca="1">_xll.BDP("EJ096338 Corp","PR002")</f>
        <v>#NAME?</v>
      </c>
      <c r="N172" s="1" t="e" cm="1">
        <f t="array" aca="1" ref="N172" ca="1">_xll.BDP("EJ096338 Corp","ID028")</f>
        <v>#NAME?</v>
      </c>
      <c r="O172" s="1" t="e" cm="1">
        <f t="array" aca="1" ref="O172" ca="1">_xll.BDP("EJ096338 Corp","ID005")</f>
        <v>#NAME?</v>
      </c>
      <c r="P172" s="1" t="e" cm="1">
        <f t="array" aca="1" ref="P172" ca="1">_xll.BDP(A172,"RA007")</f>
        <v>#NAME?</v>
      </c>
      <c r="Q172" s="1" t="e" cm="1">
        <f t="array" aca="1" ref="Q172" ca="1">_xll.BDP(A172,"DS219")</f>
        <v>#NAME?</v>
      </c>
      <c r="R172" s="3" t="e" cm="1">
        <f t="array" aca="1" ref="R172" ca="1">_xll.BDP(A172,"DS040")</f>
        <v>#NAME?</v>
      </c>
      <c r="S172" s="4" t="e">
        <f t="shared" ca="1" si="6"/>
        <v>#NAME?</v>
      </c>
      <c r="T172" s="7" t="e">
        <f t="shared" ca="1" si="7"/>
        <v>#NAME?</v>
      </c>
      <c r="U172" s="3" t="e">
        <f t="shared" ca="1" si="8"/>
        <v>#NAME?</v>
      </c>
    </row>
    <row r="173" spans="1:21" x14ac:dyDescent="0.35">
      <c r="A173" s="5" t="s">
        <v>232</v>
      </c>
      <c r="B173" s="1" t="e" cm="1">
        <f t="array" aca="1" ref="B173" ca="1">_xll.BDP("EJ146116 Corp","DS520")</f>
        <v>#NAME?</v>
      </c>
      <c r="C173" s="1" t="e" cm="1">
        <f t="array" aca="1" ref="C173" ca="1">_xll.BDP("EJ146116 Corp","DS001")</f>
        <v>#NAME?</v>
      </c>
      <c r="D173" s="1" t="e" cm="1">
        <f t="array" aca="1" ref="D173" ca="1">_xll.BDP("EJ146116 Corp","DS458")</f>
        <v>#NAME?</v>
      </c>
      <c r="E173" s="1" t="e" cm="1">
        <f t="array" aca="1" ref="E173" ca="1">_xll.BDP("EJ146116 Corp","DS004")</f>
        <v>#NAME?</v>
      </c>
      <c r="F173" s="1" t="e" cm="1">
        <f t="array" aca="1" ref="F173" ca="1">_xll.BDP("EJ146116 Corp","DS035")</f>
        <v>#NAME?</v>
      </c>
      <c r="G173" s="1" t="e" cm="1">
        <f t="array" aca="1" ref="G173" ca="1">_xll.BDP("EJ146116 Corp","DS086")</f>
        <v>#NAME?</v>
      </c>
      <c r="H173" s="1" t="e" cm="1">
        <f t="array" aca="1" ref="H173" ca="1">_xll.BDP("EJ146116 Corp","DS034")</f>
        <v>#NAME?</v>
      </c>
      <c r="I173" s="1" t="e" cm="1">
        <f t="array" aca="1" ref="I173" ca="1">_xll.BDP("EJ146116 Corp","DS033")</f>
        <v>#NAME?</v>
      </c>
      <c r="J173" s="7" t="e" cm="1">
        <f t="array" aca="1" ref="J173" ca="1">_xll.BDP("EJ146116 Corp","YL018")</f>
        <v>#NAME?</v>
      </c>
      <c r="K173" s="7" t="e" cm="1">
        <f t="array" aca="1" ref="K173" ca="1">_xll.BDP("EJ146116 Corp","YL016")</f>
        <v>#NAME?</v>
      </c>
      <c r="L173" s="7" t="e" cm="1">
        <f t="array" aca="1" ref="L173" ca="1">_xll.BDP("EJ146116 Corp","PR004")</f>
        <v>#NAME?</v>
      </c>
      <c r="M173" s="7" t="e" cm="1">
        <f t="array" aca="1" ref="M173" ca="1">_xll.BDP("EJ146116 Corp","PR002")</f>
        <v>#NAME?</v>
      </c>
      <c r="N173" s="1" t="e" cm="1">
        <f t="array" aca="1" ref="N173" ca="1">_xll.BDP("EJ146116 Corp","ID028")</f>
        <v>#NAME?</v>
      </c>
      <c r="O173" s="1" t="e" cm="1">
        <f t="array" aca="1" ref="O173" ca="1">_xll.BDP("EJ146116 Corp","ID005")</f>
        <v>#NAME?</v>
      </c>
      <c r="P173" s="1" t="e" cm="1">
        <f t="array" aca="1" ref="P173" ca="1">_xll.BDP(A173,"RA007")</f>
        <v>#NAME?</v>
      </c>
      <c r="Q173" s="1" t="e" cm="1">
        <f t="array" aca="1" ref="Q173" ca="1">_xll.BDP(A173,"DS219")</f>
        <v>#NAME?</v>
      </c>
      <c r="R173" s="3" t="e" cm="1">
        <f t="array" aca="1" ref="R173" ca="1">_xll.BDP(A173,"DS040")</f>
        <v>#NAME?</v>
      </c>
      <c r="S173" s="4" t="e">
        <f t="shared" ca="1" si="6"/>
        <v>#NAME?</v>
      </c>
      <c r="T173" s="7" t="e">
        <f t="shared" ca="1" si="7"/>
        <v>#NAME?</v>
      </c>
      <c r="U173" s="3" t="e">
        <f t="shared" ca="1" si="8"/>
        <v>#NAME?</v>
      </c>
    </row>
    <row r="174" spans="1:21" x14ac:dyDescent="0.35">
      <c r="A174" s="5" t="s">
        <v>233</v>
      </c>
      <c r="B174" s="1" t="e" cm="1">
        <f t="array" aca="1" ref="B174" ca="1">_xll.BDP("EJ198645 Corp","DS520")</f>
        <v>#NAME?</v>
      </c>
      <c r="C174" s="1" t="e" cm="1">
        <f t="array" aca="1" ref="C174" ca="1">_xll.BDP("EJ198645 Corp","DS001")</f>
        <v>#NAME?</v>
      </c>
      <c r="D174" s="1" t="e" cm="1">
        <f t="array" aca="1" ref="D174" ca="1">_xll.BDP("EJ198645 Corp","DS458")</f>
        <v>#NAME?</v>
      </c>
      <c r="E174" s="1" t="e" cm="1">
        <f t="array" aca="1" ref="E174" ca="1">_xll.BDP("EJ198645 Corp","DS004")</f>
        <v>#NAME?</v>
      </c>
      <c r="F174" s="1" t="e" cm="1">
        <f t="array" aca="1" ref="F174" ca="1">_xll.BDP("EJ198645 Corp","DS035")</f>
        <v>#NAME?</v>
      </c>
      <c r="G174" s="1" t="e" cm="1">
        <f t="array" aca="1" ref="G174" ca="1">_xll.BDP("EJ198645 Corp","DS086")</f>
        <v>#NAME?</v>
      </c>
      <c r="H174" s="1" t="e" cm="1">
        <f t="array" aca="1" ref="H174" ca="1">_xll.BDP("EJ198645 Corp","DS034")</f>
        <v>#NAME?</v>
      </c>
      <c r="I174" s="1" t="e" cm="1">
        <f t="array" aca="1" ref="I174" ca="1">_xll.BDP("EJ198645 Corp","DS033")</f>
        <v>#NAME?</v>
      </c>
      <c r="J174" s="7" t="e" cm="1">
        <f t="array" aca="1" ref="J174" ca="1">_xll.BDP("EJ198645 Corp","YL018")</f>
        <v>#NAME?</v>
      </c>
      <c r="K174" s="7" t="e" cm="1">
        <f t="array" aca="1" ref="K174" ca="1">_xll.BDP("EJ198645 Corp","YL016")</f>
        <v>#NAME?</v>
      </c>
      <c r="L174" s="7" t="e" cm="1">
        <f t="array" aca="1" ref="L174" ca="1">_xll.BDP("EJ198645 Corp","PR004")</f>
        <v>#NAME?</v>
      </c>
      <c r="M174" s="7" t="e" cm="1">
        <f t="array" aca="1" ref="M174" ca="1">_xll.BDP("EJ198645 Corp","PR002")</f>
        <v>#NAME?</v>
      </c>
      <c r="N174" s="1" t="e" cm="1">
        <f t="array" aca="1" ref="N174" ca="1">_xll.BDP("EJ198645 Corp","ID028")</f>
        <v>#NAME?</v>
      </c>
      <c r="O174" s="1" t="e" cm="1">
        <f t="array" aca="1" ref="O174" ca="1">_xll.BDP("EJ198645 Corp","ID005")</f>
        <v>#NAME?</v>
      </c>
      <c r="P174" s="1" t="e" cm="1">
        <f t="array" aca="1" ref="P174" ca="1">_xll.BDP(A174,"RA007")</f>
        <v>#NAME?</v>
      </c>
      <c r="Q174" s="1" t="e" cm="1">
        <f t="array" aca="1" ref="Q174" ca="1">_xll.BDP(A174,"DS219")</f>
        <v>#NAME?</v>
      </c>
      <c r="R174" s="3" t="e" cm="1">
        <f t="array" aca="1" ref="R174" ca="1">_xll.BDP(A174,"DS040")</f>
        <v>#NAME?</v>
      </c>
      <c r="S174" s="4" t="e">
        <f t="shared" ca="1" si="6"/>
        <v>#NAME?</v>
      </c>
      <c r="T174" s="7" t="e">
        <f t="shared" ca="1" si="7"/>
        <v>#NAME?</v>
      </c>
      <c r="U174" s="3" t="e">
        <f t="shared" ca="1" si="8"/>
        <v>#NAME?</v>
      </c>
    </row>
    <row r="175" spans="1:21" x14ac:dyDescent="0.35">
      <c r="A175" s="5" t="s">
        <v>234</v>
      </c>
      <c r="B175" s="1" t="e" cm="1">
        <f t="array" aca="1" ref="B175" ca="1">_xll.BDP("EJ213627 Corp","DS520")</f>
        <v>#NAME?</v>
      </c>
      <c r="C175" s="1" t="e" cm="1">
        <f t="array" aca="1" ref="C175" ca="1">_xll.BDP("EJ213627 Corp","DS001")</f>
        <v>#NAME?</v>
      </c>
      <c r="D175" s="1" t="e" cm="1">
        <f t="array" aca="1" ref="D175" ca="1">_xll.BDP("EJ213627 Corp","DS458")</f>
        <v>#NAME?</v>
      </c>
      <c r="E175" s="1" t="e" cm="1">
        <f t="array" aca="1" ref="E175" ca="1">_xll.BDP("EJ213627 Corp","DS004")</f>
        <v>#NAME?</v>
      </c>
      <c r="F175" s="1" t="e" cm="1">
        <f t="array" aca="1" ref="F175" ca="1">_xll.BDP("EJ213627 Corp","DS035")</f>
        <v>#NAME?</v>
      </c>
      <c r="G175" s="1" t="e" cm="1">
        <f t="array" aca="1" ref="G175" ca="1">_xll.BDP("EJ213627 Corp","DS086")</f>
        <v>#NAME?</v>
      </c>
      <c r="H175" s="1" t="e" cm="1">
        <f t="array" aca="1" ref="H175" ca="1">_xll.BDP("EJ213627 Corp","DS034")</f>
        <v>#NAME?</v>
      </c>
      <c r="I175" s="1" t="e" cm="1">
        <f t="array" aca="1" ref="I175" ca="1">_xll.BDP("EJ213627 Corp","DS033")</f>
        <v>#NAME?</v>
      </c>
      <c r="J175" s="7" t="e" cm="1">
        <f t="array" aca="1" ref="J175" ca="1">_xll.BDP("EJ213627 Corp","YL018")</f>
        <v>#NAME?</v>
      </c>
      <c r="K175" s="7" t="e" cm="1">
        <f t="array" aca="1" ref="K175" ca="1">_xll.BDP("EJ213627 Corp","YL016")</f>
        <v>#NAME?</v>
      </c>
      <c r="L175" s="7" t="e" cm="1">
        <f t="array" aca="1" ref="L175" ca="1">_xll.BDP("EJ213627 Corp","PR004")</f>
        <v>#NAME?</v>
      </c>
      <c r="M175" s="7" t="e" cm="1">
        <f t="array" aca="1" ref="M175" ca="1">_xll.BDP("EJ213627 Corp","PR002")</f>
        <v>#NAME?</v>
      </c>
      <c r="N175" s="1" t="e" cm="1">
        <f t="array" aca="1" ref="N175" ca="1">_xll.BDP("EJ213627 Corp","ID028")</f>
        <v>#NAME?</v>
      </c>
      <c r="O175" s="1" t="e" cm="1">
        <f t="array" aca="1" ref="O175" ca="1">_xll.BDP("EJ213627 Corp","ID005")</f>
        <v>#NAME?</v>
      </c>
      <c r="P175" s="1" t="e" cm="1">
        <f t="array" aca="1" ref="P175" ca="1">_xll.BDP(A175,"RA007")</f>
        <v>#NAME?</v>
      </c>
      <c r="Q175" s="1" t="e" cm="1">
        <f t="array" aca="1" ref="Q175" ca="1">_xll.BDP(A175,"DS219")</f>
        <v>#NAME?</v>
      </c>
      <c r="R175" s="3" t="e" cm="1">
        <f t="array" aca="1" ref="R175" ca="1">_xll.BDP(A175,"DS040")</f>
        <v>#NAME?</v>
      </c>
      <c r="S175" s="4" t="e">
        <f t="shared" ca="1" si="6"/>
        <v>#NAME?</v>
      </c>
      <c r="T175" s="7" t="e">
        <f t="shared" ca="1" si="7"/>
        <v>#NAME?</v>
      </c>
      <c r="U175" s="3" t="e">
        <f t="shared" ca="1" si="8"/>
        <v>#NAME?</v>
      </c>
    </row>
    <row r="176" spans="1:21" x14ac:dyDescent="0.35">
      <c r="A176" s="5" t="s">
        <v>235</v>
      </c>
      <c r="B176" s="1" t="e" cm="1">
        <f t="array" aca="1" ref="B176" ca="1">_xll.BDP("EJ239794 Corp","DS520")</f>
        <v>#NAME?</v>
      </c>
      <c r="C176" s="1" t="e" cm="1">
        <f t="array" aca="1" ref="C176" ca="1">_xll.BDP("EJ239794 Corp","DS001")</f>
        <v>#NAME?</v>
      </c>
      <c r="D176" s="1" t="e" cm="1">
        <f t="array" aca="1" ref="D176" ca="1">_xll.BDP("EJ239794 Corp","DS458")</f>
        <v>#NAME?</v>
      </c>
      <c r="E176" s="1" t="e" cm="1">
        <f t="array" aca="1" ref="E176" ca="1">_xll.BDP("EJ239794 Corp","DS004")</f>
        <v>#NAME?</v>
      </c>
      <c r="F176" s="1" t="e" cm="1">
        <f t="array" aca="1" ref="F176" ca="1">_xll.BDP("EJ239794 Corp","DS035")</f>
        <v>#NAME?</v>
      </c>
      <c r="G176" s="1" t="e" cm="1">
        <f t="array" aca="1" ref="G176" ca="1">_xll.BDP("EJ239794 Corp","DS086")</f>
        <v>#NAME?</v>
      </c>
      <c r="H176" s="1" t="e" cm="1">
        <f t="array" aca="1" ref="H176" ca="1">_xll.BDP("EJ239794 Corp","DS034")</f>
        <v>#NAME?</v>
      </c>
      <c r="I176" s="1" t="e" cm="1">
        <f t="array" aca="1" ref="I176" ca="1">_xll.BDP("EJ239794 Corp","DS033")</f>
        <v>#NAME?</v>
      </c>
      <c r="J176" s="7" t="e" cm="1">
        <f t="array" aca="1" ref="J176" ca="1">_xll.BDP("EJ239794 Corp","YL018")</f>
        <v>#NAME?</v>
      </c>
      <c r="K176" s="7" t="e" cm="1">
        <f t="array" aca="1" ref="K176" ca="1">_xll.BDP("EJ239794 Corp","YL016")</f>
        <v>#NAME?</v>
      </c>
      <c r="L176" s="7" t="e" cm="1">
        <f t="array" aca="1" ref="L176" ca="1">_xll.BDP("EJ239794 Corp","PR004")</f>
        <v>#NAME?</v>
      </c>
      <c r="M176" s="7" t="e" cm="1">
        <f t="array" aca="1" ref="M176" ca="1">_xll.BDP("EJ239794 Corp","PR002")</f>
        <v>#NAME?</v>
      </c>
      <c r="N176" s="1" t="e" cm="1">
        <f t="array" aca="1" ref="N176" ca="1">_xll.BDP("EJ239794 Corp","ID028")</f>
        <v>#NAME?</v>
      </c>
      <c r="O176" s="1" t="e" cm="1">
        <f t="array" aca="1" ref="O176" ca="1">_xll.BDP("EJ239794 Corp","ID005")</f>
        <v>#NAME?</v>
      </c>
      <c r="P176" s="1" t="e" cm="1">
        <f t="array" aca="1" ref="P176" ca="1">_xll.BDP(A176,"RA007")</f>
        <v>#NAME?</v>
      </c>
      <c r="Q176" s="1" t="e" cm="1">
        <f t="array" aca="1" ref="Q176" ca="1">_xll.BDP(A176,"DS219")</f>
        <v>#NAME?</v>
      </c>
      <c r="R176" s="3" t="e" cm="1">
        <f t="array" aca="1" ref="R176" ca="1">_xll.BDP(A176,"DS040")</f>
        <v>#NAME?</v>
      </c>
      <c r="S176" s="4" t="e">
        <f t="shared" ca="1" si="6"/>
        <v>#NAME?</v>
      </c>
      <c r="T176" s="7" t="e">
        <f t="shared" ca="1" si="7"/>
        <v>#NAME?</v>
      </c>
      <c r="U176" s="3" t="e">
        <f t="shared" ca="1" si="8"/>
        <v>#NAME?</v>
      </c>
    </row>
    <row r="177" spans="1:21" x14ac:dyDescent="0.35">
      <c r="A177" s="5" t="s">
        <v>236</v>
      </c>
      <c r="B177" s="1" t="e" cm="1">
        <f t="array" aca="1" ref="B177" ca="1">_xll.BDP("EJ300145 Corp","DS520")</f>
        <v>#NAME?</v>
      </c>
      <c r="C177" s="1" t="e" cm="1">
        <f t="array" aca="1" ref="C177" ca="1">_xll.BDP("EJ300145 Corp","DS001")</f>
        <v>#NAME?</v>
      </c>
      <c r="D177" s="1" t="e" cm="1">
        <f t="array" aca="1" ref="D177" ca="1">_xll.BDP("EJ300145 Corp","DS458")</f>
        <v>#NAME?</v>
      </c>
      <c r="E177" s="1" t="e" cm="1">
        <f t="array" aca="1" ref="E177" ca="1">_xll.BDP("EJ300145 Corp","DS004")</f>
        <v>#NAME?</v>
      </c>
      <c r="F177" s="1" t="e" cm="1">
        <f t="array" aca="1" ref="F177" ca="1">_xll.BDP("EJ300145 Corp","DS035")</f>
        <v>#NAME?</v>
      </c>
      <c r="G177" s="1" t="e" cm="1">
        <f t="array" aca="1" ref="G177" ca="1">_xll.BDP("EJ300145 Corp","DS086")</f>
        <v>#NAME?</v>
      </c>
      <c r="H177" s="1" t="e" cm="1">
        <f t="array" aca="1" ref="H177" ca="1">_xll.BDP("EJ300145 Corp","DS034")</f>
        <v>#NAME?</v>
      </c>
      <c r="I177" s="1" t="e" cm="1">
        <f t="array" aca="1" ref="I177" ca="1">_xll.BDP("EJ300145 Corp","DS033")</f>
        <v>#NAME?</v>
      </c>
      <c r="J177" s="7" t="e" cm="1">
        <f t="array" aca="1" ref="J177" ca="1">_xll.BDP("EJ300145 Corp","YL018")</f>
        <v>#NAME?</v>
      </c>
      <c r="K177" s="7" t="e" cm="1">
        <f t="array" aca="1" ref="K177" ca="1">_xll.BDP("EJ300145 Corp","YL016")</f>
        <v>#NAME?</v>
      </c>
      <c r="L177" s="7" t="e" cm="1">
        <f t="array" aca="1" ref="L177" ca="1">_xll.BDP("EJ300145 Corp","PR004")</f>
        <v>#NAME?</v>
      </c>
      <c r="M177" s="7" t="e" cm="1">
        <f t="array" aca="1" ref="M177" ca="1">_xll.BDP("EJ300145 Corp","PR002")</f>
        <v>#NAME?</v>
      </c>
      <c r="N177" s="1" t="e" cm="1">
        <f t="array" aca="1" ref="N177" ca="1">_xll.BDP("EJ300145 Corp","ID028")</f>
        <v>#NAME?</v>
      </c>
      <c r="O177" s="1" t="e" cm="1">
        <f t="array" aca="1" ref="O177" ca="1">_xll.BDP("EJ300145 Corp","ID005")</f>
        <v>#NAME?</v>
      </c>
      <c r="P177" s="1" t="e" cm="1">
        <f t="array" aca="1" ref="P177" ca="1">_xll.BDP(A177,"RA007")</f>
        <v>#NAME?</v>
      </c>
      <c r="Q177" s="1" t="e" cm="1">
        <f t="array" aca="1" ref="Q177" ca="1">_xll.BDP(A177,"DS219")</f>
        <v>#NAME?</v>
      </c>
      <c r="R177" s="3" t="e" cm="1">
        <f t="array" aca="1" ref="R177" ca="1">_xll.BDP(A177,"DS040")</f>
        <v>#NAME?</v>
      </c>
      <c r="S177" s="4" t="e">
        <f t="shared" ca="1" si="6"/>
        <v>#NAME?</v>
      </c>
      <c r="T177" s="7" t="e">
        <f t="shared" ca="1" si="7"/>
        <v>#NAME?</v>
      </c>
      <c r="U177" s="3" t="e">
        <f t="shared" ca="1" si="8"/>
        <v>#NAME?</v>
      </c>
    </row>
    <row r="178" spans="1:21" x14ac:dyDescent="0.35">
      <c r="A178" s="5" t="s">
        <v>237</v>
      </c>
      <c r="B178" s="1" t="e" cm="1">
        <f t="array" aca="1" ref="B178" ca="1">_xll.BDP("EJ336551 Corp","DS520")</f>
        <v>#NAME?</v>
      </c>
      <c r="C178" s="1" t="e" cm="1">
        <f t="array" aca="1" ref="C178" ca="1">_xll.BDP("EJ336551 Corp","DS001")</f>
        <v>#NAME?</v>
      </c>
      <c r="D178" s="1" t="e" cm="1">
        <f t="array" aca="1" ref="D178" ca="1">_xll.BDP("EJ336551 Corp","DS458")</f>
        <v>#NAME?</v>
      </c>
      <c r="E178" s="1" t="e" cm="1">
        <f t="array" aca="1" ref="E178" ca="1">_xll.BDP("EJ336551 Corp","DS004")</f>
        <v>#NAME?</v>
      </c>
      <c r="F178" s="1" t="e" cm="1">
        <f t="array" aca="1" ref="F178" ca="1">_xll.BDP("EJ336551 Corp","DS035")</f>
        <v>#NAME?</v>
      </c>
      <c r="G178" s="1" t="e" cm="1">
        <f t="array" aca="1" ref="G178" ca="1">_xll.BDP("EJ336551 Corp","DS086")</f>
        <v>#NAME?</v>
      </c>
      <c r="H178" s="1" t="e" cm="1">
        <f t="array" aca="1" ref="H178" ca="1">_xll.BDP("EJ336551 Corp","DS034")</f>
        <v>#NAME?</v>
      </c>
      <c r="I178" s="1" t="e" cm="1">
        <f t="array" aca="1" ref="I178" ca="1">_xll.BDP("EJ336551 Corp","DS033")</f>
        <v>#NAME?</v>
      </c>
      <c r="J178" s="7" t="e" cm="1">
        <f t="array" aca="1" ref="J178" ca="1">_xll.BDP("EJ336551 Corp","YL018")</f>
        <v>#NAME?</v>
      </c>
      <c r="K178" s="7" t="e" cm="1">
        <f t="array" aca="1" ref="K178" ca="1">_xll.BDP("EJ336551 Corp","YL016")</f>
        <v>#NAME?</v>
      </c>
      <c r="L178" s="7" t="e" cm="1">
        <f t="array" aca="1" ref="L178" ca="1">_xll.BDP("EJ336551 Corp","PR004")</f>
        <v>#NAME?</v>
      </c>
      <c r="M178" s="7" t="e" cm="1">
        <f t="array" aca="1" ref="M178" ca="1">_xll.BDP("EJ336551 Corp","PR002")</f>
        <v>#NAME?</v>
      </c>
      <c r="N178" s="1" t="e" cm="1">
        <f t="array" aca="1" ref="N178" ca="1">_xll.BDP("EJ336551 Corp","ID028")</f>
        <v>#NAME?</v>
      </c>
      <c r="O178" s="1" t="e" cm="1">
        <f t="array" aca="1" ref="O178" ca="1">_xll.BDP("EJ336551 Corp","ID005")</f>
        <v>#NAME?</v>
      </c>
      <c r="P178" s="1" t="e" cm="1">
        <f t="array" aca="1" ref="P178" ca="1">_xll.BDP(A178,"RA007")</f>
        <v>#NAME?</v>
      </c>
      <c r="Q178" s="1" t="e" cm="1">
        <f t="array" aca="1" ref="Q178" ca="1">_xll.BDP(A178,"DS219")</f>
        <v>#NAME?</v>
      </c>
      <c r="R178" s="3" t="e" cm="1">
        <f t="array" aca="1" ref="R178" ca="1">_xll.BDP(A178,"DS040")</f>
        <v>#NAME?</v>
      </c>
      <c r="S178" s="4" t="e">
        <f t="shared" ca="1" si="6"/>
        <v>#NAME?</v>
      </c>
      <c r="T178" s="7" t="e">
        <f t="shared" ca="1" si="7"/>
        <v>#NAME?</v>
      </c>
      <c r="U178" s="3" t="e">
        <f t="shared" ca="1" si="8"/>
        <v>#NAME?</v>
      </c>
    </row>
    <row r="179" spans="1:21" x14ac:dyDescent="0.35">
      <c r="A179" s="5" t="s">
        <v>238</v>
      </c>
      <c r="B179" s="1" t="e" cm="1">
        <f t="array" aca="1" ref="B179" ca="1">_xll.BDP("EJ353672 Corp","DS520")</f>
        <v>#NAME?</v>
      </c>
      <c r="C179" s="1" t="e" cm="1">
        <f t="array" aca="1" ref="C179" ca="1">_xll.BDP("EJ353672 Corp","DS001")</f>
        <v>#NAME?</v>
      </c>
      <c r="D179" s="1" t="e" cm="1">
        <f t="array" aca="1" ref="D179" ca="1">_xll.BDP("EJ353672 Corp","DS458")</f>
        <v>#NAME?</v>
      </c>
      <c r="E179" s="1" t="e" cm="1">
        <f t="array" aca="1" ref="E179" ca="1">_xll.BDP("EJ353672 Corp","DS004")</f>
        <v>#NAME?</v>
      </c>
      <c r="F179" s="1" t="e" cm="1">
        <f t="array" aca="1" ref="F179" ca="1">_xll.BDP("EJ353672 Corp","DS035")</f>
        <v>#NAME?</v>
      </c>
      <c r="G179" s="1" t="e" cm="1">
        <f t="array" aca="1" ref="G179" ca="1">_xll.BDP("EJ353672 Corp","DS086")</f>
        <v>#NAME?</v>
      </c>
      <c r="H179" s="1" t="e" cm="1">
        <f t="array" aca="1" ref="H179" ca="1">_xll.BDP("EJ353672 Corp","DS034")</f>
        <v>#NAME?</v>
      </c>
      <c r="I179" s="1" t="e" cm="1">
        <f t="array" aca="1" ref="I179" ca="1">_xll.BDP("EJ353672 Corp","DS033")</f>
        <v>#NAME?</v>
      </c>
      <c r="J179" s="7" t="e" cm="1">
        <f t="array" aca="1" ref="J179" ca="1">_xll.BDP("EJ353672 Corp","YL018")</f>
        <v>#NAME?</v>
      </c>
      <c r="K179" s="7" t="e" cm="1">
        <f t="array" aca="1" ref="K179" ca="1">_xll.BDP("EJ353672 Corp","YL016")</f>
        <v>#NAME?</v>
      </c>
      <c r="L179" s="7" t="e" cm="1">
        <f t="array" aca="1" ref="L179" ca="1">_xll.BDP("EJ353672 Corp","PR004")</f>
        <v>#NAME?</v>
      </c>
      <c r="M179" s="7" t="e" cm="1">
        <f t="array" aca="1" ref="M179" ca="1">_xll.BDP("EJ353672 Corp","PR002")</f>
        <v>#NAME?</v>
      </c>
      <c r="N179" s="1" t="e" cm="1">
        <f t="array" aca="1" ref="N179" ca="1">_xll.BDP("EJ353672 Corp","ID028")</f>
        <v>#NAME?</v>
      </c>
      <c r="O179" s="1" t="e" cm="1">
        <f t="array" aca="1" ref="O179" ca="1">_xll.BDP("EJ353672 Corp","ID005")</f>
        <v>#NAME?</v>
      </c>
      <c r="P179" s="1" t="e" cm="1">
        <f t="array" aca="1" ref="P179" ca="1">_xll.BDP(A179,"RA007")</f>
        <v>#NAME?</v>
      </c>
      <c r="Q179" s="1" t="e" cm="1">
        <f t="array" aca="1" ref="Q179" ca="1">_xll.BDP(A179,"DS219")</f>
        <v>#NAME?</v>
      </c>
      <c r="R179" s="3" t="e" cm="1">
        <f t="array" aca="1" ref="R179" ca="1">_xll.BDP(A179,"DS040")</f>
        <v>#NAME?</v>
      </c>
      <c r="S179" s="4" t="e">
        <f t="shared" ca="1" si="6"/>
        <v>#NAME?</v>
      </c>
      <c r="T179" s="7" t="e">
        <f t="shared" ca="1" si="7"/>
        <v>#NAME?</v>
      </c>
      <c r="U179" s="3" t="e">
        <f t="shared" ca="1" si="8"/>
        <v>#NAME?</v>
      </c>
    </row>
    <row r="180" spans="1:21" x14ac:dyDescent="0.35">
      <c r="A180" s="5" t="s">
        <v>239</v>
      </c>
      <c r="B180" s="1" t="e" cm="1">
        <f t="array" aca="1" ref="B180" ca="1">_xll.BDP("EJ363340 Corp","DS520")</f>
        <v>#NAME?</v>
      </c>
      <c r="C180" s="1" t="e" cm="1">
        <f t="array" aca="1" ref="C180" ca="1">_xll.BDP("EJ363340 Corp","DS001")</f>
        <v>#NAME?</v>
      </c>
      <c r="D180" s="1" t="e" cm="1">
        <f t="array" aca="1" ref="D180" ca="1">_xll.BDP("EJ363340 Corp","DS458")</f>
        <v>#NAME?</v>
      </c>
      <c r="E180" s="1" t="e" cm="1">
        <f t="array" aca="1" ref="E180" ca="1">_xll.BDP("EJ363340 Corp","DS004")</f>
        <v>#NAME?</v>
      </c>
      <c r="F180" s="1" t="e" cm="1">
        <f t="array" aca="1" ref="F180" ca="1">_xll.BDP("EJ363340 Corp","DS035")</f>
        <v>#NAME?</v>
      </c>
      <c r="G180" s="1" t="e" cm="1">
        <f t="array" aca="1" ref="G180" ca="1">_xll.BDP("EJ363340 Corp","DS086")</f>
        <v>#NAME?</v>
      </c>
      <c r="H180" s="1" t="e" cm="1">
        <f t="array" aca="1" ref="H180" ca="1">_xll.BDP("EJ363340 Corp","DS034")</f>
        <v>#NAME?</v>
      </c>
      <c r="I180" s="1" t="e" cm="1">
        <f t="array" aca="1" ref="I180" ca="1">_xll.BDP("EJ363340 Corp","DS033")</f>
        <v>#NAME?</v>
      </c>
      <c r="J180" s="7" t="e" cm="1">
        <f t="array" aca="1" ref="J180" ca="1">_xll.BDP("EJ363340 Corp","YL018")</f>
        <v>#NAME?</v>
      </c>
      <c r="K180" s="7" t="e" cm="1">
        <f t="array" aca="1" ref="K180" ca="1">_xll.BDP("EJ363340 Corp","YL016")</f>
        <v>#NAME?</v>
      </c>
      <c r="L180" s="7" t="e" cm="1">
        <f t="array" aca="1" ref="L180" ca="1">_xll.BDP("EJ363340 Corp","PR004")</f>
        <v>#NAME?</v>
      </c>
      <c r="M180" s="7" t="e" cm="1">
        <f t="array" aca="1" ref="M180" ca="1">_xll.BDP("EJ363340 Corp","PR002")</f>
        <v>#NAME?</v>
      </c>
      <c r="N180" s="1" t="e" cm="1">
        <f t="array" aca="1" ref="N180" ca="1">_xll.BDP("EJ363340 Corp","ID028")</f>
        <v>#NAME?</v>
      </c>
      <c r="O180" s="1" t="e" cm="1">
        <f t="array" aca="1" ref="O180" ca="1">_xll.BDP("EJ363340 Corp","ID005")</f>
        <v>#NAME?</v>
      </c>
      <c r="P180" s="1" t="e" cm="1">
        <f t="array" aca="1" ref="P180" ca="1">_xll.BDP(A180,"RA007")</f>
        <v>#NAME?</v>
      </c>
      <c r="Q180" s="1" t="e" cm="1">
        <f t="array" aca="1" ref="Q180" ca="1">_xll.BDP(A180,"DS219")</f>
        <v>#NAME?</v>
      </c>
      <c r="R180" s="3" t="e" cm="1">
        <f t="array" aca="1" ref="R180" ca="1">_xll.BDP(A180,"DS040")</f>
        <v>#NAME?</v>
      </c>
      <c r="S180" s="4" t="e">
        <f t="shared" ca="1" si="6"/>
        <v>#NAME?</v>
      </c>
      <c r="T180" s="7" t="e">
        <f t="shared" ca="1" si="7"/>
        <v>#NAME?</v>
      </c>
      <c r="U180" s="3" t="e">
        <f t="shared" ca="1" si="8"/>
        <v>#NAME?</v>
      </c>
    </row>
    <row r="181" spans="1:21" x14ac:dyDescent="0.35">
      <c r="A181" s="5" t="s">
        <v>240</v>
      </c>
      <c r="B181" s="1" t="e" cm="1">
        <f t="array" aca="1" ref="B181" ca="1">_xll.BDP("EJ488345 Corp","DS520")</f>
        <v>#NAME?</v>
      </c>
      <c r="C181" s="1" t="e" cm="1">
        <f t="array" aca="1" ref="C181" ca="1">_xll.BDP("EJ488345 Corp","DS001")</f>
        <v>#NAME?</v>
      </c>
      <c r="D181" s="1" t="e" cm="1">
        <f t="array" aca="1" ref="D181" ca="1">_xll.BDP("EJ488345 Corp","DS458")</f>
        <v>#NAME?</v>
      </c>
      <c r="E181" s="1" t="e" cm="1">
        <f t="array" aca="1" ref="E181" ca="1">_xll.BDP("EJ488345 Corp","DS004")</f>
        <v>#NAME?</v>
      </c>
      <c r="F181" s="1" t="e" cm="1">
        <f t="array" aca="1" ref="F181" ca="1">_xll.BDP("EJ488345 Corp","DS035")</f>
        <v>#NAME?</v>
      </c>
      <c r="G181" s="1" t="e" cm="1">
        <f t="array" aca="1" ref="G181" ca="1">_xll.BDP("EJ488345 Corp","DS086")</f>
        <v>#NAME?</v>
      </c>
      <c r="H181" s="1" t="e" cm="1">
        <f t="array" aca="1" ref="H181" ca="1">_xll.BDP("EJ488345 Corp","DS034")</f>
        <v>#NAME?</v>
      </c>
      <c r="I181" s="1" t="e" cm="1">
        <f t="array" aca="1" ref="I181" ca="1">_xll.BDP("EJ488345 Corp","DS033")</f>
        <v>#NAME?</v>
      </c>
      <c r="J181" s="7" t="e" cm="1">
        <f t="array" aca="1" ref="J181" ca="1">_xll.BDP("EJ488345 Corp","YL018")</f>
        <v>#NAME?</v>
      </c>
      <c r="K181" s="7" t="e" cm="1">
        <f t="array" aca="1" ref="K181" ca="1">_xll.BDP("EJ488345 Corp","YL016")</f>
        <v>#NAME?</v>
      </c>
      <c r="L181" s="7" t="e" cm="1">
        <f t="array" aca="1" ref="L181" ca="1">_xll.BDP("EJ488345 Corp","PR004")</f>
        <v>#NAME?</v>
      </c>
      <c r="M181" s="7" t="e" cm="1">
        <f t="array" aca="1" ref="M181" ca="1">_xll.BDP("EJ488345 Corp","PR002")</f>
        <v>#NAME?</v>
      </c>
      <c r="N181" s="1" t="e" cm="1">
        <f t="array" aca="1" ref="N181" ca="1">_xll.BDP("EJ488345 Corp","ID028")</f>
        <v>#NAME?</v>
      </c>
      <c r="O181" s="1" t="e" cm="1">
        <f t="array" aca="1" ref="O181" ca="1">_xll.BDP("EJ488345 Corp","ID005")</f>
        <v>#NAME?</v>
      </c>
      <c r="P181" s="1" t="e" cm="1">
        <f t="array" aca="1" ref="P181" ca="1">_xll.BDP(A181,"RA007")</f>
        <v>#NAME?</v>
      </c>
      <c r="Q181" s="1" t="e" cm="1">
        <f t="array" aca="1" ref="Q181" ca="1">_xll.BDP(A181,"DS219")</f>
        <v>#NAME?</v>
      </c>
      <c r="R181" s="3" t="e" cm="1">
        <f t="array" aca="1" ref="R181" ca="1">_xll.BDP(A181,"DS040")</f>
        <v>#NAME?</v>
      </c>
      <c r="S181" s="4" t="e">
        <f t="shared" ca="1" si="6"/>
        <v>#NAME?</v>
      </c>
      <c r="T181" s="7" t="e">
        <f t="shared" ca="1" si="7"/>
        <v>#NAME?</v>
      </c>
      <c r="U181" s="3" t="e">
        <f t="shared" ca="1" si="8"/>
        <v>#NAME?</v>
      </c>
    </row>
    <row r="182" spans="1:21" x14ac:dyDescent="0.35">
      <c r="A182" s="5" t="s">
        <v>241</v>
      </c>
      <c r="B182" s="1" t="e" cm="1">
        <f t="array" aca="1" ref="B182" ca="1">_xll.BDP("EJ565915 Corp","DS520")</f>
        <v>#NAME?</v>
      </c>
      <c r="C182" s="1" t="e" cm="1">
        <f t="array" aca="1" ref="C182" ca="1">_xll.BDP("EJ565915 Corp","DS001")</f>
        <v>#NAME?</v>
      </c>
      <c r="D182" s="1" t="e" cm="1">
        <f t="array" aca="1" ref="D182" ca="1">_xll.BDP("EJ565915 Corp","DS458")</f>
        <v>#NAME?</v>
      </c>
      <c r="E182" s="1" t="e" cm="1">
        <f t="array" aca="1" ref="E182" ca="1">_xll.BDP("EJ565915 Corp","DS004")</f>
        <v>#NAME?</v>
      </c>
      <c r="F182" s="1" t="e" cm="1">
        <f t="array" aca="1" ref="F182" ca="1">_xll.BDP("EJ565915 Corp","DS035")</f>
        <v>#NAME?</v>
      </c>
      <c r="G182" s="1" t="e" cm="1">
        <f t="array" aca="1" ref="G182" ca="1">_xll.BDP("EJ565915 Corp","DS086")</f>
        <v>#NAME?</v>
      </c>
      <c r="H182" s="1" t="e" cm="1">
        <f t="array" aca="1" ref="H182" ca="1">_xll.BDP("EJ565915 Corp","DS034")</f>
        <v>#NAME?</v>
      </c>
      <c r="I182" s="1" t="e" cm="1">
        <f t="array" aca="1" ref="I182" ca="1">_xll.BDP("EJ565915 Corp","DS033")</f>
        <v>#NAME?</v>
      </c>
      <c r="J182" s="7" t="e" cm="1">
        <f t="array" aca="1" ref="J182" ca="1">_xll.BDP("EJ565915 Corp","YL018")</f>
        <v>#NAME?</v>
      </c>
      <c r="K182" s="7" t="e" cm="1">
        <f t="array" aca="1" ref="K182" ca="1">_xll.BDP("EJ565915 Corp","YL016")</f>
        <v>#NAME?</v>
      </c>
      <c r="L182" s="7" t="e" cm="1">
        <f t="array" aca="1" ref="L182" ca="1">_xll.BDP("EJ565915 Corp","PR004")</f>
        <v>#NAME?</v>
      </c>
      <c r="M182" s="7" t="e" cm="1">
        <f t="array" aca="1" ref="M182" ca="1">_xll.BDP("EJ565915 Corp","PR002")</f>
        <v>#NAME?</v>
      </c>
      <c r="N182" s="1" t="e" cm="1">
        <f t="array" aca="1" ref="N182" ca="1">_xll.BDP("EJ565915 Corp","ID028")</f>
        <v>#NAME?</v>
      </c>
      <c r="O182" s="1" t="e" cm="1">
        <f t="array" aca="1" ref="O182" ca="1">_xll.BDP("EJ565915 Corp","ID005")</f>
        <v>#NAME?</v>
      </c>
      <c r="P182" s="1" t="e" cm="1">
        <f t="array" aca="1" ref="P182" ca="1">_xll.BDP(A182,"RA007")</f>
        <v>#NAME?</v>
      </c>
      <c r="Q182" s="1" t="e" cm="1">
        <f t="array" aca="1" ref="Q182" ca="1">_xll.BDP(A182,"DS219")</f>
        <v>#NAME?</v>
      </c>
      <c r="R182" s="3" t="e" cm="1">
        <f t="array" aca="1" ref="R182" ca="1">_xll.BDP(A182,"DS040")</f>
        <v>#NAME?</v>
      </c>
      <c r="S182" s="4" t="e">
        <f t="shared" ca="1" si="6"/>
        <v>#NAME?</v>
      </c>
      <c r="T182" s="7" t="e">
        <f t="shared" ca="1" si="7"/>
        <v>#NAME?</v>
      </c>
      <c r="U182" s="3" t="e">
        <f t="shared" ca="1" si="8"/>
        <v>#NAME?</v>
      </c>
    </row>
    <row r="183" spans="1:21" x14ac:dyDescent="0.35">
      <c r="A183" s="5" t="s">
        <v>242</v>
      </c>
      <c r="B183" s="1" t="e" cm="1">
        <f t="array" aca="1" ref="B183" ca="1">_xll.BDP("EJ586107 Corp","DS520")</f>
        <v>#NAME?</v>
      </c>
      <c r="C183" s="1" t="e" cm="1">
        <f t="array" aca="1" ref="C183" ca="1">_xll.BDP("EJ586107 Corp","DS001")</f>
        <v>#NAME?</v>
      </c>
      <c r="D183" s="1" t="e" cm="1">
        <f t="array" aca="1" ref="D183" ca="1">_xll.BDP("EJ586107 Corp","DS458")</f>
        <v>#NAME?</v>
      </c>
      <c r="E183" s="1" t="e" cm="1">
        <f t="array" aca="1" ref="E183" ca="1">_xll.BDP("EJ586107 Corp","DS004")</f>
        <v>#NAME?</v>
      </c>
      <c r="F183" s="1" t="e" cm="1">
        <f t="array" aca="1" ref="F183" ca="1">_xll.BDP("EJ586107 Corp","DS035")</f>
        <v>#NAME?</v>
      </c>
      <c r="G183" s="1" t="e" cm="1">
        <f t="array" aca="1" ref="G183" ca="1">_xll.BDP("EJ586107 Corp","DS086")</f>
        <v>#NAME?</v>
      </c>
      <c r="H183" s="1" t="e" cm="1">
        <f t="array" aca="1" ref="H183" ca="1">_xll.BDP("EJ586107 Corp","DS034")</f>
        <v>#NAME?</v>
      </c>
      <c r="I183" s="1" t="e" cm="1">
        <f t="array" aca="1" ref="I183" ca="1">_xll.BDP("EJ586107 Corp","DS033")</f>
        <v>#NAME?</v>
      </c>
      <c r="J183" s="7" t="e" cm="1">
        <f t="array" aca="1" ref="J183" ca="1">_xll.BDP("EJ586107 Corp","YL018")</f>
        <v>#NAME?</v>
      </c>
      <c r="K183" s="7" t="e" cm="1">
        <f t="array" aca="1" ref="K183" ca="1">_xll.BDP("EJ586107 Corp","YL016")</f>
        <v>#NAME?</v>
      </c>
      <c r="L183" s="7" t="e" cm="1">
        <f t="array" aca="1" ref="L183" ca="1">_xll.BDP("EJ586107 Corp","PR004")</f>
        <v>#NAME?</v>
      </c>
      <c r="M183" s="7" t="e" cm="1">
        <f t="array" aca="1" ref="M183" ca="1">_xll.BDP("EJ586107 Corp","PR002")</f>
        <v>#NAME?</v>
      </c>
      <c r="N183" s="1" t="e" cm="1">
        <f t="array" aca="1" ref="N183" ca="1">_xll.BDP("EJ586107 Corp","ID028")</f>
        <v>#NAME?</v>
      </c>
      <c r="O183" s="1" t="e" cm="1">
        <f t="array" aca="1" ref="O183" ca="1">_xll.BDP("EJ586107 Corp","ID005")</f>
        <v>#NAME?</v>
      </c>
      <c r="P183" s="1" t="e" cm="1">
        <f t="array" aca="1" ref="P183" ca="1">_xll.BDP(A183,"RA007")</f>
        <v>#NAME?</v>
      </c>
      <c r="Q183" s="1" t="e" cm="1">
        <f t="array" aca="1" ref="Q183" ca="1">_xll.BDP(A183,"DS219")</f>
        <v>#NAME?</v>
      </c>
      <c r="R183" s="3" t="e" cm="1">
        <f t="array" aca="1" ref="R183" ca="1">_xll.BDP(A183,"DS040")</f>
        <v>#NAME?</v>
      </c>
      <c r="S183" s="4" t="e">
        <f t="shared" ca="1" si="6"/>
        <v>#NAME?</v>
      </c>
      <c r="T183" s="7" t="e">
        <f t="shared" ca="1" si="7"/>
        <v>#NAME?</v>
      </c>
      <c r="U183" s="3" t="e">
        <f t="shared" ca="1" si="8"/>
        <v>#NAME?</v>
      </c>
    </row>
    <row r="184" spans="1:21" x14ac:dyDescent="0.35">
      <c r="A184" s="5" t="s">
        <v>243</v>
      </c>
      <c r="B184" s="1" t="e" cm="1">
        <f t="array" aca="1" ref="B184" ca="1">_xll.BDP("EJ593960 Corp","DS520")</f>
        <v>#NAME?</v>
      </c>
      <c r="C184" s="1" t="e" cm="1">
        <f t="array" aca="1" ref="C184" ca="1">_xll.BDP("EJ593960 Corp","DS001")</f>
        <v>#NAME?</v>
      </c>
      <c r="D184" s="1" t="e" cm="1">
        <f t="array" aca="1" ref="D184" ca="1">_xll.BDP("EJ593960 Corp","DS458")</f>
        <v>#NAME?</v>
      </c>
      <c r="E184" s="1" t="e" cm="1">
        <f t="array" aca="1" ref="E184" ca="1">_xll.BDP("EJ593960 Corp","DS004")</f>
        <v>#NAME?</v>
      </c>
      <c r="F184" s="1" t="e" cm="1">
        <f t="array" aca="1" ref="F184" ca="1">_xll.BDP("EJ593960 Corp","DS035")</f>
        <v>#NAME?</v>
      </c>
      <c r="G184" s="1" t="e" cm="1">
        <f t="array" aca="1" ref="G184" ca="1">_xll.BDP("EJ593960 Corp","DS086")</f>
        <v>#NAME?</v>
      </c>
      <c r="H184" s="1" t="e" cm="1">
        <f t="array" aca="1" ref="H184" ca="1">_xll.BDP("EJ593960 Corp","DS034")</f>
        <v>#NAME?</v>
      </c>
      <c r="I184" s="1" t="e" cm="1">
        <f t="array" aca="1" ref="I184" ca="1">_xll.BDP("EJ593960 Corp","DS033")</f>
        <v>#NAME?</v>
      </c>
      <c r="J184" s="7" t="e" cm="1">
        <f t="array" aca="1" ref="J184" ca="1">_xll.BDP("EJ593960 Corp","YL018")</f>
        <v>#NAME?</v>
      </c>
      <c r="K184" s="7" t="e" cm="1">
        <f t="array" aca="1" ref="K184" ca="1">_xll.BDP("EJ593960 Corp","YL016")</f>
        <v>#NAME?</v>
      </c>
      <c r="L184" s="7" t="e" cm="1">
        <f t="array" aca="1" ref="L184" ca="1">_xll.BDP("EJ593960 Corp","PR004")</f>
        <v>#NAME?</v>
      </c>
      <c r="M184" s="7" t="e" cm="1">
        <f t="array" aca="1" ref="M184" ca="1">_xll.BDP("EJ593960 Corp","PR002")</f>
        <v>#NAME?</v>
      </c>
      <c r="N184" s="1" t="e" cm="1">
        <f t="array" aca="1" ref="N184" ca="1">_xll.BDP("EJ593960 Corp","ID028")</f>
        <v>#NAME?</v>
      </c>
      <c r="O184" s="1" t="e" cm="1">
        <f t="array" aca="1" ref="O184" ca="1">_xll.BDP("EJ593960 Corp","ID005")</f>
        <v>#NAME?</v>
      </c>
      <c r="P184" s="1" t="e" cm="1">
        <f t="array" aca="1" ref="P184" ca="1">_xll.BDP(A184,"RA007")</f>
        <v>#NAME?</v>
      </c>
      <c r="Q184" s="1" t="e" cm="1">
        <f t="array" aca="1" ref="Q184" ca="1">_xll.BDP(A184,"DS219")</f>
        <v>#NAME?</v>
      </c>
      <c r="R184" s="3" t="e" cm="1">
        <f t="array" aca="1" ref="R184" ca="1">_xll.BDP(A184,"DS040")</f>
        <v>#NAME?</v>
      </c>
      <c r="S184" s="4" t="e">
        <f t="shared" ca="1" si="6"/>
        <v>#NAME?</v>
      </c>
      <c r="T184" s="7" t="e">
        <f t="shared" ca="1" si="7"/>
        <v>#NAME?</v>
      </c>
      <c r="U184" s="3" t="e">
        <f t="shared" ca="1" si="8"/>
        <v>#NAME?</v>
      </c>
    </row>
    <row r="185" spans="1:21" x14ac:dyDescent="0.35">
      <c r="A185" s="5" t="s">
        <v>244</v>
      </c>
      <c r="B185" s="1" t="e" cm="1">
        <f t="array" aca="1" ref="B185" ca="1">_xll.BDP("EJ643211 Corp","DS520")</f>
        <v>#NAME?</v>
      </c>
      <c r="C185" s="1" t="e" cm="1">
        <f t="array" aca="1" ref="C185" ca="1">_xll.BDP("EJ643211 Corp","DS001")</f>
        <v>#NAME?</v>
      </c>
      <c r="D185" s="1" t="e" cm="1">
        <f t="array" aca="1" ref="D185" ca="1">_xll.BDP("EJ643211 Corp","DS458")</f>
        <v>#NAME?</v>
      </c>
      <c r="E185" s="1" t="e" cm="1">
        <f t="array" aca="1" ref="E185" ca="1">_xll.BDP("EJ643211 Corp","DS004")</f>
        <v>#NAME?</v>
      </c>
      <c r="F185" s="1" t="e" cm="1">
        <f t="array" aca="1" ref="F185" ca="1">_xll.BDP("EJ643211 Corp","DS035")</f>
        <v>#NAME?</v>
      </c>
      <c r="G185" s="1" t="e" cm="1">
        <f t="array" aca="1" ref="G185" ca="1">_xll.BDP("EJ643211 Corp","DS086")</f>
        <v>#NAME?</v>
      </c>
      <c r="H185" s="1" t="e" cm="1">
        <f t="array" aca="1" ref="H185" ca="1">_xll.BDP("EJ643211 Corp","DS034")</f>
        <v>#NAME?</v>
      </c>
      <c r="I185" s="1" t="e" cm="1">
        <f t="array" aca="1" ref="I185" ca="1">_xll.BDP("EJ643211 Corp","DS033")</f>
        <v>#NAME?</v>
      </c>
      <c r="J185" s="7" t="e" cm="1">
        <f t="array" aca="1" ref="J185" ca="1">_xll.BDP("EJ643211 Corp","YL018")</f>
        <v>#NAME?</v>
      </c>
      <c r="K185" s="7" t="e" cm="1">
        <f t="array" aca="1" ref="K185" ca="1">_xll.BDP("EJ643211 Corp","YL016")</f>
        <v>#NAME?</v>
      </c>
      <c r="L185" s="7" t="e" cm="1">
        <f t="array" aca="1" ref="L185" ca="1">_xll.BDP("EJ643211 Corp","PR004")</f>
        <v>#NAME?</v>
      </c>
      <c r="M185" s="7" t="e" cm="1">
        <f t="array" aca="1" ref="M185" ca="1">_xll.BDP("EJ643211 Corp","PR002")</f>
        <v>#NAME?</v>
      </c>
      <c r="N185" s="1" t="e" cm="1">
        <f t="array" aca="1" ref="N185" ca="1">_xll.BDP("EJ643211 Corp","ID028")</f>
        <v>#NAME?</v>
      </c>
      <c r="O185" s="1" t="e" cm="1">
        <f t="array" aca="1" ref="O185" ca="1">_xll.BDP("EJ643211 Corp","ID005")</f>
        <v>#NAME?</v>
      </c>
      <c r="P185" s="1" t="e" cm="1">
        <f t="array" aca="1" ref="P185" ca="1">_xll.BDP(A185,"RA007")</f>
        <v>#NAME?</v>
      </c>
      <c r="Q185" s="1" t="e" cm="1">
        <f t="array" aca="1" ref="Q185" ca="1">_xll.BDP(A185,"DS219")</f>
        <v>#NAME?</v>
      </c>
      <c r="R185" s="3" t="e" cm="1">
        <f t="array" aca="1" ref="R185" ca="1">_xll.BDP(A185,"DS040")</f>
        <v>#NAME?</v>
      </c>
      <c r="S185" s="4" t="e">
        <f t="shared" ca="1" si="6"/>
        <v>#NAME?</v>
      </c>
      <c r="T185" s="7" t="e">
        <f t="shared" ca="1" si="7"/>
        <v>#NAME?</v>
      </c>
      <c r="U185" s="3" t="e">
        <f t="shared" ca="1" si="8"/>
        <v>#NAME?</v>
      </c>
    </row>
    <row r="186" spans="1:21" x14ac:dyDescent="0.35">
      <c r="A186" s="5" t="s">
        <v>245</v>
      </c>
      <c r="B186" s="1" t="e" cm="1">
        <f t="array" aca="1" ref="B186" ca="1">_xll.BDP("EJ687610 Corp","DS520")</f>
        <v>#NAME?</v>
      </c>
      <c r="C186" s="1" t="e" cm="1">
        <f t="array" aca="1" ref="C186" ca="1">_xll.BDP("EJ687610 Corp","DS001")</f>
        <v>#NAME?</v>
      </c>
      <c r="D186" s="1" t="e" cm="1">
        <f t="array" aca="1" ref="D186" ca="1">_xll.BDP("EJ687610 Corp","DS458")</f>
        <v>#NAME?</v>
      </c>
      <c r="E186" s="1" t="e" cm="1">
        <f t="array" aca="1" ref="E186" ca="1">_xll.BDP("EJ687610 Corp","DS004")</f>
        <v>#NAME?</v>
      </c>
      <c r="F186" s="1" t="e" cm="1">
        <f t="array" aca="1" ref="F186" ca="1">_xll.BDP("EJ687610 Corp","DS035")</f>
        <v>#NAME?</v>
      </c>
      <c r="G186" s="1" t="e" cm="1">
        <f t="array" aca="1" ref="G186" ca="1">_xll.BDP("EJ687610 Corp","DS086")</f>
        <v>#NAME?</v>
      </c>
      <c r="H186" s="1" t="e" cm="1">
        <f t="array" aca="1" ref="H186" ca="1">_xll.BDP("EJ687610 Corp","DS034")</f>
        <v>#NAME?</v>
      </c>
      <c r="I186" s="1" t="e" cm="1">
        <f t="array" aca="1" ref="I186" ca="1">_xll.BDP("EJ687610 Corp","DS033")</f>
        <v>#NAME?</v>
      </c>
      <c r="J186" s="7" t="e" cm="1">
        <f t="array" aca="1" ref="J186" ca="1">_xll.BDP("EJ687610 Corp","YL018")</f>
        <v>#NAME?</v>
      </c>
      <c r="K186" s="7" t="e" cm="1">
        <f t="array" aca="1" ref="K186" ca="1">_xll.BDP("EJ687610 Corp","YL016")</f>
        <v>#NAME?</v>
      </c>
      <c r="L186" s="7" t="e" cm="1">
        <f t="array" aca="1" ref="L186" ca="1">_xll.BDP("EJ687610 Corp","PR004")</f>
        <v>#NAME?</v>
      </c>
      <c r="M186" s="7" t="e" cm="1">
        <f t="array" aca="1" ref="M186" ca="1">_xll.BDP("EJ687610 Corp","PR002")</f>
        <v>#NAME?</v>
      </c>
      <c r="N186" s="1" t="e" cm="1">
        <f t="array" aca="1" ref="N186" ca="1">_xll.BDP("EJ687610 Corp","ID028")</f>
        <v>#NAME?</v>
      </c>
      <c r="O186" s="1" t="e" cm="1">
        <f t="array" aca="1" ref="O186" ca="1">_xll.BDP("EJ687610 Corp","ID005")</f>
        <v>#NAME?</v>
      </c>
      <c r="P186" s="1" t="e" cm="1">
        <f t="array" aca="1" ref="P186" ca="1">_xll.BDP(A186,"RA007")</f>
        <v>#NAME?</v>
      </c>
      <c r="Q186" s="1" t="e" cm="1">
        <f t="array" aca="1" ref="Q186" ca="1">_xll.BDP(A186,"DS219")</f>
        <v>#NAME?</v>
      </c>
      <c r="R186" s="3" t="e" cm="1">
        <f t="array" aca="1" ref="R186" ca="1">_xll.BDP(A186,"DS040")</f>
        <v>#NAME?</v>
      </c>
      <c r="S186" s="4" t="e">
        <f t="shared" ca="1" si="6"/>
        <v>#NAME?</v>
      </c>
      <c r="T186" s="7" t="e">
        <f t="shared" ca="1" si="7"/>
        <v>#NAME?</v>
      </c>
      <c r="U186" s="3" t="e">
        <f t="shared" ca="1" si="8"/>
        <v>#NAME?</v>
      </c>
    </row>
    <row r="187" spans="1:21" x14ac:dyDescent="0.35">
      <c r="A187" s="5" t="s">
        <v>246</v>
      </c>
      <c r="B187" s="1" t="e" cm="1">
        <f t="array" aca="1" ref="B187" ca="1">_xll.BDP("EJ709977 Corp","DS520")</f>
        <v>#NAME?</v>
      </c>
      <c r="C187" s="1" t="e" cm="1">
        <f t="array" aca="1" ref="C187" ca="1">_xll.BDP("EJ709977 Corp","DS001")</f>
        <v>#NAME?</v>
      </c>
      <c r="D187" s="1" t="e" cm="1">
        <f t="array" aca="1" ref="D187" ca="1">_xll.BDP("EJ709977 Corp","DS458")</f>
        <v>#NAME?</v>
      </c>
      <c r="E187" s="1" t="e" cm="1">
        <f t="array" aca="1" ref="E187" ca="1">_xll.BDP("EJ709977 Corp","DS004")</f>
        <v>#NAME?</v>
      </c>
      <c r="F187" s="1" t="e" cm="1">
        <f t="array" aca="1" ref="F187" ca="1">_xll.BDP("EJ709977 Corp","DS035")</f>
        <v>#NAME?</v>
      </c>
      <c r="G187" s="1" t="e" cm="1">
        <f t="array" aca="1" ref="G187" ca="1">_xll.BDP("EJ709977 Corp","DS086")</f>
        <v>#NAME?</v>
      </c>
      <c r="H187" s="1" t="e" cm="1">
        <f t="array" aca="1" ref="H187" ca="1">_xll.BDP("EJ709977 Corp","DS034")</f>
        <v>#NAME?</v>
      </c>
      <c r="I187" s="1" t="e" cm="1">
        <f t="array" aca="1" ref="I187" ca="1">_xll.BDP("EJ709977 Corp","DS033")</f>
        <v>#NAME?</v>
      </c>
      <c r="J187" s="7" t="e" cm="1">
        <f t="array" aca="1" ref="J187" ca="1">_xll.BDP("EJ709977 Corp","YL018")</f>
        <v>#NAME?</v>
      </c>
      <c r="K187" s="7" t="e" cm="1">
        <f t="array" aca="1" ref="K187" ca="1">_xll.BDP("EJ709977 Corp","YL016")</f>
        <v>#NAME?</v>
      </c>
      <c r="L187" s="7" t="e" cm="1">
        <f t="array" aca="1" ref="L187" ca="1">_xll.BDP("EJ709977 Corp","PR004")</f>
        <v>#NAME?</v>
      </c>
      <c r="M187" s="7" t="e" cm="1">
        <f t="array" aca="1" ref="M187" ca="1">_xll.BDP("EJ709977 Corp","PR002")</f>
        <v>#NAME?</v>
      </c>
      <c r="N187" s="1" t="e" cm="1">
        <f t="array" aca="1" ref="N187" ca="1">_xll.BDP("EJ709977 Corp","ID028")</f>
        <v>#NAME?</v>
      </c>
      <c r="O187" s="1" t="e" cm="1">
        <f t="array" aca="1" ref="O187" ca="1">_xll.BDP("EJ709977 Corp","ID005")</f>
        <v>#NAME?</v>
      </c>
      <c r="P187" s="1" t="e" cm="1">
        <f t="array" aca="1" ref="P187" ca="1">_xll.BDP(A187,"RA007")</f>
        <v>#NAME?</v>
      </c>
      <c r="Q187" s="1" t="e" cm="1">
        <f t="array" aca="1" ref="Q187" ca="1">_xll.BDP(A187,"DS219")</f>
        <v>#NAME?</v>
      </c>
      <c r="R187" s="3" t="e" cm="1">
        <f t="array" aca="1" ref="R187" ca="1">_xll.BDP(A187,"DS040")</f>
        <v>#NAME?</v>
      </c>
      <c r="S187" s="4" t="e">
        <f t="shared" ca="1" si="6"/>
        <v>#NAME?</v>
      </c>
      <c r="T187" s="7" t="e">
        <f t="shared" ca="1" si="7"/>
        <v>#NAME?</v>
      </c>
      <c r="U187" s="3" t="e">
        <f t="shared" ca="1" si="8"/>
        <v>#NAME?</v>
      </c>
    </row>
    <row r="188" spans="1:21" x14ac:dyDescent="0.35">
      <c r="A188" s="5" t="s">
        <v>247</v>
      </c>
      <c r="B188" s="1" t="e" cm="1">
        <f t="array" aca="1" ref="B188" ca="1">_xll.BDP("EJ724840 Corp","DS520")</f>
        <v>#NAME?</v>
      </c>
      <c r="C188" s="1" t="e" cm="1">
        <f t="array" aca="1" ref="C188" ca="1">_xll.BDP("EJ724840 Corp","DS001")</f>
        <v>#NAME?</v>
      </c>
      <c r="D188" s="1" t="e" cm="1">
        <f t="array" aca="1" ref="D188" ca="1">_xll.BDP("EJ724840 Corp","DS458")</f>
        <v>#NAME?</v>
      </c>
      <c r="E188" s="1" t="e" cm="1">
        <f t="array" aca="1" ref="E188" ca="1">_xll.BDP("EJ724840 Corp","DS004")</f>
        <v>#NAME?</v>
      </c>
      <c r="F188" s="1" t="e" cm="1">
        <f t="array" aca="1" ref="F188" ca="1">_xll.BDP("EJ724840 Corp","DS035")</f>
        <v>#NAME?</v>
      </c>
      <c r="G188" s="1" t="e" cm="1">
        <f t="array" aca="1" ref="G188" ca="1">_xll.BDP("EJ724840 Corp","DS086")</f>
        <v>#NAME?</v>
      </c>
      <c r="H188" s="1" t="e" cm="1">
        <f t="array" aca="1" ref="H188" ca="1">_xll.BDP("EJ724840 Corp","DS034")</f>
        <v>#NAME?</v>
      </c>
      <c r="I188" s="1" t="e" cm="1">
        <f t="array" aca="1" ref="I188" ca="1">_xll.BDP("EJ724840 Corp","DS033")</f>
        <v>#NAME?</v>
      </c>
      <c r="J188" s="7" t="e" cm="1">
        <f t="array" aca="1" ref="J188" ca="1">_xll.BDP("EJ724840 Corp","YL018")</f>
        <v>#NAME?</v>
      </c>
      <c r="K188" s="7" t="e" cm="1">
        <f t="array" aca="1" ref="K188" ca="1">_xll.BDP("EJ724840 Corp","YL016")</f>
        <v>#NAME?</v>
      </c>
      <c r="L188" s="7" t="e" cm="1">
        <f t="array" aca="1" ref="L188" ca="1">_xll.BDP("EJ724840 Corp","PR004")</f>
        <v>#NAME?</v>
      </c>
      <c r="M188" s="7" t="e" cm="1">
        <f t="array" aca="1" ref="M188" ca="1">_xll.BDP("EJ724840 Corp","PR002")</f>
        <v>#NAME?</v>
      </c>
      <c r="N188" s="1" t="e" cm="1">
        <f t="array" aca="1" ref="N188" ca="1">_xll.BDP("EJ724840 Corp","ID028")</f>
        <v>#NAME?</v>
      </c>
      <c r="O188" s="1" t="e" cm="1">
        <f t="array" aca="1" ref="O188" ca="1">_xll.BDP("EJ724840 Corp","ID005")</f>
        <v>#NAME?</v>
      </c>
      <c r="P188" s="1" t="e" cm="1">
        <f t="array" aca="1" ref="P188" ca="1">_xll.BDP(A188,"RA007")</f>
        <v>#NAME?</v>
      </c>
      <c r="Q188" s="1" t="e" cm="1">
        <f t="array" aca="1" ref="Q188" ca="1">_xll.BDP(A188,"DS219")</f>
        <v>#NAME?</v>
      </c>
      <c r="R188" s="3" t="e" cm="1">
        <f t="array" aca="1" ref="R188" ca="1">_xll.BDP(A188,"DS040")</f>
        <v>#NAME?</v>
      </c>
      <c r="S188" s="4" t="e">
        <f t="shared" ca="1" si="6"/>
        <v>#NAME?</v>
      </c>
      <c r="T188" s="7" t="e">
        <f t="shared" ca="1" si="7"/>
        <v>#NAME?</v>
      </c>
      <c r="U188" s="3" t="e">
        <f t="shared" ca="1" si="8"/>
        <v>#NAME?</v>
      </c>
    </row>
    <row r="189" spans="1:21" x14ac:dyDescent="0.35">
      <c r="A189" s="5" t="s">
        <v>248</v>
      </c>
      <c r="B189" s="1" t="e" cm="1">
        <f t="array" aca="1" ref="B189" ca="1">_xll.BDP("EJ827169 Corp","DS520")</f>
        <v>#NAME?</v>
      </c>
      <c r="C189" s="1" t="e" cm="1">
        <f t="array" aca="1" ref="C189" ca="1">_xll.BDP("EJ827169 Corp","DS001")</f>
        <v>#NAME?</v>
      </c>
      <c r="D189" s="1" t="e" cm="1">
        <f t="array" aca="1" ref="D189" ca="1">_xll.BDP("EJ827169 Corp","DS458")</f>
        <v>#NAME?</v>
      </c>
      <c r="E189" s="1" t="e" cm="1">
        <f t="array" aca="1" ref="E189" ca="1">_xll.BDP("EJ827169 Corp","DS004")</f>
        <v>#NAME?</v>
      </c>
      <c r="F189" s="1" t="e" cm="1">
        <f t="array" aca="1" ref="F189" ca="1">_xll.BDP("EJ827169 Corp","DS035")</f>
        <v>#NAME?</v>
      </c>
      <c r="G189" s="1" t="e" cm="1">
        <f t="array" aca="1" ref="G189" ca="1">_xll.BDP("EJ827169 Corp","DS086")</f>
        <v>#NAME?</v>
      </c>
      <c r="H189" s="1" t="e" cm="1">
        <f t="array" aca="1" ref="H189" ca="1">_xll.BDP("EJ827169 Corp","DS034")</f>
        <v>#NAME?</v>
      </c>
      <c r="I189" s="1" t="e" cm="1">
        <f t="array" aca="1" ref="I189" ca="1">_xll.BDP("EJ827169 Corp","DS033")</f>
        <v>#NAME?</v>
      </c>
      <c r="J189" s="7" t="e" cm="1">
        <f t="array" aca="1" ref="J189" ca="1">_xll.BDP("EJ827169 Corp","YL018")</f>
        <v>#NAME?</v>
      </c>
      <c r="K189" s="7" t="e" cm="1">
        <f t="array" aca="1" ref="K189" ca="1">_xll.BDP("EJ827169 Corp","YL016")</f>
        <v>#NAME?</v>
      </c>
      <c r="L189" s="7" t="e" cm="1">
        <f t="array" aca="1" ref="L189" ca="1">_xll.BDP("EJ827169 Corp","PR004")</f>
        <v>#NAME?</v>
      </c>
      <c r="M189" s="7" t="e" cm="1">
        <f t="array" aca="1" ref="M189" ca="1">_xll.BDP("EJ827169 Corp","PR002")</f>
        <v>#NAME?</v>
      </c>
      <c r="N189" s="1" t="e" cm="1">
        <f t="array" aca="1" ref="N189" ca="1">_xll.BDP("EJ827169 Corp","ID028")</f>
        <v>#NAME?</v>
      </c>
      <c r="O189" s="1" t="e" cm="1">
        <f t="array" aca="1" ref="O189" ca="1">_xll.BDP("EJ827169 Corp","ID005")</f>
        <v>#NAME?</v>
      </c>
      <c r="P189" s="1" t="e" cm="1">
        <f t="array" aca="1" ref="P189" ca="1">_xll.BDP(A189,"RA007")</f>
        <v>#NAME?</v>
      </c>
      <c r="Q189" s="1" t="e" cm="1">
        <f t="array" aca="1" ref="Q189" ca="1">_xll.BDP(A189,"DS219")</f>
        <v>#NAME?</v>
      </c>
      <c r="R189" s="3" t="e" cm="1">
        <f t="array" aca="1" ref="R189" ca="1">_xll.BDP(A189,"DS040")</f>
        <v>#NAME?</v>
      </c>
      <c r="S189" s="4" t="e">
        <f t="shared" ca="1" si="6"/>
        <v>#NAME?</v>
      </c>
      <c r="T189" s="7" t="e">
        <f t="shared" ca="1" si="7"/>
        <v>#NAME?</v>
      </c>
      <c r="U189" s="3" t="e">
        <f t="shared" ca="1" si="8"/>
        <v>#NAME?</v>
      </c>
    </row>
    <row r="190" spans="1:21" x14ac:dyDescent="0.35">
      <c r="A190" s="5" t="s">
        <v>249</v>
      </c>
      <c r="B190" s="1" t="e" cm="1">
        <f t="array" aca="1" ref="B190" ca="1">_xll.BDP("EJ843439 Corp","DS520")</f>
        <v>#NAME?</v>
      </c>
      <c r="C190" s="1" t="e" cm="1">
        <f t="array" aca="1" ref="C190" ca="1">_xll.BDP("EJ843439 Corp","DS001")</f>
        <v>#NAME?</v>
      </c>
      <c r="D190" s="1" t="e" cm="1">
        <f t="array" aca="1" ref="D190" ca="1">_xll.BDP("EJ843439 Corp","DS458")</f>
        <v>#NAME?</v>
      </c>
      <c r="E190" s="1" t="e" cm="1">
        <f t="array" aca="1" ref="E190" ca="1">_xll.BDP("EJ843439 Corp","DS004")</f>
        <v>#NAME?</v>
      </c>
      <c r="F190" s="1" t="e" cm="1">
        <f t="array" aca="1" ref="F190" ca="1">_xll.BDP("EJ843439 Corp","DS035")</f>
        <v>#NAME?</v>
      </c>
      <c r="G190" s="1" t="e" cm="1">
        <f t="array" aca="1" ref="G190" ca="1">_xll.BDP("EJ843439 Corp","DS086")</f>
        <v>#NAME?</v>
      </c>
      <c r="H190" s="1" t="e" cm="1">
        <f t="array" aca="1" ref="H190" ca="1">_xll.BDP("EJ843439 Corp","DS034")</f>
        <v>#NAME?</v>
      </c>
      <c r="I190" s="1" t="e" cm="1">
        <f t="array" aca="1" ref="I190" ca="1">_xll.BDP("EJ843439 Corp","DS033")</f>
        <v>#NAME?</v>
      </c>
      <c r="J190" s="7" t="e" cm="1">
        <f t="array" aca="1" ref="J190" ca="1">_xll.BDP("EJ843439 Corp","YL018")</f>
        <v>#NAME?</v>
      </c>
      <c r="K190" s="7" t="e" cm="1">
        <f t="array" aca="1" ref="K190" ca="1">_xll.BDP("EJ843439 Corp","YL016")</f>
        <v>#NAME?</v>
      </c>
      <c r="L190" s="7" t="e" cm="1">
        <f t="array" aca="1" ref="L190" ca="1">_xll.BDP("EJ843439 Corp","PR004")</f>
        <v>#NAME?</v>
      </c>
      <c r="M190" s="7" t="e" cm="1">
        <f t="array" aca="1" ref="M190" ca="1">_xll.BDP("EJ843439 Corp","PR002")</f>
        <v>#NAME?</v>
      </c>
      <c r="N190" s="1" t="e" cm="1">
        <f t="array" aca="1" ref="N190" ca="1">_xll.BDP("EJ843439 Corp","ID028")</f>
        <v>#NAME?</v>
      </c>
      <c r="O190" s="1" t="e" cm="1">
        <f t="array" aca="1" ref="O190" ca="1">_xll.BDP("EJ843439 Corp","ID005")</f>
        <v>#NAME?</v>
      </c>
      <c r="P190" s="1" t="e" cm="1">
        <f t="array" aca="1" ref="P190" ca="1">_xll.BDP(A190,"RA007")</f>
        <v>#NAME?</v>
      </c>
      <c r="Q190" s="1" t="e" cm="1">
        <f t="array" aca="1" ref="Q190" ca="1">_xll.BDP(A190,"DS219")</f>
        <v>#NAME?</v>
      </c>
      <c r="R190" s="3" t="e" cm="1">
        <f t="array" aca="1" ref="R190" ca="1">_xll.BDP(A190,"DS040")</f>
        <v>#NAME?</v>
      </c>
      <c r="S190" s="4" t="e">
        <f t="shared" ca="1" si="6"/>
        <v>#NAME?</v>
      </c>
      <c r="T190" s="7" t="e">
        <f t="shared" ca="1" si="7"/>
        <v>#NAME?</v>
      </c>
      <c r="U190" s="3" t="e">
        <f t="shared" ca="1" si="8"/>
        <v>#NAME?</v>
      </c>
    </row>
    <row r="191" spans="1:21" x14ac:dyDescent="0.35">
      <c r="A191" s="5" t="s">
        <v>250</v>
      </c>
      <c r="B191" s="1" t="e" cm="1">
        <f t="array" aca="1" ref="B191" ca="1">_xll.BDP("EJ983025 Corp","DS520")</f>
        <v>#NAME?</v>
      </c>
      <c r="C191" s="1" t="e" cm="1">
        <f t="array" aca="1" ref="C191" ca="1">_xll.BDP("EJ983025 Corp","DS001")</f>
        <v>#NAME?</v>
      </c>
      <c r="D191" s="1" t="e" cm="1">
        <f t="array" aca="1" ref="D191" ca="1">_xll.BDP("EJ983025 Corp","DS458")</f>
        <v>#NAME?</v>
      </c>
      <c r="E191" s="1" t="e" cm="1">
        <f t="array" aca="1" ref="E191" ca="1">_xll.BDP("EJ983025 Corp","DS004")</f>
        <v>#NAME?</v>
      </c>
      <c r="F191" s="1" t="e" cm="1">
        <f t="array" aca="1" ref="F191" ca="1">_xll.BDP("EJ983025 Corp","DS035")</f>
        <v>#NAME?</v>
      </c>
      <c r="G191" s="1" t="e" cm="1">
        <f t="array" aca="1" ref="G191" ca="1">_xll.BDP("EJ983025 Corp","DS086")</f>
        <v>#NAME?</v>
      </c>
      <c r="H191" s="1" t="e" cm="1">
        <f t="array" aca="1" ref="H191" ca="1">_xll.BDP("EJ983025 Corp","DS034")</f>
        <v>#NAME?</v>
      </c>
      <c r="I191" s="1" t="e" cm="1">
        <f t="array" aca="1" ref="I191" ca="1">_xll.BDP("EJ983025 Corp","DS033")</f>
        <v>#NAME?</v>
      </c>
      <c r="J191" s="7" t="e" cm="1">
        <f t="array" aca="1" ref="J191" ca="1">_xll.BDP("EJ983025 Corp","YL018")</f>
        <v>#NAME?</v>
      </c>
      <c r="K191" s="7" t="e" cm="1">
        <f t="array" aca="1" ref="K191" ca="1">_xll.BDP("EJ983025 Corp","YL016")</f>
        <v>#NAME?</v>
      </c>
      <c r="L191" s="7" t="e" cm="1">
        <f t="array" aca="1" ref="L191" ca="1">_xll.BDP("EJ983025 Corp","PR004")</f>
        <v>#NAME?</v>
      </c>
      <c r="M191" s="7" t="e" cm="1">
        <f t="array" aca="1" ref="M191" ca="1">_xll.BDP("EJ983025 Corp","PR002")</f>
        <v>#NAME?</v>
      </c>
      <c r="N191" s="1" t="e" cm="1">
        <f t="array" aca="1" ref="N191" ca="1">_xll.BDP("EJ983025 Corp","ID028")</f>
        <v>#NAME?</v>
      </c>
      <c r="O191" s="1" t="e" cm="1">
        <f t="array" aca="1" ref="O191" ca="1">_xll.BDP("EJ983025 Corp","ID005")</f>
        <v>#NAME?</v>
      </c>
      <c r="P191" s="1" t="e" cm="1">
        <f t="array" aca="1" ref="P191" ca="1">_xll.BDP(A191,"RA007")</f>
        <v>#NAME?</v>
      </c>
      <c r="Q191" s="1" t="e" cm="1">
        <f t="array" aca="1" ref="Q191" ca="1">_xll.BDP(A191,"DS219")</f>
        <v>#NAME?</v>
      </c>
      <c r="R191" s="3" t="e" cm="1">
        <f t="array" aca="1" ref="R191" ca="1">_xll.BDP(A191,"DS040")</f>
        <v>#NAME?</v>
      </c>
      <c r="S191" s="4" t="e">
        <f t="shared" ca="1" si="6"/>
        <v>#NAME?</v>
      </c>
      <c r="T191" s="7" t="e">
        <f t="shared" ca="1" si="7"/>
        <v>#NAME?</v>
      </c>
      <c r="U191" s="3" t="e">
        <f t="shared" ca="1" si="8"/>
        <v>#NAME?</v>
      </c>
    </row>
    <row r="192" spans="1:21" x14ac:dyDescent="0.35">
      <c r="A192" s="5" t="s">
        <v>251</v>
      </c>
      <c r="B192" s="1" t="e" cm="1">
        <f t="array" aca="1" ref="B192" ca="1">_xll.BDP("EJ994396 Corp","DS520")</f>
        <v>#NAME?</v>
      </c>
      <c r="C192" s="1" t="e" cm="1">
        <f t="array" aca="1" ref="C192" ca="1">_xll.BDP("EJ994396 Corp","DS001")</f>
        <v>#NAME?</v>
      </c>
      <c r="D192" s="1" t="e" cm="1">
        <f t="array" aca="1" ref="D192" ca="1">_xll.BDP("EJ994396 Corp","DS458")</f>
        <v>#NAME?</v>
      </c>
      <c r="E192" s="1" t="e" cm="1">
        <f t="array" aca="1" ref="E192" ca="1">_xll.BDP("EJ994396 Corp","DS004")</f>
        <v>#NAME?</v>
      </c>
      <c r="F192" s="1" t="e" cm="1">
        <f t="array" aca="1" ref="F192" ca="1">_xll.BDP("EJ994396 Corp","DS035")</f>
        <v>#NAME?</v>
      </c>
      <c r="G192" s="1" t="e" cm="1">
        <f t="array" aca="1" ref="G192" ca="1">_xll.BDP("EJ994396 Corp","DS086")</f>
        <v>#NAME?</v>
      </c>
      <c r="H192" s="1" t="e" cm="1">
        <f t="array" aca="1" ref="H192" ca="1">_xll.BDP("EJ994396 Corp","DS034")</f>
        <v>#NAME?</v>
      </c>
      <c r="I192" s="1" t="e" cm="1">
        <f t="array" aca="1" ref="I192" ca="1">_xll.BDP("EJ994396 Corp","DS033")</f>
        <v>#NAME?</v>
      </c>
      <c r="J192" s="7" t="e" cm="1">
        <f t="array" aca="1" ref="J192" ca="1">_xll.BDP("EJ994396 Corp","YL018")</f>
        <v>#NAME?</v>
      </c>
      <c r="K192" s="7" t="e" cm="1">
        <f t="array" aca="1" ref="K192" ca="1">_xll.BDP("EJ994396 Corp","YL016")</f>
        <v>#NAME?</v>
      </c>
      <c r="L192" s="7" t="e" cm="1">
        <f t="array" aca="1" ref="L192" ca="1">_xll.BDP("EJ994396 Corp","PR004")</f>
        <v>#NAME?</v>
      </c>
      <c r="M192" s="7" t="e" cm="1">
        <f t="array" aca="1" ref="M192" ca="1">_xll.BDP("EJ994396 Corp","PR002")</f>
        <v>#NAME?</v>
      </c>
      <c r="N192" s="1" t="e" cm="1">
        <f t="array" aca="1" ref="N192" ca="1">_xll.BDP("EJ994396 Corp","ID028")</f>
        <v>#NAME?</v>
      </c>
      <c r="O192" s="1" t="e" cm="1">
        <f t="array" aca="1" ref="O192" ca="1">_xll.BDP("EJ994396 Corp","ID005")</f>
        <v>#NAME?</v>
      </c>
      <c r="P192" s="1" t="e" cm="1">
        <f t="array" aca="1" ref="P192" ca="1">_xll.BDP(A192,"RA007")</f>
        <v>#NAME?</v>
      </c>
      <c r="Q192" s="1" t="e" cm="1">
        <f t="array" aca="1" ref="Q192" ca="1">_xll.BDP(A192,"DS219")</f>
        <v>#NAME?</v>
      </c>
      <c r="R192" s="3" t="e" cm="1">
        <f t="array" aca="1" ref="R192" ca="1">_xll.BDP(A192,"DS040")</f>
        <v>#NAME?</v>
      </c>
      <c r="S192" s="4" t="e">
        <f t="shared" ca="1" si="6"/>
        <v>#NAME?</v>
      </c>
      <c r="T192" s="7" t="e">
        <f t="shared" ca="1" si="7"/>
        <v>#NAME?</v>
      </c>
      <c r="U192" s="3" t="e">
        <f t="shared" ca="1" si="8"/>
        <v>#NAME?</v>
      </c>
    </row>
    <row r="193" spans="1:21" x14ac:dyDescent="0.35">
      <c r="A193" s="5" t="s">
        <v>252</v>
      </c>
      <c r="B193" s="1" t="e" cm="1">
        <f t="array" aca="1" ref="B193" ca="1">_xll.BDP("EK112323 Corp","DS520")</f>
        <v>#NAME?</v>
      </c>
      <c r="C193" s="1" t="e" cm="1">
        <f t="array" aca="1" ref="C193" ca="1">_xll.BDP("EK112323 Corp","DS001")</f>
        <v>#NAME?</v>
      </c>
      <c r="D193" s="1" t="e" cm="1">
        <f t="array" aca="1" ref="D193" ca="1">_xll.BDP("EK112323 Corp","DS458")</f>
        <v>#NAME?</v>
      </c>
      <c r="E193" s="1" t="e" cm="1">
        <f t="array" aca="1" ref="E193" ca="1">_xll.BDP("EK112323 Corp","DS004")</f>
        <v>#NAME?</v>
      </c>
      <c r="F193" s="1" t="e" cm="1">
        <f t="array" aca="1" ref="F193" ca="1">_xll.BDP("EK112323 Corp","DS035")</f>
        <v>#NAME?</v>
      </c>
      <c r="G193" s="1" t="e" cm="1">
        <f t="array" aca="1" ref="G193" ca="1">_xll.BDP("EK112323 Corp","DS086")</f>
        <v>#NAME?</v>
      </c>
      <c r="H193" s="1" t="e" cm="1">
        <f t="array" aca="1" ref="H193" ca="1">_xll.BDP("EK112323 Corp","DS034")</f>
        <v>#NAME?</v>
      </c>
      <c r="I193" s="1" t="e" cm="1">
        <f t="array" aca="1" ref="I193" ca="1">_xll.BDP("EK112323 Corp","DS033")</f>
        <v>#NAME?</v>
      </c>
      <c r="J193" s="7" t="e" cm="1">
        <f t="array" aca="1" ref="J193" ca="1">_xll.BDP("EK112323 Corp","YL018")</f>
        <v>#NAME?</v>
      </c>
      <c r="K193" s="7" t="e" cm="1">
        <f t="array" aca="1" ref="K193" ca="1">_xll.BDP("EK112323 Corp","YL016")</f>
        <v>#NAME?</v>
      </c>
      <c r="L193" s="7" t="e" cm="1">
        <f t="array" aca="1" ref="L193" ca="1">_xll.BDP("EK112323 Corp","PR004")</f>
        <v>#NAME?</v>
      </c>
      <c r="M193" s="7" t="e" cm="1">
        <f t="array" aca="1" ref="M193" ca="1">_xll.BDP("EK112323 Corp","PR002")</f>
        <v>#NAME?</v>
      </c>
      <c r="N193" s="1" t="e" cm="1">
        <f t="array" aca="1" ref="N193" ca="1">_xll.BDP("EK112323 Corp","ID028")</f>
        <v>#NAME?</v>
      </c>
      <c r="O193" s="1" t="e" cm="1">
        <f t="array" aca="1" ref="O193" ca="1">_xll.BDP("EK112323 Corp","ID005")</f>
        <v>#NAME?</v>
      </c>
      <c r="P193" s="1" t="e" cm="1">
        <f t="array" aca="1" ref="P193" ca="1">_xll.BDP(A193,"RA007")</f>
        <v>#NAME?</v>
      </c>
      <c r="Q193" s="1" t="e" cm="1">
        <f t="array" aca="1" ref="Q193" ca="1">_xll.BDP(A193,"DS219")</f>
        <v>#NAME?</v>
      </c>
      <c r="R193" s="3" t="e" cm="1">
        <f t="array" aca="1" ref="R193" ca="1">_xll.BDP(A193,"DS040")</f>
        <v>#NAME?</v>
      </c>
      <c r="S193" s="4" t="e">
        <f t="shared" ca="1" si="6"/>
        <v>#NAME?</v>
      </c>
      <c r="T193" s="7" t="e">
        <f t="shared" ca="1" si="7"/>
        <v>#NAME?</v>
      </c>
      <c r="U193" s="3" t="e">
        <f t="shared" ca="1" si="8"/>
        <v>#NAME?</v>
      </c>
    </row>
    <row r="194" spans="1:21" x14ac:dyDescent="0.35">
      <c r="A194" s="5" t="s">
        <v>253</v>
      </c>
      <c r="B194" s="1" t="e" cm="1">
        <f t="array" aca="1" ref="B194" ca="1">_xll.BDP("EK134061 Corp","DS520")</f>
        <v>#NAME?</v>
      </c>
      <c r="C194" s="1" t="e" cm="1">
        <f t="array" aca="1" ref="C194" ca="1">_xll.BDP("EK134061 Corp","DS001")</f>
        <v>#NAME?</v>
      </c>
      <c r="D194" s="1" t="e" cm="1">
        <f t="array" aca="1" ref="D194" ca="1">_xll.BDP("EK134061 Corp","DS458")</f>
        <v>#NAME?</v>
      </c>
      <c r="E194" s="1" t="e" cm="1">
        <f t="array" aca="1" ref="E194" ca="1">_xll.BDP("EK134061 Corp","DS004")</f>
        <v>#NAME?</v>
      </c>
      <c r="F194" s="1" t="e" cm="1">
        <f t="array" aca="1" ref="F194" ca="1">_xll.BDP("EK134061 Corp","DS035")</f>
        <v>#NAME?</v>
      </c>
      <c r="G194" s="1" t="e" cm="1">
        <f t="array" aca="1" ref="G194" ca="1">_xll.BDP("EK134061 Corp","DS086")</f>
        <v>#NAME?</v>
      </c>
      <c r="H194" s="1" t="e" cm="1">
        <f t="array" aca="1" ref="H194" ca="1">_xll.BDP("EK134061 Corp","DS034")</f>
        <v>#NAME?</v>
      </c>
      <c r="I194" s="1" t="e" cm="1">
        <f t="array" aca="1" ref="I194" ca="1">_xll.BDP("EK134061 Corp","DS033")</f>
        <v>#NAME?</v>
      </c>
      <c r="J194" s="7" t="e" cm="1">
        <f t="array" aca="1" ref="J194" ca="1">_xll.BDP("EK134061 Corp","YL018")</f>
        <v>#NAME?</v>
      </c>
      <c r="K194" s="7" t="e" cm="1">
        <f t="array" aca="1" ref="K194" ca="1">_xll.BDP("EK134061 Corp","YL016")</f>
        <v>#NAME?</v>
      </c>
      <c r="L194" s="7" t="e" cm="1">
        <f t="array" aca="1" ref="L194" ca="1">_xll.BDP("EK134061 Corp","PR004")</f>
        <v>#NAME?</v>
      </c>
      <c r="M194" s="7" t="e" cm="1">
        <f t="array" aca="1" ref="M194" ca="1">_xll.BDP("EK134061 Corp","PR002")</f>
        <v>#NAME?</v>
      </c>
      <c r="N194" s="1" t="e" cm="1">
        <f t="array" aca="1" ref="N194" ca="1">_xll.BDP("EK134061 Corp","ID028")</f>
        <v>#NAME?</v>
      </c>
      <c r="O194" s="1" t="e" cm="1">
        <f t="array" aca="1" ref="O194" ca="1">_xll.BDP("EK134061 Corp","ID005")</f>
        <v>#NAME?</v>
      </c>
      <c r="P194" s="1" t="e" cm="1">
        <f t="array" aca="1" ref="P194" ca="1">_xll.BDP(A194,"RA007")</f>
        <v>#NAME?</v>
      </c>
      <c r="Q194" s="1" t="e" cm="1">
        <f t="array" aca="1" ref="Q194" ca="1">_xll.BDP(A194,"DS219")</f>
        <v>#NAME?</v>
      </c>
      <c r="R194" s="3" t="e" cm="1">
        <f t="array" aca="1" ref="R194" ca="1">_xll.BDP(A194,"DS040")</f>
        <v>#NAME?</v>
      </c>
      <c r="S194" s="4" t="e">
        <f t="shared" ca="1" si="6"/>
        <v>#NAME?</v>
      </c>
      <c r="T194" s="7" t="e">
        <f t="shared" ca="1" si="7"/>
        <v>#NAME?</v>
      </c>
      <c r="U194" s="3" t="e">
        <f t="shared" ca="1" si="8"/>
        <v>#NAME?</v>
      </c>
    </row>
    <row r="195" spans="1:21" x14ac:dyDescent="0.35">
      <c r="A195" s="5" t="s">
        <v>254</v>
      </c>
      <c r="B195" s="1" t="e" cm="1">
        <f t="array" aca="1" ref="B195" ca="1">_xll.BDP("EK299024 Corp","DS520")</f>
        <v>#NAME?</v>
      </c>
      <c r="C195" s="1" t="e" cm="1">
        <f t="array" aca="1" ref="C195" ca="1">_xll.BDP("EK299024 Corp","DS001")</f>
        <v>#NAME?</v>
      </c>
      <c r="D195" s="1" t="e" cm="1">
        <f t="array" aca="1" ref="D195" ca="1">_xll.BDP("EK299024 Corp","DS458")</f>
        <v>#NAME?</v>
      </c>
      <c r="E195" s="1" t="e" cm="1">
        <f t="array" aca="1" ref="E195" ca="1">_xll.BDP("EK299024 Corp","DS004")</f>
        <v>#NAME?</v>
      </c>
      <c r="F195" s="1" t="e" cm="1">
        <f t="array" aca="1" ref="F195" ca="1">_xll.BDP("EK299024 Corp","DS035")</f>
        <v>#NAME?</v>
      </c>
      <c r="G195" s="1" t="e" cm="1">
        <f t="array" aca="1" ref="G195" ca="1">_xll.BDP("EK299024 Corp","DS086")</f>
        <v>#NAME?</v>
      </c>
      <c r="H195" s="1" t="e" cm="1">
        <f t="array" aca="1" ref="H195" ca="1">_xll.BDP("EK299024 Corp","DS034")</f>
        <v>#NAME?</v>
      </c>
      <c r="I195" s="1" t="e" cm="1">
        <f t="array" aca="1" ref="I195" ca="1">_xll.BDP("EK299024 Corp","DS033")</f>
        <v>#NAME?</v>
      </c>
      <c r="J195" s="7" t="e" cm="1">
        <f t="array" aca="1" ref="J195" ca="1">_xll.BDP("EK299024 Corp","YL018")</f>
        <v>#NAME?</v>
      </c>
      <c r="K195" s="7" t="e" cm="1">
        <f t="array" aca="1" ref="K195" ca="1">_xll.BDP("EK299024 Corp","YL016")</f>
        <v>#NAME?</v>
      </c>
      <c r="L195" s="7" t="e" cm="1">
        <f t="array" aca="1" ref="L195" ca="1">_xll.BDP("EK299024 Corp","PR004")</f>
        <v>#NAME?</v>
      </c>
      <c r="M195" s="7" t="e" cm="1">
        <f t="array" aca="1" ref="M195" ca="1">_xll.BDP("EK299024 Corp","PR002")</f>
        <v>#NAME?</v>
      </c>
      <c r="N195" s="1" t="e" cm="1">
        <f t="array" aca="1" ref="N195" ca="1">_xll.BDP("EK299024 Corp","ID028")</f>
        <v>#NAME?</v>
      </c>
      <c r="O195" s="1" t="e" cm="1">
        <f t="array" aca="1" ref="O195" ca="1">_xll.BDP("EK299024 Corp","ID005")</f>
        <v>#NAME?</v>
      </c>
      <c r="P195" s="1" t="e" cm="1">
        <f t="array" aca="1" ref="P195" ca="1">_xll.BDP(A195,"RA007")</f>
        <v>#NAME?</v>
      </c>
      <c r="Q195" s="1" t="e" cm="1">
        <f t="array" aca="1" ref="Q195" ca="1">_xll.BDP(A195,"DS219")</f>
        <v>#NAME?</v>
      </c>
      <c r="R195" s="3" t="e" cm="1">
        <f t="array" aca="1" ref="R195" ca="1">_xll.BDP(A195,"DS040")</f>
        <v>#NAME?</v>
      </c>
      <c r="S195" s="4" t="e">
        <f t="shared" ref="S195:S258" ca="1" si="9">(F195-TODAY())/365.25</f>
        <v>#NAME?</v>
      </c>
      <c r="T195" s="7" t="e">
        <f t="shared" ref="T195:T258" ca="1" si="10">S195-ROUNDDOWN(S195,0)</f>
        <v>#NAME?</v>
      </c>
      <c r="U195" s="3" t="e">
        <f t="shared" ref="U195:U258" ca="1" si="11">DATE(2026,MONTH(TODAY()),DAY(F195))&gt;DATEVALUE(R195)</f>
        <v>#NAME?</v>
      </c>
    </row>
    <row r="196" spans="1:21" x14ac:dyDescent="0.35">
      <c r="A196" s="5" t="s">
        <v>255</v>
      </c>
      <c r="B196" s="1" t="e" cm="1">
        <f t="array" aca="1" ref="B196" ca="1">_xll.BDP("EK317779 Corp","DS520")</f>
        <v>#NAME?</v>
      </c>
      <c r="C196" s="1" t="e" cm="1">
        <f t="array" aca="1" ref="C196" ca="1">_xll.BDP("EK317779 Corp","DS001")</f>
        <v>#NAME?</v>
      </c>
      <c r="D196" s="1" t="e" cm="1">
        <f t="array" aca="1" ref="D196" ca="1">_xll.BDP("EK317779 Corp","DS458")</f>
        <v>#NAME?</v>
      </c>
      <c r="E196" s="1" t="e" cm="1">
        <f t="array" aca="1" ref="E196" ca="1">_xll.BDP("EK317779 Corp","DS004")</f>
        <v>#NAME?</v>
      </c>
      <c r="F196" s="1" t="e" cm="1">
        <f t="array" aca="1" ref="F196" ca="1">_xll.BDP("EK317779 Corp","DS035")</f>
        <v>#NAME?</v>
      </c>
      <c r="G196" s="1" t="e" cm="1">
        <f t="array" aca="1" ref="G196" ca="1">_xll.BDP("EK317779 Corp","DS086")</f>
        <v>#NAME?</v>
      </c>
      <c r="H196" s="1" t="e" cm="1">
        <f t="array" aca="1" ref="H196" ca="1">_xll.BDP("EK317779 Corp","DS034")</f>
        <v>#NAME?</v>
      </c>
      <c r="I196" s="1" t="e" cm="1">
        <f t="array" aca="1" ref="I196" ca="1">_xll.BDP("EK317779 Corp","DS033")</f>
        <v>#NAME?</v>
      </c>
      <c r="J196" s="7" t="e" cm="1">
        <f t="array" aca="1" ref="J196" ca="1">_xll.BDP("EK317779 Corp","YL018")</f>
        <v>#NAME?</v>
      </c>
      <c r="K196" s="7" t="e" cm="1">
        <f t="array" aca="1" ref="K196" ca="1">_xll.BDP("EK317779 Corp","YL016")</f>
        <v>#NAME?</v>
      </c>
      <c r="L196" s="7" t="e" cm="1">
        <f t="array" aca="1" ref="L196" ca="1">_xll.BDP("EK317779 Corp","PR004")</f>
        <v>#NAME?</v>
      </c>
      <c r="M196" s="7" t="e" cm="1">
        <f t="array" aca="1" ref="M196" ca="1">_xll.BDP("EK317779 Corp","PR002")</f>
        <v>#NAME?</v>
      </c>
      <c r="N196" s="1" t="e" cm="1">
        <f t="array" aca="1" ref="N196" ca="1">_xll.BDP("EK317779 Corp","ID028")</f>
        <v>#NAME?</v>
      </c>
      <c r="O196" s="1" t="e" cm="1">
        <f t="array" aca="1" ref="O196" ca="1">_xll.BDP("EK317779 Corp","ID005")</f>
        <v>#NAME?</v>
      </c>
      <c r="P196" s="1" t="e" cm="1">
        <f t="array" aca="1" ref="P196" ca="1">_xll.BDP(A196,"RA007")</f>
        <v>#NAME?</v>
      </c>
      <c r="Q196" s="1" t="e" cm="1">
        <f t="array" aca="1" ref="Q196" ca="1">_xll.BDP(A196,"DS219")</f>
        <v>#NAME?</v>
      </c>
      <c r="R196" s="3" t="e" cm="1">
        <f t="array" aca="1" ref="R196" ca="1">_xll.BDP(A196,"DS040")</f>
        <v>#NAME?</v>
      </c>
      <c r="S196" s="4" t="e">
        <f t="shared" ca="1" si="9"/>
        <v>#NAME?</v>
      </c>
      <c r="T196" s="7" t="e">
        <f t="shared" ca="1" si="10"/>
        <v>#NAME?</v>
      </c>
      <c r="U196" s="3" t="e">
        <f t="shared" ca="1" si="11"/>
        <v>#NAME?</v>
      </c>
    </row>
    <row r="197" spans="1:21" x14ac:dyDescent="0.35">
      <c r="A197" s="5" t="s">
        <v>256</v>
      </c>
      <c r="B197" s="1" t="e" cm="1">
        <f t="array" aca="1" ref="B197" ca="1">_xll.BDP("EK339021 Corp","DS520")</f>
        <v>#NAME?</v>
      </c>
      <c r="C197" s="1" t="e" cm="1">
        <f t="array" aca="1" ref="C197" ca="1">_xll.BDP("EK339021 Corp","DS001")</f>
        <v>#NAME?</v>
      </c>
      <c r="D197" s="1" t="e" cm="1">
        <f t="array" aca="1" ref="D197" ca="1">_xll.BDP("EK339021 Corp","DS458")</f>
        <v>#NAME?</v>
      </c>
      <c r="E197" s="1" t="e" cm="1">
        <f t="array" aca="1" ref="E197" ca="1">_xll.BDP("EK339021 Corp","DS004")</f>
        <v>#NAME?</v>
      </c>
      <c r="F197" s="1" t="e" cm="1">
        <f t="array" aca="1" ref="F197" ca="1">_xll.BDP("EK339021 Corp","DS035")</f>
        <v>#NAME?</v>
      </c>
      <c r="G197" s="1" t="e" cm="1">
        <f t="array" aca="1" ref="G197" ca="1">_xll.BDP("EK339021 Corp","DS086")</f>
        <v>#NAME?</v>
      </c>
      <c r="H197" s="1" t="e" cm="1">
        <f t="array" aca="1" ref="H197" ca="1">_xll.BDP("EK339021 Corp","DS034")</f>
        <v>#NAME?</v>
      </c>
      <c r="I197" s="1" t="e" cm="1">
        <f t="array" aca="1" ref="I197" ca="1">_xll.BDP("EK339021 Corp","DS033")</f>
        <v>#NAME?</v>
      </c>
      <c r="J197" s="7" t="e" cm="1">
        <f t="array" aca="1" ref="J197" ca="1">_xll.BDP("EK339021 Corp","YL018")</f>
        <v>#NAME?</v>
      </c>
      <c r="K197" s="7" t="e" cm="1">
        <f t="array" aca="1" ref="K197" ca="1">_xll.BDP("EK339021 Corp","YL016")</f>
        <v>#NAME?</v>
      </c>
      <c r="L197" s="7" t="e" cm="1">
        <f t="array" aca="1" ref="L197" ca="1">_xll.BDP("EK339021 Corp","PR004")</f>
        <v>#NAME?</v>
      </c>
      <c r="M197" s="7" t="e" cm="1">
        <f t="array" aca="1" ref="M197" ca="1">_xll.BDP("EK339021 Corp","PR002")</f>
        <v>#NAME?</v>
      </c>
      <c r="N197" s="1" t="e" cm="1">
        <f t="array" aca="1" ref="N197" ca="1">_xll.BDP("EK339021 Corp","ID028")</f>
        <v>#NAME?</v>
      </c>
      <c r="O197" s="1" t="e" cm="1">
        <f t="array" aca="1" ref="O197" ca="1">_xll.BDP("EK339021 Corp","ID005")</f>
        <v>#NAME?</v>
      </c>
      <c r="P197" s="1" t="e" cm="1">
        <f t="array" aca="1" ref="P197" ca="1">_xll.BDP(A197,"RA007")</f>
        <v>#NAME?</v>
      </c>
      <c r="Q197" s="1" t="e" cm="1">
        <f t="array" aca="1" ref="Q197" ca="1">_xll.BDP(A197,"DS219")</f>
        <v>#NAME?</v>
      </c>
      <c r="R197" s="3" t="e" cm="1">
        <f t="array" aca="1" ref="R197" ca="1">_xll.BDP(A197,"DS040")</f>
        <v>#NAME?</v>
      </c>
      <c r="S197" s="4" t="e">
        <f t="shared" ca="1" si="9"/>
        <v>#NAME?</v>
      </c>
      <c r="T197" s="7" t="e">
        <f t="shared" ca="1" si="10"/>
        <v>#NAME?</v>
      </c>
      <c r="U197" s="3" t="e">
        <f t="shared" ca="1" si="11"/>
        <v>#NAME?</v>
      </c>
    </row>
    <row r="198" spans="1:21" x14ac:dyDescent="0.35">
      <c r="A198" s="5" t="s">
        <v>257</v>
      </c>
      <c r="B198" s="1" t="e" cm="1">
        <f t="array" aca="1" ref="B198" ca="1">_xll.BDP("EK482639 Corp","DS520")</f>
        <v>#NAME?</v>
      </c>
      <c r="C198" s="1" t="e" cm="1">
        <f t="array" aca="1" ref="C198" ca="1">_xll.BDP("EK482639 Corp","DS001")</f>
        <v>#NAME?</v>
      </c>
      <c r="D198" s="1" t="e" cm="1">
        <f t="array" aca="1" ref="D198" ca="1">_xll.BDP("EK482639 Corp","DS458")</f>
        <v>#NAME?</v>
      </c>
      <c r="E198" s="1" t="e" cm="1">
        <f t="array" aca="1" ref="E198" ca="1">_xll.BDP("EK482639 Corp","DS004")</f>
        <v>#NAME?</v>
      </c>
      <c r="F198" s="1" t="e" cm="1">
        <f t="array" aca="1" ref="F198" ca="1">_xll.BDP("EK482639 Corp","DS035")</f>
        <v>#NAME?</v>
      </c>
      <c r="G198" s="1" t="e" cm="1">
        <f t="array" aca="1" ref="G198" ca="1">_xll.BDP("EK482639 Corp","DS086")</f>
        <v>#NAME?</v>
      </c>
      <c r="H198" s="1" t="e" cm="1">
        <f t="array" aca="1" ref="H198" ca="1">_xll.BDP("EK482639 Corp","DS034")</f>
        <v>#NAME?</v>
      </c>
      <c r="I198" s="1" t="e" cm="1">
        <f t="array" aca="1" ref="I198" ca="1">_xll.BDP("EK482639 Corp","DS033")</f>
        <v>#NAME?</v>
      </c>
      <c r="J198" s="7" t="e" cm="1">
        <f t="array" aca="1" ref="J198" ca="1">_xll.BDP("EK482639 Corp","YL018")</f>
        <v>#NAME?</v>
      </c>
      <c r="K198" s="7" t="e" cm="1">
        <f t="array" aca="1" ref="K198" ca="1">_xll.BDP("EK482639 Corp","YL016")</f>
        <v>#NAME?</v>
      </c>
      <c r="L198" s="7" t="e" cm="1">
        <f t="array" aca="1" ref="L198" ca="1">_xll.BDP("EK482639 Corp","PR004")</f>
        <v>#NAME?</v>
      </c>
      <c r="M198" s="7" t="e" cm="1">
        <f t="array" aca="1" ref="M198" ca="1">_xll.BDP("EK482639 Corp","PR002")</f>
        <v>#NAME?</v>
      </c>
      <c r="N198" s="1" t="e" cm="1">
        <f t="array" aca="1" ref="N198" ca="1">_xll.BDP("EK482639 Corp","ID028")</f>
        <v>#NAME?</v>
      </c>
      <c r="O198" s="1" t="e" cm="1">
        <f t="array" aca="1" ref="O198" ca="1">_xll.BDP("EK482639 Corp","ID005")</f>
        <v>#NAME?</v>
      </c>
      <c r="P198" s="1" t="e" cm="1">
        <f t="array" aca="1" ref="P198" ca="1">_xll.BDP(A198,"RA007")</f>
        <v>#NAME?</v>
      </c>
      <c r="Q198" s="1" t="e" cm="1">
        <f t="array" aca="1" ref="Q198" ca="1">_xll.BDP(A198,"DS219")</f>
        <v>#NAME?</v>
      </c>
      <c r="R198" s="3" t="e" cm="1">
        <f t="array" aca="1" ref="R198" ca="1">_xll.BDP(A198,"DS040")</f>
        <v>#NAME?</v>
      </c>
      <c r="S198" s="4" t="e">
        <f t="shared" ca="1" si="9"/>
        <v>#NAME?</v>
      </c>
      <c r="T198" s="7" t="e">
        <f t="shared" ca="1" si="10"/>
        <v>#NAME?</v>
      </c>
      <c r="U198" s="3" t="e">
        <f t="shared" ca="1" si="11"/>
        <v>#NAME?</v>
      </c>
    </row>
    <row r="199" spans="1:21" x14ac:dyDescent="0.35">
      <c r="A199" s="5" t="s">
        <v>258</v>
      </c>
      <c r="B199" s="1" t="e" cm="1">
        <f t="array" aca="1" ref="B199" ca="1">_xll.BDP("EK499681 Corp","DS520")</f>
        <v>#NAME?</v>
      </c>
      <c r="C199" s="1" t="e" cm="1">
        <f t="array" aca="1" ref="C199" ca="1">_xll.BDP("EK499681 Corp","DS001")</f>
        <v>#NAME?</v>
      </c>
      <c r="D199" s="1" t="e" cm="1">
        <f t="array" aca="1" ref="D199" ca="1">_xll.BDP("EK499681 Corp","DS458")</f>
        <v>#NAME?</v>
      </c>
      <c r="E199" s="1" t="e" cm="1">
        <f t="array" aca="1" ref="E199" ca="1">_xll.BDP("EK499681 Corp","DS004")</f>
        <v>#NAME?</v>
      </c>
      <c r="F199" s="1" t="e" cm="1">
        <f t="array" aca="1" ref="F199" ca="1">_xll.BDP("EK499681 Corp","DS035")</f>
        <v>#NAME?</v>
      </c>
      <c r="G199" s="1" t="e" cm="1">
        <f t="array" aca="1" ref="G199" ca="1">_xll.BDP("EK499681 Corp","DS086")</f>
        <v>#NAME?</v>
      </c>
      <c r="H199" s="1" t="e" cm="1">
        <f t="array" aca="1" ref="H199" ca="1">_xll.BDP("EK499681 Corp","DS034")</f>
        <v>#NAME?</v>
      </c>
      <c r="I199" s="1" t="e" cm="1">
        <f t="array" aca="1" ref="I199" ca="1">_xll.BDP("EK499681 Corp","DS033")</f>
        <v>#NAME?</v>
      </c>
      <c r="J199" s="7" t="e" cm="1">
        <f t="array" aca="1" ref="J199" ca="1">_xll.BDP("EK499681 Corp","YL018")</f>
        <v>#NAME?</v>
      </c>
      <c r="K199" s="7" t="e" cm="1">
        <f t="array" aca="1" ref="K199" ca="1">_xll.BDP("EK499681 Corp","YL016")</f>
        <v>#NAME?</v>
      </c>
      <c r="L199" s="7" t="e" cm="1">
        <f t="array" aca="1" ref="L199" ca="1">_xll.BDP("EK499681 Corp","PR004")</f>
        <v>#NAME?</v>
      </c>
      <c r="M199" s="7" t="e" cm="1">
        <f t="array" aca="1" ref="M199" ca="1">_xll.BDP("EK499681 Corp","PR002")</f>
        <v>#NAME?</v>
      </c>
      <c r="N199" s="1" t="e" cm="1">
        <f t="array" aca="1" ref="N199" ca="1">_xll.BDP("EK499681 Corp","ID028")</f>
        <v>#NAME?</v>
      </c>
      <c r="O199" s="1" t="e" cm="1">
        <f t="array" aca="1" ref="O199" ca="1">_xll.BDP("EK499681 Corp","ID005")</f>
        <v>#NAME?</v>
      </c>
      <c r="P199" s="1" t="e" cm="1">
        <f t="array" aca="1" ref="P199" ca="1">_xll.BDP(A199,"RA007")</f>
        <v>#NAME?</v>
      </c>
      <c r="Q199" s="1" t="e" cm="1">
        <f t="array" aca="1" ref="Q199" ca="1">_xll.BDP(A199,"DS219")</f>
        <v>#NAME?</v>
      </c>
      <c r="R199" s="3" t="e" cm="1">
        <f t="array" aca="1" ref="R199" ca="1">_xll.BDP(A199,"DS040")</f>
        <v>#NAME?</v>
      </c>
      <c r="S199" s="4" t="e">
        <f t="shared" ca="1" si="9"/>
        <v>#NAME?</v>
      </c>
      <c r="T199" s="7" t="e">
        <f t="shared" ca="1" si="10"/>
        <v>#NAME?</v>
      </c>
      <c r="U199" s="3" t="e">
        <f t="shared" ca="1" si="11"/>
        <v>#NAME?</v>
      </c>
    </row>
    <row r="200" spans="1:21" x14ac:dyDescent="0.35">
      <c r="A200" s="5" t="s">
        <v>259</v>
      </c>
      <c r="B200" s="1" t="e" cm="1">
        <f t="array" aca="1" ref="B200" ca="1">_xll.BDP("EK650156 Corp","DS520")</f>
        <v>#NAME?</v>
      </c>
      <c r="C200" s="1" t="e" cm="1">
        <f t="array" aca="1" ref="C200" ca="1">_xll.BDP("EK650156 Corp","DS001")</f>
        <v>#NAME?</v>
      </c>
      <c r="D200" s="1" t="e" cm="1">
        <f t="array" aca="1" ref="D200" ca="1">_xll.BDP("EK650156 Corp","DS458")</f>
        <v>#NAME?</v>
      </c>
      <c r="E200" s="1" t="e" cm="1">
        <f t="array" aca="1" ref="E200" ca="1">_xll.BDP("EK650156 Corp","DS004")</f>
        <v>#NAME?</v>
      </c>
      <c r="F200" s="1" t="e" cm="1">
        <f t="array" aca="1" ref="F200" ca="1">_xll.BDP("EK650156 Corp","DS035")</f>
        <v>#NAME?</v>
      </c>
      <c r="G200" s="1" t="e" cm="1">
        <f t="array" aca="1" ref="G200" ca="1">_xll.BDP("EK650156 Corp","DS086")</f>
        <v>#NAME?</v>
      </c>
      <c r="H200" s="1" t="e" cm="1">
        <f t="array" aca="1" ref="H200" ca="1">_xll.BDP("EK650156 Corp","DS034")</f>
        <v>#NAME?</v>
      </c>
      <c r="I200" s="1" t="e" cm="1">
        <f t="array" aca="1" ref="I200" ca="1">_xll.BDP("EK650156 Corp","DS033")</f>
        <v>#NAME?</v>
      </c>
      <c r="J200" s="7" t="e" cm="1">
        <f t="array" aca="1" ref="J200" ca="1">_xll.BDP("EK650156 Corp","YL018")</f>
        <v>#NAME?</v>
      </c>
      <c r="K200" s="7" t="e" cm="1">
        <f t="array" aca="1" ref="K200" ca="1">_xll.BDP("EK650156 Corp","YL016")</f>
        <v>#NAME?</v>
      </c>
      <c r="L200" s="7" t="e" cm="1">
        <f t="array" aca="1" ref="L200" ca="1">_xll.BDP("EK650156 Corp","PR004")</f>
        <v>#NAME?</v>
      </c>
      <c r="M200" s="7" t="e" cm="1">
        <f t="array" aca="1" ref="M200" ca="1">_xll.BDP("EK650156 Corp","PR002")</f>
        <v>#NAME?</v>
      </c>
      <c r="N200" s="1" t="e" cm="1">
        <f t="array" aca="1" ref="N200" ca="1">_xll.BDP("EK650156 Corp","ID028")</f>
        <v>#NAME?</v>
      </c>
      <c r="O200" s="1" t="e" cm="1">
        <f t="array" aca="1" ref="O200" ca="1">_xll.BDP("EK650156 Corp","ID005")</f>
        <v>#NAME?</v>
      </c>
      <c r="P200" s="1" t="e" cm="1">
        <f t="array" aca="1" ref="P200" ca="1">_xll.BDP(A200,"RA007")</f>
        <v>#NAME?</v>
      </c>
      <c r="Q200" s="1" t="e" cm="1">
        <f t="array" aca="1" ref="Q200" ca="1">_xll.BDP(A200,"DS219")</f>
        <v>#NAME?</v>
      </c>
      <c r="R200" s="3" t="e" cm="1">
        <f t="array" aca="1" ref="R200" ca="1">_xll.BDP(A200,"DS040")</f>
        <v>#NAME?</v>
      </c>
      <c r="S200" s="4" t="e">
        <f t="shared" ca="1" si="9"/>
        <v>#NAME?</v>
      </c>
      <c r="T200" s="7" t="e">
        <f t="shared" ca="1" si="10"/>
        <v>#NAME?</v>
      </c>
      <c r="U200" s="3" t="e">
        <f t="shared" ca="1" si="11"/>
        <v>#NAME?</v>
      </c>
    </row>
    <row r="201" spans="1:21" x14ac:dyDescent="0.35">
      <c r="A201" s="5" t="s">
        <v>260</v>
      </c>
      <c r="B201" s="1" t="e" cm="1">
        <f t="array" aca="1" ref="B201" ca="1">_xll.BDP("EK666093 Corp","DS520")</f>
        <v>#NAME?</v>
      </c>
      <c r="C201" s="1" t="e" cm="1">
        <f t="array" aca="1" ref="C201" ca="1">_xll.BDP("EK666093 Corp","DS001")</f>
        <v>#NAME?</v>
      </c>
      <c r="D201" s="1" t="e" cm="1">
        <f t="array" aca="1" ref="D201" ca="1">_xll.BDP("EK666093 Corp","DS458")</f>
        <v>#NAME?</v>
      </c>
      <c r="E201" s="1" t="e" cm="1">
        <f t="array" aca="1" ref="E201" ca="1">_xll.BDP("EK666093 Corp","DS004")</f>
        <v>#NAME?</v>
      </c>
      <c r="F201" s="1" t="e" cm="1">
        <f t="array" aca="1" ref="F201" ca="1">_xll.BDP("EK666093 Corp","DS035")</f>
        <v>#NAME?</v>
      </c>
      <c r="G201" s="1" t="e" cm="1">
        <f t="array" aca="1" ref="G201" ca="1">_xll.BDP("EK666093 Corp","DS086")</f>
        <v>#NAME?</v>
      </c>
      <c r="H201" s="1" t="e" cm="1">
        <f t="array" aca="1" ref="H201" ca="1">_xll.BDP("EK666093 Corp","DS034")</f>
        <v>#NAME?</v>
      </c>
      <c r="I201" s="1" t="e" cm="1">
        <f t="array" aca="1" ref="I201" ca="1">_xll.BDP("EK666093 Corp","DS033")</f>
        <v>#NAME?</v>
      </c>
      <c r="J201" s="7" t="e" cm="1">
        <f t="array" aca="1" ref="J201" ca="1">_xll.BDP("EK666093 Corp","YL018")</f>
        <v>#NAME?</v>
      </c>
      <c r="K201" s="7" t="e" cm="1">
        <f t="array" aca="1" ref="K201" ca="1">_xll.BDP("EK666093 Corp","YL016")</f>
        <v>#NAME?</v>
      </c>
      <c r="L201" s="7" t="e" cm="1">
        <f t="array" aca="1" ref="L201" ca="1">_xll.BDP("EK666093 Corp","PR004")</f>
        <v>#NAME?</v>
      </c>
      <c r="M201" s="7" t="e" cm="1">
        <f t="array" aca="1" ref="M201" ca="1">_xll.BDP("EK666093 Corp","PR002")</f>
        <v>#NAME?</v>
      </c>
      <c r="N201" s="1" t="e" cm="1">
        <f t="array" aca="1" ref="N201" ca="1">_xll.BDP("EK666093 Corp","ID028")</f>
        <v>#NAME?</v>
      </c>
      <c r="O201" s="1" t="e" cm="1">
        <f t="array" aca="1" ref="O201" ca="1">_xll.BDP("EK666093 Corp","ID005")</f>
        <v>#NAME?</v>
      </c>
      <c r="P201" s="1" t="e" cm="1">
        <f t="array" aca="1" ref="P201" ca="1">_xll.BDP(A201,"RA007")</f>
        <v>#NAME?</v>
      </c>
      <c r="Q201" s="1" t="e" cm="1">
        <f t="array" aca="1" ref="Q201" ca="1">_xll.BDP(A201,"DS219")</f>
        <v>#NAME?</v>
      </c>
      <c r="R201" s="3" t="e" cm="1">
        <f t="array" aca="1" ref="R201" ca="1">_xll.BDP(A201,"DS040")</f>
        <v>#NAME?</v>
      </c>
      <c r="S201" s="4" t="e">
        <f t="shared" ca="1" si="9"/>
        <v>#NAME?</v>
      </c>
      <c r="T201" s="7" t="e">
        <f t="shared" ca="1" si="10"/>
        <v>#NAME?</v>
      </c>
      <c r="U201" s="3" t="e">
        <f t="shared" ca="1" si="11"/>
        <v>#NAME?</v>
      </c>
    </row>
    <row r="202" spans="1:21" x14ac:dyDescent="0.35">
      <c r="A202" s="5" t="s">
        <v>261</v>
      </c>
      <c r="B202" s="1" t="e" cm="1">
        <f t="array" aca="1" ref="B202" ca="1">_xll.BDP("EK789693 Corp","DS520")</f>
        <v>#NAME?</v>
      </c>
      <c r="C202" s="1" t="e" cm="1">
        <f t="array" aca="1" ref="C202" ca="1">_xll.BDP("EK789693 Corp","DS001")</f>
        <v>#NAME?</v>
      </c>
      <c r="D202" s="1" t="e" cm="1">
        <f t="array" aca="1" ref="D202" ca="1">_xll.BDP("EK789693 Corp","DS458")</f>
        <v>#NAME?</v>
      </c>
      <c r="E202" s="1" t="e" cm="1">
        <f t="array" aca="1" ref="E202" ca="1">_xll.BDP("EK789693 Corp","DS004")</f>
        <v>#NAME?</v>
      </c>
      <c r="F202" s="1" t="e" cm="1">
        <f t="array" aca="1" ref="F202" ca="1">_xll.BDP("EK789693 Corp","DS035")</f>
        <v>#NAME?</v>
      </c>
      <c r="G202" s="1" t="e" cm="1">
        <f t="array" aca="1" ref="G202" ca="1">_xll.BDP("EK789693 Corp","DS086")</f>
        <v>#NAME?</v>
      </c>
      <c r="H202" s="1" t="e" cm="1">
        <f t="array" aca="1" ref="H202" ca="1">_xll.BDP("EK789693 Corp","DS034")</f>
        <v>#NAME?</v>
      </c>
      <c r="I202" s="1" t="e" cm="1">
        <f t="array" aca="1" ref="I202" ca="1">_xll.BDP("EK789693 Corp","DS033")</f>
        <v>#NAME?</v>
      </c>
      <c r="J202" s="7" t="e" cm="1">
        <f t="array" aca="1" ref="J202" ca="1">_xll.BDP("EK789693 Corp","YL018")</f>
        <v>#NAME?</v>
      </c>
      <c r="K202" s="7" t="e" cm="1">
        <f t="array" aca="1" ref="K202" ca="1">_xll.BDP("EK789693 Corp","YL016")</f>
        <v>#NAME?</v>
      </c>
      <c r="L202" s="7" t="e" cm="1">
        <f t="array" aca="1" ref="L202" ca="1">_xll.BDP("EK789693 Corp","PR004")</f>
        <v>#NAME?</v>
      </c>
      <c r="M202" s="7" t="e" cm="1">
        <f t="array" aca="1" ref="M202" ca="1">_xll.BDP("EK789693 Corp","PR002")</f>
        <v>#NAME?</v>
      </c>
      <c r="N202" s="1" t="e" cm="1">
        <f t="array" aca="1" ref="N202" ca="1">_xll.BDP("EK789693 Corp","ID028")</f>
        <v>#NAME?</v>
      </c>
      <c r="O202" s="1" t="e" cm="1">
        <f t="array" aca="1" ref="O202" ca="1">_xll.BDP("EK789693 Corp","ID005")</f>
        <v>#NAME?</v>
      </c>
      <c r="P202" s="1" t="e" cm="1">
        <f t="array" aca="1" ref="P202" ca="1">_xll.BDP(A202,"RA007")</f>
        <v>#NAME?</v>
      </c>
      <c r="Q202" s="1" t="e" cm="1">
        <f t="array" aca="1" ref="Q202" ca="1">_xll.BDP(A202,"DS219")</f>
        <v>#NAME?</v>
      </c>
      <c r="R202" s="3" t="e" cm="1">
        <f t="array" aca="1" ref="R202" ca="1">_xll.BDP(A202,"DS040")</f>
        <v>#NAME?</v>
      </c>
      <c r="S202" s="4" t="e">
        <f t="shared" ca="1" si="9"/>
        <v>#NAME?</v>
      </c>
      <c r="T202" s="7" t="e">
        <f t="shared" ca="1" si="10"/>
        <v>#NAME?</v>
      </c>
      <c r="U202" s="3" t="e">
        <f t="shared" ca="1" si="11"/>
        <v>#NAME?</v>
      </c>
    </row>
    <row r="203" spans="1:21" x14ac:dyDescent="0.35">
      <c r="A203" s="5" t="s">
        <v>262</v>
      </c>
      <c r="B203" s="1" t="e" cm="1">
        <f t="array" aca="1" ref="B203" ca="1">_xll.BDP("EK813746 Corp","DS520")</f>
        <v>#NAME?</v>
      </c>
      <c r="C203" s="1" t="e" cm="1">
        <f t="array" aca="1" ref="C203" ca="1">_xll.BDP("EK813746 Corp","DS001")</f>
        <v>#NAME?</v>
      </c>
      <c r="D203" s="1" t="e" cm="1">
        <f t="array" aca="1" ref="D203" ca="1">_xll.BDP("EK813746 Corp","DS458")</f>
        <v>#NAME?</v>
      </c>
      <c r="E203" s="1" t="e" cm="1">
        <f t="array" aca="1" ref="E203" ca="1">_xll.BDP("EK813746 Corp","DS004")</f>
        <v>#NAME?</v>
      </c>
      <c r="F203" s="1" t="e" cm="1">
        <f t="array" aca="1" ref="F203" ca="1">_xll.BDP("EK813746 Corp","DS035")</f>
        <v>#NAME?</v>
      </c>
      <c r="G203" s="1" t="e" cm="1">
        <f t="array" aca="1" ref="G203" ca="1">_xll.BDP("EK813746 Corp","DS086")</f>
        <v>#NAME?</v>
      </c>
      <c r="H203" s="1" t="e" cm="1">
        <f t="array" aca="1" ref="H203" ca="1">_xll.BDP("EK813746 Corp","DS034")</f>
        <v>#NAME?</v>
      </c>
      <c r="I203" s="1" t="e" cm="1">
        <f t="array" aca="1" ref="I203" ca="1">_xll.BDP("EK813746 Corp","DS033")</f>
        <v>#NAME?</v>
      </c>
      <c r="J203" s="7" t="e" cm="1">
        <f t="array" aca="1" ref="J203" ca="1">_xll.BDP("EK813746 Corp","YL018")</f>
        <v>#NAME?</v>
      </c>
      <c r="K203" s="7" t="e" cm="1">
        <f t="array" aca="1" ref="K203" ca="1">_xll.BDP("EK813746 Corp","YL016")</f>
        <v>#NAME?</v>
      </c>
      <c r="L203" s="7" t="e" cm="1">
        <f t="array" aca="1" ref="L203" ca="1">_xll.BDP("EK813746 Corp","PR004")</f>
        <v>#NAME?</v>
      </c>
      <c r="M203" s="7" t="e" cm="1">
        <f t="array" aca="1" ref="M203" ca="1">_xll.BDP("EK813746 Corp","PR002")</f>
        <v>#NAME?</v>
      </c>
      <c r="N203" s="1" t="e" cm="1">
        <f t="array" aca="1" ref="N203" ca="1">_xll.BDP("EK813746 Corp","ID028")</f>
        <v>#NAME?</v>
      </c>
      <c r="O203" s="1" t="e" cm="1">
        <f t="array" aca="1" ref="O203" ca="1">_xll.BDP("EK813746 Corp","ID005")</f>
        <v>#NAME?</v>
      </c>
      <c r="P203" s="1" t="e" cm="1">
        <f t="array" aca="1" ref="P203" ca="1">_xll.BDP(A203,"RA007")</f>
        <v>#NAME?</v>
      </c>
      <c r="Q203" s="1" t="e" cm="1">
        <f t="array" aca="1" ref="Q203" ca="1">_xll.BDP(A203,"DS219")</f>
        <v>#NAME?</v>
      </c>
      <c r="R203" s="3" t="e" cm="1">
        <f t="array" aca="1" ref="R203" ca="1">_xll.BDP(A203,"DS040")</f>
        <v>#NAME?</v>
      </c>
      <c r="S203" s="4" t="e">
        <f t="shared" ca="1" si="9"/>
        <v>#NAME?</v>
      </c>
      <c r="T203" s="7" t="e">
        <f t="shared" ca="1" si="10"/>
        <v>#NAME?</v>
      </c>
      <c r="U203" s="3" t="e">
        <f t="shared" ca="1" si="11"/>
        <v>#NAME?</v>
      </c>
    </row>
    <row r="204" spans="1:21" x14ac:dyDescent="0.35">
      <c r="A204" s="5" t="s">
        <v>263</v>
      </c>
      <c r="B204" s="1" t="e" cm="1">
        <f t="array" aca="1" ref="B204" ca="1">_xll.BDP("EK877977 Corp","DS520")</f>
        <v>#NAME?</v>
      </c>
      <c r="C204" s="1" t="e" cm="1">
        <f t="array" aca="1" ref="C204" ca="1">_xll.BDP("EK877977 Corp","DS001")</f>
        <v>#NAME?</v>
      </c>
      <c r="D204" s="1" t="e" cm="1">
        <f t="array" aca="1" ref="D204" ca="1">_xll.BDP("EK877977 Corp","DS458")</f>
        <v>#NAME?</v>
      </c>
      <c r="E204" s="1" t="e" cm="1">
        <f t="array" aca="1" ref="E204" ca="1">_xll.BDP("EK877977 Corp","DS004")</f>
        <v>#NAME?</v>
      </c>
      <c r="F204" s="1" t="e" cm="1">
        <f t="array" aca="1" ref="F204" ca="1">_xll.BDP("EK877977 Corp","DS035")</f>
        <v>#NAME?</v>
      </c>
      <c r="G204" s="1" t="e" cm="1">
        <f t="array" aca="1" ref="G204" ca="1">_xll.BDP("EK877977 Corp","DS086")</f>
        <v>#NAME?</v>
      </c>
      <c r="H204" s="1" t="e" cm="1">
        <f t="array" aca="1" ref="H204" ca="1">_xll.BDP("EK877977 Corp","DS034")</f>
        <v>#NAME?</v>
      </c>
      <c r="I204" s="1" t="e" cm="1">
        <f t="array" aca="1" ref="I204" ca="1">_xll.BDP("EK877977 Corp","DS033")</f>
        <v>#NAME?</v>
      </c>
      <c r="J204" s="7" t="e" cm="1">
        <f t="array" aca="1" ref="J204" ca="1">_xll.BDP("EK877977 Corp","YL018")</f>
        <v>#NAME?</v>
      </c>
      <c r="K204" s="7" t="e" cm="1">
        <f t="array" aca="1" ref="K204" ca="1">_xll.BDP("EK877977 Corp","YL016")</f>
        <v>#NAME?</v>
      </c>
      <c r="L204" s="7" t="e" cm="1">
        <f t="array" aca="1" ref="L204" ca="1">_xll.BDP("EK877977 Corp","PR004")</f>
        <v>#NAME?</v>
      </c>
      <c r="M204" s="7" t="e" cm="1">
        <f t="array" aca="1" ref="M204" ca="1">_xll.BDP("EK877977 Corp","PR002")</f>
        <v>#NAME?</v>
      </c>
      <c r="N204" s="1" t="e" cm="1">
        <f t="array" aca="1" ref="N204" ca="1">_xll.BDP("EK877977 Corp","ID028")</f>
        <v>#NAME?</v>
      </c>
      <c r="O204" s="1" t="e" cm="1">
        <f t="array" aca="1" ref="O204" ca="1">_xll.BDP("EK877977 Corp","ID005")</f>
        <v>#NAME?</v>
      </c>
      <c r="P204" s="1" t="e" cm="1">
        <f t="array" aca="1" ref="P204" ca="1">_xll.BDP(A204,"RA007")</f>
        <v>#NAME?</v>
      </c>
      <c r="Q204" s="1" t="e" cm="1">
        <f t="array" aca="1" ref="Q204" ca="1">_xll.BDP(A204,"DS219")</f>
        <v>#NAME?</v>
      </c>
      <c r="R204" s="3" t="e" cm="1">
        <f t="array" aca="1" ref="R204" ca="1">_xll.BDP(A204,"DS040")</f>
        <v>#NAME?</v>
      </c>
      <c r="S204" s="4" t="e">
        <f t="shared" ca="1" si="9"/>
        <v>#NAME?</v>
      </c>
      <c r="T204" s="7" t="e">
        <f t="shared" ca="1" si="10"/>
        <v>#NAME?</v>
      </c>
      <c r="U204" s="3" t="e">
        <f t="shared" ca="1" si="11"/>
        <v>#NAME?</v>
      </c>
    </row>
    <row r="205" spans="1:21" x14ac:dyDescent="0.35">
      <c r="A205" s="5" t="s">
        <v>264</v>
      </c>
      <c r="B205" s="1" t="e" cm="1">
        <f t="array" aca="1" ref="B205" ca="1">_xll.BDP("EK957539 Corp","DS520")</f>
        <v>#NAME?</v>
      </c>
      <c r="C205" s="1" t="e" cm="1">
        <f t="array" aca="1" ref="C205" ca="1">_xll.BDP("EK957539 Corp","DS001")</f>
        <v>#NAME?</v>
      </c>
      <c r="D205" s="1" t="e" cm="1">
        <f t="array" aca="1" ref="D205" ca="1">_xll.BDP("EK957539 Corp","DS458")</f>
        <v>#NAME?</v>
      </c>
      <c r="E205" s="1" t="e" cm="1">
        <f t="array" aca="1" ref="E205" ca="1">_xll.BDP("EK957539 Corp","DS004")</f>
        <v>#NAME?</v>
      </c>
      <c r="F205" s="1" t="e" cm="1">
        <f t="array" aca="1" ref="F205" ca="1">_xll.BDP("EK957539 Corp","DS035")</f>
        <v>#NAME?</v>
      </c>
      <c r="G205" s="1" t="e" cm="1">
        <f t="array" aca="1" ref="G205" ca="1">_xll.BDP("EK957539 Corp","DS086")</f>
        <v>#NAME?</v>
      </c>
      <c r="H205" s="1" t="e" cm="1">
        <f t="array" aca="1" ref="H205" ca="1">_xll.BDP("EK957539 Corp","DS034")</f>
        <v>#NAME?</v>
      </c>
      <c r="I205" s="1" t="e" cm="1">
        <f t="array" aca="1" ref="I205" ca="1">_xll.BDP("EK957539 Corp","DS033")</f>
        <v>#NAME?</v>
      </c>
      <c r="J205" s="7" t="e" cm="1">
        <f t="array" aca="1" ref="J205" ca="1">_xll.BDP("EK957539 Corp","YL018")</f>
        <v>#NAME?</v>
      </c>
      <c r="K205" s="7" t="e" cm="1">
        <f t="array" aca="1" ref="K205" ca="1">_xll.BDP("EK957539 Corp","YL016")</f>
        <v>#NAME?</v>
      </c>
      <c r="L205" s="7" t="e" cm="1">
        <f t="array" aca="1" ref="L205" ca="1">_xll.BDP("EK957539 Corp","PR004")</f>
        <v>#NAME?</v>
      </c>
      <c r="M205" s="7" t="e" cm="1">
        <f t="array" aca="1" ref="M205" ca="1">_xll.BDP("EK957539 Corp","PR002")</f>
        <v>#NAME?</v>
      </c>
      <c r="N205" s="1" t="e" cm="1">
        <f t="array" aca="1" ref="N205" ca="1">_xll.BDP("EK957539 Corp","ID028")</f>
        <v>#NAME?</v>
      </c>
      <c r="O205" s="1" t="e" cm="1">
        <f t="array" aca="1" ref="O205" ca="1">_xll.BDP("EK957539 Corp","ID005")</f>
        <v>#NAME?</v>
      </c>
      <c r="P205" s="1" t="e" cm="1">
        <f t="array" aca="1" ref="P205" ca="1">_xll.BDP(A205,"RA007")</f>
        <v>#NAME?</v>
      </c>
      <c r="Q205" s="1" t="e" cm="1">
        <f t="array" aca="1" ref="Q205" ca="1">_xll.BDP(A205,"DS219")</f>
        <v>#NAME?</v>
      </c>
      <c r="R205" s="3" t="e" cm="1">
        <f t="array" aca="1" ref="R205" ca="1">_xll.BDP(A205,"DS040")</f>
        <v>#NAME?</v>
      </c>
      <c r="S205" s="4" t="e">
        <f t="shared" ca="1" si="9"/>
        <v>#NAME?</v>
      </c>
      <c r="T205" s="7" t="e">
        <f t="shared" ca="1" si="10"/>
        <v>#NAME?</v>
      </c>
      <c r="U205" s="3" t="e">
        <f t="shared" ca="1" si="11"/>
        <v>#NAME?</v>
      </c>
    </row>
    <row r="206" spans="1:21" x14ac:dyDescent="0.35">
      <c r="A206" s="5" t="s">
        <v>265</v>
      </c>
      <c r="B206" s="1" t="e" cm="1">
        <f t="array" aca="1" ref="B206" ca="1">_xll.BDP("EK972288 Corp","DS520")</f>
        <v>#NAME?</v>
      </c>
      <c r="C206" s="1" t="e" cm="1">
        <f t="array" aca="1" ref="C206" ca="1">_xll.BDP("EK972288 Corp","DS001")</f>
        <v>#NAME?</v>
      </c>
      <c r="D206" s="1" t="e" cm="1">
        <f t="array" aca="1" ref="D206" ca="1">_xll.BDP("EK972288 Corp","DS458")</f>
        <v>#NAME?</v>
      </c>
      <c r="E206" s="1" t="e" cm="1">
        <f t="array" aca="1" ref="E206" ca="1">_xll.BDP("EK972288 Corp","DS004")</f>
        <v>#NAME?</v>
      </c>
      <c r="F206" s="1" t="e" cm="1">
        <f t="array" aca="1" ref="F206" ca="1">_xll.BDP("EK972288 Corp","DS035")</f>
        <v>#NAME?</v>
      </c>
      <c r="G206" s="1" t="e" cm="1">
        <f t="array" aca="1" ref="G206" ca="1">_xll.BDP("EK972288 Corp","DS086")</f>
        <v>#NAME?</v>
      </c>
      <c r="H206" s="1" t="e" cm="1">
        <f t="array" aca="1" ref="H206" ca="1">_xll.BDP("EK972288 Corp","DS034")</f>
        <v>#NAME?</v>
      </c>
      <c r="I206" s="1" t="e" cm="1">
        <f t="array" aca="1" ref="I206" ca="1">_xll.BDP("EK972288 Corp","DS033")</f>
        <v>#NAME?</v>
      </c>
      <c r="J206" s="7" t="e" cm="1">
        <f t="array" aca="1" ref="J206" ca="1">_xll.BDP("EK972288 Corp","YL018")</f>
        <v>#NAME?</v>
      </c>
      <c r="K206" s="7" t="e" cm="1">
        <f t="array" aca="1" ref="K206" ca="1">_xll.BDP("EK972288 Corp","YL016")</f>
        <v>#NAME?</v>
      </c>
      <c r="L206" s="7" t="e" cm="1">
        <f t="array" aca="1" ref="L206" ca="1">_xll.BDP("EK972288 Corp","PR004")</f>
        <v>#NAME?</v>
      </c>
      <c r="M206" s="7" t="e" cm="1">
        <f t="array" aca="1" ref="M206" ca="1">_xll.BDP("EK972288 Corp","PR002")</f>
        <v>#NAME?</v>
      </c>
      <c r="N206" s="1" t="e" cm="1">
        <f t="array" aca="1" ref="N206" ca="1">_xll.BDP("EK972288 Corp","ID028")</f>
        <v>#NAME?</v>
      </c>
      <c r="O206" s="1" t="e" cm="1">
        <f t="array" aca="1" ref="O206" ca="1">_xll.BDP("EK972288 Corp","ID005")</f>
        <v>#NAME?</v>
      </c>
      <c r="P206" s="1" t="e" cm="1">
        <f t="array" aca="1" ref="P206" ca="1">_xll.BDP(A206,"RA007")</f>
        <v>#NAME?</v>
      </c>
      <c r="Q206" s="1" t="e" cm="1">
        <f t="array" aca="1" ref="Q206" ca="1">_xll.BDP(A206,"DS219")</f>
        <v>#NAME?</v>
      </c>
      <c r="R206" s="3" t="e" cm="1">
        <f t="array" aca="1" ref="R206" ca="1">_xll.BDP(A206,"DS040")</f>
        <v>#NAME?</v>
      </c>
      <c r="S206" s="4" t="e">
        <f t="shared" ca="1" si="9"/>
        <v>#NAME?</v>
      </c>
      <c r="T206" s="7" t="e">
        <f t="shared" ca="1" si="10"/>
        <v>#NAME?</v>
      </c>
      <c r="U206" s="3" t="e">
        <f t="shared" ca="1" si="11"/>
        <v>#NAME?</v>
      </c>
    </row>
    <row r="207" spans="1:21" x14ac:dyDescent="0.35">
      <c r="A207" s="5" t="s">
        <v>266</v>
      </c>
      <c r="B207" s="1" t="e" cm="1">
        <f t="array" aca="1" ref="B207" ca="1">_xll.BDP("JK298261 Corp","DS520")</f>
        <v>#NAME?</v>
      </c>
      <c r="C207" s="1" t="e" cm="1">
        <f t="array" aca="1" ref="C207" ca="1">_xll.BDP("JK298261 Corp","DS001")</f>
        <v>#NAME?</v>
      </c>
      <c r="D207" s="1" t="e" cm="1">
        <f t="array" aca="1" ref="D207" ca="1">_xll.BDP("JK298261 Corp","DS458")</f>
        <v>#NAME?</v>
      </c>
      <c r="E207" s="1" t="e" cm="1">
        <f t="array" aca="1" ref="E207" ca="1">_xll.BDP("JK298261 Corp","DS004")</f>
        <v>#NAME?</v>
      </c>
      <c r="F207" s="1" t="e" cm="1">
        <f t="array" aca="1" ref="F207" ca="1">_xll.BDP("JK298261 Corp","DS035")</f>
        <v>#NAME?</v>
      </c>
      <c r="G207" s="1" t="e" cm="1">
        <f t="array" aca="1" ref="G207" ca="1">_xll.BDP("JK298261 Corp","DS086")</f>
        <v>#NAME?</v>
      </c>
      <c r="H207" s="1" t="e" cm="1">
        <f t="array" aca="1" ref="H207" ca="1">_xll.BDP("JK298261 Corp","DS034")</f>
        <v>#NAME?</v>
      </c>
      <c r="I207" s="1" t="e" cm="1">
        <f t="array" aca="1" ref="I207" ca="1">_xll.BDP("JK298261 Corp","DS033")</f>
        <v>#NAME?</v>
      </c>
      <c r="J207" s="7" t="e" cm="1">
        <f t="array" aca="1" ref="J207" ca="1">_xll.BDP("JK298261 Corp","YL018")</f>
        <v>#NAME?</v>
      </c>
      <c r="K207" s="7" t="e" cm="1">
        <f t="array" aca="1" ref="K207" ca="1">_xll.BDP("JK298261 Corp","YL016")</f>
        <v>#NAME?</v>
      </c>
      <c r="L207" s="7" t="e" cm="1">
        <f t="array" aca="1" ref="L207" ca="1">_xll.BDP("JK298261 Corp","PR004")</f>
        <v>#NAME?</v>
      </c>
      <c r="M207" s="7" t="e" cm="1">
        <f t="array" aca="1" ref="M207" ca="1">_xll.BDP("JK298261 Corp","PR002")</f>
        <v>#NAME?</v>
      </c>
      <c r="N207" s="1" t="e" cm="1">
        <f t="array" aca="1" ref="N207" ca="1">_xll.BDP("JK298261 Corp","ID028")</f>
        <v>#NAME?</v>
      </c>
      <c r="O207" s="1" t="e" cm="1">
        <f t="array" aca="1" ref="O207" ca="1">_xll.BDP("JK298261 Corp","ID005")</f>
        <v>#NAME?</v>
      </c>
      <c r="P207" s="1" t="e" cm="1">
        <f t="array" aca="1" ref="P207" ca="1">_xll.BDP(A207,"RA007")</f>
        <v>#NAME?</v>
      </c>
      <c r="Q207" s="1" t="e" cm="1">
        <f t="array" aca="1" ref="Q207" ca="1">_xll.BDP(A207,"DS219")</f>
        <v>#NAME?</v>
      </c>
      <c r="R207" s="3" t="e" cm="1">
        <f t="array" aca="1" ref="R207" ca="1">_xll.BDP(A207,"DS040")</f>
        <v>#NAME?</v>
      </c>
      <c r="S207" s="4" t="e">
        <f t="shared" ca="1" si="9"/>
        <v>#NAME?</v>
      </c>
      <c r="T207" s="7" t="e">
        <f t="shared" ca="1" si="10"/>
        <v>#NAME?</v>
      </c>
      <c r="U207" s="3" t="e">
        <f t="shared" ca="1" si="11"/>
        <v>#NAME?</v>
      </c>
    </row>
    <row r="208" spans="1:21" x14ac:dyDescent="0.35">
      <c r="A208" s="5" t="s">
        <v>267</v>
      </c>
      <c r="B208" s="1" t="e" cm="1">
        <f t="array" aca="1" ref="B208" ca="1">_xll.BDP("JK380578 Corp","DS520")</f>
        <v>#NAME?</v>
      </c>
      <c r="C208" s="1" t="e" cm="1">
        <f t="array" aca="1" ref="C208" ca="1">_xll.BDP("JK380578 Corp","DS001")</f>
        <v>#NAME?</v>
      </c>
      <c r="D208" s="1" t="e" cm="1">
        <f t="array" aca="1" ref="D208" ca="1">_xll.BDP("JK380578 Corp","DS458")</f>
        <v>#NAME?</v>
      </c>
      <c r="E208" s="1" t="e" cm="1">
        <f t="array" aca="1" ref="E208" ca="1">_xll.BDP("JK380578 Corp","DS004")</f>
        <v>#NAME?</v>
      </c>
      <c r="F208" s="1" t="e" cm="1">
        <f t="array" aca="1" ref="F208" ca="1">_xll.BDP("JK380578 Corp","DS035")</f>
        <v>#NAME?</v>
      </c>
      <c r="G208" s="1" t="e" cm="1">
        <f t="array" aca="1" ref="G208" ca="1">_xll.BDP("JK380578 Corp","DS086")</f>
        <v>#NAME?</v>
      </c>
      <c r="H208" s="1" t="e" cm="1">
        <f t="array" aca="1" ref="H208" ca="1">_xll.BDP("JK380578 Corp","DS034")</f>
        <v>#NAME?</v>
      </c>
      <c r="I208" s="1" t="e" cm="1">
        <f t="array" aca="1" ref="I208" ca="1">_xll.BDP("JK380578 Corp","DS033")</f>
        <v>#NAME?</v>
      </c>
      <c r="J208" s="7" t="e" cm="1">
        <f t="array" aca="1" ref="J208" ca="1">_xll.BDP("JK380578 Corp","YL018")</f>
        <v>#NAME?</v>
      </c>
      <c r="K208" s="7" t="e" cm="1">
        <f t="array" aca="1" ref="K208" ca="1">_xll.BDP("JK380578 Corp","YL016")</f>
        <v>#NAME?</v>
      </c>
      <c r="L208" s="7" t="e" cm="1">
        <f t="array" aca="1" ref="L208" ca="1">_xll.BDP("JK380578 Corp","PR004")</f>
        <v>#NAME?</v>
      </c>
      <c r="M208" s="7" t="e" cm="1">
        <f t="array" aca="1" ref="M208" ca="1">_xll.BDP("JK380578 Corp","PR002")</f>
        <v>#NAME?</v>
      </c>
      <c r="N208" s="1" t="e" cm="1">
        <f t="array" aca="1" ref="N208" ca="1">_xll.BDP("JK380578 Corp","ID028")</f>
        <v>#NAME?</v>
      </c>
      <c r="O208" s="1" t="e" cm="1">
        <f t="array" aca="1" ref="O208" ca="1">_xll.BDP("JK380578 Corp","ID005")</f>
        <v>#NAME?</v>
      </c>
      <c r="P208" s="1" t="e" cm="1">
        <f t="array" aca="1" ref="P208" ca="1">_xll.BDP(A208,"RA007")</f>
        <v>#NAME?</v>
      </c>
      <c r="Q208" s="1" t="e" cm="1">
        <f t="array" aca="1" ref="Q208" ca="1">_xll.BDP(A208,"DS219")</f>
        <v>#NAME?</v>
      </c>
      <c r="R208" s="3" t="e" cm="1">
        <f t="array" aca="1" ref="R208" ca="1">_xll.BDP(A208,"DS040")</f>
        <v>#NAME?</v>
      </c>
      <c r="S208" s="4" t="e">
        <f t="shared" ca="1" si="9"/>
        <v>#NAME?</v>
      </c>
      <c r="T208" s="7" t="e">
        <f t="shared" ca="1" si="10"/>
        <v>#NAME?</v>
      </c>
      <c r="U208" s="3" t="e">
        <f t="shared" ca="1" si="11"/>
        <v>#NAME?</v>
      </c>
    </row>
    <row r="209" spans="1:21" x14ac:dyDescent="0.35">
      <c r="A209" s="5" t="s">
        <v>268</v>
      </c>
      <c r="B209" s="1" t="e" cm="1">
        <f t="array" aca="1" ref="B209" ca="1">_xll.BDP("JK501604 Corp","DS520")</f>
        <v>#NAME?</v>
      </c>
      <c r="C209" s="1" t="e" cm="1">
        <f t="array" aca="1" ref="C209" ca="1">_xll.BDP("JK501604 Corp","DS001")</f>
        <v>#NAME?</v>
      </c>
      <c r="D209" s="1" t="e" cm="1">
        <f t="array" aca="1" ref="D209" ca="1">_xll.BDP("JK501604 Corp","DS458")</f>
        <v>#NAME?</v>
      </c>
      <c r="E209" s="1" t="e" cm="1">
        <f t="array" aca="1" ref="E209" ca="1">_xll.BDP("JK501604 Corp","DS004")</f>
        <v>#NAME?</v>
      </c>
      <c r="F209" s="1" t="e" cm="1">
        <f t="array" aca="1" ref="F209" ca="1">_xll.BDP("JK501604 Corp","DS035")</f>
        <v>#NAME?</v>
      </c>
      <c r="G209" s="1" t="e" cm="1">
        <f t="array" aca="1" ref="G209" ca="1">_xll.BDP("JK501604 Corp","DS086")</f>
        <v>#NAME?</v>
      </c>
      <c r="H209" s="1" t="e" cm="1">
        <f t="array" aca="1" ref="H209" ca="1">_xll.BDP("JK501604 Corp","DS034")</f>
        <v>#NAME?</v>
      </c>
      <c r="I209" s="1" t="e" cm="1">
        <f t="array" aca="1" ref="I209" ca="1">_xll.BDP("JK501604 Corp","DS033")</f>
        <v>#NAME?</v>
      </c>
      <c r="J209" s="7" t="e" cm="1">
        <f t="array" aca="1" ref="J209" ca="1">_xll.BDP("JK501604 Corp","YL018")</f>
        <v>#NAME?</v>
      </c>
      <c r="K209" s="7" t="e" cm="1">
        <f t="array" aca="1" ref="K209" ca="1">_xll.BDP("JK501604 Corp","YL016")</f>
        <v>#NAME?</v>
      </c>
      <c r="L209" s="7" t="e" cm="1">
        <f t="array" aca="1" ref="L209" ca="1">_xll.BDP("JK501604 Corp","PR004")</f>
        <v>#NAME?</v>
      </c>
      <c r="M209" s="7" t="e" cm="1">
        <f t="array" aca="1" ref="M209" ca="1">_xll.BDP("JK501604 Corp","PR002")</f>
        <v>#NAME?</v>
      </c>
      <c r="N209" s="1" t="e" cm="1">
        <f t="array" aca="1" ref="N209" ca="1">_xll.BDP("JK501604 Corp","ID028")</f>
        <v>#NAME?</v>
      </c>
      <c r="O209" s="1" t="e" cm="1">
        <f t="array" aca="1" ref="O209" ca="1">_xll.BDP("JK501604 Corp","ID005")</f>
        <v>#NAME?</v>
      </c>
      <c r="P209" s="1" t="e" cm="1">
        <f t="array" aca="1" ref="P209" ca="1">_xll.BDP(A209,"RA007")</f>
        <v>#NAME?</v>
      </c>
      <c r="Q209" s="1" t="e" cm="1">
        <f t="array" aca="1" ref="Q209" ca="1">_xll.BDP(A209,"DS219")</f>
        <v>#NAME?</v>
      </c>
      <c r="R209" s="3" t="e" cm="1">
        <f t="array" aca="1" ref="R209" ca="1">_xll.BDP(A209,"DS040")</f>
        <v>#NAME?</v>
      </c>
      <c r="S209" s="4" t="e">
        <f t="shared" ca="1" si="9"/>
        <v>#NAME?</v>
      </c>
      <c r="T209" s="7" t="e">
        <f t="shared" ca="1" si="10"/>
        <v>#NAME?</v>
      </c>
      <c r="U209" s="3" t="e">
        <f t="shared" ca="1" si="11"/>
        <v>#NAME?</v>
      </c>
    </row>
    <row r="210" spans="1:21" x14ac:dyDescent="0.35">
      <c r="A210" s="5" t="s">
        <v>269</v>
      </c>
      <c r="B210" s="1" t="e" cm="1">
        <f t="array" aca="1" ref="B210" ca="1">_xll.BDP("JV207518 Corp","DS520")</f>
        <v>#NAME?</v>
      </c>
      <c r="C210" s="1" t="e" cm="1">
        <f t="array" aca="1" ref="C210" ca="1">_xll.BDP("JV207518 Corp","DS001")</f>
        <v>#NAME?</v>
      </c>
      <c r="D210" s="1" t="e" cm="1">
        <f t="array" aca="1" ref="D210" ca="1">_xll.BDP("JV207518 Corp","DS458")</f>
        <v>#NAME?</v>
      </c>
      <c r="E210" s="1" t="e" cm="1">
        <f t="array" aca="1" ref="E210" ca="1">_xll.BDP("JV207518 Corp","DS004")</f>
        <v>#NAME?</v>
      </c>
      <c r="F210" s="1" t="e" cm="1">
        <f t="array" aca="1" ref="F210" ca="1">_xll.BDP("JV207518 Corp","DS035")</f>
        <v>#NAME?</v>
      </c>
      <c r="G210" s="1" t="e" cm="1">
        <f t="array" aca="1" ref="G210" ca="1">_xll.BDP("JV207518 Corp","DS086")</f>
        <v>#NAME?</v>
      </c>
      <c r="H210" s="1" t="e" cm="1">
        <f t="array" aca="1" ref="H210" ca="1">_xll.BDP("JV207518 Corp","DS034")</f>
        <v>#NAME?</v>
      </c>
      <c r="I210" s="1" t="e" cm="1">
        <f t="array" aca="1" ref="I210" ca="1">_xll.BDP("JV207518 Corp","DS033")</f>
        <v>#NAME?</v>
      </c>
      <c r="J210" s="7" t="e" cm="1">
        <f t="array" aca="1" ref="J210" ca="1">_xll.BDP("JV207518 Corp","YL018")</f>
        <v>#NAME?</v>
      </c>
      <c r="K210" s="7" t="e" cm="1">
        <f t="array" aca="1" ref="K210" ca="1">_xll.BDP("JV207518 Corp","YL016")</f>
        <v>#NAME?</v>
      </c>
      <c r="L210" s="7" t="e" cm="1">
        <f t="array" aca="1" ref="L210" ca="1">_xll.BDP("JV207518 Corp","PR004")</f>
        <v>#NAME?</v>
      </c>
      <c r="M210" s="7" t="e" cm="1">
        <f t="array" aca="1" ref="M210" ca="1">_xll.BDP("JV207518 Corp","PR002")</f>
        <v>#NAME?</v>
      </c>
      <c r="N210" s="1" t="e" cm="1">
        <f t="array" aca="1" ref="N210" ca="1">_xll.BDP("JV207518 Corp","ID028")</f>
        <v>#NAME?</v>
      </c>
      <c r="O210" s="1" t="e" cm="1">
        <f t="array" aca="1" ref="O210" ca="1">_xll.BDP("JV207518 Corp","ID005")</f>
        <v>#NAME?</v>
      </c>
      <c r="P210" s="1" t="e" cm="1">
        <f t="array" aca="1" ref="P210" ca="1">_xll.BDP(A210,"RA007")</f>
        <v>#NAME?</v>
      </c>
      <c r="Q210" s="1" t="e" cm="1">
        <f t="array" aca="1" ref="Q210" ca="1">_xll.BDP(A210,"DS219")</f>
        <v>#NAME?</v>
      </c>
      <c r="R210" s="3" t="e" cm="1">
        <f t="array" aca="1" ref="R210" ca="1">_xll.BDP(A210,"DS040")</f>
        <v>#NAME?</v>
      </c>
      <c r="S210" s="4" t="e">
        <f t="shared" ca="1" si="9"/>
        <v>#NAME?</v>
      </c>
      <c r="T210" s="7" t="e">
        <f t="shared" ca="1" si="10"/>
        <v>#NAME?</v>
      </c>
      <c r="U210" s="3" t="e">
        <f t="shared" ca="1" si="11"/>
        <v>#NAME?</v>
      </c>
    </row>
    <row r="211" spans="1:21" x14ac:dyDescent="0.35">
      <c r="A211" s="5" t="s">
        <v>270</v>
      </c>
      <c r="B211" s="1" t="e" cm="1">
        <f t="array" aca="1" ref="B211" ca="1">_xll.BDP("JV336866 Corp","DS520")</f>
        <v>#NAME?</v>
      </c>
      <c r="C211" s="1" t="e" cm="1">
        <f t="array" aca="1" ref="C211" ca="1">_xll.BDP("JV336866 Corp","DS001")</f>
        <v>#NAME?</v>
      </c>
      <c r="D211" s="1" t="e" cm="1">
        <f t="array" aca="1" ref="D211" ca="1">_xll.BDP("JV336866 Corp","DS458")</f>
        <v>#NAME?</v>
      </c>
      <c r="E211" s="1" t="e" cm="1">
        <f t="array" aca="1" ref="E211" ca="1">_xll.BDP("JV336866 Corp","DS004")</f>
        <v>#NAME?</v>
      </c>
      <c r="F211" s="1" t="e" cm="1">
        <f t="array" aca="1" ref="F211" ca="1">_xll.BDP("JV336866 Corp","DS035")</f>
        <v>#NAME?</v>
      </c>
      <c r="G211" s="1" t="e" cm="1">
        <f t="array" aca="1" ref="G211" ca="1">_xll.BDP("JV336866 Corp","DS086")</f>
        <v>#NAME?</v>
      </c>
      <c r="H211" s="1" t="e" cm="1">
        <f t="array" aca="1" ref="H211" ca="1">_xll.BDP("JV336866 Corp","DS034")</f>
        <v>#NAME?</v>
      </c>
      <c r="I211" s="1" t="e" cm="1">
        <f t="array" aca="1" ref="I211" ca="1">_xll.BDP("JV336866 Corp","DS033")</f>
        <v>#NAME?</v>
      </c>
      <c r="J211" s="7" t="e" cm="1">
        <f t="array" aca="1" ref="J211" ca="1">_xll.BDP("JV336866 Corp","YL018")</f>
        <v>#NAME?</v>
      </c>
      <c r="K211" s="7" t="e" cm="1">
        <f t="array" aca="1" ref="K211" ca="1">_xll.BDP("JV336866 Corp","YL016")</f>
        <v>#NAME?</v>
      </c>
      <c r="L211" s="7" t="e" cm="1">
        <f t="array" aca="1" ref="L211" ca="1">_xll.BDP("JV336866 Corp","PR004")</f>
        <v>#NAME?</v>
      </c>
      <c r="M211" s="7" t="e" cm="1">
        <f t="array" aca="1" ref="M211" ca="1">_xll.BDP("JV336866 Corp","PR002")</f>
        <v>#NAME?</v>
      </c>
      <c r="N211" s="1" t="e" cm="1">
        <f t="array" aca="1" ref="N211" ca="1">_xll.BDP("JV336866 Corp","ID028")</f>
        <v>#NAME?</v>
      </c>
      <c r="O211" s="1" t="e" cm="1">
        <f t="array" aca="1" ref="O211" ca="1">_xll.BDP("JV336866 Corp","ID005")</f>
        <v>#NAME?</v>
      </c>
      <c r="P211" s="1" t="e" cm="1">
        <f t="array" aca="1" ref="P211" ca="1">_xll.BDP(A211,"RA007")</f>
        <v>#NAME?</v>
      </c>
      <c r="Q211" s="1" t="e" cm="1">
        <f t="array" aca="1" ref="Q211" ca="1">_xll.BDP(A211,"DS219")</f>
        <v>#NAME?</v>
      </c>
      <c r="R211" s="3" t="e" cm="1">
        <f t="array" aca="1" ref="R211" ca="1">_xll.BDP(A211,"DS040")</f>
        <v>#NAME?</v>
      </c>
      <c r="S211" s="4" t="e">
        <f t="shared" ca="1" si="9"/>
        <v>#NAME?</v>
      </c>
      <c r="T211" s="7" t="e">
        <f t="shared" ca="1" si="10"/>
        <v>#NAME?</v>
      </c>
      <c r="U211" s="3" t="e">
        <f t="shared" ca="1" si="11"/>
        <v>#NAME?</v>
      </c>
    </row>
    <row r="212" spans="1:21" x14ac:dyDescent="0.35">
      <c r="A212" s="5" t="s">
        <v>271</v>
      </c>
      <c r="B212" s="1" t="e" cm="1">
        <f t="array" aca="1" ref="B212" ca="1">_xll.BDP("LW239433 Corp","DS520")</f>
        <v>#NAME?</v>
      </c>
      <c r="C212" s="1" t="e" cm="1">
        <f t="array" aca="1" ref="C212" ca="1">_xll.BDP("LW239433 Corp","DS001")</f>
        <v>#NAME?</v>
      </c>
      <c r="D212" s="1" t="e" cm="1">
        <f t="array" aca="1" ref="D212" ca="1">_xll.BDP("LW239433 Corp","DS458")</f>
        <v>#NAME?</v>
      </c>
      <c r="E212" s="1" t="e" cm="1">
        <f t="array" aca="1" ref="E212" ca="1">_xll.BDP("LW239433 Corp","DS004")</f>
        <v>#NAME?</v>
      </c>
      <c r="F212" s="1" t="e" cm="1">
        <f t="array" aca="1" ref="F212" ca="1">_xll.BDP("LW239433 Corp","DS035")</f>
        <v>#NAME?</v>
      </c>
      <c r="G212" s="1" t="e" cm="1">
        <f t="array" aca="1" ref="G212" ca="1">_xll.BDP("LW239433 Corp","DS086")</f>
        <v>#NAME?</v>
      </c>
      <c r="H212" s="1" t="e" cm="1">
        <f t="array" aca="1" ref="H212" ca="1">_xll.BDP("LW239433 Corp","DS034")</f>
        <v>#NAME?</v>
      </c>
      <c r="I212" s="1" t="e" cm="1">
        <f t="array" aca="1" ref="I212" ca="1">_xll.BDP("LW239433 Corp","DS033")</f>
        <v>#NAME?</v>
      </c>
      <c r="J212" s="7" t="e" cm="1">
        <f t="array" aca="1" ref="J212" ca="1">_xll.BDP("LW239433 Corp","YL018")</f>
        <v>#NAME?</v>
      </c>
      <c r="K212" s="7" t="e" cm="1">
        <f t="array" aca="1" ref="K212" ca="1">_xll.BDP("LW239433 Corp","YL016")</f>
        <v>#NAME?</v>
      </c>
      <c r="L212" s="7" t="e" cm="1">
        <f t="array" aca="1" ref="L212" ca="1">_xll.BDP("LW239433 Corp","PR004")</f>
        <v>#NAME?</v>
      </c>
      <c r="M212" s="7" t="e" cm="1">
        <f t="array" aca="1" ref="M212" ca="1">_xll.BDP("LW239433 Corp","PR002")</f>
        <v>#NAME?</v>
      </c>
      <c r="N212" s="1" t="e" cm="1">
        <f t="array" aca="1" ref="N212" ca="1">_xll.BDP("LW239433 Corp","ID028")</f>
        <v>#NAME?</v>
      </c>
      <c r="O212" s="1" t="e" cm="1">
        <f t="array" aca="1" ref="O212" ca="1">_xll.BDP("LW239433 Corp","ID005")</f>
        <v>#NAME?</v>
      </c>
      <c r="P212" s="1" t="e" cm="1">
        <f t="array" aca="1" ref="P212" ca="1">_xll.BDP(A212,"RA007")</f>
        <v>#NAME?</v>
      </c>
      <c r="Q212" s="1" t="e" cm="1">
        <f t="array" aca="1" ref="Q212" ca="1">_xll.BDP(A212,"DS219")</f>
        <v>#NAME?</v>
      </c>
      <c r="R212" s="3" t="e" cm="1">
        <f t="array" aca="1" ref="R212" ca="1">_xll.BDP(A212,"DS040")</f>
        <v>#NAME?</v>
      </c>
      <c r="S212" s="4" t="e">
        <f t="shared" ca="1" si="9"/>
        <v>#NAME?</v>
      </c>
      <c r="T212" s="7" t="e">
        <f t="shared" ca="1" si="10"/>
        <v>#NAME?</v>
      </c>
      <c r="U212" s="3" t="e">
        <f t="shared" ca="1" si="11"/>
        <v>#NAME?</v>
      </c>
    </row>
    <row r="213" spans="1:21" x14ac:dyDescent="0.35">
      <c r="A213" s="5" t="s">
        <v>272</v>
      </c>
      <c r="B213" s="1" t="e" cm="1">
        <f t="array" aca="1" ref="B213" ca="1">_xll.BDP("LW316486 Corp","DS520")</f>
        <v>#NAME?</v>
      </c>
      <c r="C213" s="1" t="e" cm="1">
        <f t="array" aca="1" ref="C213" ca="1">_xll.BDP("LW316486 Corp","DS001")</f>
        <v>#NAME?</v>
      </c>
      <c r="D213" s="1" t="e" cm="1">
        <f t="array" aca="1" ref="D213" ca="1">_xll.BDP("LW316486 Corp","DS458")</f>
        <v>#NAME?</v>
      </c>
      <c r="E213" s="1" t="e" cm="1">
        <f t="array" aca="1" ref="E213" ca="1">_xll.BDP("LW316486 Corp","DS004")</f>
        <v>#NAME?</v>
      </c>
      <c r="F213" s="1" t="e" cm="1">
        <f t="array" aca="1" ref="F213" ca="1">_xll.BDP("LW316486 Corp","DS035")</f>
        <v>#NAME?</v>
      </c>
      <c r="G213" s="1" t="e" cm="1">
        <f t="array" aca="1" ref="G213" ca="1">_xll.BDP("LW316486 Corp","DS086")</f>
        <v>#NAME?</v>
      </c>
      <c r="H213" s="1" t="e" cm="1">
        <f t="array" aca="1" ref="H213" ca="1">_xll.BDP("LW316486 Corp","DS034")</f>
        <v>#NAME?</v>
      </c>
      <c r="I213" s="1" t="e" cm="1">
        <f t="array" aca="1" ref="I213" ca="1">_xll.BDP("LW316486 Corp","DS033")</f>
        <v>#NAME?</v>
      </c>
      <c r="J213" s="7" t="e" cm="1">
        <f t="array" aca="1" ref="J213" ca="1">_xll.BDP("LW316486 Corp","YL018")</f>
        <v>#NAME?</v>
      </c>
      <c r="K213" s="7" t="e" cm="1">
        <f t="array" aca="1" ref="K213" ca="1">_xll.BDP("LW316486 Corp","YL016")</f>
        <v>#NAME?</v>
      </c>
      <c r="L213" s="7" t="e" cm="1">
        <f t="array" aca="1" ref="L213" ca="1">_xll.BDP("LW316486 Corp","PR004")</f>
        <v>#NAME?</v>
      </c>
      <c r="M213" s="7" t="e" cm="1">
        <f t="array" aca="1" ref="M213" ca="1">_xll.BDP("LW316486 Corp","PR002")</f>
        <v>#NAME?</v>
      </c>
      <c r="N213" s="1" t="e" cm="1">
        <f t="array" aca="1" ref="N213" ca="1">_xll.BDP("LW316486 Corp","ID028")</f>
        <v>#NAME?</v>
      </c>
      <c r="O213" s="1" t="e" cm="1">
        <f t="array" aca="1" ref="O213" ca="1">_xll.BDP("LW316486 Corp","ID005")</f>
        <v>#NAME?</v>
      </c>
      <c r="P213" s="1" t="e" cm="1">
        <f t="array" aca="1" ref="P213" ca="1">_xll.BDP(A213,"RA007")</f>
        <v>#NAME?</v>
      </c>
      <c r="Q213" s="1" t="e" cm="1">
        <f t="array" aca="1" ref="Q213" ca="1">_xll.BDP(A213,"DS219")</f>
        <v>#NAME?</v>
      </c>
      <c r="R213" s="3" t="e" cm="1">
        <f t="array" aca="1" ref="R213" ca="1">_xll.BDP(A213,"DS040")</f>
        <v>#NAME?</v>
      </c>
      <c r="S213" s="4" t="e">
        <f t="shared" ca="1" si="9"/>
        <v>#NAME?</v>
      </c>
      <c r="T213" s="7" t="e">
        <f t="shared" ca="1" si="10"/>
        <v>#NAME?</v>
      </c>
      <c r="U213" s="3" t="e">
        <f t="shared" ca="1" si="11"/>
        <v>#NAME?</v>
      </c>
    </row>
    <row r="214" spans="1:21" x14ac:dyDescent="0.35">
      <c r="A214" s="5" t="s">
        <v>273</v>
      </c>
      <c r="B214" s="1" t="e" cm="1">
        <f t="array" aca="1" ref="B214" ca="1">_xll.BDP("LW361469 Corp","DS520")</f>
        <v>#NAME?</v>
      </c>
      <c r="C214" s="1" t="e" cm="1">
        <f t="array" aca="1" ref="C214" ca="1">_xll.BDP("LW361469 Corp","DS001")</f>
        <v>#NAME?</v>
      </c>
      <c r="D214" s="1" t="e" cm="1">
        <f t="array" aca="1" ref="D214" ca="1">_xll.BDP("LW361469 Corp","DS458")</f>
        <v>#NAME?</v>
      </c>
      <c r="E214" s="1" t="e" cm="1">
        <f t="array" aca="1" ref="E214" ca="1">_xll.BDP("LW361469 Corp","DS004")</f>
        <v>#NAME?</v>
      </c>
      <c r="F214" s="1" t="e" cm="1">
        <f t="array" aca="1" ref="F214" ca="1">_xll.BDP("LW361469 Corp","DS035")</f>
        <v>#NAME?</v>
      </c>
      <c r="G214" s="1" t="e" cm="1">
        <f t="array" aca="1" ref="G214" ca="1">_xll.BDP("LW361469 Corp","DS086")</f>
        <v>#NAME?</v>
      </c>
      <c r="H214" s="1" t="e" cm="1">
        <f t="array" aca="1" ref="H214" ca="1">_xll.BDP("LW361469 Corp","DS034")</f>
        <v>#NAME?</v>
      </c>
      <c r="I214" s="1" t="e" cm="1">
        <f t="array" aca="1" ref="I214" ca="1">_xll.BDP("LW361469 Corp","DS033")</f>
        <v>#NAME?</v>
      </c>
      <c r="J214" s="7" t="e" cm="1">
        <f t="array" aca="1" ref="J214" ca="1">_xll.BDP("LW361469 Corp","YL018")</f>
        <v>#NAME?</v>
      </c>
      <c r="K214" s="7" t="e" cm="1">
        <f t="array" aca="1" ref="K214" ca="1">_xll.BDP("LW361469 Corp","YL016")</f>
        <v>#NAME?</v>
      </c>
      <c r="L214" s="7" t="e" cm="1">
        <f t="array" aca="1" ref="L214" ca="1">_xll.BDP("LW361469 Corp","PR004")</f>
        <v>#NAME?</v>
      </c>
      <c r="M214" s="7" t="e" cm="1">
        <f t="array" aca="1" ref="M214" ca="1">_xll.BDP("LW361469 Corp","PR002")</f>
        <v>#NAME?</v>
      </c>
      <c r="N214" s="1" t="e" cm="1">
        <f t="array" aca="1" ref="N214" ca="1">_xll.BDP("LW361469 Corp","ID028")</f>
        <v>#NAME?</v>
      </c>
      <c r="O214" s="1" t="e" cm="1">
        <f t="array" aca="1" ref="O214" ca="1">_xll.BDP("LW361469 Corp","ID005")</f>
        <v>#NAME?</v>
      </c>
      <c r="P214" s="1" t="e" cm="1">
        <f t="array" aca="1" ref="P214" ca="1">_xll.BDP(A214,"RA007")</f>
        <v>#NAME?</v>
      </c>
      <c r="Q214" s="1" t="e" cm="1">
        <f t="array" aca="1" ref="Q214" ca="1">_xll.BDP(A214,"DS219")</f>
        <v>#NAME?</v>
      </c>
      <c r="R214" s="3" t="e" cm="1">
        <f t="array" aca="1" ref="R214" ca="1">_xll.BDP(A214,"DS040")</f>
        <v>#NAME?</v>
      </c>
      <c r="S214" s="4" t="e">
        <f t="shared" ca="1" si="9"/>
        <v>#NAME?</v>
      </c>
      <c r="T214" s="7" t="e">
        <f t="shared" ca="1" si="10"/>
        <v>#NAME?</v>
      </c>
      <c r="U214" s="3" t="e">
        <f t="shared" ca="1" si="11"/>
        <v>#NAME?</v>
      </c>
    </row>
    <row r="215" spans="1:21" x14ac:dyDescent="0.35">
      <c r="A215" s="5" t="s">
        <v>274</v>
      </c>
      <c r="B215" s="1" t="e" cm="1">
        <f t="array" aca="1" ref="B215" ca="1">_xll.BDP("LW545302 Corp","DS520")</f>
        <v>#NAME?</v>
      </c>
      <c r="C215" s="1" t="e" cm="1">
        <f t="array" aca="1" ref="C215" ca="1">_xll.BDP("LW545302 Corp","DS001")</f>
        <v>#NAME?</v>
      </c>
      <c r="D215" s="1" t="e" cm="1">
        <f t="array" aca="1" ref="D215" ca="1">_xll.BDP("LW545302 Corp","DS458")</f>
        <v>#NAME?</v>
      </c>
      <c r="E215" s="1" t="e" cm="1">
        <f t="array" aca="1" ref="E215" ca="1">_xll.BDP("LW545302 Corp","DS004")</f>
        <v>#NAME?</v>
      </c>
      <c r="F215" s="1" t="e" cm="1">
        <f t="array" aca="1" ref="F215" ca="1">_xll.BDP("LW545302 Corp","DS035")</f>
        <v>#NAME?</v>
      </c>
      <c r="G215" s="1" t="e" cm="1">
        <f t="array" aca="1" ref="G215" ca="1">_xll.BDP("LW545302 Corp","DS086")</f>
        <v>#NAME?</v>
      </c>
      <c r="H215" s="1" t="e" cm="1">
        <f t="array" aca="1" ref="H215" ca="1">_xll.BDP("LW545302 Corp","DS034")</f>
        <v>#NAME?</v>
      </c>
      <c r="I215" s="1" t="e" cm="1">
        <f t="array" aca="1" ref="I215" ca="1">_xll.BDP("LW545302 Corp","DS033")</f>
        <v>#NAME?</v>
      </c>
      <c r="J215" s="7" t="e" cm="1">
        <f t="array" aca="1" ref="J215" ca="1">_xll.BDP("LW545302 Corp","YL018")</f>
        <v>#NAME?</v>
      </c>
      <c r="K215" s="7" t="e" cm="1">
        <f t="array" aca="1" ref="K215" ca="1">_xll.BDP("LW545302 Corp","YL016")</f>
        <v>#NAME?</v>
      </c>
      <c r="L215" s="7" t="e" cm="1">
        <f t="array" aca="1" ref="L215" ca="1">_xll.BDP("LW545302 Corp","PR004")</f>
        <v>#NAME?</v>
      </c>
      <c r="M215" s="7" t="e" cm="1">
        <f t="array" aca="1" ref="M215" ca="1">_xll.BDP("LW545302 Corp","PR002")</f>
        <v>#NAME?</v>
      </c>
      <c r="N215" s="1" t="e" cm="1">
        <f t="array" aca="1" ref="N215" ca="1">_xll.BDP("LW545302 Corp","ID028")</f>
        <v>#NAME?</v>
      </c>
      <c r="O215" s="1" t="e" cm="1">
        <f t="array" aca="1" ref="O215" ca="1">_xll.BDP("LW545302 Corp","ID005")</f>
        <v>#NAME?</v>
      </c>
      <c r="P215" s="1" t="e" cm="1">
        <f t="array" aca="1" ref="P215" ca="1">_xll.BDP(A215,"RA007")</f>
        <v>#NAME?</v>
      </c>
      <c r="Q215" s="1" t="e" cm="1">
        <f t="array" aca="1" ref="Q215" ca="1">_xll.BDP(A215,"DS219")</f>
        <v>#NAME?</v>
      </c>
      <c r="R215" s="3" t="e" cm="1">
        <f t="array" aca="1" ref="R215" ca="1">_xll.BDP(A215,"DS040")</f>
        <v>#NAME?</v>
      </c>
      <c r="S215" s="4" t="e">
        <f t="shared" ca="1" si="9"/>
        <v>#NAME?</v>
      </c>
      <c r="T215" s="7" t="e">
        <f t="shared" ca="1" si="10"/>
        <v>#NAME?</v>
      </c>
      <c r="U215" s="3" t="e">
        <f t="shared" ca="1" si="11"/>
        <v>#NAME?</v>
      </c>
    </row>
    <row r="216" spans="1:21" x14ac:dyDescent="0.35">
      <c r="A216" s="5" t="s">
        <v>275</v>
      </c>
      <c r="B216" s="1" t="e" cm="1">
        <f t="array" aca="1" ref="B216" ca="1">_xll.BDP("QZ413850 Corp","DS520")</f>
        <v>#NAME?</v>
      </c>
      <c r="C216" s="1" t="e" cm="1">
        <f t="array" aca="1" ref="C216" ca="1">_xll.BDP("QZ413850 Corp","DS001")</f>
        <v>#NAME?</v>
      </c>
      <c r="D216" s="1" t="e" cm="1">
        <f t="array" aca="1" ref="D216" ca="1">_xll.BDP("QZ413850 Corp","DS458")</f>
        <v>#NAME?</v>
      </c>
      <c r="E216" s="1" t="e" cm="1">
        <f t="array" aca="1" ref="E216" ca="1">_xll.BDP("QZ413850 Corp","DS004")</f>
        <v>#NAME?</v>
      </c>
      <c r="F216" s="1" t="e" cm="1">
        <f t="array" aca="1" ref="F216" ca="1">_xll.BDP("QZ413850 Corp","DS035")</f>
        <v>#NAME?</v>
      </c>
      <c r="G216" s="1" t="e" cm="1">
        <f t="array" aca="1" ref="G216" ca="1">_xll.BDP("QZ413850 Corp","DS086")</f>
        <v>#NAME?</v>
      </c>
      <c r="H216" s="1" t="e" cm="1">
        <f t="array" aca="1" ref="H216" ca="1">_xll.BDP("QZ413850 Corp","DS034")</f>
        <v>#NAME?</v>
      </c>
      <c r="I216" s="1" t="e" cm="1">
        <f t="array" aca="1" ref="I216" ca="1">_xll.BDP("QZ413850 Corp","DS033")</f>
        <v>#NAME?</v>
      </c>
      <c r="J216" s="7" t="e" cm="1">
        <f t="array" aca="1" ref="J216" ca="1">_xll.BDP("QZ413850 Corp","YL018")</f>
        <v>#NAME?</v>
      </c>
      <c r="K216" s="7" t="e" cm="1">
        <f t="array" aca="1" ref="K216" ca="1">_xll.BDP("QZ413850 Corp","YL016")</f>
        <v>#NAME?</v>
      </c>
      <c r="L216" s="7" t="e" cm="1">
        <f t="array" aca="1" ref="L216" ca="1">_xll.BDP("QZ413850 Corp","PR004")</f>
        <v>#NAME?</v>
      </c>
      <c r="M216" s="7" t="e" cm="1">
        <f t="array" aca="1" ref="M216" ca="1">_xll.BDP("QZ413850 Corp","PR002")</f>
        <v>#NAME?</v>
      </c>
      <c r="N216" s="1" t="e" cm="1">
        <f t="array" aca="1" ref="N216" ca="1">_xll.BDP("QZ413850 Corp","ID028")</f>
        <v>#NAME?</v>
      </c>
      <c r="O216" s="1" t="e" cm="1">
        <f t="array" aca="1" ref="O216" ca="1">_xll.BDP("QZ413850 Corp","ID005")</f>
        <v>#NAME?</v>
      </c>
      <c r="P216" s="1" t="e" cm="1">
        <f t="array" aca="1" ref="P216" ca="1">_xll.BDP(A216,"RA007")</f>
        <v>#NAME?</v>
      </c>
      <c r="Q216" s="1" t="e" cm="1">
        <f t="array" aca="1" ref="Q216" ca="1">_xll.BDP(A216,"DS219")</f>
        <v>#NAME?</v>
      </c>
      <c r="R216" s="3" t="e" cm="1">
        <f t="array" aca="1" ref="R216" ca="1">_xll.BDP(A216,"DS040")</f>
        <v>#NAME?</v>
      </c>
      <c r="S216" s="4" t="e">
        <f t="shared" ca="1" si="9"/>
        <v>#NAME?</v>
      </c>
      <c r="T216" s="7" t="e">
        <f t="shared" ca="1" si="10"/>
        <v>#NAME?</v>
      </c>
      <c r="U216" s="3" t="e">
        <f t="shared" ca="1" si="11"/>
        <v>#NAME?</v>
      </c>
    </row>
    <row r="217" spans="1:21" x14ac:dyDescent="0.35">
      <c r="A217" s="5" t="s">
        <v>276</v>
      </c>
      <c r="B217" s="1" t="e" cm="1">
        <f t="array" aca="1" ref="B217" ca="1">_xll.BDP("QZ467563 Corp","DS520")</f>
        <v>#NAME?</v>
      </c>
      <c r="C217" s="1" t="e" cm="1">
        <f t="array" aca="1" ref="C217" ca="1">_xll.BDP("QZ467563 Corp","DS001")</f>
        <v>#NAME?</v>
      </c>
      <c r="D217" s="1" t="e" cm="1">
        <f t="array" aca="1" ref="D217" ca="1">_xll.BDP("QZ467563 Corp","DS458")</f>
        <v>#NAME?</v>
      </c>
      <c r="E217" s="1" t="e" cm="1">
        <f t="array" aca="1" ref="E217" ca="1">_xll.BDP("QZ467563 Corp","DS004")</f>
        <v>#NAME?</v>
      </c>
      <c r="F217" s="1" t="e" cm="1">
        <f t="array" aca="1" ref="F217" ca="1">_xll.BDP("QZ467563 Corp","DS035")</f>
        <v>#NAME?</v>
      </c>
      <c r="G217" s="1" t="e" cm="1">
        <f t="array" aca="1" ref="G217" ca="1">_xll.BDP("QZ467563 Corp","DS086")</f>
        <v>#NAME?</v>
      </c>
      <c r="H217" s="1" t="e" cm="1">
        <f t="array" aca="1" ref="H217" ca="1">_xll.BDP("QZ467563 Corp","DS034")</f>
        <v>#NAME?</v>
      </c>
      <c r="I217" s="1" t="e" cm="1">
        <f t="array" aca="1" ref="I217" ca="1">_xll.BDP("QZ467563 Corp","DS033")</f>
        <v>#NAME?</v>
      </c>
      <c r="J217" s="7" t="e" cm="1">
        <f t="array" aca="1" ref="J217" ca="1">_xll.BDP("QZ467563 Corp","YL018")</f>
        <v>#NAME?</v>
      </c>
      <c r="K217" s="7" t="e" cm="1">
        <f t="array" aca="1" ref="K217" ca="1">_xll.BDP("QZ467563 Corp","YL016")</f>
        <v>#NAME?</v>
      </c>
      <c r="L217" s="7" t="e" cm="1">
        <f t="array" aca="1" ref="L217" ca="1">_xll.BDP("QZ467563 Corp","PR004")</f>
        <v>#NAME?</v>
      </c>
      <c r="M217" s="7" t="e" cm="1">
        <f t="array" aca="1" ref="M217" ca="1">_xll.BDP("QZ467563 Corp","PR002")</f>
        <v>#NAME?</v>
      </c>
      <c r="N217" s="1" t="e" cm="1">
        <f t="array" aca="1" ref="N217" ca="1">_xll.BDP("QZ467563 Corp","ID028")</f>
        <v>#NAME?</v>
      </c>
      <c r="O217" s="1" t="e" cm="1">
        <f t="array" aca="1" ref="O217" ca="1">_xll.BDP("QZ467563 Corp","ID005")</f>
        <v>#NAME?</v>
      </c>
      <c r="P217" s="1" t="e" cm="1">
        <f t="array" aca="1" ref="P217" ca="1">_xll.BDP(A217,"RA007")</f>
        <v>#NAME?</v>
      </c>
      <c r="Q217" s="1" t="e" cm="1">
        <f t="array" aca="1" ref="Q217" ca="1">_xll.BDP(A217,"DS219")</f>
        <v>#NAME?</v>
      </c>
      <c r="R217" s="3" t="e" cm="1">
        <f t="array" aca="1" ref="R217" ca="1">_xll.BDP(A217,"DS040")</f>
        <v>#NAME?</v>
      </c>
      <c r="S217" s="4" t="e">
        <f t="shared" ca="1" si="9"/>
        <v>#NAME?</v>
      </c>
      <c r="T217" s="7" t="e">
        <f t="shared" ca="1" si="10"/>
        <v>#NAME?</v>
      </c>
      <c r="U217" s="3" t="e">
        <f t="shared" ca="1" si="11"/>
        <v>#NAME?</v>
      </c>
    </row>
    <row r="218" spans="1:21" x14ac:dyDescent="0.35">
      <c r="A218" s="5" t="s">
        <v>277</v>
      </c>
      <c r="B218" s="1" t="e" cm="1">
        <f t="array" aca="1" ref="B218" ca="1">_xll.BDP("QZ541542 Corp","DS520")</f>
        <v>#NAME?</v>
      </c>
      <c r="C218" s="1" t="e" cm="1">
        <f t="array" aca="1" ref="C218" ca="1">_xll.BDP("QZ541542 Corp","DS001")</f>
        <v>#NAME?</v>
      </c>
      <c r="D218" s="1" t="e" cm="1">
        <f t="array" aca="1" ref="D218" ca="1">_xll.BDP("QZ541542 Corp","DS458")</f>
        <v>#NAME?</v>
      </c>
      <c r="E218" s="1" t="e" cm="1">
        <f t="array" aca="1" ref="E218" ca="1">_xll.BDP("QZ541542 Corp","DS004")</f>
        <v>#NAME?</v>
      </c>
      <c r="F218" s="1" t="e" cm="1">
        <f t="array" aca="1" ref="F218" ca="1">_xll.BDP("QZ541542 Corp","DS035")</f>
        <v>#NAME?</v>
      </c>
      <c r="G218" s="1" t="e" cm="1">
        <f t="array" aca="1" ref="G218" ca="1">_xll.BDP("QZ541542 Corp","DS086")</f>
        <v>#NAME?</v>
      </c>
      <c r="H218" s="1" t="e" cm="1">
        <f t="array" aca="1" ref="H218" ca="1">_xll.BDP("QZ541542 Corp","DS034")</f>
        <v>#NAME?</v>
      </c>
      <c r="I218" s="1" t="e" cm="1">
        <f t="array" aca="1" ref="I218" ca="1">_xll.BDP("QZ541542 Corp","DS033")</f>
        <v>#NAME?</v>
      </c>
      <c r="J218" s="7" t="e" cm="1">
        <f t="array" aca="1" ref="J218" ca="1">_xll.BDP("QZ541542 Corp","YL018")</f>
        <v>#NAME?</v>
      </c>
      <c r="K218" s="7" t="e" cm="1">
        <f t="array" aca="1" ref="K218" ca="1">_xll.BDP("QZ541542 Corp","YL016")</f>
        <v>#NAME?</v>
      </c>
      <c r="L218" s="7" t="e" cm="1">
        <f t="array" aca="1" ref="L218" ca="1">_xll.BDP("QZ541542 Corp","PR004")</f>
        <v>#NAME?</v>
      </c>
      <c r="M218" s="7" t="e" cm="1">
        <f t="array" aca="1" ref="M218" ca="1">_xll.BDP("QZ541542 Corp","PR002")</f>
        <v>#NAME?</v>
      </c>
      <c r="N218" s="1" t="e" cm="1">
        <f t="array" aca="1" ref="N218" ca="1">_xll.BDP("QZ541542 Corp","ID028")</f>
        <v>#NAME?</v>
      </c>
      <c r="O218" s="1" t="e" cm="1">
        <f t="array" aca="1" ref="O218" ca="1">_xll.BDP("QZ541542 Corp","ID005")</f>
        <v>#NAME?</v>
      </c>
      <c r="P218" s="1" t="e" cm="1">
        <f t="array" aca="1" ref="P218" ca="1">_xll.BDP(A218,"RA007")</f>
        <v>#NAME?</v>
      </c>
      <c r="Q218" s="1" t="e" cm="1">
        <f t="array" aca="1" ref="Q218" ca="1">_xll.BDP(A218,"DS219")</f>
        <v>#NAME?</v>
      </c>
      <c r="R218" s="3" t="e" cm="1">
        <f t="array" aca="1" ref="R218" ca="1">_xll.BDP(A218,"DS040")</f>
        <v>#NAME?</v>
      </c>
      <c r="S218" s="4" t="e">
        <f t="shared" ca="1" si="9"/>
        <v>#NAME?</v>
      </c>
      <c r="T218" s="7" t="e">
        <f t="shared" ca="1" si="10"/>
        <v>#NAME?</v>
      </c>
      <c r="U218" s="3" t="e">
        <f t="shared" ca="1" si="11"/>
        <v>#NAME?</v>
      </c>
    </row>
    <row r="219" spans="1:21" x14ac:dyDescent="0.35">
      <c r="A219" s="5" t="s">
        <v>278</v>
      </c>
      <c r="B219" s="1" t="e" cm="1">
        <f t="array" aca="1" ref="B219" ca="1">_xll.BDP("UV814279 Corp","DS520")</f>
        <v>#NAME?</v>
      </c>
      <c r="C219" s="1" t="e" cm="1">
        <f t="array" aca="1" ref="C219" ca="1">_xll.BDP("UV814279 Corp","DS001")</f>
        <v>#NAME?</v>
      </c>
      <c r="D219" s="1" t="e" cm="1">
        <f t="array" aca="1" ref="D219" ca="1">_xll.BDP("UV814279 Corp","DS458")</f>
        <v>#NAME?</v>
      </c>
      <c r="E219" s="1" t="e" cm="1">
        <f t="array" aca="1" ref="E219" ca="1">_xll.BDP("UV814279 Corp","DS004")</f>
        <v>#NAME?</v>
      </c>
      <c r="F219" s="1" t="e" cm="1">
        <f t="array" aca="1" ref="F219" ca="1">_xll.BDP("UV814279 Corp","DS035")</f>
        <v>#NAME?</v>
      </c>
      <c r="G219" s="1" t="e" cm="1">
        <f t="array" aca="1" ref="G219" ca="1">_xll.BDP("UV814279 Corp","DS086")</f>
        <v>#NAME?</v>
      </c>
      <c r="H219" s="1" t="e" cm="1">
        <f t="array" aca="1" ref="H219" ca="1">_xll.BDP("UV814279 Corp","DS034")</f>
        <v>#NAME?</v>
      </c>
      <c r="I219" s="1" t="e" cm="1">
        <f t="array" aca="1" ref="I219" ca="1">_xll.BDP("UV814279 Corp","DS033")</f>
        <v>#NAME?</v>
      </c>
      <c r="J219" s="7" t="e" cm="1">
        <f t="array" aca="1" ref="J219" ca="1">_xll.BDP("UV814279 Corp","YL018")</f>
        <v>#NAME?</v>
      </c>
      <c r="K219" s="7" t="e" cm="1">
        <f t="array" aca="1" ref="K219" ca="1">_xll.BDP("UV814279 Corp","YL016")</f>
        <v>#NAME?</v>
      </c>
      <c r="L219" s="7" t="e" cm="1">
        <f t="array" aca="1" ref="L219" ca="1">_xll.BDP("UV814279 Corp","PR004")</f>
        <v>#NAME?</v>
      </c>
      <c r="M219" s="7" t="e" cm="1">
        <f t="array" aca="1" ref="M219" ca="1">_xll.BDP("UV814279 Corp","PR002")</f>
        <v>#NAME?</v>
      </c>
      <c r="N219" s="1" t="e" cm="1">
        <f t="array" aca="1" ref="N219" ca="1">_xll.BDP("UV814279 Corp","ID028")</f>
        <v>#NAME?</v>
      </c>
      <c r="O219" s="1" t="e" cm="1">
        <f t="array" aca="1" ref="O219" ca="1">_xll.BDP("UV814279 Corp","ID005")</f>
        <v>#NAME?</v>
      </c>
      <c r="P219" s="1" t="e" cm="1">
        <f t="array" aca="1" ref="P219" ca="1">_xll.BDP(A219,"RA007")</f>
        <v>#NAME?</v>
      </c>
      <c r="Q219" s="1" t="e" cm="1">
        <f t="array" aca="1" ref="Q219" ca="1">_xll.BDP(A219,"DS219")</f>
        <v>#NAME?</v>
      </c>
      <c r="R219" s="3" t="e" cm="1">
        <f t="array" aca="1" ref="R219" ca="1">_xll.BDP(A219,"DS040")</f>
        <v>#NAME?</v>
      </c>
      <c r="S219" s="4" t="e">
        <f t="shared" ca="1" si="9"/>
        <v>#NAME?</v>
      </c>
      <c r="T219" s="7" t="e">
        <f t="shared" ca="1" si="10"/>
        <v>#NAME?</v>
      </c>
      <c r="U219" s="3" t="e">
        <f t="shared" ca="1" si="11"/>
        <v>#NAME?</v>
      </c>
    </row>
    <row r="220" spans="1:21" x14ac:dyDescent="0.35">
      <c r="A220" s="5" t="s">
        <v>279</v>
      </c>
      <c r="B220" s="1" t="e" cm="1">
        <f t="array" aca="1" ref="B220" ca="1">_xll.BDP("UV890292 Corp","DS520")</f>
        <v>#NAME?</v>
      </c>
      <c r="C220" s="1" t="e" cm="1">
        <f t="array" aca="1" ref="C220" ca="1">_xll.BDP("UV890292 Corp","DS001")</f>
        <v>#NAME?</v>
      </c>
      <c r="D220" s="1" t="e" cm="1">
        <f t="array" aca="1" ref="D220" ca="1">_xll.BDP("UV890292 Corp","DS458")</f>
        <v>#NAME?</v>
      </c>
      <c r="E220" s="1" t="e" cm="1">
        <f t="array" aca="1" ref="E220" ca="1">_xll.BDP("UV890292 Corp","DS004")</f>
        <v>#NAME?</v>
      </c>
      <c r="F220" s="1" t="e" cm="1">
        <f t="array" aca="1" ref="F220" ca="1">_xll.BDP("UV890292 Corp","DS035")</f>
        <v>#NAME?</v>
      </c>
      <c r="G220" s="1" t="e" cm="1">
        <f t="array" aca="1" ref="G220" ca="1">_xll.BDP("UV890292 Corp","DS086")</f>
        <v>#NAME?</v>
      </c>
      <c r="H220" s="1" t="e" cm="1">
        <f t="array" aca="1" ref="H220" ca="1">_xll.BDP("UV890292 Corp","DS034")</f>
        <v>#NAME?</v>
      </c>
      <c r="I220" s="1" t="e" cm="1">
        <f t="array" aca="1" ref="I220" ca="1">_xll.BDP("UV890292 Corp","DS033")</f>
        <v>#NAME?</v>
      </c>
      <c r="J220" s="7" t="e" cm="1">
        <f t="array" aca="1" ref="J220" ca="1">_xll.BDP("UV890292 Corp","YL018")</f>
        <v>#NAME?</v>
      </c>
      <c r="K220" s="7" t="e" cm="1">
        <f t="array" aca="1" ref="K220" ca="1">_xll.BDP("UV890292 Corp","YL016")</f>
        <v>#NAME?</v>
      </c>
      <c r="L220" s="7" t="e" cm="1">
        <f t="array" aca="1" ref="L220" ca="1">_xll.BDP("UV890292 Corp","PR004")</f>
        <v>#NAME?</v>
      </c>
      <c r="M220" s="7" t="e" cm="1">
        <f t="array" aca="1" ref="M220" ca="1">_xll.BDP("UV890292 Corp","PR002")</f>
        <v>#NAME?</v>
      </c>
      <c r="N220" s="1" t="e" cm="1">
        <f t="array" aca="1" ref="N220" ca="1">_xll.BDP("UV890292 Corp","ID028")</f>
        <v>#NAME?</v>
      </c>
      <c r="O220" s="1" t="e" cm="1">
        <f t="array" aca="1" ref="O220" ca="1">_xll.BDP("UV890292 Corp","ID005")</f>
        <v>#NAME?</v>
      </c>
      <c r="P220" s="1" t="e" cm="1">
        <f t="array" aca="1" ref="P220" ca="1">_xll.BDP(A220,"RA007")</f>
        <v>#NAME?</v>
      </c>
      <c r="Q220" s="1" t="e" cm="1">
        <f t="array" aca="1" ref="Q220" ca="1">_xll.BDP(A220,"DS219")</f>
        <v>#NAME?</v>
      </c>
      <c r="R220" s="3" t="e" cm="1">
        <f t="array" aca="1" ref="R220" ca="1">_xll.BDP(A220,"DS040")</f>
        <v>#NAME?</v>
      </c>
      <c r="S220" s="4" t="e">
        <f t="shared" ca="1" si="9"/>
        <v>#NAME?</v>
      </c>
      <c r="T220" s="7" t="e">
        <f t="shared" ca="1" si="10"/>
        <v>#NAME?</v>
      </c>
      <c r="U220" s="3" t="e">
        <f t="shared" ca="1" si="11"/>
        <v>#NAME?</v>
      </c>
    </row>
    <row r="221" spans="1:21" x14ac:dyDescent="0.35">
      <c r="A221" s="5" t="s">
        <v>280</v>
      </c>
      <c r="B221" s="1" t="e" cm="1">
        <f t="array" aca="1" ref="B221" ca="1">_xll.BDP("YI023856 Corp","DS520")</f>
        <v>#NAME?</v>
      </c>
      <c r="C221" s="1" t="e" cm="1">
        <f t="array" aca="1" ref="C221" ca="1">_xll.BDP("YI023856 Corp","DS001")</f>
        <v>#NAME?</v>
      </c>
      <c r="D221" s="1" t="e" cm="1">
        <f t="array" aca="1" ref="D221" ca="1">_xll.BDP("YI023856 Corp","DS458")</f>
        <v>#NAME?</v>
      </c>
      <c r="E221" s="1" t="e" cm="1">
        <f t="array" aca="1" ref="E221" ca="1">_xll.BDP("YI023856 Corp","DS004")</f>
        <v>#NAME?</v>
      </c>
      <c r="F221" s="1" t="e" cm="1">
        <f t="array" aca="1" ref="F221" ca="1">_xll.BDP("YI023856 Corp","DS035")</f>
        <v>#NAME?</v>
      </c>
      <c r="G221" s="1" t="e" cm="1">
        <f t="array" aca="1" ref="G221" ca="1">_xll.BDP("YI023856 Corp","DS086")</f>
        <v>#NAME?</v>
      </c>
      <c r="H221" s="1" t="e" cm="1">
        <f t="array" aca="1" ref="H221" ca="1">_xll.BDP("YI023856 Corp","DS034")</f>
        <v>#NAME?</v>
      </c>
      <c r="I221" s="1" t="e" cm="1">
        <f t="array" aca="1" ref="I221" ca="1">_xll.BDP("YI023856 Corp","DS033")</f>
        <v>#NAME?</v>
      </c>
      <c r="J221" s="7" t="e" cm="1">
        <f t="array" aca="1" ref="J221" ca="1">_xll.BDP("YI023856 Corp","YL018")</f>
        <v>#NAME?</v>
      </c>
      <c r="K221" s="7" t="e" cm="1">
        <f t="array" aca="1" ref="K221" ca="1">_xll.BDP("YI023856 Corp","YL016")</f>
        <v>#NAME?</v>
      </c>
      <c r="L221" s="7" t="e" cm="1">
        <f t="array" aca="1" ref="L221" ca="1">_xll.BDP("YI023856 Corp","PR004")</f>
        <v>#NAME?</v>
      </c>
      <c r="M221" s="7" t="e" cm="1">
        <f t="array" aca="1" ref="M221" ca="1">_xll.BDP("YI023856 Corp","PR002")</f>
        <v>#NAME?</v>
      </c>
      <c r="N221" s="1" t="e" cm="1">
        <f t="array" aca="1" ref="N221" ca="1">_xll.BDP("YI023856 Corp","ID028")</f>
        <v>#NAME?</v>
      </c>
      <c r="O221" s="1" t="e" cm="1">
        <f t="array" aca="1" ref="O221" ca="1">_xll.BDP("YI023856 Corp","ID005")</f>
        <v>#NAME?</v>
      </c>
      <c r="P221" s="1" t="e" cm="1">
        <f t="array" aca="1" ref="P221" ca="1">_xll.BDP(A221,"RA007")</f>
        <v>#NAME?</v>
      </c>
      <c r="Q221" s="1" t="e" cm="1">
        <f t="array" aca="1" ref="Q221" ca="1">_xll.BDP(A221,"DS219")</f>
        <v>#NAME?</v>
      </c>
      <c r="R221" s="3" t="e" cm="1">
        <f t="array" aca="1" ref="R221" ca="1">_xll.BDP(A221,"DS040")</f>
        <v>#NAME?</v>
      </c>
      <c r="S221" s="4" t="e">
        <f t="shared" ca="1" si="9"/>
        <v>#NAME?</v>
      </c>
      <c r="T221" s="7" t="e">
        <f t="shared" ca="1" si="10"/>
        <v>#NAME?</v>
      </c>
      <c r="U221" s="3" t="e">
        <f t="shared" ca="1" si="11"/>
        <v>#NAME?</v>
      </c>
    </row>
    <row r="222" spans="1:21" x14ac:dyDescent="0.35">
      <c r="A222" s="5" t="s">
        <v>281</v>
      </c>
      <c r="B222" s="1" t="e" cm="1">
        <f t="array" aca="1" ref="B222" ca="1">_xll.BDP("YI189082 Corp","DS520")</f>
        <v>#NAME?</v>
      </c>
      <c r="C222" s="1" t="e" cm="1">
        <f t="array" aca="1" ref="C222" ca="1">_xll.BDP("YI189082 Corp","DS001")</f>
        <v>#NAME?</v>
      </c>
      <c r="D222" s="1" t="e" cm="1">
        <f t="array" aca="1" ref="D222" ca="1">_xll.BDP("YI189082 Corp","DS458")</f>
        <v>#NAME?</v>
      </c>
      <c r="E222" s="1" t="e" cm="1">
        <f t="array" aca="1" ref="E222" ca="1">_xll.BDP("YI189082 Corp","DS004")</f>
        <v>#NAME?</v>
      </c>
      <c r="F222" s="1" t="e" cm="1">
        <f t="array" aca="1" ref="F222" ca="1">_xll.BDP("YI189082 Corp","DS035")</f>
        <v>#NAME?</v>
      </c>
      <c r="G222" s="1" t="e" cm="1">
        <f t="array" aca="1" ref="G222" ca="1">_xll.BDP("YI189082 Corp","DS086")</f>
        <v>#NAME?</v>
      </c>
      <c r="H222" s="1" t="e" cm="1">
        <f t="array" aca="1" ref="H222" ca="1">_xll.BDP("YI189082 Corp","DS034")</f>
        <v>#NAME?</v>
      </c>
      <c r="I222" s="1" t="e" cm="1">
        <f t="array" aca="1" ref="I222" ca="1">_xll.BDP("YI189082 Corp","DS033")</f>
        <v>#NAME?</v>
      </c>
      <c r="J222" s="7" t="e" cm="1">
        <f t="array" aca="1" ref="J222" ca="1">_xll.BDP("YI189082 Corp","YL018")</f>
        <v>#NAME?</v>
      </c>
      <c r="K222" s="7" t="e" cm="1">
        <f t="array" aca="1" ref="K222" ca="1">_xll.BDP("YI189082 Corp","YL016")</f>
        <v>#NAME?</v>
      </c>
      <c r="L222" s="7" t="e" cm="1">
        <f t="array" aca="1" ref="L222" ca="1">_xll.BDP("YI189082 Corp","PR004")</f>
        <v>#NAME?</v>
      </c>
      <c r="M222" s="7" t="e" cm="1">
        <f t="array" aca="1" ref="M222" ca="1">_xll.BDP("YI189082 Corp","PR002")</f>
        <v>#NAME?</v>
      </c>
      <c r="N222" s="1" t="e" cm="1">
        <f t="array" aca="1" ref="N222" ca="1">_xll.BDP("YI189082 Corp","ID028")</f>
        <v>#NAME?</v>
      </c>
      <c r="O222" s="1" t="e" cm="1">
        <f t="array" aca="1" ref="O222" ca="1">_xll.BDP("YI189082 Corp","ID005")</f>
        <v>#NAME?</v>
      </c>
      <c r="P222" s="1" t="e" cm="1">
        <f t="array" aca="1" ref="P222" ca="1">_xll.BDP(A222,"RA007")</f>
        <v>#NAME?</v>
      </c>
      <c r="Q222" s="1" t="e" cm="1">
        <f t="array" aca="1" ref="Q222" ca="1">_xll.BDP(A222,"DS219")</f>
        <v>#NAME?</v>
      </c>
      <c r="R222" s="3" t="e" cm="1">
        <f t="array" aca="1" ref="R222" ca="1">_xll.BDP(A222,"DS040")</f>
        <v>#NAME?</v>
      </c>
      <c r="S222" s="4" t="e">
        <f t="shared" ca="1" si="9"/>
        <v>#NAME?</v>
      </c>
      <c r="T222" s="7" t="e">
        <f t="shared" ca="1" si="10"/>
        <v>#NAME?</v>
      </c>
      <c r="U222" s="3" t="e">
        <f t="shared" ca="1" si="11"/>
        <v>#NAME?</v>
      </c>
    </row>
    <row r="223" spans="1:21" x14ac:dyDescent="0.35">
      <c r="A223" s="5" t="s">
        <v>282</v>
      </c>
      <c r="B223" s="1" t="e" cm="1">
        <f t="array" aca="1" ref="B223" ca="1">_xll.BDP("YI394740 Corp","DS520")</f>
        <v>#NAME?</v>
      </c>
      <c r="C223" s="1" t="e" cm="1">
        <f t="array" aca="1" ref="C223" ca="1">_xll.BDP("YI394740 Corp","DS001")</f>
        <v>#NAME?</v>
      </c>
      <c r="D223" s="1" t="e" cm="1">
        <f t="array" aca="1" ref="D223" ca="1">_xll.BDP("YI394740 Corp","DS458")</f>
        <v>#NAME?</v>
      </c>
      <c r="E223" s="1" t="e" cm="1">
        <f t="array" aca="1" ref="E223" ca="1">_xll.BDP("YI394740 Corp","DS004")</f>
        <v>#NAME?</v>
      </c>
      <c r="F223" s="1" t="e" cm="1">
        <f t="array" aca="1" ref="F223" ca="1">_xll.BDP("YI394740 Corp","DS035")</f>
        <v>#NAME?</v>
      </c>
      <c r="G223" s="1" t="e" cm="1">
        <f t="array" aca="1" ref="G223" ca="1">_xll.BDP("YI394740 Corp","DS086")</f>
        <v>#NAME?</v>
      </c>
      <c r="H223" s="1" t="e" cm="1">
        <f t="array" aca="1" ref="H223" ca="1">_xll.BDP("YI394740 Corp","DS034")</f>
        <v>#NAME?</v>
      </c>
      <c r="I223" s="1" t="e" cm="1">
        <f t="array" aca="1" ref="I223" ca="1">_xll.BDP("YI394740 Corp","DS033")</f>
        <v>#NAME?</v>
      </c>
      <c r="J223" s="7" t="e" cm="1">
        <f t="array" aca="1" ref="J223" ca="1">_xll.BDP("YI394740 Corp","YL018")</f>
        <v>#NAME?</v>
      </c>
      <c r="K223" s="7" t="e" cm="1">
        <f t="array" aca="1" ref="K223" ca="1">_xll.BDP("YI394740 Corp","YL016")</f>
        <v>#NAME?</v>
      </c>
      <c r="L223" s="7" t="e" cm="1">
        <f t="array" aca="1" ref="L223" ca="1">_xll.BDP("YI394740 Corp","PR004")</f>
        <v>#NAME?</v>
      </c>
      <c r="M223" s="7" t="e" cm="1">
        <f t="array" aca="1" ref="M223" ca="1">_xll.BDP("YI394740 Corp","PR002")</f>
        <v>#NAME?</v>
      </c>
      <c r="N223" s="1" t="e" cm="1">
        <f t="array" aca="1" ref="N223" ca="1">_xll.BDP("YI394740 Corp","ID028")</f>
        <v>#NAME?</v>
      </c>
      <c r="O223" s="1" t="e" cm="1">
        <f t="array" aca="1" ref="O223" ca="1">_xll.BDP("YI394740 Corp","ID005")</f>
        <v>#NAME?</v>
      </c>
      <c r="P223" s="1" t="e" cm="1">
        <f t="array" aca="1" ref="P223" ca="1">_xll.BDP(A223,"RA007")</f>
        <v>#NAME?</v>
      </c>
      <c r="Q223" s="1" t="e" cm="1">
        <f t="array" aca="1" ref="Q223" ca="1">_xll.BDP(A223,"DS219")</f>
        <v>#NAME?</v>
      </c>
      <c r="R223" s="3" t="e" cm="1">
        <f t="array" aca="1" ref="R223" ca="1">_xll.BDP(A223,"DS040")</f>
        <v>#NAME?</v>
      </c>
      <c r="S223" s="4" t="e">
        <f t="shared" ca="1" si="9"/>
        <v>#NAME?</v>
      </c>
      <c r="T223" s="7" t="e">
        <f t="shared" ca="1" si="10"/>
        <v>#NAME?</v>
      </c>
      <c r="U223" s="3" t="e">
        <f t="shared" ca="1" si="11"/>
        <v>#NAME?</v>
      </c>
    </row>
    <row r="224" spans="1:21" x14ac:dyDescent="0.35">
      <c r="A224" s="5" t="s">
        <v>283</v>
      </c>
      <c r="B224" s="1" t="e" cm="1">
        <f t="array" aca="1" ref="B224" ca="1">_xll.BDP("YI570831 Corp","DS520")</f>
        <v>#NAME?</v>
      </c>
      <c r="C224" s="1" t="e" cm="1">
        <f t="array" aca="1" ref="C224" ca="1">_xll.BDP("YI570831 Corp","DS001")</f>
        <v>#NAME?</v>
      </c>
      <c r="D224" s="1" t="e" cm="1">
        <f t="array" aca="1" ref="D224" ca="1">_xll.BDP("YI570831 Corp","DS458")</f>
        <v>#NAME?</v>
      </c>
      <c r="E224" s="1" t="e" cm="1">
        <f t="array" aca="1" ref="E224" ca="1">_xll.BDP("YI570831 Corp","DS004")</f>
        <v>#NAME?</v>
      </c>
      <c r="F224" s="1" t="e" cm="1">
        <f t="array" aca="1" ref="F224" ca="1">_xll.BDP("YI570831 Corp","DS035")</f>
        <v>#NAME?</v>
      </c>
      <c r="G224" s="1" t="e" cm="1">
        <f t="array" aca="1" ref="G224" ca="1">_xll.BDP("YI570831 Corp","DS086")</f>
        <v>#NAME?</v>
      </c>
      <c r="H224" s="1" t="e" cm="1">
        <f t="array" aca="1" ref="H224" ca="1">_xll.BDP("YI570831 Corp","DS034")</f>
        <v>#NAME?</v>
      </c>
      <c r="I224" s="1" t="e" cm="1">
        <f t="array" aca="1" ref="I224" ca="1">_xll.BDP("YI570831 Corp","DS033")</f>
        <v>#NAME?</v>
      </c>
      <c r="J224" s="7" t="e" cm="1">
        <f t="array" aca="1" ref="J224" ca="1">_xll.BDP("YI570831 Corp","YL018")</f>
        <v>#NAME?</v>
      </c>
      <c r="K224" s="7" t="e" cm="1">
        <f t="array" aca="1" ref="K224" ca="1">_xll.BDP("YI570831 Corp","YL016")</f>
        <v>#NAME?</v>
      </c>
      <c r="L224" s="7" t="e" cm="1">
        <f t="array" aca="1" ref="L224" ca="1">_xll.BDP("YI570831 Corp","PR004")</f>
        <v>#NAME?</v>
      </c>
      <c r="M224" s="7" t="e" cm="1">
        <f t="array" aca="1" ref="M224" ca="1">_xll.BDP("YI570831 Corp","PR002")</f>
        <v>#NAME?</v>
      </c>
      <c r="N224" s="1" t="e" cm="1">
        <f t="array" aca="1" ref="N224" ca="1">_xll.BDP("YI570831 Corp","ID028")</f>
        <v>#NAME?</v>
      </c>
      <c r="O224" s="1" t="e" cm="1">
        <f t="array" aca="1" ref="O224" ca="1">_xll.BDP("YI570831 Corp","ID005")</f>
        <v>#NAME?</v>
      </c>
      <c r="P224" s="1" t="e" cm="1">
        <f t="array" aca="1" ref="P224" ca="1">_xll.BDP(A224,"RA007")</f>
        <v>#NAME?</v>
      </c>
      <c r="Q224" s="1" t="e" cm="1">
        <f t="array" aca="1" ref="Q224" ca="1">_xll.BDP(A224,"DS219")</f>
        <v>#NAME?</v>
      </c>
      <c r="R224" s="3" t="e" cm="1">
        <f t="array" aca="1" ref="R224" ca="1">_xll.BDP(A224,"DS040")</f>
        <v>#NAME?</v>
      </c>
      <c r="S224" s="4" t="e">
        <f t="shared" ca="1" si="9"/>
        <v>#NAME?</v>
      </c>
      <c r="T224" s="7" t="e">
        <f t="shared" ca="1" si="10"/>
        <v>#NAME?</v>
      </c>
      <c r="U224" s="3" t="e">
        <f t="shared" ca="1" si="11"/>
        <v>#NAME?</v>
      </c>
    </row>
    <row r="225" spans="1:21" x14ac:dyDescent="0.35">
      <c r="A225" s="5" t="s">
        <v>284</v>
      </c>
      <c r="B225" s="1" t="e" cm="1">
        <f t="array" aca="1" ref="B225" ca="1">_xll.BDP("YJ177433 Corp","DS520")</f>
        <v>#NAME?</v>
      </c>
      <c r="C225" s="1" t="e" cm="1">
        <f t="array" aca="1" ref="C225" ca="1">_xll.BDP("YJ177433 Corp","DS001")</f>
        <v>#NAME?</v>
      </c>
      <c r="D225" s="1" t="e" cm="1">
        <f t="array" aca="1" ref="D225" ca="1">_xll.BDP("YJ177433 Corp","DS458")</f>
        <v>#NAME?</v>
      </c>
      <c r="E225" s="1" t="e" cm="1">
        <f t="array" aca="1" ref="E225" ca="1">_xll.BDP("YJ177433 Corp","DS004")</f>
        <v>#NAME?</v>
      </c>
      <c r="F225" s="1" t="e" cm="1">
        <f t="array" aca="1" ref="F225" ca="1">_xll.BDP("YJ177433 Corp","DS035")</f>
        <v>#NAME?</v>
      </c>
      <c r="G225" s="1" t="e" cm="1">
        <f t="array" aca="1" ref="G225" ca="1">_xll.BDP("YJ177433 Corp","DS086")</f>
        <v>#NAME?</v>
      </c>
      <c r="H225" s="1" t="e" cm="1">
        <f t="array" aca="1" ref="H225" ca="1">_xll.BDP("YJ177433 Corp","DS034")</f>
        <v>#NAME?</v>
      </c>
      <c r="I225" s="1" t="e" cm="1">
        <f t="array" aca="1" ref="I225" ca="1">_xll.BDP("YJ177433 Corp","DS033")</f>
        <v>#NAME?</v>
      </c>
      <c r="J225" s="7" t="e" cm="1">
        <f t="array" aca="1" ref="J225" ca="1">_xll.BDP("YJ177433 Corp","YL018")</f>
        <v>#NAME?</v>
      </c>
      <c r="K225" s="7" t="e" cm="1">
        <f t="array" aca="1" ref="K225" ca="1">_xll.BDP("YJ177433 Corp","YL016")</f>
        <v>#NAME?</v>
      </c>
      <c r="L225" s="7" t="e" cm="1">
        <f t="array" aca="1" ref="L225" ca="1">_xll.BDP("YJ177433 Corp","PR004")</f>
        <v>#NAME?</v>
      </c>
      <c r="M225" s="7" t="e" cm="1">
        <f t="array" aca="1" ref="M225" ca="1">_xll.BDP("YJ177433 Corp","PR002")</f>
        <v>#NAME?</v>
      </c>
      <c r="N225" s="1" t="e" cm="1">
        <f t="array" aca="1" ref="N225" ca="1">_xll.BDP("YJ177433 Corp","ID028")</f>
        <v>#NAME?</v>
      </c>
      <c r="O225" s="1" t="e" cm="1">
        <f t="array" aca="1" ref="O225" ca="1">_xll.BDP("YJ177433 Corp","ID005")</f>
        <v>#NAME?</v>
      </c>
      <c r="P225" s="1" t="e" cm="1">
        <f t="array" aca="1" ref="P225" ca="1">_xll.BDP(A225,"RA007")</f>
        <v>#NAME?</v>
      </c>
      <c r="Q225" s="1" t="e" cm="1">
        <f t="array" aca="1" ref="Q225" ca="1">_xll.BDP(A225,"DS219")</f>
        <v>#NAME?</v>
      </c>
      <c r="R225" s="3" t="e" cm="1">
        <f t="array" aca="1" ref="R225" ca="1">_xll.BDP(A225,"DS040")</f>
        <v>#NAME?</v>
      </c>
      <c r="S225" s="4" t="e">
        <f t="shared" ca="1" si="9"/>
        <v>#NAME?</v>
      </c>
      <c r="T225" s="7" t="e">
        <f t="shared" ca="1" si="10"/>
        <v>#NAME?</v>
      </c>
      <c r="U225" s="3" t="e">
        <f t="shared" ca="1" si="11"/>
        <v>#NAME?</v>
      </c>
    </row>
    <row r="226" spans="1:21" x14ac:dyDescent="0.35">
      <c r="A226" s="5" t="s">
        <v>285</v>
      </c>
      <c r="B226" s="1" t="e" cm="1">
        <f t="array" aca="1" ref="B226" ca="1">_xll.BDP("YJ408080 Corp","DS520")</f>
        <v>#NAME?</v>
      </c>
      <c r="C226" s="1" t="e" cm="1">
        <f t="array" aca="1" ref="C226" ca="1">_xll.BDP("YJ408080 Corp","DS001")</f>
        <v>#NAME?</v>
      </c>
      <c r="D226" s="1" t="e" cm="1">
        <f t="array" aca="1" ref="D226" ca="1">_xll.BDP("YJ408080 Corp","DS458")</f>
        <v>#NAME?</v>
      </c>
      <c r="E226" s="1" t="e" cm="1">
        <f t="array" aca="1" ref="E226" ca="1">_xll.BDP("YJ408080 Corp","DS004")</f>
        <v>#NAME?</v>
      </c>
      <c r="F226" s="1" t="e" cm="1">
        <f t="array" aca="1" ref="F226" ca="1">_xll.BDP("YJ408080 Corp","DS035")</f>
        <v>#NAME?</v>
      </c>
      <c r="G226" s="1" t="e" cm="1">
        <f t="array" aca="1" ref="G226" ca="1">_xll.BDP("YJ408080 Corp","DS086")</f>
        <v>#NAME?</v>
      </c>
      <c r="H226" s="1" t="e" cm="1">
        <f t="array" aca="1" ref="H226" ca="1">_xll.BDP("YJ408080 Corp","DS034")</f>
        <v>#NAME?</v>
      </c>
      <c r="I226" s="1" t="e" cm="1">
        <f t="array" aca="1" ref="I226" ca="1">_xll.BDP("YJ408080 Corp","DS033")</f>
        <v>#NAME?</v>
      </c>
      <c r="J226" s="7" t="e" cm="1">
        <f t="array" aca="1" ref="J226" ca="1">_xll.BDP("YJ408080 Corp","YL018")</f>
        <v>#NAME?</v>
      </c>
      <c r="K226" s="7" t="e" cm="1">
        <f t="array" aca="1" ref="K226" ca="1">_xll.BDP("YJ408080 Corp","YL016")</f>
        <v>#NAME?</v>
      </c>
      <c r="L226" s="7" t="e" cm="1">
        <f t="array" aca="1" ref="L226" ca="1">_xll.BDP("YJ408080 Corp","PR004")</f>
        <v>#NAME?</v>
      </c>
      <c r="M226" s="7" t="e" cm="1">
        <f t="array" aca="1" ref="M226" ca="1">_xll.BDP("YJ408080 Corp","PR002")</f>
        <v>#NAME?</v>
      </c>
      <c r="N226" s="1" t="e" cm="1">
        <f t="array" aca="1" ref="N226" ca="1">_xll.BDP("YJ408080 Corp","ID028")</f>
        <v>#NAME?</v>
      </c>
      <c r="O226" s="1" t="e" cm="1">
        <f t="array" aca="1" ref="O226" ca="1">_xll.BDP("YJ408080 Corp","ID005")</f>
        <v>#NAME?</v>
      </c>
      <c r="P226" s="1" t="e" cm="1">
        <f t="array" aca="1" ref="P226" ca="1">_xll.BDP(A226,"RA007")</f>
        <v>#NAME?</v>
      </c>
      <c r="Q226" s="1" t="e" cm="1">
        <f t="array" aca="1" ref="Q226" ca="1">_xll.BDP(A226,"DS219")</f>
        <v>#NAME?</v>
      </c>
      <c r="R226" s="3" t="e" cm="1">
        <f t="array" aca="1" ref="R226" ca="1">_xll.BDP(A226,"DS040")</f>
        <v>#NAME?</v>
      </c>
      <c r="S226" s="4" t="e">
        <f t="shared" ca="1" si="9"/>
        <v>#NAME?</v>
      </c>
      <c r="T226" s="7" t="e">
        <f t="shared" ca="1" si="10"/>
        <v>#NAME?</v>
      </c>
      <c r="U226" s="3" t="e">
        <f t="shared" ca="1" si="11"/>
        <v>#NAME?</v>
      </c>
    </row>
    <row r="227" spans="1:21" x14ac:dyDescent="0.35">
      <c r="A227" s="5" t="s">
        <v>286</v>
      </c>
      <c r="B227" s="1" t="e" cm="1">
        <f t="array" aca="1" ref="B227" ca="1">_xll.BDP("YJ827109 Corp","DS520")</f>
        <v>#NAME?</v>
      </c>
      <c r="C227" s="1" t="e" cm="1">
        <f t="array" aca="1" ref="C227" ca="1">_xll.BDP("YJ827109 Corp","DS001")</f>
        <v>#NAME?</v>
      </c>
      <c r="D227" s="1" t="e" cm="1">
        <f t="array" aca="1" ref="D227" ca="1">_xll.BDP("YJ827109 Corp","DS458")</f>
        <v>#NAME?</v>
      </c>
      <c r="E227" s="1" t="e" cm="1">
        <f t="array" aca="1" ref="E227" ca="1">_xll.BDP("YJ827109 Corp","DS004")</f>
        <v>#NAME?</v>
      </c>
      <c r="F227" s="1" t="e" cm="1">
        <f t="array" aca="1" ref="F227" ca="1">_xll.BDP("YJ827109 Corp","DS035")</f>
        <v>#NAME?</v>
      </c>
      <c r="G227" s="1" t="e" cm="1">
        <f t="array" aca="1" ref="G227" ca="1">_xll.BDP("YJ827109 Corp","DS086")</f>
        <v>#NAME?</v>
      </c>
      <c r="H227" s="1" t="e" cm="1">
        <f t="array" aca="1" ref="H227" ca="1">_xll.BDP("YJ827109 Corp","DS034")</f>
        <v>#NAME?</v>
      </c>
      <c r="I227" s="1" t="e" cm="1">
        <f t="array" aca="1" ref="I227" ca="1">_xll.BDP("YJ827109 Corp","DS033")</f>
        <v>#NAME?</v>
      </c>
      <c r="J227" s="7" t="e" cm="1">
        <f t="array" aca="1" ref="J227" ca="1">_xll.BDP("YJ827109 Corp","YL018")</f>
        <v>#NAME?</v>
      </c>
      <c r="K227" s="7" t="e" cm="1">
        <f t="array" aca="1" ref="K227" ca="1">_xll.BDP("YJ827109 Corp","YL016")</f>
        <v>#NAME?</v>
      </c>
      <c r="L227" s="7" t="e" cm="1">
        <f t="array" aca="1" ref="L227" ca="1">_xll.BDP("YJ827109 Corp","PR004")</f>
        <v>#NAME?</v>
      </c>
      <c r="M227" s="7" t="e" cm="1">
        <f t="array" aca="1" ref="M227" ca="1">_xll.BDP("YJ827109 Corp","PR002")</f>
        <v>#NAME?</v>
      </c>
      <c r="N227" s="1" t="e" cm="1">
        <f t="array" aca="1" ref="N227" ca="1">_xll.BDP("YJ827109 Corp","ID028")</f>
        <v>#NAME?</v>
      </c>
      <c r="O227" s="1" t="e" cm="1">
        <f t="array" aca="1" ref="O227" ca="1">_xll.BDP("YJ827109 Corp","ID005")</f>
        <v>#NAME?</v>
      </c>
      <c r="P227" s="1" t="e" cm="1">
        <f t="array" aca="1" ref="P227" ca="1">_xll.BDP(A227,"RA007")</f>
        <v>#NAME?</v>
      </c>
      <c r="Q227" s="1" t="e" cm="1">
        <f t="array" aca="1" ref="Q227" ca="1">_xll.BDP(A227,"DS219")</f>
        <v>#NAME?</v>
      </c>
      <c r="R227" s="3" t="e" cm="1">
        <f t="array" aca="1" ref="R227" ca="1">_xll.BDP(A227,"DS040")</f>
        <v>#NAME?</v>
      </c>
      <c r="S227" s="4" t="e">
        <f t="shared" ca="1" si="9"/>
        <v>#NAME?</v>
      </c>
      <c r="T227" s="7" t="e">
        <f t="shared" ca="1" si="10"/>
        <v>#NAME?</v>
      </c>
      <c r="U227" s="3" t="e">
        <f t="shared" ca="1" si="11"/>
        <v>#NAME?</v>
      </c>
    </row>
    <row r="228" spans="1:21" x14ac:dyDescent="0.35">
      <c r="A228" s="5" t="s">
        <v>287</v>
      </c>
      <c r="B228" s="1" t="e" cm="1">
        <f t="array" aca="1" ref="B228" ca="1">_xll.BDP("YK032880 Corp","DS520")</f>
        <v>#NAME?</v>
      </c>
      <c r="C228" s="1" t="e" cm="1">
        <f t="array" aca="1" ref="C228" ca="1">_xll.BDP("YK032880 Corp","DS001")</f>
        <v>#NAME?</v>
      </c>
      <c r="D228" s="1" t="e" cm="1">
        <f t="array" aca="1" ref="D228" ca="1">_xll.BDP("YK032880 Corp","DS458")</f>
        <v>#NAME?</v>
      </c>
      <c r="E228" s="1" t="e" cm="1">
        <f t="array" aca="1" ref="E228" ca="1">_xll.BDP("YK032880 Corp","DS004")</f>
        <v>#NAME?</v>
      </c>
      <c r="F228" s="1" t="e" cm="1">
        <f t="array" aca="1" ref="F228" ca="1">_xll.BDP("YK032880 Corp","DS035")</f>
        <v>#NAME?</v>
      </c>
      <c r="G228" s="1" t="e" cm="1">
        <f t="array" aca="1" ref="G228" ca="1">_xll.BDP("YK032880 Corp","DS086")</f>
        <v>#NAME?</v>
      </c>
      <c r="H228" s="1" t="e" cm="1">
        <f t="array" aca="1" ref="H228" ca="1">_xll.BDP("YK032880 Corp","DS034")</f>
        <v>#NAME?</v>
      </c>
      <c r="I228" s="1" t="e" cm="1">
        <f t="array" aca="1" ref="I228" ca="1">_xll.BDP("YK032880 Corp","DS033")</f>
        <v>#NAME?</v>
      </c>
      <c r="J228" s="7" t="e" cm="1">
        <f t="array" aca="1" ref="J228" ca="1">_xll.BDP("YK032880 Corp","YL018")</f>
        <v>#NAME?</v>
      </c>
      <c r="K228" s="7" t="e" cm="1">
        <f t="array" aca="1" ref="K228" ca="1">_xll.BDP("YK032880 Corp","YL016")</f>
        <v>#NAME?</v>
      </c>
      <c r="L228" s="7" t="e" cm="1">
        <f t="array" aca="1" ref="L228" ca="1">_xll.BDP("YK032880 Corp","PR004")</f>
        <v>#NAME?</v>
      </c>
      <c r="M228" s="7" t="e" cm="1">
        <f t="array" aca="1" ref="M228" ca="1">_xll.BDP("YK032880 Corp","PR002")</f>
        <v>#NAME?</v>
      </c>
      <c r="N228" s="1" t="e" cm="1">
        <f t="array" aca="1" ref="N228" ca="1">_xll.BDP("YK032880 Corp","ID028")</f>
        <v>#NAME?</v>
      </c>
      <c r="O228" s="1" t="e" cm="1">
        <f t="array" aca="1" ref="O228" ca="1">_xll.BDP("YK032880 Corp","ID005")</f>
        <v>#NAME?</v>
      </c>
      <c r="P228" s="1" t="e" cm="1">
        <f t="array" aca="1" ref="P228" ca="1">_xll.BDP(A228,"RA007")</f>
        <v>#NAME?</v>
      </c>
      <c r="Q228" s="1" t="e" cm="1">
        <f t="array" aca="1" ref="Q228" ca="1">_xll.BDP(A228,"DS219")</f>
        <v>#NAME?</v>
      </c>
      <c r="R228" s="3" t="e" cm="1">
        <f t="array" aca="1" ref="R228" ca="1">_xll.BDP(A228,"DS040")</f>
        <v>#NAME?</v>
      </c>
      <c r="S228" s="4" t="e">
        <f t="shared" ca="1" si="9"/>
        <v>#NAME?</v>
      </c>
      <c r="T228" s="7" t="e">
        <f t="shared" ca="1" si="10"/>
        <v>#NAME?</v>
      </c>
      <c r="U228" s="3" t="e">
        <f t="shared" ca="1" si="11"/>
        <v>#NAME?</v>
      </c>
    </row>
    <row r="229" spans="1:21" x14ac:dyDescent="0.35">
      <c r="A229" s="5" t="s">
        <v>288</v>
      </c>
      <c r="B229" s="1" t="e" cm="1">
        <f t="array" aca="1" ref="B229" ca="1">_xll.BDP("YK553774 Corp","DS520")</f>
        <v>#NAME?</v>
      </c>
      <c r="C229" s="1" t="e" cm="1">
        <f t="array" aca="1" ref="C229" ca="1">_xll.BDP("YK553774 Corp","DS001")</f>
        <v>#NAME?</v>
      </c>
      <c r="D229" s="1" t="e" cm="1">
        <f t="array" aca="1" ref="D229" ca="1">_xll.BDP("YK553774 Corp","DS458")</f>
        <v>#NAME?</v>
      </c>
      <c r="E229" s="1" t="e" cm="1">
        <f t="array" aca="1" ref="E229" ca="1">_xll.BDP("YK553774 Corp","DS004")</f>
        <v>#NAME?</v>
      </c>
      <c r="F229" s="1" t="e" cm="1">
        <f t="array" aca="1" ref="F229" ca="1">_xll.BDP("YK553774 Corp","DS035")</f>
        <v>#NAME?</v>
      </c>
      <c r="G229" s="1" t="e" cm="1">
        <f t="array" aca="1" ref="G229" ca="1">_xll.BDP("YK553774 Corp","DS086")</f>
        <v>#NAME?</v>
      </c>
      <c r="H229" s="1" t="e" cm="1">
        <f t="array" aca="1" ref="H229" ca="1">_xll.BDP("YK553774 Corp","DS034")</f>
        <v>#NAME?</v>
      </c>
      <c r="I229" s="1" t="e" cm="1">
        <f t="array" aca="1" ref="I229" ca="1">_xll.BDP("YK553774 Corp","DS033")</f>
        <v>#NAME?</v>
      </c>
      <c r="J229" s="7" t="e" cm="1">
        <f t="array" aca="1" ref="J229" ca="1">_xll.BDP("YK553774 Corp","YL018")</f>
        <v>#NAME?</v>
      </c>
      <c r="K229" s="7" t="e" cm="1">
        <f t="array" aca="1" ref="K229" ca="1">_xll.BDP("YK553774 Corp","YL016")</f>
        <v>#NAME?</v>
      </c>
      <c r="L229" s="7" t="e" cm="1">
        <f t="array" aca="1" ref="L229" ca="1">_xll.BDP("YK553774 Corp","PR004")</f>
        <v>#NAME?</v>
      </c>
      <c r="M229" s="7" t="e" cm="1">
        <f t="array" aca="1" ref="M229" ca="1">_xll.BDP("YK553774 Corp","PR002")</f>
        <v>#NAME?</v>
      </c>
      <c r="N229" s="1" t="e" cm="1">
        <f t="array" aca="1" ref="N229" ca="1">_xll.BDP("YK553774 Corp","ID028")</f>
        <v>#NAME?</v>
      </c>
      <c r="O229" s="1" t="e" cm="1">
        <f t="array" aca="1" ref="O229" ca="1">_xll.BDP("YK553774 Corp","ID005")</f>
        <v>#NAME?</v>
      </c>
      <c r="P229" s="1" t="e" cm="1">
        <f t="array" aca="1" ref="P229" ca="1">_xll.BDP(A229,"RA007")</f>
        <v>#NAME?</v>
      </c>
      <c r="Q229" s="1" t="e" cm="1">
        <f t="array" aca="1" ref="Q229" ca="1">_xll.BDP(A229,"DS219")</f>
        <v>#NAME?</v>
      </c>
      <c r="R229" s="3" t="e" cm="1">
        <f t="array" aca="1" ref="R229" ca="1">_xll.BDP(A229,"DS040")</f>
        <v>#NAME?</v>
      </c>
      <c r="S229" s="4" t="e">
        <f t="shared" ca="1" si="9"/>
        <v>#NAME?</v>
      </c>
      <c r="T229" s="7" t="e">
        <f t="shared" ca="1" si="10"/>
        <v>#NAME?</v>
      </c>
      <c r="U229" s="3" t="e">
        <f t="shared" ca="1" si="11"/>
        <v>#NAME?</v>
      </c>
    </row>
    <row r="230" spans="1:21" x14ac:dyDescent="0.35">
      <c r="A230" s="5" t="s">
        <v>289</v>
      </c>
      <c r="B230" s="1" t="e" cm="1">
        <f t="array" aca="1" ref="B230" ca="1">_xll.BDP("YK650334 Corp","DS520")</f>
        <v>#NAME?</v>
      </c>
      <c r="C230" s="1" t="e" cm="1">
        <f t="array" aca="1" ref="C230" ca="1">_xll.BDP("YK650334 Corp","DS001")</f>
        <v>#NAME?</v>
      </c>
      <c r="D230" s="1" t="e" cm="1">
        <f t="array" aca="1" ref="D230" ca="1">_xll.BDP("YK650334 Corp","DS458")</f>
        <v>#NAME?</v>
      </c>
      <c r="E230" s="1" t="e" cm="1">
        <f t="array" aca="1" ref="E230" ca="1">_xll.BDP("YK650334 Corp","DS004")</f>
        <v>#NAME?</v>
      </c>
      <c r="F230" s="1" t="e" cm="1">
        <f t="array" aca="1" ref="F230" ca="1">_xll.BDP("YK650334 Corp","DS035")</f>
        <v>#NAME?</v>
      </c>
      <c r="G230" s="1" t="e" cm="1">
        <f t="array" aca="1" ref="G230" ca="1">_xll.BDP("YK650334 Corp","DS086")</f>
        <v>#NAME?</v>
      </c>
      <c r="H230" s="1" t="e" cm="1">
        <f t="array" aca="1" ref="H230" ca="1">_xll.BDP("YK650334 Corp","DS034")</f>
        <v>#NAME?</v>
      </c>
      <c r="I230" s="1" t="e" cm="1">
        <f t="array" aca="1" ref="I230" ca="1">_xll.BDP("YK650334 Corp","DS033")</f>
        <v>#NAME?</v>
      </c>
      <c r="J230" s="7" t="e" cm="1">
        <f t="array" aca="1" ref="J230" ca="1">_xll.BDP("YK650334 Corp","YL018")</f>
        <v>#NAME?</v>
      </c>
      <c r="K230" s="7" t="e" cm="1">
        <f t="array" aca="1" ref="K230" ca="1">_xll.BDP("YK650334 Corp","YL016")</f>
        <v>#NAME?</v>
      </c>
      <c r="L230" s="7" t="e" cm="1">
        <f t="array" aca="1" ref="L230" ca="1">_xll.BDP("YK650334 Corp","PR004")</f>
        <v>#NAME?</v>
      </c>
      <c r="M230" s="7" t="e" cm="1">
        <f t="array" aca="1" ref="M230" ca="1">_xll.BDP("YK650334 Corp","PR002")</f>
        <v>#NAME?</v>
      </c>
      <c r="N230" s="1" t="e" cm="1">
        <f t="array" aca="1" ref="N230" ca="1">_xll.BDP("YK650334 Corp","ID028")</f>
        <v>#NAME?</v>
      </c>
      <c r="O230" s="1" t="e" cm="1">
        <f t="array" aca="1" ref="O230" ca="1">_xll.BDP("YK650334 Corp","ID005")</f>
        <v>#NAME?</v>
      </c>
      <c r="P230" s="1" t="e" cm="1">
        <f t="array" aca="1" ref="P230" ca="1">_xll.BDP(A230,"RA007")</f>
        <v>#NAME?</v>
      </c>
      <c r="Q230" s="1" t="e" cm="1">
        <f t="array" aca="1" ref="Q230" ca="1">_xll.BDP(A230,"DS219")</f>
        <v>#NAME?</v>
      </c>
      <c r="R230" s="3" t="e" cm="1">
        <f t="array" aca="1" ref="R230" ca="1">_xll.BDP(A230,"DS040")</f>
        <v>#NAME?</v>
      </c>
      <c r="S230" s="4" t="e">
        <f t="shared" ca="1" si="9"/>
        <v>#NAME?</v>
      </c>
      <c r="T230" s="7" t="e">
        <f t="shared" ca="1" si="10"/>
        <v>#NAME?</v>
      </c>
      <c r="U230" s="3" t="e">
        <f t="shared" ca="1" si="11"/>
        <v>#NAME?</v>
      </c>
    </row>
    <row r="231" spans="1:21" x14ac:dyDescent="0.35">
      <c r="A231" s="5" t="s">
        <v>290</v>
      </c>
      <c r="B231" s="1" t="e" cm="1">
        <f t="array" aca="1" ref="B231" ca="1">_xll.BDP("YK837626 Corp","DS520")</f>
        <v>#NAME?</v>
      </c>
      <c r="C231" s="1" t="e" cm="1">
        <f t="array" aca="1" ref="C231" ca="1">_xll.BDP("YK837626 Corp","DS001")</f>
        <v>#NAME?</v>
      </c>
      <c r="D231" s="1" t="e" cm="1">
        <f t="array" aca="1" ref="D231" ca="1">_xll.BDP("YK837626 Corp","DS458")</f>
        <v>#NAME?</v>
      </c>
      <c r="E231" s="1" t="e" cm="1">
        <f t="array" aca="1" ref="E231" ca="1">_xll.BDP("YK837626 Corp","DS004")</f>
        <v>#NAME?</v>
      </c>
      <c r="F231" s="1" t="e" cm="1">
        <f t="array" aca="1" ref="F231" ca="1">_xll.BDP("YK837626 Corp","DS035")</f>
        <v>#NAME?</v>
      </c>
      <c r="G231" s="1" t="e" cm="1">
        <f t="array" aca="1" ref="G231" ca="1">_xll.BDP("YK837626 Corp","DS086")</f>
        <v>#NAME?</v>
      </c>
      <c r="H231" s="1" t="e" cm="1">
        <f t="array" aca="1" ref="H231" ca="1">_xll.BDP("YK837626 Corp","DS034")</f>
        <v>#NAME?</v>
      </c>
      <c r="I231" s="1" t="e" cm="1">
        <f t="array" aca="1" ref="I231" ca="1">_xll.BDP("YK837626 Corp","DS033")</f>
        <v>#NAME?</v>
      </c>
      <c r="J231" s="7" t="e" cm="1">
        <f t="array" aca="1" ref="J231" ca="1">_xll.BDP("YK837626 Corp","YL018")</f>
        <v>#NAME?</v>
      </c>
      <c r="K231" s="7" t="e" cm="1">
        <f t="array" aca="1" ref="K231" ca="1">_xll.BDP("YK837626 Corp","YL016")</f>
        <v>#NAME?</v>
      </c>
      <c r="L231" s="7" t="e" cm="1">
        <f t="array" aca="1" ref="L231" ca="1">_xll.BDP("YK837626 Corp","PR004")</f>
        <v>#NAME?</v>
      </c>
      <c r="M231" s="7" t="e" cm="1">
        <f t="array" aca="1" ref="M231" ca="1">_xll.BDP("YK837626 Corp","PR002")</f>
        <v>#NAME?</v>
      </c>
      <c r="N231" s="1" t="e" cm="1">
        <f t="array" aca="1" ref="N231" ca="1">_xll.BDP("YK837626 Corp","ID028")</f>
        <v>#NAME?</v>
      </c>
      <c r="O231" s="1" t="e" cm="1">
        <f t="array" aca="1" ref="O231" ca="1">_xll.BDP("YK837626 Corp","ID005")</f>
        <v>#NAME?</v>
      </c>
      <c r="P231" s="1" t="e" cm="1">
        <f t="array" aca="1" ref="P231" ca="1">_xll.BDP(A231,"RA007")</f>
        <v>#NAME?</v>
      </c>
      <c r="Q231" s="1" t="e" cm="1">
        <f t="array" aca="1" ref="Q231" ca="1">_xll.BDP(A231,"DS219")</f>
        <v>#NAME?</v>
      </c>
      <c r="R231" s="3" t="e" cm="1">
        <f t="array" aca="1" ref="R231" ca="1">_xll.BDP(A231,"DS040")</f>
        <v>#NAME?</v>
      </c>
      <c r="S231" s="4" t="e">
        <f t="shared" ca="1" si="9"/>
        <v>#NAME?</v>
      </c>
      <c r="T231" s="7" t="e">
        <f t="shared" ca="1" si="10"/>
        <v>#NAME?</v>
      </c>
      <c r="U231" s="3" t="e">
        <f t="shared" ca="1" si="11"/>
        <v>#NAME?</v>
      </c>
    </row>
    <row r="232" spans="1:21" x14ac:dyDescent="0.35">
      <c r="A232" s="5" t="s">
        <v>291</v>
      </c>
      <c r="B232" s="1" t="e" cm="1">
        <f t="array" aca="1" ref="B232" ca="1">_xll.BDP("YK941325 Corp","DS520")</f>
        <v>#NAME?</v>
      </c>
      <c r="C232" s="1" t="e" cm="1">
        <f t="array" aca="1" ref="C232" ca="1">_xll.BDP("YK941325 Corp","DS001")</f>
        <v>#NAME?</v>
      </c>
      <c r="D232" s="1" t="e" cm="1">
        <f t="array" aca="1" ref="D232" ca="1">_xll.BDP("YK941325 Corp","DS458")</f>
        <v>#NAME?</v>
      </c>
      <c r="E232" s="1" t="e" cm="1">
        <f t="array" aca="1" ref="E232" ca="1">_xll.BDP("YK941325 Corp","DS004")</f>
        <v>#NAME?</v>
      </c>
      <c r="F232" s="1" t="e" cm="1">
        <f t="array" aca="1" ref="F232" ca="1">_xll.BDP("YK941325 Corp","DS035")</f>
        <v>#NAME?</v>
      </c>
      <c r="G232" s="1" t="e" cm="1">
        <f t="array" aca="1" ref="G232" ca="1">_xll.BDP("YK941325 Corp","DS086")</f>
        <v>#NAME?</v>
      </c>
      <c r="H232" s="1" t="e" cm="1">
        <f t="array" aca="1" ref="H232" ca="1">_xll.BDP("YK941325 Corp","DS034")</f>
        <v>#NAME?</v>
      </c>
      <c r="I232" s="1" t="e" cm="1">
        <f t="array" aca="1" ref="I232" ca="1">_xll.BDP("YK941325 Corp","DS033")</f>
        <v>#NAME?</v>
      </c>
      <c r="J232" s="7" t="e" cm="1">
        <f t="array" aca="1" ref="J232" ca="1">_xll.BDP("YK941325 Corp","YL018")</f>
        <v>#NAME?</v>
      </c>
      <c r="K232" s="7" t="e" cm="1">
        <f t="array" aca="1" ref="K232" ca="1">_xll.BDP("YK941325 Corp","YL016")</f>
        <v>#NAME?</v>
      </c>
      <c r="L232" s="7" t="e" cm="1">
        <f t="array" aca="1" ref="L232" ca="1">_xll.BDP("YK941325 Corp","PR004")</f>
        <v>#NAME?</v>
      </c>
      <c r="M232" s="7" t="e" cm="1">
        <f t="array" aca="1" ref="M232" ca="1">_xll.BDP("YK941325 Corp","PR002")</f>
        <v>#NAME?</v>
      </c>
      <c r="N232" s="1" t="e" cm="1">
        <f t="array" aca="1" ref="N232" ca="1">_xll.BDP("YK941325 Corp","ID028")</f>
        <v>#NAME?</v>
      </c>
      <c r="O232" s="1" t="e" cm="1">
        <f t="array" aca="1" ref="O232" ca="1">_xll.BDP("YK941325 Corp","ID005")</f>
        <v>#NAME?</v>
      </c>
      <c r="P232" s="1" t="e" cm="1">
        <f t="array" aca="1" ref="P232" ca="1">_xll.BDP(A232,"RA007")</f>
        <v>#NAME?</v>
      </c>
      <c r="Q232" s="1" t="e" cm="1">
        <f t="array" aca="1" ref="Q232" ca="1">_xll.BDP(A232,"DS219")</f>
        <v>#NAME?</v>
      </c>
      <c r="R232" s="3" t="e" cm="1">
        <f t="array" aca="1" ref="R232" ca="1">_xll.BDP(A232,"DS040")</f>
        <v>#NAME?</v>
      </c>
      <c r="S232" s="4" t="e">
        <f t="shared" ca="1" si="9"/>
        <v>#NAME?</v>
      </c>
      <c r="T232" s="7" t="e">
        <f t="shared" ca="1" si="10"/>
        <v>#NAME?</v>
      </c>
      <c r="U232" s="3" t="e">
        <f t="shared" ca="1" si="11"/>
        <v>#NAME?</v>
      </c>
    </row>
    <row r="233" spans="1:21" x14ac:dyDescent="0.35">
      <c r="A233" s="5" t="s">
        <v>292</v>
      </c>
      <c r="B233" s="1" t="e" cm="1">
        <f t="array" aca="1" ref="B233" ca="1">_xll.BDP("YL701515 Corp","DS520")</f>
        <v>#NAME?</v>
      </c>
      <c r="C233" s="1" t="e" cm="1">
        <f t="array" aca="1" ref="C233" ca="1">_xll.BDP("YL701515 Corp","DS001")</f>
        <v>#NAME?</v>
      </c>
      <c r="D233" s="1" t="e" cm="1">
        <f t="array" aca="1" ref="D233" ca="1">_xll.BDP("YL701515 Corp","DS458")</f>
        <v>#NAME?</v>
      </c>
      <c r="E233" s="1" t="e" cm="1">
        <f t="array" aca="1" ref="E233" ca="1">_xll.BDP("YL701515 Corp","DS004")</f>
        <v>#NAME?</v>
      </c>
      <c r="F233" s="1" t="e" cm="1">
        <f t="array" aca="1" ref="F233" ca="1">_xll.BDP("YL701515 Corp","DS035")</f>
        <v>#NAME?</v>
      </c>
      <c r="G233" s="1" t="e" cm="1">
        <f t="array" aca="1" ref="G233" ca="1">_xll.BDP("YL701515 Corp","DS086")</f>
        <v>#NAME?</v>
      </c>
      <c r="H233" s="1" t="e" cm="1">
        <f t="array" aca="1" ref="H233" ca="1">_xll.BDP("YL701515 Corp","DS034")</f>
        <v>#NAME?</v>
      </c>
      <c r="I233" s="1" t="e" cm="1">
        <f t="array" aca="1" ref="I233" ca="1">_xll.BDP("YL701515 Corp","DS033")</f>
        <v>#NAME?</v>
      </c>
      <c r="J233" s="7" t="e" cm="1">
        <f t="array" aca="1" ref="J233" ca="1">_xll.BDP("YL701515 Corp","YL018")</f>
        <v>#NAME?</v>
      </c>
      <c r="K233" s="7" t="e" cm="1">
        <f t="array" aca="1" ref="K233" ca="1">_xll.BDP("YL701515 Corp","YL016")</f>
        <v>#NAME?</v>
      </c>
      <c r="L233" s="7" t="e" cm="1">
        <f t="array" aca="1" ref="L233" ca="1">_xll.BDP("YL701515 Corp","PR004")</f>
        <v>#NAME?</v>
      </c>
      <c r="M233" s="7" t="e" cm="1">
        <f t="array" aca="1" ref="M233" ca="1">_xll.BDP("YL701515 Corp","PR002")</f>
        <v>#NAME?</v>
      </c>
      <c r="N233" s="1" t="e" cm="1">
        <f t="array" aca="1" ref="N233" ca="1">_xll.BDP("YL701515 Corp","ID028")</f>
        <v>#NAME?</v>
      </c>
      <c r="O233" s="1" t="e" cm="1">
        <f t="array" aca="1" ref="O233" ca="1">_xll.BDP("YL701515 Corp","ID005")</f>
        <v>#NAME?</v>
      </c>
      <c r="P233" s="1" t="e" cm="1">
        <f t="array" aca="1" ref="P233" ca="1">_xll.BDP(A233,"RA007")</f>
        <v>#NAME?</v>
      </c>
      <c r="Q233" s="1" t="e" cm="1">
        <f t="array" aca="1" ref="Q233" ca="1">_xll.BDP(A233,"DS219")</f>
        <v>#NAME?</v>
      </c>
      <c r="R233" s="3" t="e" cm="1">
        <f t="array" aca="1" ref="R233" ca="1">_xll.BDP(A233,"DS040")</f>
        <v>#NAME?</v>
      </c>
      <c r="S233" s="4" t="e">
        <f t="shared" ca="1" si="9"/>
        <v>#NAME?</v>
      </c>
      <c r="T233" s="7" t="e">
        <f t="shared" ca="1" si="10"/>
        <v>#NAME?</v>
      </c>
      <c r="U233" s="3" t="e">
        <f t="shared" ca="1" si="11"/>
        <v>#NAME?</v>
      </c>
    </row>
    <row r="234" spans="1:21" x14ac:dyDescent="0.35">
      <c r="A234" s="5" t="s">
        <v>293</v>
      </c>
      <c r="B234" s="1" t="e" cm="1">
        <f t="array" aca="1" ref="B234" ca="1">_xll.BDP("YM113944 Corp","DS520")</f>
        <v>#NAME?</v>
      </c>
      <c r="C234" s="1" t="e" cm="1">
        <f t="array" aca="1" ref="C234" ca="1">_xll.BDP("YM113944 Corp","DS001")</f>
        <v>#NAME?</v>
      </c>
      <c r="D234" s="1" t="e" cm="1">
        <f t="array" aca="1" ref="D234" ca="1">_xll.BDP("YM113944 Corp","DS458")</f>
        <v>#NAME?</v>
      </c>
      <c r="E234" s="1" t="e" cm="1">
        <f t="array" aca="1" ref="E234" ca="1">_xll.BDP("YM113944 Corp","DS004")</f>
        <v>#NAME?</v>
      </c>
      <c r="F234" s="1" t="e" cm="1">
        <f t="array" aca="1" ref="F234" ca="1">_xll.BDP("YM113944 Corp","DS035")</f>
        <v>#NAME?</v>
      </c>
      <c r="G234" s="1" t="e" cm="1">
        <f t="array" aca="1" ref="G234" ca="1">_xll.BDP("YM113944 Corp","DS086")</f>
        <v>#NAME?</v>
      </c>
      <c r="H234" s="1" t="e" cm="1">
        <f t="array" aca="1" ref="H234" ca="1">_xll.BDP("YM113944 Corp","DS034")</f>
        <v>#NAME?</v>
      </c>
      <c r="I234" s="1" t="e" cm="1">
        <f t="array" aca="1" ref="I234" ca="1">_xll.BDP("YM113944 Corp","DS033")</f>
        <v>#NAME?</v>
      </c>
      <c r="J234" s="7" t="e" cm="1">
        <f t="array" aca="1" ref="J234" ca="1">_xll.BDP("YM113944 Corp","YL018")</f>
        <v>#NAME?</v>
      </c>
      <c r="K234" s="7" t="e" cm="1">
        <f t="array" aca="1" ref="K234" ca="1">_xll.BDP("YM113944 Corp","YL016")</f>
        <v>#NAME?</v>
      </c>
      <c r="L234" s="7" t="e" cm="1">
        <f t="array" aca="1" ref="L234" ca="1">_xll.BDP("YM113944 Corp","PR004")</f>
        <v>#NAME?</v>
      </c>
      <c r="M234" s="7" t="e" cm="1">
        <f t="array" aca="1" ref="M234" ca="1">_xll.BDP("YM113944 Corp","PR002")</f>
        <v>#NAME?</v>
      </c>
      <c r="N234" s="1" t="e" cm="1">
        <f t="array" aca="1" ref="N234" ca="1">_xll.BDP("YM113944 Corp","ID028")</f>
        <v>#NAME?</v>
      </c>
      <c r="O234" s="1" t="e" cm="1">
        <f t="array" aca="1" ref="O234" ca="1">_xll.BDP("YM113944 Corp","ID005")</f>
        <v>#NAME?</v>
      </c>
      <c r="P234" s="1" t="e" cm="1">
        <f t="array" aca="1" ref="P234" ca="1">_xll.BDP(A234,"RA007")</f>
        <v>#NAME?</v>
      </c>
      <c r="Q234" s="1" t="e" cm="1">
        <f t="array" aca="1" ref="Q234" ca="1">_xll.BDP(A234,"DS219")</f>
        <v>#NAME?</v>
      </c>
      <c r="R234" s="3" t="e" cm="1">
        <f t="array" aca="1" ref="R234" ca="1">_xll.BDP(A234,"DS040")</f>
        <v>#NAME?</v>
      </c>
      <c r="S234" s="4" t="e">
        <f t="shared" ca="1" si="9"/>
        <v>#NAME?</v>
      </c>
      <c r="T234" s="7" t="e">
        <f t="shared" ca="1" si="10"/>
        <v>#NAME?</v>
      </c>
      <c r="U234" s="3" t="e">
        <f t="shared" ca="1" si="11"/>
        <v>#NAME?</v>
      </c>
    </row>
    <row r="235" spans="1:21" x14ac:dyDescent="0.35">
      <c r="A235" s="5" t="s">
        <v>294</v>
      </c>
      <c r="B235" s="1" t="e" cm="1">
        <f t="array" aca="1" ref="B235" ca="1">_xll.BDP("YM201672 Corp","DS520")</f>
        <v>#NAME?</v>
      </c>
      <c r="C235" s="1" t="e" cm="1">
        <f t="array" aca="1" ref="C235" ca="1">_xll.BDP("YM201672 Corp","DS001")</f>
        <v>#NAME?</v>
      </c>
      <c r="D235" s="1" t="e" cm="1">
        <f t="array" aca="1" ref="D235" ca="1">_xll.BDP("YM201672 Corp","DS458")</f>
        <v>#NAME?</v>
      </c>
      <c r="E235" s="1" t="e" cm="1">
        <f t="array" aca="1" ref="E235" ca="1">_xll.BDP("YM201672 Corp","DS004")</f>
        <v>#NAME?</v>
      </c>
      <c r="F235" s="1" t="e" cm="1">
        <f t="array" aca="1" ref="F235" ca="1">_xll.BDP("YM201672 Corp","DS035")</f>
        <v>#NAME?</v>
      </c>
      <c r="G235" s="1" t="e" cm="1">
        <f t="array" aca="1" ref="G235" ca="1">_xll.BDP("YM201672 Corp","DS086")</f>
        <v>#NAME?</v>
      </c>
      <c r="H235" s="1" t="e" cm="1">
        <f t="array" aca="1" ref="H235" ca="1">_xll.BDP("YM201672 Corp","DS034")</f>
        <v>#NAME?</v>
      </c>
      <c r="I235" s="1" t="e" cm="1">
        <f t="array" aca="1" ref="I235" ca="1">_xll.BDP("YM201672 Corp","DS033")</f>
        <v>#NAME?</v>
      </c>
      <c r="J235" s="7" t="e" cm="1">
        <f t="array" aca="1" ref="J235" ca="1">_xll.BDP("YM201672 Corp","YL018")</f>
        <v>#NAME?</v>
      </c>
      <c r="K235" s="7" t="e" cm="1">
        <f t="array" aca="1" ref="K235" ca="1">_xll.BDP("YM201672 Corp","YL016")</f>
        <v>#NAME?</v>
      </c>
      <c r="L235" s="7" t="e" cm="1">
        <f t="array" aca="1" ref="L235" ca="1">_xll.BDP("YM201672 Corp","PR004")</f>
        <v>#NAME?</v>
      </c>
      <c r="M235" s="7" t="e" cm="1">
        <f t="array" aca="1" ref="M235" ca="1">_xll.BDP("YM201672 Corp","PR002")</f>
        <v>#NAME?</v>
      </c>
      <c r="N235" s="1" t="e" cm="1">
        <f t="array" aca="1" ref="N235" ca="1">_xll.BDP("YM201672 Corp","ID028")</f>
        <v>#NAME?</v>
      </c>
      <c r="O235" s="1" t="e" cm="1">
        <f t="array" aca="1" ref="O235" ca="1">_xll.BDP("YM201672 Corp","ID005")</f>
        <v>#NAME?</v>
      </c>
      <c r="P235" s="1" t="e" cm="1">
        <f t="array" aca="1" ref="P235" ca="1">_xll.BDP(A235,"RA007")</f>
        <v>#NAME?</v>
      </c>
      <c r="Q235" s="1" t="e" cm="1">
        <f t="array" aca="1" ref="Q235" ca="1">_xll.BDP(A235,"DS219")</f>
        <v>#NAME?</v>
      </c>
      <c r="R235" s="3" t="e" cm="1">
        <f t="array" aca="1" ref="R235" ca="1">_xll.BDP(A235,"DS040")</f>
        <v>#NAME?</v>
      </c>
      <c r="S235" s="4" t="e">
        <f t="shared" ca="1" si="9"/>
        <v>#NAME?</v>
      </c>
      <c r="T235" s="7" t="e">
        <f t="shared" ca="1" si="10"/>
        <v>#NAME?</v>
      </c>
      <c r="U235" s="3" t="e">
        <f t="shared" ca="1" si="11"/>
        <v>#NAME?</v>
      </c>
    </row>
    <row r="236" spans="1:21" x14ac:dyDescent="0.35">
      <c r="A236" s="5" t="s">
        <v>295</v>
      </c>
      <c r="B236" s="1" t="e" cm="1">
        <f t="array" aca="1" ref="B236" ca="1">_xll.BDP("YM377386 Corp","DS520")</f>
        <v>#NAME?</v>
      </c>
      <c r="C236" s="1" t="e" cm="1">
        <f t="array" aca="1" ref="C236" ca="1">_xll.BDP("YM377386 Corp","DS001")</f>
        <v>#NAME?</v>
      </c>
      <c r="D236" s="1" t="e" cm="1">
        <f t="array" aca="1" ref="D236" ca="1">_xll.BDP("YM377386 Corp","DS458")</f>
        <v>#NAME?</v>
      </c>
      <c r="E236" s="1" t="e" cm="1">
        <f t="array" aca="1" ref="E236" ca="1">_xll.BDP("YM377386 Corp","DS004")</f>
        <v>#NAME?</v>
      </c>
      <c r="F236" s="1" t="e" cm="1">
        <f t="array" aca="1" ref="F236" ca="1">_xll.BDP("YM377386 Corp","DS035")</f>
        <v>#NAME?</v>
      </c>
      <c r="G236" s="1" t="e" cm="1">
        <f t="array" aca="1" ref="G236" ca="1">_xll.BDP("YM377386 Corp","DS086")</f>
        <v>#NAME?</v>
      </c>
      <c r="H236" s="1" t="e" cm="1">
        <f t="array" aca="1" ref="H236" ca="1">_xll.BDP("YM377386 Corp","DS034")</f>
        <v>#NAME?</v>
      </c>
      <c r="I236" s="1" t="e" cm="1">
        <f t="array" aca="1" ref="I236" ca="1">_xll.BDP("YM377386 Corp","DS033")</f>
        <v>#NAME?</v>
      </c>
      <c r="J236" s="7" t="e" cm="1">
        <f t="array" aca="1" ref="J236" ca="1">_xll.BDP("YM377386 Corp","YL018")</f>
        <v>#NAME?</v>
      </c>
      <c r="K236" s="7" t="e" cm="1">
        <f t="array" aca="1" ref="K236" ca="1">_xll.BDP("YM377386 Corp","YL016")</f>
        <v>#NAME?</v>
      </c>
      <c r="L236" s="7" t="e" cm="1">
        <f t="array" aca="1" ref="L236" ca="1">_xll.BDP("YM377386 Corp","PR004")</f>
        <v>#NAME?</v>
      </c>
      <c r="M236" s="7" t="e" cm="1">
        <f t="array" aca="1" ref="M236" ca="1">_xll.BDP("YM377386 Corp","PR002")</f>
        <v>#NAME?</v>
      </c>
      <c r="N236" s="1" t="e" cm="1">
        <f t="array" aca="1" ref="N236" ca="1">_xll.BDP("YM377386 Corp","ID028")</f>
        <v>#NAME?</v>
      </c>
      <c r="O236" s="1" t="e" cm="1">
        <f t="array" aca="1" ref="O236" ca="1">_xll.BDP("YM377386 Corp","ID005")</f>
        <v>#NAME?</v>
      </c>
      <c r="P236" s="1" t="e" cm="1">
        <f t="array" aca="1" ref="P236" ca="1">_xll.BDP(A236,"RA007")</f>
        <v>#NAME?</v>
      </c>
      <c r="Q236" s="1" t="e" cm="1">
        <f t="array" aca="1" ref="Q236" ca="1">_xll.BDP(A236,"DS219")</f>
        <v>#NAME?</v>
      </c>
      <c r="R236" s="3" t="e" cm="1">
        <f t="array" aca="1" ref="R236" ca="1">_xll.BDP(A236,"DS040")</f>
        <v>#NAME?</v>
      </c>
      <c r="S236" s="4" t="e">
        <f t="shared" ca="1" si="9"/>
        <v>#NAME?</v>
      </c>
      <c r="T236" s="7" t="e">
        <f t="shared" ca="1" si="10"/>
        <v>#NAME?</v>
      </c>
      <c r="U236" s="3" t="e">
        <f t="shared" ca="1" si="11"/>
        <v>#NAME?</v>
      </c>
    </row>
    <row r="237" spans="1:21" x14ac:dyDescent="0.35">
      <c r="A237" s="5" t="s">
        <v>296</v>
      </c>
      <c r="B237" s="1" t="e" cm="1">
        <f t="array" aca="1" ref="B237" ca="1">_xll.BDP("YM801404 Corp","DS520")</f>
        <v>#NAME?</v>
      </c>
      <c r="C237" s="1" t="e" cm="1">
        <f t="array" aca="1" ref="C237" ca="1">_xll.BDP("YM801404 Corp","DS001")</f>
        <v>#NAME?</v>
      </c>
      <c r="D237" s="1" t="e" cm="1">
        <f t="array" aca="1" ref="D237" ca="1">_xll.BDP("YM801404 Corp","DS458")</f>
        <v>#NAME?</v>
      </c>
      <c r="E237" s="1" t="e" cm="1">
        <f t="array" aca="1" ref="E237" ca="1">_xll.BDP("YM801404 Corp","DS004")</f>
        <v>#NAME?</v>
      </c>
      <c r="F237" s="1" t="e" cm="1">
        <f t="array" aca="1" ref="F237" ca="1">_xll.BDP("YM801404 Corp","DS035")</f>
        <v>#NAME?</v>
      </c>
      <c r="G237" s="1" t="e" cm="1">
        <f t="array" aca="1" ref="G237" ca="1">_xll.BDP("YM801404 Corp","DS086")</f>
        <v>#NAME?</v>
      </c>
      <c r="H237" s="1" t="e" cm="1">
        <f t="array" aca="1" ref="H237" ca="1">_xll.BDP("YM801404 Corp","DS034")</f>
        <v>#NAME?</v>
      </c>
      <c r="I237" s="1" t="e" cm="1">
        <f t="array" aca="1" ref="I237" ca="1">_xll.BDP("YM801404 Corp","DS033")</f>
        <v>#NAME?</v>
      </c>
      <c r="J237" s="7" t="e" cm="1">
        <f t="array" aca="1" ref="J237" ca="1">_xll.BDP("YM801404 Corp","YL018")</f>
        <v>#NAME?</v>
      </c>
      <c r="K237" s="7" t="e" cm="1">
        <f t="array" aca="1" ref="K237" ca="1">_xll.BDP("YM801404 Corp","YL016")</f>
        <v>#NAME?</v>
      </c>
      <c r="L237" s="7" t="e" cm="1">
        <f t="array" aca="1" ref="L237" ca="1">_xll.BDP("YM801404 Corp","PR004")</f>
        <v>#NAME?</v>
      </c>
      <c r="M237" s="7" t="e" cm="1">
        <f t="array" aca="1" ref="M237" ca="1">_xll.BDP("YM801404 Corp","PR002")</f>
        <v>#NAME?</v>
      </c>
      <c r="N237" s="1" t="e" cm="1">
        <f t="array" aca="1" ref="N237" ca="1">_xll.BDP("YM801404 Corp","ID028")</f>
        <v>#NAME?</v>
      </c>
      <c r="O237" s="1" t="e" cm="1">
        <f t="array" aca="1" ref="O237" ca="1">_xll.BDP("YM801404 Corp","ID005")</f>
        <v>#NAME?</v>
      </c>
      <c r="P237" s="1" t="e" cm="1">
        <f t="array" aca="1" ref="P237" ca="1">_xll.BDP(A237,"RA007")</f>
        <v>#NAME?</v>
      </c>
      <c r="Q237" s="1" t="e" cm="1">
        <f t="array" aca="1" ref="Q237" ca="1">_xll.BDP(A237,"DS219")</f>
        <v>#NAME?</v>
      </c>
      <c r="R237" s="3" t="e" cm="1">
        <f t="array" aca="1" ref="R237" ca="1">_xll.BDP(A237,"DS040")</f>
        <v>#NAME?</v>
      </c>
      <c r="S237" s="4" t="e">
        <f t="shared" ca="1" si="9"/>
        <v>#NAME?</v>
      </c>
      <c r="T237" s="7" t="e">
        <f t="shared" ca="1" si="10"/>
        <v>#NAME?</v>
      </c>
      <c r="U237" s="3" t="e">
        <f t="shared" ca="1" si="11"/>
        <v>#NAME?</v>
      </c>
    </row>
    <row r="238" spans="1:21" x14ac:dyDescent="0.35">
      <c r="A238" s="5" t="s">
        <v>297</v>
      </c>
      <c r="B238" s="1" t="e" cm="1">
        <f t="array" aca="1" ref="B238" ca="1">_xll.BDP("YN009853 Corp","DS520")</f>
        <v>#NAME?</v>
      </c>
      <c r="C238" s="1" t="e" cm="1">
        <f t="array" aca="1" ref="C238" ca="1">_xll.BDP("YN009853 Corp","DS001")</f>
        <v>#NAME?</v>
      </c>
      <c r="D238" s="1" t="e" cm="1">
        <f t="array" aca="1" ref="D238" ca="1">_xll.BDP("YN009853 Corp","DS458")</f>
        <v>#NAME?</v>
      </c>
      <c r="E238" s="1" t="e" cm="1">
        <f t="array" aca="1" ref="E238" ca="1">_xll.BDP("YN009853 Corp","DS004")</f>
        <v>#NAME?</v>
      </c>
      <c r="F238" s="1" t="e" cm="1">
        <f t="array" aca="1" ref="F238" ca="1">_xll.BDP("YN009853 Corp","DS035")</f>
        <v>#NAME?</v>
      </c>
      <c r="G238" s="1" t="e" cm="1">
        <f t="array" aca="1" ref="G238" ca="1">_xll.BDP("YN009853 Corp","DS086")</f>
        <v>#NAME?</v>
      </c>
      <c r="H238" s="1" t="e" cm="1">
        <f t="array" aca="1" ref="H238" ca="1">_xll.BDP("YN009853 Corp","DS034")</f>
        <v>#NAME?</v>
      </c>
      <c r="I238" s="1" t="e" cm="1">
        <f t="array" aca="1" ref="I238" ca="1">_xll.BDP("YN009853 Corp","DS033")</f>
        <v>#NAME?</v>
      </c>
      <c r="J238" s="7" t="e" cm="1">
        <f t="array" aca="1" ref="J238" ca="1">_xll.BDP("YN009853 Corp","YL018")</f>
        <v>#NAME?</v>
      </c>
      <c r="K238" s="7" t="e" cm="1">
        <f t="array" aca="1" ref="K238" ca="1">_xll.BDP("YN009853 Corp","YL016")</f>
        <v>#NAME?</v>
      </c>
      <c r="L238" s="7" t="e" cm="1">
        <f t="array" aca="1" ref="L238" ca="1">_xll.BDP("YN009853 Corp","PR004")</f>
        <v>#NAME?</v>
      </c>
      <c r="M238" s="7" t="e" cm="1">
        <f t="array" aca="1" ref="M238" ca="1">_xll.BDP("YN009853 Corp","PR002")</f>
        <v>#NAME?</v>
      </c>
      <c r="N238" s="1" t="e" cm="1">
        <f t="array" aca="1" ref="N238" ca="1">_xll.BDP("YN009853 Corp","ID028")</f>
        <v>#NAME?</v>
      </c>
      <c r="O238" s="1" t="e" cm="1">
        <f t="array" aca="1" ref="O238" ca="1">_xll.BDP("YN009853 Corp","ID005")</f>
        <v>#NAME?</v>
      </c>
      <c r="P238" s="1" t="e" cm="1">
        <f t="array" aca="1" ref="P238" ca="1">_xll.BDP(A238,"RA007")</f>
        <v>#NAME?</v>
      </c>
      <c r="Q238" s="1" t="e" cm="1">
        <f t="array" aca="1" ref="Q238" ca="1">_xll.BDP(A238,"DS219")</f>
        <v>#NAME?</v>
      </c>
      <c r="R238" s="3" t="e" cm="1">
        <f t="array" aca="1" ref="R238" ca="1">_xll.BDP(A238,"DS040")</f>
        <v>#NAME?</v>
      </c>
      <c r="S238" s="4" t="e">
        <f t="shared" ca="1" si="9"/>
        <v>#NAME?</v>
      </c>
      <c r="T238" s="7" t="e">
        <f t="shared" ca="1" si="10"/>
        <v>#NAME?</v>
      </c>
      <c r="U238" s="3" t="e">
        <f t="shared" ca="1" si="11"/>
        <v>#NAME?</v>
      </c>
    </row>
    <row r="239" spans="1:21" x14ac:dyDescent="0.35">
      <c r="A239" s="5" t="s">
        <v>298</v>
      </c>
      <c r="B239" s="1" t="e" cm="1">
        <f t="array" aca="1" ref="B239" ca="1">_xll.BDP("YN766681 Corp","DS520")</f>
        <v>#NAME?</v>
      </c>
      <c r="C239" s="1" t="e" cm="1">
        <f t="array" aca="1" ref="C239" ca="1">_xll.BDP("YN766681 Corp","DS001")</f>
        <v>#NAME?</v>
      </c>
      <c r="D239" s="1" t="e" cm="1">
        <f t="array" aca="1" ref="D239" ca="1">_xll.BDP("YN766681 Corp","DS458")</f>
        <v>#NAME?</v>
      </c>
      <c r="E239" s="1" t="e" cm="1">
        <f t="array" aca="1" ref="E239" ca="1">_xll.BDP("YN766681 Corp","DS004")</f>
        <v>#NAME?</v>
      </c>
      <c r="F239" s="1" t="e" cm="1">
        <f t="array" aca="1" ref="F239" ca="1">_xll.BDP("YN766681 Corp","DS035")</f>
        <v>#NAME?</v>
      </c>
      <c r="G239" s="1" t="e" cm="1">
        <f t="array" aca="1" ref="G239" ca="1">_xll.BDP("YN766681 Corp","DS086")</f>
        <v>#NAME?</v>
      </c>
      <c r="H239" s="1" t="e" cm="1">
        <f t="array" aca="1" ref="H239" ca="1">_xll.BDP("YN766681 Corp","DS034")</f>
        <v>#NAME?</v>
      </c>
      <c r="I239" s="1" t="e" cm="1">
        <f t="array" aca="1" ref="I239" ca="1">_xll.BDP("YN766681 Corp","DS033")</f>
        <v>#NAME?</v>
      </c>
      <c r="J239" s="7" t="e" cm="1">
        <f t="array" aca="1" ref="J239" ca="1">_xll.BDP("YN766681 Corp","YL018")</f>
        <v>#NAME?</v>
      </c>
      <c r="K239" s="7" t="e" cm="1">
        <f t="array" aca="1" ref="K239" ca="1">_xll.BDP("YN766681 Corp","YL016")</f>
        <v>#NAME?</v>
      </c>
      <c r="L239" s="7" t="e" cm="1">
        <f t="array" aca="1" ref="L239" ca="1">_xll.BDP("YN766681 Corp","PR004")</f>
        <v>#NAME?</v>
      </c>
      <c r="M239" s="7" t="e" cm="1">
        <f t="array" aca="1" ref="M239" ca="1">_xll.BDP("YN766681 Corp","PR002")</f>
        <v>#NAME?</v>
      </c>
      <c r="N239" s="1" t="e" cm="1">
        <f t="array" aca="1" ref="N239" ca="1">_xll.BDP("YN766681 Corp","ID028")</f>
        <v>#NAME?</v>
      </c>
      <c r="O239" s="1" t="e" cm="1">
        <f t="array" aca="1" ref="O239" ca="1">_xll.BDP("YN766681 Corp","ID005")</f>
        <v>#NAME?</v>
      </c>
      <c r="P239" s="1" t="e" cm="1">
        <f t="array" aca="1" ref="P239" ca="1">_xll.BDP(A239,"RA007")</f>
        <v>#NAME?</v>
      </c>
      <c r="Q239" s="1" t="e" cm="1">
        <f t="array" aca="1" ref="Q239" ca="1">_xll.BDP(A239,"DS219")</f>
        <v>#NAME?</v>
      </c>
      <c r="R239" s="3" t="e" cm="1">
        <f t="array" aca="1" ref="R239" ca="1">_xll.BDP(A239,"DS040")</f>
        <v>#NAME?</v>
      </c>
      <c r="S239" s="4" t="e">
        <f t="shared" ca="1" si="9"/>
        <v>#NAME?</v>
      </c>
      <c r="T239" s="7" t="e">
        <f t="shared" ca="1" si="10"/>
        <v>#NAME?</v>
      </c>
      <c r="U239" s="3" t="e">
        <f t="shared" ca="1" si="11"/>
        <v>#NAME?</v>
      </c>
    </row>
    <row r="240" spans="1:21" x14ac:dyDescent="0.35">
      <c r="A240" s="5" t="s">
        <v>299</v>
      </c>
      <c r="B240" s="1" t="e" cm="1">
        <f t="array" aca="1" ref="B240" ca="1">_xll.BDP("YN917177 Corp","DS520")</f>
        <v>#NAME?</v>
      </c>
      <c r="C240" s="1" t="e" cm="1">
        <f t="array" aca="1" ref="C240" ca="1">_xll.BDP("YN917177 Corp","DS001")</f>
        <v>#NAME?</v>
      </c>
      <c r="D240" s="1" t="e" cm="1">
        <f t="array" aca="1" ref="D240" ca="1">_xll.BDP("YN917177 Corp","DS458")</f>
        <v>#NAME?</v>
      </c>
      <c r="E240" s="1" t="e" cm="1">
        <f t="array" aca="1" ref="E240" ca="1">_xll.BDP("YN917177 Corp","DS004")</f>
        <v>#NAME?</v>
      </c>
      <c r="F240" s="1" t="e" cm="1">
        <f t="array" aca="1" ref="F240" ca="1">_xll.BDP("YN917177 Corp","DS035")</f>
        <v>#NAME?</v>
      </c>
      <c r="G240" s="1" t="e" cm="1">
        <f t="array" aca="1" ref="G240" ca="1">_xll.BDP("YN917177 Corp","DS086")</f>
        <v>#NAME?</v>
      </c>
      <c r="H240" s="1" t="e" cm="1">
        <f t="array" aca="1" ref="H240" ca="1">_xll.BDP("YN917177 Corp","DS034")</f>
        <v>#NAME?</v>
      </c>
      <c r="I240" s="1" t="e" cm="1">
        <f t="array" aca="1" ref="I240" ca="1">_xll.BDP("YN917177 Corp","DS033")</f>
        <v>#NAME?</v>
      </c>
      <c r="J240" s="7" t="e" cm="1">
        <f t="array" aca="1" ref="J240" ca="1">_xll.BDP("YN917177 Corp","YL018")</f>
        <v>#NAME?</v>
      </c>
      <c r="K240" s="7" t="e" cm="1">
        <f t="array" aca="1" ref="K240" ca="1">_xll.BDP("YN917177 Corp","YL016")</f>
        <v>#NAME?</v>
      </c>
      <c r="L240" s="7" t="e" cm="1">
        <f t="array" aca="1" ref="L240" ca="1">_xll.BDP("YN917177 Corp","PR004")</f>
        <v>#NAME?</v>
      </c>
      <c r="M240" s="7" t="e" cm="1">
        <f t="array" aca="1" ref="M240" ca="1">_xll.BDP("YN917177 Corp","PR002")</f>
        <v>#NAME?</v>
      </c>
      <c r="N240" s="1" t="e" cm="1">
        <f t="array" aca="1" ref="N240" ca="1">_xll.BDP("YN917177 Corp","ID028")</f>
        <v>#NAME?</v>
      </c>
      <c r="O240" s="1" t="e" cm="1">
        <f t="array" aca="1" ref="O240" ca="1">_xll.BDP("YN917177 Corp","ID005")</f>
        <v>#NAME?</v>
      </c>
      <c r="P240" s="1" t="e" cm="1">
        <f t="array" aca="1" ref="P240" ca="1">_xll.BDP(A240,"RA007")</f>
        <v>#NAME?</v>
      </c>
      <c r="Q240" s="1" t="e" cm="1">
        <f t="array" aca="1" ref="Q240" ca="1">_xll.BDP(A240,"DS219")</f>
        <v>#NAME?</v>
      </c>
      <c r="R240" s="3" t="e" cm="1">
        <f t="array" aca="1" ref="R240" ca="1">_xll.BDP(A240,"DS040")</f>
        <v>#NAME?</v>
      </c>
      <c r="S240" s="4" t="e">
        <f t="shared" ca="1" si="9"/>
        <v>#NAME?</v>
      </c>
      <c r="T240" s="7" t="e">
        <f t="shared" ca="1" si="10"/>
        <v>#NAME?</v>
      </c>
      <c r="U240" s="3" t="e">
        <f t="shared" ca="1" si="11"/>
        <v>#NAME?</v>
      </c>
    </row>
    <row r="241" spans="1:21" x14ac:dyDescent="0.35">
      <c r="A241" s="5" t="s">
        <v>300</v>
      </c>
      <c r="B241" s="1" t="e" cm="1">
        <f t="array" aca="1" ref="B241" ca="1">_xll.BDP("YN990658 Corp","DS520")</f>
        <v>#NAME?</v>
      </c>
      <c r="C241" s="1" t="e" cm="1">
        <f t="array" aca="1" ref="C241" ca="1">_xll.BDP("YN990658 Corp","DS001")</f>
        <v>#NAME?</v>
      </c>
      <c r="D241" s="1" t="e" cm="1">
        <f t="array" aca="1" ref="D241" ca="1">_xll.BDP("YN990658 Corp","DS458")</f>
        <v>#NAME?</v>
      </c>
      <c r="E241" s="1" t="e" cm="1">
        <f t="array" aca="1" ref="E241" ca="1">_xll.BDP("YN990658 Corp","DS004")</f>
        <v>#NAME?</v>
      </c>
      <c r="F241" s="1" t="e" cm="1">
        <f t="array" aca="1" ref="F241" ca="1">_xll.BDP("YN990658 Corp","DS035")</f>
        <v>#NAME?</v>
      </c>
      <c r="G241" s="1" t="e" cm="1">
        <f t="array" aca="1" ref="G241" ca="1">_xll.BDP("YN990658 Corp","DS086")</f>
        <v>#NAME?</v>
      </c>
      <c r="H241" s="1" t="e" cm="1">
        <f t="array" aca="1" ref="H241" ca="1">_xll.BDP("YN990658 Corp","DS034")</f>
        <v>#NAME?</v>
      </c>
      <c r="I241" s="1" t="e" cm="1">
        <f t="array" aca="1" ref="I241" ca="1">_xll.BDP("YN990658 Corp","DS033")</f>
        <v>#NAME?</v>
      </c>
      <c r="J241" s="7" t="e" cm="1">
        <f t="array" aca="1" ref="J241" ca="1">_xll.BDP("YN990658 Corp","YL018")</f>
        <v>#NAME?</v>
      </c>
      <c r="K241" s="7" t="e" cm="1">
        <f t="array" aca="1" ref="K241" ca="1">_xll.BDP("YN990658 Corp","YL016")</f>
        <v>#NAME?</v>
      </c>
      <c r="L241" s="7" t="e" cm="1">
        <f t="array" aca="1" ref="L241" ca="1">_xll.BDP("YN990658 Corp","PR004")</f>
        <v>#NAME?</v>
      </c>
      <c r="M241" s="7" t="e" cm="1">
        <f t="array" aca="1" ref="M241" ca="1">_xll.BDP("YN990658 Corp","PR002")</f>
        <v>#NAME?</v>
      </c>
      <c r="N241" s="1" t="e" cm="1">
        <f t="array" aca="1" ref="N241" ca="1">_xll.BDP("YN990658 Corp","ID028")</f>
        <v>#NAME?</v>
      </c>
      <c r="O241" s="1" t="e" cm="1">
        <f t="array" aca="1" ref="O241" ca="1">_xll.BDP("YN990658 Corp","ID005")</f>
        <v>#NAME?</v>
      </c>
      <c r="P241" s="1" t="e" cm="1">
        <f t="array" aca="1" ref="P241" ca="1">_xll.BDP(A241,"RA007")</f>
        <v>#NAME?</v>
      </c>
      <c r="Q241" s="1" t="e" cm="1">
        <f t="array" aca="1" ref="Q241" ca="1">_xll.BDP(A241,"DS219")</f>
        <v>#NAME?</v>
      </c>
      <c r="R241" s="3" t="e" cm="1">
        <f t="array" aca="1" ref="R241" ca="1">_xll.BDP(A241,"DS040")</f>
        <v>#NAME?</v>
      </c>
      <c r="S241" s="4" t="e">
        <f t="shared" ca="1" si="9"/>
        <v>#NAME?</v>
      </c>
      <c r="T241" s="7" t="e">
        <f t="shared" ca="1" si="10"/>
        <v>#NAME?</v>
      </c>
      <c r="U241" s="3" t="e">
        <f t="shared" ca="1" si="11"/>
        <v>#NAME?</v>
      </c>
    </row>
    <row r="242" spans="1:21" x14ac:dyDescent="0.35">
      <c r="A242" s="5" t="s">
        <v>301</v>
      </c>
      <c r="B242" s="1" t="e" cm="1">
        <f t="array" aca="1" ref="B242" ca="1">_xll.BDP("YO939740 Corp","DS520")</f>
        <v>#NAME?</v>
      </c>
      <c r="C242" s="1" t="e" cm="1">
        <f t="array" aca="1" ref="C242" ca="1">_xll.BDP("YO939740 Corp","DS001")</f>
        <v>#NAME?</v>
      </c>
      <c r="D242" s="1" t="e" cm="1">
        <f t="array" aca="1" ref="D242" ca="1">_xll.BDP("YO939740 Corp","DS458")</f>
        <v>#NAME?</v>
      </c>
      <c r="E242" s="1" t="e" cm="1">
        <f t="array" aca="1" ref="E242" ca="1">_xll.BDP("YO939740 Corp","DS004")</f>
        <v>#NAME?</v>
      </c>
      <c r="F242" s="1" t="e" cm="1">
        <f t="array" aca="1" ref="F242" ca="1">_xll.BDP("YO939740 Corp","DS035")</f>
        <v>#NAME?</v>
      </c>
      <c r="G242" s="1" t="e" cm="1">
        <f t="array" aca="1" ref="G242" ca="1">_xll.BDP("YO939740 Corp","DS086")</f>
        <v>#NAME?</v>
      </c>
      <c r="H242" s="1" t="e" cm="1">
        <f t="array" aca="1" ref="H242" ca="1">_xll.BDP("YO939740 Corp","DS034")</f>
        <v>#NAME?</v>
      </c>
      <c r="I242" s="1" t="e" cm="1">
        <f t="array" aca="1" ref="I242" ca="1">_xll.BDP("YO939740 Corp","DS033")</f>
        <v>#NAME?</v>
      </c>
      <c r="J242" s="7" t="e" cm="1">
        <f t="array" aca="1" ref="J242" ca="1">_xll.BDP("YO939740 Corp","YL018")</f>
        <v>#NAME?</v>
      </c>
      <c r="K242" s="7" t="e" cm="1">
        <f t="array" aca="1" ref="K242" ca="1">_xll.BDP("YO939740 Corp","YL016")</f>
        <v>#NAME?</v>
      </c>
      <c r="L242" s="7" t="e" cm="1">
        <f t="array" aca="1" ref="L242" ca="1">_xll.BDP("YO939740 Corp","PR004")</f>
        <v>#NAME?</v>
      </c>
      <c r="M242" s="7" t="e" cm="1">
        <f t="array" aca="1" ref="M242" ca="1">_xll.BDP("YO939740 Corp","PR002")</f>
        <v>#NAME?</v>
      </c>
      <c r="N242" s="1" t="e" cm="1">
        <f t="array" aca="1" ref="N242" ca="1">_xll.BDP("YO939740 Corp","ID028")</f>
        <v>#NAME?</v>
      </c>
      <c r="O242" s="1" t="e" cm="1">
        <f t="array" aca="1" ref="O242" ca="1">_xll.BDP("YO939740 Corp","ID005")</f>
        <v>#NAME?</v>
      </c>
      <c r="P242" s="1" t="e" cm="1">
        <f t="array" aca="1" ref="P242" ca="1">_xll.BDP(A242,"RA007")</f>
        <v>#NAME?</v>
      </c>
      <c r="Q242" s="1" t="e" cm="1">
        <f t="array" aca="1" ref="Q242" ca="1">_xll.BDP(A242,"DS219")</f>
        <v>#NAME?</v>
      </c>
      <c r="R242" s="3" t="e" cm="1">
        <f t="array" aca="1" ref="R242" ca="1">_xll.BDP(A242,"DS040")</f>
        <v>#NAME?</v>
      </c>
      <c r="S242" s="4" t="e">
        <f t="shared" ca="1" si="9"/>
        <v>#NAME?</v>
      </c>
      <c r="T242" s="7" t="e">
        <f t="shared" ca="1" si="10"/>
        <v>#NAME?</v>
      </c>
      <c r="U242" s="3" t="e">
        <f t="shared" ca="1" si="11"/>
        <v>#NAME?</v>
      </c>
    </row>
    <row r="243" spans="1:21" x14ac:dyDescent="0.35">
      <c r="A243" s="5" t="s">
        <v>302</v>
      </c>
      <c r="B243" s="1" t="e" cm="1">
        <f t="array" aca="1" ref="B243" ca="1">_xll.BDP("YP285159 Corp","DS520")</f>
        <v>#NAME?</v>
      </c>
      <c r="C243" s="1" t="e" cm="1">
        <f t="array" aca="1" ref="C243" ca="1">_xll.BDP("YP285159 Corp","DS001")</f>
        <v>#NAME?</v>
      </c>
      <c r="D243" s="1" t="e" cm="1">
        <f t="array" aca="1" ref="D243" ca="1">_xll.BDP("YP285159 Corp","DS458")</f>
        <v>#NAME?</v>
      </c>
      <c r="E243" s="1" t="e" cm="1">
        <f t="array" aca="1" ref="E243" ca="1">_xll.BDP("YP285159 Corp","DS004")</f>
        <v>#NAME?</v>
      </c>
      <c r="F243" s="1" t="e" cm="1">
        <f t="array" aca="1" ref="F243" ca="1">_xll.BDP("YP285159 Corp","DS035")</f>
        <v>#NAME?</v>
      </c>
      <c r="G243" s="1" t="e" cm="1">
        <f t="array" aca="1" ref="G243" ca="1">_xll.BDP("YP285159 Corp","DS086")</f>
        <v>#NAME?</v>
      </c>
      <c r="H243" s="1" t="e" cm="1">
        <f t="array" aca="1" ref="H243" ca="1">_xll.BDP("YP285159 Corp","DS034")</f>
        <v>#NAME?</v>
      </c>
      <c r="I243" s="1" t="e" cm="1">
        <f t="array" aca="1" ref="I243" ca="1">_xll.BDP("YP285159 Corp","DS033")</f>
        <v>#NAME?</v>
      </c>
      <c r="J243" s="7" t="e" cm="1">
        <f t="array" aca="1" ref="J243" ca="1">_xll.BDP("YP285159 Corp","YL018")</f>
        <v>#NAME?</v>
      </c>
      <c r="K243" s="7" t="e" cm="1">
        <f t="array" aca="1" ref="K243" ca="1">_xll.BDP("YP285159 Corp","YL016")</f>
        <v>#NAME?</v>
      </c>
      <c r="L243" s="7" t="e" cm="1">
        <f t="array" aca="1" ref="L243" ca="1">_xll.BDP("YP285159 Corp","PR004")</f>
        <v>#NAME?</v>
      </c>
      <c r="M243" s="7" t="e" cm="1">
        <f t="array" aca="1" ref="M243" ca="1">_xll.BDP("YP285159 Corp","PR002")</f>
        <v>#NAME?</v>
      </c>
      <c r="N243" s="1" t="e" cm="1">
        <f t="array" aca="1" ref="N243" ca="1">_xll.BDP("YP285159 Corp","ID028")</f>
        <v>#NAME?</v>
      </c>
      <c r="O243" s="1" t="e" cm="1">
        <f t="array" aca="1" ref="O243" ca="1">_xll.BDP("YP285159 Corp","ID005")</f>
        <v>#NAME?</v>
      </c>
      <c r="P243" s="1" t="e" cm="1">
        <f t="array" aca="1" ref="P243" ca="1">_xll.BDP(A243,"RA007")</f>
        <v>#NAME?</v>
      </c>
      <c r="Q243" s="1" t="e" cm="1">
        <f t="array" aca="1" ref="Q243" ca="1">_xll.BDP(A243,"DS219")</f>
        <v>#NAME?</v>
      </c>
      <c r="R243" s="3" t="e" cm="1">
        <f t="array" aca="1" ref="R243" ca="1">_xll.BDP(A243,"DS040")</f>
        <v>#NAME?</v>
      </c>
      <c r="S243" s="4" t="e">
        <f t="shared" ca="1" si="9"/>
        <v>#NAME?</v>
      </c>
      <c r="T243" s="7" t="e">
        <f t="shared" ca="1" si="10"/>
        <v>#NAME?</v>
      </c>
      <c r="U243" s="3" t="e">
        <f t="shared" ca="1" si="11"/>
        <v>#NAME?</v>
      </c>
    </row>
    <row r="244" spans="1:21" x14ac:dyDescent="0.35">
      <c r="A244" s="5" t="s">
        <v>303</v>
      </c>
      <c r="B244" s="1" t="e" cm="1">
        <f t="array" aca="1" ref="B244" ca="1">_xll.BDP("YP408001 Corp","DS520")</f>
        <v>#NAME?</v>
      </c>
      <c r="C244" s="1" t="e" cm="1">
        <f t="array" aca="1" ref="C244" ca="1">_xll.BDP("YP408001 Corp","DS001")</f>
        <v>#NAME?</v>
      </c>
      <c r="D244" s="1" t="e" cm="1">
        <f t="array" aca="1" ref="D244" ca="1">_xll.BDP("YP408001 Corp","DS458")</f>
        <v>#NAME?</v>
      </c>
      <c r="E244" s="1" t="e" cm="1">
        <f t="array" aca="1" ref="E244" ca="1">_xll.BDP("YP408001 Corp","DS004")</f>
        <v>#NAME?</v>
      </c>
      <c r="F244" s="1" t="e" cm="1">
        <f t="array" aca="1" ref="F244" ca="1">_xll.BDP("YP408001 Corp","DS035")</f>
        <v>#NAME?</v>
      </c>
      <c r="G244" s="1" t="e" cm="1">
        <f t="array" aca="1" ref="G244" ca="1">_xll.BDP("YP408001 Corp","DS086")</f>
        <v>#NAME?</v>
      </c>
      <c r="H244" s="1" t="e" cm="1">
        <f t="array" aca="1" ref="H244" ca="1">_xll.BDP("YP408001 Corp","DS034")</f>
        <v>#NAME?</v>
      </c>
      <c r="I244" s="1" t="e" cm="1">
        <f t="array" aca="1" ref="I244" ca="1">_xll.BDP("YP408001 Corp","DS033")</f>
        <v>#NAME?</v>
      </c>
      <c r="J244" s="7" t="e" cm="1">
        <f t="array" aca="1" ref="J244" ca="1">_xll.BDP("YP408001 Corp","YL018")</f>
        <v>#NAME?</v>
      </c>
      <c r="K244" s="7" t="e" cm="1">
        <f t="array" aca="1" ref="K244" ca="1">_xll.BDP("YP408001 Corp","YL016")</f>
        <v>#NAME?</v>
      </c>
      <c r="L244" s="7" t="e" cm="1">
        <f t="array" aca="1" ref="L244" ca="1">_xll.BDP("YP408001 Corp","PR004")</f>
        <v>#NAME?</v>
      </c>
      <c r="M244" s="7" t="e" cm="1">
        <f t="array" aca="1" ref="M244" ca="1">_xll.BDP("YP408001 Corp","PR002")</f>
        <v>#NAME?</v>
      </c>
      <c r="N244" s="1" t="e" cm="1">
        <f t="array" aca="1" ref="N244" ca="1">_xll.BDP("YP408001 Corp","ID028")</f>
        <v>#NAME?</v>
      </c>
      <c r="O244" s="1" t="e" cm="1">
        <f t="array" aca="1" ref="O244" ca="1">_xll.BDP("YP408001 Corp","ID005")</f>
        <v>#NAME?</v>
      </c>
      <c r="P244" s="1" t="e" cm="1">
        <f t="array" aca="1" ref="P244" ca="1">_xll.BDP(A244,"RA007")</f>
        <v>#NAME?</v>
      </c>
      <c r="Q244" s="1" t="e" cm="1">
        <f t="array" aca="1" ref="Q244" ca="1">_xll.BDP(A244,"DS219")</f>
        <v>#NAME?</v>
      </c>
      <c r="R244" s="3" t="e" cm="1">
        <f t="array" aca="1" ref="R244" ca="1">_xll.BDP(A244,"DS040")</f>
        <v>#NAME?</v>
      </c>
      <c r="S244" s="4" t="e">
        <f t="shared" ca="1" si="9"/>
        <v>#NAME?</v>
      </c>
      <c r="T244" s="7" t="e">
        <f t="shared" ca="1" si="10"/>
        <v>#NAME?</v>
      </c>
      <c r="U244" s="3" t="e">
        <f t="shared" ca="1" si="11"/>
        <v>#NAME?</v>
      </c>
    </row>
    <row r="245" spans="1:21" x14ac:dyDescent="0.35">
      <c r="A245" s="5" t="s">
        <v>304</v>
      </c>
      <c r="B245" s="1" t="e" cm="1">
        <f t="array" aca="1" ref="B245" ca="1">_xll.BDP("YP620021 Corp","DS520")</f>
        <v>#NAME?</v>
      </c>
      <c r="C245" s="1" t="e" cm="1">
        <f t="array" aca="1" ref="C245" ca="1">_xll.BDP("YP620021 Corp","DS001")</f>
        <v>#NAME?</v>
      </c>
      <c r="D245" s="1" t="e" cm="1">
        <f t="array" aca="1" ref="D245" ca="1">_xll.BDP("YP620021 Corp","DS458")</f>
        <v>#NAME?</v>
      </c>
      <c r="E245" s="1" t="e" cm="1">
        <f t="array" aca="1" ref="E245" ca="1">_xll.BDP("YP620021 Corp","DS004")</f>
        <v>#NAME?</v>
      </c>
      <c r="F245" s="1" t="e" cm="1">
        <f t="array" aca="1" ref="F245" ca="1">_xll.BDP("YP620021 Corp","DS035")</f>
        <v>#NAME?</v>
      </c>
      <c r="G245" s="1" t="e" cm="1">
        <f t="array" aca="1" ref="G245" ca="1">_xll.BDP("YP620021 Corp","DS086")</f>
        <v>#NAME?</v>
      </c>
      <c r="H245" s="1" t="e" cm="1">
        <f t="array" aca="1" ref="H245" ca="1">_xll.BDP("YP620021 Corp","DS034")</f>
        <v>#NAME?</v>
      </c>
      <c r="I245" s="1" t="e" cm="1">
        <f t="array" aca="1" ref="I245" ca="1">_xll.BDP("YP620021 Corp","DS033")</f>
        <v>#NAME?</v>
      </c>
      <c r="J245" s="7" t="e" cm="1">
        <f t="array" aca="1" ref="J245" ca="1">_xll.BDP("YP620021 Corp","YL018")</f>
        <v>#NAME?</v>
      </c>
      <c r="K245" s="7" t="e" cm="1">
        <f t="array" aca="1" ref="K245" ca="1">_xll.BDP("YP620021 Corp","YL016")</f>
        <v>#NAME?</v>
      </c>
      <c r="L245" s="7" t="e" cm="1">
        <f t="array" aca="1" ref="L245" ca="1">_xll.BDP("YP620021 Corp","PR004")</f>
        <v>#NAME?</v>
      </c>
      <c r="M245" s="7" t="e" cm="1">
        <f t="array" aca="1" ref="M245" ca="1">_xll.BDP("YP620021 Corp","PR002")</f>
        <v>#NAME?</v>
      </c>
      <c r="N245" s="1" t="e" cm="1">
        <f t="array" aca="1" ref="N245" ca="1">_xll.BDP("YP620021 Corp","ID028")</f>
        <v>#NAME?</v>
      </c>
      <c r="O245" s="1" t="e" cm="1">
        <f t="array" aca="1" ref="O245" ca="1">_xll.BDP("YP620021 Corp","ID005")</f>
        <v>#NAME?</v>
      </c>
      <c r="P245" s="1" t="e" cm="1">
        <f t="array" aca="1" ref="P245" ca="1">_xll.BDP(A245,"RA007")</f>
        <v>#NAME?</v>
      </c>
      <c r="Q245" s="1" t="e" cm="1">
        <f t="array" aca="1" ref="Q245" ca="1">_xll.BDP(A245,"DS219")</f>
        <v>#NAME?</v>
      </c>
      <c r="R245" s="3" t="e" cm="1">
        <f t="array" aca="1" ref="R245" ca="1">_xll.BDP(A245,"DS040")</f>
        <v>#NAME?</v>
      </c>
      <c r="S245" s="4" t="e">
        <f t="shared" ca="1" si="9"/>
        <v>#NAME?</v>
      </c>
      <c r="T245" s="7" t="e">
        <f t="shared" ca="1" si="10"/>
        <v>#NAME?</v>
      </c>
      <c r="U245" s="3" t="e">
        <f t="shared" ca="1" si="11"/>
        <v>#NAME?</v>
      </c>
    </row>
    <row r="246" spans="1:21" x14ac:dyDescent="0.35">
      <c r="A246" s="5" t="s">
        <v>305</v>
      </c>
      <c r="B246" s="1" t="e" cm="1">
        <f t="array" aca="1" ref="B246" ca="1">_xll.BDP("YP920263 Corp","DS520")</f>
        <v>#NAME?</v>
      </c>
      <c r="C246" s="1" t="e" cm="1">
        <f t="array" aca="1" ref="C246" ca="1">_xll.BDP("YP920263 Corp","DS001")</f>
        <v>#NAME?</v>
      </c>
      <c r="D246" s="1" t="e" cm="1">
        <f t="array" aca="1" ref="D246" ca="1">_xll.BDP("YP920263 Corp","DS458")</f>
        <v>#NAME?</v>
      </c>
      <c r="E246" s="1" t="e" cm="1">
        <f t="array" aca="1" ref="E246" ca="1">_xll.BDP("YP920263 Corp","DS004")</f>
        <v>#NAME?</v>
      </c>
      <c r="F246" s="1" t="e" cm="1">
        <f t="array" aca="1" ref="F246" ca="1">_xll.BDP("YP920263 Corp","DS035")</f>
        <v>#NAME?</v>
      </c>
      <c r="G246" s="1" t="e" cm="1">
        <f t="array" aca="1" ref="G246" ca="1">_xll.BDP("YP920263 Corp","DS086")</f>
        <v>#NAME?</v>
      </c>
      <c r="H246" s="1" t="e" cm="1">
        <f t="array" aca="1" ref="H246" ca="1">_xll.BDP("YP920263 Corp","DS034")</f>
        <v>#NAME?</v>
      </c>
      <c r="I246" s="1" t="e" cm="1">
        <f t="array" aca="1" ref="I246" ca="1">_xll.BDP("YP920263 Corp","DS033")</f>
        <v>#NAME?</v>
      </c>
      <c r="J246" s="7" t="e" cm="1">
        <f t="array" aca="1" ref="J246" ca="1">_xll.BDP("YP920263 Corp","YL018")</f>
        <v>#NAME?</v>
      </c>
      <c r="K246" s="7" t="e" cm="1">
        <f t="array" aca="1" ref="K246" ca="1">_xll.BDP("YP920263 Corp","YL016")</f>
        <v>#NAME?</v>
      </c>
      <c r="L246" s="7" t="e" cm="1">
        <f t="array" aca="1" ref="L246" ca="1">_xll.BDP("YP920263 Corp","PR004")</f>
        <v>#NAME?</v>
      </c>
      <c r="M246" s="7" t="e" cm="1">
        <f t="array" aca="1" ref="M246" ca="1">_xll.BDP("YP920263 Corp","PR002")</f>
        <v>#NAME?</v>
      </c>
      <c r="N246" s="1" t="e" cm="1">
        <f t="array" aca="1" ref="N246" ca="1">_xll.BDP("YP920263 Corp","ID028")</f>
        <v>#NAME?</v>
      </c>
      <c r="O246" s="1" t="e" cm="1">
        <f t="array" aca="1" ref="O246" ca="1">_xll.BDP("YP920263 Corp","ID005")</f>
        <v>#NAME?</v>
      </c>
      <c r="P246" s="1" t="e" cm="1">
        <f t="array" aca="1" ref="P246" ca="1">_xll.BDP(A246,"RA007")</f>
        <v>#NAME?</v>
      </c>
      <c r="Q246" s="1" t="e" cm="1">
        <f t="array" aca="1" ref="Q246" ca="1">_xll.BDP(A246,"DS219")</f>
        <v>#NAME?</v>
      </c>
      <c r="R246" s="3" t="e" cm="1">
        <f t="array" aca="1" ref="R246" ca="1">_xll.BDP(A246,"DS040")</f>
        <v>#NAME?</v>
      </c>
      <c r="S246" s="4" t="e">
        <f t="shared" ca="1" si="9"/>
        <v>#NAME?</v>
      </c>
      <c r="T246" s="7" t="e">
        <f t="shared" ca="1" si="10"/>
        <v>#NAME?</v>
      </c>
      <c r="U246" s="3" t="e">
        <f t="shared" ca="1" si="11"/>
        <v>#NAME?</v>
      </c>
    </row>
    <row r="247" spans="1:21" x14ac:dyDescent="0.35">
      <c r="A247" s="5" t="s">
        <v>306</v>
      </c>
      <c r="B247" s="1" t="e" cm="1">
        <f t="array" aca="1" ref="B247" ca="1">_xll.BDP("YQ248343 Corp","DS520")</f>
        <v>#NAME?</v>
      </c>
      <c r="C247" s="1" t="e" cm="1">
        <f t="array" aca="1" ref="C247" ca="1">_xll.BDP("YQ248343 Corp","DS001")</f>
        <v>#NAME?</v>
      </c>
      <c r="D247" s="1" t="e" cm="1">
        <f t="array" aca="1" ref="D247" ca="1">_xll.BDP("YQ248343 Corp","DS458")</f>
        <v>#NAME?</v>
      </c>
      <c r="E247" s="1" t="e" cm="1">
        <f t="array" aca="1" ref="E247" ca="1">_xll.BDP("YQ248343 Corp","DS004")</f>
        <v>#NAME?</v>
      </c>
      <c r="F247" s="1" t="e" cm="1">
        <f t="array" aca="1" ref="F247" ca="1">_xll.BDP("YQ248343 Corp","DS035")</f>
        <v>#NAME?</v>
      </c>
      <c r="G247" s="1" t="e" cm="1">
        <f t="array" aca="1" ref="G247" ca="1">_xll.BDP("YQ248343 Corp","DS086")</f>
        <v>#NAME?</v>
      </c>
      <c r="H247" s="1" t="e" cm="1">
        <f t="array" aca="1" ref="H247" ca="1">_xll.BDP("YQ248343 Corp","DS034")</f>
        <v>#NAME?</v>
      </c>
      <c r="I247" s="1" t="e" cm="1">
        <f t="array" aca="1" ref="I247" ca="1">_xll.BDP("YQ248343 Corp","DS033")</f>
        <v>#NAME?</v>
      </c>
      <c r="J247" s="7" t="e" cm="1">
        <f t="array" aca="1" ref="J247" ca="1">_xll.BDP("YQ248343 Corp","YL018")</f>
        <v>#NAME?</v>
      </c>
      <c r="K247" s="7" t="e" cm="1">
        <f t="array" aca="1" ref="K247" ca="1">_xll.BDP("YQ248343 Corp","YL016")</f>
        <v>#NAME?</v>
      </c>
      <c r="L247" s="7" t="e" cm="1">
        <f t="array" aca="1" ref="L247" ca="1">_xll.BDP("YQ248343 Corp","PR004")</f>
        <v>#NAME?</v>
      </c>
      <c r="M247" s="7" t="e" cm="1">
        <f t="array" aca="1" ref="M247" ca="1">_xll.BDP("YQ248343 Corp","PR002")</f>
        <v>#NAME?</v>
      </c>
      <c r="N247" s="1" t="e" cm="1">
        <f t="array" aca="1" ref="N247" ca="1">_xll.BDP("YQ248343 Corp","ID028")</f>
        <v>#NAME?</v>
      </c>
      <c r="O247" s="1" t="e" cm="1">
        <f t="array" aca="1" ref="O247" ca="1">_xll.BDP("YQ248343 Corp","ID005")</f>
        <v>#NAME?</v>
      </c>
      <c r="P247" s="1" t="e" cm="1">
        <f t="array" aca="1" ref="P247" ca="1">_xll.BDP(A247,"RA007")</f>
        <v>#NAME?</v>
      </c>
      <c r="Q247" s="1" t="e" cm="1">
        <f t="array" aca="1" ref="Q247" ca="1">_xll.BDP(A247,"DS219")</f>
        <v>#NAME?</v>
      </c>
      <c r="R247" s="3" t="e" cm="1">
        <f t="array" aca="1" ref="R247" ca="1">_xll.BDP(A247,"DS040")</f>
        <v>#NAME?</v>
      </c>
      <c r="S247" s="4" t="e">
        <f t="shared" ca="1" si="9"/>
        <v>#NAME?</v>
      </c>
      <c r="T247" s="7" t="e">
        <f t="shared" ca="1" si="10"/>
        <v>#NAME?</v>
      </c>
      <c r="U247" s="3" t="e">
        <f t="shared" ca="1" si="11"/>
        <v>#NAME?</v>
      </c>
    </row>
    <row r="248" spans="1:21" x14ac:dyDescent="0.35">
      <c r="A248" s="5" t="s">
        <v>307</v>
      </c>
      <c r="B248" s="1" t="e" cm="1">
        <f t="array" aca="1" ref="B248" ca="1">_xll.BDP("YQ865312 Corp","DS520")</f>
        <v>#NAME?</v>
      </c>
      <c r="C248" s="1" t="e" cm="1">
        <f t="array" aca="1" ref="C248" ca="1">_xll.BDP("YQ865312 Corp","DS001")</f>
        <v>#NAME?</v>
      </c>
      <c r="D248" s="1" t="e" cm="1">
        <f t="array" aca="1" ref="D248" ca="1">_xll.BDP("YQ865312 Corp","DS458")</f>
        <v>#NAME?</v>
      </c>
      <c r="E248" s="1" t="e" cm="1">
        <f t="array" aca="1" ref="E248" ca="1">_xll.BDP("YQ865312 Corp","DS004")</f>
        <v>#NAME?</v>
      </c>
      <c r="F248" s="1" t="e" cm="1">
        <f t="array" aca="1" ref="F248" ca="1">_xll.BDP("YQ865312 Corp","DS035")</f>
        <v>#NAME?</v>
      </c>
      <c r="G248" s="1" t="e" cm="1">
        <f t="array" aca="1" ref="G248" ca="1">_xll.BDP("YQ865312 Corp","DS086")</f>
        <v>#NAME?</v>
      </c>
      <c r="H248" s="1" t="e" cm="1">
        <f t="array" aca="1" ref="H248" ca="1">_xll.BDP("YQ865312 Corp","DS034")</f>
        <v>#NAME?</v>
      </c>
      <c r="I248" s="1" t="e" cm="1">
        <f t="array" aca="1" ref="I248" ca="1">_xll.BDP("YQ865312 Corp","DS033")</f>
        <v>#NAME?</v>
      </c>
      <c r="J248" s="7" t="e" cm="1">
        <f t="array" aca="1" ref="J248" ca="1">_xll.BDP("YQ865312 Corp","YL018")</f>
        <v>#NAME?</v>
      </c>
      <c r="K248" s="7" t="e" cm="1">
        <f t="array" aca="1" ref="K248" ca="1">_xll.BDP("YQ865312 Corp","YL016")</f>
        <v>#NAME?</v>
      </c>
      <c r="L248" s="7" t="e" cm="1">
        <f t="array" aca="1" ref="L248" ca="1">_xll.BDP("YQ865312 Corp","PR004")</f>
        <v>#NAME?</v>
      </c>
      <c r="M248" s="7" t="e" cm="1">
        <f t="array" aca="1" ref="M248" ca="1">_xll.BDP("YQ865312 Corp","PR002")</f>
        <v>#NAME?</v>
      </c>
      <c r="N248" s="1" t="e" cm="1">
        <f t="array" aca="1" ref="N248" ca="1">_xll.BDP("YQ865312 Corp","ID028")</f>
        <v>#NAME?</v>
      </c>
      <c r="O248" s="1" t="e" cm="1">
        <f t="array" aca="1" ref="O248" ca="1">_xll.BDP("YQ865312 Corp","ID005")</f>
        <v>#NAME?</v>
      </c>
      <c r="P248" s="1" t="e" cm="1">
        <f t="array" aca="1" ref="P248" ca="1">_xll.BDP(A248,"RA007")</f>
        <v>#NAME?</v>
      </c>
      <c r="Q248" s="1" t="e" cm="1">
        <f t="array" aca="1" ref="Q248" ca="1">_xll.BDP(A248,"DS219")</f>
        <v>#NAME?</v>
      </c>
      <c r="R248" s="3" t="e" cm="1">
        <f t="array" aca="1" ref="R248" ca="1">_xll.BDP(A248,"DS040")</f>
        <v>#NAME?</v>
      </c>
      <c r="S248" s="4" t="e">
        <f t="shared" ca="1" si="9"/>
        <v>#NAME?</v>
      </c>
      <c r="T248" s="7" t="e">
        <f t="shared" ca="1" si="10"/>
        <v>#NAME?</v>
      </c>
      <c r="U248" s="3" t="e">
        <f t="shared" ca="1" si="11"/>
        <v>#NAME?</v>
      </c>
    </row>
    <row r="249" spans="1:21" x14ac:dyDescent="0.35">
      <c r="A249" s="5" t="s">
        <v>308</v>
      </c>
      <c r="B249" s="1" t="e" cm="1">
        <f t="array" aca="1" ref="B249" ca="1">_xll.BDP("YQ993424 Corp","DS520")</f>
        <v>#NAME?</v>
      </c>
      <c r="C249" s="1" t="e" cm="1">
        <f t="array" aca="1" ref="C249" ca="1">_xll.BDP("YQ993424 Corp","DS001")</f>
        <v>#NAME?</v>
      </c>
      <c r="D249" s="1" t="e" cm="1">
        <f t="array" aca="1" ref="D249" ca="1">_xll.BDP("YQ993424 Corp","DS458")</f>
        <v>#NAME?</v>
      </c>
      <c r="E249" s="1" t="e" cm="1">
        <f t="array" aca="1" ref="E249" ca="1">_xll.BDP("YQ993424 Corp","DS004")</f>
        <v>#NAME?</v>
      </c>
      <c r="F249" s="1" t="e" cm="1">
        <f t="array" aca="1" ref="F249" ca="1">_xll.BDP("YQ993424 Corp","DS035")</f>
        <v>#NAME?</v>
      </c>
      <c r="G249" s="1" t="e" cm="1">
        <f t="array" aca="1" ref="G249" ca="1">_xll.BDP("YQ993424 Corp","DS086")</f>
        <v>#NAME?</v>
      </c>
      <c r="H249" s="1" t="e" cm="1">
        <f t="array" aca="1" ref="H249" ca="1">_xll.BDP("YQ993424 Corp","DS034")</f>
        <v>#NAME?</v>
      </c>
      <c r="I249" s="1" t="e" cm="1">
        <f t="array" aca="1" ref="I249" ca="1">_xll.BDP("YQ993424 Corp","DS033")</f>
        <v>#NAME?</v>
      </c>
      <c r="J249" s="7" t="e" cm="1">
        <f t="array" aca="1" ref="J249" ca="1">_xll.BDP("YQ993424 Corp","YL018")</f>
        <v>#NAME?</v>
      </c>
      <c r="K249" s="7" t="e" cm="1">
        <f t="array" aca="1" ref="K249" ca="1">_xll.BDP("YQ993424 Corp","YL016")</f>
        <v>#NAME?</v>
      </c>
      <c r="L249" s="7" t="e" cm="1">
        <f t="array" aca="1" ref="L249" ca="1">_xll.BDP("YQ993424 Corp","PR004")</f>
        <v>#NAME?</v>
      </c>
      <c r="M249" s="7" t="e" cm="1">
        <f t="array" aca="1" ref="M249" ca="1">_xll.BDP("YQ993424 Corp","PR002")</f>
        <v>#NAME?</v>
      </c>
      <c r="N249" s="1" t="e" cm="1">
        <f t="array" aca="1" ref="N249" ca="1">_xll.BDP("YQ993424 Corp","ID028")</f>
        <v>#NAME?</v>
      </c>
      <c r="O249" s="1" t="e" cm="1">
        <f t="array" aca="1" ref="O249" ca="1">_xll.BDP("YQ993424 Corp","ID005")</f>
        <v>#NAME?</v>
      </c>
      <c r="P249" s="1" t="e" cm="1">
        <f t="array" aca="1" ref="P249" ca="1">_xll.BDP(A249,"RA007")</f>
        <v>#NAME?</v>
      </c>
      <c r="Q249" s="1" t="e" cm="1">
        <f t="array" aca="1" ref="Q249" ca="1">_xll.BDP(A249,"DS219")</f>
        <v>#NAME?</v>
      </c>
      <c r="R249" s="3" t="e" cm="1">
        <f t="array" aca="1" ref="R249" ca="1">_xll.BDP(A249,"DS040")</f>
        <v>#NAME?</v>
      </c>
      <c r="S249" s="4" t="e">
        <f t="shared" ca="1" si="9"/>
        <v>#NAME?</v>
      </c>
      <c r="T249" s="7" t="e">
        <f t="shared" ca="1" si="10"/>
        <v>#NAME?</v>
      </c>
      <c r="U249" s="3" t="e">
        <f t="shared" ca="1" si="11"/>
        <v>#NAME?</v>
      </c>
    </row>
    <row r="250" spans="1:21" x14ac:dyDescent="0.35">
      <c r="A250" s="5" t="s">
        <v>309</v>
      </c>
      <c r="B250" s="1" t="e" cm="1">
        <f t="array" aca="1" ref="B250" ca="1">_xll.BDP("YR145899 Corp","DS520")</f>
        <v>#NAME?</v>
      </c>
      <c r="C250" s="1" t="e" cm="1">
        <f t="array" aca="1" ref="C250" ca="1">_xll.BDP("YR145899 Corp","DS001")</f>
        <v>#NAME?</v>
      </c>
      <c r="D250" s="1" t="e" cm="1">
        <f t="array" aca="1" ref="D250" ca="1">_xll.BDP("YR145899 Corp","DS458")</f>
        <v>#NAME?</v>
      </c>
      <c r="E250" s="1" t="e" cm="1">
        <f t="array" aca="1" ref="E250" ca="1">_xll.BDP("YR145899 Corp","DS004")</f>
        <v>#NAME?</v>
      </c>
      <c r="F250" s="1" t="e" cm="1">
        <f t="array" aca="1" ref="F250" ca="1">_xll.BDP("YR145899 Corp","DS035")</f>
        <v>#NAME?</v>
      </c>
      <c r="G250" s="1" t="e" cm="1">
        <f t="array" aca="1" ref="G250" ca="1">_xll.BDP("YR145899 Corp","DS086")</f>
        <v>#NAME?</v>
      </c>
      <c r="H250" s="1" t="e" cm="1">
        <f t="array" aca="1" ref="H250" ca="1">_xll.BDP("YR145899 Corp","DS034")</f>
        <v>#NAME?</v>
      </c>
      <c r="I250" s="1" t="e" cm="1">
        <f t="array" aca="1" ref="I250" ca="1">_xll.BDP("YR145899 Corp","DS033")</f>
        <v>#NAME?</v>
      </c>
      <c r="J250" s="7" t="e" cm="1">
        <f t="array" aca="1" ref="J250" ca="1">_xll.BDP("YR145899 Corp","YL018")</f>
        <v>#NAME?</v>
      </c>
      <c r="K250" s="7" t="e" cm="1">
        <f t="array" aca="1" ref="K250" ca="1">_xll.BDP("YR145899 Corp","YL016")</f>
        <v>#NAME?</v>
      </c>
      <c r="L250" s="7" t="e" cm="1">
        <f t="array" aca="1" ref="L250" ca="1">_xll.BDP("YR145899 Corp","PR004")</f>
        <v>#NAME?</v>
      </c>
      <c r="M250" s="7" t="e" cm="1">
        <f t="array" aca="1" ref="M250" ca="1">_xll.BDP("YR145899 Corp","PR002")</f>
        <v>#NAME?</v>
      </c>
      <c r="N250" s="1" t="e" cm="1">
        <f t="array" aca="1" ref="N250" ca="1">_xll.BDP("YR145899 Corp","ID028")</f>
        <v>#NAME?</v>
      </c>
      <c r="O250" s="1" t="e" cm="1">
        <f t="array" aca="1" ref="O250" ca="1">_xll.BDP("YR145899 Corp","ID005")</f>
        <v>#NAME?</v>
      </c>
      <c r="P250" s="1" t="e" cm="1">
        <f t="array" aca="1" ref="P250" ca="1">_xll.BDP(A250,"RA007")</f>
        <v>#NAME?</v>
      </c>
      <c r="Q250" s="1" t="e" cm="1">
        <f t="array" aca="1" ref="Q250" ca="1">_xll.BDP(A250,"DS219")</f>
        <v>#NAME?</v>
      </c>
      <c r="R250" s="3" t="e" cm="1">
        <f t="array" aca="1" ref="R250" ca="1">_xll.BDP(A250,"DS040")</f>
        <v>#NAME?</v>
      </c>
      <c r="S250" s="4" t="e">
        <f t="shared" ca="1" si="9"/>
        <v>#NAME?</v>
      </c>
      <c r="T250" s="7" t="e">
        <f t="shared" ca="1" si="10"/>
        <v>#NAME?</v>
      </c>
      <c r="U250" s="3" t="e">
        <f t="shared" ca="1" si="11"/>
        <v>#NAME?</v>
      </c>
    </row>
    <row r="251" spans="1:21" x14ac:dyDescent="0.35">
      <c r="A251" s="5" t="s">
        <v>310</v>
      </c>
      <c r="B251" s="1" t="e" cm="1">
        <f t="array" aca="1" ref="B251" ca="1">_xll.BDP("YR543118 Corp","DS520")</f>
        <v>#NAME?</v>
      </c>
      <c r="C251" s="1" t="e" cm="1">
        <f t="array" aca="1" ref="C251" ca="1">_xll.BDP("YR543118 Corp","DS001")</f>
        <v>#NAME?</v>
      </c>
      <c r="D251" s="1" t="e" cm="1">
        <f t="array" aca="1" ref="D251" ca="1">_xll.BDP("YR543118 Corp","DS458")</f>
        <v>#NAME?</v>
      </c>
      <c r="E251" s="1" t="e" cm="1">
        <f t="array" aca="1" ref="E251" ca="1">_xll.BDP("YR543118 Corp","DS004")</f>
        <v>#NAME?</v>
      </c>
      <c r="F251" s="1" t="e" cm="1">
        <f t="array" aca="1" ref="F251" ca="1">_xll.BDP("YR543118 Corp","DS035")</f>
        <v>#NAME?</v>
      </c>
      <c r="G251" s="1" t="e" cm="1">
        <f t="array" aca="1" ref="G251" ca="1">_xll.BDP("YR543118 Corp","DS086")</f>
        <v>#NAME?</v>
      </c>
      <c r="H251" s="1" t="e" cm="1">
        <f t="array" aca="1" ref="H251" ca="1">_xll.BDP("YR543118 Corp","DS034")</f>
        <v>#NAME?</v>
      </c>
      <c r="I251" s="1" t="e" cm="1">
        <f t="array" aca="1" ref="I251" ca="1">_xll.BDP("YR543118 Corp","DS033")</f>
        <v>#NAME?</v>
      </c>
      <c r="J251" s="7" t="e" cm="1">
        <f t="array" aca="1" ref="J251" ca="1">_xll.BDP("YR543118 Corp","YL018")</f>
        <v>#NAME?</v>
      </c>
      <c r="K251" s="7" t="e" cm="1">
        <f t="array" aca="1" ref="K251" ca="1">_xll.BDP("YR543118 Corp","YL016")</f>
        <v>#NAME?</v>
      </c>
      <c r="L251" s="7" t="e" cm="1">
        <f t="array" aca="1" ref="L251" ca="1">_xll.BDP("YR543118 Corp","PR004")</f>
        <v>#NAME?</v>
      </c>
      <c r="M251" s="7" t="e" cm="1">
        <f t="array" aca="1" ref="M251" ca="1">_xll.BDP("YR543118 Corp","PR002")</f>
        <v>#NAME?</v>
      </c>
      <c r="N251" s="1" t="e" cm="1">
        <f t="array" aca="1" ref="N251" ca="1">_xll.BDP("YR543118 Corp","ID028")</f>
        <v>#NAME?</v>
      </c>
      <c r="O251" s="1" t="e" cm="1">
        <f t="array" aca="1" ref="O251" ca="1">_xll.BDP("YR543118 Corp","ID005")</f>
        <v>#NAME?</v>
      </c>
      <c r="P251" s="1" t="e" cm="1">
        <f t="array" aca="1" ref="P251" ca="1">_xll.BDP(A251,"RA007")</f>
        <v>#NAME?</v>
      </c>
      <c r="Q251" s="1" t="e" cm="1">
        <f t="array" aca="1" ref="Q251" ca="1">_xll.BDP(A251,"DS219")</f>
        <v>#NAME?</v>
      </c>
      <c r="R251" s="3" t="e" cm="1">
        <f t="array" aca="1" ref="R251" ca="1">_xll.BDP(A251,"DS040")</f>
        <v>#NAME?</v>
      </c>
      <c r="S251" s="4" t="e">
        <f t="shared" ca="1" si="9"/>
        <v>#NAME?</v>
      </c>
      <c r="T251" s="7" t="e">
        <f t="shared" ca="1" si="10"/>
        <v>#NAME?</v>
      </c>
      <c r="U251" s="3" t="e">
        <f t="shared" ca="1" si="11"/>
        <v>#NAME?</v>
      </c>
    </row>
    <row r="252" spans="1:21" x14ac:dyDescent="0.35">
      <c r="A252" s="5" t="s">
        <v>311</v>
      </c>
      <c r="B252" s="1" t="e" cm="1">
        <f t="array" aca="1" ref="B252" ca="1">_xll.BDP("YR907955 Corp","DS520")</f>
        <v>#NAME?</v>
      </c>
      <c r="C252" s="1" t="e" cm="1">
        <f t="array" aca="1" ref="C252" ca="1">_xll.BDP("YR907955 Corp","DS001")</f>
        <v>#NAME?</v>
      </c>
      <c r="D252" s="1" t="e" cm="1">
        <f t="array" aca="1" ref="D252" ca="1">_xll.BDP("YR907955 Corp","DS458")</f>
        <v>#NAME?</v>
      </c>
      <c r="E252" s="1" t="e" cm="1">
        <f t="array" aca="1" ref="E252" ca="1">_xll.BDP("YR907955 Corp","DS004")</f>
        <v>#NAME?</v>
      </c>
      <c r="F252" s="1" t="e" cm="1">
        <f t="array" aca="1" ref="F252" ca="1">_xll.BDP("YR907955 Corp","DS035")</f>
        <v>#NAME?</v>
      </c>
      <c r="G252" s="1" t="e" cm="1">
        <f t="array" aca="1" ref="G252" ca="1">_xll.BDP("YR907955 Corp","DS086")</f>
        <v>#NAME?</v>
      </c>
      <c r="H252" s="1" t="e" cm="1">
        <f t="array" aca="1" ref="H252" ca="1">_xll.BDP("YR907955 Corp","DS034")</f>
        <v>#NAME?</v>
      </c>
      <c r="I252" s="1" t="e" cm="1">
        <f t="array" aca="1" ref="I252" ca="1">_xll.BDP("YR907955 Corp","DS033")</f>
        <v>#NAME?</v>
      </c>
      <c r="J252" s="7" t="e" cm="1">
        <f t="array" aca="1" ref="J252" ca="1">_xll.BDP("YR907955 Corp","YL018")</f>
        <v>#NAME?</v>
      </c>
      <c r="K252" s="7" t="e" cm="1">
        <f t="array" aca="1" ref="K252" ca="1">_xll.BDP("YR907955 Corp","YL016")</f>
        <v>#NAME?</v>
      </c>
      <c r="L252" s="7" t="e" cm="1">
        <f t="array" aca="1" ref="L252" ca="1">_xll.BDP("YR907955 Corp","PR004")</f>
        <v>#NAME?</v>
      </c>
      <c r="M252" s="7" t="e" cm="1">
        <f t="array" aca="1" ref="M252" ca="1">_xll.BDP("YR907955 Corp","PR002")</f>
        <v>#NAME?</v>
      </c>
      <c r="N252" s="1" t="e" cm="1">
        <f t="array" aca="1" ref="N252" ca="1">_xll.BDP("YR907955 Corp","ID028")</f>
        <v>#NAME?</v>
      </c>
      <c r="O252" s="1" t="e" cm="1">
        <f t="array" aca="1" ref="O252" ca="1">_xll.BDP("YR907955 Corp","ID005")</f>
        <v>#NAME?</v>
      </c>
      <c r="P252" s="1" t="e" cm="1">
        <f t="array" aca="1" ref="P252" ca="1">_xll.BDP(A252,"RA007")</f>
        <v>#NAME?</v>
      </c>
      <c r="Q252" s="1" t="e" cm="1">
        <f t="array" aca="1" ref="Q252" ca="1">_xll.BDP(A252,"DS219")</f>
        <v>#NAME?</v>
      </c>
      <c r="R252" s="3" t="e" cm="1">
        <f t="array" aca="1" ref="R252" ca="1">_xll.BDP(A252,"DS040")</f>
        <v>#NAME?</v>
      </c>
      <c r="S252" s="4" t="e">
        <f t="shared" ca="1" si="9"/>
        <v>#NAME?</v>
      </c>
      <c r="T252" s="7" t="e">
        <f t="shared" ca="1" si="10"/>
        <v>#NAME?</v>
      </c>
      <c r="U252" s="3" t="e">
        <f t="shared" ca="1" si="11"/>
        <v>#NAME?</v>
      </c>
    </row>
    <row r="253" spans="1:21" x14ac:dyDescent="0.35">
      <c r="A253" s="5" t="s">
        <v>312</v>
      </c>
      <c r="B253" s="1" t="e" cm="1">
        <f t="array" aca="1" ref="B253" ca="1">_xll.BDP("YS259033 Corp","DS520")</f>
        <v>#NAME?</v>
      </c>
      <c r="C253" s="1" t="e" cm="1">
        <f t="array" aca="1" ref="C253" ca="1">_xll.BDP("YS259033 Corp","DS001")</f>
        <v>#NAME?</v>
      </c>
      <c r="D253" s="1" t="e" cm="1">
        <f t="array" aca="1" ref="D253" ca="1">_xll.BDP("YS259033 Corp","DS458")</f>
        <v>#NAME?</v>
      </c>
      <c r="E253" s="1" t="e" cm="1">
        <f t="array" aca="1" ref="E253" ca="1">_xll.BDP("YS259033 Corp","DS004")</f>
        <v>#NAME?</v>
      </c>
      <c r="F253" s="1" t="e" cm="1">
        <f t="array" aca="1" ref="F253" ca="1">_xll.BDP("YS259033 Corp","DS035")</f>
        <v>#NAME?</v>
      </c>
      <c r="G253" s="1" t="e" cm="1">
        <f t="array" aca="1" ref="G253" ca="1">_xll.BDP("YS259033 Corp","DS086")</f>
        <v>#NAME?</v>
      </c>
      <c r="H253" s="1" t="e" cm="1">
        <f t="array" aca="1" ref="H253" ca="1">_xll.BDP("YS259033 Corp","DS034")</f>
        <v>#NAME?</v>
      </c>
      <c r="I253" s="1" t="e" cm="1">
        <f t="array" aca="1" ref="I253" ca="1">_xll.BDP("YS259033 Corp","DS033")</f>
        <v>#NAME?</v>
      </c>
      <c r="J253" s="7" t="e" cm="1">
        <f t="array" aca="1" ref="J253" ca="1">_xll.BDP("YS259033 Corp","YL018")</f>
        <v>#NAME?</v>
      </c>
      <c r="K253" s="7" t="e" cm="1">
        <f t="array" aca="1" ref="K253" ca="1">_xll.BDP("YS259033 Corp","YL016")</f>
        <v>#NAME?</v>
      </c>
      <c r="L253" s="7" t="e" cm="1">
        <f t="array" aca="1" ref="L253" ca="1">_xll.BDP("YS259033 Corp","PR004")</f>
        <v>#NAME?</v>
      </c>
      <c r="M253" s="7" t="e" cm="1">
        <f t="array" aca="1" ref="M253" ca="1">_xll.BDP("YS259033 Corp","PR002")</f>
        <v>#NAME?</v>
      </c>
      <c r="N253" s="1" t="e" cm="1">
        <f t="array" aca="1" ref="N253" ca="1">_xll.BDP("YS259033 Corp","ID028")</f>
        <v>#NAME?</v>
      </c>
      <c r="O253" s="1" t="e" cm="1">
        <f t="array" aca="1" ref="O253" ca="1">_xll.BDP("YS259033 Corp","ID005")</f>
        <v>#NAME?</v>
      </c>
      <c r="P253" s="1" t="e" cm="1">
        <f t="array" aca="1" ref="P253" ca="1">_xll.BDP(A253,"RA007")</f>
        <v>#NAME?</v>
      </c>
      <c r="Q253" s="1" t="e" cm="1">
        <f t="array" aca="1" ref="Q253" ca="1">_xll.BDP(A253,"DS219")</f>
        <v>#NAME?</v>
      </c>
      <c r="R253" s="3" t="e" cm="1">
        <f t="array" aca="1" ref="R253" ca="1">_xll.BDP(A253,"DS040")</f>
        <v>#NAME?</v>
      </c>
      <c r="S253" s="4" t="e">
        <f t="shared" ca="1" si="9"/>
        <v>#NAME?</v>
      </c>
      <c r="T253" s="7" t="e">
        <f t="shared" ca="1" si="10"/>
        <v>#NAME?</v>
      </c>
      <c r="U253" s="3" t="e">
        <f t="shared" ca="1" si="11"/>
        <v>#NAME?</v>
      </c>
    </row>
    <row r="254" spans="1:21" x14ac:dyDescent="0.35">
      <c r="A254" s="5" t="s">
        <v>313</v>
      </c>
      <c r="B254" s="1" t="e" cm="1">
        <f t="array" aca="1" ref="B254" ca="1">_xll.BDP("YS443328 Corp","DS520")</f>
        <v>#NAME?</v>
      </c>
      <c r="C254" s="1" t="e" cm="1">
        <f t="array" aca="1" ref="C254" ca="1">_xll.BDP("YS443328 Corp","DS001")</f>
        <v>#NAME?</v>
      </c>
      <c r="D254" s="1" t="e" cm="1">
        <f t="array" aca="1" ref="D254" ca="1">_xll.BDP("YS443328 Corp","DS458")</f>
        <v>#NAME?</v>
      </c>
      <c r="E254" s="1" t="e" cm="1">
        <f t="array" aca="1" ref="E254" ca="1">_xll.BDP("YS443328 Corp","DS004")</f>
        <v>#NAME?</v>
      </c>
      <c r="F254" s="1" t="e" cm="1">
        <f t="array" aca="1" ref="F254" ca="1">_xll.BDP("YS443328 Corp","DS035")</f>
        <v>#NAME?</v>
      </c>
      <c r="G254" s="1" t="e" cm="1">
        <f t="array" aca="1" ref="G254" ca="1">_xll.BDP("YS443328 Corp","DS086")</f>
        <v>#NAME?</v>
      </c>
      <c r="H254" s="1" t="e" cm="1">
        <f t="array" aca="1" ref="H254" ca="1">_xll.BDP("YS443328 Corp","DS034")</f>
        <v>#NAME?</v>
      </c>
      <c r="I254" s="1" t="e" cm="1">
        <f t="array" aca="1" ref="I254" ca="1">_xll.BDP("YS443328 Corp","DS033")</f>
        <v>#NAME?</v>
      </c>
      <c r="J254" s="7" t="e" cm="1">
        <f t="array" aca="1" ref="J254" ca="1">_xll.BDP("YS443328 Corp","YL018")</f>
        <v>#NAME?</v>
      </c>
      <c r="K254" s="7" t="e" cm="1">
        <f t="array" aca="1" ref="K254" ca="1">_xll.BDP("YS443328 Corp","YL016")</f>
        <v>#NAME?</v>
      </c>
      <c r="L254" s="7" t="e" cm="1">
        <f t="array" aca="1" ref="L254" ca="1">_xll.BDP("YS443328 Corp","PR004")</f>
        <v>#NAME?</v>
      </c>
      <c r="M254" s="7" t="e" cm="1">
        <f t="array" aca="1" ref="M254" ca="1">_xll.BDP("YS443328 Corp","PR002")</f>
        <v>#NAME?</v>
      </c>
      <c r="N254" s="1" t="e" cm="1">
        <f t="array" aca="1" ref="N254" ca="1">_xll.BDP("YS443328 Corp","ID028")</f>
        <v>#NAME?</v>
      </c>
      <c r="O254" s="1" t="e" cm="1">
        <f t="array" aca="1" ref="O254" ca="1">_xll.BDP("YS443328 Corp","ID005")</f>
        <v>#NAME?</v>
      </c>
      <c r="P254" s="1" t="e" cm="1">
        <f t="array" aca="1" ref="P254" ca="1">_xll.BDP(A254,"RA007")</f>
        <v>#NAME?</v>
      </c>
      <c r="Q254" s="1" t="e" cm="1">
        <f t="array" aca="1" ref="Q254" ca="1">_xll.BDP(A254,"DS219")</f>
        <v>#NAME?</v>
      </c>
      <c r="R254" s="3" t="e" cm="1">
        <f t="array" aca="1" ref="R254" ca="1">_xll.BDP(A254,"DS040")</f>
        <v>#NAME?</v>
      </c>
      <c r="S254" s="4" t="e">
        <f t="shared" ca="1" si="9"/>
        <v>#NAME?</v>
      </c>
      <c r="T254" s="7" t="e">
        <f t="shared" ca="1" si="10"/>
        <v>#NAME?</v>
      </c>
      <c r="U254" s="3" t="e">
        <f t="shared" ca="1" si="11"/>
        <v>#NAME?</v>
      </c>
    </row>
    <row r="255" spans="1:21" x14ac:dyDescent="0.35">
      <c r="A255" s="5" t="s">
        <v>314</v>
      </c>
      <c r="B255" s="1" t="e" cm="1">
        <f t="array" aca="1" ref="B255" ca="1">_xll.BDP("YS522463 Corp","DS520")</f>
        <v>#NAME?</v>
      </c>
      <c r="C255" s="1" t="e" cm="1">
        <f t="array" aca="1" ref="C255" ca="1">_xll.BDP("YS522463 Corp","DS001")</f>
        <v>#NAME?</v>
      </c>
      <c r="D255" s="1" t="e" cm="1">
        <f t="array" aca="1" ref="D255" ca="1">_xll.BDP("YS522463 Corp","DS458")</f>
        <v>#NAME?</v>
      </c>
      <c r="E255" s="1" t="e" cm="1">
        <f t="array" aca="1" ref="E255" ca="1">_xll.BDP("YS522463 Corp","DS004")</f>
        <v>#NAME?</v>
      </c>
      <c r="F255" s="1" t="e" cm="1">
        <f t="array" aca="1" ref="F255" ca="1">_xll.BDP("YS522463 Corp","DS035")</f>
        <v>#NAME?</v>
      </c>
      <c r="G255" s="1" t="e" cm="1">
        <f t="array" aca="1" ref="G255" ca="1">_xll.BDP("YS522463 Corp","DS086")</f>
        <v>#NAME?</v>
      </c>
      <c r="H255" s="1" t="e" cm="1">
        <f t="array" aca="1" ref="H255" ca="1">_xll.BDP("YS522463 Corp","DS034")</f>
        <v>#NAME?</v>
      </c>
      <c r="I255" s="1" t="e" cm="1">
        <f t="array" aca="1" ref="I255" ca="1">_xll.BDP("YS522463 Corp","DS033")</f>
        <v>#NAME?</v>
      </c>
      <c r="J255" s="7" t="e" cm="1">
        <f t="array" aca="1" ref="J255" ca="1">_xll.BDP("YS522463 Corp","YL018")</f>
        <v>#NAME?</v>
      </c>
      <c r="K255" s="7" t="e" cm="1">
        <f t="array" aca="1" ref="K255" ca="1">_xll.BDP("YS522463 Corp","YL016")</f>
        <v>#NAME?</v>
      </c>
      <c r="L255" s="7" t="e" cm="1">
        <f t="array" aca="1" ref="L255" ca="1">_xll.BDP("YS522463 Corp","PR004")</f>
        <v>#NAME?</v>
      </c>
      <c r="M255" s="7" t="e" cm="1">
        <f t="array" aca="1" ref="M255" ca="1">_xll.BDP("YS522463 Corp","PR002")</f>
        <v>#NAME?</v>
      </c>
      <c r="N255" s="1" t="e" cm="1">
        <f t="array" aca="1" ref="N255" ca="1">_xll.BDP("YS522463 Corp","ID028")</f>
        <v>#NAME?</v>
      </c>
      <c r="O255" s="1" t="e" cm="1">
        <f t="array" aca="1" ref="O255" ca="1">_xll.BDP("YS522463 Corp","ID005")</f>
        <v>#NAME?</v>
      </c>
      <c r="P255" s="1" t="e" cm="1">
        <f t="array" aca="1" ref="P255" ca="1">_xll.BDP(A255,"RA007")</f>
        <v>#NAME?</v>
      </c>
      <c r="Q255" s="1" t="e" cm="1">
        <f t="array" aca="1" ref="Q255" ca="1">_xll.BDP(A255,"DS219")</f>
        <v>#NAME?</v>
      </c>
      <c r="R255" s="3" t="e" cm="1">
        <f t="array" aca="1" ref="R255" ca="1">_xll.BDP(A255,"DS040")</f>
        <v>#NAME?</v>
      </c>
      <c r="S255" s="4" t="e">
        <f t="shared" ca="1" si="9"/>
        <v>#NAME?</v>
      </c>
      <c r="T255" s="7" t="e">
        <f t="shared" ca="1" si="10"/>
        <v>#NAME?</v>
      </c>
      <c r="U255" s="3" t="e">
        <f t="shared" ca="1" si="11"/>
        <v>#NAME?</v>
      </c>
    </row>
    <row r="256" spans="1:21" x14ac:dyDescent="0.35">
      <c r="A256" s="5" t="s">
        <v>315</v>
      </c>
      <c r="B256" s="1" t="e" cm="1">
        <f t="array" aca="1" ref="B256" ca="1">_xll.BDP("YS632004 Corp","DS520")</f>
        <v>#NAME?</v>
      </c>
      <c r="C256" s="1" t="e" cm="1">
        <f t="array" aca="1" ref="C256" ca="1">_xll.BDP("YS632004 Corp","DS001")</f>
        <v>#NAME?</v>
      </c>
      <c r="D256" s="1" t="e" cm="1">
        <f t="array" aca="1" ref="D256" ca="1">_xll.BDP("YS632004 Corp","DS458")</f>
        <v>#NAME?</v>
      </c>
      <c r="E256" s="1" t="e" cm="1">
        <f t="array" aca="1" ref="E256" ca="1">_xll.BDP("YS632004 Corp","DS004")</f>
        <v>#NAME?</v>
      </c>
      <c r="F256" s="1" t="e" cm="1">
        <f t="array" aca="1" ref="F256" ca="1">_xll.BDP("YS632004 Corp","DS035")</f>
        <v>#NAME?</v>
      </c>
      <c r="G256" s="1" t="e" cm="1">
        <f t="array" aca="1" ref="G256" ca="1">_xll.BDP("YS632004 Corp","DS086")</f>
        <v>#NAME?</v>
      </c>
      <c r="H256" s="1" t="e" cm="1">
        <f t="array" aca="1" ref="H256" ca="1">_xll.BDP("YS632004 Corp","DS034")</f>
        <v>#NAME?</v>
      </c>
      <c r="I256" s="1" t="e" cm="1">
        <f t="array" aca="1" ref="I256" ca="1">_xll.BDP("YS632004 Corp","DS033")</f>
        <v>#NAME?</v>
      </c>
      <c r="J256" s="7" t="e" cm="1">
        <f t="array" aca="1" ref="J256" ca="1">_xll.BDP("YS632004 Corp","YL018")</f>
        <v>#NAME?</v>
      </c>
      <c r="K256" s="7" t="e" cm="1">
        <f t="array" aca="1" ref="K256" ca="1">_xll.BDP("YS632004 Corp","YL016")</f>
        <v>#NAME?</v>
      </c>
      <c r="L256" s="7" t="e" cm="1">
        <f t="array" aca="1" ref="L256" ca="1">_xll.BDP("YS632004 Corp","PR004")</f>
        <v>#NAME?</v>
      </c>
      <c r="M256" s="7" t="e" cm="1">
        <f t="array" aca="1" ref="M256" ca="1">_xll.BDP("YS632004 Corp","PR002")</f>
        <v>#NAME?</v>
      </c>
      <c r="N256" s="1" t="e" cm="1">
        <f t="array" aca="1" ref="N256" ca="1">_xll.BDP("YS632004 Corp","ID028")</f>
        <v>#NAME?</v>
      </c>
      <c r="O256" s="1" t="e" cm="1">
        <f t="array" aca="1" ref="O256" ca="1">_xll.BDP("YS632004 Corp","ID005")</f>
        <v>#NAME?</v>
      </c>
      <c r="P256" s="1" t="e" cm="1">
        <f t="array" aca="1" ref="P256" ca="1">_xll.BDP(A256,"RA007")</f>
        <v>#NAME?</v>
      </c>
      <c r="Q256" s="1" t="e" cm="1">
        <f t="array" aca="1" ref="Q256" ca="1">_xll.BDP(A256,"DS219")</f>
        <v>#NAME?</v>
      </c>
      <c r="R256" s="3" t="e" cm="1">
        <f t="array" aca="1" ref="R256" ca="1">_xll.BDP(A256,"DS040")</f>
        <v>#NAME?</v>
      </c>
      <c r="S256" s="4" t="e">
        <f t="shared" ca="1" si="9"/>
        <v>#NAME?</v>
      </c>
      <c r="T256" s="7" t="e">
        <f t="shared" ca="1" si="10"/>
        <v>#NAME?</v>
      </c>
      <c r="U256" s="3" t="e">
        <f t="shared" ca="1" si="11"/>
        <v>#NAME?</v>
      </c>
    </row>
    <row r="257" spans="1:21" x14ac:dyDescent="0.35">
      <c r="A257" s="5" t="s">
        <v>316</v>
      </c>
      <c r="B257" s="1" t="e" cm="1">
        <f t="array" aca="1" ref="B257" ca="1">_xll.BDP("YS702880 Corp","DS520")</f>
        <v>#NAME?</v>
      </c>
      <c r="C257" s="1" t="e" cm="1">
        <f t="array" aca="1" ref="C257" ca="1">_xll.BDP("YS702880 Corp","DS001")</f>
        <v>#NAME?</v>
      </c>
      <c r="D257" s="1" t="e" cm="1">
        <f t="array" aca="1" ref="D257" ca="1">_xll.BDP("YS702880 Corp","DS458")</f>
        <v>#NAME?</v>
      </c>
      <c r="E257" s="1" t="e" cm="1">
        <f t="array" aca="1" ref="E257" ca="1">_xll.BDP("YS702880 Corp","DS004")</f>
        <v>#NAME?</v>
      </c>
      <c r="F257" s="1" t="e" cm="1">
        <f t="array" aca="1" ref="F257" ca="1">_xll.BDP("YS702880 Corp","DS035")</f>
        <v>#NAME?</v>
      </c>
      <c r="G257" s="1" t="e" cm="1">
        <f t="array" aca="1" ref="G257" ca="1">_xll.BDP("YS702880 Corp","DS086")</f>
        <v>#NAME?</v>
      </c>
      <c r="H257" s="1" t="e" cm="1">
        <f t="array" aca="1" ref="H257" ca="1">_xll.BDP("YS702880 Corp","DS034")</f>
        <v>#NAME?</v>
      </c>
      <c r="I257" s="1" t="e" cm="1">
        <f t="array" aca="1" ref="I257" ca="1">_xll.BDP("YS702880 Corp","DS033")</f>
        <v>#NAME?</v>
      </c>
      <c r="J257" s="7" t="e" cm="1">
        <f t="array" aca="1" ref="J257" ca="1">_xll.BDP("YS702880 Corp","YL018")</f>
        <v>#NAME?</v>
      </c>
      <c r="K257" s="7" t="e" cm="1">
        <f t="array" aca="1" ref="K257" ca="1">_xll.BDP("YS702880 Corp","YL016")</f>
        <v>#NAME?</v>
      </c>
      <c r="L257" s="7" t="e" cm="1">
        <f t="array" aca="1" ref="L257" ca="1">_xll.BDP("YS702880 Corp","PR004")</f>
        <v>#NAME?</v>
      </c>
      <c r="M257" s="7" t="e" cm="1">
        <f t="array" aca="1" ref="M257" ca="1">_xll.BDP("YS702880 Corp","PR002")</f>
        <v>#NAME?</v>
      </c>
      <c r="N257" s="1" t="e" cm="1">
        <f t="array" aca="1" ref="N257" ca="1">_xll.BDP("YS702880 Corp","ID028")</f>
        <v>#NAME?</v>
      </c>
      <c r="O257" s="1" t="e" cm="1">
        <f t="array" aca="1" ref="O257" ca="1">_xll.BDP("YS702880 Corp","ID005")</f>
        <v>#NAME?</v>
      </c>
      <c r="P257" s="1" t="e" cm="1">
        <f t="array" aca="1" ref="P257" ca="1">_xll.BDP(A257,"RA007")</f>
        <v>#NAME?</v>
      </c>
      <c r="Q257" s="1" t="e" cm="1">
        <f t="array" aca="1" ref="Q257" ca="1">_xll.BDP(A257,"DS219")</f>
        <v>#NAME?</v>
      </c>
      <c r="R257" s="3" t="e" cm="1">
        <f t="array" aca="1" ref="R257" ca="1">_xll.BDP(A257,"DS040")</f>
        <v>#NAME?</v>
      </c>
      <c r="S257" s="4" t="e">
        <f t="shared" ca="1" si="9"/>
        <v>#NAME?</v>
      </c>
      <c r="T257" s="7" t="e">
        <f t="shared" ca="1" si="10"/>
        <v>#NAME?</v>
      </c>
      <c r="U257" s="3" t="e">
        <f t="shared" ca="1" si="11"/>
        <v>#NAME?</v>
      </c>
    </row>
    <row r="258" spans="1:21" x14ac:dyDescent="0.35">
      <c r="A258" s="5" t="s">
        <v>317</v>
      </c>
      <c r="B258" s="1" t="e" cm="1">
        <f t="array" aca="1" ref="B258" ca="1">_xll.BDP("YT301966 Corp","DS520")</f>
        <v>#NAME?</v>
      </c>
      <c r="C258" s="1" t="e" cm="1">
        <f t="array" aca="1" ref="C258" ca="1">_xll.BDP("YT301966 Corp","DS001")</f>
        <v>#NAME?</v>
      </c>
      <c r="D258" s="1" t="e" cm="1">
        <f t="array" aca="1" ref="D258" ca="1">_xll.BDP("YT301966 Corp","DS458")</f>
        <v>#NAME?</v>
      </c>
      <c r="E258" s="1" t="e" cm="1">
        <f t="array" aca="1" ref="E258" ca="1">_xll.BDP("YT301966 Corp","DS004")</f>
        <v>#NAME?</v>
      </c>
      <c r="F258" s="1" t="e" cm="1">
        <f t="array" aca="1" ref="F258" ca="1">_xll.BDP("YT301966 Corp","DS035")</f>
        <v>#NAME?</v>
      </c>
      <c r="G258" s="1" t="e" cm="1">
        <f t="array" aca="1" ref="G258" ca="1">_xll.BDP("YT301966 Corp","DS086")</f>
        <v>#NAME?</v>
      </c>
      <c r="H258" s="1" t="e" cm="1">
        <f t="array" aca="1" ref="H258" ca="1">_xll.BDP("YT301966 Corp","DS034")</f>
        <v>#NAME?</v>
      </c>
      <c r="I258" s="1" t="e" cm="1">
        <f t="array" aca="1" ref="I258" ca="1">_xll.BDP("YT301966 Corp","DS033")</f>
        <v>#NAME?</v>
      </c>
      <c r="J258" s="7" t="e" cm="1">
        <f t="array" aca="1" ref="J258" ca="1">_xll.BDP("YT301966 Corp","YL018")</f>
        <v>#NAME?</v>
      </c>
      <c r="K258" s="7" t="e" cm="1">
        <f t="array" aca="1" ref="K258" ca="1">_xll.BDP("YT301966 Corp","YL016")</f>
        <v>#NAME?</v>
      </c>
      <c r="L258" s="7" t="e" cm="1">
        <f t="array" aca="1" ref="L258" ca="1">_xll.BDP("YT301966 Corp","PR004")</f>
        <v>#NAME?</v>
      </c>
      <c r="M258" s="7" t="e" cm="1">
        <f t="array" aca="1" ref="M258" ca="1">_xll.BDP("YT301966 Corp","PR002")</f>
        <v>#NAME?</v>
      </c>
      <c r="N258" s="1" t="e" cm="1">
        <f t="array" aca="1" ref="N258" ca="1">_xll.BDP("YT301966 Corp","ID028")</f>
        <v>#NAME?</v>
      </c>
      <c r="O258" s="1" t="e" cm="1">
        <f t="array" aca="1" ref="O258" ca="1">_xll.BDP("YT301966 Corp","ID005")</f>
        <v>#NAME?</v>
      </c>
      <c r="P258" s="1" t="e" cm="1">
        <f t="array" aca="1" ref="P258" ca="1">_xll.BDP(A258,"RA007")</f>
        <v>#NAME?</v>
      </c>
      <c r="Q258" s="1" t="e" cm="1">
        <f t="array" aca="1" ref="Q258" ca="1">_xll.BDP(A258,"DS219")</f>
        <v>#NAME?</v>
      </c>
      <c r="R258" s="3" t="e" cm="1">
        <f t="array" aca="1" ref="R258" ca="1">_xll.BDP(A258,"DS040")</f>
        <v>#NAME?</v>
      </c>
      <c r="S258" s="4" t="e">
        <f t="shared" ca="1" si="9"/>
        <v>#NAME?</v>
      </c>
      <c r="T258" s="7" t="e">
        <f t="shared" ca="1" si="10"/>
        <v>#NAME?</v>
      </c>
      <c r="U258" s="3" t="e">
        <f t="shared" ca="1" si="11"/>
        <v>#NAME?</v>
      </c>
    </row>
    <row r="259" spans="1:21" x14ac:dyDescent="0.35">
      <c r="A259" s="5" t="s">
        <v>318</v>
      </c>
      <c r="B259" s="1" t="e" cm="1">
        <f t="array" aca="1" ref="B259" ca="1">_xll.BDP("YT642248 Corp","DS520")</f>
        <v>#NAME?</v>
      </c>
      <c r="C259" s="1" t="e" cm="1">
        <f t="array" aca="1" ref="C259" ca="1">_xll.BDP("YT642248 Corp","DS001")</f>
        <v>#NAME?</v>
      </c>
      <c r="D259" s="1" t="e" cm="1">
        <f t="array" aca="1" ref="D259" ca="1">_xll.BDP("YT642248 Corp","DS458")</f>
        <v>#NAME?</v>
      </c>
      <c r="E259" s="1" t="e" cm="1">
        <f t="array" aca="1" ref="E259" ca="1">_xll.BDP("YT642248 Corp","DS004")</f>
        <v>#NAME?</v>
      </c>
      <c r="F259" s="1" t="e" cm="1">
        <f t="array" aca="1" ref="F259" ca="1">_xll.BDP("YT642248 Corp","DS035")</f>
        <v>#NAME?</v>
      </c>
      <c r="G259" s="1" t="e" cm="1">
        <f t="array" aca="1" ref="G259" ca="1">_xll.BDP("YT642248 Corp","DS086")</f>
        <v>#NAME?</v>
      </c>
      <c r="H259" s="1" t="e" cm="1">
        <f t="array" aca="1" ref="H259" ca="1">_xll.BDP("YT642248 Corp","DS034")</f>
        <v>#NAME?</v>
      </c>
      <c r="I259" s="1" t="e" cm="1">
        <f t="array" aca="1" ref="I259" ca="1">_xll.BDP("YT642248 Corp","DS033")</f>
        <v>#NAME?</v>
      </c>
      <c r="J259" s="7" t="e" cm="1">
        <f t="array" aca="1" ref="J259" ca="1">_xll.BDP("YT642248 Corp","YL018")</f>
        <v>#NAME?</v>
      </c>
      <c r="K259" s="7" t="e" cm="1">
        <f t="array" aca="1" ref="K259" ca="1">_xll.BDP("YT642248 Corp","YL016")</f>
        <v>#NAME?</v>
      </c>
      <c r="L259" s="7" t="e" cm="1">
        <f t="array" aca="1" ref="L259" ca="1">_xll.BDP("YT642248 Corp","PR004")</f>
        <v>#NAME?</v>
      </c>
      <c r="M259" s="7" t="e" cm="1">
        <f t="array" aca="1" ref="M259" ca="1">_xll.BDP("YT642248 Corp","PR002")</f>
        <v>#NAME?</v>
      </c>
      <c r="N259" s="1" t="e" cm="1">
        <f t="array" aca="1" ref="N259" ca="1">_xll.BDP("YT642248 Corp","ID028")</f>
        <v>#NAME?</v>
      </c>
      <c r="O259" s="1" t="e" cm="1">
        <f t="array" aca="1" ref="O259" ca="1">_xll.BDP("YT642248 Corp","ID005")</f>
        <v>#NAME?</v>
      </c>
      <c r="P259" s="1" t="e" cm="1">
        <f t="array" aca="1" ref="P259" ca="1">_xll.BDP(A259,"RA007")</f>
        <v>#NAME?</v>
      </c>
      <c r="Q259" s="1" t="e" cm="1">
        <f t="array" aca="1" ref="Q259" ca="1">_xll.BDP(A259,"DS219")</f>
        <v>#NAME?</v>
      </c>
      <c r="R259" s="3" t="e" cm="1">
        <f t="array" aca="1" ref="R259" ca="1">_xll.BDP(A259,"DS040")</f>
        <v>#NAME?</v>
      </c>
      <c r="S259" s="4" t="e">
        <f t="shared" ref="S259:S322" ca="1" si="12">(F259-TODAY())/365.25</f>
        <v>#NAME?</v>
      </c>
      <c r="T259" s="7" t="e">
        <f t="shared" ref="T259:T322" ca="1" si="13">S259-ROUNDDOWN(S259,0)</f>
        <v>#NAME?</v>
      </c>
      <c r="U259" s="3" t="e">
        <f t="shared" ref="U259:U322" ca="1" si="14">DATE(2026,MONTH(TODAY()),DAY(F259))&gt;DATEVALUE(R259)</f>
        <v>#NAME?</v>
      </c>
    </row>
    <row r="260" spans="1:21" x14ac:dyDescent="0.35">
      <c r="A260" s="5" t="s">
        <v>319</v>
      </c>
      <c r="B260" s="1" t="e" cm="1">
        <f t="array" aca="1" ref="B260" ca="1">_xll.BDP("YU173621 Corp","DS520")</f>
        <v>#NAME?</v>
      </c>
      <c r="C260" s="1" t="e" cm="1">
        <f t="array" aca="1" ref="C260" ca="1">_xll.BDP("YU173621 Corp","DS001")</f>
        <v>#NAME?</v>
      </c>
      <c r="D260" s="1" t="e" cm="1">
        <f t="array" aca="1" ref="D260" ca="1">_xll.BDP("YU173621 Corp","DS458")</f>
        <v>#NAME?</v>
      </c>
      <c r="E260" s="1" t="e" cm="1">
        <f t="array" aca="1" ref="E260" ca="1">_xll.BDP("YU173621 Corp","DS004")</f>
        <v>#NAME?</v>
      </c>
      <c r="F260" s="1" t="e" cm="1">
        <f t="array" aca="1" ref="F260" ca="1">_xll.BDP("YU173621 Corp","DS035")</f>
        <v>#NAME?</v>
      </c>
      <c r="G260" s="1" t="e" cm="1">
        <f t="array" aca="1" ref="G260" ca="1">_xll.BDP("YU173621 Corp","DS086")</f>
        <v>#NAME?</v>
      </c>
      <c r="H260" s="1" t="e" cm="1">
        <f t="array" aca="1" ref="H260" ca="1">_xll.BDP("YU173621 Corp","DS034")</f>
        <v>#NAME?</v>
      </c>
      <c r="I260" s="1" t="e" cm="1">
        <f t="array" aca="1" ref="I260" ca="1">_xll.BDP("YU173621 Corp","DS033")</f>
        <v>#NAME?</v>
      </c>
      <c r="J260" s="7" t="e" cm="1">
        <f t="array" aca="1" ref="J260" ca="1">_xll.BDP("YU173621 Corp","YL018")</f>
        <v>#NAME?</v>
      </c>
      <c r="K260" s="7" t="e" cm="1">
        <f t="array" aca="1" ref="K260" ca="1">_xll.BDP("YU173621 Corp","YL016")</f>
        <v>#NAME?</v>
      </c>
      <c r="L260" s="7" t="e" cm="1">
        <f t="array" aca="1" ref="L260" ca="1">_xll.BDP("YU173621 Corp","PR004")</f>
        <v>#NAME?</v>
      </c>
      <c r="M260" s="7" t="e" cm="1">
        <f t="array" aca="1" ref="M260" ca="1">_xll.BDP("YU173621 Corp","PR002")</f>
        <v>#NAME?</v>
      </c>
      <c r="N260" s="1" t="e" cm="1">
        <f t="array" aca="1" ref="N260" ca="1">_xll.BDP("YU173621 Corp","ID028")</f>
        <v>#NAME?</v>
      </c>
      <c r="O260" s="1" t="e" cm="1">
        <f t="array" aca="1" ref="O260" ca="1">_xll.BDP("YU173621 Corp","ID005")</f>
        <v>#NAME?</v>
      </c>
      <c r="P260" s="1" t="e" cm="1">
        <f t="array" aca="1" ref="P260" ca="1">_xll.BDP(A260,"RA007")</f>
        <v>#NAME?</v>
      </c>
      <c r="Q260" s="1" t="e" cm="1">
        <f t="array" aca="1" ref="Q260" ca="1">_xll.BDP(A260,"DS219")</f>
        <v>#NAME?</v>
      </c>
      <c r="R260" s="3" t="e" cm="1">
        <f t="array" aca="1" ref="R260" ca="1">_xll.BDP(A260,"DS040")</f>
        <v>#NAME?</v>
      </c>
      <c r="S260" s="4" t="e">
        <f t="shared" ca="1" si="12"/>
        <v>#NAME?</v>
      </c>
      <c r="T260" s="7" t="e">
        <f t="shared" ca="1" si="13"/>
        <v>#NAME?</v>
      </c>
      <c r="U260" s="3" t="e">
        <f t="shared" ca="1" si="14"/>
        <v>#NAME?</v>
      </c>
    </row>
    <row r="261" spans="1:21" x14ac:dyDescent="0.35">
      <c r="A261" s="5" t="s">
        <v>320</v>
      </c>
      <c r="B261" s="1" t="e" cm="1">
        <f t="array" aca="1" ref="B261" ca="1">_xll.BDP("YU269893 Corp","DS520")</f>
        <v>#NAME?</v>
      </c>
      <c r="C261" s="1" t="e" cm="1">
        <f t="array" aca="1" ref="C261" ca="1">_xll.BDP("YU269893 Corp","DS001")</f>
        <v>#NAME?</v>
      </c>
      <c r="D261" s="1" t="e" cm="1">
        <f t="array" aca="1" ref="D261" ca="1">_xll.BDP("YU269893 Corp","DS458")</f>
        <v>#NAME?</v>
      </c>
      <c r="E261" s="1" t="e" cm="1">
        <f t="array" aca="1" ref="E261" ca="1">_xll.BDP("YU269893 Corp","DS004")</f>
        <v>#NAME?</v>
      </c>
      <c r="F261" s="1" t="e" cm="1">
        <f t="array" aca="1" ref="F261" ca="1">_xll.BDP("YU269893 Corp","DS035")</f>
        <v>#NAME?</v>
      </c>
      <c r="G261" s="1" t="e" cm="1">
        <f t="array" aca="1" ref="G261" ca="1">_xll.BDP("YU269893 Corp","DS086")</f>
        <v>#NAME?</v>
      </c>
      <c r="H261" s="1" t="e" cm="1">
        <f t="array" aca="1" ref="H261" ca="1">_xll.BDP("YU269893 Corp","DS034")</f>
        <v>#NAME?</v>
      </c>
      <c r="I261" s="1" t="e" cm="1">
        <f t="array" aca="1" ref="I261" ca="1">_xll.BDP("YU269893 Corp","DS033")</f>
        <v>#NAME?</v>
      </c>
      <c r="J261" s="7" t="e" cm="1">
        <f t="array" aca="1" ref="J261" ca="1">_xll.BDP("YU269893 Corp","YL018")</f>
        <v>#NAME?</v>
      </c>
      <c r="K261" s="7" t="e" cm="1">
        <f t="array" aca="1" ref="K261" ca="1">_xll.BDP("YU269893 Corp","YL016")</f>
        <v>#NAME?</v>
      </c>
      <c r="L261" s="7" t="e" cm="1">
        <f t="array" aca="1" ref="L261" ca="1">_xll.BDP("YU269893 Corp","PR004")</f>
        <v>#NAME?</v>
      </c>
      <c r="M261" s="7" t="e" cm="1">
        <f t="array" aca="1" ref="M261" ca="1">_xll.BDP("YU269893 Corp","PR002")</f>
        <v>#NAME?</v>
      </c>
      <c r="N261" s="1" t="e" cm="1">
        <f t="array" aca="1" ref="N261" ca="1">_xll.BDP("YU269893 Corp","ID028")</f>
        <v>#NAME?</v>
      </c>
      <c r="O261" s="1" t="e" cm="1">
        <f t="array" aca="1" ref="O261" ca="1">_xll.BDP("YU269893 Corp","ID005")</f>
        <v>#NAME?</v>
      </c>
      <c r="P261" s="1" t="e" cm="1">
        <f t="array" aca="1" ref="P261" ca="1">_xll.BDP(A261,"RA007")</f>
        <v>#NAME?</v>
      </c>
      <c r="Q261" s="1" t="e" cm="1">
        <f t="array" aca="1" ref="Q261" ca="1">_xll.BDP(A261,"DS219")</f>
        <v>#NAME?</v>
      </c>
      <c r="R261" s="3" t="e" cm="1">
        <f t="array" aca="1" ref="R261" ca="1">_xll.BDP(A261,"DS040")</f>
        <v>#NAME?</v>
      </c>
      <c r="S261" s="4" t="e">
        <f t="shared" ca="1" si="12"/>
        <v>#NAME?</v>
      </c>
      <c r="T261" s="7" t="e">
        <f t="shared" ca="1" si="13"/>
        <v>#NAME?</v>
      </c>
      <c r="U261" s="3" t="e">
        <f t="shared" ca="1" si="14"/>
        <v>#NAME?</v>
      </c>
    </row>
    <row r="262" spans="1:21" x14ac:dyDescent="0.35">
      <c r="A262" s="5" t="s">
        <v>321</v>
      </c>
      <c r="B262" s="1" t="e" cm="1">
        <f t="array" aca="1" ref="B262" ca="1">_xll.BDP("YU369993 Corp","DS520")</f>
        <v>#NAME?</v>
      </c>
      <c r="C262" s="1" t="e" cm="1">
        <f t="array" aca="1" ref="C262" ca="1">_xll.BDP("YU369993 Corp","DS001")</f>
        <v>#NAME?</v>
      </c>
      <c r="D262" s="1" t="e" cm="1">
        <f t="array" aca="1" ref="D262" ca="1">_xll.BDP("YU369993 Corp","DS458")</f>
        <v>#NAME?</v>
      </c>
      <c r="E262" s="1" t="e" cm="1">
        <f t="array" aca="1" ref="E262" ca="1">_xll.BDP("YU369993 Corp","DS004")</f>
        <v>#NAME?</v>
      </c>
      <c r="F262" s="1" t="e" cm="1">
        <f t="array" aca="1" ref="F262" ca="1">_xll.BDP("YU369993 Corp","DS035")</f>
        <v>#NAME?</v>
      </c>
      <c r="G262" s="1" t="e" cm="1">
        <f t="array" aca="1" ref="G262" ca="1">_xll.BDP("YU369993 Corp","DS086")</f>
        <v>#NAME?</v>
      </c>
      <c r="H262" s="1" t="e" cm="1">
        <f t="array" aca="1" ref="H262" ca="1">_xll.BDP("YU369993 Corp","DS034")</f>
        <v>#NAME?</v>
      </c>
      <c r="I262" s="1" t="e" cm="1">
        <f t="array" aca="1" ref="I262" ca="1">_xll.BDP("YU369993 Corp","DS033")</f>
        <v>#NAME?</v>
      </c>
      <c r="J262" s="7" t="e" cm="1">
        <f t="array" aca="1" ref="J262" ca="1">_xll.BDP("YU369993 Corp","YL018")</f>
        <v>#NAME?</v>
      </c>
      <c r="K262" s="7" t="e" cm="1">
        <f t="array" aca="1" ref="K262" ca="1">_xll.BDP("YU369993 Corp","YL016")</f>
        <v>#NAME?</v>
      </c>
      <c r="L262" s="7" t="e" cm="1">
        <f t="array" aca="1" ref="L262" ca="1">_xll.BDP("YU369993 Corp","PR004")</f>
        <v>#NAME?</v>
      </c>
      <c r="M262" s="7" t="e" cm="1">
        <f t="array" aca="1" ref="M262" ca="1">_xll.BDP("YU369993 Corp","PR002")</f>
        <v>#NAME?</v>
      </c>
      <c r="N262" s="1" t="e" cm="1">
        <f t="array" aca="1" ref="N262" ca="1">_xll.BDP("YU369993 Corp","ID028")</f>
        <v>#NAME?</v>
      </c>
      <c r="O262" s="1" t="e" cm="1">
        <f t="array" aca="1" ref="O262" ca="1">_xll.BDP("YU369993 Corp","ID005")</f>
        <v>#NAME?</v>
      </c>
      <c r="P262" s="1" t="e" cm="1">
        <f t="array" aca="1" ref="P262" ca="1">_xll.BDP(A262,"RA007")</f>
        <v>#NAME?</v>
      </c>
      <c r="Q262" s="1" t="e" cm="1">
        <f t="array" aca="1" ref="Q262" ca="1">_xll.BDP(A262,"DS219")</f>
        <v>#NAME?</v>
      </c>
      <c r="R262" s="3" t="e" cm="1">
        <f t="array" aca="1" ref="R262" ca="1">_xll.BDP(A262,"DS040")</f>
        <v>#NAME?</v>
      </c>
      <c r="S262" s="4" t="e">
        <f t="shared" ca="1" si="12"/>
        <v>#NAME?</v>
      </c>
      <c r="T262" s="7" t="e">
        <f t="shared" ca="1" si="13"/>
        <v>#NAME?</v>
      </c>
      <c r="U262" s="3" t="e">
        <f t="shared" ca="1" si="14"/>
        <v>#NAME?</v>
      </c>
    </row>
    <row r="263" spans="1:21" x14ac:dyDescent="0.35">
      <c r="A263" s="5" t="s">
        <v>322</v>
      </c>
      <c r="B263" s="1" t="e" cm="1">
        <f t="array" aca="1" ref="B263" ca="1">_xll.BDP("YU433144 Corp","DS520")</f>
        <v>#NAME?</v>
      </c>
      <c r="C263" s="1" t="e" cm="1">
        <f t="array" aca="1" ref="C263" ca="1">_xll.BDP("YU433144 Corp","DS001")</f>
        <v>#NAME?</v>
      </c>
      <c r="D263" s="1" t="e" cm="1">
        <f t="array" aca="1" ref="D263" ca="1">_xll.BDP("YU433144 Corp","DS458")</f>
        <v>#NAME?</v>
      </c>
      <c r="E263" s="1" t="e" cm="1">
        <f t="array" aca="1" ref="E263" ca="1">_xll.BDP("YU433144 Corp","DS004")</f>
        <v>#NAME?</v>
      </c>
      <c r="F263" s="1" t="e" cm="1">
        <f t="array" aca="1" ref="F263" ca="1">_xll.BDP("YU433144 Corp","DS035")</f>
        <v>#NAME?</v>
      </c>
      <c r="G263" s="1" t="e" cm="1">
        <f t="array" aca="1" ref="G263" ca="1">_xll.BDP("YU433144 Corp","DS086")</f>
        <v>#NAME?</v>
      </c>
      <c r="H263" s="1" t="e" cm="1">
        <f t="array" aca="1" ref="H263" ca="1">_xll.BDP("YU433144 Corp","DS034")</f>
        <v>#NAME?</v>
      </c>
      <c r="I263" s="1" t="e" cm="1">
        <f t="array" aca="1" ref="I263" ca="1">_xll.BDP("YU433144 Corp","DS033")</f>
        <v>#NAME?</v>
      </c>
      <c r="J263" s="7" t="e" cm="1">
        <f t="array" aca="1" ref="J263" ca="1">_xll.BDP("YU433144 Corp","YL018")</f>
        <v>#NAME?</v>
      </c>
      <c r="K263" s="7" t="e" cm="1">
        <f t="array" aca="1" ref="K263" ca="1">_xll.BDP("YU433144 Corp","YL016")</f>
        <v>#NAME?</v>
      </c>
      <c r="L263" s="7" t="e" cm="1">
        <f t="array" aca="1" ref="L263" ca="1">_xll.BDP("YU433144 Corp","PR004")</f>
        <v>#NAME?</v>
      </c>
      <c r="M263" s="7" t="e" cm="1">
        <f t="array" aca="1" ref="M263" ca="1">_xll.BDP("YU433144 Corp","PR002")</f>
        <v>#NAME?</v>
      </c>
      <c r="N263" s="1" t="e" cm="1">
        <f t="array" aca="1" ref="N263" ca="1">_xll.BDP("YU433144 Corp","ID028")</f>
        <v>#NAME?</v>
      </c>
      <c r="O263" s="1" t="e" cm="1">
        <f t="array" aca="1" ref="O263" ca="1">_xll.BDP("YU433144 Corp","ID005")</f>
        <v>#NAME?</v>
      </c>
      <c r="P263" s="1" t="e" cm="1">
        <f t="array" aca="1" ref="P263" ca="1">_xll.BDP(A263,"RA007")</f>
        <v>#NAME?</v>
      </c>
      <c r="Q263" s="1" t="e" cm="1">
        <f t="array" aca="1" ref="Q263" ca="1">_xll.BDP(A263,"DS219")</f>
        <v>#NAME?</v>
      </c>
      <c r="R263" s="3" t="e" cm="1">
        <f t="array" aca="1" ref="R263" ca="1">_xll.BDP(A263,"DS040")</f>
        <v>#NAME?</v>
      </c>
      <c r="S263" s="4" t="e">
        <f t="shared" ca="1" si="12"/>
        <v>#NAME?</v>
      </c>
      <c r="T263" s="7" t="e">
        <f t="shared" ca="1" si="13"/>
        <v>#NAME?</v>
      </c>
      <c r="U263" s="3" t="e">
        <f t="shared" ca="1" si="14"/>
        <v>#NAME?</v>
      </c>
    </row>
    <row r="264" spans="1:21" x14ac:dyDescent="0.35">
      <c r="A264" s="5" t="s">
        <v>323</v>
      </c>
      <c r="B264" s="1" t="e" cm="1">
        <f t="array" aca="1" ref="B264" ca="1">_xll.BDP("YU740781 Corp","DS520")</f>
        <v>#NAME?</v>
      </c>
      <c r="C264" s="1" t="e" cm="1">
        <f t="array" aca="1" ref="C264" ca="1">_xll.BDP("YU740781 Corp","DS001")</f>
        <v>#NAME?</v>
      </c>
      <c r="D264" s="1" t="e" cm="1">
        <f t="array" aca="1" ref="D264" ca="1">_xll.BDP("YU740781 Corp","DS458")</f>
        <v>#NAME?</v>
      </c>
      <c r="E264" s="1" t="e" cm="1">
        <f t="array" aca="1" ref="E264" ca="1">_xll.BDP("YU740781 Corp","DS004")</f>
        <v>#NAME?</v>
      </c>
      <c r="F264" s="1" t="e" cm="1">
        <f t="array" aca="1" ref="F264" ca="1">_xll.BDP("YU740781 Corp","DS035")</f>
        <v>#NAME?</v>
      </c>
      <c r="G264" s="1" t="e" cm="1">
        <f t="array" aca="1" ref="G264" ca="1">_xll.BDP("YU740781 Corp","DS086")</f>
        <v>#NAME?</v>
      </c>
      <c r="H264" s="1" t="e" cm="1">
        <f t="array" aca="1" ref="H264" ca="1">_xll.BDP("YU740781 Corp","DS034")</f>
        <v>#NAME?</v>
      </c>
      <c r="I264" s="1" t="e" cm="1">
        <f t="array" aca="1" ref="I264" ca="1">_xll.BDP("YU740781 Corp","DS033")</f>
        <v>#NAME?</v>
      </c>
      <c r="J264" s="7" t="e" cm="1">
        <f t="array" aca="1" ref="J264" ca="1">_xll.BDP("YU740781 Corp","YL018")</f>
        <v>#NAME?</v>
      </c>
      <c r="K264" s="7" t="e" cm="1">
        <f t="array" aca="1" ref="K264" ca="1">_xll.BDP("YU740781 Corp","YL016")</f>
        <v>#NAME?</v>
      </c>
      <c r="L264" s="7" t="e" cm="1">
        <f t="array" aca="1" ref="L264" ca="1">_xll.BDP("YU740781 Corp","PR004")</f>
        <v>#NAME?</v>
      </c>
      <c r="M264" s="7" t="e" cm="1">
        <f t="array" aca="1" ref="M264" ca="1">_xll.BDP("YU740781 Corp","PR002")</f>
        <v>#NAME?</v>
      </c>
      <c r="N264" s="1" t="e" cm="1">
        <f t="array" aca="1" ref="N264" ca="1">_xll.BDP("YU740781 Corp","ID028")</f>
        <v>#NAME?</v>
      </c>
      <c r="O264" s="1" t="e" cm="1">
        <f t="array" aca="1" ref="O264" ca="1">_xll.BDP("YU740781 Corp","ID005")</f>
        <v>#NAME?</v>
      </c>
      <c r="P264" s="1" t="e" cm="1">
        <f t="array" aca="1" ref="P264" ca="1">_xll.BDP(A264,"RA007")</f>
        <v>#NAME?</v>
      </c>
      <c r="Q264" s="1" t="e" cm="1">
        <f t="array" aca="1" ref="Q264" ca="1">_xll.BDP(A264,"DS219")</f>
        <v>#NAME?</v>
      </c>
      <c r="R264" s="3" t="e" cm="1">
        <f t="array" aca="1" ref="R264" ca="1">_xll.BDP(A264,"DS040")</f>
        <v>#NAME?</v>
      </c>
      <c r="S264" s="4" t="e">
        <f t="shared" ca="1" si="12"/>
        <v>#NAME?</v>
      </c>
      <c r="T264" s="7" t="e">
        <f t="shared" ca="1" si="13"/>
        <v>#NAME?</v>
      </c>
      <c r="U264" s="3" t="e">
        <f t="shared" ca="1" si="14"/>
        <v>#NAME?</v>
      </c>
    </row>
    <row r="265" spans="1:21" x14ac:dyDescent="0.35">
      <c r="A265" s="5" t="s">
        <v>324</v>
      </c>
      <c r="B265" s="1" t="e" cm="1">
        <f t="array" aca="1" ref="B265" ca="1">_xll.BDP("YU844361 Corp","DS520")</f>
        <v>#NAME?</v>
      </c>
      <c r="C265" s="1" t="e" cm="1">
        <f t="array" aca="1" ref="C265" ca="1">_xll.BDP("YU844361 Corp","DS001")</f>
        <v>#NAME?</v>
      </c>
      <c r="D265" s="1" t="e" cm="1">
        <f t="array" aca="1" ref="D265" ca="1">_xll.BDP("YU844361 Corp","DS458")</f>
        <v>#NAME?</v>
      </c>
      <c r="E265" s="1" t="e" cm="1">
        <f t="array" aca="1" ref="E265" ca="1">_xll.BDP("YU844361 Corp","DS004")</f>
        <v>#NAME?</v>
      </c>
      <c r="F265" s="1" t="e" cm="1">
        <f t="array" aca="1" ref="F265" ca="1">_xll.BDP("YU844361 Corp","DS035")</f>
        <v>#NAME?</v>
      </c>
      <c r="G265" s="1" t="e" cm="1">
        <f t="array" aca="1" ref="G265" ca="1">_xll.BDP("YU844361 Corp","DS086")</f>
        <v>#NAME?</v>
      </c>
      <c r="H265" s="1" t="e" cm="1">
        <f t="array" aca="1" ref="H265" ca="1">_xll.BDP("YU844361 Corp","DS034")</f>
        <v>#NAME?</v>
      </c>
      <c r="I265" s="1" t="e" cm="1">
        <f t="array" aca="1" ref="I265" ca="1">_xll.BDP("YU844361 Corp","DS033")</f>
        <v>#NAME?</v>
      </c>
      <c r="J265" s="7" t="e" cm="1">
        <f t="array" aca="1" ref="J265" ca="1">_xll.BDP("YU844361 Corp","YL018")</f>
        <v>#NAME?</v>
      </c>
      <c r="K265" s="7" t="e" cm="1">
        <f t="array" aca="1" ref="K265" ca="1">_xll.BDP("YU844361 Corp","YL016")</f>
        <v>#NAME?</v>
      </c>
      <c r="L265" s="7" t="e" cm="1">
        <f t="array" aca="1" ref="L265" ca="1">_xll.BDP("YU844361 Corp","PR004")</f>
        <v>#NAME?</v>
      </c>
      <c r="M265" s="7" t="e" cm="1">
        <f t="array" aca="1" ref="M265" ca="1">_xll.BDP("YU844361 Corp","PR002")</f>
        <v>#NAME?</v>
      </c>
      <c r="N265" s="1" t="e" cm="1">
        <f t="array" aca="1" ref="N265" ca="1">_xll.BDP("YU844361 Corp","ID028")</f>
        <v>#NAME?</v>
      </c>
      <c r="O265" s="1" t="e" cm="1">
        <f t="array" aca="1" ref="O265" ca="1">_xll.BDP("YU844361 Corp","ID005")</f>
        <v>#NAME?</v>
      </c>
      <c r="P265" s="1" t="e" cm="1">
        <f t="array" aca="1" ref="P265" ca="1">_xll.BDP(A265,"RA007")</f>
        <v>#NAME?</v>
      </c>
      <c r="Q265" s="1" t="e" cm="1">
        <f t="array" aca="1" ref="Q265" ca="1">_xll.BDP(A265,"DS219")</f>
        <v>#NAME?</v>
      </c>
      <c r="R265" s="3" t="e" cm="1">
        <f t="array" aca="1" ref="R265" ca="1">_xll.BDP(A265,"DS040")</f>
        <v>#NAME?</v>
      </c>
      <c r="S265" s="4" t="e">
        <f t="shared" ca="1" si="12"/>
        <v>#NAME?</v>
      </c>
      <c r="T265" s="7" t="e">
        <f t="shared" ca="1" si="13"/>
        <v>#NAME?</v>
      </c>
      <c r="U265" s="3" t="e">
        <f t="shared" ca="1" si="14"/>
        <v>#NAME?</v>
      </c>
    </row>
    <row r="266" spans="1:21" x14ac:dyDescent="0.35">
      <c r="A266" s="5" t="s">
        <v>325</v>
      </c>
      <c r="B266" s="1" t="e" cm="1">
        <f t="array" aca="1" ref="B266" ca="1">_xll.BDP("YV146917 Corp","DS520")</f>
        <v>#NAME?</v>
      </c>
      <c r="C266" s="1" t="e" cm="1">
        <f t="array" aca="1" ref="C266" ca="1">_xll.BDP("YV146917 Corp","DS001")</f>
        <v>#NAME?</v>
      </c>
      <c r="D266" s="1" t="e" cm="1">
        <f t="array" aca="1" ref="D266" ca="1">_xll.BDP("YV146917 Corp","DS458")</f>
        <v>#NAME?</v>
      </c>
      <c r="E266" s="1" t="e" cm="1">
        <f t="array" aca="1" ref="E266" ca="1">_xll.BDP("YV146917 Corp","DS004")</f>
        <v>#NAME?</v>
      </c>
      <c r="F266" s="1" t="e" cm="1">
        <f t="array" aca="1" ref="F266" ca="1">_xll.BDP("YV146917 Corp","DS035")</f>
        <v>#NAME?</v>
      </c>
      <c r="G266" s="1" t="e" cm="1">
        <f t="array" aca="1" ref="G266" ca="1">_xll.BDP("YV146917 Corp","DS086")</f>
        <v>#NAME?</v>
      </c>
      <c r="H266" s="1" t="e" cm="1">
        <f t="array" aca="1" ref="H266" ca="1">_xll.BDP("YV146917 Corp","DS034")</f>
        <v>#NAME?</v>
      </c>
      <c r="I266" s="1" t="e" cm="1">
        <f t="array" aca="1" ref="I266" ca="1">_xll.BDP("YV146917 Corp","DS033")</f>
        <v>#NAME?</v>
      </c>
      <c r="J266" s="7" t="e" cm="1">
        <f t="array" aca="1" ref="J266" ca="1">_xll.BDP("YV146917 Corp","YL018")</f>
        <v>#NAME?</v>
      </c>
      <c r="K266" s="7" t="e" cm="1">
        <f t="array" aca="1" ref="K266" ca="1">_xll.BDP("YV146917 Corp","YL016")</f>
        <v>#NAME?</v>
      </c>
      <c r="L266" s="7" t="e" cm="1">
        <f t="array" aca="1" ref="L266" ca="1">_xll.BDP("YV146917 Corp","PR004")</f>
        <v>#NAME?</v>
      </c>
      <c r="M266" s="7" t="e" cm="1">
        <f t="array" aca="1" ref="M266" ca="1">_xll.BDP("YV146917 Corp","PR002")</f>
        <v>#NAME?</v>
      </c>
      <c r="N266" s="1" t="e" cm="1">
        <f t="array" aca="1" ref="N266" ca="1">_xll.BDP("YV146917 Corp","ID028")</f>
        <v>#NAME?</v>
      </c>
      <c r="O266" s="1" t="e" cm="1">
        <f t="array" aca="1" ref="O266" ca="1">_xll.BDP("YV146917 Corp","ID005")</f>
        <v>#NAME?</v>
      </c>
      <c r="P266" s="1" t="e" cm="1">
        <f t="array" aca="1" ref="P266" ca="1">_xll.BDP(A266,"RA007")</f>
        <v>#NAME?</v>
      </c>
      <c r="Q266" s="1" t="e" cm="1">
        <f t="array" aca="1" ref="Q266" ca="1">_xll.BDP(A266,"DS219")</f>
        <v>#NAME?</v>
      </c>
      <c r="R266" s="3" t="e" cm="1">
        <f t="array" aca="1" ref="R266" ca="1">_xll.BDP(A266,"DS040")</f>
        <v>#NAME?</v>
      </c>
      <c r="S266" s="4" t="e">
        <f t="shared" ca="1" si="12"/>
        <v>#NAME?</v>
      </c>
      <c r="T266" s="7" t="e">
        <f t="shared" ca="1" si="13"/>
        <v>#NAME?</v>
      </c>
      <c r="U266" s="3" t="e">
        <f t="shared" ca="1" si="14"/>
        <v>#NAME?</v>
      </c>
    </row>
    <row r="267" spans="1:21" x14ac:dyDescent="0.35">
      <c r="A267" s="5" t="s">
        <v>326</v>
      </c>
      <c r="B267" s="1" t="e" cm="1">
        <f t="array" aca="1" ref="B267" ca="1">_xll.BDP("YV477187 Corp","DS520")</f>
        <v>#NAME?</v>
      </c>
      <c r="C267" s="1" t="e" cm="1">
        <f t="array" aca="1" ref="C267" ca="1">_xll.BDP("YV477187 Corp","DS001")</f>
        <v>#NAME?</v>
      </c>
      <c r="D267" s="1" t="e" cm="1">
        <f t="array" aca="1" ref="D267" ca="1">_xll.BDP("YV477187 Corp","DS458")</f>
        <v>#NAME?</v>
      </c>
      <c r="E267" s="1" t="e" cm="1">
        <f t="array" aca="1" ref="E267" ca="1">_xll.BDP("YV477187 Corp","DS004")</f>
        <v>#NAME?</v>
      </c>
      <c r="F267" s="1" t="e" cm="1">
        <f t="array" aca="1" ref="F267" ca="1">_xll.BDP("YV477187 Corp","DS035")</f>
        <v>#NAME?</v>
      </c>
      <c r="G267" s="1" t="e" cm="1">
        <f t="array" aca="1" ref="G267" ca="1">_xll.BDP("YV477187 Corp","DS086")</f>
        <v>#NAME?</v>
      </c>
      <c r="H267" s="1" t="e" cm="1">
        <f t="array" aca="1" ref="H267" ca="1">_xll.BDP("YV477187 Corp","DS034")</f>
        <v>#NAME?</v>
      </c>
      <c r="I267" s="1" t="e" cm="1">
        <f t="array" aca="1" ref="I267" ca="1">_xll.BDP("YV477187 Corp","DS033")</f>
        <v>#NAME?</v>
      </c>
      <c r="J267" s="7" t="e" cm="1">
        <f t="array" aca="1" ref="J267" ca="1">_xll.BDP("YV477187 Corp","YL018")</f>
        <v>#NAME?</v>
      </c>
      <c r="K267" s="7" t="e" cm="1">
        <f t="array" aca="1" ref="K267" ca="1">_xll.BDP("YV477187 Corp","YL016")</f>
        <v>#NAME?</v>
      </c>
      <c r="L267" s="7" t="e" cm="1">
        <f t="array" aca="1" ref="L267" ca="1">_xll.BDP("YV477187 Corp","PR004")</f>
        <v>#NAME?</v>
      </c>
      <c r="M267" s="7" t="e" cm="1">
        <f t="array" aca="1" ref="M267" ca="1">_xll.BDP("YV477187 Corp","PR002")</f>
        <v>#NAME?</v>
      </c>
      <c r="N267" s="1" t="e" cm="1">
        <f t="array" aca="1" ref="N267" ca="1">_xll.BDP("YV477187 Corp","ID028")</f>
        <v>#NAME?</v>
      </c>
      <c r="O267" s="1" t="e" cm="1">
        <f t="array" aca="1" ref="O267" ca="1">_xll.BDP("YV477187 Corp","ID005")</f>
        <v>#NAME?</v>
      </c>
      <c r="P267" s="1" t="e" cm="1">
        <f t="array" aca="1" ref="P267" ca="1">_xll.BDP(A267,"RA007")</f>
        <v>#NAME?</v>
      </c>
      <c r="Q267" s="1" t="e" cm="1">
        <f t="array" aca="1" ref="Q267" ca="1">_xll.BDP(A267,"DS219")</f>
        <v>#NAME?</v>
      </c>
      <c r="R267" s="3" t="e" cm="1">
        <f t="array" aca="1" ref="R267" ca="1">_xll.BDP(A267,"DS040")</f>
        <v>#NAME?</v>
      </c>
      <c r="S267" s="4" t="e">
        <f t="shared" ca="1" si="12"/>
        <v>#NAME?</v>
      </c>
      <c r="T267" s="7" t="e">
        <f t="shared" ca="1" si="13"/>
        <v>#NAME?</v>
      </c>
      <c r="U267" s="3" t="e">
        <f t="shared" ca="1" si="14"/>
        <v>#NAME?</v>
      </c>
    </row>
    <row r="268" spans="1:21" x14ac:dyDescent="0.35">
      <c r="A268" s="5" t="s">
        <v>327</v>
      </c>
      <c r="B268" s="1" t="e" cm="1">
        <f t="array" aca="1" ref="B268" ca="1">_xll.BDP("YV698156 Corp","DS520")</f>
        <v>#NAME?</v>
      </c>
      <c r="C268" s="1" t="e" cm="1">
        <f t="array" aca="1" ref="C268" ca="1">_xll.BDP("YV698156 Corp","DS001")</f>
        <v>#NAME?</v>
      </c>
      <c r="D268" s="1" t="e" cm="1">
        <f t="array" aca="1" ref="D268" ca="1">_xll.BDP("YV698156 Corp","DS458")</f>
        <v>#NAME?</v>
      </c>
      <c r="E268" s="1" t="e" cm="1">
        <f t="array" aca="1" ref="E268" ca="1">_xll.BDP("YV698156 Corp","DS004")</f>
        <v>#NAME?</v>
      </c>
      <c r="F268" s="1" t="e" cm="1">
        <f t="array" aca="1" ref="F268" ca="1">_xll.BDP("YV698156 Corp","DS035")</f>
        <v>#NAME?</v>
      </c>
      <c r="G268" s="1" t="e" cm="1">
        <f t="array" aca="1" ref="G268" ca="1">_xll.BDP("YV698156 Corp","DS086")</f>
        <v>#NAME?</v>
      </c>
      <c r="H268" s="1" t="e" cm="1">
        <f t="array" aca="1" ref="H268" ca="1">_xll.BDP("YV698156 Corp","DS034")</f>
        <v>#NAME?</v>
      </c>
      <c r="I268" s="1" t="e" cm="1">
        <f t="array" aca="1" ref="I268" ca="1">_xll.BDP("YV698156 Corp","DS033")</f>
        <v>#NAME?</v>
      </c>
      <c r="J268" s="7" t="e" cm="1">
        <f t="array" aca="1" ref="J268" ca="1">_xll.BDP("YV698156 Corp","YL018")</f>
        <v>#NAME?</v>
      </c>
      <c r="K268" s="7" t="e" cm="1">
        <f t="array" aca="1" ref="K268" ca="1">_xll.BDP("YV698156 Corp","YL016")</f>
        <v>#NAME?</v>
      </c>
      <c r="L268" s="7" t="e" cm="1">
        <f t="array" aca="1" ref="L268" ca="1">_xll.BDP("YV698156 Corp","PR004")</f>
        <v>#NAME?</v>
      </c>
      <c r="M268" s="7" t="e" cm="1">
        <f t="array" aca="1" ref="M268" ca="1">_xll.BDP("YV698156 Corp","PR002")</f>
        <v>#NAME?</v>
      </c>
      <c r="N268" s="1" t="e" cm="1">
        <f t="array" aca="1" ref="N268" ca="1">_xll.BDP("YV698156 Corp","ID028")</f>
        <v>#NAME?</v>
      </c>
      <c r="O268" s="1" t="e" cm="1">
        <f t="array" aca="1" ref="O268" ca="1">_xll.BDP("YV698156 Corp","ID005")</f>
        <v>#NAME?</v>
      </c>
      <c r="P268" s="1" t="e" cm="1">
        <f t="array" aca="1" ref="P268" ca="1">_xll.BDP(A268,"RA007")</f>
        <v>#NAME?</v>
      </c>
      <c r="Q268" s="1" t="e" cm="1">
        <f t="array" aca="1" ref="Q268" ca="1">_xll.BDP(A268,"DS219")</f>
        <v>#NAME?</v>
      </c>
      <c r="R268" s="3" t="e" cm="1">
        <f t="array" aca="1" ref="R268" ca="1">_xll.BDP(A268,"DS040")</f>
        <v>#NAME?</v>
      </c>
      <c r="S268" s="4" t="e">
        <f t="shared" ca="1" si="12"/>
        <v>#NAME?</v>
      </c>
      <c r="T268" s="7" t="e">
        <f t="shared" ca="1" si="13"/>
        <v>#NAME?</v>
      </c>
      <c r="U268" s="3" t="e">
        <f t="shared" ca="1" si="14"/>
        <v>#NAME?</v>
      </c>
    </row>
    <row r="269" spans="1:21" x14ac:dyDescent="0.35">
      <c r="A269" s="5" t="s">
        <v>328</v>
      </c>
      <c r="B269" s="1" t="e" cm="1">
        <f t="array" aca="1" ref="B269" ca="1">_xll.BDP("YW041715 Corp","DS520")</f>
        <v>#NAME?</v>
      </c>
      <c r="C269" s="1" t="e" cm="1">
        <f t="array" aca="1" ref="C269" ca="1">_xll.BDP("YW041715 Corp","DS001")</f>
        <v>#NAME?</v>
      </c>
      <c r="D269" s="1" t="e" cm="1">
        <f t="array" aca="1" ref="D269" ca="1">_xll.BDP("YW041715 Corp","DS458")</f>
        <v>#NAME?</v>
      </c>
      <c r="E269" s="1" t="e" cm="1">
        <f t="array" aca="1" ref="E269" ca="1">_xll.BDP("YW041715 Corp","DS004")</f>
        <v>#NAME?</v>
      </c>
      <c r="F269" s="1" t="e" cm="1">
        <f t="array" aca="1" ref="F269" ca="1">_xll.BDP("YW041715 Corp","DS035")</f>
        <v>#NAME?</v>
      </c>
      <c r="G269" s="1" t="e" cm="1">
        <f t="array" aca="1" ref="G269" ca="1">_xll.BDP("YW041715 Corp","DS086")</f>
        <v>#NAME?</v>
      </c>
      <c r="H269" s="1" t="e" cm="1">
        <f t="array" aca="1" ref="H269" ca="1">_xll.BDP("YW041715 Corp","DS034")</f>
        <v>#NAME?</v>
      </c>
      <c r="I269" s="1" t="e" cm="1">
        <f t="array" aca="1" ref="I269" ca="1">_xll.BDP("YW041715 Corp","DS033")</f>
        <v>#NAME?</v>
      </c>
      <c r="J269" s="7" t="e" cm="1">
        <f t="array" aca="1" ref="J269" ca="1">_xll.BDP("YW041715 Corp","YL018")</f>
        <v>#NAME?</v>
      </c>
      <c r="K269" s="7" t="e" cm="1">
        <f t="array" aca="1" ref="K269" ca="1">_xll.BDP("YW041715 Corp","YL016")</f>
        <v>#NAME?</v>
      </c>
      <c r="L269" s="7" t="e" cm="1">
        <f t="array" aca="1" ref="L269" ca="1">_xll.BDP("YW041715 Corp","PR004")</f>
        <v>#NAME?</v>
      </c>
      <c r="M269" s="7" t="e" cm="1">
        <f t="array" aca="1" ref="M269" ca="1">_xll.BDP("YW041715 Corp","PR002")</f>
        <v>#NAME?</v>
      </c>
      <c r="N269" s="1" t="e" cm="1">
        <f t="array" aca="1" ref="N269" ca="1">_xll.BDP("YW041715 Corp","ID028")</f>
        <v>#NAME?</v>
      </c>
      <c r="O269" s="1" t="e" cm="1">
        <f t="array" aca="1" ref="O269" ca="1">_xll.BDP("YW041715 Corp","ID005")</f>
        <v>#NAME?</v>
      </c>
      <c r="P269" s="1" t="e" cm="1">
        <f t="array" aca="1" ref="P269" ca="1">_xll.BDP(A269,"RA007")</f>
        <v>#NAME?</v>
      </c>
      <c r="Q269" s="1" t="e" cm="1">
        <f t="array" aca="1" ref="Q269" ca="1">_xll.BDP(A269,"DS219")</f>
        <v>#NAME?</v>
      </c>
      <c r="R269" s="3" t="e" cm="1">
        <f t="array" aca="1" ref="R269" ca="1">_xll.BDP(A269,"DS040")</f>
        <v>#NAME?</v>
      </c>
      <c r="S269" s="4" t="e">
        <f t="shared" ca="1" si="12"/>
        <v>#NAME?</v>
      </c>
      <c r="T269" s="7" t="e">
        <f t="shared" ca="1" si="13"/>
        <v>#NAME?</v>
      </c>
      <c r="U269" s="3" t="e">
        <f t="shared" ca="1" si="14"/>
        <v>#NAME?</v>
      </c>
    </row>
    <row r="270" spans="1:21" x14ac:dyDescent="0.35">
      <c r="A270" s="5" t="s">
        <v>329</v>
      </c>
      <c r="B270" s="1" t="e" cm="1">
        <f t="array" aca="1" ref="B270" ca="1">_xll.BDP("YW129328 Corp","DS520")</f>
        <v>#NAME?</v>
      </c>
      <c r="C270" s="1" t="e" cm="1">
        <f t="array" aca="1" ref="C270" ca="1">_xll.BDP("YW129328 Corp","DS001")</f>
        <v>#NAME?</v>
      </c>
      <c r="D270" s="1" t="e" cm="1">
        <f t="array" aca="1" ref="D270" ca="1">_xll.BDP("YW129328 Corp","DS458")</f>
        <v>#NAME?</v>
      </c>
      <c r="E270" s="1" t="e" cm="1">
        <f t="array" aca="1" ref="E270" ca="1">_xll.BDP("YW129328 Corp","DS004")</f>
        <v>#NAME?</v>
      </c>
      <c r="F270" s="1" t="e" cm="1">
        <f t="array" aca="1" ref="F270" ca="1">_xll.BDP("YW129328 Corp","DS035")</f>
        <v>#NAME?</v>
      </c>
      <c r="G270" s="1" t="e" cm="1">
        <f t="array" aca="1" ref="G270" ca="1">_xll.BDP("YW129328 Corp","DS086")</f>
        <v>#NAME?</v>
      </c>
      <c r="H270" s="1" t="e" cm="1">
        <f t="array" aca="1" ref="H270" ca="1">_xll.BDP("YW129328 Corp","DS034")</f>
        <v>#NAME?</v>
      </c>
      <c r="I270" s="1" t="e" cm="1">
        <f t="array" aca="1" ref="I270" ca="1">_xll.BDP("YW129328 Corp","DS033")</f>
        <v>#NAME?</v>
      </c>
      <c r="J270" s="7" t="e" cm="1">
        <f t="array" aca="1" ref="J270" ca="1">_xll.BDP("YW129328 Corp","YL018")</f>
        <v>#NAME?</v>
      </c>
      <c r="K270" s="7" t="e" cm="1">
        <f t="array" aca="1" ref="K270" ca="1">_xll.BDP("YW129328 Corp","YL016")</f>
        <v>#NAME?</v>
      </c>
      <c r="L270" s="7" t="e" cm="1">
        <f t="array" aca="1" ref="L270" ca="1">_xll.BDP("YW129328 Corp","PR004")</f>
        <v>#NAME?</v>
      </c>
      <c r="M270" s="7" t="e" cm="1">
        <f t="array" aca="1" ref="M270" ca="1">_xll.BDP("YW129328 Corp","PR002")</f>
        <v>#NAME?</v>
      </c>
      <c r="N270" s="1" t="e" cm="1">
        <f t="array" aca="1" ref="N270" ca="1">_xll.BDP("YW129328 Corp","ID028")</f>
        <v>#NAME?</v>
      </c>
      <c r="O270" s="1" t="e" cm="1">
        <f t="array" aca="1" ref="O270" ca="1">_xll.BDP("YW129328 Corp","ID005")</f>
        <v>#NAME?</v>
      </c>
      <c r="P270" s="1" t="e" cm="1">
        <f t="array" aca="1" ref="P270" ca="1">_xll.BDP(A270,"RA007")</f>
        <v>#NAME?</v>
      </c>
      <c r="Q270" s="1" t="e" cm="1">
        <f t="array" aca="1" ref="Q270" ca="1">_xll.BDP(A270,"DS219")</f>
        <v>#NAME?</v>
      </c>
      <c r="R270" s="3" t="e" cm="1">
        <f t="array" aca="1" ref="R270" ca="1">_xll.BDP(A270,"DS040")</f>
        <v>#NAME?</v>
      </c>
      <c r="S270" s="4" t="e">
        <f t="shared" ca="1" si="12"/>
        <v>#NAME?</v>
      </c>
      <c r="T270" s="7" t="e">
        <f t="shared" ca="1" si="13"/>
        <v>#NAME?</v>
      </c>
      <c r="U270" s="3" t="e">
        <f t="shared" ca="1" si="14"/>
        <v>#NAME?</v>
      </c>
    </row>
    <row r="271" spans="1:21" x14ac:dyDescent="0.35">
      <c r="A271" s="5" t="s">
        <v>330</v>
      </c>
      <c r="B271" s="1" t="e" cm="1">
        <f t="array" aca="1" ref="B271" ca="1">_xll.BDP("YW192607 Corp","DS520")</f>
        <v>#NAME?</v>
      </c>
      <c r="C271" s="1" t="e" cm="1">
        <f t="array" aca="1" ref="C271" ca="1">_xll.BDP("YW192607 Corp","DS001")</f>
        <v>#NAME?</v>
      </c>
      <c r="D271" s="1" t="e" cm="1">
        <f t="array" aca="1" ref="D271" ca="1">_xll.BDP("YW192607 Corp","DS458")</f>
        <v>#NAME?</v>
      </c>
      <c r="E271" s="1" t="e" cm="1">
        <f t="array" aca="1" ref="E271" ca="1">_xll.BDP("YW192607 Corp","DS004")</f>
        <v>#NAME?</v>
      </c>
      <c r="F271" s="1" t="e" cm="1">
        <f t="array" aca="1" ref="F271" ca="1">_xll.BDP("YW192607 Corp","DS035")</f>
        <v>#NAME?</v>
      </c>
      <c r="G271" s="1" t="e" cm="1">
        <f t="array" aca="1" ref="G271" ca="1">_xll.BDP("YW192607 Corp","DS086")</f>
        <v>#NAME?</v>
      </c>
      <c r="H271" s="1" t="e" cm="1">
        <f t="array" aca="1" ref="H271" ca="1">_xll.BDP("YW192607 Corp","DS034")</f>
        <v>#NAME?</v>
      </c>
      <c r="I271" s="1" t="e" cm="1">
        <f t="array" aca="1" ref="I271" ca="1">_xll.BDP("YW192607 Corp","DS033")</f>
        <v>#NAME?</v>
      </c>
      <c r="J271" s="7" t="e" cm="1">
        <f t="array" aca="1" ref="J271" ca="1">_xll.BDP("YW192607 Corp","YL018")</f>
        <v>#NAME?</v>
      </c>
      <c r="K271" s="7" t="e" cm="1">
        <f t="array" aca="1" ref="K271" ca="1">_xll.BDP("YW192607 Corp","YL016")</f>
        <v>#NAME?</v>
      </c>
      <c r="L271" s="7" t="e" cm="1">
        <f t="array" aca="1" ref="L271" ca="1">_xll.BDP("YW192607 Corp","PR004")</f>
        <v>#NAME?</v>
      </c>
      <c r="M271" s="7" t="e" cm="1">
        <f t="array" aca="1" ref="M271" ca="1">_xll.BDP("YW192607 Corp","PR002")</f>
        <v>#NAME?</v>
      </c>
      <c r="N271" s="1" t="e" cm="1">
        <f t="array" aca="1" ref="N271" ca="1">_xll.BDP("YW192607 Corp","ID028")</f>
        <v>#NAME?</v>
      </c>
      <c r="O271" s="1" t="e" cm="1">
        <f t="array" aca="1" ref="O271" ca="1">_xll.BDP("YW192607 Corp","ID005")</f>
        <v>#NAME?</v>
      </c>
      <c r="P271" s="1" t="e" cm="1">
        <f t="array" aca="1" ref="P271" ca="1">_xll.BDP(A271,"RA007")</f>
        <v>#NAME?</v>
      </c>
      <c r="Q271" s="1" t="e" cm="1">
        <f t="array" aca="1" ref="Q271" ca="1">_xll.BDP(A271,"DS219")</f>
        <v>#NAME?</v>
      </c>
      <c r="R271" s="3" t="e" cm="1">
        <f t="array" aca="1" ref="R271" ca="1">_xll.BDP(A271,"DS040")</f>
        <v>#NAME?</v>
      </c>
      <c r="S271" s="4" t="e">
        <f t="shared" ca="1" si="12"/>
        <v>#NAME?</v>
      </c>
      <c r="T271" s="7" t="e">
        <f t="shared" ca="1" si="13"/>
        <v>#NAME?</v>
      </c>
      <c r="U271" s="3" t="e">
        <f t="shared" ca="1" si="14"/>
        <v>#NAME?</v>
      </c>
    </row>
    <row r="272" spans="1:21" x14ac:dyDescent="0.35">
      <c r="A272" s="5" t="s">
        <v>331</v>
      </c>
      <c r="B272" s="1" t="e" cm="1">
        <f t="array" aca="1" ref="B272" ca="1">_xll.BDP("YW286965 Corp","DS520")</f>
        <v>#NAME?</v>
      </c>
      <c r="C272" s="1" t="e" cm="1">
        <f t="array" aca="1" ref="C272" ca="1">_xll.BDP("YW286965 Corp","DS001")</f>
        <v>#NAME?</v>
      </c>
      <c r="D272" s="1" t="e" cm="1">
        <f t="array" aca="1" ref="D272" ca="1">_xll.BDP("YW286965 Corp","DS458")</f>
        <v>#NAME?</v>
      </c>
      <c r="E272" s="1" t="e" cm="1">
        <f t="array" aca="1" ref="E272" ca="1">_xll.BDP("YW286965 Corp","DS004")</f>
        <v>#NAME?</v>
      </c>
      <c r="F272" s="1" t="e" cm="1">
        <f t="array" aca="1" ref="F272" ca="1">_xll.BDP("YW286965 Corp","DS035")</f>
        <v>#NAME?</v>
      </c>
      <c r="G272" s="1" t="e" cm="1">
        <f t="array" aca="1" ref="G272" ca="1">_xll.BDP("YW286965 Corp","DS086")</f>
        <v>#NAME?</v>
      </c>
      <c r="H272" s="1" t="e" cm="1">
        <f t="array" aca="1" ref="H272" ca="1">_xll.BDP("YW286965 Corp","DS034")</f>
        <v>#NAME?</v>
      </c>
      <c r="I272" s="1" t="e" cm="1">
        <f t="array" aca="1" ref="I272" ca="1">_xll.BDP("YW286965 Corp","DS033")</f>
        <v>#NAME?</v>
      </c>
      <c r="J272" s="7" t="e" cm="1">
        <f t="array" aca="1" ref="J272" ca="1">_xll.BDP("YW286965 Corp","YL018")</f>
        <v>#NAME?</v>
      </c>
      <c r="K272" s="7" t="e" cm="1">
        <f t="array" aca="1" ref="K272" ca="1">_xll.BDP("YW286965 Corp","YL016")</f>
        <v>#NAME?</v>
      </c>
      <c r="L272" s="7" t="e" cm="1">
        <f t="array" aca="1" ref="L272" ca="1">_xll.BDP("YW286965 Corp","PR004")</f>
        <v>#NAME?</v>
      </c>
      <c r="M272" s="7" t="e" cm="1">
        <f t="array" aca="1" ref="M272" ca="1">_xll.BDP("YW286965 Corp","PR002")</f>
        <v>#NAME?</v>
      </c>
      <c r="N272" s="1" t="e" cm="1">
        <f t="array" aca="1" ref="N272" ca="1">_xll.BDP("YW286965 Corp","ID028")</f>
        <v>#NAME?</v>
      </c>
      <c r="O272" s="1" t="e" cm="1">
        <f t="array" aca="1" ref="O272" ca="1">_xll.BDP("YW286965 Corp","ID005")</f>
        <v>#NAME?</v>
      </c>
      <c r="P272" s="1" t="e" cm="1">
        <f t="array" aca="1" ref="P272" ca="1">_xll.BDP(A272,"RA007")</f>
        <v>#NAME?</v>
      </c>
      <c r="Q272" s="1" t="e" cm="1">
        <f t="array" aca="1" ref="Q272" ca="1">_xll.BDP(A272,"DS219")</f>
        <v>#NAME?</v>
      </c>
      <c r="R272" s="3" t="e" cm="1">
        <f t="array" aca="1" ref="R272" ca="1">_xll.BDP(A272,"DS040")</f>
        <v>#NAME?</v>
      </c>
      <c r="S272" s="4" t="e">
        <f t="shared" ca="1" si="12"/>
        <v>#NAME?</v>
      </c>
      <c r="T272" s="7" t="e">
        <f t="shared" ca="1" si="13"/>
        <v>#NAME?</v>
      </c>
      <c r="U272" s="3" t="e">
        <f t="shared" ca="1" si="14"/>
        <v>#NAME?</v>
      </c>
    </row>
    <row r="273" spans="1:21" x14ac:dyDescent="0.35">
      <c r="A273" s="5" t="s">
        <v>332</v>
      </c>
      <c r="B273" s="1" t="e" cm="1">
        <f t="array" aca="1" ref="B273" ca="1">_xll.BDP("YW348675 Corp","DS520")</f>
        <v>#NAME?</v>
      </c>
      <c r="C273" s="1" t="e" cm="1">
        <f t="array" aca="1" ref="C273" ca="1">_xll.BDP("YW348675 Corp","DS001")</f>
        <v>#NAME?</v>
      </c>
      <c r="D273" s="1" t="e" cm="1">
        <f t="array" aca="1" ref="D273" ca="1">_xll.BDP("YW348675 Corp","DS458")</f>
        <v>#NAME?</v>
      </c>
      <c r="E273" s="1" t="e" cm="1">
        <f t="array" aca="1" ref="E273" ca="1">_xll.BDP("YW348675 Corp","DS004")</f>
        <v>#NAME?</v>
      </c>
      <c r="F273" s="1" t="e" cm="1">
        <f t="array" aca="1" ref="F273" ca="1">_xll.BDP("YW348675 Corp","DS035")</f>
        <v>#NAME?</v>
      </c>
      <c r="G273" s="1" t="e" cm="1">
        <f t="array" aca="1" ref="G273" ca="1">_xll.BDP("YW348675 Corp","DS086")</f>
        <v>#NAME?</v>
      </c>
      <c r="H273" s="1" t="e" cm="1">
        <f t="array" aca="1" ref="H273" ca="1">_xll.BDP("YW348675 Corp","DS034")</f>
        <v>#NAME?</v>
      </c>
      <c r="I273" s="1" t="e" cm="1">
        <f t="array" aca="1" ref="I273" ca="1">_xll.BDP("YW348675 Corp","DS033")</f>
        <v>#NAME?</v>
      </c>
      <c r="J273" s="7" t="e" cm="1">
        <f t="array" aca="1" ref="J273" ca="1">_xll.BDP("YW348675 Corp","YL018")</f>
        <v>#NAME?</v>
      </c>
      <c r="K273" s="7" t="e" cm="1">
        <f t="array" aca="1" ref="K273" ca="1">_xll.BDP("YW348675 Corp","YL016")</f>
        <v>#NAME?</v>
      </c>
      <c r="L273" s="7" t="e" cm="1">
        <f t="array" aca="1" ref="L273" ca="1">_xll.BDP("YW348675 Corp","PR004")</f>
        <v>#NAME?</v>
      </c>
      <c r="M273" s="7" t="e" cm="1">
        <f t="array" aca="1" ref="M273" ca="1">_xll.BDP("YW348675 Corp","PR002")</f>
        <v>#NAME?</v>
      </c>
      <c r="N273" s="1" t="e" cm="1">
        <f t="array" aca="1" ref="N273" ca="1">_xll.BDP("YW348675 Corp","ID028")</f>
        <v>#NAME?</v>
      </c>
      <c r="O273" s="1" t="e" cm="1">
        <f t="array" aca="1" ref="O273" ca="1">_xll.BDP("YW348675 Corp","ID005")</f>
        <v>#NAME?</v>
      </c>
      <c r="P273" s="1" t="e" cm="1">
        <f t="array" aca="1" ref="P273" ca="1">_xll.BDP(A273,"RA007")</f>
        <v>#NAME?</v>
      </c>
      <c r="Q273" s="1" t="e" cm="1">
        <f t="array" aca="1" ref="Q273" ca="1">_xll.BDP(A273,"DS219")</f>
        <v>#NAME?</v>
      </c>
      <c r="R273" s="3" t="e" cm="1">
        <f t="array" aca="1" ref="R273" ca="1">_xll.BDP(A273,"DS040")</f>
        <v>#NAME?</v>
      </c>
      <c r="S273" s="4" t="e">
        <f t="shared" ca="1" si="12"/>
        <v>#NAME?</v>
      </c>
      <c r="T273" s="7" t="e">
        <f t="shared" ca="1" si="13"/>
        <v>#NAME?</v>
      </c>
      <c r="U273" s="3" t="e">
        <f t="shared" ca="1" si="14"/>
        <v>#NAME?</v>
      </c>
    </row>
    <row r="274" spans="1:21" x14ac:dyDescent="0.35">
      <c r="A274" s="5" t="s">
        <v>333</v>
      </c>
      <c r="B274" s="1" t="e" cm="1">
        <f t="array" aca="1" ref="B274" ca="1">_xll.BDP("YW503765 Corp","DS520")</f>
        <v>#NAME?</v>
      </c>
      <c r="C274" s="1" t="e" cm="1">
        <f t="array" aca="1" ref="C274" ca="1">_xll.BDP("YW503765 Corp","DS001")</f>
        <v>#NAME?</v>
      </c>
      <c r="D274" s="1" t="e" cm="1">
        <f t="array" aca="1" ref="D274" ca="1">_xll.BDP("YW503765 Corp","DS458")</f>
        <v>#NAME?</v>
      </c>
      <c r="E274" s="1" t="e" cm="1">
        <f t="array" aca="1" ref="E274" ca="1">_xll.BDP("YW503765 Corp","DS004")</f>
        <v>#NAME?</v>
      </c>
      <c r="F274" s="1" t="e" cm="1">
        <f t="array" aca="1" ref="F274" ca="1">_xll.BDP("YW503765 Corp","DS035")</f>
        <v>#NAME?</v>
      </c>
      <c r="G274" s="1" t="e" cm="1">
        <f t="array" aca="1" ref="G274" ca="1">_xll.BDP("YW503765 Corp","DS086")</f>
        <v>#NAME?</v>
      </c>
      <c r="H274" s="1" t="e" cm="1">
        <f t="array" aca="1" ref="H274" ca="1">_xll.BDP("YW503765 Corp","DS034")</f>
        <v>#NAME?</v>
      </c>
      <c r="I274" s="1" t="e" cm="1">
        <f t="array" aca="1" ref="I274" ca="1">_xll.BDP("YW503765 Corp","DS033")</f>
        <v>#NAME?</v>
      </c>
      <c r="J274" s="7" t="e" cm="1">
        <f t="array" aca="1" ref="J274" ca="1">_xll.BDP("YW503765 Corp","YL018")</f>
        <v>#NAME?</v>
      </c>
      <c r="K274" s="7" t="e" cm="1">
        <f t="array" aca="1" ref="K274" ca="1">_xll.BDP("YW503765 Corp","YL016")</f>
        <v>#NAME?</v>
      </c>
      <c r="L274" s="7" t="e" cm="1">
        <f t="array" aca="1" ref="L274" ca="1">_xll.BDP("YW503765 Corp","PR004")</f>
        <v>#NAME?</v>
      </c>
      <c r="M274" s="7" t="e" cm="1">
        <f t="array" aca="1" ref="M274" ca="1">_xll.BDP("YW503765 Corp","PR002")</f>
        <v>#NAME?</v>
      </c>
      <c r="N274" s="1" t="e" cm="1">
        <f t="array" aca="1" ref="N274" ca="1">_xll.BDP("YW503765 Corp","ID028")</f>
        <v>#NAME?</v>
      </c>
      <c r="O274" s="1" t="e" cm="1">
        <f t="array" aca="1" ref="O274" ca="1">_xll.BDP("YW503765 Corp","ID005")</f>
        <v>#NAME?</v>
      </c>
      <c r="P274" s="1" t="e" cm="1">
        <f t="array" aca="1" ref="P274" ca="1">_xll.BDP(A274,"RA007")</f>
        <v>#NAME?</v>
      </c>
      <c r="Q274" s="1" t="e" cm="1">
        <f t="array" aca="1" ref="Q274" ca="1">_xll.BDP(A274,"DS219")</f>
        <v>#NAME?</v>
      </c>
      <c r="R274" s="3" t="e" cm="1">
        <f t="array" aca="1" ref="R274" ca="1">_xll.BDP(A274,"DS040")</f>
        <v>#NAME?</v>
      </c>
      <c r="S274" s="4" t="e">
        <f t="shared" ca="1" si="12"/>
        <v>#NAME?</v>
      </c>
      <c r="T274" s="7" t="e">
        <f t="shared" ca="1" si="13"/>
        <v>#NAME?</v>
      </c>
      <c r="U274" s="3" t="e">
        <f t="shared" ca="1" si="14"/>
        <v>#NAME?</v>
      </c>
    </row>
    <row r="275" spans="1:21" x14ac:dyDescent="0.35">
      <c r="A275" s="5" t="s">
        <v>334</v>
      </c>
      <c r="B275" s="1" t="e" cm="1">
        <f t="array" aca="1" ref="B275" ca="1">_xll.BDP("YW691926 Corp","DS520")</f>
        <v>#NAME?</v>
      </c>
      <c r="C275" s="1" t="e" cm="1">
        <f t="array" aca="1" ref="C275" ca="1">_xll.BDP("YW691926 Corp","DS001")</f>
        <v>#NAME?</v>
      </c>
      <c r="D275" s="1" t="e" cm="1">
        <f t="array" aca="1" ref="D275" ca="1">_xll.BDP("YW691926 Corp","DS458")</f>
        <v>#NAME?</v>
      </c>
      <c r="E275" s="1" t="e" cm="1">
        <f t="array" aca="1" ref="E275" ca="1">_xll.BDP("YW691926 Corp","DS004")</f>
        <v>#NAME?</v>
      </c>
      <c r="F275" s="1" t="e" cm="1">
        <f t="array" aca="1" ref="F275" ca="1">_xll.BDP("YW691926 Corp","DS035")</f>
        <v>#NAME?</v>
      </c>
      <c r="G275" s="1" t="e" cm="1">
        <f t="array" aca="1" ref="G275" ca="1">_xll.BDP("YW691926 Corp","DS086")</f>
        <v>#NAME?</v>
      </c>
      <c r="H275" s="1" t="e" cm="1">
        <f t="array" aca="1" ref="H275" ca="1">_xll.BDP("YW691926 Corp","DS034")</f>
        <v>#NAME?</v>
      </c>
      <c r="I275" s="1" t="e" cm="1">
        <f t="array" aca="1" ref="I275" ca="1">_xll.BDP("YW691926 Corp","DS033")</f>
        <v>#NAME?</v>
      </c>
      <c r="J275" s="7" t="e" cm="1">
        <f t="array" aca="1" ref="J275" ca="1">_xll.BDP("YW691926 Corp","YL018")</f>
        <v>#NAME?</v>
      </c>
      <c r="K275" s="7" t="e" cm="1">
        <f t="array" aca="1" ref="K275" ca="1">_xll.BDP("YW691926 Corp","YL016")</f>
        <v>#NAME?</v>
      </c>
      <c r="L275" s="7" t="e" cm="1">
        <f t="array" aca="1" ref="L275" ca="1">_xll.BDP("YW691926 Corp","PR004")</f>
        <v>#NAME?</v>
      </c>
      <c r="M275" s="7" t="e" cm="1">
        <f t="array" aca="1" ref="M275" ca="1">_xll.BDP("YW691926 Corp","PR002")</f>
        <v>#NAME?</v>
      </c>
      <c r="N275" s="1" t="e" cm="1">
        <f t="array" aca="1" ref="N275" ca="1">_xll.BDP("YW691926 Corp","ID028")</f>
        <v>#NAME?</v>
      </c>
      <c r="O275" s="1" t="e" cm="1">
        <f t="array" aca="1" ref="O275" ca="1">_xll.BDP("YW691926 Corp","ID005")</f>
        <v>#NAME?</v>
      </c>
      <c r="P275" s="1" t="e" cm="1">
        <f t="array" aca="1" ref="P275" ca="1">_xll.BDP(A275,"RA007")</f>
        <v>#NAME?</v>
      </c>
      <c r="Q275" s="1" t="e" cm="1">
        <f t="array" aca="1" ref="Q275" ca="1">_xll.BDP(A275,"DS219")</f>
        <v>#NAME?</v>
      </c>
      <c r="R275" s="3" t="e" cm="1">
        <f t="array" aca="1" ref="R275" ca="1">_xll.BDP(A275,"DS040")</f>
        <v>#NAME?</v>
      </c>
      <c r="S275" s="4" t="e">
        <f t="shared" ca="1" si="12"/>
        <v>#NAME?</v>
      </c>
      <c r="T275" s="7" t="e">
        <f t="shared" ca="1" si="13"/>
        <v>#NAME?</v>
      </c>
      <c r="U275" s="3" t="e">
        <f t="shared" ca="1" si="14"/>
        <v>#NAME?</v>
      </c>
    </row>
    <row r="276" spans="1:21" x14ac:dyDescent="0.35">
      <c r="A276" s="5" t="s">
        <v>335</v>
      </c>
      <c r="B276" s="1" t="e" cm="1">
        <f t="array" aca="1" ref="B276" ca="1">_xll.BDP("YX094761 Corp","DS520")</f>
        <v>#NAME?</v>
      </c>
      <c r="C276" s="1" t="e" cm="1">
        <f t="array" aca="1" ref="C276" ca="1">_xll.BDP("YX094761 Corp","DS001")</f>
        <v>#NAME?</v>
      </c>
      <c r="D276" s="1" t="e" cm="1">
        <f t="array" aca="1" ref="D276" ca="1">_xll.BDP("YX094761 Corp","DS458")</f>
        <v>#NAME?</v>
      </c>
      <c r="E276" s="1" t="e" cm="1">
        <f t="array" aca="1" ref="E276" ca="1">_xll.BDP("YX094761 Corp","DS004")</f>
        <v>#NAME?</v>
      </c>
      <c r="F276" s="1" t="e" cm="1">
        <f t="array" aca="1" ref="F276" ca="1">_xll.BDP("YX094761 Corp","DS035")</f>
        <v>#NAME?</v>
      </c>
      <c r="G276" s="1" t="e" cm="1">
        <f t="array" aca="1" ref="G276" ca="1">_xll.BDP("YX094761 Corp","DS086")</f>
        <v>#NAME?</v>
      </c>
      <c r="H276" s="1" t="e" cm="1">
        <f t="array" aca="1" ref="H276" ca="1">_xll.BDP("YX094761 Corp","DS034")</f>
        <v>#NAME?</v>
      </c>
      <c r="I276" s="1" t="e" cm="1">
        <f t="array" aca="1" ref="I276" ca="1">_xll.BDP("YX094761 Corp","DS033")</f>
        <v>#NAME?</v>
      </c>
      <c r="J276" s="7" t="e" cm="1">
        <f t="array" aca="1" ref="J276" ca="1">_xll.BDP("YX094761 Corp","YL018")</f>
        <v>#NAME?</v>
      </c>
      <c r="K276" s="7" t="e" cm="1">
        <f t="array" aca="1" ref="K276" ca="1">_xll.BDP("YX094761 Corp","YL016")</f>
        <v>#NAME?</v>
      </c>
      <c r="L276" s="7" t="e" cm="1">
        <f t="array" aca="1" ref="L276" ca="1">_xll.BDP("YX094761 Corp","PR004")</f>
        <v>#NAME?</v>
      </c>
      <c r="M276" s="7" t="e" cm="1">
        <f t="array" aca="1" ref="M276" ca="1">_xll.BDP("YX094761 Corp","PR002")</f>
        <v>#NAME?</v>
      </c>
      <c r="N276" s="1" t="e" cm="1">
        <f t="array" aca="1" ref="N276" ca="1">_xll.BDP("YX094761 Corp","ID028")</f>
        <v>#NAME?</v>
      </c>
      <c r="O276" s="1" t="e" cm="1">
        <f t="array" aca="1" ref="O276" ca="1">_xll.BDP("YX094761 Corp","ID005")</f>
        <v>#NAME?</v>
      </c>
      <c r="P276" s="1" t="e" cm="1">
        <f t="array" aca="1" ref="P276" ca="1">_xll.BDP(A276,"RA007")</f>
        <v>#NAME?</v>
      </c>
      <c r="Q276" s="1" t="e" cm="1">
        <f t="array" aca="1" ref="Q276" ca="1">_xll.BDP(A276,"DS219")</f>
        <v>#NAME?</v>
      </c>
      <c r="R276" s="3" t="e" cm="1">
        <f t="array" aca="1" ref="R276" ca="1">_xll.BDP(A276,"DS040")</f>
        <v>#NAME?</v>
      </c>
      <c r="S276" s="4" t="e">
        <f t="shared" ca="1" si="12"/>
        <v>#NAME?</v>
      </c>
      <c r="T276" s="7" t="e">
        <f t="shared" ca="1" si="13"/>
        <v>#NAME?</v>
      </c>
      <c r="U276" s="3" t="e">
        <f t="shared" ca="1" si="14"/>
        <v>#NAME?</v>
      </c>
    </row>
    <row r="277" spans="1:21" x14ac:dyDescent="0.35">
      <c r="A277" s="5" t="s">
        <v>336</v>
      </c>
      <c r="B277" s="1" t="e" cm="1">
        <f t="array" aca="1" ref="B277" ca="1">_xll.BDP("YX270525 Corp","DS520")</f>
        <v>#NAME?</v>
      </c>
      <c r="C277" s="1" t="e" cm="1">
        <f t="array" aca="1" ref="C277" ca="1">_xll.BDP("YX270525 Corp","DS001")</f>
        <v>#NAME?</v>
      </c>
      <c r="D277" s="1" t="e" cm="1">
        <f t="array" aca="1" ref="D277" ca="1">_xll.BDP("YX270525 Corp","DS458")</f>
        <v>#NAME?</v>
      </c>
      <c r="E277" s="1" t="e" cm="1">
        <f t="array" aca="1" ref="E277" ca="1">_xll.BDP("YX270525 Corp","DS004")</f>
        <v>#NAME?</v>
      </c>
      <c r="F277" s="1" t="e" cm="1">
        <f t="array" aca="1" ref="F277" ca="1">_xll.BDP("YX270525 Corp","DS035")</f>
        <v>#NAME?</v>
      </c>
      <c r="G277" s="1" t="e" cm="1">
        <f t="array" aca="1" ref="G277" ca="1">_xll.BDP("YX270525 Corp","DS086")</f>
        <v>#NAME?</v>
      </c>
      <c r="H277" s="1" t="e" cm="1">
        <f t="array" aca="1" ref="H277" ca="1">_xll.BDP("YX270525 Corp","DS034")</f>
        <v>#NAME?</v>
      </c>
      <c r="I277" s="1" t="e" cm="1">
        <f t="array" aca="1" ref="I277" ca="1">_xll.BDP("YX270525 Corp","DS033")</f>
        <v>#NAME?</v>
      </c>
      <c r="J277" s="7" t="e" cm="1">
        <f t="array" aca="1" ref="J277" ca="1">_xll.BDP("YX270525 Corp","YL018")</f>
        <v>#NAME?</v>
      </c>
      <c r="K277" s="7" t="e" cm="1">
        <f t="array" aca="1" ref="K277" ca="1">_xll.BDP("YX270525 Corp","YL016")</f>
        <v>#NAME?</v>
      </c>
      <c r="L277" s="7" t="e" cm="1">
        <f t="array" aca="1" ref="L277" ca="1">_xll.BDP("YX270525 Corp","PR004")</f>
        <v>#NAME?</v>
      </c>
      <c r="M277" s="7" t="e" cm="1">
        <f t="array" aca="1" ref="M277" ca="1">_xll.BDP("YX270525 Corp","PR002")</f>
        <v>#NAME?</v>
      </c>
      <c r="N277" s="1" t="e" cm="1">
        <f t="array" aca="1" ref="N277" ca="1">_xll.BDP("YX270525 Corp","ID028")</f>
        <v>#NAME?</v>
      </c>
      <c r="O277" s="1" t="e" cm="1">
        <f t="array" aca="1" ref="O277" ca="1">_xll.BDP("YX270525 Corp","ID005")</f>
        <v>#NAME?</v>
      </c>
      <c r="P277" s="1" t="e" cm="1">
        <f t="array" aca="1" ref="P277" ca="1">_xll.BDP(A277,"RA007")</f>
        <v>#NAME?</v>
      </c>
      <c r="Q277" s="1" t="e" cm="1">
        <f t="array" aca="1" ref="Q277" ca="1">_xll.BDP(A277,"DS219")</f>
        <v>#NAME?</v>
      </c>
      <c r="R277" s="3" t="e" cm="1">
        <f t="array" aca="1" ref="R277" ca="1">_xll.BDP(A277,"DS040")</f>
        <v>#NAME?</v>
      </c>
      <c r="S277" s="4" t="e">
        <f t="shared" ca="1" si="12"/>
        <v>#NAME?</v>
      </c>
      <c r="T277" s="7" t="e">
        <f t="shared" ca="1" si="13"/>
        <v>#NAME?</v>
      </c>
      <c r="U277" s="3" t="e">
        <f t="shared" ca="1" si="14"/>
        <v>#NAME?</v>
      </c>
    </row>
    <row r="278" spans="1:21" x14ac:dyDescent="0.35">
      <c r="A278" s="5" t="s">
        <v>337</v>
      </c>
      <c r="B278" s="1" t="e" cm="1">
        <f t="array" aca="1" ref="B278" ca="1">_xll.BDP("YX384834 Corp","DS520")</f>
        <v>#NAME?</v>
      </c>
      <c r="C278" s="1" t="e" cm="1">
        <f t="array" aca="1" ref="C278" ca="1">_xll.BDP("YX384834 Corp","DS001")</f>
        <v>#NAME?</v>
      </c>
      <c r="D278" s="1" t="e" cm="1">
        <f t="array" aca="1" ref="D278" ca="1">_xll.BDP("YX384834 Corp","DS458")</f>
        <v>#NAME?</v>
      </c>
      <c r="E278" s="1" t="e" cm="1">
        <f t="array" aca="1" ref="E278" ca="1">_xll.BDP("YX384834 Corp","DS004")</f>
        <v>#NAME?</v>
      </c>
      <c r="F278" s="1" t="e" cm="1">
        <f t="array" aca="1" ref="F278" ca="1">_xll.BDP("YX384834 Corp","DS035")</f>
        <v>#NAME?</v>
      </c>
      <c r="G278" s="1" t="e" cm="1">
        <f t="array" aca="1" ref="G278" ca="1">_xll.BDP("YX384834 Corp","DS086")</f>
        <v>#NAME?</v>
      </c>
      <c r="H278" s="1" t="e" cm="1">
        <f t="array" aca="1" ref="H278" ca="1">_xll.BDP("YX384834 Corp","DS034")</f>
        <v>#NAME?</v>
      </c>
      <c r="I278" s="1" t="e" cm="1">
        <f t="array" aca="1" ref="I278" ca="1">_xll.BDP("YX384834 Corp","DS033")</f>
        <v>#NAME?</v>
      </c>
      <c r="J278" s="7" t="e" cm="1">
        <f t="array" aca="1" ref="J278" ca="1">_xll.BDP("YX384834 Corp","YL018")</f>
        <v>#NAME?</v>
      </c>
      <c r="K278" s="7" t="e" cm="1">
        <f t="array" aca="1" ref="K278" ca="1">_xll.BDP("YX384834 Corp","YL016")</f>
        <v>#NAME?</v>
      </c>
      <c r="L278" s="7" t="e" cm="1">
        <f t="array" aca="1" ref="L278" ca="1">_xll.BDP("YX384834 Corp","PR004")</f>
        <v>#NAME?</v>
      </c>
      <c r="M278" s="7" t="e" cm="1">
        <f t="array" aca="1" ref="M278" ca="1">_xll.BDP("YX384834 Corp","PR002")</f>
        <v>#NAME?</v>
      </c>
      <c r="N278" s="1" t="e" cm="1">
        <f t="array" aca="1" ref="N278" ca="1">_xll.BDP("YX384834 Corp","ID028")</f>
        <v>#NAME?</v>
      </c>
      <c r="O278" s="1" t="e" cm="1">
        <f t="array" aca="1" ref="O278" ca="1">_xll.BDP("YX384834 Corp","ID005")</f>
        <v>#NAME?</v>
      </c>
      <c r="P278" s="1" t="e" cm="1">
        <f t="array" aca="1" ref="P278" ca="1">_xll.BDP(A278,"RA007")</f>
        <v>#NAME?</v>
      </c>
      <c r="Q278" s="1" t="e" cm="1">
        <f t="array" aca="1" ref="Q278" ca="1">_xll.BDP(A278,"DS219")</f>
        <v>#NAME?</v>
      </c>
      <c r="R278" s="3" t="e" cm="1">
        <f t="array" aca="1" ref="R278" ca="1">_xll.BDP(A278,"DS040")</f>
        <v>#NAME?</v>
      </c>
      <c r="S278" s="4" t="e">
        <f t="shared" ca="1" si="12"/>
        <v>#NAME?</v>
      </c>
      <c r="T278" s="7" t="e">
        <f t="shared" ca="1" si="13"/>
        <v>#NAME?</v>
      </c>
      <c r="U278" s="3" t="e">
        <f t="shared" ca="1" si="14"/>
        <v>#NAME?</v>
      </c>
    </row>
    <row r="279" spans="1:21" x14ac:dyDescent="0.35">
      <c r="A279" s="5" t="s">
        <v>338</v>
      </c>
      <c r="B279" s="1" t="e" cm="1">
        <f t="array" aca="1" ref="B279" ca="1">_xll.BDP("YX440521 Corp","DS520")</f>
        <v>#NAME?</v>
      </c>
      <c r="C279" s="1" t="e" cm="1">
        <f t="array" aca="1" ref="C279" ca="1">_xll.BDP("YX440521 Corp","DS001")</f>
        <v>#NAME?</v>
      </c>
      <c r="D279" s="1" t="e" cm="1">
        <f t="array" aca="1" ref="D279" ca="1">_xll.BDP("YX440521 Corp","DS458")</f>
        <v>#NAME?</v>
      </c>
      <c r="E279" s="1" t="e" cm="1">
        <f t="array" aca="1" ref="E279" ca="1">_xll.BDP("YX440521 Corp","DS004")</f>
        <v>#NAME?</v>
      </c>
      <c r="F279" s="1" t="e" cm="1">
        <f t="array" aca="1" ref="F279" ca="1">_xll.BDP("YX440521 Corp","DS035")</f>
        <v>#NAME?</v>
      </c>
      <c r="G279" s="1" t="e" cm="1">
        <f t="array" aca="1" ref="G279" ca="1">_xll.BDP("YX440521 Corp","DS086")</f>
        <v>#NAME?</v>
      </c>
      <c r="H279" s="1" t="e" cm="1">
        <f t="array" aca="1" ref="H279" ca="1">_xll.BDP("YX440521 Corp","DS034")</f>
        <v>#NAME?</v>
      </c>
      <c r="I279" s="1" t="e" cm="1">
        <f t="array" aca="1" ref="I279" ca="1">_xll.BDP("YX440521 Corp","DS033")</f>
        <v>#NAME?</v>
      </c>
      <c r="J279" s="7" t="e" cm="1">
        <f t="array" aca="1" ref="J279" ca="1">_xll.BDP("YX440521 Corp","YL018")</f>
        <v>#NAME?</v>
      </c>
      <c r="K279" s="7" t="e" cm="1">
        <f t="array" aca="1" ref="K279" ca="1">_xll.BDP("YX440521 Corp","YL016")</f>
        <v>#NAME?</v>
      </c>
      <c r="L279" s="7" t="e" cm="1">
        <f t="array" aca="1" ref="L279" ca="1">_xll.BDP("YX440521 Corp","PR004")</f>
        <v>#NAME?</v>
      </c>
      <c r="M279" s="7" t="e" cm="1">
        <f t="array" aca="1" ref="M279" ca="1">_xll.BDP("YX440521 Corp","PR002")</f>
        <v>#NAME?</v>
      </c>
      <c r="N279" s="1" t="e" cm="1">
        <f t="array" aca="1" ref="N279" ca="1">_xll.BDP("YX440521 Corp","ID028")</f>
        <v>#NAME?</v>
      </c>
      <c r="O279" s="1" t="e" cm="1">
        <f t="array" aca="1" ref="O279" ca="1">_xll.BDP("YX440521 Corp","ID005")</f>
        <v>#NAME?</v>
      </c>
      <c r="P279" s="1" t="e" cm="1">
        <f t="array" aca="1" ref="P279" ca="1">_xll.BDP(A279,"RA007")</f>
        <v>#NAME?</v>
      </c>
      <c r="Q279" s="1" t="e" cm="1">
        <f t="array" aca="1" ref="Q279" ca="1">_xll.BDP(A279,"DS219")</f>
        <v>#NAME?</v>
      </c>
      <c r="R279" s="3" t="e" cm="1">
        <f t="array" aca="1" ref="R279" ca="1">_xll.BDP(A279,"DS040")</f>
        <v>#NAME?</v>
      </c>
      <c r="S279" s="4" t="e">
        <f t="shared" ca="1" si="12"/>
        <v>#NAME?</v>
      </c>
      <c r="T279" s="7" t="e">
        <f t="shared" ca="1" si="13"/>
        <v>#NAME?</v>
      </c>
      <c r="U279" s="3" t="e">
        <f t="shared" ca="1" si="14"/>
        <v>#NAME?</v>
      </c>
    </row>
    <row r="280" spans="1:21" x14ac:dyDescent="0.35">
      <c r="A280" s="5" t="s">
        <v>339</v>
      </c>
      <c r="B280" s="1" t="e" cm="1">
        <f t="array" aca="1" ref="B280" ca="1">_xll.BDP("YX891742 Corp","DS520")</f>
        <v>#NAME?</v>
      </c>
      <c r="C280" s="1" t="e" cm="1">
        <f t="array" aca="1" ref="C280" ca="1">_xll.BDP("YX891742 Corp","DS001")</f>
        <v>#NAME?</v>
      </c>
      <c r="D280" s="1" t="e" cm="1">
        <f t="array" aca="1" ref="D280" ca="1">_xll.BDP("YX891742 Corp","DS458")</f>
        <v>#NAME?</v>
      </c>
      <c r="E280" s="1" t="e" cm="1">
        <f t="array" aca="1" ref="E280" ca="1">_xll.BDP("YX891742 Corp","DS004")</f>
        <v>#NAME?</v>
      </c>
      <c r="F280" s="1" t="e" cm="1">
        <f t="array" aca="1" ref="F280" ca="1">_xll.BDP("YX891742 Corp","DS035")</f>
        <v>#NAME?</v>
      </c>
      <c r="G280" s="1" t="e" cm="1">
        <f t="array" aca="1" ref="G280" ca="1">_xll.BDP("YX891742 Corp","DS086")</f>
        <v>#NAME?</v>
      </c>
      <c r="H280" s="1" t="e" cm="1">
        <f t="array" aca="1" ref="H280" ca="1">_xll.BDP("YX891742 Corp","DS034")</f>
        <v>#NAME?</v>
      </c>
      <c r="I280" s="1" t="e" cm="1">
        <f t="array" aca="1" ref="I280" ca="1">_xll.BDP("YX891742 Corp","DS033")</f>
        <v>#NAME?</v>
      </c>
      <c r="J280" s="7" t="e" cm="1">
        <f t="array" aca="1" ref="J280" ca="1">_xll.BDP("YX891742 Corp","YL018")</f>
        <v>#NAME?</v>
      </c>
      <c r="K280" s="7" t="e" cm="1">
        <f t="array" aca="1" ref="K280" ca="1">_xll.BDP("YX891742 Corp","YL016")</f>
        <v>#NAME?</v>
      </c>
      <c r="L280" s="7" t="e" cm="1">
        <f t="array" aca="1" ref="L280" ca="1">_xll.BDP("YX891742 Corp","PR004")</f>
        <v>#NAME?</v>
      </c>
      <c r="M280" s="7" t="e" cm="1">
        <f t="array" aca="1" ref="M280" ca="1">_xll.BDP("YX891742 Corp","PR002")</f>
        <v>#NAME?</v>
      </c>
      <c r="N280" s="1" t="e" cm="1">
        <f t="array" aca="1" ref="N280" ca="1">_xll.BDP("YX891742 Corp","ID028")</f>
        <v>#NAME?</v>
      </c>
      <c r="O280" s="1" t="e" cm="1">
        <f t="array" aca="1" ref="O280" ca="1">_xll.BDP("YX891742 Corp","ID005")</f>
        <v>#NAME?</v>
      </c>
      <c r="P280" s="1" t="e" cm="1">
        <f t="array" aca="1" ref="P280" ca="1">_xll.BDP(A280,"RA007")</f>
        <v>#NAME?</v>
      </c>
      <c r="Q280" s="1" t="e" cm="1">
        <f t="array" aca="1" ref="Q280" ca="1">_xll.BDP(A280,"DS219")</f>
        <v>#NAME?</v>
      </c>
      <c r="R280" s="3" t="e" cm="1">
        <f t="array" aca="1" ref="R280" ca="1">_xll.BDP(A280,"DS040")</f>
        <v>#NAME?</v>
      </c>
      <c r="S280" s="4" t="e">
        <f t="shared" ca="1" si="12"/>
        <v>#NAME?</v>
      </c>
      <c r="T280" s="7" t="e">
        <f t="shared" ca="1" si="13"/>
        <v>#NAME?</v>
      </c>
      <c r="U280" s="3" t="e">
        <f t="shared" ca="1" si="14"/>
        <v>#NAME?</v>
      </c>
    </row>
    <row r="281" spans="1:21" x14ac:dyDescent="0.35">
      <c r="A281" s="5" t="s">
        <v>340</v>
      </c>
      <c r="B281" s="1" t="e" cm="1">
        <f t="array" aca="1" ref="B281" ca="1">_xll.BDP("ZB137529 Corp","DS520")</f>
        <v>#NAME?</v>
      </c>
      <c r="C281" s="1" t="e" cm="1">
        <f t="array" aca="1" ref="C281" ca="1">_xll.BDP("ZB137529 Corp","DS001")</f>
        <v>#NAME?</v>
      </c>
      <c r="D281" s="1" t="e" cm="1">
        <f t="array" aca="1" ref="D281" ca="1">_xll.BDP("ZB137529 Corp","DS458")</f>
        <v>#NAME?</v>
      </c>
      <c r="E281" s="1" t="e" cm="1">
        <f t="array" aca="1" ref="E281" ca="1">_xll.BDP("ZB137529 Corp","DS004")</f>
        <v>#NAME?</v>
      </c>
      <c r="F281" s="1" t="e" cm="1">
        <f t="array" aca="1" ref="F281" ca="1">_xll.BDP("ZB137529 Corp","DS035")</f>
        <v>#NAME?</v>
      </c>
      <c r="G281" s="1" t="e" cm="1">
        <f t="array" aca="1" ref="G281" ca="1">_xll.BDP("ZB137529 Corp","DS086")</f>
        <v>#NAME?</v>
      </c>
      <c r="H281" s="1" t="e" cm="1">
        <f t="array" aca="1" ref="H281" ca="1">_xll.BDP("ZB137529 Corp","DS034")</f>
        <v>#NAME?</v>
      </c>
      <c r="I281" s="1" t="e" cm="1">
        <f t="array" aca="1" ref="I281" ca="1">_xll.BDP("ZB137529 Corp","DS033")</f>
        <v>#NAME?</v>
      </c>
      <c r="J281" s="7" t="e" cm="1">
        <f t="array" aca="1" ref="J281" ca="1">_xll.BDP("ZB137529 Corp","YL018")</f>
        <v>#NAME?</v>
      </c>
      <c r="K281" s="7" t="e" cm="1">
        <f t="array" aca="1" ref="K281" ca="1">_xll.BDP("ZB137529 Corp","YL016")</f>
        <v>#NAME?</v>
      </c>
      <c r="L281" s="7" t="e" cm="1">
        <f t="array" aca="1" ref="L281" ca="1">_xll.BDP("ZB137529 Corp","PR004")</f>
        <v>#NAME?</v>
      </c>
      <c r="M281" s="7" t="e" cm="1">
        <f t="array" aca="1" ref="M281" ca="1">_xll.BDP("ZB137529 Corp","PR002")</f>
        <v>#NAME?</v>
      </c>
      <c r="N281" s="1" t="e" cm="1">
        <f t="array" aca="1" ref="N281" ca="1">_xll.BDP("ZB137529 Corp","ID028")</f>
        <v>#NAME?</v>
      </c>
      <c r="O281" s="1" t="e" cm="1">
        <f t="array" aca="1" ref="O281" ca="1">_xll.BDP("ZB137529 Corp","ID005")</f>
        <v>#NAME?</v>
      </c>
      <c r="P281" s="1" t="e" cm="1">
        <f t="array" aca="1" ref="P281" ca="1">_xll.BDP(A281,"RA007")</f>
        <v>#NAME?</v>
      </c>
      <c r="Q281" s="1" t="e" cm="1">
        <f t="array" aca="1" ref="Q281" ca="1">_xll.BDP(A281,"DS219")</f>
        <v>#NAME?</v>
      </c>
      <c r="R281" s="3" t="e" cm="1">
        <f t="array" aca="1" ref="R281" ca="1">_xll.BDP(A281,"DS040")</f>
        <v>#NAME?</v>
      </c>
      <c r="S281" s="4" t="e">
        <f t="shared" ca="1" si="12"/>
        <v>#NAME?</v>
      </c>
      <c r="T281" s="7" t="e">
        <f t="shared" ca="1" si="13"/>
        <v>#NAME?</v>
      </c>
      <c r="U281" s="3" t="e">
        <f t="shared" ca="1" si="14"/>
        <v>#NAME?</v>
      </c>
    </row>
    <row r="282" spans="1:21" x14ac:dyDescent="0.35">
      <c r="A282" s="5" t="s">
        <v>341</v>
      </c>
      <c r="B282" s="1" t="e" cm="1">
        <f t="array" aca="1" ref="B282" ca="1">_xll.BDP("ZB141254 Corp","DS520")</f>
        <v>#NAME?</v>
      </c>
      <c r="C282" s="1" t="e" cm="1">
        <f t="array" aca="1" ref="C282" ca="1">_xll.BDP("ZB141254 Corp","DS001")</f>
        <v>#NAME?</v>
      </c>
      <c r="D282" s="1" t="e" cm="1">
        <f t="array" aca="1" ref="D282" ca="1">_xll.BDP("ZB141254 Corp","DS458")</f>
        <v>#NAME?</v>
      </c>
      <c r="E282" s="1" t="e" cm="1">
        <f t="array" aca="1" ref="E282" ca="1">_xll.BDP("ZB141254 Corp","DS004")</f>
        <v>#NAME?</v>
      </c>
      <c r="F282" s="1" t="e" cm="1">
        <f t="array" aca="1" ref="F282" ca="1">_xll.BDP("ZB141254 Corp","DS035")</f>
        <v>#NAME?</v>
      </c>
      <c r="G282" s="1" t="e" cm="1">
        <f t="array" aca="1" ref="G282" ca="1">_xll.BDP("ZB141254 Corp","DS086")</f>
        <v>#NAME?</v>
      </c>
      <c r="H282" s="1" t="e" cm="1">
        <f t="array" aca="1" ref="H282" ca="1">_xll.BDP("ZB141254 Corp","DS034")</f>
        <v>#NAME?</v>
      </c>
      <c r="I282" s="1" t="e" cm="1">
        <f t="array" aca="1" ref="I282" ca="1">_xll.BDP("ZB141254 Corp","DS033")</f>
        <v>#NAME?</v>
      </c>
      <c r="J282" s="7" t="e" cm="1">
        <f t="array" aca="1" ref="J282" ca="1">_xll.BDP("ZB141254 Corp","YL018")</f>
        <v>#NAME?</v>
      </c>
      <c r="K282" s="7" t="e" cm="1">
        <f t="array" aca="1" ref="K282" ca="1">_xll.BDP("ZB141254 Corp","YL016")</f>
        <v>#NAME?</v>
      </c>
      <c r="L282" s="7" t="e" cm="1">
        <f t="array" aca="1" ref="L282" ca="1">_xll.BDP("ZB141254 Corp","PR004")</f>
        <v>#NAME?</v>
      </c>
      <c r="M282" s="7" t="e" cm="1">
        <f t="array" aca="1" ref="M282" ca="1">_xll.BDP("ZB141254 Corp","PR002")</f>
        <v>#NAME?</v>
      </c>
      <c r="N282" s="1" t="e" cm="1">
        <f t="array" aca="1" ref="N282" ca="1">_xll.BDP("ZB141254 Corp","ID028")</f>
        <v>#NAME?</v>
      </c>
      <c r="O282" s="1" t="e" cm="1">
        <f t="array" aca="1" ref="O282" ca="1">_xll.BDP("ZB141254 Corp","ID005")</f>
        <v>#NAME?</v>
      </c>
      <c r="P282" s="1" t="e" cm="1">
        <f t="array" aca="1" ref="P282" ca="1">_xll.BDP(A282,"RA007")</f>
        <v>#NAME?</v>
      </c>
      <c r="Q282" s="1" t="e" cm="1">
        <f t="array" aca="1" ref="Q282" ca="1">_xll.BDP(A282,"DS219")</f>
        <v>#NAME?</v>
      </c>
      <c r="R282" s="3" t="e" cm="1">
        <f t="array" aca="1" ref="R282" ca="1">_xll.BDP(A282,"DS040")</f>
        <v>#NAME?</v>
      </c>
      <c r="S282" s="4" t="e">
        <f t="shared" ca="1" si="12"/>
        <v>#NAME?</v>
      </c>
      <c r="T282" s="7" t="e">
        <f t="shared" ca="1" si="13"/>
        <v>#NAME?</v>
      </c>
      <c r="U282" s="3" t="e">
        <f t="shared" ca="1" si="14"/>
        <v>#NAME?</v>
      </c>
    </row>
    <row r="283" spans="1:21" x14ac:dyDescent="0.35">
      <c r="A283" s="5" t="s">
        <v>342</v>
      </c>
      <c r="B283" s="1" t="e" cm="1">
        <f t="array" aca="1" ref="B283" ca="1">_xll.BDP("ZB197472 Corp","DS520")</f>
        <v>#NAME?</v>
      </c>
      <c r="C283" s="1" t="e" cm="1">
        <f t="array" aca="1" ref="C283" ca="1">_xll.BDP("ZB197472 Corp","DS001")</f>
        <v>#NAME?</v>
      </c>
      <c r="D283" s="1" t="e" cm="1">
        <f t="array" aca="1" ref="D283" ca="1">_xll.BDP("ZB197472 Corp","DS458")</f>
        <v>#NAME?</v>
      </c>
      <c r="E283" s="1" t="e" cm="1">
        <f t="array" aca="1" ref="E283" ca="1">_xll.BDP("ZB197472 Corp","DS004")</f>
        <v>#NAME?</v>
      </c>
      <c r="F283" s="1" t="e" cm="1">
        <f t="array" aca="1" ref="F283" ca="1">_xll.BDP("ZB197472 Corp","DS035")</f>
        <v>#NAME?</v>
      </c>
      <c r="G283" s="1" t="e" cm="1">
        <f t="array" aca="1" ref="G283" ca="1">_xll.BDP("ZB197472 Corp","DS086")</f>
        <v>#NAME?</v>
      </c>
      <c r="H283" s="1" t="e" cm="1">
        <f t="array" aca="1" ref="H283" ca="1">_xll.BDP("ZB197472 Corp","DS034")</f>
        <v>#NAME?</v>
      </c>
      <c r="I283" s="1" t="e" cm="1">
        <f t="array" aca="1" ref="I283" ca="1">_xll.BDP("ZB197472 Corp","DS033")</f>
        <v>#NAME?</v>
      </c>
      <c r="J283" s="7" t="e" cm="1">
        <f t="array" aca="1" ref="J283" ca="1">_xll.BDP("ZB197472 Corp","YL018")</f>
        <v>#NAME?</v>
      </c>
      <c r="K283" s="7" t="e" cm="1">
        <f t="array" aca="1" ref="K283" ca="1">_xll.BDP("ZB197472 Corp","YL016")</f>
        <v>#NAME?</v>
      </c>
      <c r="L283" s="7" t="e" cm="1">
        <f t="array" aca="1" ref="L283" ca="1">_xll.BDP("ZB197472 Corp","PR004")</f>
        <v>#NAME?</v>
      </c>
      <c r="M283" s="7" t="e" cm="1">
        <f t="array" aca="1" ref="M283" ca="1">_xll.BDP("ZB197472 Corp","PR002")</f>
        <v>#NAME?</v>
      </c>
      <c r="N283" s="1" t="e" cm="1">
        <f t="array" aca="1" ref="N283" ca="1">_xll.BDP("ZB197472 Corp","ID028")</f>
        <v>#NAME?</v>
      </c>
      <c r="O283" s="1" t="e" cm="1">
        <f t="array" aca="1" ref="O283" ca="1">_xll.BDP("ZB197472 Corp","ID005")</f>
        <v>#NAME?</v>
      </c>
      <c r="P283" s="1" t="e" cm="1">
        <f t="array" aca="1" ref="P283" ca="1">_xll.BDP(A283,"RA007")</f>
        <v>#NAME?</v>
      </c>
      <c r="Q283" s="1" t="e" cm="1">
        <f t="array" aca="1" ref="Q283" ca="1">_xll.BDP(A283,"DS219")</f>
        <v>#NAME?</v>
      </c>
      <c r="R283" s="3" t="e" cm="1">
        <f t="array" aca="1" ref="R283" ca="1">_xll.BDP(A283,"DS040")</f>
        <v>#NAME?</v>
      </c>
      <c r="S283" s="4" t="e">
        <f t="shared" ca="1" si="12"/>
        <v>#NAME?</v>
      </c>
      <c r="T283" s="7" t="e">
        <f t="shared" ca="1" si="13"/>
        <v>#NAME?</v>
      </c>
      <c r="U283" s="3" t="e">
        <f t="shared" ca="1" si="14"/>
        <v>#NAME?</v>
      </c>
    </row>
    <row r="284" spans="1:21" x14ac:dyDescent="0.35">
      <c r="A284" s="5" t="s">
        <v>343</v>
      </c>
      <c r="B284" s="1" t="e" cm="1">
        <f t="array" aca="1" ref="B284" ca="1">_xll.BDP("ZB309355 Corp","DS520")</f>
        <v>#NAME?</v>
      </c>
      <c r="C284" s="1" t="e" cm="1">
        <f t="array" aca="1" ref="C284" ca="1">_xll.BDP("ZB309355 Corp","DS001")</f>
        <v>#NAME?</v>
      </c>
      <c r="D284" s="1" t="e" cm="1">
        <f t="array" aca="1" ref="D284" ca="1">_xll.BDP("ZB309355 Corp","DS458")</f>
        <v>#NAME?</v>
      </c>
      <c r="E284" s="1" t="e" cm="1">
        <f t="array" aca="1" ref="E284" ca="1">_xll.BDP("ZB309355 Corp","DS004")</f>
        <v>#NAME?</v>
      </c>
      <c r="F284" s="1" t="e" cm="1">
        <f t="array" aca="1" ref="F284" ca="1">_xll.BDP("ZB309355 Corp","DS035")</f>
        <v>#NAME?</v>
      </c>
      <c r="G284" s="1" t="e" cm="1">
        <f t="array" aca="1" ref="G284" ca="1">_xll.BDP("ZB309355 Corp","DS086")</f>
        <v>#NAME?</v>
      </c>
      <c r="H284" s="1" t="e" cm="1">
        <f t="array" aca="1" ref="H284" ca="1">_xll.BDP("ZB309355 Corp","DS034")</f>
        <v>#NAME?</v>
      </c>
      <c r="I284" s="1" t="e" cm="1">
        <f t="array" aca="1" ref="I284" ca="1">_xll.BDP("ZB309355 Corp","DS033")</f>
        <v>#NAME?</v>
      </c>
      <c r="J284" s="7" t="e" cm="1">
        <f t="array" aca="1" ref="J284" ca="1">_xll.BDP("ZB309355 Corp","YL018")</f>
        <v>#NAME?</v>
      </c>
      <c r="K284" s="7" t="e" cm="1">
        <f t="array" aca="1" ref="K284" ca="1">_xll.BDP("ZB309355 Corp","YL016")</f>
        <v>#NAME?</v>
      </c>
      <c r="L284" s="7" t="e" cm="1">
        <f t="array" aca="1" ref="L284" ca="1">_xll.BDP("ZB309355 Corp","PR004")</f>
        <v>#NAME?</v>
      </c>
      <c r="M284" s="7" t="e" cm="1">
        <f t="array" aca="1" ref="M284" ca="1">_xll.BDP("ZB309355 Corp","PR002")</f>
        <v>#NAME?</v>
      </c>
      <c r="N284" s="1" t="e" cm="1">
        <f t="array" aca="1" ref="N284" ca="1">_xll.BDP("ZB309355 Corp","ID028")</f>
        <v>#NAME?</v>
      </c>
      <c r="O284" s="1" t="e" cm="1">
        <f t="array" aca="1" ref="O284" ca="1">_xll.BDP("ZB309355 Corp","ID005")</f>
        <v>#NAME?</v>
      </c>
      <c r="P284" s="1" t="e" cm="1">
        <f t="array" aca="1" ref="P284" ca="1">_xll.BDP(A284,"RA007")</f>
        <v>#NAME?</v>
      </c>
      <c r="Q284" s="1" t="e" cm="1">
        <f t="array" aca="1" ref="Q284" ca="1">_xll.BDP(A284,"DS219")</f>
        <v>#NAME?</v>
      </c>
      <c r="R284" s="3" t="e" cm="1">
        <f t="array" aca="1" ref="R284" ca="1">_xll.BDP(A284,"DS040")</f>
        <v>#NAME?</v>
      </c>
      <c r="S284" s="4" t="e">
        <f t="shared" ca="1" si="12"/>
        <v>#NAME?</v>
      </c>
      <c r="T284" s="7" t="e">
        <f t="shared" ca="1" si="13"/>
        <v>#NAME?</v>
      </c>
      <c r="U284" s="3" t="e">
        <f t="shared" ca="1" si="14"/>
        <v>#NAME?</v>
      </c>
    </row>
    <row r="285" spans="1:21" x14ac:dyDescent="0.35">
      <c r="A285" s="5" t="s">
        <v>344</v>
      </c>
      <c r="B285" s="1" t="e" cm="1">
        <f t="array" aca="1" ref="B285" ca="1">_xll.BDP("ZB372665 Corp","DS520")</f>
        <v>#NAME?</v>
      </c>
      <c r="C285" s="1" t="e" cm="1">
        <f t="array" aca="1" ref="C285" ca="1">_xll.BDP("ZB372665 Corp","DS001")</f>
        <v>#NAME?</v>
      </c>
      <c r="D285" s="1" t="e" cm="1">
        <f t="array" aca="1" ref="D285" ca="1">_xll.BDP("ZB372665 Corp","DS458")</f>
        <v>#NAME?</v>
      </c>
      <c r="E285" s="1" t="e" cm="1">
        <f t="array" aca="1" ref="E285" ca="1">_xll.BDP("ZB372665 Corp","DS004")</f>
        <v>#NAME?</v>
      </c>
      <c r="F285" s="1" t="e" cm="1">
        <f t="array" aca="1" ref="F285" ca="1">_xll.BDP("ZB372665 Corp","DS035")</f>
        <v>#NAME?</v>
      </c>
      <c r="G285" s="1" t="e" cm="1">
        <f t="array" aca="1" ref="G285" ca="1">_xll.BDP("ZB372665 Corp","DS086")</f>
        <v>#NAME?</v>
      </c>
      <c r="H285" s="1" t="e" cm="1">
        <f t="array" aca="1" ref="H285" ca="1">_xll.BDP("ZB372665 Corp","DS034")</f>
        <v>#NAME?</v>
      </c>
      <c r="I285" s="1" t="e" cm="1">
        <f t="array" aca="1" ref="I285" ca="1">_xll.BDP("ZB372665 Corp","DS033")</f>
        <v>#NAME?</v>
      </c>
      <c r="J285" s="7" t="e" cm="1">
        <f t="array" aca="1" ref="J285" ca="1">_xll.BDP("ZB372665 Corp","YL018")</f>
        <v>#NAME?</v>
      </c>
      <c r="K285" s="7" t="e" cm="1">
        <f t="array" aca="1" ref="K285" ca="1">_xll.BDP("ZB372665 Corp","YL016")</f>
        <v>#NAME?</v>
      </c>
      <c r="L285" s="7" t="e" cm="1">
        <f t="array" aca="1" ref="L285" ca="1">_xll.BDP("ZB372665 Corp","PR004")</f>
        <v>#NAME?</v>
      </c>
      <c r="M285" s="7" t="e" cm="1">
        <f t="array" aca="1" ref="M285" ca="1">_xll.BDP("ZB372665 Corp","PR002")</f>
        <v>#NAME?</v>
      </c>
      <c r="N285" s="1" t="e" cm="1">
        <f t="array" aca="1" ref="N285" ca="1">_xll.BDP("ZB372665 Corp","ID028")</f>
        <v>#NAME?</v>
      </c>
      <c r="O285" s="1" t="e" cm="1">
        <f t="array" aca="1" ref="O285" ca="1">_xll.BDP("ZB372665 Corp","ID005")</f>
        <v>#NAME?</v>
      </c>
      <c r="P285" s="1" t="e" cm="1">
        <f t="array" aca="1" ref="P285" ca="1">_xll.BDP(A285,"RA007")</f>
        <v>#NAME?</v>
      </c>
      <c r="Q285" s="1" t="e" cm="1">
        <f t="array" aca="1" ref="Q285" ca="1">_xll.BDP(A285,"DS219")</f>
        <v>#NAME?</v>
      </c>
      <c r="R285" s="3" t="e" cm="1">
        <f t="array" aca="1" ref="R285" ca="1">_xll.BDP(A285,"DS040")</f>
        <v>#NAME?</v>
      </c>
      <c r="S285" s="4" t="e">
        <f t="shared" ca="1" si="12"/>
        <v>#NAME?</v>
      </c>
      <c r="T285" s="7" t="e">
        <f t="shared" ca="1" si="13"/>
        <v>#NAME?</v>
      </c>
      <c r="U285" s="3" t="e">
        <f t="shared" ca="1" si="14"/>
        <v>#NAME?</v>
      </c>
    </row>
    <row r="286" spans="1:21" x14ac:dyDescent="0.35">
      <c r="A286" s="5" t="s">
        <v>345</v>
      </c>
      <c r="B286" s="1" t="e" cm="1">
        <f t="array" aca="1" ref="B286" ca="1">_xll.BDP("ZB651229 Corp","DS520")</f>
        <v>#NAME?</v>
      </c>
      <c r="C286" s="1" t="e" cm="1">
        <f t="array" aca="1" ref="C286" ca="1">_xll.BDP("ZB651229 Corp","DS001")</f>
        <v>#NAME?</v>
      </c>
      <c r="D286" s="1" t="e" cm="1">
        <f t="array" aca="1" ref="D286" ca="1">_xll.BDP("ZB651229 Corp","DS458")</f>
        <v>#NAME?</v>
      </c>
      <c r="E286" s="1" t="e" cm="1">
        <f t="array" aca="1" ref="E286" ca="1">_xll.BDP("ZB651229 Corp","DS004")</f>
        <v>#NAME?</v>
      </c>
      <c r="F286" s="1" t="e" cm="1">
        <f t="array" aca="1" ref="F286" ca="1">_xll.BDP("ZB651229 Corp","DS035")</f>
        <v>#NAME?</v>
      </c>
      <c r="G286" s="1" t="e" cm="1">
        <f t="array" aca="1" ref="G286" ca="1">_xll.BDP("ZB651229 Corp","DS086")</f>
        <v>#NAME?</v>
      </c>
      <c r="H286" s="1" t="e" cm="1">
        <f t="array" aca="1" ref="H286" ca="1">_xll.BDP("ZB651229 Corp","DS034")</f>
        <v>#NAME?</v>
      </c>
      <c r="I286" s="1" t="e" cm="1">
        <f t="array" aca="1" ref="I286" ca="1">_xll.BDP("ZB651229 Corp","DS033")</f>
        <v>#NAME?</v>
      </c>
      <c r="J286" s="7" t="e" cm="1">
        <f t="array" aca="1" ref="J286" ca="1">_xll.BDP("ZB651229 Corp","YL018")</f>
        <v>#NAME?</v>
      </c>
      <c r="K286" s="7" t="e" cm="1">
        <f t="array" aca="1" ref="K286" ca="1">_xll.BDP("ZB651229 Corp","YL016")</f>
        <v>#NAME?</v>
      </c>
      <c r="L286" s="7" t="e" cm="1">
        <f t="array" aca="1" ref="L286" ca="1">_xll.BDP("ZB651229 Corp","PR004")</f>
        <v>#NAME?</v>
      </c>
      <c r="M286" s="7" t="e" cm="1">
        <f t="array" aca="1" ref="M286" ca="1">_xll.BDP("ZB651229 Corp","PR002")</f>
        <v>#NAME?</v>
      </c>
      <c r="N286" s="1" t="e" cm="1">
        <f t="array" aca="1" ref="N286" ca="1">_xll.BDP("ZB651229 Corp","ID028")</f>
        <v>#NAME?</v>
      </c>
      <c r="O286" s="1" t="e" cm="1">
        <f t="array" aca="1" ref="O286" ca="1">_xll.BDP("ZB651229 Corp","ID005")</f>
        <v>#NAME?</v>
      </c>
      <c r="P286" s="1" t="e" cm="1">
        <f t="array" aca="1" ref="P286" ca="1">_xll.BDP(A286,"RA007")</f>
        <v>#NAME?</v>
      </c>
      <c r="Q286" s="1" t="e" cm="1">
        <f t="array" aca="1" ref="Q286" ca="1">_xll.BDP(A286,"DS219")</f>
        <v>#NAME?</v>
      </c>
      <c r="R286" s="3" t="e" cm="1">
        <f t="array" aca="1" ref="R286" ca="1">_xll.BDP(A286,"DS040")</f>
        <v>#NAME?</v>
      </c>
      <c r="S286" s="4" t="e">
        <f t="shared" ca="1" si="12"/>
        <v>#NAME?</v>
      </c>
      <c r="T286" s="7" t="e">
        <f t="shared" ca="1" si="13"/>
        <v>#NAME?</v>
      </c>
      <c r="U286" s="3" t="e">
        <f t="shared" ca="1" si="14"/>
        <v>#NAME?</v>
      </c>
    </row>
    <row r="287" spans="1:21" x14ac:dyDescent="0.35">
      <c r="A287" s="5" t="s">
        <v>346</v>
      </c>
      <c r="B287" s="1" t="e" cm="1">
        <f t="array" aca="1" ref="B287" ca="1">_xll.BDP("ZD039327 Corp","DS520")</f>
        <v>#NAME?</v>
      </c>
      <c r="C287" s="1" t="e" cm="1">
        <f t="array" aca="1" ref="C287" ca="1">_xll.BDP("ZD039327 Corp","DS001")</f>
        <v>#NAME?</v>
      </c>
      <c r="D287" s="1" t="e" cm="1">
        <f t="array" aca="1" ref="D287" ca="1">_xll.BDP("ZD039327 Corp","DS458")</f>
        <v>#NAME?</v>
      </c>
      <c r="E287" s="1" t="e" cm="1">
        <f t="array" aca="1" ref="E287" ca="1">_xll.BDP("ZD039327 Corp","DS004")</f>
        <v>#NAME?</v>
      </c>
      <c r="F287" s="1" t="e" cm="1">
        <f t="array" aca="1" ref="F287" ca="1">_xll.BDP("ZD039327 Corp","DS035")</f>
        <v>#NAME?</v>
      </c>
      <c r="G287" s="1" t="e" cm="1">
        <f t="array" aca="1" ref="G287" ca="1">_xll.BDP("ZD039327 Corp","DS086")</f>
        <v>#NAME?</v>
      </c>
      <c r="H287" s="1" t="e" cm="1">
        <f t="array" aca="1" ref="H287" ca="1">_xll.BDP("ZD039327 Corp","DS034")</f>
        <v>#NAME?</v>
      </c>
      <c r="I287" s="1" t="e" cm="1">
        <f t="array" aca="1" ref="I287" ca="1">_xll.BDP("ZD039327 Corp","DS033")</f>
        <v>#NAME?</v>
      </c>
      <c r="J287" s="7" t="e" cm="1">
        <f t="array" aca="1" ref="J287" ca="1">_xll.BDP("ZD039327 Corp","YL018")</f>
        <v>#NAME?</v>
      </c>
      <c r="K287" s="7" t="e" cm="1">
        <f t="array" aca="1" ref="K287" ca="1">_xll.BDP("ZD039327 Corp","YL016")</f>
        <v>#NAME?</v>
      </c>
      <c r="L287" s="7" t="e" cm="1">
        <f t="array" aca="1" ref="L287" ca="1">_xll.BDP("ZD039327 Corp","PR004")</f>
        <v>#NAME?</v>
      </c>
      <c r="M287" s="7" t="e" cm="1">
        <f t="array" aca="1" ref="M287" ca="1">_xll.BDP("ZD039327 Corp","PR002")</f>
        <v>#NAME?</v>
      </c>
      <c r="N287" s="1" t="e" cm="1">
        <f t="array" aca="1" ref="N287" ca="1">_xll.BDP("ZD039327 Corp","ID028")</f>
        <v>#NAME?</v>
      </c>
      <c r="O287" s="1" t="e" cm="1">
        <f t="array" aca="1" ref="O287" ca="1">_xll.BDP("ZD039327 Corp","ID005")</f>
        <v>#NAME?</v>
      </c>
      <c r="P287" s="1" t="e" cm="1">
        <f t="array" aca="1" ref="P287" ca="1">_xll.BDP(A287,"RA007")</f>
        <v>#NAME?</v>
      </c>
      <c r="Q287" s="1" t="e" cm="1">
        <f t="array" aca="1" ref="Q287" ca="1">_xll.BDP(A287,"DS219")</f>
        <v>#NAME?</v>
      </c>
      <c r="R287" s="3" t="e" cm="1">
        <f t="array" aca="1" ref="R287" ca="1">_xll.BDP(A287,"DS040")</f>
        <v>#NAME?</v>
      </c>
      <c r="S287" s="4" t="e">
        <f t="shared" ca="1" si="12"/>
        <v>#NAME?</v>
      </c>
      <c r="T287" s="7" t="e">
        <f t="shared" ca="1" si="13"/>
        <v>#NAME?</v>
      </c>
      <c r="U287" s="3" t="e">
        <f t="shared" ca="1" si="14"/>
        <v>#NAME?</v>
      </c>
    </row>
    <row r="288" spans="1:21" x14ac:dyDescent="0.35">
      <c r="A288" s="5" t="s">
        <v>347</v>
      </c>
      <c r="B288" s="1" t="e" cm="1">
        <f t="array" aca="1" ref="B288" ca="1">_xll.BDP("ZD338443 Corp","DS520")</f>
        <v>#NAME?</v>
      </c>
      <c r="C288" s="1" t="e" cm="1">
        <f t="array" aca="1" ref="C288" ca="1">_xll.BDP("ZD338443 Corp","DS001")</f>
        <v>#NAME?</v>
      </c>
      <c r="D288" s="1" t="e" cm="1">
        <f t="array" aca="1" ref="D288" ca="1">_xll.BDP("ZD338443 Corp","DS458")</f>
        <v>#NAME?</v>
      </c>
      <c r="E288" s="1" t="e" cm="1">
        <f t="array" aca="1" ref="E288" ca="1">_xll.BDP("ZD338443 Corp","DS004")</f>
        <v>#NAME?</v>
      </c>
      <c r="F288" s="1" t="e" cm="1">
        <f t="array" aca="1" ref="F288" ca="1">_xll.BDP("ZD338443 Corp","DS035")</f>
        <v>#NAME?</v>
      </c>
      <c r="G288" s="1" t="e" cm="1">
        <f t="array" aca="1" ref="G288" ca="1">_xll.BDP("ZD338443 Corp","DS086")</f>
        <v>#NAME?</v>
      </c>
      <c r="H288" s="1" t="e" cm="1">
        <f t="array" aca="1" ref="H288" ca="1">_xll.BDP("ZD338443 Corp","DS034")</f>
        <v>#NAME?</v>
      </c>
      <c r="I288" s="1" t="e" cm="1">
        <f t="array" aca="1" ref="I288" ca="1">_xll.BDP("ZD338443 Corp","DS033")</f>
        <v>#NAME?</v>
      </c>
      <c r="J288" s="7" t="e" cm="1">
        <f t="array" aca="1" ref="J288" ca="1">_xll.BDP("ZD338443 Corp","YL018")</f>
        <v>#NAME?</v>
      </c>
      <c r="K288" s="7" t="e" cm="1">
        <f t="array" aca="1" ref="K288" ca="1">_xll.BDP("ZD338443 Corp","YL016")</f>
        <v>#NAME?</v>
      </c>
      <c r="L288" s="7" t="e" cm="1">
        <f t="array" aca="1" ref="L288" ca="1">_xll.BDP("ZD338443 Corp","PR004")</f>
        <v>#NAME?</v>
      </c>
      <c r="M288" s="7" t="e" cm="1">
        <f t="array" aca="1" ref="M288" ca="1">_xll.BDP("ZD338443 Corp","PR002")</f>
        <v>#NAME?</v>
      </c>
      <c r="N288" s="1" t="e" cm="1">
        <f t="array" aca="1" ref="N288" ca="1">_xll.BDP("ZD338443 Corp","ID028")</f>
        <v>#NAME?</v>
      </c>
      <c r="O288" s="1" t="e" cm="1">
        <f t="array" aca="1" ref="O288" ca="1">_xll.BDP("ZD338443 Corp","ID005")</f>
        <v>#NAME?</v>
      </c>
      <c r="P288" s="1" t="e" cm="1">
        <f t="array" aca="1" ref="P288" ca="1">_xll.BDP(A288,"RA007")</f>
        <v>#NAME?</v>
      </c>
      <c r="Q288" s="1" t="e" cm="1">
        <f t="array" aca="1" ref="Q288" ca="1">_xll.BDP(A288,"DS219")</f>
        <v>#NAME?</v>
      </c>
      <c r="R288" s="3" t="e" cm="1">
        <f t="array" aca="1" ref="R288" ca="1">_xll.BDP(A288,"DS040")</f>
        <v>#NAME?</v>
      </c>
      <c r="S288" s="4" t="e">
        <f t="shared" ca="1" si="12"/>
        <v>#NAME?</v>
      </c>
      <c r="T288" s="7" t="e">
        <f t="shared" ca="1" si="13"/>
        <v>#NAME?</v>
      </c>
      <c r="U288" s="3" t="e">
        <f t="shared" ca="1" si="14"/>
        <v>#NAME?</v>
      </c>
    </row>
    <row r="289" spans="1:21" x14ac:dyDescent="0.35">
      <c r="A289" s="5" t="s">
        <v>348</v>
      </c>
      <c r="B289" s="1" t="e" cm="1">
        <f t="array" aca="1" ref="B289" ca="1">_xll.BDP("ZD670307 Corp","DS520")</f>
        <v>#NAME?</v>
      </c>
      <c r="C289" s="1" t="e" cm="1">
        <f t="array" aca="1" ref="C289" ca="1">_xll.BDP("ZD670307 Corp","DS001")</f>
        <v>#NAME?</v>
      </c>
      <c r="D289" s="1" t="e" cm="1">
        <f t="array" aca="1" ref="D289" ca="1">_xll.BDP("ZD670307 Corp","DS458")</f>
        <v>#NAME?</v>
      </c>
      <c r="E289" s="1" t="e" cm="1">
        <f t="array" aca="1" ref="E289" ca="1">_xll.BDP("ZD670307 Corp","DS004")</f>
        <v>#NAME?</v>
      </c>
      <c r="F289" s="1" t="e" cm="1">
        <f t="array" aca="1" ref="F289" ca="1">_xll.BDP("ZD670307 Corp","DS035")</f>
        <v>#NAME?</v>
      </c>
      <c r="G289" s="1" t="e" cm="1">
        <f t="array" aca="1" ref="G289" ca="1">_xll.BDP("ZD670307 Corp","DS086")</f>
        <v>#NAME?</v>
      </c>
      <c r="H289" s="1" t="e" cm="1">
        <f t="array" aca="1" ref="H289" ca="1">_xll.BDP("ZD670307 Corp","DS034")</f>
        <v>#NAME?</v>
      </c>
      <c r="I289" s="1" t="e" cm="1">
        <f t="array" aca="1" ref="I289" ca="1">_xll.BDP("ZD670307 Corp","DS033")</f>
        <v>#NAME?</v>
      </c>
      <c r="J289" s="7" t="e" cm="1">
        <f t="array" aca="1" ref="J289" ca="1">_xll.BDP("ZD670307 Corp","YL018")</f>
        <v>#NAME?</v>
      </c>
      <c r="K289" s="7" t="e" cm="1">
        <f t="array" aca="1" ref="K289" ca="1">_xll.BDP("ZD670307 Corp","YL016")</f>
        <v>#NAME?</v>
      </c>
      <c r="L289" s="7" t="e" cm="1">
        <f t="array" aca="1" ref="L289" ca="1">_xll.BDP("ZD670307 Corp","PR004")</f>
        <v>#NAME?</v>
      </c>
      <c r="M289" s="7" t="e" cm="1">
        <f t="array" aca="1" ref="M289" ca="1">_xll.BDP("ZD670307 Corp","PR002")</f>
        <v>#NAME?</v>
      </c>
      <c r="N289" s="1" t="e" cm="1">
        <f t="array" aca="1" ref="N289" ca="1">_xll.BDP("ZD670307 Corp","ID028")</f>
        <v>#NAME?</v>
      </c>
      <c r="O289" s="1" t="e" cm="1">
        <f t="array" aca="1" ref="O289" ca="1">_xll.BDP("ZD670307 Corp","ID005")</f>
        <v>#NAME?</v>
      </c>
      <c r="P289" s="1" t="e" cm="1">
        <f t="array" aca="1" ref="P289" ca="1">_xll.BDP(A289,"RA007")</f>
        <v>#NAME?</v>
      </c>
      <c r="Q289" s="1" t="e" cm="1">
        <f t="array" aca="1" ref="Q289" ca="1">_xll.BDP(A289,"DS219")</f>
        <v>#NAME?</v>
      </c>
      <c r="R289" s="3" t="e" cm="1">
        <f t="array" aca="1" ref="R289" ca="1">_xll.BDP(A289,"DS040")</f>
        <v>#NAME?</v>
      </c>
      <c r="S289" s="4" t="e">
        <f t="shared" ca="1" si="12"/>
        <v>#NAME?</v>
      </c>
      <c r="T289" s="7" t="e">
        <f t="shared" ca="1" si="13"/>
        <v>#NAME?</v>
      </c>
      <c r="U289" s="3" t="e">
        <f t="shared" ca="1" si="14"/>
        <v>#NAME?</v>
      </c>
    </row>
    <row r="290" spans="1:21" x14ac:dyDescent="0.35">
      <c r="A290" s="5" t="s">
        <v>349</v>
      </c>
      <c r="B290" s="1" t="e" cm="1">
        <f t="array" aca="1" ref="B290" ca="1">_xll.BDP("ZF266659 Corp","DS520")</f>
        <v>#NAME?</v>
      </c>
      <c r="C290" s="1" t="e" cm="1">
        <f t="array" aca="1" ref="C290" ca="1">_xll.BDP("ZF266659 Corp","DS001")</f>
        <v>#NAME?</v>
      </c>
      <c r="D290" s="1" t="e" cm="1">
        <f t="array" aca="1" ref="D290" ca="1">_xll.BDP("ZF266659 Corp","DS458")</f>
        <v>#NAME?</v>
      </c>
      <c r="E290" s="1" t="e" cm="1">
        <f t="array" aca="1" ref="E290" ca="1">_xll.BDP("ZF266659 Corp","DS004")</f>
        <v>#NAME?</v>
      </c>
      <c r="F290" s="1" t="e" cm="1">
        <f t="array" aca="1" ref="F290" ca="1">_xll.BDP("ZF266659 Corp","DS035")</f>
        <v>#NAME?</v>
      </c>
      <c r="G290" s="1" t="e" cm="1">
        <f t="array" aca="1" ref="G290" ca="1">_xll.BDP("ZF266659 Corp","DS086")</f>
        <v>#NAME?</v>
      </c>
      <c r="H290" s="1" t="e" cm="1">
        <f t="array" aca="1" ref="H290" ca="1">_xll.BDP("ZF266659 Corp","DS034")</f>
        <v>#NAME?</v>
      </c>
      <c r="I290" s="1" t="e" cm="1">
        <f t="array" aca="1" ref="I290" ca="1">_xll.BDP("ZF266659 Corp","DS033")</f>
        <v>#NAME?</v>
      </c>
      <c r="J290" s="7" t="e" cm="1">
        <f t="array" aca="1" ref="J290" ca="1">_xll.BDP("ZF266659 Corp","YL018")</f>
        <v>#NAME?</v>
      </c>
      <c r="K290" s="7" t="e" cm="1">
        <f t="array" aca="1" ref="K290" ca="1">_xll.BDP("ZF266659 Corp","YL016")</f>
        <v>#NAME?</v>
      </c>
      <c r="L290" s="7" t="e" cm="1">
        <f t="array" aca="1" ref="L290" ca="1">_xll.BDP("ZF266659 Corp","PR004")</f>
        <v>#NAME?</v>
      </c>
      <c r="M290" s="7" t="e" cm="1">
        <f t="array" aca="1" ref="M290" ca="1">_xll.BDP("ZF266659 Corp","PR002")</f>
        <v>#NAME?</v>
      </c>
      <c r="N290" s="1" t="e" cm="1">
        <f t="array" aca="1" ref="N290" ca="1">_xll.BDP("ZF266659 Corp","ID028")</f>
        <v>#NAME?</v>
      </c>
      <c r="O290" s="1" t="e" cm="1">
        <f t="array" aca="1" ref="O290" ca="1">_xll.BDP("ZF266659 Corp","ID005")</f>
        <v>#NAME?</v>
      </c>
      <c r="P290" s="1" t="e" cm="1">
        <f t="array" aca="1" ref="P290" ca="1">_xll.BDP(A290,"RA007")</f>
        <v>#NAME?</v>
      </c>
      <c r="Q290" s="1" t="e" cm="1">
        <f t="array" aca="1" ref="Q290" ca="1">_xll.BDP(A290,"DS219")</f>
        <v>#NAME?</v>
      </c>
      <c r="R290" s="3" t="e" cm="1">
        <f t="array" aca="1" ref="R290" ca="1">_xll.BDP(A290,"DS040")</f>
        <v>#NAME?</v>
      </c>
      <c r="S290" s="4" t="e">
        <f t="shared" ca="1" si="12"/>
        <v>#NAME?</v>
      </c>
      <c r="T290" s="7" t="e">
        <f t="shared" ca="1" si="13"/>
        <v>#NAME?</v>
      </c>
      <c r="U290" s="3" t="e">
        <f t="shared" ca="1" si="14"/>
        <v>#NAME?</v>
      </c>
    </row>
    <row r="291" spans="1:21" x14ac:dyDescent="0.35">
      <c r="A291" s="5" t="s">
        <v>350</v>
      </c>
      <c r="B291" s="1" t="e" cm="1">
        <f t="array" aca="1" ref="B291" ca="1">_xll.BDP("ZF317568 Corp","DS520")</f>
        <v>#NAME?</v>
      </c>
      <c r="C291" s="1" t="e" cm="1">
        <f t="array" aca="1" ref="C291" ca="1">_xll.BDP("ZF317568 Corp","DS001")</f>
        <v>#NAME?</v>
      </c>
      <c r="D291" s="1" t="e" cm="1">
        <f t="array" aca="1" ref="D291" ca="1">_xll.BDP("ZF317568 Corp","DS458")</f>
        <v>#NAME?</v>
      </c>
      <c r="E291" s="1" t="e" cm="1">
        <f t="array" aca="1" ref="E291" ca="1">_xll.BDP("ZF317568 Corp","DS004")</f>
        <v>#NAME?</v>
      </c>
      <c r="F291" s="1" t="e" cm="1">
        <f t="array" aca="1" ref="F291" ca="1">_xll.BDP("ZF317568 Corp","DS035")</f>
        <v>#NAME?</v>
      </c>
      <c r="G291" s="1" t="e" cm="1">
        <f t="array" aca="1" ref="G291" ca="1">_xll.BDP("ZF317568 Corp","DS086")</f>
        <v>#NAME?</v>
      </c>
      <c r="H291" s="1" t="e" cm="1">
        <f t="array" aca="1" ref="H291" ca="1">_xll.BDP("ZF317568 Corp","DS034")</f>
        <v>#NAME?</v>
      </c>
      <c r="I291" s="1" t="e" cm="1">
        <f t="array" aca="1" ref="I291" ca="1">_xll.BDP("ZF317568 Corp","DS033")</f>
        <v>#NAME?</v>
      </c>
      <c r="J291" s="7" t="e" cm="1">
        <f t="array" aca="1" ref="J291" ca="1">_xll.BDP("ZF317568 Corp","YL018")</f>
        <v>#NAME?</v>
      </c>
      <c r="K291" s="7" t="e" cm="1">
        <f t="array" aca="1" ref="K291" ca="1">_xll.BDP("ZF317568 Corp","YL016")</f>
        <v>#NAME?</v>
      </c>
      <c r="L291" s="7" t="e" cm="1">
        <f t="array" aca="1" ref="L291" ca="1">_xll.BDP("ZF317568 Corp","PR004")</f>
        <v>#NAME?</v>
      </c>
      <c r="M291" s="7" t="e" cm="1">
        <f t="array" aca="1" ref="M291" ca="1">_xll.BDP("ZF317568 Corp","PR002")</f>
        <v>#NAME?</v>
      </c>
      <c r="N291" s="1" t="e" cm="1">
        <f t="array" aca="1" ref="N291" ca="1">_xll.BDP("ZF317568 Corp","ID028")</f>
        <v>#NAME?</v>
      </c>
      <c r="O291" s="1" t="e" cm="1">
        <f t="array" aca="1" ref="O291" ca="1">_xll.BDP("ZF317568 Corp","ID005")</f>
        <v>#NAME?</v>
      </c>
      <c r="P291" s="1" t="e" cm="1">
        <f t="array" aca="1" ref="P291" ca="1">_xll.BDP(A291,"RA007")</f>
        <v>#NAME?</v>
      </c>
      <c r="Q291" s="1" t="e" cm="1">
        <f t="array" aca="1" ref="Q291" ca="1">_xll.BDP(A291,"DS219")</f>
        <v>#NAME?</v>
      </c>
      <c r="R291" s="3" t="e" cm="1">
        <f t="array" aca="1" ref="R291" ca="1">_xll.BDP(A291,"DS040")</f>
        <v>#NAME?</v>
      </c>
      <c r="S291" s="4" t="e">
        <f t="shared" ca="1" si="12"/>
        <v>#NAME?</v>
      </c>
      <c r="T291" s="7" t="e">
        <f t="shared" ca="1" si="13"/>
        <v>#NAME?</v>
      </c>
      <c r="U291" s="3" t="e">
        <f t="shared" ca="1" si="14"/>
        <v>#NAME?</v>
      </c>
    </row>
    <row r="292" spans="1:21" x14ac:dyDescent="0.35">
      <c r="A292" s="5" t="s">
        <v>351</v>
      </c>
      <c r="B292" s="1" t="e" cm="1">
        <f t="array" aca="1" ref="B292" ca="1">_xll.BDP("ZF360535 Corp","DS520")</f>
        <v>#NAME?</v>
      </c>
      <c r="C292" s="1" t="e" cm="1">
        <f t="array" aca="1" ref="C292" ca="1">_xll.BDP("ZF360535 Corp","DS001")</f>
        <v>#NAME?</v>
      </c>
      <c r="D292" s="1" t="e" cm="1">
        <f t="array" aca="1" ref="D292" ca="1">_xll.BDP("ZF360535 Corp","DS458")</f>
        <v>#NAME?</v>
      </c>
      <c r="E292" s="1" t="e" cm="1">
        <f t="array" aca="1" ref="E292" ca="1">_xll.BDP("ZF360535 Corp","DS004")</f>
        <v>#NAME?</v>
      </c>
      <c r="F292" s="1" t="e" cm="1">
        <f t="array" aca="1" ref="F292" ca="1">_xll.BDP("ZF360535 Corp","DS035")</f>
        <v>#NAME?</v>
      </c>
      <c r="G292" s="1" t="e" cm="1">
        <f t="array" aca="1" ref="G292" ca="1">_xll.BDP("ZF360535 Corp","DS086")</f>
        <v>#NAME?</v>
      </c>
      <c r="H292" s="1" t="e" cm="1">
        <f t="array" aca="1" ref="H292" ca="1">_xll.BDP("ZF360535 Corp","DS034")</f>
        <v>#NAME?</v>
      </c>
      <c r="I292" s="1" t="e" cm="1">
        <f t="array" aca="1" ref="I292" ca="1">_xll.BDP("ZF360535 Corp","DS033")</f>
        <v>#NAME?</v>
      </c>
      <c r="J292" s="7" t="e" cm="1">
        <f t="array" aca="1" ref="J292" ca="1">_xll.BDP("ZF360535 Corp","YL018")</f>
        <v>#NAME?</v>
      </c>
      <c r="K292" s="7" t="e" cm="1">
        <f t="array" aca="1" ref="K292" ca="1">_xll.BDP("ZF360535 Corp","YL016")</f>
        <v>#NAME?</v>
      </c>
      <c r="L292" s="7" t="e" cm="1">
        <f t="array" aca="1" ref="L292" ca="1">_xll.BDP("ZF360535 Corp","PR004")</f>
        <v>#NAME?</v>
      </c>
      <c r="M292" s="7" t="e" cm="1">
        <f t="array" aca="1" ref="M292" ca="1">_xll.BDP("ZF360535 Corp","PR002")</f>
        <v>#NAME?</v>
      </c>
      <c r="N292" s="1" t="e" cm="1">
        <f t="array" aca="1" ref="N292" ca="1">_xll.BDP("ZF360535 Corp","ID028")</f>
        <v>#NAME?</v>
      </c>
      <c r="O292" s="1" t="e" cm="1">
        <f t="array" aca="1" ref="O292" ca="1">_xll.BDP("ZF360535 Corp","ID005")</f>
        <v>#NAME?</v>
      </c>
      <c r="P292" s="1" t="e" cm="1">
        <f t="array" aca="1" ref="P292" ca="1">_xll.BDP(A292,"RA007")</f>
        <v>#NAME?</v>
      </c>
      <c r="Q292" s="1" t="e" cm="1">
        <f t="array" aca="1" ref="Q292" ca="1">_xll.BDP(A292,"DS219")</f>
        <v>#NAME?</v>
      </c>
      <c r="R292" s="3" t="e" cm="1">
        <f t="array" aca="1" ref="R292" ca="1">_xll.BDP(A292,"DS040")</f>
        <v>#NAME?</v>
      </c>
      <c r="S292" s="4" t="e">
        <f t="shared" ca="1" si="12"/>
        <v>#NAME?</v>
      </c>
      <c r="T292" s="7" t="e">
        <f t="shared" ca="1" si="13"/>
        <v>#NAME?</v>
      </c>
      <c r="U292" s="3" t="e">
        <f t="shared" ca="1" si="14"/>
        <v>#NAME?</v>
      </c>
    </row>
    <row r="293" spans="1:21" x14ac:dyDescent="0.35">
      <c r="A293" s="5" t="s">
        <v>352</v>
      </c>
      <c r="B293" s="1" t="e" cm="1">
        <f t="array" aca="1" ref="B293" ca="1">_xll.BDP("ZF423028 Corp","DS520")</f>
        <v>#NAME?</v>
      </c>
      <c r="C293" s="1" t="e" cm="1">
        <f t="array" aca="1" ref="C293" ca="1">_xll.BDP("ZF423028 Corp","DS001")</f>
        <v>#NAME?</v>
      </c>
      <c r="D293" s="1" t="e" cm="1">
        <f t="array" aca="1" ref="D293" ca="1">_xll.BDP("ZF423028 Corp","DS458")</f>
        <v>#NAME?</v>
      </c>
      <c r="E293" s="1" t="e" cm="1">
        <f t="array" aca="1" ref="E293" ca="1">_xll.BDP("ZF423028 Corp","DS004")</f>
        <v>#NAME?</v>
      </c>
      <c r="F293" s="1" t="e" cm="1">
        <f t="array" aca="1" ref="F293" ca="1">_xll.BDP("ZF423028 Corp","DS035")</f>
        <v>#NAME?</v>
      </c>
      <c r="G293" s="1" t="e" cm="1">
        <f t="array" aca="1" ref="G293" ca="1">_xll.BDP("ZF423028 Corp","DS086")</f>
        <v>#NAME?</v>
      </c>
      <c r="H293" s="1" t="e" cm="1">
        <f t="array" aca="1" ref="H293" ca="1">_xll.BDP("ZF423028 Corp","DS034")</f>
        <v>#NAME?</v>
      </c>
      <c r="I293" s="1" t="e" cm="1">
        <f t="array" aca="1" ref="I293" ca="1">_xll.BDP("ZF423028 Corp","DS033")</f>
        <v>#NAME?</v>
      </c>
      <c r="J293" s="7" t="e" cm="1">
        <f t="array" aca="1" ref="J293" ca="1">_xll.BDP("ZF423028 Corp","YL018")</f>
        <v>#NAME?</v>
      </c>
      <c r="K293" s="7" t="e" cm="1">
        <f t="array" aca="1" ref="K293" ca="1">_xll.BDP("ZF423028 Corp","YL016")</f>
        <v>#NAME?</v>
      </c>
      <c r="L293" s="7" t="e" cm="1">
        <f t="array" aca="1" ref="L293" ca="1">_xll.BDP("ZF423028 Corp","PR004")</f>
        <v>#NAME?</v>
      </c>
      <c r="M293" s="7" t="e" cm="1">
        <f t="array" aca="1" ref="M293" ca="1">_xll.BDP("ZF423028 Corp","PR002")</f>
        <v>#NAME?</v>
      </c>
      <c r="N293" s="1" t="e" cm="1">
        <f t="array" aca="1" ref="N293" ca="1">_xll.BDP("ZF423028 Corp","ID028")</f>
        <v>#NAME?</v>
      </c>
      <c r="O293" s="1" t="e" cm="1">
        <f t="array" aca="1" ref="O293" ca="1">_xll.BDP("ZF423028 Corp","ID005")</f>
        <v>#NAME?</v>
      </c>
      <c r="P293" s="1" t="e" cm="1">
        <f t="array" aca="1" ref="P293" ca="1">_xll.BDP(A293,"RA007")</f>
        <v>#NAME?</v>
      </c>
      <c r="Q293" s="1" t="e" cm="1">
        <f t="array" aca="1" ref="Q293" ca="1">_xll.BDP(A293,"DS219")</f>
        <v>#NAME?</v>
      </c>
      <c r="R293" s="3" t="e" cm="1">
        <f t="array" aca="1" ref="R293" ca="1">_xll.BDP(A293,"DS040")</f>
        <v>#NAME?</v>
      </c>
      <c r="S293" s="4" t="e">
        <f t="shared" ca="1" si="12"/>
        <v>#NAME?</v>
      </c>
      <c r="T293" s="7" t="e">
        <f t="shared" ca="1" si="13"/>
        <v>#NAME?</v>
      </c>
      <c r="U293" s="3" t="e">
        <f t="shared" ca="1" si="14"/>
        <v>#NAME?</v>
      </c>
    </row>
    <row r="294" spans="1:21" x14ac:dyDescent="0.35">
      <c r="A294" s="5" t="s">
        <v>353</v>
      </c>
      <c r="B294" s="1" t="e" cm="1">
        <f t="array" aca="1" ref="B294" ca="1">_xll.BDP("ZF953600 Corp","DS520")</f>
        <v>#NAME?</v>
      </c>
      <c r="C294" s="1" t="e" cm="1">
        <f t="array" aca="1" ref="C294" ca="1">_xll.BDP("ZF953600 Corp","DS001")</f>
        <v>#NAME?</v>
      </c>
      <c r="D294" s="1" t="e" cm="1">
        <f t="array" aca="1" ref="D294" ca="1">_xll.BDP("ZF953600 Corp","DS458")</f>
        <v>#NAME?</v>
      </c>
      <c r="E294" s="1" t="e" cm="1">
        <f t="array" aca="1" ref="E294" ca="1">_xll.BDP("ZF953600 Corp","DS004")</f>
        <v>#NAME?</v>
      </c>
      <c r="F294" s="1" t="e" cm="1">
        <f t="array" aca="1" ref="F294" ca="1">_xll.BDP("ZF953600 Corp","DS035")</f>
        <v>#NAME?</v>
      </c>
      <c r="G294" s="1" t="e" cm="1">
        <f t="array" aca="1" ref="G294" ca="1">_xll.BDP("ZF953600 Corp","DS086")</f>
        <v>#NAME?</v>
      </c>
      <c r="H294" s="1" t="e" cm="1">
        <f t="array" aca="1" ref="H294" ca="1">_xll.BDP("ZF953600 Corp","DS034")</f>
        <v>#NAME?</v>
      </c>
      <c r="I294" s="1" t="e" cm="1">
        <f t="array" aca="1" ref="I294" ca="1">_xll.BDP("ZF953600 Corp","DS033")</f>
        <v>#NAME?</v>
      </c>
      <c r="J294" s="7" t="e" cm="1">
        <f t="array" aca="1" ref="J294" ca="1">_xll.BDP("ZF953600 Corp","YL018")</f>
        <v>#NAME?</v>
      </c>
      <c r="K294" s="7" t="e" cm="1">
        <f t="array" aca="1" ref="K294" ca="1">_xll.BDP("ZF953600 Corp","YL016")</f>
        <v>#NAME?</v>
      </c>
      <c r="L294" s="7" t="e" cm="1">
        <f t="array" aca="1" ref="L294" ca="1">_xll.BDP("ZF953600 Corp","PR004")</f>
        <v>#NAME?</v>
      </c>
      <c r="M294" s="7" t="e" cm="1">
        <f t="array" aca="1" ref="M294" ca="1">_xll.BDP("ZF953600 Corp","PR002")</f>
        <v>#NAME?</v>
      </c>
      <c r="N294" s="1" t="e" cm="1">
        <f t="array" aca="1" ref="N294" ca="1">_xll.BDP("ZF953600 Corp","ID028")</f>
        <v>#NAME?</v>
      </c>
      <c r="O294" s="1" t="e" cm="1">
        <f t="array" aca="1" ref="O294" ca="1">_xll.BDP("ZF953600 Corp","ID005")</f>
        <v>#NAME?</v>
      </c>
      <c r="P294" s="1" t="e" cm="1">
        <f t="array" aca="1" ref="P294" ca="1">_xll.BDP(A294,"RA007")</f>
        <v>#NAME?</v>
      </c>
      <c r="Q294" s="1" t="e" cm="1">
        <f t="array" aca="1" ref="Q294" ca="1">_xll.BDP(A294,"DS219")</f>
        <v>#NAME?</v>
      </c>
      <c r="R294" s="3" t="e" cm="1">
        <f t="array" aca="1" ref="R294" ca="1">_xll.BDP(A294,"DS040")</f>
        <v>#NAME?</v>
      </c>
      <c r="S294" s="4" t="e">
        <f t="shared" ca="1" si="12"/>
        <v>#NAME?</v>
      </c>
      <c r="T294" s="7" t="e">
        <f t="shared" ca="1" si="13"/>
        <v>#NAME?</v>
      </c>
      <c r="U294" s="3" t="e">
        <f t="shared" ca="1" si="14"/>
        <v>#NAME?</v>
      </c>
    </row>
    <row r="295" spans="1:21" x14ac:dyDescent="0.35">
      <c r="A295" s="5" t="s">
        <v>354</v>
      </c>
      <c r="B295" s="1" t="e" cm="1">
        <f t="array" aca="1" ref="B295" ca="1">_xll.BDP("ZG134466 Corp","DS520")</f>
        <v>#NAME?</v>
      </c>
      <c r="C295" s="1" t="e" cm="1">
        <f t="array" aca="1" ref="C295" ca="1">_xll.BDP("ZG134466 Corp","DS001")</f>
        <v>#NAME?</v>
      </c>
      <c r="D295" s="1" t="e" cm="1">
        <f t="array" aca="1" ref="D295" ca="1">_xll.BDP("ZG134466 Corp","DS458")</f>
        <v>#NAME?</v>
      </c>
      <c r="E295" s="1" t="e" cm="1">
        <f t="array" aca="1" ref="E295" ca="1">_xll.BDP("ZG134466 Corp","DS004")</f>
        <v>#NAME?</v>
      </c>
      <c r="F295" s="1" t="e" cm="1">
        <f t="array" aca="1" ref="F295" ca="1">_xll.BDP("ZG134466 Corp","DS035")</f>
        <v>#NAME?</v>
      </c>
      <c r="G295" s="1" t="e" cm="1">
        <f t="array" aca="1" ref="G295" ca="1">_xll.BDP("ZG134466 Corp","DS086")</f>
        <v>#NAME?</v>
      </c>
      <c r="H295" s="1" t="e" cm="1">
        <f t="array" aca="1" ref="H295" ca="1">_xll.BDP("ZG134466 Corp","DS034")</f>
        <v>#NAME?</v>
      </c>
      <c r="I295" s="1" t="e" cm="1">
        <f t="array" aca="1" ref="I295" ca="1">_xll.BDP("ZG134466 Corp","DS033")</f>
        <v>#NAME?</v>
      </c>
      <c r="J295" s="7" t="e" cm="1">
        <f t="array" aca="1" ref="J295" ca="1">_xll.BDP("ZG134466 Corp","YL018")</f>
        <v>#NAME?</v>
      </c>
      <c r="K295" s="7" t="e" cm="1">
        <f t="array" aca="1" ref="K295" ca="1">_xll.BDP("ZG134466 Corp","YL016")</f>
        <v>#NAME?</v>
      </c>
      <c r="L295" s="7" t="e" cm="1">
        <f t="array" aca="1" ref="L295" ca="1">_xll.BDP("ZG134466 Corp","PR004")</f>
        <v>#NAME?</v>
      </c>
      <c r="M295" s="7" t="e" cm="1">
        <f t="array" aca="1" ref="M295" ca="1">_xll.BDP("ZG134466 Corp","PR002")</f>
        <v>#NAME?</v>
      </c>
      <c r="N295" s="1" t="e" cm="1">
        <f t="array" aca="1" ref="N295" ca="1">_xll.BDP("ZG134466 Corp","ID028")</f>
        <v>#NAME?</v>
      </c>
      <c r="O295" s="1" t="e" cm="1">
        <f t="array" aca="1" ref="O295" ca="1">_xll.BDP("ZG134466 Corp","ID005")</f>
        <v>#NAME?</v>
      </c>
      <c r="P295" s="1" t="e" cm="1">
        <f t="array" aca="1" ref="P295" ca="1">_xll.BDP(A295,"RA007")</f>
        <v>#NAME?</v>
      </c>
      <c r="Q295" s="1" t="e" cm="1">
        <f t="array" aca="1" ref="Q295" ca="1">_xll.BDP(A295,"DS219")</f>
        <v>#NAME?</v>
      </c>
      <c r="R295" s="3" t="e" cm="1">
        <f t="array" aca="1" ref="R295" ca="1">_xll.BDP(A295,"DS040")</f>
        <v>#NAME?</v>
      </c>
      <c r="S295" s="4" t="e">
        <f t="shared" ca="1" si="12"/>
        <v>#NAME?</v>
      </c>
      <c r="T295" s="7" t="e">
        <f t="shared" ca="1" si="13"/>
        <v>#NAME?</v>
      </c>
      <c r="U295" s="3" t="e">
        <f t="shared" ca="1" si="14"/>
        <v>#NAME?</v>
      </c>
    </row>
    <row r="296" spans="1:21" x14ac:dyDescent="0.35">
      <c r="A296" s="5" t="s">
        <v>355</v>
      </c>
      <c r="B296" s="1" t="e" cm="1">
        <f t="array" aca="1" ref="B296" ca="1">_xll.BDP("ZH264747 Corp","DS520")</f>
        <v>#NAME?</v>
      </c>
      <c r="C296" s="1" t="e" cm="1">
        <f t="array" aca="1" ref="C296" ca="1">_xll.BDP("ZH264747 Corp","DS001")</f>
        <v>#NAME?</v>
      </c>
      <c r="D296" s="1" t="e" cm="1">
        <f t="array" aca="1" ref="D296" ca="1">_xll.BDP("ZH264747 Corp","DS458")</f>
        <v>#NAME?</v>
      </c>
      <c r="E296" s="1" t="e" cm="1">
        <f t="array" aca="1" ref="E296" ca="1">_xll.BDP("ZH264747 Corp","DS004")</f>
        <v>#NAME?</v>
      </c>
      <c r="F296" s="1" t="e" cm="1">
        <f t="array" aca="1" ref="F296" ca="1">_xll.BDP("ZH264747 Corp","DS035")</f>
        <v>#NAME?</v>
      </c>
      <c r="G296" s="1" t="e" cm="1">
        <f t="array" aca="1" ref="G296" ca="1">_xll.BDP("ZH264747 Corp","DS086")</f>
        <v>#NAME?</v>
      </c>
      <c r="H296" s="1" t="e" cm="1">
        <f t="array" aca="1" ref="H296" ca="1">_xll.BDP("ZH264747 Corp","DS034")</f>
        <v>#NAME?</v>
      </c>
      <c r="I296" s="1" t="e" cm="1">
        <f t="array" aca="1" ref="I296" ca="1">_xll.BDP("ZH264747 Corp","DS033")</f>
        <v>#NAME?</v>
      </c>
      <c r="J296" s="7" t="e" cm="1">
        <f t="array" aca="1" ref="J296" ca="1">_xll.BDP("ZH264747 Corp","YL018")</f>
        <v>#NAME?</v>
      </c>
      <c r="K296" s="7" t="e" cm="1">
        <f t="array" aca="1" ref="K296" ca="1">_xll.BDP("ZH264747 Corp","YL016")</f>
        <v>#NAME?</v>
      </c>
      <c r="L296" s="7" t="e" cm="1">
        <f t="array" aca="1" ref="L296" ca="1">_xll.BDP("ZH264747 Corp","PR004")</f>
        <v>#NAME?</v>
      </c>
      <c r="M296" s="7" t="e" cm="1">
        <f t="array" aca="1" ref="M296" ca="1">_xll.BDP("ZH264747 Corp","PR002")</f>
        <v>#NAME?</v>
      </c>
      <c r="N296" s="1" t="e" cm="1">
        <f t="array" aca="1" ref="N296" ca="1">_xll.BDP("ZH264747 Corp","ID028")</f>
        <v>#NAME?</v>
      </c>
      <c r="O296" s="1" t="e" cm="1">
        <f t="array" aca="1" ref="O296" ca="1">_xll.BDP("ZH264747 Corp","ID005")</f>
        <v>#NAME?</v>
      </c>
      <c r="P296" s="1" t="e" cm="1">
        <f t="array" aca="1" ref="P296" ca="1">_xll.BDP(A296,"RA007")</f>
        <v>#NAME?</v>
      </c>
      <c r="Q296" s="1" t="e" cm="1">
        <f t="array" aca="1" ref="Q296" ca="1">_xll.BDP(A296,"DS219")</f>
        <v>#NAME?</v>
      </c>
      <c r="R296" s="3" t="e" cm="1">
        <f t="array" aca="1" ref="R296" ca="1">_xll.BDP(A296,"DS040")</f>
        <v>#NAME?</v>
      </c>
      <c r="S296" s="4" t="e">
        <f t="shared" ca="1" si="12"/>
        <v>#NAME?</v>
      </c>
      <c r="T296" s="7" t="e">
        <f t="shared" ca="1" si="13"/>
        <v>#NAME?</v>
      </c>
      <c r="U296" s="3" t="e">
        <f t="shared" ca="1" si="14"/>
        <v>#NAME?</v>
      </c>
    </row>
    <row r="297" spans="1:21" x14ac:dyDescent="0.35">
      <c r="A297" s="5" t="s">
        <v>356</v>
      </c>
      <c r="B297" s="1" t="e" cm="1">
        <f t="array" aca="1" ref="B297" ca="1">_xll.BDP("ZH320472 Corp","DS520")</f>
        <v>#NAME?</v>
      </c>
      <c r="C297" s="1" t="e" cm="1">
        <f t="array" aca="1" ref="C297" ca="1">_xll.BDP("ZH320472 Corp","DS001")</f>
        <v>#NAME?</v>
      </c>
      <c r="D297" s="1" t="e" cm="1">
        <f t="array" aca="1" ref="D297" ca="1">_xll.BDP("ZH320472 Corp","DS458")</f>
        <v>#NAME?</v>
      </c>
      <c r="E297" s="1" t="e" cm="1">
        <f t="array" aca="1" ref="E297" ca="1">_xll.BDP("ZH320472 Corp","DS004")</f>
        <v>#NAME?</v>
      </c>
      <c r="F297" s="1" t="e" cm="1">
        <f t="array" aca="1" ref="F297" ca="1">_xll.BDP("ZH320472 Corp","DS035")</f>
        <v>#NAME?</v>
      </c>
      <c r="G297" s="1" t="e" cm="1">
        <f t="array" aca="1" ref="G297" ca="1">_xll.BDP("ZH320472 Corp","DS086")</f>
        <v>#NAME?</v>
      </c>
      <c r="H297" s="1" t="e" cm="1">
        <f t="array" aca="1" ref="H297" ca="1">_xll.BDP("ZH320472 Corp","DS034")</f>
        <v>#NAME?</v>
      </c>
      <c r="I297" s="1" t="e" cm="1">
        <f t="array" aca="1" ref="I297" ca="1">_xll.BDP("ZH320472 Corp","DS033")</f>
        <v>#NAME?</v>
      </c>
      <c r="J297" s="7" t="e" cm="1">
        <f t="array" aca="1" ref="J297" ca="1">_xll.BDP("ZH320472 Corp","YL018")</f>
        <v>#NAME?</v>
      </c>
      <c r="K297" s="7" t="e" cm="1">
        <f t="array" aca="1" ref="K297" ca="1">_xll.BDP("ZH320472 Corp","YL016")</f>
        <v>#NAME?</v>
      </c>
      <c r="L297" s="7" t="e" cm="1">
        <f t="array" aca="1" ref="L297" ca="1">_xll.BDP("ZH320472 Corp","PR004")</f>
        <v>#NAME?</v>
      </c>
      <c r="M297" s="7" t="e" cm="1">
        <f t="array" aca="1" ref="M297" ca="1">_xll.BDP("ZH320472 Corp","PR002")</f>
        <v>#NAME?</v>
      </c>
      <c r="N297" s="1" t="e" cm="1">
        <f t="array" aca="1" ref="N297" ca="1">_xll.BDP("ZH320472 Corp","ID028")</f>
        <v>#NAME?</v>
      </c>
      <c r="O297" s="1" t="e" cm="1">
        <f t="array" aca="1" ref="O297" ca="1">_xll.BDP("ZH320472 Corp","ID005")</f>
        <v>#NAME?</v>
      </c>
      <c r="P297" s="1" t="e" cm="1">
        <f t="array" aca="1" ref="P297" ca="1">_xll.BDP(A297,"RA007")</f>
        <v>#NAME?</v>
      </c>
      <c r="Q297" s="1" t="e" cm="1">
        <f t="array" aca="1" ref="Q297" ca="1">_xll.BDP(A297,"DS219")</f>
        <v>#NAME?</v>
      </c>
      <c r="R297" s="3" t="e" cm="1">
        <f t="array" aca="1" ref="R297" ca="1">_xll.BDP(A297,"DS040")</f>
        <v>#NAME?</v>
      </c>
      <c r="S297" s="4" t="e">
        <f t="shared" ca="1" si="12"/>
        <v>#NAME?</v>
      </c>
      <c r="T297" s="7" t="e">
        <f t="shared" ca="1" si="13"/>
        <v>#NAME?</v>
      </c>
      <c r="U297" s="3" t="e">
        <f t="shared" ca="1" si="14"/>
        <v>#NAME?</v>
      </c>
    </row>
    <row r="298" spans="1:21" x14ac:dyDescent="0.35">
      <c r="A298" s="5" t="s">
        <v>357</v>
      </c>
      <c r="B298" s="1" t="e" cm="1">
        <f t="array" aca="1" ref="B298" ca="1">_xll.BDP("ZH437639 Corp","DS520")</f>
        <v>#NAME?</v>
      </c>
      <c r="C298" s="1" t="e" cm="1">
        <f t="array" aca="1" ref="C298" ca="1">_xll.BDP("ZH437639 Corp","DS001")</f>
        <v>#NAME?</v>
      </c>
      <c r="D298" s="1" t="e" cm="1">
        <f t="array" aca="1" ref="D298" ca="1">_xll.BDP("ZH437639 Corp","DS458")</f>
        <v>#NAME?</v>
      </c>
      <c r="E298" s="1" t="e" cm="1">
        <f t="array" aca="1" ref="E298" ca="1">_xll.BDP("ZH437639 Corp","DS004")</f>
        <v>#NAME?</v>
      </c>
      <c r="F298" s="1" t="e" cm="1">
        <f t="array" aca="1" ref="F298" ca="1">_xll.BDP("ZH437639 Corp","DS035")</f>
        <v>#NAME?</v>
      </c>
      <c r="G298" s="1" t="e" cm="1">
        <f t="array" aca="1" ref="G298" ca="1">_xll.BDP("ZH437639 Corp","DS086")</f>
        <v>#NAME?</v>
      </c>
      <c r="H298" s="1" t="e" cm="1">
        <f t="array" aca="1" ref="H298" ca="1">_xll.BDP("ZH437639 Corp","DS034")</f>
        <v>#NAME?</v>
      </c>
      <c r="I298" s="1" t="e" cm="1">
        <f t="array" aca="1" ref="I298" ca="1">_xll.BDP("ZH437639 Corp","DS033")</f>
        <v>#NAME?</v>
      </c>
      <c r="J298" s="7" t="e" cm="1">
        <f t="array" aca="1" ref="J298" ca="1">_xll.BDP("ZH437639 Corp","YL018")</f>
        <v>#NAME?</v>
      </c>
      <c r="K298" s="7" t="e" cm="1">
        <f t="array" aca="1" ref="K298" ca="1">_xll.BDP("ZH437639 Corp","YL016")</f>
        <v>#NAME?</v>
      </c>
      <c r="L298" s="7" t="e" cm="1">
        <f t="array" aca="1" ref="L298" ca="1">_xll.BDP("ZH437639 Corp","PR004")</f>
        <v>#NAME?</v>
      </c>
      <c r="M298" s="7" t="e" cm="1">
        <f t="array" aca="1" ref="M298" ca="1">_xll.BDP("ZH437639 Corp","PR002")</f>
        <v>#NAME?</v>
      </c>
      <c r="N298" s="1" t="e" cm="1">
        <f t="array" aca="1" ref="N298" ca="1">_xll.BDP("ZH437639 Corp","ID028")</f>
        <v>#NAME?</v>
      </c>
      <c r="O298" s="1" t="e" cm="1">
        <f t="array" aca="1" ref="O298" ca="1">_xll.BDP("ZH437639 Corp","ID005")</f>
        <v>#NAME?</v>
      </c>
      <c r="P298" s="1" t="e" cm="1">
        <f t="array" aca="1" ref="P298" ca="1">_xll.BDP(A298,"RA007")</f>
        <v>#NAME?</v>
      </c>
      <c r="Q298" s="1" t="e" cm="1">
        <f t="array" aca="1" ref="Q298" ca="1">_xll.BDP(A298,"DS219")</f>
        <v>#NAME?</v>
      </c>
      <c r="R298" s="3" t="e" cm="1">
        <f t="array" aca="1" ref="R298" ca="1">_xll.BDP(A298,"DS040")</f>
        <v>#NAME?</v>
      </c>
      <c r="S298" s="4" t="e">
        <f t="shared" ca="1" si="12"/>
        <v>#NAME?</v>
      </c>
      <c r="T298" s="7" t="e">
        <f t="shared" ca="1" si="13"/>
        <v>#NAME?</v>
      </c>
      <c r="U298" s="3" t="e">
        <f t="shared" ca="1" si="14"/>
        <v>#NAME?</v>
      </c>
    </row>
    <row r="299" spans="1:21" x14ac:dyDescent="0.35">
      <c r="A299" s="5" t="s">
        <v>358</v>
      </c>
      <c r="B299" s="1" t="e" cm="1">
        <f t="array" aca="1" ref="B299" ca="1">_xll.BDP("ZH548728 Corp","DS520")</f>
        <v>#NAME?</v>
      </c>
      <c r="C299" s="1" t="e" cm="1">
        <f t="array" aca="1" ref="C299" ca="1">_xll.BDP("ZH548728 Corp","DS001")</f>
        <v>#NAME?</v>
      </c>
      <c r="D299" s="1" t="e" cm="1">
        <f t="array" aca="1" ref="D299" ca="1">_xll.BDP("ZH548728 Corp","DS458")</f>
        <v>#NAME?</v>
      </c>
      <c r="E299" s="1" t="e" cm="1">
        <f t="array" aca="1" ref="E299" ca="1">_xll.BDP("ZH548728 Corp","DS004")</f>
        <v>#NAME?</v>
      </c>
      <c r="F299" s="1" t="e" cm="1">
        <f t="array" aca="1" ref="F299" ca="1">_xll.BDP("ZH548728 Corp","DS035")</f>
        <v>#NAME?</v>
      </c>
      <c r="G299" s="1" t="e" cm="1">
        <f t="array" aca="1" ref="G299" ca="1">_xll.BDP("ZH548728 Corp","DS086")</f>
        <v>#NAME?</v>
      </c>
      <c r="H299" s="1" t="e" cm="1">
        <f t="array" aca="1" ref="H299" ca="1">_xll.BDP("ZH548728 Corp","DS034")</f>
        <v>#NAME?</v>
      </c>
      <c r="I299" s="1" t="e" cm="1">
        <f t="array" aca="1" ref="I299" ca="1">_xll.BDP("ZH548728 Corp","DS033")</f>
        <v>#NAME?</v>
      </c>
      <c r="J299" s="7" t="e" cm="1">
        <f t="array" aca="1" ref="J299" ca="1">_xll.BDP("ZH548728 Corp","YL018")</f>
        <v>#NAME?</v>
      </c>
      <c r="K299" s="7" t="e" cm="1">
        <f t="array" aca="1" ref="K299" ca="1">_xll.BDP("ZH548728 Corp","YL016")</f>
        <v>#NAME?</v>
      </c>
      <c r="L299" s="7" t="e" cm="1">
        <f t="array" aca="1" ref="L299" ca="1">_xll.BDP("ZH548728 Corp","PR004")</f>
        <v>#NAME?</v>
      </c>
      <c r="M299" s="7" t="e" cm="1">
        <f t="array" aca="1" ref="M299" ca="1">_xll.BDP("ZH548728 Corp","PR002")</f>
        <v>#NAME?</v>
      </c>
      <c r="N299" s="1" t="e" cm="1">
        <f t="array" aca="1" ref="N299" ca="1">_xll.BDP("ZH548728 Corp","ID028")</f>
        <v>#NAME?</v>
      </c>
      <c r="O299" s="1" t="e" cm="1">
        <f t="array" aca="1" ref="O299" ca="1">_xll.BDP("ZH548728 Corp","ID005")</f>
        <v>#NAME?</v>
      </c>
      <c r="P299" s="1" t="e" cm="1">
        <f t="array" aca="1" ref="P299" ca="1">_xll.BDP(A299,"RA007")</f>
        <v>#NAME?</v>
      </c>
      <c r="Q299" s="1" t="e" cm="1">
        <f t="array" aca="1" ref="Q299" ca="1">_xll.BDP(A299,"DS219")</f>
        <v>#NAME?</v>
      </c>
      <c r="R299" s="3" t="e" cm="1">
        <f t="array" aca="1" ref="R299" ca="1">_xll.BDP(A299,"DS040")</f>
        <v>#NAME?</v>
      </c>
      <c r="S299" s="4" t="e">
        <f t="shared" ca="1" si="12"/>
        <v>#NAME?</v>
      </c>
      <c r="T299" s="7" t="e">
        <f t="shared" ca="1" si="13"/>
        <v>#NAME?</v>
      </c>
      <c r="U299" s="3" t="e">
        <f t="shared" ca="1" si="14"/>
        <v>#NAME?</v>
      </c>
    </row>
    <row r="300" spans="1:21" x14ac:dyDescent="0.35">
      <c r="A300" s="5" t="s">
        <v>359</v>
      </c>
      <c r="B300" s="1" t="e" cm="1">
        <f t="array" aca="1" ref="B300" ca="1">_xll.BDP("ZI391344 Corp","DS520")</f>
        <v>#NAME?</v>
      </c>
      <c r="C300" s="1" t="e" cm="1">
        <f t="array" aca="1" ref="C300" ca="1">_xll.BDP("ZI391344 Corp","DS001")</f>
        <v>#NAME?</v>
      </c>
      <c r="D300" s="1" t="e" cm="1">
        <f t="array" aca="1" ref="D300" ca="1">_xll.BDP("ZI391344 Corp","DS458")</f>
        <v>#NAME?</v>
      </c>
      <c r="E300" s="1" t="e" cm="1">
        <f t="array" aca="1" ref="E300" ca="1">_xll.BDP("ZI391344 Corp","DS004")</f>
        <v>#NAME?</v>
      </c>
      <c r="F300" s="1" t="e" cm="1">
        <f t="array" aca="1" ref="F300" ca="1">_xll.BDP("ZI391344 Corp","DS035")</f>
        <v>#NAME?</v>
      </c>
      <c r="G300" s="1" t="e" cm="1">
        <f t="array" aca="1" ref="G300" ca="1">_xll.BDP("ZI391344 Corp","DS086")</f>
        <v>#NAME?</v>
      </c>
      <c r="H300" s="1" t="e" cm="1">
        <f t="array" aca="1" ref="H300" ca="1">_xll.BDP("ZI391344 Corp","DS034")</f>
        <v>#NAME?</v>
      </c>
      <c r="I300" s="1" t="e" cm="1">
        <f t="array" aca="1" ref="I300" ca="1">_xll.BDP("ZI391344 Corp","DS033")</f>
        <v>#NAME?</v>
      </c>
      <c r="J300" s="7" t="e" cm="1">
        <f t="array" aca="1" ref="J300" ca="1">_xll.BDP("ZI391344 Corp","YL018")</f>
        <v>#NAME?</v>
      </c>
      <c r="K300" s="7" t="e" cm="1">
        <f t="array" aca="1" ref="K300" ca="1">_xll.BDP("ZI391344 Corp","YL016")</f>
        <v>#NAME?</v>
      </c>
      <c r="L300" s="7" t="e" cm="1">
        <f t="array" aca="1" ref="L300" ca="1">_xll.BDP("ZI391344 Corp","PR004")</f>
        <v>#NAME?</v>
      </c>
      <c r="M300" s="7" t="e" cm="1">
        <f t="array" aca="1" ref="M300" ca="1">_xll.BDP("ZI391344 Corp","PR002")</f>
        <v>#NAME?</v>
      </c>
      <c r="N300" s="1" t="e" cm="1">
        <f t="array" aca="1" ref="N300" ca="1">_xll.BDP("ZI391344 Corp","ID028")</f>
        <v>#NAME?</v>
      </c>
      <c r="O300" s="1" t="e" cm="1">
        <f t="array" aca="1" ref="O300" ca="1">_xll.BDP("ZI391344 Corp","ID005")</f>
        <v>#NAME?</v>
      </c>
      <c r="P300" s="1" t="e" cm="1">
        <f t="array" aca="1" ref="P300" ca="1">_xll.BDP(A300,"RA007")</f>
        <v>#NAME?</v>
      </c>
      <c r="Q300" s="1" t="e" cm="1">
        <f t="array" aca="1" ref="Q300" ca="1">_xll.BDP(A300,"DS219")</f>
        <v>#NAME?</v>
      </c>
      <c r="R300" s="3" t="e" cm="1">
        <f t="array" aca="1" ref="R300" ca="1">_xll.BDP(A300,"DS040")</f>
        <v>#NAME?</v>
      </c>
      <c r="S300" s="4" t="e">
        <f t="shared" ca="1" si="12"/>
        <v>#NAME?</v>
      </c>
      <c r="T300" s="7" t="e">
        <f t="shared" ca="1" si="13"/>
        <v>#NAME?</v>
      </c>
      <c r="U300" s="3" t="e">
        <f t="shared" ca="1" si="14"/>
        <v>#NAME?</v>
      </c>
    </row>
    <row r="301" spans="1:21" x14ac:dyDescent="0.35">
      <c r="A301" s="5" t="s">
        <v>360</v>
      </c>
      <c r="B301" s="1" t="e" cm="1">
        <f t="array" aca="1" ref="B301" ca="1">_xll.BDP("ZI861660 Corp","DS520")</f>
        <v>#NAME?</v>
      </c>
      <c r="C301" s="1" t="e" cm="1">
        <f t="array" aca="1" ref="C301" ca="1">_xll.BDP("ZI861660 Corp","DS001")</f>
        <v>#NAME?</v>
      </c>
      <c r="D301" s="1" t="e" cm="1">
        <f t="array" aca="1" ref="D301" ca="1">_xll.BDP("ZI861660 Corp","DS458")</f>
        <v>#NAME?</v>
      </c>
      <c r="E301" s="1" t="e" cm="1">
        <f t="array" aca="1" ref="E301" ca="1">_xll.BDP("ZI861660 Corp","DS004")</f>
        <v>#NAME?</v>
      </c>
      <c r="F301" s="1" t="e" cm="1">
        <f t="array" aca="1" ref="F301" ca="1">_xll.BDP("ZI861660 Corp","DS035")</f>
        <v>#NAME?</v>
      </c>
      <c r="G301" s="1" t="e" cm="1">
        <f t="array" aca="1" ref="G301" ca="1">_xll.BDP("ZI861660 Corp","DS086")</f>
        <v>#NAME?</v>
      </c>
      <c r="H301" s="1" t="e" cm="1">
        <f t="array" aca="1" ref="H301" ca="1">_xll.BDP("ZI861660 Corp","DS034")</f>
        <v>#NAME?</v>
      </c>
      <c r="I301" s="1" t="e" cm="1">
        <f t="array" aca="1" ref="I301" ca="1">_xll.BDP("ZI861660 Corp","DS033")</f>
        <v>#NAME?</v>
      </c>
      <c r="J301" s="7" t="e" cm="1">
        <f t="array" aca="1" ref="J301" ca="1">_xll.BDP("ZI861660 Corp","YL018")</f>
        <v>#NAME?</v>
      </c>
      <c r="K301" s="7" t="e" cm="1">
        <f t="array" aca="1" ref="K301" ca="1">_xll.BDP("ZI861660 Corp","YL016")</f>
        <v>#NAME?</v>
      </c>
      <c r="L301" s="7" t="e" cm="1">
        <f t="array" aca="1" ref="L301" ca="1">_xll.BDP("ZI861660 Corp","PR004")</f>
        <v>#NAME?</v>
      </c>
      <c r="M301" s="7" t="e" cm="1">
        <f t="array" aca="1" ref="M301" ca="1">_xll.BDP("ZI861660 Corp","PR002")</f>
        <v>#NAME?</v>
      </c>
      <c r="N301" s="1" t="e" cm="1">
        <f t="array" aca="1" ref="N301" ca="1">_xll.BDP("ZI861660 Corp","ID028")</f>
        <v>#NAME?</v>
      </c>
      <c r="O301" s="1" t="e" cm="1">
        <f t="array" aca="1" ref="O301" ca="1">_xll.BDP("ZI861660 Corp","ID005")</f>
        <v>#NAME?</v>
      </c>
      <c r="P301" s="1" t="e" cm="1">
        <f t="array" aca="1" ref="P301" ca="1">_xll.BDP(A301,"RA007")</f>
        <v>#NAME?</v>
      </c>
      <c r="Q301" s="1" t="e" cm="1">
        <f t="array" aca="1" ref="Q301" ca="1">_xll.BDP(A301,"DS219")</f>
        <v>#NAME?</v>
      </c>
      <c r="R301" s="3" t="e" cm="1">
        <f t="array" aca="1" ref="R301" ca="1">_xll.BDP(A301,"DS040")</f>
        <v>#NAME?</v>
      </c>
      <c r="S301" s="4" t="e">
        <f t="shared" ca="1" si="12"/>
        <v>#NAME?</v>
      </c>
      <c r="T301" s="7" t="e">
        <f t="shared" ca="1" si="13"/>
        <v>#NAME?</v>
      </c>
      <c r="U301" s="3" t="e">
        <f t="shared" ca="1" si="14"/>
        <v>#NAME?</v>
      </c>
    </row>
    <row r="302" spans="1:21" x14ac:dyDescent="0.35">
      <c r="A302" s="5" t="s">
        <v>361</v>
      </c>
      <c r="B302" s="1" t="e" cm="1">
        <f t="array" aca="1" ref="B302" ca="1">_xll.BDP("ZJ604342 Corp","DS520")</f>
        <v>#NAME?</v>
      </c>
      <c r="C302" s="1" t="e" cm="1">
        <f t="array" aca="1" ref="C302" ca="1">_xll.BDP("ZJ604342 Corp","DS001")</f>
        <v>#NAME?</v>
      </c>
      <c r="D302" s="1" t="e" cm="1">
        <f t="array" aca="1" ref="D302" ca="1">_xll.BDP("ZJ604342 Corp","DS458")</f>
        <v>#NAME?</v>
      </c>
      <c r="E302" s="1" t="e" cm="1">
        <f t="array" aca="1" ref="E302" ca="1">_xll.BDP("ZJ604342 Corp","DS004")</f>
        <v>#NAME?</v>
      </c>
      <c r="F302" s="1" t="e" cm="1">
        <f t="array" aca="1" ref="F302" ca="1">_xll.BDP("ZJ604342 Corp","DS035")</f>
        <v>#NAME?</v>
      </c>
      <c r="G302" s="1" t="e" cm="1">
        <f t="array" aca="1" ref="G302" ca="1">_xll.BDP("ZJ604342 Corp","DS086")</f>
        <v>#NAME?</v>
      </c>
      <c r="H302" s="1" t="e" cm="1">
        <f t="array" aca="1" ref="H302" ca="1">_xll.BDP("ZJ604342 Corp","DS034")</f>
        <v>#NAME?</v>
      </c>
      <c r="I302" s="1" t="e" cm="1">
        <f t="array" aca="1" ref="I302" ca="1">_xll.BDP("ZJ604342 Corp","DS033")</f>
        <v>#NAME?</v>
      </c>
      <c r="J302" s="7" t="e" cm="1">
        <f t="array" aca="1" ref="J302" ca="1">_xll.BDP("ZJ604342 Corp","YL018")</f>
        <v>#NAME?</v>
      </c>
      <c r="K302" s="7" t="e" cm="1">
        <f t="array" aca="1" ref="K302" ca="1">_xll.BDP("ZJ604342 Corp","YL016")</f>
        <v>#NAME?</v>
      </c>
      <c r="L302" s="7" t="e" cm="1">
        <f t="array" aca="1" ref="L302" ca="1">_xll.BDP("ZJ604342 Corp","PR004")</f>
        <v>#NAME?</v>
      </c>
      <c r="M302" s="7" t="e" cm="1">
        <f t="array" aca="1" ref="M302" ca="1">_xll.BDP("ZJ604342 Corp","PR002")</f>
        <v>#NAME?</v>
      </c>
      <c r="N302" s="1" t="e" cm="1">
        <f t="array" aca="1" ref="N302" ca="1">_xll.BDP("ZJ604342 Corp","ID028")</f>
        <v>#NAME?</v>
      </c>
      <c r="O302" s="1" t="e" cm="1">
        <f t="array" aca="1" ref="O302" ca="1">_xll.BDP("ZJ604342 Corp","ID005")</f>
        <v>#NAME?</v>
      </c>
      <c r="P302" s="1" t="e" cm="1">
        <f t="array" aca="1" ref="P302" ca="1">_xll.BDP(A302,"RA007")</f>
        <v>#NAME?</v>
      </c>
      <c r="Q302" s="1" t="e" cm="1">
        <f t="array" aca="1" ref="Q302" ca="1">_xll.BDP(A302,"DS219")</f>
        <v>#NAME?</v>
      </c>
      <c r="R302" s="3" t="e" cm="1">
        <f t="array" aca="1" ref="R302" ca="1">_xll.BDP(A302,"DS040")</f>
        <v>#NAME?</v>
      </c>
      <c r="S302" s="4" t="e">
        <f t="shared" ca="1" si="12"/>
        <v>#NAME?</v>
      </c>
      <c r="T302" s="7" t="e">
        <f t="shared" ca="1" si="13"/>
        <v>#NAME?</v>
      </c>
      <c r="U302" s="3" t="e">
        <f t="shared" ca="1" si="14"/>
        <v>#NAME?</v>
      </c>
    </row>
    <row r="303" spans="1:21" x14ac:dyDescent="0.35">
      <c r="A303" s="5" t="s">
        <v>362</v>
      </c>
      <c r="B303" s="1" t="e" cm="1">
        <f t="array" aca="1" ref="B303" ca="1">_xll.BDP("ZJ658086 Corp","DS520")</f>
        <v>#NAME?</v>
      </c>
      <c r="C303" s="1" t="e" cm="1">
        <f t="array" aca="1" ref="C303" ca="1">_xll.BDP("ZJ658086 Corp","DS001")</f>
        <v>#NAME?</v>
      </c>
      <c r="D303" s="1" t="e" cm="1">
        <f t="array" aca="1" ref="D303" ca="1">_xll.BDP("ZJ658086 Corp","DS458")</f>
        <v>#NAME?</v>
      </c>
      <c r="E303" s="1" t="e" cm="1">
        <f t="array" aca="1" ref="E303" ca="1">_xll.BDP("ZJ658086 Corp","DS004")</f>
        <v>#NAME?</v>
      </c>
      <c r="F303" s="1" t="e" cm="1">
        <f t="array" aca="1" ref="F303" ca="1">_xll.BDP("ZJ658086 Corp","DS035")</f>
        <v>#NAME?</v>
      </c>
      <c r="G303" s="1" t="e" cm="1">
        <f t="array" aca="1" ref="G303" ca="1">_xll.BDP("ZJ658086 Corp","DS086")</f>
        <v>#NAME?</v>
      </c>
      <c r="H303" s="1" t="e" cm="1">
        <f t="array" aca="1" ref="H303" ca="1">_xll.BDP("ZJ658086 Corp","DS034")</f>
        <v>#NAME?</v>
      </c>
      <c r="I303" s="1" t="e" cm="1">
        <f t="array" aca="1" ref="I303" ca="1">_xll.BDP("ZJ658086 Corp","DS033")</f>
        <v>#NAME?</v>
      </c>
      <c r="J303" s="7" t="e" cm="1">
        <f t="array" aca="1" ref="J303" ca="1">_xll.BDP("ZJ658086 Corp","YL018")</f>
        <v>#NAME?</v>
      </c>
      <c r="K303" s="7" t="e" cm="1">
        <f t="array" aca="1" ref="K303" ca="1">_xll.BDP("ZJ658086 Corp","YL016")</f>
        <v>#NAME?</v>
      </c>
      <c r="L303" s="7" t="e" cm="1">
        <f t="array" aca="1" ref="L303" ca="1">_xll.BDP("ZJ658086 Corp","PR004")</f>
        <v>#NAME?</v>
      </c>
      <c r="M303" s="7" t="e" cm="1">
        <f t="array" aca="1" ref="M303" ca="1">_xll.BDP("ZJ658086 Corp","PR002")</f>
        <v>#NAME?</v>
      </c>
      <c r="N303" s="1" t="e" cm="1">
        <f t="array" aca="1" ref="N303" ca="1">_xll.BDP("ZJ658086 Corp","ID028")</f>
        <v>#NAME?</v>
      </c>
      <c r="O303" s="1" t="e" cm="1">
        <f t="array" aca="1" ref="O303" ca="1">_xll.BDP("ZJ658086 Corp","ID005")</f>
        <v>#NAME?</v>
      </c>
      <c r="P303" s="1" t="e" cm="1">
        <f t="array" aca="1" ref="P303" ca="1">_xll.BDP(A303,"RA007")</f>
        <v>#NAME?</v>
      </c>
      <c r="Q303" s="1" t="e" cm="1">
        <f t="array" aca="1" ref="Q303" ca="1">_xll.BDP(A303,"DS219")</f>
        <v>#NAME?</v>
      </c>
      <c r="R303" s="3" t="e" cm="1">
        <f t="array" aca="1" ref="R303" ca="1">_xll.BDP(A303,"DS040")</f>
        <v>#NAME?</v>
      </c>
      <c r="S303" s="4" t="e">
        <f t="shared" ca="1" si="12"/>
        <v>#NAME?</v>
      </c>
      <c r="T303" s="7" t="e">
        <f t="shared" ca="1" si="13"/>
        <v>#NAME?</v>
      </c>
      <c r="U303" s="3" t="e">
        <f t="shared" ca="1" si="14"/>
        <v>#NAME?</v>
      </c>
    </row>
    <row r="304" spans="1:21" x14ac:dyDescent="0.35">
      <c r="A304" s="5" t="s">
        <v>363</v>
      </c>
      <c r="B304" s="1" t="e" cm="1">
        <f t="array" aca="1" ref="B304" ca="1">_xll.BDP("ZJ741523 Corp","DS520")</f>
        <v>#NAME?</v>
      </c>
      <c r="C304" s="1" t="e" cm="1">
        <f t="array" aca="1" ref="C304" ca="1">_xll.BDP("ZJ741523 Corp","DS001")</f>
        <v>#NAME?</v>
      </c>
      <c r="D304" s="1" t="e" cm="1">
        <f t="array" aca="1" ref="D304" ca="1">_xll.BDP("ZJ741523 Corp","DS458")</f>
        <v>#NAME?</v>
      </c>
      <c r="E304" s="1" t="e" cm="1">
        <f t="array" aca="1" ref="E304" ca="1">_xll.BDP("ZJ741523 Corp","DS004")</f>
        <v>#NAME?</v>
      </c>
      <c r="F304" s="1" t="e" cm="1">
        <f t="array" aca="1" ref="F304" ca="1">_xll.BDP("ZJ741523 Corp","DS035")</f>
        <v>#NAME?</v>
      </c>
      <c r="G304" s="1" t="e" cm="1">
        <f t="array" aca="1" ref="G304" ca="1">_xll.BDP("ZJ741523 Corp","DS086")</f>
        <v>#NAME?</v>
      </c>
      <c r="H304" s="1" t="e" cm="1">
        <f t="array" aca="1" ref="H304" ca="1">_xll.BDP("ZJ741523 Corp","DS034")</f>
        <v>#NAME?</v>
      </c>
      <c r="I304" s="1" t="e" cm="1">
        <f t="array" aca="1" ref="I304" ca="1">_xll.BDP("ZJ741523 Corp","DS033")</f>
        <v>#NAME?</v>
      </c>
      <c r="J304" s="7" t="e" cm="1">
        <f t="array" aca="1" ref="J304" ca="1">_xll.BDP("ZJ741523 Corp","YL018")</f>
        <v>#NAME?</v>
      </c>
      <c r="K304" s="7" t="e" cm="1">
        <f t="array" aca="1" ref="K304" ca="1">_xll.BDP("ZJ741523 Corp","YL016")</f>
        <v>#NAME?</v>
      </c>
      <c r="L304" s="7" t="e" cm="1">
        <f t="array" aca="1" ref="L304" ca="1">_xll.BDP("ZJ741523 Corp","PR004")</f>
        <v>#NAME?</v>
      </c>
      <c r="M304" s="7" t="e" cm="1">
        <f t="array" aca="1" ref="M304" ca="1">_xll.BDP("ZJ741523 Corp","PR002")</f>
        <v>#NAME?</v>
      </c>
      <c r="N304" s="1" t="e" cm="1">
        <f t="array" aca="1" ref="N304" ca="1">_xll.BDP("ZJ741523 Corp","ID028")</f>
        <v>#NAME?</v>
      </c>
      <c r="O304" s="1" t="e" cm="1">
        <f t="array" aca="1" ref="O304" ca="1">_xll.BDP("ZJ741523 Corp","ID005")</f>
        <v>#NAME?</v>
      </c>
      <c r="P304" s="1" t="e" cm="1">
        <f t="array" aca="1" ref="P304" ca="1">_xll.BDP(A304,"RA007")</f>
        <v>#NAME?</v>
      </c>
      <c r="Q304" s="1" t="e" cm="1">
        <f t="array" aca="1" ref="Q304" ca="1">_xll.BDP(A304,"DS219")</f>
        <v>#NAME?</v>
      </c>
      <c r="R304" s="3" t="e" cm="1">
        <f t="array" aca="1" ref="R304" ca="1">_xll.BDP(A304,"DS040")</f>
        <v>#NAME?</v>
      </c>
      <c r="S304" s="4" t="e">
        <f t="shared" ca="1" si="12"/>
        <v>#NAME?</v>
      </c>
      <c r="T304" s="7" t="e">
        <f t="shared" ca="1" si="13"/>
        <v>#NAME?</v>
      </c>
      <c r="U304" s="3" t="e">
        <f t="shared" ca="1" si="14"/>
        <v>#NAME?</v>
      </c>
    </row>
    <row r="305" spans="1:21" x14ac:dyDescent="0.35">
      <c r="A305" s="5" t="s">
        <v>364</v>
      </c>
      <c r="B305" s="1" t="e" cm="1">
        <f t="array" aca="1" ref="B305" ca="1">_xll.BDP("ZJ786530 Corp","DS520")</f>
        <v>#NAME?</v>
      </c>
      <c r="C305" s="1" t="e" cm="1">
        <f t="array" aca="1" ref="C305" ca="1">_xll.BDP("ZJ786530 Corp","DS001")</f>
        <v>#NAME?</v>
      </c>
      <c r="D305" s="1" t="e" cm="1">
        <f t="array" aca="1" ref="D305" ca="1">_xll.BDP("ZJ786530 Corp","DS458")</f>
        <v>#NAME?</v>
      </c>
      <c r="E305" s="1" t="e" cm="1">
        <f t="array" aca="1" ref="E305" ca="1">_xll.BDP("ZJ786530 Corp","DS004")</f>
        <v>#NAME?</v>
      </c>
      <c r="F305" s="1" t="e" cm="1">
        <f t="array" aca="1" ref="F305" ca="1">_xll.BDP("ZJ786530 Corp","DS035")</f>
        <v>#NAME?</v>
      </c>
      <c r="G305" s="1" t="e" cm="1">
        <f t="array" aca="1" ref="G305" ca="1">_xll.BDP("ZJ786530 Corp","DS086")</f>
        <v>#NAME?</v>
      </c>
      <c r="H305" s="1" t="e" cm="1">
        <f t="array" aca="1" ref="H305" ca="1">_xll.BDP("ZJ786530 Corp","DS034")</f>
        <v>#NAME?</v>
      </c>
      <c r="I305" s="1" t="e" cm="1">
        <f t="array" aca="1" ref="I305" ca="1">_xll.BDP("ZJ786530 Corp","DS033")</f>
        <v>#NAME?</v>
      </c>
      <c r="J305" s="7" t="e" cm="1">
        <f t="array" aca="1" ref="J305" ca="1">_xll.BDP("ZJ786530 Corp","YL018")</f>
        <v>#NAME?</v>
      </c>
      <c r="K305" s="7" t="e" cm="1">
        <f t="array" aca="1" ref="K305" ca="1">_xll.BDP("ZJ786530 Corp","YL016")</f>
        <v>#NAME?</v>
      </c>
      <c r="L305" s="7" t="e" cm="1">
        <f t="array" aca="1" ref="L305" ca="1">_xll.BDP("ZJ786530 Corp","PR004")</f>
        <v>#NAME?</v>
      </c>
      <c r="M305" s="7" t="e" cm="1">
        <f t="array" aca="1" ref="M305" ca="1">_xll.BDP("ZJ786530 Corp","PR002")</f>
        <v>#NAME?</v>
      </c>
      <c r="N305" s="1" t="e" cm="1">
        <f t="array" aca="1" ref="N305" ca="1">_xll.BDP("ZJ786530 Corp","ID028")</f>
        <v>#NAME?</v>
      </c>
      <c r="O305" s="1" t="e" cm="1">
        <f t="array" aca="1" ref="O305" ca="1">_xll.BDP("ZJ786530 Corp","ID005")</f>
        <v>#NAME?</v>
      </c>
      <c r="P305" s="1" t="e" cm="1">
        <f t="array" aca="1" ref="P305" ca="1">_xll.BDP(A305,"RA007")</f>
        <v>#NAME?</v>
      </c>
      <c r="Q305" s="1" t="e" cm="1">
        <f t="array" aca="1" ref="Q305" ca="1">_xll.BDP(A305,"DS219")</f>
        <v>#NAME?</v>
      </c>
      <c r="R305" s="3" t="e" cm="1">
        <f t="array" aca="1" ref="R305" ca="1">_xll.BDP(A305,"DS040")</f>
        <v>#NAME?</v>
      </c>
      <c r="S305" s="4" t="e">
        <f t="shared" ca="1" si="12"/>
        <v>#NAME?</v>
      </c>
      <c r="T305" s="7" t="e">
        <f t="shared" ca="1" si="13"/>
        <v>#NAME?</v>
      </c>
      <c r="U305" s="3" t="e">
        <f t="shared" ca="1" si="14"/>
        <v>#NAME?</v>
      </c>
    </row>
    <row r="306" spans="1:21" x14ac:dyDescent="0.35">
      <c r="A306" s="5" t="s">
        <v>365</v>
      </c>
      <c r="B306" s="1" t="e" cm="1">
        <f t="array" aca="1" ref="B306" ca="1">_xll.BDP("ZK039857 Corp","DS520")</f>
        <v>#NAME?</v>
      </c>
      <c r="C306" s="1" t="e" cm="1">
        <f t="array" aca="1" ref="C306" ca="1">_xll.BDP("ZK039857 Corp","DS001")</f>
        <v>#NAME?</v>
      </c>
      <c r="D306" s="1" t="e" cm="1">
        <f t="array" aca="1" ref="D306" ca="1">_xll.BDP("ZK039857 Corp","DS458")</f>
        <v>#NAME?</v>
      </c>
      <c r="E306" s="1" t="e" cm="1">
        <f t="array" aca="1" ref="E306" ca="1">_xll.BDP("ZK039857 Corp","DS004")</f>
        <v>#NAME?</v>
      </c>
      <c r="F306" s="1" t="e" cm="1">
        <f t="array" aca="1" ref="F306" ca="1">_xll.BDP("ZK039857 Corp","DS035")</f>
        <v>#NAME?</v>
      </c>
      <c r="G306" s="1" t="e" cm="1">
        <f t="array" aca="1" ref="G306" ca="1">_xll.BDP("ZK039857 Corp","DS086")</f>
        <v>#NAME?</v>
      </c>
      <c r="H306" s="1" t="e" cm="1">
        <f t="array" aca="1" ref="H306" ca="1">_xll.BDP("ZK039857 Corp","DS034")</f>
        <v>#NAME?</v>
      </c>
      <c r="I306" s="1" t="e" cm="1">
        <f t="array" aca="1" ref="I306" ca="1">_xll.BDP("ZK039857 Corp","DS033")</f>
        <v>#NAME?</v>
      </c>
      <c r="J306" s="7" t="e" cm="1">
        <f t="array" aca="1" ref="J306" ca="1">_xll.BDP("ZK039857 Corp","YL018")</f>
        <v>#NAME?</v>
      </c>
      <c r="K306" s="7" t="e" cm="1">
        <f t="array" aca="1" ref="K306" ca="1">_xll.BDP("ZK039857 Corp","YL016")</f>
        <v>#NAME?</v>
      </c>
      <c r="L306" s="7" t="e" cm="1">
        <f t="array" aca="1" ref="L306" ca="1">_xll.BDP("ZK039857 Corp","PR004")</f>
        <v>#NAME?</v>
      </c>
      <c r="M306" s="7" t="e" cm="1">
        <f t="array" aca="1" ref="M306" ca="1">_xll.BDP("ZK039857 Corp","PR002")</f>
        <v>#NAME?</v>
      </c>
      <c r="N306" s="1" t="e" cm="1">
        <f t="array" aca="1" ref="N306" ca="1">_xll.BDP("ZK039857 Corp","ID028")</f>
        <v>#NAME?</v>
      </c>
      <c r="O306" s="1" t="e" cm="1">
        <f t="array" aca="1" ref="O306" ca="1">_xll.BDP("ZK039857 Corp","ID005")</f>
        <v>#NAME?</v>
      </c>
      <c r="P306" s="1" t="e" cm="1">
        <f t="array" aca="1" ref="P306" ca="1">_xll.BDP(A306,"RA007")</f>
        <v>#NAME?</v>
      </c>
      <c r="Q306" s="1" t="e" cm="1">
        <f t="array" aca="1" ref="Q306" ca="1">_xll.BDP(A306,"DS219")</f>
        <v>#NAME?</v>
      </c>
      <c r="R306" s="3" t="e" cm="1">
        <f t="array" aca="1" ref="R306" ca="1">_xll.BDP(A306,"DS040")</f>
        <v>#NAME?</v>
      </c>
      <c r="S306" s="4" t="e">
        <f t="shared" ca="1" si="12"/>
        <v>#NAME?</v>
      </c>
      <c r="T306" s="7" t="e">
        <f t="shared" ca="1" si="13"/>
        <v>#NAME?</v>
      </c>
      <c r="U306" s="3" t="e">
        <f t="shared" ca="1" si="14"/>
        <v>#NAME?</v>
      </c>
    </row>
    <row r="307" spans="1:21" x14ac:dyDescent="0.35">
      <c r="A307" s="5" t="s">
        <v>366</v>
      </c>
      <c r="B307" s="1" t="e" cm="1">
        <f t="array" aca="1" ref="B307" ca="1">_xll.BDP("ZK098518 Corp","DS520")</f>
        <v>#NAME?</v>
      </c>
      <c r="C307" s="1" t="e" cm="1">
        <f t="array" aca="1" ref="C307" ca="1">_xll.BDP("ZK098518 Corp","DS001")</f>
        <v>#NAME?</v>
      </c>
      <c r="D307" s="1" t="e" cm="1">
        <f t="array" aca="1" ref="D307" ca="1">_xll.BDP("ZK098518 Corp","DS458")</f>
        <v>#NAME?</v>
      </c>
      <c r="E307" s="1" t="e" cm="1">
        <f t="array" aca="1" ref="E307" ca="1">_xll.BDP("ZK098518 Corp","DS004")</f>
        <v>#NAME?</v>
      </c>
      <c r="F307" s="1" t="e" cm="1">
        <f t="array" aca="1" ref="F307" ca="1">_xll.BDP("ZK098518 Corp","DS035")</f>
        <v>#NAME?</v>
      </c>
      <c r="G307" s="1" t="e" cm="1">
        <f t="array" aca="1" ref="G307" ca="1">_xll.BDP("ZK098518 Corp","DS086")</f>
        <v>#NAME?</v>
      </c>
      <c r="H307" s="1" t="e" cm="1">
        <f t="array" aca="1" ref="H307" ca="1">_xll.BDP("ZK098518 Corp","DS034")</f>
        <v>#NAME?</v>
      </c>
      <c r="I307" s="1" t="e" cm="1">
        <f t="array" aca="1" ref="I307" ca="1">_xll.BDP("ZK098518 Corp","DS033")</f>
        <v>#NAME?</v>
      </c>
      <c r="J307" s="7" t="e" cm="1">
        <f t="array" aca="1" ref="J307" ca="1">_xll.BDP("ZK098518 Corp","YL018")</f>
        <v>#NAME?</v>
      </c>
      <c r="K307" s="7" t="e" cm="1">
        <f t="array" aca="1" ref="K307" ca="1">_xll.BDP("ZK098518 Corp","YL016")</f>
        <v>#NAME?</v>
      </c>
      <c r="L307" s="7" t="e" cm="1">
        <f t="array" aca="1" ref="L307" ca="1">_xll.BDP("ZK098518 Corp","PR004")</f>
        <v>#NAME?</v>
      </c>
      <c r="M307" s="7" t="e" cm="1">
        <f t="array" aca="1" ref="M307" ca="1">_xll.BDP("ZK098518 Corp","PR002")</f>
        <v>#NAME?</v>
      </c>
      <c r="N307" s="1" t="e" cm="1">
        <f t="array" aca="1" ref="N307" ca="1">_xll.BDP("ZK098518 Corp","ID028")</f>
        <v>#NAME?</v>
      </c>
      <c r="O307" s="1" t="e" cm="1">
        <f t="array" aca="1" ref="O307" ca="1">_xll.BDP("ZK098518 Corp","ID005")</f>
        <v>#NAME?</v>
      </c>
      <c r="P307" s="1" t="e" cm="1">
        <f t="array" aca="1" ref="P307" ca="1">_xll.BDP(A307,"RA007")</f>
        <v>#NAME?</v>
      </c>
      <c r="Q307" s="1" t="e" cm="1">
        <f t="array" aca="1" ref="Q307" ca="1">_xll.BDP(A307,"DS219")</f>
        <v>#NAME?</v>
      </c>
      <c r="R307" s="3" t="e" cm="1">
        <f t="array" aca="1" ref="R307" ca="1">_xll.BDP(A307,"DS040")</f>
        <v>#NAME?</v>
      </c>
      <c r="S307" s="4" t="e">
        <f t="shared" ca="1" si="12"/>
        <v>#NAME?</v>
      </c>
      <c r="T307" s="7" t="e">
        <f t="shared" ca="1" si="13"/>
        <v>#NAME?</v>
      </c>
      <c r="U307" s="3" t="e">
        <f t="shared" ca="1" si="14"/>
        <v>#NAME?</v>
      </c>
    </row>
    <row r="308" spans="1:21" x14ac:dyDescent="0.35">
      <c r="A308" s="5" t="s">
        <v>367</v>
      </c>
      <c r="B308" s="1" t="e" cm="1">
        <f t="array" aca="1" ref="B308" ca="1">_xll.BDP("ZK140252 Corp","DS520")</f>
        <v>#NAME?</v>
      </c>
      <c r="C308" s="1" t="e" cm="1">
        <f t="array" aca="1" ref="C308" ca="1">_xll.BDP("ZK140252 Corp","DS001")</f>
        <v>#NAME?</v>
      </c>
      <c r="D308" s="1" t="e" cm="1">
        <f t="array" aca="1" ref="D308" ca="1">_xll.BDP("ZK140252 Corp","DS458")</f>
        <v>#NAME?</v>
      </c>
      <c r="E308" s="1" t="e" cm="1">
        <f t="array" aca="1" ref="E308" ca="1">_xll.BDP("ZK140252 Corp","DS004")</f>
        <v>#NAME?</v>
      </c>
      <c r="F308" s="1" t="e" cm="1">
        <f t="array" aca="1" ref="F308" ca="1">_xll.BDP("ZK140252 Corp","DS035")</f>
        <v>#NAME?</v>
      </c>
      <c r="G308" s="1" t="e" cm="1">
        <f t="array" aca="1" ref="G308" ca="1">_xll.BDP("ZK140252 Corp","DS086")</f>
        <v>#NAME?</v>
      </c>
      <c r="H308" s="1" t="e" cm="1">
        <f t="array" aca="1" ref="H308" ca="1">_xll.BDP("ZK140252 Corp","DS034")</f>
        <v>#NAME?</v>
      </c>
      <c r="I308" s="1" t="e" cm="1">
        <f t="array" aca="1" ref="I308" ca="1">_xll.BDP("ZK140252 Corp","DS033")</f>
        <v>#NAME?</v>
      </c>
      <c r="J308" s="7" t="e" cm="1">
        <f t="array" aca="1" ref="J308" ca="1">_xll.BDP("ZK140252 Corp","YL018")</f>
        <v>#NAME?</v>
      </c>
      <c r="K308" s="7" t="e" cm="1">
        <f t="array" aca="1" ref="K308" ca="1">_xll.BDP("ZK140252 Corp","YL016")</f>
        <v>#NAME?</v>
      </c>
      <c r="L308" s="7" t="e" cm="1">
        <f t="array" aca="1" ref="L308" ca="1">_xll.BDP("ZK140252 Corp","PR004")</f>
        <v>#NAME?</v>
      </c>
      <c r="M308" s="7" t="e" cm="1">
        <f t="array" aca="1" ref="M308" ca="1">_xll.BDP("ZK140252 Corp","PR002")</f>
        <v>#NAME?</v>
      </c>
      <c r="N308" s="1" t="e" cm="1">
        <f t="array" aca="1" ref="N308" ca="1">_xll.BDP("ZK140252 Corp","ID028")</f>
        <v>#NAME?</v>
      </c>
      <c r="O308" s="1" t="e" cm="1">
        <f t="array" aca="1" ref="O308" ca="1">_xll.BDP("ZK140252 Corp","ID005")</f>
        <v>#NAME?</v>
      </c>
      <c r="P308" s="1" t="e" cm="1">
        <f t="array" aca="1" ref="P308" ca="1">_xll.BDP(A308,"RA007")</f>
        <v>#NAME?</v>
      </c>
      <c r="Q308" s="1" t="e" cm="1">
        <f t="array" aca="1" ref="Q308" ca="1">_xll.BDP(A308,"DS219")</f>
        <v>#NAME?</v>
      </c>
      <c r="R308" s="3" t="e" cm="1">
        <f t="array" aca="1" ref="R308" ca="1">_xll.BDP(A308,"DS040")</f>
        <v>#NAME?</v>
      </c>
      <c r="S308" s="4" t="e">
        <f t="shared" ca="1" si="12"/>
        <v>#NAME?</v>
      </c>
      <c r="T308" s="7" t="e">
        <f t="shared" ca="1" si="13"/>
        <v>#NAME?</v>
      </c>
      <c r="U308" s="3" t="e">
        <f t="shared" ca="1" si="14"/>
        <v>#NAME?</v>
      </c>
    </row>
    <row r="309" spans="1:21" x14ac:dyDescent="0.35">
      <c r="A309" s="5" t="s">
        <v>368</v>
      </c>
      <c r="B309" s="1" t="e" cm="1">
        <f t="array" aca="1" ref="B309" ca="1">_xll.BDP("ZK305900 Corp","DS520")</f>
        <v>#NAME?</v>
      </c>
      <c r="C309" s="1" t="e" cm="1">
        <f t="array" aca="1" ref="C309" ca="1">_xll.BDP("ZK305900 Corp","DS001")</f>
        <v>#NAME?</v>
      </c>
      <c r="D309" s="1" t="e" cm="1">
        <f t="array" aca="1" ref="D309" ca="1">_xll.BDP("ZK305900 Corp","DS458")</f>
        <v>#NAME?</v>
      </c>
      <c r="E309" s="1" t="e" cm="1">
        <f t="array" aca="1" ref="E309" ca="1">_xll.BDP("ZK305900 Corp","DS004")</f>
        <v>#NAME?</v>
      </c>
      <c r="F309" s="1" t="e" cm="1">
        <f t="array" aca="1" ref="F309" ca="1">_xll.BDP("ZK305900 Corp","DS035")</f>
        <v>#NAME?</v>
      </c>
      <c r="G309" s="1" t="e" cm="1">
        <f t="array" aca="1" ref="G309" ca="1">_xll.BDP("ZK305900 Corp","DS086")</f>
        <v>#NAME?</v>
      </c>
      <c r="H309" s="1" t="e" cm="1">
        <f t="array" aca="1" ref="H309" ca="1">_xll.BDP("ZK305900 Corp","DS034")</f>
        <v>#NAME?</v>
      </c>
      <c r="I309" s="1" t="e" cm="1">
        <f t="array" aca="1" ref="I309" ca="1">_xll.BDP("ZK305900 Corp","DS033")</f>
        <v>#NAME?</v>
      </c>
      <c r="J309" s="7" t="e" cm="1">
        <f t="array" aca="1" ref="J309" ca="1">_xll.BDP("ZK305900 Corp","YL018")</f>
        <v>#NAME?</v>
      </c>
      <c r="K309" s="7" t="e" cm="1">
        <f t="array" aca="1" ref="K309" ca="1">_xll.BDP("ZK305900 Corp","YL016")</f>
        <v>#NAME?</v>
      </c>
      <c r="L309" s="7" t="e" cm="1">
        <f t="array" aca="1" ref="L309" ca="1">_xll.BDP("ZK305900 Corp","PR004")</f>
        <v>#NAME?</v>
      </c>
      <c r="M309" s="7" t="e" cm="1">
        <f t="array" aca="1" ref="M309" ca="1">_xll.BDP("ZK305900 Corp","PR002")</f>
        <v>#NAME?</v>
      </c>
      <c r="N309" s="1" t="e" cm="1">
        <f t="array" aca="1" ref="N309" ca="1">_xll.BDP("ZK305900 Corp","ID028")</f>
        <v>#NAME?</v>
      </c>
      <c r="O309" s="1" t="e" cm="1">
        <f t="array" aca="1" ref="O309" ca="1">_xll.BDP("ZK305900 Corp","ID005")</f>
        <v>#NAME?</v>
      </c>
      <c r="P309" s="1" t="e" cm="1">
        <f t="array" aca="1" ref="P309" ca="1">_xll.BDP(A309,"RA007")</f>
        <v>#NAME?</v>
      </c>
      <c r="Q309" s="1" t="e" cm="1">
        <f t="array" aca="1" ref="Q309" ca="1">_xll.BDP(A309,"DS219")</f>
        <v>#NAME?</v>
      </c>
      <c r="R309" s="3" t="e" cm="1">
        <f t="array" aca="1" ref="R309" ca="1">_xll.BDP(A309,"DS040")</f>
        <v>#NAME?</v>
      </c>
      <c r="S309" s="4" t="e">
        <f t="shared" ca="1" si="12"/>
        <v>#NAME?</v>
      </c>
      <c r="T309" s="7" t="e">
        <f t="shared" ca="1" si="13"/>
        <v>#NAME?</v>
      </c>
      <c r="U309" s="3" t="e">
        <f t="shared" ca="1" si="14"/>
        <v>#NAME?</v>
      </c>
    </row>
    <row r="310" spans="1:21" x14ac:dyDescent="0.35">
      <c r="A310" s="5" t="s">
        <v>369</v>
      </c>
      <c r="B310" s="1" t="e" cm="1">
        <f t="array" aca="1" ref="B310" ca="1">_xll.BDP("ZK645188 Corp","DS520")</f>
        <v>#NAME?</v>
      </c>
      <c r="C310" s="1" t="e" cm="1">
        <f t="array" aca="1" ref="C310" ca="1">_xll.BDP("ZK645188 Corp","DS001")</f>
        <v>#NAME?</v>
      </c>
      <c r="D310" s="1" t="e" cm="1">
        <f t="array" aca="1" ref="D310" ca="1">_xll.BDP("ZK645188 Corp","DS458")</f>
        <v>#NAME?</v>
      </c>
      <c r="E310" s="1" t="e" cm="1">
        <f t="array" aca="1" ref="E310" ca="1">_xll.BDP("ZK645188 Corp","DS004")</f>
        <v>#NAME?</v>
      </c>
      <c r="F310" s="1" t="e" cm="1">
        <f t="array" aca="1" ref="F310" ca="1">_xll.BDP("ZK645188 Corp","DS035")</f>
        <v>#NAME?</v>
      </c>
      <c r="G310" s="1" t="e" cm="1">
        <f t="array" aca="1" ref="G310" ca="1">_xll.BDP("ZK645188 Corp","DS086")</f>
        <v>#NAME?</v>
      </c>
      <c r="H310" s="1" t="e" cm="1">
        <f t="array" aca="1" ref="H310" ca="1">_xll.BDP("ZK645188 Corp","DS034")</f>
        <v>#NAME?</v>
      </c>
      <c r="I310" s="1" t="e" cm="1">
        <f t="array" aca="1" ref="I310" ca="1">_xll.BDP("ZK645188 Corp","DS033")</f>
        <v>#NAME?</v>
      </c>
      <c r="J310" s="7" t="e" cm="1">
        <f t="array" aca="1" ref="J310" ca="1">_xll.BDP("ZK645188 Corp","YL018")</f>
        <v>#NAME?</v>
      </c>
      <c r="K310" s="7" t="e" cm="1">
        <f t="array" aca="1" ref="K310" ca="1">_xll.BDP("ZK645188 Corp","YL016")</f>
        <v>#NAME?</v>
      </c>
      <c r="L310" s="7" t="e" cm="1">
        <f t="array" aca="1" ref="L310" ca="1">_xll.BDP("ZK645188 Corp","PR004")</f>
        <v>#NAME?</v>
      </c>
      <c r="M310" s="7" t="e" cm="1">
        <f t="array" aca="1" ref="M310" ca="1">_xll.BDP("ZK645188 Corp","PR002")</f>
        <v>#NAME?</v>
      </c>
      <c r="N310" s="1" t="e" cm="1">
        <f t="array" aca="1" ref="N310" ca="1">_xll.BDP("ZK645188 Corp","ID028")</f>
        <v>#NAME?</v>
      </c>
      <c r="O310" s="1" t="e" cm="1">
        <f t="array" aca="1" ref="O310" ca="1">_xll.BDP("ZK645188 Corp","ID005")</f>
        <v>#NAME?</v>
      </c>
      <c r="P310" s="1" t="e" cm="1">
        <f t="array" aca="1" ref="P310" ca="1">_xll.BDP(A310,"RA007")</f>
        <v>#NAME?</v>
      </c>
      <c r="Q310" s="1" t="e" cm="1">
        <f t="array" aca="1" ref="Q310" ca="1">_xll.BDP(A310,"DS219")</f>
        <v>#NAME?</v>
      </c>
      <c r="R310" s="3" t="e" cm="1">
        <f t="array" aca="1" ref="R310" ca="1">_xll.BDP(A310,"DS040")</f>
        <v>#NAME?</v>
      </c>
      <c r="S310" s="4" t="e">
        <f t="shared" ca="1" si="12"/>
        <v>#NAME?</v>
      </c>
      <c r="T310" s="7" t="e">
        <f t="shared" ca="1" si="13"/>
        <v>#NAME?</v>
      </c>
      <c r="U310" s="3" t="e">
        <f t="shared" ca="1" si="14"/>
        <v>#NAME?</v>
      </c>
    </row>
    <row r="311" spans="1:21" x14ac:dyDescent="0.35">
      <c r="A311" s="5" t="s">
        <v>370</v>
      </c>
      <c r="B311" s="1" t="e" cm="1">
        <f t="array" aca="1" ref="B311" ca="1">_xll.BDP("ZK786267 Corp","DS520")</f>
        <v>#NAME?</v>
      </c>
      <c r="C311" s="1" t="e" cm="1">
        <f t="array" aca="1" ref="C311" ca="1">_xll.BDP("ZK786267 Corp","DS001")</f>
        <v>#NAME?</v>
      </c>
      <c r="D311" s="1" t="e" cm="1">
        <f t="array" aca="1" ref="D311" ca="1">_xll.BDP("ZK786267 Corp","DS458")</f>
        <v>#NAME?</v>
      </c>
      <c r="E311" s="1" t="e" cm="1">
        <f t="array" aca="1" ref="E311" ca="1">_xll.BDP("ZK786267 Corp","DS004")</f>
        <v>#NAME?</v>
      </c>
      <c r="F311" s="1" t="e" cm="1">
        <f t="array" aca="1" ref="F311" ca="1">_xll.BDP("ZK786267 Corp","DS035")</f>
        <v>#NAME?</v>
      </c>
      <c r="G311" s="1" t="e" cm="1">
        <f t="array" aca="1" ref="G311" ca="1">_xll.BDP("ZK786267 Corp","DS086")</f>
        <v>#NAME?</v>
      </c>
      <c r="H311" s="1" t="e" cm="1">
        <f t="array" aca="1" ref="H311" ca="1">_xll.BDP("ZK786267 Corp","DS034")</f>
        <v>#NAME?</v>
      </c>
      <c r="I311" s="1" t="e" cm="1">
        <f t="array" aca="1" ref="I311" ca="1">_xll.BDP("ZK786267 Corp","DS033")</f>
        <v>#NAME?</v>
      </c>
      <c r="J311" s="7" t="e" cm="1">
        <f t="array" aca="1" ref="J311" ca="1">_xll.BDP("ZK786267 Corp","YL018")</f>
        <v>#NAME?</v>
      </c>
      <c r="K311" s="7" t="e" cm="1">
        <f t="array" aca="1" ref="K311" ca="1">_xll.BDP("ZK786267 Corp","YL016")</f>
        <v>#NAME?</v>
      </c>
      <c r="L311" s="7" t="e" cm="1">
        <f t="array" aca="1" ref="L311" ca="1">_xll.BDP("ZK786267 Corp","PR004")</f>
        <v>#NAME?</v>
      </c>
      <c r="M311" s="7" t="e" cm="1">
        <f t="array" aca="1" ref="M311" ca="1">_xll.BDP("ZK786267 Corp","PR002")</f>
        <v>#NAME?</v>
      </c>
      <c r="N311" s="1" t="e" cm="1">
        <f t="array" aca="1" ref="N311" ca="1">_xll.BDP("ZK786267 Corp","ID028")</f>
        <v>#NAME?</v>
      </c>
      <c r="O311" s="1" t="e" cm="1">
        <f t="array" aca="1" ref="O311" ca="1">_xll.BDP("ZK786267 Corp","ID005")</f>
        <v>#NAME?</v>
      </c>
      <c r="P311" s="1" t="e" cm="1">
        <f t="array" aca="1" ref="P311" ca="1">_xll.BDP(A311,"RA007")</f>
        <v>#NAME?</v>
      </c>
      <c r="Q311" s="1" t="e" cm="1">
        <f t="array" aca="1" ref="Q311" ca="1">_xll.BDP(A311,"DS219")</f>
        <v>#NAME?</v>
      </c>
      <c r="R311" s="3" t="e" cm="1">
        <f t="array" aca="1" ref="R311" ca="1">_xll.BDP(A311,"DS040")</f>
        <v>#NAME?</v>
      </c>
      <c r="S311" s="4" t="e">
        <f t="shared" ca="1" si="12"/>
        <v>#NAME?</v>
      </c>
      <c r="T311" s="7" t="e">
        <f t="shared" ca="1" si="13"/>
        <v>#NAME?</v>
      </c>
      <c r="U311" s="3" t="e">
        <f t="shared" ca="1" si="14"/>
        <v>#NAME?</v>
      </c>
    </row>
    <row r="312" spans="1:21" x14ac:dyDescent="0.35">
      <c r="A312" s="5" t="s">
        <v>371</v>
      </c>
      <c r="B312" s="1" t="e" cm="1">
        <f t="array" aca="1" ref="B312" ca="1">_xll.BDP("ZL113533 Corp","DS520")</f>
        <v>#NAME?</v>
      </c>
      <c r="C312" s="1" t="e" cm="1">
        <f t="array" aca="1" ref="C312" ca="1">_xll.BDP("ZL113533 Corp","DS001")</f>
        <v>#NAME?</v>
      </c>
      <c r="D312" s="1" t="e" cm="1">
        <f t="array" aca="1" ref="D312" ca="1">_xll.BDP("ZL113533 Corp","DS458")</f>
        <v>#NAME?</v>
      </c>
      <c r="E312" s="1" t="e" cm="1">
        <f t="array" aca="1" ref="E312" ca="1">_xll.BDP("ZL113533 Corp","DS004")</f>
        <v>#NAME?</v>
      </c>
      <c r="F312" s="1" t="e" cm="1">
        <f t="array" aca="1" ref="F312" ca="1">_xll.BDP("ZL113533 Corp","DS035")</f>
        <v>#NAME?</v>
      </c>
      <c r="G312" s="1" t="e" cm="1">
        <f t="array" aca="1" ref="G312" ca="1">_xll.BDP("ZL113533 Corp","DS086")</f>
        <v>#NAME?</v>
      </c>
      <c r="H312" s="1" t="e" cm="1">
        <f t="array" aca="1" ref="H312" ca="1">_xll.BDP("ZL113533 Corp","DS034")</f>
        <v>#NAME?</v>
      </c>
      <c r="I312" s="1" t="e" cm="1">
        <f t="array" aca="1" ref="I312" ca="1">_xll.BDP("ZL113533 Corp","DS033")</f>
        <v>#NAME?</v>
      </c>
      <c r="J312" s="7" t="e" cm="1">
        <f t="array" aca="1" ref="J312" ca="1">_xll.BDP("ZL113533 Corp","YL018")</f>
        <v>#NAME?</v>
      </c>
      <c r="K312" s="7" t="e" cm="1">
        <f t="array" aca="1" ref="K312" ca="1">_xll.BDP("ZL113533 Corp","YL016")</f>
        <v>#NAME?</v>
      </c>
      <c r="L312" s="7" t="e" cm="1">
        <f t="array" aca="1" ref="L312" ca="1">_xll.BDP("ZL113533 Corp","PR004")</f>
        <v>#NAME?</v>
      </c>
      <c r="M312" s="7" t="e" cm="1">
        <f t="array" aca="1" ref="M312" ca="1">_xll.BDP("ZL113533 Corp","PR002")</f>
        <v>#NAME?</v>
      </c>
      <c r="N312" s="1" t="e" cm="1">
        <f t="array" aca="1" ref="N312" ca="1">_xll.BDP("ZL113533 Corp","ID028")</f>
        <v>#NAME?</v>
      </c>
      <c r="O312" s="1" t="e" cm="1">
        <f t="array" aca="1" ref="O312" ca="1">_xll.BDP("ZL113533 Corp","ID005")</f>
        <v>#NAME?</v>
      </c>
      <c r="P312" s="1" t="e" cm="1">
        <f t="array" aca="1" ref="P312" ca="1">_xll.BDP(A312,"RA007")</f>
        <v>#NAME?</v>
      </c>
      <c r="Q312" s="1" t="e" cm="1">
        <f t="array" aca="1" ref="Q312" ca="1">_xll.BDP(A312,"DS219")</f>
        <v>#NAME?</v>
      </c>
      <c r="R312" s="3" t="e" cm="1">
        <f t="array" aca="1" ref="R312" ca="1">_xll.BDP(A312,"DS040")</f>
        <v>#NAME?</v>
      </c>
      <c r="S312" s="4" t="e">
        <f t="shared" ca="1" si="12"/>
        <v>#NAME?</v>
      </c>
      <c r="T312" s="7" t="e">
        <f t="shared" ca="1" si="13"/>
        <v>#NAME?</v>
      </c>
      <c r="U312" s="3" t="e">
        <f t="shared" ca="1" si="14"/>
        <v>#NAME?</v>
      </c>
    </row>
    <row r="313" spans="1:21" x14ac:dyDescent="0.35">
      <c r="A313" s="5" t="s">
        <v>372</v>
      </c>
      <c r="B313" s="1" t="e" cm="1">
        <f t="array" aca="1" ref="B313" ca="1">_xll.BDP("ZM259327 Corp","DS520")</f>
        <v>#NAME?</v>
      </c>
      <c r="C313" s="1" t="e" cm="1">
        <f t="array" aca="1" ref="C313" ca="1">_xll.BDP("ZM259327 Corp","DS001")</f>
        <v>#NAME?</v>
      </c>
      <c r="D313" s="1" t="e" cm="1">
        <f t="array" aca="1" ref="D313" ca="1">_xll.BDP("ZM259327 Corp","DS458")</f>
        <v>#NAME?</v>
      </c>
      <c r="E313" s="1" t="e" cm="1">
        <f t="array" aca="1" ref="E313" ca="1">_xll.BDP("ZM259327 Corp","DS004")</f>
        <v>#NAME?</v>
      </c>
      <c r="F313" s="1" t="e" cm="1">
        <f t="array" aca="1" ref="F313" ca="1">_xll.BDP("ZM259327 Corp","DS035")</f>
        <v>#NAME?</v>
      </c>
      <c r="G313" s="1" t="e" cm="1">
        <f t="array" aca="1" ref="G313" ca="1">_xll.BDP("ZM259327 Corp","DS086")</f>
        <v>#NAME?</v>
      </c>
      <c r="H313" s="1" t="e" cm="1">
        <f t="array" aca="1" ref="H313" ca="1">_xll.BDP("ZM259327 Corp","DS034")</f>
        <v>#NAME?</v>
      </c>
      <c r="I313" s="1" t="e" cm="1">
        <f t="array" aca="1" ref="I313" ca="1">_xll.BDP("ZM259327 Corp","DS033")</f>
        <v>#NAME?</v>
      </c>
      <c r="J313" s="7" t="e" cm="1">
        <f t="array" aca="1" ref="J313" ca="1">_xll.BDP("ZM259327 Corp","YL018")</f>
        <v>#NAME?</v>
      </c>
      <c r="K313" s="7" t="e" cm="1">
        <f t="array" aca="1" ref="K313" ca="1">_xll.BDP("ZM259327 Corp","YL016")</f>
        <v>#NAME?</v>
      </c>
      <c r="L313" s="7" t="e" cm="1">
        <f t="array" aca="1" ref="L313" ca="1">_xll.BDP("ZM259327 Corp","PR004")</f>
        <v>#NAME?</v>
      </c>
      <c r="M313" s="7" t="e" cm="1">
        <f t="array" aca="1" ref="M313" ca="1">_xll.BDP("ZM259327 Corp","PR002")</f>
        <v>#NAME?</v>
      </c>
      <c r="N313" s="1" t="e" cm="1">
        <f t="array" aca="1" ref="N313" ca="1">_xll.BDP("ZM259327 Corp","ID028")</f>
        <v>#NAME?</v>
      </c>
      <c r="O313" s="1" t="e" cm="1">
        <f t="array" aca="1" ref="O313" ca="1">_xll.BDP("ZM259327 Corp","ID005")</f>
        <v>#NAME?</v>
      </c>
      <c r="P313" s="1" t="e" cm="1">
        <f t="array" aca="1" ref="P313" ca="1">_xll.BDP(A313,"RA007")</f>
        <v>#NAME?</v>
      </c>
      <c r="Q313" s="1" t="e" cm="1">
        <f t="array" aca="1" ref="Q313" ca="1">_xll.BDP(A313,"DS219")</f>
        <v>#NAME?</v>
      </c>
      <c r="R313" s="3" t="e" cm="1">
        <f t="array" aca="1" ref="R313" ca="1">_xll.BDP(A313,"DS040")</f>
        <v>#NAME?</v>
      </c>
      <c r="S313" s="4" t="e">
        <f t="shared" ca="1" si="12"/>
        <v>#NAME?</v>
      </c>
      <c r="T313" s="7" t="e">
        <f t="shared" ca="1" si="13"/>
        <v>#NAME?</v>
      </c>
      <c r="U313" s="3" t="e">
        <f t="shared" ca="1" si="14"/>
        <v>#NAME?</v>
      </c>
    </row>
    <row r="314" spans="1:21" x14ac:dyDescent="0.35">
      <c r="A314" s="5" t="s">
        <v>373</v>
      </c>
      <c r="B314" s="1" t="e" cm="1">
        <f t="array" aca="1" ref="B314" ca="1">_xll.BDP("ZM378379 Corp","DS520")</f>
        <v>#NAME?</v>
      </c>
      <c r="C314" s="1" t="e" cm="1">
        <f t="array" aca="1" ref="C314" ca="1">_xll.BDP("ZM378379 Corp","DS001")</f>
        <v>#NAME?</v>
      </c>
      <c r="D314" s="1" t="e" cm="1">
        <f t="array" aca="1" ref="D314" ca="1">_xll.BDP("ZM378379 Corp","DS458")</f>
        <v>#NAME?</v>
      </c>
      <c r="E314" s="1" t="e" cm="1">
        <f t="array" aca="1" ref="E314" ca="1">_xll.BDP("ZM378379 Corp","DS004")</f>
        <v>#NAME?</v>
      </c>
      <c r="F314" s="1" t="e" cm="1">
        <f t="array" aca="1" ref="F314" ca="1">_xll.BDP("ZM378379 Corp","DS035")</f>
        <v>#NAME?</v>
      </c>
      <c r="G314" s="1" t="e" cm="1">
        <f t="array" aca="1" ref="G314" ca="1">_xll.BDP("ZM378379 Corp","DS086")</f>
        <v>#NAME?</v>
      </c>
      <c r="H314" s="1" t="e" cm="1">
        <f t="array" aca="1" ref="H314" ca="1">_xll.BDP("ZM378379 Corp","DS034")</f>
        <v>#NAME?</v>
      </c>
      <c r="I314" s="1" t="e" cm="1">
        <f t="array" aca="1" ref="I314" ca="1">_xll.BDP("ZM378379 Corp","DS033")</f>
        <v>#NAME?</v>
      </c>
      <c r="J314" s="7" t="e" cm="1">
        <f t="array" aca="1" ref="J314" ca="1">_xll.BDP("ZM378379 Corp","YL018")</f>
        <v>#NAME?</v>
      </c>
      <c r="K314" s="7" t="e" cm="1">
        <f t="array" aca="1" ref="K314" ca="1">_xll.BDP("ZM378379 Corp","YL016")</f>
        <v>#NAME?</v>
      </c>
      <c r="L314" s="7" t="e" cm="1">
        <f t="array" aca="1" ref="L314" ca="1">_xll.BDP("ZM378379 Corp","PR004")</f>
        <v>#NAME?</v>
      </c>
      <c r="M314" s="7" t="e" cm="1">
        <f t="array" aca="1" ref="M314" ca="1">_xll.BDP("ZM378379 Corp","PR002")</f>
        <v>#NAME?</v>
      </c>
      <c r="N314" s="1" t="e" cm="1">
        <f t="array" aca="1" ref="N314" ca="1">_xll.BDP("ZM378379 Corp","ID028")</f>
        <v>#NAME?</v>
      </c>
      <c r="O314" s="1" t="e" cm="1">
        <f t="array" aca="1" ref="O314" ca="1">_xll.BDP("ZM378379 Corp","ID005")</f>
        <v>#NAME?</v>
      </c>
      <c r="P314" s="1" t="e" cm="1">
        <f t="array" aca="1" ref="P314" ca="1">_xll.BDP(A314,"RA007")</f>
        <v>#NAME?</v>
      </c>
      <c r="Q314" s="1" t="e" cm="1">
        <f t="array" aca="1" ref="Q314" ca="1">_xll.BDP(A314,"DS219")</f>
        <v>#NAME?</v>
      </c>
      <c r="R314" s="3" t="e" cm="1">
        <f t="array" aca="1" ref="R314" ca="1">_xll.BDP(A314,"DS040")</f>
        <v>#NAME?</v>
      </c>
      <c r="S314" s="4" t="e">
        <f t="shared" ca="1" si="12"/>
        <v>#NAME?</v>
      </c>
      <c r="T314" s="7" t="e">
        <f t="shared" ca="1" si="13"/>
        <v>#NAME?</v>
      </c>
      <c r="U314" s="3" t="e">
        <f t="shared" ca="1" si="14"/>
        <v>#NAME?</v>
      </c>
    </row>
    <row r="315" spans="1:21" x14ac:dyDescent="0.35">
      <c r="A315" s="5" t="s">
        <v>374</v>
      </c>
      <c r="B315" s="1" t="e" cm="1">
        <f t="array" aca="1" ref="B315" ca="1">_xll.BDP("ZM445143 Corp","DS520")</f>
        <v>#NAME?</v>
      </c>
      <c r="C315" s="1" t="e" cm="1">
        <f t="array" aca="1" ref="C315" ca="1">_xll.BDP("ZM445143 Corp","DS001")</f>
        <v>#NAME?</v>
      </c>
      <c r="D315" s="1" t="e" cm="1">
        <f t="array" aca="1" ref="D315" ca="1">_xll.BDP("ZM445143 Corp","DS458")</f>
        <v>#NAME?</v>
      </c>
      <c r="E315" s="1" t="e" cm="1">
        <f t="array" aca="1" ref="E315" ca="1">_xll.BDP("ZM445143 Corp","DS004")</f>
        <v>#NAME?</v>
      </c>
      <c r="F315" s="1" t="e" cm="1">
        <f t="array" aca="1" ref="F315" ca="1">_xll.BDP("ZM445143 Corp","DS035")</f>
        <v>#NAME?</v>
      </c>
      <c r="G315" s="1" t="e" cm="1">
        <f t="array" aca="1" ref="G315" ca="1">_xll.BDP("ZM445143 Corp","DS086")</f>
        <v>#NAME?</v>
      </c>
      <c r="H315" s="1" t="e" cm="1">
        <f t="array" aca="1" ref="H315" ca="1">_xll.BDP("ZM445143 Corp","DS034")</f>
        <v>#NAME?</v>
      </c>
      <c r="I315" s="1" t="e" cm="1">
        <f t="array" aca="1" ref="I315" ca="1">_xll.BDP("ZM445143 Corp","DS033")</f>
        <v>#NAME?</v>
      </c>
      <c r="J315" s="7" t="e" cm="1">
        <f t="array" aca="1" ref="J315" ca="1">_xll.BDP("ZM445143 Corp","YL018")</f>
        <v>#NAME?</v>
      </c>
      <c r="K315" s="7" t="e" cm="1">
        <f t="array" aca="1" ref="K315" ca="1">_xll.BDP("ZM445143 Corp","YL016")</f>
        <v>#NAME?</v>
      </c>
      <c r="L315" s="7" t="e" cm="1">
        <f t="array" aca="1" ref="L315" ca="1">_xll.BDP("ZM445143 Corp","PR004")</f>
        <v>#NAME?</v>
      </c>
      <c r="M315" s="7" t="e" cm="1">
        <f t="array" aca="1" ref="M315" ca="1">_xll.BDP("ZM445143 Corp","PR002")</f>
        <v>#NAME?</v>
      </c>
      <c r="N315" s="1" t="e" cm="1">
        <f t="array" aca="1" ref="N315" ca="1">_xll.BDP("ZM445143 Corp","ID028")</f>
        <v>#NAME?</v>
      </c>
      <c r="O315" s="1" t="e" cm="1">
        <f t="array" aca="1" ref="O315" ca="1">_xll.BDP("ZM445143 Corp","ID005")</f>
        <v>#NAME?</v>
      </c>
      <c r="P315" s="1" t="e" cm="1">
        <f t="array" aca="1" ref="P315" ca="1">_xll.BDP(A315,"RA007")</f>
        <v>#NAME?</v>
      </c>
      <c r="Q315" s="1" t="e" cm="1">
        <f t="array" aca="1" ref="Q315" ca="1">_xll.BDP(A315,"DS219")</f>
        <v>#NAME?</v>
      </c>
      <c r="R315" s="3" t="e" cm="1">
        <f t="array" aca="1" ref="R315" ca="1">_xll.BDP(A315,"DS040")</f>
        <v>#NAME?</v>
      </c>
      <c r="S315" s="4" t="e">
        <f t="shared" ca="1" si="12"/>
        <v>#NAME?</v>
      </c>
      <c r="T315" s="7" t="e">
        <f t="shared" ca="1" si="13"/>
        <v>#NAME?</v>
      </c>
      <c r="U315" s="3" t="e">
        <f t="shared" ca="1" si="14"/>
        <v>#NAME?</v>
      </c>
    </row>
    <row r="316" spans="1:21" x14ac:dyDescent="0.35">
      <c r="A316" s="5" t="s">
        <v>375</v>
      </c>
      <c r="B316" s="1" t="e" cm="1">
        <f t="array" aca="1" ref="B316" ca="1">_xll.BDP("ZM541259 Corp","DS520")</f>
        <v>#NAME?</v>
      </c>
      <c r="C316" s="1" t="e" cm="1">
        <f t="array" aca="1" ref="C316" ca="1">_xll.BDP("ZM541259 Corp","DS001")</f>
        <v>#NAME?</v>
      </c>
      <c r="D316" s="1" t="e" cm="1">
        <f t="array" aca="1" ref="D316" ca="1">_xll.BDP("ZM541259 Corp","DS458")</f>
        <v>#NAME?</v>
      </c>
      <c r="E316" s="1" t="e" cm="1">
        <f t="array" aca="1" ref="E316" ca="1">_xll.BDP("ZM541259 Corp","DS004")</f>
        <v>#NAME?</v>
      </c>
      <c r="F316" s="1" t="e" cm="1">
        <f t="array" aca="1" ref="F316" ca="1">_xll.BDP("ZM541259 Corp","DS035")</f>
        <v>#NAME?</v>
      </c>
      <c r="G316" s="1" t="e" cm="1">
        <f t="array" aca="1" ref="G316" ca="1">_xll.BDP("ZM541259 Corp","DS086")</f>
        <v>#NAME?</v>
      </c>
      <c r="H316" s="1" t="e" cm="1">
        <f t="array" aca="1" ref="H316" ca="1">_xll.BDP("ZM541259 Corp","DS034")</f>
        <v>#NAME?</v>
      </c>
      <c r="I316" s="1" t="e" cm="1">
        <f t="array" aca="1" ref="I316" ca="1">_xll.BDP("ZM541259 Corp","DS033")</f>
        <v>#NAME?</v>
      </c>
      <c r="J316" s="7" t="e" cm="1">
        <f t="array" aca="1" ref="J316" ca="1">_xll.BDP("ZM541259 Corp","YL018")</f>
        <v>#NAME?</v>
      </c>
      <c r="K316" s="7" t="e" cm="1">
        <f t="array" aca="1" ref="K316" ca="1">_xll.BDP("ZM541259 Corp","YL016")</f>
        <v>#NAME?</v>
      </c>
      <c r="L316" s="7" t="e" cm="1">
        <f t="array" aca="1" ref="L316" ca="1">_xll.BDP("ZM541259 Corp","PR004")</f>
        <v>#NAME?</v>
      </c>
      <c r="M316" s="7" t="e" cm="1">
        <f t="array" aca="1" ref="M316" ca="1">_xll.BDP("ZM541259 Corp","PR002")</f>
        <v>#NAME?</v>
      </c>
      <c r="N316" s="1" t="e" cm="1">
        <f t="array" aca="1" ref="N316" ca="1">_xll.BDP("ZM541259 Corp","ID028")</f>
        <v>#NAME?</v>
      </c>
      <c r="O316" s="1" t="e" cm="1">
        <f t="array" aca="1" ref="O316" ca="1">_xll.BDP("ZM541259 Corp","ID005")</f>
        <v>#NAME?</v>
      </c>
      <c r="P316" s="1" t="e" cm="1">
        <f t="array" aca="1" ref="P316" ca="1">_xll.BDP(A316,"RA007")</f>
        <v>#NAME?</v>
      </c>
      <c r="Q316" s="1" t="e" cm="1">
        <f t="array" aca="1" ref="Q316" ca="1">_xll.BDP(A316,"DS219")</f>
        <v>#NAME?</v>
      </c>
      <c r="R316" s="3" t="e" cm="1">
        <f t="array" aca="1" ref="R316" ca="1">_xll.BDP(A316,"DS040")</f>
        <v>#NAME?</v>
      </c>
      <c r="S316" s="4" t="e">
        <f t="shared" ca="1" si="12"/>
        <v>#NAME?</v>
      </c>
      <c r="T316" s="7" t="e">
        <f t="shared" ca="1" si="13"/>
        <v>#NAME?</v>
      </c>
      <c r="U316" s="3" t="e">
        <f t="shared" ca="1" si="14"/>
        <v>#NAME?</v>
      </c>
    </row>
    <row r="317" spans="1:21" x14ac:dyDescent="0.35">
      <c r="A317" s="5" t="s">
        <v>376</v>
      </c>
      <c r="B317" s="1" t="e" cm="1">
        <f t="array" aca="1" ref="B317" ca="1">_xll.BDP("ZO739535 Corp","DS520")</f>
        <v>#NAME?</v>
      </c>
      <c r="C317" s="1" t="e" cm="1">
        <f t="array" aca="1" ref="C317" ca="1">_xll.BDP("ZO739535 Corp","DS001")</f>
        <v>#NAME?</v>
      </c>
      <c r="D317" s="1" t="e" cm="1">
        <f t="array" aca="1" ref="D317" ca="1">_xll.BDP("ZO739535 Corp","DS458")</f>
        <v>#NAME?</v>
      </c>
      <c r="E317" s="1" t="e" cm="1">
        <f t="array" aca="1" ref="E317" ca="1">_xll.BDP("ZO739535 Corp","DS004")</f>
        <v>#NAME?</v>
      </c>
      <c r="F317" s="1" t="e" cm="1">
        <f t="array" aca="1" ref="F317" ca="1">_xll.BDP("ZO739535 Corp","DS035")</f>
        <v>#NAME?</v>
      </c>
      <c r="G317" s="1" t="e" cm="1">
        <f t="array" aca="1" ref="G317" ca="1">_xll.BDP("ZO739535 Corp","DS086")</f>
        <v>#NAME?</v>
      </c>
      <c r="H317" s="1" t="e" cm="1">
        <f t="array" aca="1" ref="H317" ca="1">_xll.BDP("ZO739535 Corp","DS034")</f>
        <v>#NAME?</v>
      </c>
      <c r="I317" s="1" t="e" cm="1">
        <f t="array" aca="1" ref="I317" ca="1">_xll.BDP("ZO739535 Corp","DS033")</f>
        <v>#NAME?</v>
      </c>
      <c r="J317" s="7" t="e" cm="1">
        <f t="array" aca="1" ref="J317" ca="1">_xll.BDP("ZO739535 Corp","YL018")</f>
        <v>#NAME?</v>
      </c>
      <c r="K317" s="7" t="e" cm="1">
        <f t="array" aca="1" ref="K317" ca="1">_xll.BDP("ZO739535 Corp","YL016")</f>
        <v>#NAME?</v>
      </c>
      <c r="L317" s="7" t="e" cm="1">
        <f t="array" aca="1" ref="L317" ca="1">_xll.BDP("ZO739535 Corp","PR004")</f>
        <v>#NAME?</v>
      </c>
      <c r="M317" s="7" t="e" cm="1">
        <f t="array" aca="1" ref="M317" ca="1">_xll.BDP("ZO739535 Corp","PR002")</f>
        <v>#NAME?</v>
      </c>
      <c r="N317" s="1" t="e" cm="1">
        <f t="array" aca="1" ref="N317" ca="1">_xll.BDP("ZO739535 Corp","ID028")</f>
        <v>#NAME?</v>
      </c>
      <c r="O317" s="1" t="e" cm="1">
        <f t="array" aca="1" ref="O317" ca="1">_xll.BDP("ZO739535 Corp","ID005")</f>
        <v>#NAME?</v>
      </c>
      <c r="P317" s="1" t="e" cm="1">
        <f t="array" aca="1" ref="P317" ca="1">_xll.BDP(A317,"RA007")</f>
        <v>#NAME?</v>
      </c>
      <c r="Q317" s="1" t="e" cm="1">
        <f t="array" aca="1" ref="Q317" ca="1">_xll.BDP(A317,"DS219")</f>
        <v>#NAME?</v>
      </c>
      <c r="R317" s="3" t="e" cm="1">
        <f t="array" aca="1" ref="R317" ca="1">_xll.BDP(A317,"DS040")</f>
        <v>#NAME?</v>
      </c>
      <c r="S317" s="4" t="e">
        <f t="shared" ca="1" si="12"/>
        <v>#NAME?</v>
      </c>
      <c r="T317" s="7" t="e">
        <f t="shared" ca="1" si="13"/>
        <v>#NAME?</v>
      </c>
      <c r="U317" s="3" t="e">
        <f t="shared" ca="1" si="14"/>
        <v>#NAME?</v>
      </c>
    </row>
    <row r="318" spans="1:21" x14ac:dyDescent="0.35">
      <c r="A318" s="5" t="s">
        <v>377</v>
      </c>
      <c r="B318" s="1" t="e" cm="1">
        <f t="array" aca="1" ref="B318" ca="1">_xll.BDP("ZO808012 Corp","DS520")</f>
        <v>#NAME?</v>
      </c>
      <c r="C318" s="1" t="e" cm="1">
        <f t="array" aca="1" ref="C318" ca="1">_xll.BDP("ZO808012 Corp","DS001")</f>
        <v>#NAME?</v>
      </c>
      <c r="D318" s="1" t="e" cm="1">
        <f t="array" aca="1" ref="D318" ca="1">_xll.BDP("ZO808012 Corp","DS458")</f>
        <v>#NAME?</v>
      </c>
      <c r="E318" s="1" t="e" cm="1">
        <f t="array" aca="1" ref="E318" ca="1">_xll.BDP("ZO808012 Corp","DS004")</f>
        <v>#NAME?</v>
      </c>
      <c r="F318" s="1" t="e" cm="1">
        <f t="array" aca="1" ref="F318" ca="1">_xll.BDP("ZO808012 Corp","DS035")</f>
        <v>#NAME?</v>
      </c>
      <c r="G318" s="1" t="e" cm="1">
        <f t="array" aca="1" ref="G318" ca="1">_xll.BDP("ZO808012 Corp","DS086")</f>
        <v>#NAME?</v>
      </c>
      <c r="H318" s="1" t="e" cm="1">
        <f t="array" aca="1" ref="H318" ca="1">_xll.BDP("ZO808012 Corp","DS034")</f>
        <v>#NAME?</v>
      </c>
      <c r="I318" s="1" t="e" cm="1">
        <f t="array" aca="1" ref="I318" ca="1">_xll.BDP("ZO808012 Corp","DS033")</f>
        <v>#NAME?</v>
      </c>
      <c r="J318" s="7" t="e" cm="1">
        <f t="array" aca="1" ref="J318" ca="1">_xll.BDP("ZO808012 Corp","YL018")</f>
        <v>#NAME?</v>
      </c>
      <c r="K318" s="7" t="e" cm="1">
        <f t="array" aca="1" ref="K318" ca="1">_xll.BDP("ZO808012 Corp","YL016")</f>
        <v>#NAME?</v>
      </c>
      <c r="L318" s="7" t="e" cm="1">
        <f t="array" aca="1" ref="L318" ca="1">_xll.BDP("ZO808012 Corp","PR004")</f>
        <v>#NAME?</v>
      </c>
      <c r="M318" s="7" t="e" cm="1">
        <f t="array" aca="1" ref="M318" ca="1">_xll.BDP("ZO808012 Corp","PR002")</f>
        <v>#NAME?</v>
      </c>
      <c r="N318" s="1" t="e" cm="1">
        <f t="array" aca="1" ref="N318" ca="1">_xll.BDP("ZO808012 Corp","ID028")</f>
        <v>#NAME?</v>
      </c>
      <c r="O318" s="1" t="e" cm="1">
        <f t="array" aca="1" ref="O318" ca="1">_xll.BDP("ZO808012 Corp","ID005")</f>
        <v>#NAME?</v>
      </c>
      <c r="P318" s="1" t="e" cm="1">
        <f t="array" aca="1" ref="P318" ca="1">_xll.BDP(A318,"RA007")</f>
        <v>#NAME?</v>
      </c>
      <c r="Q318" s="1" t="e" cm="1">
        <f t="array" aca="1" ref="Q318" ca="1">_xll.BDP(A318,"DS219")</f>
        <v>#NAME?</v>
      </c>
      <c r="R318" s="3" t="e" cm="1">
        <f t="array" aca="1" ref="R318" ca="1">_xll.BDP(A318,"DS040")</f>
        <v>#NAME?</v>
      </c>
      <c r="S318" s="4" t="e">
        <f t="shared" ca="1" si="12"/>
        <v>#NAME?</v>
      </c>
      <c r="T318" s="7" t="e">
        <f t="shared" ca="1" si="13"/>
        <v>#NAME?</v>
      </c>
      <c r="U318" s="3" t="e">
        <f t="shared" ca="1" si="14"/>
        <v>#NAME?</v>
      </c>
    </row>
    <row r="319" spans="1:21" x14ac:dyDescent="0.35">
      <c r="A319" s="5" t="s">
        <v>378</v>
      </c>
      <c r="B319" s="1" t="e" cm="1">
        <f t="array" aca="1" ref="B319" ca="1">_xll.BDP("ZP316570 Corp","DS520")</f>
        <v>#NAME?</v>
      </c>
      <c r="C319" s="1" t="e" cm="1">
        <f t="array" aca="1" ref="C319" ca="1">_xll.BDP("ZP316570 Corp","DS001")</f>
        <v>#NAME?</v>
      </c>
      <c r="D319" s="1" t="e" cm="1">
        <f t="array" aca="1" ref="D319" ca="1">_xll.BDP("ZP316570 Corp","DS458")</f>
        <v>#NAME?</v>
      </c>
      <c r="E319" s="1" t="e" cm="1">
        <f t="array" aca="1" ref="E319" ca="1">_xll.BDP("ZP316570 Corp","DS004")</f>
        <v>#NAME?</v>
      </c>
      <c r="F319" s="1" t="e" cm="1">
        <f t="array" aca="1" ref="F319" ca="1">_xll.BDP("ZP316570 Corp","DS035")</f>
        <v>#NAME?</v>
      </c>
      <c r="G319" s="1" t="e" cm="1">
        <f t="array" aca="1" ref="G319" ca="1">_xll.BDP("ZP316570 Corp","DS086")</f>
        <v>#NAME?</v>
      </c>
      <c r="H319" s="1" t="e" cm="1">
        <f t="array" aca="1" ref="H319" ca="1">_xll.BDP("ZP316570 Corp","DS034")</f>
        <v>#NAME?</v>
      </c>
      <c r="I319" s="1" t="e" cm="1">
        <f t="array" aca="1" ref="I319" ca="1">_xll.BDP("ZP316570 Corp","DS033")</f>
        <v>#NAME?</v>
      </c>
      <c r="J319" s="7" t="e" cm="1">
        <f t="array" aca="1" ref="J319" ca="1">_xll.BDP("ZP316570 Corp","YL018")</f>
        <v>#NAME?</v>
      </c>
      <c r="K319" s="7" t="e" cm="1">
        <f t="array" aca="1" ref="K319" ca="1">_xll.BDP("ZP316570 Corp","YL016")</f>
        <v>#NAME?</v>
      </c>
      <c r="L319" s="7" t="e" cm="1">
        <f t="array" aca="1" ref="L319" ca="1">_xll.BDP("ZP316570 Corp","PR004")</f>
        <v>#NAME?</v>
      </c>
      <c r="M319" s="7" t="e" cm="1">
        <f t="array" aca="1" ref="M319" ca="1">_xll.BDP("ZP316570 Corp","PR002")</f>
        <v>#NAME?</v>
      </c>
      <c r="N319" s="1" t="e" cm="1">
        <f t="array" aca="1" ref="N319" ca="1">_xll.BDP("ZP316570 Corp","ID028")</f>
        <v>#NAME?</v>
      </c>
      <c r="O319" s="1" t="e" cm="1">
        <f t="array" aca="1" ref="O319" ca="1">_xll.BDP("ZP316570 Corp","ID005")</f>
        <v>#NAME?</v>
      </c>
      <c r="P319" s="1" t="e" cm="1">
        <f t="array" aca="1" ref="P319" ca="1">_xll.BDP(A319,"RA007")</f>
        <v>#NAME?</v>
      </c>
      <c r="Q319" s="1" t="e" cm="1">
        <f t="array" aca="1" ref="Q319" ca="1">_xll.BDP(A319,"DS219")</f>
        <v>#NAME?</v>
      </c>
      <c r="R319" s="3" t="e" cm="1">
        <f t="array" aca="1" ref="R319" ca="1">_xll.BDP(A319,"DS040")</f>
        <v>#NAME?</v>
      </c>
      <c r="S319" s="4" t="e">
        <f t="shared" ca="1" si="12"/>
        <v>#NAME?</v>
      </c>
      <c r="T319" s="7" t="e">
        <f t="shared" ca="1" si="13"/>
        <v>#NAME?</v>
      </c>
      <c r="U319" s="3" t="e">
        <f t="shared" ca="1" si="14"/>
        <v>#NAME?</v>
      </c>
    </row>
    <row r="320" spans="1:21" x14ac:dyDescent="0.35">
      <c r="A320" s="5" t="s">
        <v>379</v>
      </c>
      <c r="B320" s="1" t="e" cm="1">
        <f t="array" aca="1" ref="B320" ca="1">_xll.BDP("ZP387400 Corp","DS520")</f>
        <v>#NAME?</v>
      </c>
      <c r="C320" s="1" t="e" cm="1">
        <f t="array" aca="1" ref="C320" ca="1">_xll.BDP("ZP387400 Corp","DS001")</f>
        <v>#NAME?</v>
      </c>
      <c r="D320" s="1" t="e" cm="1">
        <f t="array" aca="1" ref="D320" ca="1">_xll.BDP("ZP387400 Corp","DS458")</f>
        <v>#NAME?</v>
      </c>
      <c r="E320" s="1" t="e" cm="1">
        <f t="array" aca="1" ref="E320" ca="1">_xll.BDP("ZP387400 Corp","DS004")</f>
        <v>#NAME?</v>
      </c>
      <c r="F320" s="1" t="e" cm="1">
        <f t="array" aca="1" ref="F320" ca="1">_xll.BDP("ZP387400 Corp","DS035")</f>
        <v>#NAME?</v>
      </c>
      <c r="G320" s="1" t="e" cm="1">
        <f t="array" aca="1" ref="G320" ca="1">_xll.BDP("ZP387400 Corp","DS086")</f>
        <v>#NAME?</v>
      </c>
      <c r="H320" s="1" t="e" cm="1">
        <f t="array" aca="1" ref="H320" ca="1">_xll.BDP("ZP387400 Corp","DS034")</f>
        <v>#NAME?</v>
      </c>
      <c r="I320" s="1" t="e" cm="1">
        <f t="array" aca="1" ref="I320" ca="1">_xll.BDP("ZP387400 Corp","DS033")</f>
        <v>#NAME?</v>
      </c>
      <c r="J320" s="7" t="e" cm="1">
        <f t="array" aca="1" ref="J320" ca="1">_xll.BDP("ZP387400 Corp","YL018")</f>
        <v>#NAME?</v>
      </c>
      <c r="K320" s="7" t="e" cm="1">
        <f t="array" aca="1" ref="K320" ca="1">_xll.BDP("ZP387400 Corp","YL016")</f>
        <v>#NAME?</v>
      </c>
      <c r="L320" s="7" t="e" cm="1">
        <f t="array" aca="1" ref="L320" ca="1">_xll.BDP("ZP387400 Corp","PR004")</f>
        <v>#NAME?</v>
      </c>
      <c r="M320" s="7" t="e" cm="1">
        <f t="array" aca="1" ref="M320" ca="1">_xll.BDP("ZP387400 Corp","PR002")</f>
        <v>#NAME?</v>
      </c>
      <c r="N320" s="1" t="e" cm="1">
        <f t="array" aca="1" ref="N320" ca="1">_xll.BDP("ZP387400 Corp","ID028")</f>
        <v>#NAME?</v>
      </c>
      <c r="O320" s="1" t="e" cm="1">
        <f t="array" aca="1" ref="O320" ca="1">_xll.BDP("ZP387400 Corp","ID005")</f>
        <v>#NAME?</v>
      </c>
      <c r="P320" s="1" t="e" cm="1">
        <f t="array" aca="1" ref="P320" ca="1">_xll.BDP(A320,"RA007")</f>
        <v>#NAME?</v>
      </c>
      <c r="Q320" s="1" t="e" cm="1">
        <f t="array" aca="1" ref="Q320" ca="1">_xll.BDP(A320,"DS219")</f>
        <v>#NAME?</v>
      </c>
      <c r="R320" s="3" t="e" cm="1">
        <f t="array" aca="1" ref="R320" ca="1">_xll.BDP(A320,"DS040")</f>
        <v>#NAME?</v>
      </c>
      <c r="S320" s="4" t="e">
        <f t="shared" ca="1" si="12"/>
        <v>#NAME?</v>
      </c>
      <c r="T320" s="7" t="e">
        <f t="shared" ca="1" si="13"/>
        <v>#NAME?</v>
      </c>
      <c r="U320" s="3" t="e">
        <f t="shared" ca="1" si="14"/>
        <v>#NAME?</v>
      </c>
    </row>
    <row r="321" spans="1:21" x14ac:dyDescent="0.35">
      <c r="A321" s="5" t="s">
        <v>380</v>
      </c>
      <c r="B321" s="1" t="e" cm="1">
        <f t="array" aca="1" ref="B321" ca="1">_xll.BDP("ZP562354 Corp","DS520")</f>
        <v>#NAME?</v>
      </c>
      <c r="C321" s="1" t="e" cm="1">
        <f t="array" aca="1" ref="C321" ca="1">_xll.BDP("ZP562354 Corp","DS001")</f>
        <v>#NAME?</v>
      </c>
      <c r="D321" s="1" t="e" cm="1">
        <f t="array" aca="1" ref="D321" ca="1">_xll.BDP("ZP562354 Corp","DS458")</f>
        <v>#NAME?</v>
      </c>
      <c r="E321" s="1" t="e" cm="1">
        <f t="array" aca="1" ref="E321" ca="1">_xll.BDP("ZP562354 Corp","DS004")</f>
        <v>#NAME?</v>
      </c>
      <c r="F321" s="1" t="e" cm="1">
        <f t="array" aca="1" ref="F321" ca="1">_xll.BDP("ZP562354 Corp","DS035")</f>
        <v>#NAME?</v>
      </c>
      <c r="G321" s="1" t="e" cm="1">
        <f t="array" aca="1" ref="G321" ca="1">_xll.BDP("ZP562354 Corp","DS086")</f>
        <v>#NAME?</v>
      </c>
      <c r="H321" s="1" t="e" cm="1">
        <f t="array" aca="1" ref="H321" ca="1">_xll.BDP("ZP562354 Corp","DS034")</f>
        <v>#NAME?</v>
      </c>
      <c r="I321" s="1" t="e" cm="1">
        <f t="array" aca="1" ref="I321" ca="1">_xll.BDP("ZP562354 Corp","DS033")</f>
        <v>#NAME?</v>
      </c>
      <c r="J321" s="7" t="e" cm="1">
        <f t="array" aca="1" ref="J321" ca="1">_xll.BDP("ZP562354 Corp","YL018")</f>
        <v>#NAME?</v>
      </c>
      <c r="K321" s="7" t="e" cm="1">
        <f t="array" aca="1" ref="K321" ca="1">_xll.BDP("ZP562354 Corp","YL016")</f>
        <v>#NAME?</v>
      </c>
      <c r="L321" s="7" t="e" cm="1">
        <f t="array" aca="1" ref="L321" ca="1">_xll.BDP("ZP562354 Corp","PR004")</f>
        <v>#NAME?</v>
      </c>
      <c r="M321" s="7" t="e" cm="1">
        <f t="array" aca="1" ref="M321" ca="1">_xll.BDP("ZP562354 Corp","PR002")</f>
        <v>#NAME?</v>
      </c>
      <c r="N321" s="1" t="e" cm="1">
        <f t="array" aca="1" ref="N321" ca="1">_xll.BDP("ZP562354 Corp","ID028")</f>
        <v>#NAME?</v>
      </c>
      <c r="O321" s="1" t="e" cm="1">
        <f t="array" aca="1" ref="O321" ca="1">_xll.BDP("ZP562354 Corp","ID005")</f>
        <v>#NAME?</v>
      </c>
      <c r="P321" s="1" t="e" cm="1">
        <f t="array" aca="1" ref="P321" ca="1">_xll.BDP(A321,"RA007")</f>
        <v>#NAME?</v>
      </c>
      <c r="Q321" s="1" t="e" cm="1">
        <f t="array" aca="1" ref="Q321" ca="1">_xll.BDP(A321,"DS219")</f>
        <v>#NAME?</v>
      </c>
      <c r="R321" s="3" t="e" cm="1">
        <f t="array" aca="1" ref="R321" ca="1">_xll.BDP(A321,"DS040")</f>
        <v>#NAME?</v>
      </c>
      <c r="S321" s="4" t="e">
        <f t="shared" ca="1" si="12"/>
        <v>#NAME?</v>
      </c>
      <c r="T321" s="7" t="e">
        <f t="shared" ca="1" si="13"/>
        <v>#NAME?</v>
      </c>
      <c r="U321" s="3" t="e">
        <f t="shared" ca="1" si="14"/>
        <v>#NAME?</v>
      </c>
    </row>
    <row r="322" spans="1:21" x14ac:dyDescent="0.35">
      <c r="A322" s="5" t="s">
        <v>381</v>
      </c>
      <c r="B322" s="1" t="e" cm="1">
        <f t="array" aca="1" ref="B322" ca="1">_xll.BDP("ZQ061592 Corp","DS520")</f>
        <v>#NAME?</v>
      </c>
      <c r="C322" s="1" t="e" cm="1">
        <f t="array" aca="1" ref="C322" ca="1">_xll.BDP("ZQ061592 Corp","DS001")</f>
        <v>#NAME?</v>
      </c>
      <c r="D322" s="1" t="e" cm="1">
        <f t="array" aca="1" ref="D322" ca="1">_xll.BDP("ZQ061592 Corp","DS458")</f>
        <v>#NAME?</v>
      </c>
      <c r="E322" s="1" t="e" cm="1">
        <f t="array" aca="1" ref="E322" ca="1">_xll.BDP("ZQ061592 Corp","DS004")</f>
        <v>#NAME?</v>
      </c>
      <c r="F322" s="1" t="e" cm="1">
        <f t="array" aca="1" ref="F322" ca="1">_xll.BDP("ZQ061592 Corp","DS035")</f>
        <v>#NAME?</v>
      </c>
      <c r="G322" s="1" t="e" cm="1">
        <f t="array" aca="1" ref="G322" ca="1">_xll.BDP("ZQ061592 Corp","DS086")</f>
        <v>#NAME?</v>
      </c>
      <c r="H322" s="1" t="e" cm="1">
        <f t="array" aca="1" ref="H322" ca="1">_xll.BDP("ZQ061592 Corp","DS034")</f>
        <v>#NAME?</v>
      </c>
      <c r="I322" s="1" t="e" cm="1">
        <f t="array" aca="1" ref="I322" ca="1">_xll.BDP("ZQ061592 Corp","DS033")</f>
        <v>#NAME?</v>
      </c>
      <c r="J322" s="7" t="e" cm="1">
        <f t="array" aca="1" ref="J322" ca="1">_xll.BDP("ZQ061592 Corp","YL018")</f>
        <v>#NAME?</v>
      </c>
      <c r="K322" s="7" t="e" cm="1">
        <f t="array" aca="1" ref="K322" ca="1">_xll.BDP("ZQ061592 Corp","YL016")</f>
        <v>#NAME?</v>
      </c>
      <c r="L322" s="7" t="e" cm="1">
        <f t="array" aca="1" ref="L322" ca="1">_xll.BDP("ZQ061592 Corp","PR004")</f>
        <v>#NAME?</v>
      </c>
      <c r="M322" s="7" t="e" cm="1">
        <f t="array" aca="1" ref="M322" ca="1">_xll.BDP("ZQ061592 Corp","PR002")</f>
        <v>#NAME?</v>
      </c>
      <c r="N322" s="1" t="e" cm="1">
        <f t="array" aca="1" ref="N322" ca="1">_xll.BDP("ZQ061592 Corp","ID028")</f>
        <v>#NAME?</v>
      </c>
      <c r="O322" s="1" t="e" cm="1">
        <f t="array" aca="1" ref="O322" ca="1">_xll.BDP("ZQ061592 Corp","ID005")</f>
        <v>#NAME?</v>
      </c>
      <c r="P322" s="1" t="e" cm="1">
        <f t="array" aca="1" ref="P322" ca="1">_xll.BDP(A322,"RA007")</f>
        <v>#NAME?</v>
      </c>
      <c r="Q322" s="1" t="e" cm="1">
        <f t="array" aca="1" ref="Q322" ca="1">_xll.BDP(A322,"DS219")</f>
        <v>#NAME?</v>
      </c>
      <c r="R322" s="3" t="e" cm="1">
        <f t="array" aca="1" ref="R322" ca="1">_xll.BDP(A322,"DS040")</f>
        <v>#NAME?</v>
      </c>
      <c r="S322" s="4" t="e">
        <f t="shared" ca="1" si="12"/>
        <v>#NAME?</v>
      </c>
      <c r="T322" s="7" t="e">
        <f t="shared" ca="1" si="13"/>
        <v>#NAME?</v>
      </c>
      <c r="U322" s="3" t="e">
        <f t="shared" ca="1" si="14"/>
        <v>#NAME?</v>
      </c>
    </row>
    <row r="323" spans="1:21" x14ac:dyDescent="0.35">
      <c r="A323" s="5" t="s">
        <v>382</v>
      </c>
      <c r="B323" s="1" t="e" cm="1">
        <f t="array" aca="1" ref="B323" ca="1">_xll.BDP("ZQ278992 Corp","DS520")</f>
        <v>#NAME?</v>
      </c>
      <c r="C323" s="1" t="e" cm="1">
        <f t="array" aca="1" ref="C323" ca="1">_xll.BDP("ZQ278992 Corp","DS001")</f>
        <v>#NAME?</v>
      </c>
      <c r="D323" s="1" t="e" cm="1">
        <f t="array" aca="1" ref="D323" ca="1">_xll.BDP("ZQ278992 Corp","DS458")</f>
        <v>#NAME?</v>
      </c>
      <c r="E323" s="1" t="e" cm="1">
        <f t="array" aca="1" ref="E323" ca="1">_xll.BDP("ZQ278992 Corp","DS004")</f>
        <v>#NAME?</v>
      </c>
      <c r="F323" s="1" t="e" cm="1">
        <f t="array" aca="1" ref="F323" ca="1">_xll.BDP("ZQ278992 Corp","DS035")</f>
        <v>#NAME?</v>
      </c>
      <c r="G323" s="1" t="e" cm="1">
        <f t="array" aca="1" ref="G323" ca="1">_xll.BDP("ZQ278992 Corp","DS086")</f>
        <v>#NAME?</v>
      </c>
      <c r="H323" s="1" t="e" cm="1">
        <f t="array" aca="1" ref="H323" ca="1">_xll.BDP("ZQ278992 Corp","DS034")</f>
        <v>#NAME?</v>
      </c>
      <c r="I323" s="1" t="e" cm="1">
        <f t="array" aca="1" ref="I323" ca="1">_xll.BDP("ZQ278992 Corp","DS033")</f>
        <v>#NAME?</v>
      </c>
      <c r="J323" s="7" t="e" cm="1">
        <f t="array" aca="1" ref="J323" ca="1">_xll.BDP("ZQ278992 Corp","YL018")</f>
        <v>#NAME?</v>
      </c>
      <c r="K323" s="7" t="e" cm="1">
        <f t="array" aca="1" ref="K323" ca="1">_xll.BDP("ZQ278992 Corp","YL016")</f>
        <v>#NAME?</v>
      </c>
      <c r="L323" s="7" t="e" cm="1">
        <f t="array" aca="1" ref="L323" ca="1">_xll.BDP("ZQ278992 Corp","PR004")</f>
        <v>#NAME?</v>
      </c>
      <c r="M323" s="7" t="e" cm="1">
        <f t="array" aca="1" ref="M323" ca="1">_xll.BDP("ZQ278992 Corp","PR002")</f>
        <v>#NAME?</v>
      </c>
      <c r="N323" s="1" t="e" cm="1">
        <f t="array" aca="1" ref="N323" ca="1">_xll.BDP("ZQ278992 Corp","ID028")</f>
        <v>#NAME?</v>
      </c>
      <c r="O323" s="1" t="e" cm="1">
        <f t="array" aca="1" ref="O323" ca="1">_xll.BDP("ZQ278992 Corp","ID005")</f>
        <v>#NAME?</v>
      </c>
      <c r="P323" s="1" t="e" cm="1">
        <f t="array" aca="1" ref="P323" ca="1">_xll.BDP(A323,"RA007")</f>
        <v>#NAME?</v>
      </c>
      <c r="Q323" s="1" t="e" cm="1">
        <f t="array" aca="1" ref="Q323" ca="1">_xll.BDP(A323,"DS219")</f>
        <v>#NAME?</v>
      </c>
      <c r="R323" s="3" t="e" cm="1">
        <f t="array" aca="1" ref="R323" ca="1">_xll.BDP(A323,"DS040")</f>
        <v>#NAME?</v>
      </c>
      <c r="S323" s="4" t="e">
        <f t="shared" ref="S323:S327" ca="1" si="15">(F323-TODAY())/365.25</f>
        <v>#NAME?</v>
      </c>
      <c r="T323" s="7" t="e">
        <f t="shared" ref="T323:T327" ca="1" si="16">S323-ROUNDDOWN(S323,0)</f>
        <v>#NAME?</v>
      </c>
      <c r="U323" s="3" t="e">
        <f t="shared" ref="U323:U327" ca="1" si="17">DATE(2026,MONTH(TODAY()),DAY(F323))&gt;DATEVALUE(R323)</f>
        <v>#NAME?</v>
      </c>
    </row>
    <row r="324" spans="1:21" x14ac:dyDescent="0.35">
      <c r="A324" s="5" t="s">
        <v>383</v>
      </c>
      <c r="B324" s="1" t="e" cm="1">
        <f t="array" aca="1" ref="B324" ca="1">_xll.BDP("ZR885925 Corp","DS520")</f>
        <v>#NAME?</v>
      </c>
      <c r="C324" s="1" t="e" cm="1">
        <f t="array" aca="1" ref="C324" ca="1">_xll.BDP("ZR885925 Corp","DS001")</f>
        <v>#NAME?</v>
      </c>
      <c r="D324" s="1" t="e" cm="1">
        <f t="array" aca="1" ref="D324" ca="1">_xll.BDP("ZR885925 Corp","DS458")</f>
        <v>#NAME?</v>
      </c>
      <c r="E324" s="1" t="e" cm="1">
        <f t="array" aca="1" ref="E324" ca="1">_xll.BDP("ZR885925 Corp","DS004")</f>
        <v>#NAME?</v>
      </c>
      <c r="F324" s="1" t="e" cm="1">
        <f t="array" aca="1" ref="F324" ca="1">_xll.BDP("ZR885925 Corp","DS035")</f>
        <v>#NAME?</v>
      </c>
      <c r="G324" s="1" t="e" cm="1">
        <f t="array" aca="1" ref="G324" ca="1">_xll.BDP("ZR885925 Corp","DS086")</f>
        <v>#NAME?</v>
      </c>
      <c r="H324" s="1" t="e" cm="1">
        <f t="array" aca="1" ref="H324" ca="1">_xll.BDP("ZR885925 Corp","DS034")</f>
        <v>#NAME?</v>
      </c>
      <c r="I324" s="1" t="e" cm="1">
        <f t="array" aca="1" ref="I324" ca="1">_xll.BDP("ZR885925 Corp","DS033")</f>
        <v>#NAME?</v>
      </c>
      <c r="J324" s="7" t="e" cm="1">
        <f t="array" aca="1" ref="J324" ca="1">_xll.BDP("ZR885925 Corp","YL018")</f>
        <v>#NAME?</v>
      </c>
      <c r="K324" s="7" t="e" cm="1">
        <f t="array" aca="1" ref="K324" ca="1">_xll.BDP("ZR885925 Corp","YL016")</f>
        <v>#NAME?</v>
      </c>
      <c r="L324" s="7" t="e" cm="1">
        <f t="array" aca="1" ref="L324" ca="1">_xll.BDP("ZR885925 Corp","PR004")</f>
        <v>#NAME?</v>
      </c>
      <c r="M324" s="7" t="e" cm="1">
        <f t="array" aca="1" ref="M324" ca="1">_xll.BDP("ZR885925 Corp","PR002")</f>
        <v>#NAME?</v>
      </c>
      <c r="N324" s="1" t="e" cm="1">
        <f t="array" aca="1" ref="N324" ca="1">_xll.BDP("ZR885925 Corp","ID028")</f>
        <v>#NAME?</v>
      </c>
      <c r="O324" s="1" t="e" cm="1">
        <f t="array" aca="1" ref="O324" ca="1">_xll.BDP("ZR885925 Corp","ID005")</f>
        <v>#NAME?</v>
      </c>
      <c r="P324" s="1" t="e" cm="1">
        <f t="array" aca="1" ref="P324" ca="1">_xll.BDP(A324,"RA007")</f>
        <v>#NAME?</v>
      </c>
      <c r="Q324" s="1" t="e" cm="1">
        <f t="array" aca="1" ref="Q324" ca="1">_xll.BDP(A324,"DS219")</f>
        <v>#NAME?</v>
      </c>
      <c r="R324" s="3" t="e" cm="1">
        <f t="array" aca="1" ref="R324" ca="1">_xll.BDP(A324,"DS040")</f>
        <v>#NAME?</v>
      </c>
      <c r="S324" s="4" t="e">
        <f t="shared" ca="1" si="15"/>
        <v>#NAME?</v>
      </c>
      <c r="T324" s="7" t="e">
        <f t="shared" ca="1" si="16"/>
        <v>#NAME?</v>
      </c>
      <c r="U324" s="3" t="e">
        <f t="shared" ca="1" si="17"/>
        <v>#NAME?</v>
      </c>
    </row>
    <row r="325" spans="1:21" x14ac:dyDescent="0.35">
      <c r="A325" s="5" t="s">
        <v>384</v>
      </c>
      <c r="B325" s="1" t="e" cm="1">
        <f t="array" aca="1" ref="B325" ca="1">_xll.BDP("ZS052604 Corp","DS520")</f>
        <v>#NAME?</v>
      </c>
      <c r="C325" s="1" t="e" cm="1">
        <f t="array" aca="1" ref="C325" ca="1">_xll.BDP("ZS052604 Corp","DS001")</f>
        <v>#NAME?</v>
      </c>
      <c r="D325" s="1" t="e" cm="1">
        <f t="array" aca="1" ref="D325" ca="1">_xll.BDP("ZS052604 Corp","DS458")</f>
        <v>#NAME?</v>
      </c>
      <c r="E325" s="1" t="e" cm="1">
        <f t="array" aca="1" ref="E325" ca="1">_xll.BDP("ZS052604 Corp","DS004")</f>
        <v>#NAME?</v>
      </c>
      <c r="F325" s="1" t="e" cm="1">
        <f t="array" aca="1" ref="F325" ca="1">_xll.BDP("ZS052604 Corp","DS035")</f>
        <v>#NAME?</v>
      </c>
      <c r="G325" s="1" t="e" cm="1">
        <f t="array" aca="1" ref="G325" ca="1">_xll.BDP("ZS052604 Corp","DS086")</f>
        <v>#NAME?</v>
      </c>
      <c r="H325" s="1" t="e" cm="1">
        <f t="array" aca="1" ref="H325" ca="1">_xll.BDP("ZS052604 Corp","DS034")</f>
        <v>#NAME?</v>
      </c>
      <c r="I325" s="1" t="e" cm="1">
        <f t="array" aca="1" ref="I325" ca="1">_xll.BDP("ZS052604 Corp","DS033")</f>
        <v>#NAME?</v>
      </c>
      <c r="J325" s="7" t="e" cm="1">
        <f t="array" aca="1" ref="J325" ca="1">_xll.BDP("ZS052604 Corp","YL018")</f>
        <v>#NAME?</v>
      </c>
      <c r="K325" s="7" t="e" cm="1">
        <f t="array" aca="1" ref="K325" ca="1">_xll.BDP("ZS052604 Corp","YL016")</f>
        <v>#NAME?</v>
      </c>
      <c r="L325" s="7" t="e" cm="1">
        <f t="array" aca="1" ref="L325" ca="1">_xll.BDP("ZS052604 Corp","PR004")</f>
        <v>#NAME?</v>
      </c>
      <c r="M325" s="7" t="e" cm="1">
        <f t="array" aca="1" ref="M325" ca="1">_xll.BDP("ZS052604 Corp","PR002")</f>
        <v>#NAME?</v>
      </c>
      <c r="N325" s="1" t="e" cm="1">
        <f t="array" aca="1" ref="N325" ca="1">_xll.BDP("ZS052604 Corp","ID028")</f>
        <v>#NAME?</v>
      </c>
      <c r="O325" s="1" t="e" cm="1">
        <f t="array" aca="1" ref="O325" ca="1">_xll.BDP("ZS052604 Corp","ID005")</f>
        <v>#NAME?</v>
      </c>
      <c r="P325" s="1" t="e" cm="1">
        <f t="array" aca="1" ref="P325" ca="1">_xll.BDP(A325,"RA007")</f>
        <v>#NAME?</v>
      </c>
      <c r="Q325" s="1" t="e" cm="1">
        <f t="array" aca="1" ref="Q325" ca="1">_xll.BDP(A325,"DS219")</f>
        <v>#NAME?</v>
      </c>
      <c r="R325" s="3" t="e" cm="1">
        <f t="array" aca="1" ref="R325" ca="1">_xll.BDP(A325,"DS040")</f>
        <v>#NAME?</v>
      </c>
      <c r="S325" s="4" t="e">
        <f t="shared" ca="1" si="15"/>
        <v>#NAME?</v>
      </c>
      <c r="T325" s="7" t="e">
        <f t="shared" ca="1" si="16"/>
        <v>#NAME?</v>
      </c>
      <c r="U325" s="3" t="e">
        <f t="shared" ca="1" si="17"/>
        <v>#NAME?</v>
      </c>
    </row>
    <row r="326" spans="1:21" x14ac:dyDescent="0.35">
      <c r="A326" s="5" t="s">
        <v>385</v>
      </c>
      <c r="B326" s="1" t="e" cm="1">
        <f t="array" aca="1" ref="B326" ca="1">_xll.BDP("ZS214186 Corp","DS520")</f>
        <v>#NAME?</v>
      </c>
      <c r="C326" s="1" t="e" cm="1">
        <f t="array" aca="1" ref="C326" ca="1">_xll.BDP("ZS214186 Corp","DS001")</f>
        <v>#NAME?</v>
      </c>
      <c r="D326" s="1" t="e" cm="1">
        <f t="array" aca="1" ref="D326" ca="1">_xll.BDP("ZS214186 Corp","DS458")</f>
        <v>#NAME?</v>
      </c>
      <c r="E326" s="1" t="e" cm="1">
        <f t="array" aca="1" ref="E326" ca="1">_xll.BDP("ZS214186 Corp","DS004")</f>
        <v>#NAME?</v>
      </c>
      <c r="F326" s="1" t="e" cm="1">
        <f t="array" aca="1" ref="F326" ca="1">_xll.BDP("ZS214186 Corp","DS035")</f>
        <v>#NAME?</v>
      </c>
      <c r="G326" s="1" t="e" cm="1">
        <f t="array" aca="1" ref="G326" ca="1">_xll.BDP("ZS214186 Corp","DS086")</f>
        <v>#NAME?</v>
      </c>
      <c r="H326" s="1" t="e" cm="1">
        <f t="array" aca="1" ref="H326" ca="1">_xll.BDP("ZS214186 Corp","DS034")</f>
        <v>#NAME?</v>
      </c>
      <c r="I326" s="1" t="e" cm="1">
        <f t="array" aca="1" ref="I326" ca="1">_xll.BDP("ZS214186 Corp","DS033")</f>
        <v>#NAME?</v>
      </c>
      <c r="J326" s="7" t="e" cm="1">
        <f t="array" aca="1" ref="J326" ca="1">_xll.BDP("ZS214186 Corp","YL018")</f>
        <v>#NAME?</v>
      </c>
      <c r="K326" s="7" t="e" cm="1">
        <f t="array" aca="1" ref="K326" ca="1">_xll.BDP("ZS214186 Corp","YL016")</f>
        <v>#NAME?</v>
      </c>
      <c r="L326" s="7" t="e" cm="1">
        <f t="array" aca="1" ref="L326" ca="1">_xll.BDP("ZS214186 Corp","PR004")</f>
        <v>#NAME?</v>
      </c>
      <c r="M326" s="7" t="e" cm="1">
        <f t="array" aca="1" ref="M326" ca="1">_xll.BDP("ZS214186 Corp","PR002")</f>
        <v>#NAME?</v>
      </c>
      <c r="N326" s="1" t="e" cm="1">
        <f t="array" aca="1" ref="N326" ca="1">_xll.BDP("ZS214186 Corp","ID028")</f>
        <v>#NAME?</v>
      </c>
      <c r="O326" s="1" t="e" cm="1">
        <f t="array" aca="1" ref="O326" ca="1">_xll.BDP("ZS214186 Corp","ID005")</f>
        <v>#NAME?</v>
      </c>
      <c r="P326" s="1" t="e" cm="1">
        <f t="array" aca="1" ref="P326" ca="1">_xll.BDP(A326,"RA007")</f>
        <v>#NAME?</v>
      </c>
      <c r="Q326" s="1" t="e" cm="1">
        <f t="array" aca="1" ref="Q326" ca="1">_xll.BDP(A326,"DS219")</f>
        <v>#NAME?</v>
      </c>
      <c r="R326" s="3" t="e" cm="1">
        <f t="array" aca="1" ref="R326" ca="1">_xll.BDP(A326,"DS040")</f>
        <v>#NAME?</v>
      </c>
      <c r="S326" s="4" t="e">
        <f t="shared" ca="1" si="15"/>
        <v>#NAME?</v>
      </c>
      <c r="T326" s="7" t="e">
        <f t="shared" ca="1" si="16"/>
        <v>#NAME?</v>
      </c>
      <c r="U326" s="3" t="e">
        <f t="shared" ca="1" si="17"/>
        <v>#NAME?</v>
      </c>
    </row>
    <row r="327" spans="1:21" x14ac:dyDescent="0.35">
      <c r="A327" s="5" t="s">
        <v>386</v>
      </c>
      <c r="B327" s="1" t="e" cm="1">
        <f t="array" aca="1" ref="B327" ca="1">_xll.BDP("ZS877644 Corp","DS520")</f>
        <v>#NAME?</v>
      </c>
      <c r="C327" s="1" t="e" cm="1">
        <f t="array" aca="1" ref="C327" ca="1">_xll.BDP("ZS877644 Corp","DS001")</f>
        <v>#NAME?</v>
      </c>
      <c r="D327" s="1" t="e" cm="1">
        <f t="array" aca="1" ref="D327" ca="1">_xll.BDP("ZS877644 Corp","DS458")</f>
        <v>#NAME?</v>
      </c>
      <c r="E327" s="1" t="e" cm="1">
        <f t="array" aca="1" ref="E327" ca="1">_xll.BDP("ZS877644 Corp","DS004")</f>
        <v>#NAME?</v>
      </c>
      <c r="F327" s="1" t="e" cm="1">
        <f t="array" aca="1" ref="F327" ca="1">_xll.BDP("ZS877644 Corp","DS035")</f>
        <v>#NAME?</v>
      </c>
      <c r="G327" s="1" t="e" cm="1">
        <f t="array" aca="1" ref="G327" ca="1">_xll.BDP("ZS877644 Corp","DS086")</f>
        <v>#NAME?</v>
      </c>
      <c r="H327" s="1" t="e" cm="1">
        <f t="array" aca="1" ref="H327" ca="1">_xll.BDP("ZS877644 Corp","DS034")</f>
        <v>#NAME?</v>
      </c>
      <c r="I327" s="1" t="e" cm="1">
        <f t="array" aca="1" ref="I327" ca="1">_xll.BDP("ZS877644 Corp","DS033")</f>
        <v>#NAME?</v>
      </c>
      <c r="J327" s="7" t="e" cm="1">
        <f t="array" aca="1" ref="J327" ca="1">_xll.BDP("ZS877644 Corp","YL018")</f>
        <v>#NAME?</v>
      </c>
      <c r="K327" s="7" t="e" cm="1">
        <f t="array" aca="1" ref="K327" ca="1">_xll.BDP("ZS877644 Corp","YL016")</f>
        <v>#NAME?</v>
      </c>
      <c r="L327" s="7" t="e" cm="1">
        <f t="array" aca="1" ref="L327" ca="1">_xll.BDP("ZS877644 Corp","PR004")</f>
        <v>#NAME?</v>
      </c>
      <c r="M327" s="7" t="e" cm="1">
        <f t="array" aca="1" ref="M327" ca="1">_xll.BDP("ZS877644 Corp","PR002")</f>
        <v>#NAME?</v>
      </c>
      <c r="N327" s="1" t="e" cm="1">
        <f t="array" aca="1" ref="N327" ca="1">_xll.BDP("ZS877644 Corp","ID028")</f>
        <v>#NAME?</v>
      </c>
      <c r="O327" s="1" t="e" cm="1">
        <f t="array" aca="1" ref="O327" ca="1">_xll.BDP("ZS877644 Corp","ID005")</f>
        <v>#NAME?</v>
      </c>
      <c r="P327" s="1" t="e" cm="1">
        <f t="array" aca="1" ref="P327" ca="1">_xll.BDP(A327,"RA007")</f>
        <v>#NAME?</v>
      </c>
      <c r="Q327" s="1" t="e" cm="1">
        <f t="array" aca="1" ref="Q327" ca="1">_xll.BDP(A327,"DS219")</f>
        <v>#NAME?</v>
      </c>
      <c r="R327" s="3" t="e" cm="1">
        <f t="array" aca="1" ref="R327" ca="1">_xll.BDP(A327,"DS040")</f>
        <v>#NAME?</v>
      </c>
      <c r="S327" s="4" t="e">
        <f t="shared" ca="1" si="15"/>
        <v>#NAME?</v>
      </c>
      <c r="T327" s="7" t="e">
        <f t="shared" ca="1" si="16"/>
        <v>#NAME?</v>
      </c>
      <c r="U327" s="3" t="e">
        <f t="shared" ca="1" si="17"/>
        <v>#NAME?</v>
      </c>
    </row>
    <row r="328" spans="1:21" ht="15.75" x14ac:dyDescent="0.35">
      <c r="A328" s="6"/>
      <c r="B328" s="1"/>
      <c r="C328" s="1"/>
      <c r="D328" s="1"/>
      <c r="E328" s="1"/>
      <c r="F328" s="1"/>
      <c r="G328" s="1"/>
      <c r="H328" s="1"/>
      <c r="I328" s="1"/>
      <c r="J328" s="7"/>
      <c r="K328" s="7"/>
      <c r="L328" s="1"/>
      <c r="M328" s="1"/>
      <c r="N328" s="1"/>
      <c r="O328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31865-B4AA-443D-A67E-3C393EAFA8AE}">
  <dimension ref="A1:Z327"/>
  <sheetViews>
    <sheetView topLeftCell="N301" zoomScale="90" workbookViewId="0">
      <selection activeCell="X320" sqref="X320"/>
    </sheetView>
  </sheetViews>
  <sheetFormatPr defaultRowHeight="12.75" x14ac:dyDescent="0.35"/>
  <cols>
    <col min="17" max="17" width="9.86328125" style="3" bestFit="1" customWidth="1"/>
    <col min="18" max="18" width="11.73046875" style="3" customWidth="1"/>
    <col min="21" max="21" width="9.1328125" style="43"/>
    <col min="22" max="23" width="9.86328125" style="3" bestFit="1" customWidth="1"/>
    <col min="24" max="24" width="14.1328125" style="3" bestFit="1" customWidth="1"/>
  </cols>
  <sheetData>
    <row r="1" spans="1:26" x14ac:dyDescent="0.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8</v>
      </c>
      <c r="G1" t="s">
        <v>49</v>
      </c>
      <c r="H1" t="s">
        <v>50</v>
      </c>
      <c r="I1" t="s">
        <v>9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s="3" t="s">
        <v>58</v>
      </c>
      <c r="R1" s="31" t="s">
        <v>59</v>
      </c>
      <c r="S1" s="1" t="s">
        <v>60</v>
      </c>
      <c r="T1" s="1" t="s">
        <v>387</v>
      </c>
      <c r="U1" s="42" t="s">
        <v>388</v>
      </c>
      <c r="V1" s="3" t="s">
        <v>389</v>
      </c>
      <c r="W1" s="3" t="s">
        <v>390</v>
      </c>
      <c r="X1" s="3" t="s">
        <v>391</v>
      </c>
      <c r="Y1" s="3" t="s">
        <v>392</v>
      </c>
      <c r="Z1" s="3" t="s">
        <v>5</v>
      </c>
    </row>
    <row r="2" spans="1:26" x14ac:dyDescent="0.35">
      <c r="A2" t="s">
        <v>61</v>
      </c>
      <c r="B2" t="s">
        <v>393</v>
      </c>
      <c r="C2" t="s">
        <v>394</v>
      </c>
      <c r="D2" t="s">
        <v>395</v>
      </c>
      <c r="E2" t="s">
        <v>396</v>
      </c>
      <c r="F2" t="s">
        <v>397</v>
      </c>
      <c r="G2" t="s">
        <v>398</v>
      </c>
      <c r="H2">
        <v>2</v>
      </c>
      <c r="I2">
        <v>0.1</v>
      </c>
      <c r="J2">
        <v>0.95699999999828878</v>
      </c>
      <c r="K2">
        <v>0.97899999999814125</v>
      </c>
      <c r="L2">
        <v>99.34</v>
      </c>
      <c r="M2">
        <v>99.322999999999993</v>
      </c>
      <c r="N2" t="s">
        <v>399</v>
      </c>
      <c r="O2" t="s">
        <v>400</v>
      </c>
      <c r="P2" t="s">
        <v>401</v>
      </c>
      <c r="Q2" s="3">
        <v>42705</v>
      </c>
      <c r="R2" s="3">
        <v>46193</v>
      </c>
      <c r="S2" s="4">
        <f ca="1">(F2-TODAY())/365.25</f>
        <v>0.72553045859000687</v>
      </c>
      <c r="T2">
        <f>AVERAGE(L2:M2)</f>
        <v>99.331500000000005</v>
      </c>
      <c r="U2" s="43" cm="1">
        <f t="array" ref="U2:U327">_xlfn.SEQUENCE(COUNTA(A2:A327))</f>
        <v>1</v>
      </c>
      <c r="V2" s="4">
        <f ca="1">ROUNDDOWN(S2,0)+IF(S2-ROUNDDOWN(S2,0)&gt;0.5,0.5,0)</f>
        <v>0.5</v>
      </c>
      <c r="W2" s="54">
        <f ca="1">YEAR(TODAY())-YEAR(Q2)</f>
        <v>10</v>
      </c>
      <c r="X2" s="4">
        <f t="shared" ref="X2:X65" ca="1" si="0">(TODAY()-DATE(YEAR(R2),MONTH(R2)-6,DAY(R2)))/182*(I2)</f>
        <v>5.4945054945054951E-2</v>
      </c>
      <c r="Y2" s="4">
        <f ca="1">T2-X2</f>
        <v>99.276554945054954</v>
      </c>
      <c r="Z2">
        <f>AVERAGE(J2:K2)</f>
        <v>0.96799999999821495</v>
      </c>
    </row>
    <row r="3" spans="1:26" x14ac:dyDescent="0.35">
      <c r="A3" t="s">
        <v>62</v>
      </c>
      <c r="B3" t="s">
        <v>402</v>
      </c>
      <c r="C3" t="s">
        <v>394</v>
      </c>
      <c r="D3" t="s">
        <v>395</v>
      </c>
      <c r="E3" t="s">
        <v>396</v>
      </c>
      <c r="F3" t="s">
        <v>403</v>
      </c>
      <c r="G3" t="s">
        <v>398</v>
      </c>
      <c r="H3">
        <v>2</v>
      </c>
      <c r="I3">
        <v>0.6</v>
      </c>
      <c r="J3">
        <v>3.9399999999999977</v>
      </c>
      <c r="K3">
        <v>3.9749999999999974</v>
      </c>
      <c r="L3">
        <v>61.843000000000004</v>
      </c>
      <c r="M3">
        <v>61.597000000000001</v>
      </c>
      <c r="N3" t="s">
        <v>404</v>
      </c>
      <c r="O3" t="s">
        <v>405</v>
      </c>
      <c r="P3" t="s">
        <v>401</v>
      </c>
      <c r="Q3" s="3">
        <v>42712</v>
      </c>
      <c r="R3" s="3">
        <v>46193</v>
      </c>
      <c r="S3" s="4">
        <f t="shared" ref="S3:S66" ca="1" si="1">(F3-TODAY())/365.25</f>
        <v>20.725530458590008</v>
      </c>
      <c r="T3">
        <f t="shared" ref="T3:T66" si="2">AVERAGE(L3:M3)</f>
        <v>61.72</v>
      </c>
      <c r="U3" s="43">
        <v>2</v>
      </c>
      <c r="V3" s="4">
        <f t="shared" ref="V3:V66" ca="1" si="3">ROUNDDOWN(S3,0)+IF(S3-ROUNDDOWN(S3,0)&gt;0.5,0.5,0)</f>
        <v>20.5</v>
      </c>
      <c r="W3" s="54">
        <f t="shared" ref="W3:W66" ca="1" si="4">YEAR(TODAY())-YEAR(Q3)</f>
        <v>10</v>
      </c>
      <c r="X3" s="4">
        <f t="shared" ca="1" si="0"/>
        <v>0.32967032967032966</v>
      </c>
      <c r="Y3" s="4">
        <f ca="1">T3-X3</f>
        <v>61.39032967032967</v>
      </c>
      <c r="Z3">
        <f t="shared" ref="Z3:Z66" si="5">AVERAGE(J3:K3)</f>
        <v>3.9574999999999978</v>
      </c>
    </row>
    <row r="4" spans="1:26" x14ac:dyDescent="0.35">
      <c r="A4" t="s">
        <v>63</v>
      </c>
      <c r="B4" t="s">
        <v>406</v>
      </c>
      <c r="C4" t="s">
        <v>394</v>
      </c>
      <c r="D4" t="s">
        <v>395</v>
      </c>
      <c r="E4" t="s">
        <v>396</v>
      </c>
      <c r="F4" t="s">
        <v>407</v>
      </c>
      <c r="G4" t="s">
        <v>398</v>
      </c>
      <c r="H4">
        <v>2</v>
      </c>
      <c r="I4">
        <v>0.6</v>
      </c>
      <c r="J4">
        <v>2.4689999999999892</v>
      </c>
      <c r="K4">
        <v>2.4929999999999848</v>
      </c>
      <c r="L4">
        <v>84.091999999999999</v>
      </c>
      <c r="M4">
        <v>83.921000000000006</v>
      </c>
      <c r="N4" t="s">
        <v>408</v>
      </c>
      <c r="O4" t="s">
        <v>409</v>
      </c>
      <c r="P4" t="s">
        <v>401</v>
      </c>
      <c r="Q4" s="3">
        <v>42719</v>
      </c>
      <c r="R4" s="3">
        <v>46193</v>
      </c>
      <c r="S4" s="4">
        <f t="shared" ca="1" si="1"/>
        <v>10.726899383983573</v>
      </c>
      <c r="T4">
        <f t="shared" si="2"/>
        <v>84.006500000000003</v>
      </c>
      <c r="U4" s="43">
        <v>3</v>
      </c>
      <c r="V4" s="4">
        <f t="shared" ca="1" si="3"/>
        <v>10.5</v>
      </c>
      <c r="W4" s="54">
        <f t="shared" ca="1" si="4"/>
        <v>10</v>
      </c>
      <c r="X4" s="4">
        <f t="shared" ca="1" si="0"/>
        <v>0.32967032967032966</v>
      </c>
      <c r="Y4" s="4">
        <f t="shared" ref="Y4:Y66" ca="1" si="6">T4-X4</f>
        <v>83.676829670329667</v>
      </c>
      <c r="Z4">
        <f t="shared" si="5"/>
        <v>2.480999999999987</v>
      </c>
    </row>
    <row r="5" spans="1:26" x14ac:dyDescent="0.35">
      <c r="A5" t="s">
        <v>64</v>
      </c>
      <c r="B5" t="s">
        <v>393</v>
      </c>
      <c r="C5" t="s">
        <v>394</v>
      </c>
      <c r="D5" t="s">
        <v>395</v>
      </c>
      <c r="E5" t="s">
        <v>396</v>
      </c>
      <c r="F5" t="s">
        <v>410</v>
      </c>
      <c r="G5" t="s">
        <v>398</v>
      </c>
      <c r="H5">
        <v>2</v>
      </c>
      <c r="I5">
        <v>0.1</v>
      </c>
      <c r="J5">
        <v>0.99999999983467414</v>
      </c>
      <c r="K5">
        <v>1.0209999998197796</v>
      </c>
      <c r="L5">
        <v>99.088999999999999</v>
      </c>
      <c r="M5">
        <v>99.067999999999998</v>
      </c>
      <c r="N5" t="s">
        <v>411</v>
      </c>
      <c r="O5" t="s">
        <v>412</v>
      </c>
      <c r="P5" t="s">
        <v>401</v>
      </c>
      <c r="Q5" s="3">
        <v>42796</v>
      </c>
      <c r="R5" s="3">
        <v>46101</v>
      </c>
      <c r="S5" s="4">
        <f t="shared" ca="1" si="1"/>
        <v>0.97193702943189597</v>
      </c>
      <c r="T5">
        <f t="shared" si="2"/>
        <v>99.078499999999991</v>
      </c>
      <c r="U5" s="43">
        <v>4</v>
      </c>
      <c r="V5" s="4">
        <f t="shared" ca="1" si="3"/>
        <v>0.5</v>
      </c>
      <c r="W5" s="54">
        <f t="shared" ca="1" si="4"/>
        <v>9</v>
      </c>
      <c r="X5" s="4">
        <f t="shared" ca="1" si="0"/>
        <v>0.10494505494505496</v>
      </c>
      <c r="Y5" s="4">
        <f t="shared" ca="1" si="6"/>
        <v>98.973554945054943</v>
      </c>
      <c r="Z5">
        <f t="shared" si="5"/>
        <v>1.0104999998272268</v>
      </c>
    </row>
    <row r="6" spans="1:26" x14ac:dyDescent="0.35">
      <c r="A6" t="s">
        <v>65</v>
      </c>
      <c r="B6" t="s">
        <v>402</v>
      </c>
      <c r="C6" t="s">
        <v>394</v>
      </c>
      <c r="D6" t="s">
        <v>395</v>
      </c>
      <c r="E6" t="s">
        <v>396</v>
      </c>
      <c r="F6" t="s">
        <v>413</v>
      </c>
      <c r="G6" t="s">
        <v>398</v>
      </c>
      <c r="H6">
        <v>2</v>
      </c>
      <c r="I6">
        <v>0.8</v>
      </c>
      <c r="J6">
        <v>3.862000000000001</v>
      </c>
      <c r="K6">
        <v>3.9009999999999998</v>
      </c>
      <c r="L6">
        <v>64.472999999999999</v>
      </c>
      <c r="M6">
        <v>64.183000000000007</v>
      </c>
      <c r="N6" t="s">
        <v>414</v>
      </c>
      <c r="O6" t="s">
        <v>415</v>
      </c>
      <c r="P6" t="s">
        <v>401</v>
      </c>
      <c r="Q6" s="3">
        <v>42801</v>
      </c>
      <c r="R6" s="3">
        <v>46101</v>
      </c>
      <c r="S6" s="4">
        <f t="shared" ca="1" si="1"/>
        <v>20.971937029431896</v>
      </c>
      <c r="T6">
        <f t="shared" si="2"/>
        <v>64.328000000000003</v>
      </c>
      <c r="U6" s="43">
        <v>5</v>
      </c>
      <c r="V6" s="4">
        <f t="shared" ca="1" si="3"/>
        <v>20.5</v>
      </c>
      <c r="W6" s="54">
        <f t="shared" ca="1" si="4"/>
        <v>9</v>
      </c>
      <c r="X6" s="4">
        <f t="shared" ca="1" si="0"/>
        <v>0.83956043956043969</v>
      </c>
      <c r="Y6" s="4">
        <f t="shared" ca="1" si="6"/>
        <v>63.488439560439566</v>
      </c>
      <c r="Z6">
        <f t="shared" si="5"/>
        <v>3.8815000000000004</v>
      </c>
    </row>
    <row r="7" spans="1:26" x14ac:dyDescent="0.35">
      <c r="A7" t="s">
        <v>66</v>
      </c>
      <c r="B7" t="s">
        <v>406</v>
      </c>
      <c r="C7" t="s">
        <v>394</v>
      </c>
      <c r="D7" t="s">
        <v>395</v>
      </c>
      <c r="E7" t="s">
        <v>396</v>
      </c>
      <c r="F7" t="s">
        <v>416</v>
      </c>
      <c r="G7" t="s">
        <v>398</v>
      </c>
      <c r="H7">
        <v>2</v>
      </c>
      <c r="I7">
        <v>0.7</v>
      </c>
      <c r="J7">
        <v>2.4899999999999944</v>
      </c>
      <c r="K7">
        <v>2.5159999999999885</v>
      </c>
      <c r="L7">
        <v>84.519000000000005</v>
      </c>
      <c r="M7">
        <v>84.328999999999994</v>
      </c>
      <c r="N7" t="s">
        <v>417</v>
      </c>
      <c r="O7" t="s">
        <v>418</v>
      </c>
      <c r="P7" t="s">
        <v>401</v>
      </c>
      <c r="Q7" s="3">
        <v>42808</v>
      </c>
      <c r="R7" s="3">
        <v>46101</v>
      </c>
      <c r="S7" s="4">
        <f t="shared" ca="1" si="1"/>
        <v>10.973305954825461</v>
      </c>
      <c r="T7">
        <f t="shared" si="2"/>
        <v>84.424000000000007</v>
      </c>
      <c r="U7" s="43">
        <v>6</v>
      </c>
      <c r="V7" s="4">
        <f t="shared" ca="1" si="3"/>
        <v>10.5</v>
      </c>
      <c r="W7" s="54">
        <f t="shared" ca="1" si="4"/>
        <v>9</v>
      </c>
      <c r="X7" s="4">
        <f t="shared" ca="1" si="0"/>
        <v>0.73461538461538456</v>
      </c>
      <c r="Y7" s="4">
        <f t="shared" ca="1" si="6"/>
        <v>83.689384615384625</v>
      </c>
      <c r="Z7">
        <f t="shared" si="5"/>
        <v>2.5029999999999912</v>
      </c>
    </row>
    <row r="8" spans="1:26" x14ac:dyDescent="0.35">
      <c r="A8" t="s">
        <v>67</v>
      </c>
      <c r="B8" t="s">
        <v>419</v>
      </c>
      <c r="C8" t="s">
        <v>394</v>
      </c>
      <c r="D8" t="s">
        <v>395</v>
      </c>
      <c r="E8" t="s">
        <v>396</v>
      </c>
      <c r="F8" t="s">
        <v>420</v>
      </c>
      <c r="G8" t="s">
        <v>398</v>
      </c>
      <c r="H8">
        <v>2</v>
      </c>
      <c r="I8">
        <v>0.9</v>
      </c>
      <c r="J8">
        <v>4.6299999999999137</v>
      </c>
      <c r="K8">
        <v>4.689999999999892</v>
      </c>
      <c r="L8">
        <v>52.505000000000003</v>
      </c>
      <c r="M8">
        <v>52.106999999999999</v>
      </c>
      <c r="N8" t="s">
        <v>421</v>
      </c>
      <c r="O8" t="s">
        <v>422</v>
      </c>
      <c r="P8" t="s">
        <v>401</v>
      </c>
      <c r="Q8" s="3">
        <v>42880</v>
      </c>
      <c r="R8" s="3">
        <v>46101</v>
      </c>
      <c r="S8" s="4">
        <f t="shared" ca="1" si="1"/>
        <v>30.973305954825463</v>
      </c>
      <c r="T8">
        <f t="shared" si="2"/>
        <v>52.305999999999997</v>
      </c>
      <c r="U8" s="43">
        <v>7</v>
      </c>
      <c r="V8" s="4">
        <f t="shared" ca="1" si="3"/>
        <v>30.5</v>
      </c>
      <c r="W8" s="54">
        <f t="shared" ca="1" si="4"/>
        <v>9</v>
      </c>
      <c r="X8" s="4">
        <f t="shared" ca="1" si="0"/>
        <v>0.94450549450549459</v>
      </c>
      <c r="Y8" s="4">
        <f t="shared" ca="1" si="6"/>
        <v>51.361494505494505</v>
      </c>
      <c r="Z8">
        <f t="shared" si="5"/>
        <v>4.6599999999999024</v>
      </c>
    </row>
    <row r="9" spans="1:26" x14ac:dyDescent="0.35">
      <c r="A9" t="s">
        <v>68</v>
      </c>
      <c r="B9" t="s">
        <v>393</v>
      </c>
      <c r="C9" t="s">
        <v>394</v>
      </c>
      <c r="D9" t="s">
        <v>395</v>
      </c>
      <c r="E9" t="s">
        <v>396</v>
      </c>
      <c r="F9" t="s">
        <v>423</v>
      </c>
      <c r="G9" t="s">
        <v>398</v>
      </c>
      <c r="H9">
        <v>2</v>
      </c>
      <c r="I9">
        <v>0.1</v>
      </c>
      <c r="J9">
        <v>1.0619999998705669</v>
      </c>
      <c r="K9">
        <v>1.0849999998590174</v>
      </c>
      <c r="L9">
        <v>98.79</v>
      </c>
      <c r="M9">
        <v>98.762</v>
      </c>
      <c r="N9" t="s">
        <v>424</v>
      </c>
      <c r="O9" t="s">
        <v>425</v>
      </c>
      <c r="P9" t="s">
        <v>401</v>
      </c>
      <c r="Q9" s="3">
        <v>42887</v>
      </c>
      <c r="R9" s="3">
        <v>46193</v>
      </c>
      <c r="S9" s="4">
        <f t="shared" ca="1" si="1"/>
        <v>1.2238193018480492</v>
      </c>
      <c r="T9">
        <f t="shared" si="2"/>
        <v>98.77600000000001</v>
      </c>
      <c r="U9" s="43">
        <v>8</v>
      </c>
      <c r="V9" s="4">
        <f t="shared" ca="1" si="3"/>
        <v>1</v>
      </c>
      <c r="W9" s="54">
        <f t="shared" ca="1" si="4"/>
        <v>9</v>
      </c>
      <c r="X9" s="4">
        <f t="shared" ca="1" si="0"/>
        <v>5.4945054945054951E-2</v>
      </c>
      <c r="Y9" s="4">
        <f t="shared" ca="1" si="6"/>
        <v>98.721054945054959</v>
      </c>
      <c r="Z9">
        <f t="shared" si="5"/>
        <v>1.0734999998647923</v>
      </c>
    </row>
    <row r="10" spans="1:26" x14ac:dyDescent="0.35">
      <c r="A10" t="s">
        <v>69</v>
      </c>
      <c r="B10" t="s">
        <v>402</v>
      </c>
      <c r="C10" t="s">
        <v>394</v>
      </c>
      <c r="D10" t="s">
        <v>395</v>
      </c>
      <c r="E10" t="s">
        <v>396</v>
      </c>
      <c r="F10" t="s">
        <v>426</v>
      </c>
      <c r="G10" t="s">
        <v>398</v>
      </c>
      <c r="H10">
        <v>2</v>
      </c>
      <c r="I10">
        <v>0.8</v>
      </c>
      <c r="J10">
        <v>3.8949999999999991</v>
      </c>
      <c r="K10">
        <v>3.9339999999999997</v>
      </c>
      <c r="L10">
        <v>63.993000000000002</v>
      </c>
      <c r="M10">
        <v>63.704000000000001</v>
      </c>
      <c r="N10" t="s">
        <v>427</v>
      </c>
      <c r="O10" t="s">
        <v>428</v>
      </c>
      <c r="P10" t="s">
        <v>401</v>
      </c>
      <c r="Q10" s="3">
        <v>42892</v>
      </c>
      <c r="R10" s="3">
        <v>46193</v>
      </c>
      <c r="S10" s="4">
        <f t="shared" ca="1" si="1"/>
        <v>21.223819301848049</v>
      </c>
      <c r="T10">
        <f t="shared" si="2"/>
        <v>63.848500000000001</v>
      </c>
      <c r="U10" s="43">
        <v>9</v>
      </c>
      <c r="V10" s="4">
        <f t="shared" ca="1" si="3"/>
        <v>21</v>
      </c>
      <c r="W10" s="54">
        <f t="shared" ca="1" si="4"/>
        <v>9</v>
      </c>
      <c r="X10" s="4">
        <f t="shared" ca="1" si="0"/>
        <v>0.43956043956043961</v>
      </c>
      <c r="Y10" s="4">
        <f t="shared" ca="1" si="6"/>
        <v>63.408939560439563</v>
      </c>
      <c r="Z10">
        <f t="shared" si="5"/>
        <v>3.9144999999999994</v>
      </c>
    </row>
    <row r="11" spans="1:26" x14ac:dyDescent="0.35">
      <c r="A11" t="s">
        <v>70</v>
      </c>
      <c r="B11" t="s">
        <v>406</v>
      </c>
      <c r="C11" t="s">
        <v>394</v>
      </c>
      <c r="D11" t="s">
        <v>395</v>
      </c>
      <c r="E11" t="s">
        <v>396</v>
      </c>
      <c r="F11" t="s">
        <v>429</v>
      </c>
      <c r="G11" t="s">
        <v>398</v>
      </c>
      <c r="H11">
        <v>2</v>
      </c>
      <c r="I11">
        <v>0.6</v>
      </c>
      <c r="J11">
        <v>2.5509999999999731</v>
      </c>
      <c r="K11">
        <v>2.5759999999999668</v>
      </c>
      <c r="L11">
        <v>82.917000000000002</v>
      </c>
      <c r="M11">
        <v>82.736000000000004</v>
      </c>
      <c r="N11" t="s">
        <v>430</v>
      </c>
      <c r="O11" t="s">
        <v>431</v>
      </c>
      <c r="P11" t="s">
        <v>401</v>
      </c>
      <c r="Q11" s="3">
        <v>42899</v>
      </c>
      <c r="R11" s="3">
        <v>46193</v>
      </c>
      <c r="S11" s="4">
        <f t="shared" ca="1" si="1"/>
        <v>11.225188227241615</v>
      </c>
      <c r="T11">
        <f t="shared" si="2"/>
        <v>82.82650000000001</v>
      </c>
      <c r="U11" s="43">
        <v>10</v>
      </c>
      <c r="V11" s="4">
        <f t="shared" ca="1" si="3"/>
        <v>11</v>
      </c>
      <c r="W11" s="54">
        <f t="shared" ca="1" si="4"/>
        <v>9</v>
      </c>
      <c r="X11" s="4">
        <f t="shared" ca="1" si="0"/>
        <v>0.32967032967032966</v>
      </c>
      <c r="Y11" s="4">
        <f t="shared" ca="1" si="6"/>
        <v>82.496829670329674</v>
      </c>
      <c r="Z11">
        <f t="shared" si="5"/>
        <v>2.5634999999999701</v>
      </c>
    </row>
    <row r="12" spans="1:26" x14ac:dyDescent="0.35">
      <c r="A12" t="s">
        <v>71</v>
      </c>
      <c r="B12" t="s">
        <v>393</v>
      </c>
      <c r="C12" t="s">
        <v>394</v>
      </c>
      <c r="D12" t="s">
        <v>395</v>
      </c>
      <c r="E12" t="s">
        <v>396</v>
      </c>
      <c r="F12" t="s">
        <v>432</v>
      </c>
      <c r="G12" t="s">
        <v>398</v>
      </c>
      <c r="H12">
        <v>2</v>
      </c>
      <c r="I12">
        <v>0.1</v>
      </c>
      <c r="J12">
        <v>1.1380000000000026</v>
      </c>
      <c r="K12">
        <v>1.161000000000008</v>
      </c>
      <c r="L12">
        <v>98.442999999999998</v>
      </c>
      <c r="M12">
        <v>98.409000000000006</v>
      </c>
      <c r="N12" t="s">
        <v>433</v>
      </c>
      <c r="O12" t="s">
        <v>434</v>
      </c>
      <c r="P12" t="s">
        <v>401</v>
      </c>
      <c r="Q12" s="3">
        <v>42983</v>
      </c>
      <c r="R12" s="3">
        <v>46101</v>
      </c>
      <c r="S12" s="4">
        <f t="shared" ca="1" si="1"/>
        <v>1.4757015742642026</v>
      </c>
      <c r="T12">
        <f t="shared" si="2"/>
        <v>98.426000000000002</v>
      </c>
      <c r="U12" s="43">
        <v>11</v>
      </c>
      <c r="V12" s="4">
        <f t="shared" ca="1" si="3"/>
        <v>1</v>
      </c>
      <c r="W12" s="54">
        <f t="shared" ca="1" si="4"/>
        <v>9</v>
      </c>
      <c r="X12" s="4">
        <f t="shared" ca="1" si="0"/>
        <v>0.10494505494505496</v>
      </c>
      <c r="Y12" s="4">
        <f t="shared" ca="1" si="6"/>
        <v>98.321054945054954</v>
      </c>
      <c r="Z12">
        <f t="shared" si="5"/>
        <v>1.1495000000000053</v>
      </c>
    </row>
    <row r="13" spans="1:26" x14ac:dyDescent="0.35">
      <c r="A13" t="s">
        <v>72</v>
      </c>
      <c r="B13" t="s">
        <v>402</v>
      </c>
      <c r="C13" t="s">
        <v>394</v>
      </c>
      <c r="D13" t="s">
        <v>395</v>
      </c>
      <c r="E13" t="s">
        <v>396</v>
      </c>
      <c r="F13" t="s">
        <v>435</v>
      </c>
      <c r="G13" t="s">
        <v>398</v>
      </c>
      <c r="H13">
        <v>2</v>
      </c>
      <c r="I13">
        <v>0.8</v>
      </c>
      <c r="J13">
        <v>3.9269999999999987</v>
      </c>
      <c r="K13">
        <v>3.9640000000000004</v>
      </c>
      <c r="L13">
        <v>63.523000000000003</v>
      </c>
      <c r="M13">
        <v>63.25</v>
      </c>
      <c r="N13" t="s">
        <v>436</v>
      </c>
      <c r="O13" t="s">
        <v>437</v>
      </c>
      <c r="P13" t="s">
        <v>401</v>
      </c>
      <c r="Q13" s="3">
        <v>42985</v>
      </c>
      <c r="R13" s="3">
        <v>46101</v>
      </c>
      <c r="S13" s="4">
        <f t="shared" ca="1" si="1"/>
        <v>21.475701574264203</v>
      </c>
      <c r="T13">
        <f t="shared" si="2"/>
        <v>63.386499999999998</v>
      </c>
      <c r="U13" s="43">
        <v>12</v>
      </c>
      <c r="V13" s="4">
        <f t="shared" ca="1" si="3"/>
        <v>21</v>
      </c>
      <c r="W13" s="54">
        <f t="shared" ca="1" si="4"/>
        <v>9</v>
      </c>
      <c r="X13" s="4">
        <f t="shared" ca="1" si="0"/>
        <v>0.83956043956043969</v>
      </c>
      <c r="Y13" s="4">
        <f t="shared" ca="1" si="6"/>
        <v>62.546939560439561</v>
      </c>
      <c r="Z13">
        <f t="shared" si="5"/>
        <v>3.9454999999999996</v>
      </c>
    </row>
    <row r="14" spans="1:26" x14ac:dyDescent="0.35">
      <c r="A14" t="s">
        <v>73</v>
      </c>
      <c r="B14" t="s">
        <v>406</v>
      </c>
      <c r="C14" t="s">
        <v>394</v>
      </c>
      <c r="D14" t="s">
        <v>395</v>
      </c>
      <c r="E14" t="s">
        <v>396</v>
      </c>
      <c r="F14" t="s">
        <v>438</v>
      </c>
      <c r="G14" t="s">
        <v>398</v>
      </c>
      <c r="H14">
        <v>2</v>
      </c>
      <c r="I14">
        <v>0.6</v>
      </c>
      <c r="J14">
        <v>2.5839999999999463</v>
      </c>
      <c r="K14">
        <v>2.6099999999999395</v>
      </c>
      <c r="L14">
        <v>82.38</v>
      </c>
      <c r="M14">
        <v>82.19</v>
      </c>
      <c r="N14" t="s">
        <v>439</v>
      </c>
      <c r="O14" t="s">
        <v>440</v>
      </c>
      <c r="P14" t="s">
        <v>401</v>
      </c>
      <c r="Q14" s="3">
        <v>42992</v>
      </c>
      <c r="R14" s="3">
        <v>46101</v>
      </c>
      <c r="S14" s="4">
        <f t="shared" ca="1" si="1"/>
        <v>11.477070499657769</v>
      </c>
      <c r="T14">
        <f t="shared" si="2"/>
        <v>82.284999999999997</v>
      </c>
      <c r="U14" s="43">
        <v>13</v>
      </c>
      <c r="V14" s="4">
        <f t="shared" ca="1" si="3"/>
        <v>11</v>
      </c>
      <c r="W14" s="54">
        <f t="shared" ca="1" si="4"/>
        <v>9</v>
      </c>
      <c r="X14" s="4">
        <f t="shared" ca="1" si="0"/>
        <v>0.62967032967032965</v>
      </c>
      <c r="Y14" s="4">
        <f t="shared" ca="1" si="6"/>
        <v>81.655329670329664</v>
      </c>
      <c r="Z14">
        <f t="shared" si="5"/>
        <v>2.5969999999999427</v>
      </c>
    </row>
    <row r="15" spans="1:26" x14ac:dyDescent="0.35">
      <c r="A15" t="s">
        <v>74</v>
      </c>
      <c r="B15" t="s">
        <v>393</v>
      </c>
      <c r="C15" t="s">
        <v>394</v>
      </c>
      <c r="D15" t="s">
        <v>395</v>
      </c>
      <c r="E15" t="s">
        <v>396</v>
      </c>
      <c r="F15" t="s">
        <v>441</v>
      </c>
      <c r="G15" t="s">
        <v>398</v>
      </c>
      <c r="H15">
        <v>2</v>
      </c>
      <c r="I15">
        <v>0.1</v>
      </c>
      <c r="J15">
        <v>1.1779999999999933</v>
      </c>
      <c r="K15">
        <v>1.2019999999999986</v>
      </c>
      <c r="L15">
        <v>98.125</v>
      </c>
      <c r="M15">
        <v>98.084000000000003</v>
      </c>
      <c r="N15" t="s">
        <v>442</v>
      </c>
      <c r="O15" t="s">
        <v>443</v>
      </c>
      <c r="P15" t="s">
        <v>401</v>
      </c>
      <c r="Q15" s="3">
        <v>43074</v>
      </c>
      <c r="R15" s="3">
        <v>46193</v>
      </c>
      <c r="S15" s="4">
        <f t="shared" ca="1" si="1"/>
        <v>1.7248459958932238</v>
      </c>
      <c r="T15">
        <f t="shared" si="2"/>
        <v>98.104500000000002</v>
      </c>
      <c r="U15" s="43">
        <v>14</v>
      </c>
      <c r="V15" s="4">
        <f t="shared" ca="1" si="3"/>
        <v>1.5</v>
      </c>
      <c r="W15" s="54">
        <f t="shared" ca="1" si="4"/>
        <v>9</v>
      </c>
      <c r="X15" s="4">
        <f t="shared" ca="1" si="0"/>
        <v>5.4945054945054951E-2</v>
      </c>
      <c r="Y15" s="4">
        <f t="shared" ca="1" si="6"/>
        <v>98.04955494505495</v>
      </c>
      <c r="Z15">
        <f t="shared" si="5"/>
        <v>1.1899999999999959</v>
      </c>
    </row>
    <row r="16" spans="1:26" x14ac:dyDescent="0.35">
      <c r="A16" t="s">
        <v>75</v>
      </c>
      <c r="B16" t="s">
        <v>402</v>
      </c>
      <c r="C16" t="s">
        <v>394</v>
      </c>
      <c r="D16" t="s">
        <v>395</v>
      </c>
      <c r="E16" t="s">
        <v>396</v>
      </c>
      <c r="F16" t="s">
        <v>444</v>
      </c>
      <c r="G16" t="s">
        <v>398</v>
      </c>
      <c r="H16">
        <v>2</v>
      </c>
      <c r="I16">
        <v>0.8</v>
      </c>
      <c r="J16">
        <v>3.9580000000000002</v>
      </c>
      <c r="K16">
        <v>3.9970000000000003</v>
      </c>
      <c r="L16">
        <v>63.064999999999998</v>
      </c>
      <c r="M16">
        <v>62.779000000000003</v>
      </c>
      <c r="N16" t="s">
        <v>445</v>
      </c>
      <c r="O16" t="s">
        <v>446</v>
      </c>
      <c r="P16" t="s">
        <v>401</v>
      </c>
      <c r="Q16" s="3">
        <v>43076</v>
      </c>
      <c r="R16" s="3">
        <v>46193</v>
      </c>
      <c r="S16" s="4">
        <f t="shared" ca="1" si="1"/>
        <v>21.724845995893222</v>
      </c>
      <c r="T16">
        <f t="shared" si="2"/>
        <v>62.921999999999997</v>
      </c>
      <c r="U16" s="43">
        <v>15</v>
      </c>
      <c r="V16" s="4">
        <f t="shared" ca="1" si="3"/>
        <v>21.5</v>
      </c>
      <c r="W16" s="54">
        <f t="shared" ca="1" si="4"/>
        <v>9</v>
      </c>
      <c r="X16" s="4">
        <f t="shared" ca="1" si="0"/>
        <v>0.43956043956043961</v>
      </c>
      <c r="Y16" s="4">
        <f t="shared" ca="1" si="6"/>
        <v>62.482439560439559</v>
      </c>
      <c r="Z16">
        <f t="shared" si="5"/>
        <v>3.9775</v>
      </c>
    </row>
    <row r="17" spans="1:26" x14ac:dyDescent="0.35">
      <c r="A17" t="s">
        <v>76</v>
      </c>
      <c r="B17" t="s">
        <v>406</v>
      </c>
      <c r="C17" t="s">
        <v>394</v>
      </c>
      <c r="D17" t="s">
        <v>395</v>
      </c>
      <c r="E17" t="s">
        <v>396</v>
      </c>
      <c r="F17" t="s">
        <v>447</v>
      </c>
      <c r="G17" t="s">
        <v>398</v>
      </c>
      <c r="H17">
        <v>2</v>
      </c>
      <c r="I17">
        <v>0.6</v>
      </c>
      <c r="J17">
        <v>2.6309999999999301</v>
      </c>
      <c r="K17">
        <v>2.6549999999999248</v>
      </c>
      <c r="L17">
        <v>81.741</v>
      </c>
      <c r="M17">
        <v>81.564999999999998</v>
      </c>
      <c r="N17" t="s">
        <v>448</v>
      </c>
      <c r="O17" t="s">
        <v>449</v>
      </c>
      <c r="P17" t="s">
        <v>401</v>
      </c>
      <c r="Q17" s="3">
        <v>43083</v>
      </c>
      <c r="R17" s="3">
        <v>46193</v>
      </c>
      <c r="S17" s="4">
        <f t="shared" ca="1" si="1"/>
        <v>11.72621492128679</v>
      </c>
      <c r="T17">
        <f t="shared" si="2"/>
        <v>81.652999999999992</v>
      </c>
      <c r="U17" s="43">
        <v>16</v>
      </c>
      <c r="V17" s="4">
        <f t="shared" ca="1" si="3"/>
        <v>11.5</v>
      </c>
      <c r="W17" s="54">
        <f t="shared" ca="1" si="4"/>
        <v>9</v>
      </c>
      <c r="X17" s="4">
        <f t="shared" ca="1" si="0"/>
        <v>0.32967032967032966</v>
      </c>
      <c r="Y17" s="4">
        <f t="shared" ca="1" si="6"/>
        <v>81.323329670329656</v>
      </c>
      <c r="Z17">
        <f t="shared" si="5"/>
        <v>2.6429999999999274</v>
      </c>
    </row>
    <row r="18" spans="1:26" x14ac:dyDescent="0.35">
      <c r="A18" t="s">
        <v>77</v>
      </c>
      <c r="B18" t="s">
        <v>393</v>
      </c>
      <c r="C18" t="s">
        <v>394</v>
      </c>
      <c r="D18" t="s">
        <v>395</v>
      </c>
      <c r="E18" t="s">
        <v>396</v>
      </c>
      <c r="F18" t="s">
        <v>450</v>
      </c>
      <c r="G18" t="s">
        <v>398</v>
      </c>
      <c r="H18">
        <v>2</v>
      </c>
      <c r="I18">
        <v>0.1</v>
      </c>
      <c r="J18">
        <v>1.2129999999999999</v>
      </c>
      <c r="K18">
        <v>1.2359999999999975</v>
      </c>
      <c r="L18">
        <v>97.802999999999997</v>
      </c>
      <c r="M18">
        <v>97.759</v>
      </c>
      <c r="N18" t="s">
        <v>451</v>
      </c>
      <c r="O18" t="s">
        <v>452</v>
      </c>
      <c r="P18" t="s">
        <v>401</v>
      </c>
      <c r="Q18" s="3">
        <v>43160</v>
      </c>
      <c r="R18" s="3">
        <v>46101</v>
      </c>
      <c r="S18" s="4">
        <f t="shared" ca="1" si="1"/>
        <v>1.9739904175222451</v>
      </c>
      <c r="T18">
        <f t="shared" si="2"/>
        <v>97.781000000000006</v>
      </c>
      <c r="U18" s="43">
        <v>17</v>
      </c>
      <c r="V18" s="4">
        <f t="shared" ca="1" si="3"/>
        <v>1.5</v>
      </c>
      <c r="W18" s="54">
        <f t="shared" ca="1" si="4"/>
        <v>8</v>
      </c>
      <c r="X18" s="4">
        <f t="shared" ca="1" si="0"/>
        <v>0.10494505494505496</v>
      </c>
      <c r="Y18" s="4">
        <f t="shared" ca="1" si="6"/>
        <v>97.676054945054958</v>
      </c>
      <c r="Z18">
        <f t="shared" si="5"/>
        <v>1.2244999999999986</v>
      </c>
    </row>
    <row r="19" spans="1:26" x14ac:dyDescent="0.35">
      <c r="A19" t="s">
        <v>78</v>
      </c>
      <c r="B19" t="s">
        <v>402</v>
      </c>
      <c r="C19" t="s">
        <v>394</v>
      </c>
      <c r="D19" t="s">
        <v>395</v>
      </c>
      <c r="E19" t="s">
        <v>396</v>
      </c>
      <c r="F19" t="s">
        <v>453</v>
      </c>
      <c r="G19" t="s">
        <v>398</v>
      </c>
      <c r="H19">
        <v>2</v>
      </c>
      <c r="I19">
        <v>0.8</v>
      </c>
      <c r="J19">
        <v>3.9919999999999982</v>
      </c>
      <c r="K19">
        <v>4.0280000000000005</v>
      </c>
      <c r="L19">
        <v>62.591000000000001</v>
      </c>
      <c r="M19">
        <v>62.329000000000001</v>
      </c>
      <c r="N19" t="s">
        <v>454</v>
      </c>
      <c r="O19" t="s">
        <v>455</v>
      </c>
      <c r="P19" t="s">
        <v>401</v>
      </c>
      <c r="Q19" s="3">
        <v>43165</v>
      </c>
      <c r="R19" s="3">
        <v>46101</v>
      </c>
      <c r="S19" s="4">
        <f t="shared" ca="1" si="1"/>
        <v>21.973990417522245</v>
      </c>
      <c r="T19">
        <f t="shared" si="2"/>
        <v>62.46</v>
      </c>
      <c r="U19" s="43">
        <v>18</v>
      </c>
      <c r="V19" s="4">
        <f t="shared" ca="1" si="3"/>
        <v>21.5</v>
      </c>
      <c r="W19" s="54">
        <f t="shared" ca="1" si="4"/>
        <v>8</v>
      </c>
      <c r="X19" s="4">
        <f t="shared" ca="1" si="0"/>
        <v>0.83956043956043969</v>
      </c>
      <c r="Y19" s="4">
        <f t="shared" ca="1" si="6"/>
        <v>61.620439560439564</v>
      </c>
      <c r="Z19">
        <f t="shared" si="5"/>
        <v>4.01</v>
      </c>
    </row>
    <row r="20" spans="1:26" x14ac:dyDescent="0.35">
      <c r="A20" t="s">
        <v>79</v>
      </c>
      <c r="B20" t="s">
        <v>406</v>
      </c>
      <c r="C20" t="s">
        <v>394</v>
      </c>
      <c r="D20" t="s">
        <v>395</v>
      </c>
      <c r="E20" t="s">
        <v>396</v>
      </c>
      <c r="F20" t="s">
        <v>456</v>
      </c>
      <c r="G20" t="s">
        <v>398</v>
      </c>
      <c r="H20">
        <v>2</v>
      </c>
      <c r="I20">
        <v>0.5</v>
      </c>
      <c r="J20">
        <v>2.6879999999997048</v>
      </c>
      <c r="K20">
        <v>2.7129999999996688</v>
      </c>
      <c r="L20">
        <v>80.12</v>
      </c>
      <c r="M20">
        <v>79.938000000000002</v>
      </c>
      <c r="N20" t="s">
        <v>457</v>
      </c>
      <c r="O20" t="s">
        <v>458</v>
      </c>
      <c r="P20" t="s">
        <v>401</v>
      </c>
      <c r="Q20" s="3">
        <v>43174</v>
      </c>
      <c r="R20" s="3">
        <v>46101</v>
      </c>
      <c r="S20" s="4">
        <f t="shared" ca="1" si="1"/>
        <v>11.972621492128679</v>
      </c>
      <c r="T20">
        <f t="shared" si="2"/>
        <v>80.028999999999996</v>
      </c>
      <c r="U20" s="43">
        <v>19</v>
      </c>
      <c r="V20" s="4">
        <f t="shared" ca="1" si="3"/>
        <v>11.5</v>
      </c>
      <c r="W20" s="54">
        <f t="shared" ca="1" si="4"/>
        <v>8</v>
      </c>
      <c r="X20" s="4">
        <f t="shared" ca="1" si="0"/>
        <v>0.52472527472527475</v>
      </c>
      <c r="Y20" s="4">
        <f t="shared" ca="1" si="6"/>
        <v>79.504274725274726</v>
      </c>
      <c r="Z20">
        <f t="shared" si="5"/>
        <v>2.7004999999996868</v>
      </c>
    </row>
    <row r="21" spans="1:26" x14ac:dyDescent="0.35">
      <c r="A21" t="s">
        <v>80</v>
      </c>
      <c r="B21" t="s">
        <v>419</v>
      </c>
      <c r="C21" t="s">
        <v>394</v>
      </c>
      <c r="D21" t="s">
        <v>395</v>
      </c>
      <c r="E21" t="s">
        <v>396</v>
      </c>
      <c r="F21" t="s">
        <v>459</v>
      </c>
      <c r="G21" t="s">
        <v>398</v>
      </c>
      <c r="H21">
        <v>2</v>
      </c>
      <c r="I21">
        <v>0.8</v>
      </c>
      <c r="J21">
        <v>4.7749999999993795</v>
      </c>
      <c r="K21">
        <v>4.8359999999992374</v>
      </c>
      <c r="L21">
        <v>49.668999999999997</v>
      </c>
      <c r="M21">
        <v>49.289000000000001</v>
      </c>
      <c r="N21" t="s">
        <v>460</v>
      </c>
      <c r="O21" t="s">
        <v>461</v>
      </c>
      <c r="P21" t="s">
        <v>401</v>
      </c>
      <c r="Q21" s="3">
        <v>43249</v>
      </c>
      <c r="R21" s="3">
        <v>46101</v>
      </c>
      <c r="S21" s="4">
        <f t="shared" ca="1" si="1"/>
        <v>31.972621492128678</v>
      </c>
      <c r="T21">
        <f t="shared" si="2"/>
        <v>49.478999999999999</v>
      </c>
      <c r="U21" s="43">
        <v>20</v>
      </c>
      <c r="V21" s="4">
        <f t="shared" ca="1" si="3"/>
        <v>31.5</v>
      </c>
      <c r="W21" s="54">
        <f t="shared" ca="1" si="4"/>
        <v>8</v>
      </c>
      <c r="X21" s="4">
        <f t="shared" ca="1" si="0"/>
        <v>0.83956043956043969</v>
      </c>
      <c r="Y21" s="4">
        <f t="shared" ca="1" si="6"/>
        <v>48.639439560439563</v>
      </c>
      <c r="Z21">
        <f t="shared" si="5"/>
        <v>4.8054999999993084</v>
      </c>
    </row>
    <row r="22" spans="1:26" x14ac:dyDescent="0.35">
      <c r="A22" t="s">
        <v>81</v>
      </c>
      <c r="B22" t="s">
        <v>393</v>
      </c>
      <c r="C22" t="s">
        <v>394</v>
      </c>
      <c r="D22" t="s">
        <v>395</v>
      </c>
      <c r="E22" t="s">
        <v>396</v>
      </c>
      <c r="F22" t="s">
        <v>462</v>
      </c>
      <c r="G22" t="s">
        <v>398</v>
      </c>
      <c r="H22">
        <v>2</v>
      </c>
      <c r="I22">
        <v>0.1</v>
      </c>
      <c r="J22">
        <v>1.2409999999999946</v>
      </c>
      <c r="K22">
        <v>1.2620000000000002</v>
      </c>
      <c r="L22">
        <v>97.475999999999999</v>
      </c>
      <c r="M22">
        <v>97.430999999999997</v>
      </c>
      <c r="N22" t="s">
        <v>463</v>
      </c>
      <c r="O22" t="s">
        <v>464</v>
      </c>
      <c r="P22" t="s">
        <v>401</v>
      </c>
      <c r="Q22" s="3">
        <v>43284</v>
      </c>
      <c r="R22" s="3">
        <v>46193</v>
      </c>
      <c r="S22" s="4">
        <f t="shared" ca="1" si="1"/>
        <v>2.2258726899383983</v>
      </c>
      <c r="T22">
        <f t="shared" si="2"/>
        <v>97.453499999999991</v>
      </c>
      <c r="U22" s="43">
        <v>21</v>
      </c>
      <c r="V22" s="4">
        <f t="shared" ca="1" si="3"/>
        <v>2</v>
      </c>
      <c r="W22" s="54">
        <f t="shared" ca="1" si="4"/>
        <v>8</v>
      </c>
      <c r="X22" s="4">
        <f t="shared" ca="1" si="0"/>
        <v>5.4945054945054951E-2</v>
      </c>
      <c r="Y22" s="4">
        <f t="shared" ca="1" si="6"/>
        <v>97.39855494505494</v>
      </c>
      <c r="Z22">
        <f t="shared" si="5"/>
        <v>1.2514999999999974</v>
      </c>
    </row>
    <row r="23" spans="1:26" x14ac:dyDescent="0.35">
      <c r="A23" t="s">
        <v>82</v>
      </c>
      <c r="B23" t="s">
        <v>402</v>
      </c>
      <c r="C23" t="s">
        <v>394</v>
      </c>
      <c r="D23" t="s">
        <v>395</v>
      </c>
      <c r="E23" t="s">
        <v>396</v>
      </c>
      <c r="F23" t="s">
        <v>465</v>
      </c>
      <c r="G23" t="s">
        <v>398</v>
      </c>
      <c r="H23">
        <v>2</v>
      </c>
      <c r="I23">
        <v>0.7</v>
      </c>
      <c r="J23">
        <v>4.0789999999999953</v>
      </c>
      <c r="K23">
        <v>4.1149999999999967</v>
      </c>
      <c r="L23">
        <v>60.564999999999998</v>
      </c>
      <c r="M23">
        <v>60.311</v>
      </c>
      <c r="N23" t="s">
        <v>466</v>
      </c>
      <c r="O23" t="s">
        <v>467</v>
      </c>
      <c r="P23" t="s">
        <v>401</v>
      </c>
      <c r="Q23" s="3">
        <v>43286</v>
      </c>
      <c r="R23" s="3">
        <v>46193</v>
      </c>
      <c r="S23" s="4">
        <f t="shared" ca="1" si="1"/>
        <v>22.225872689938399</v>
      </c>
      <c r="T23">
        <f t="shared" si="2"/>
        <v>60.438000000000002</v>
      </c>
      <c r="U23" s="43">
        <v>22</v>
      </c>
      <c r="V23" s="4">
        <f t="shared" ca="1" si="3"/>
        <v>22</v>
      </c>
      <c r="W23" s="54">
        <f t="shared" ca="1" si="4"/>
        <v>8</v>
      </c>
      <c r="X23" s="4">
        <f t="shared" ca="1" si="0"/>
        <v>0.38461538461538464</v>
      </c>
      <c r="Y23" s="4">
        <f t="shared" ca="1" si="6"/>
        <v>60.053384615384616</v>
      </c>
      <c r="Z23">
        <f t="shared" si="5"/>
        <v>4.096999999999996</v>
      </c>
    </row>
    <row r="24" spans="1:26" x14ac:dyDescent="0.35">
      <c r="A24" t="s">
        <v>83</v>
      </c>
      <c r="B24" t="s">
        <v>406</v>
      </c>
      <c r="C24" t="s">
        <v>394</v>
      </c>
      <c r="D24" t="s">
        <v>395</v>
      </c>
      <c r="E24" t="s">
        <v>396</v>
      </c>
      <c r="F24" t="s">
        <v>468</v>
      </c>
      <c r="G24" t="s">
        <v>398</v>
      </c>
      <c r="H24">
        <v>2</v>
      </c>
      <c r="I24">
        <v>0.5</v>
      </c>
      <c r="J24">
        <v>2.7289999999996502</v>
      </c>
      <c r="K24">
        <v>2.7549999999996064</v>
      </c>
      <c r="L24">
        <v>79.504999999999995</v>
      </c>
      <c r="M24">
        <v>79.316000000000003</v>
      </c>
      <c r="N24" t="s">
        <v>469</v>
      </c>
      <c r="O24" t="s">
        <v>470</v>
      </c>
      <c r="P24" t="s">
        <v>401</v>
      </c>
      <c r="Q24" s="3">
        <v>43293</v>
      </c>
      <c r="R24" s="3">
        <v>46193</v>
      </c>
      <c r="S24" s="4">
        <f t="shared" ca="1" si="1"/>
        <v>12.224503764544833</v>
      </c>
      <c r="T24">
        <f t="shared" si="2"/>
        <v>79.410499999999999</v>
      </c>
      <c r="U24" s="43">
        <v>23</v>
      </c>
      <c r="V24" s="4">
        <f t="shared" ca="1" si="3"/>
        <v>12</v>
      </c>
      <c r="W24" s="54">
        <f t="shared" ca="1" si="4"/>
        <v>8</v>
      </c>
      <c r="X24" s="4">
        <f t="shared" ca="1" si="0"/>
        <v>0.27472527472527475</v>
      </c>
      <c r="Y24" s="4">
        <f t="shared" ca="1" si="6"/>
        <v>79.135774725274729</v>
      </c>
      <c r="Z24">
        <f t="shared" si="5"/>
        <v>2.7419999999996283</v>
      </c>
    </row>
    <row r="25" spans="1:26" x14ac:dyDescent="0.35">
      <c r="A25" t="s">
        <v>84</v>
      </c>
      <c r="B25" t="s">
        <v>393</v>
      </c>
      <c r="C25" t="s">
        <v>394</v>
      </c>
      <c r="D25" t="s">
        <v>395</v>
      </c>
      <c r="E25" t="s">
        <v>396</v>
      </c>
      <c r="F25" t="s">
        <v>471</v>
      </c>
      <c r="G25" t="s">
        <v>398</v>
      </c>
      <c r="H25">
        <v>2</v>
      </c>
      <c r="I25">
        <v>0.1</v>
      </c>
      <c r="J25">
        <v>1.271999999999962</v>
      </c>
      <c r="K25">
        <v>1.2949999999999675</v>
      </c>
      <c r="L25">
        <v>97.131</v>
      </c>
      <c r="M25">
        <v>97.076999999999998</v>
      </c>
      <c r="N25" t="s">
        <v>472</v>
      </c>
      <c r="O25" t="s">
        <v>473</v>
      </c>
      <c r="P25" t="s">
        <v>401</v>
      </c>
      <c r="Q25" s="3">
        <v>43375</v>
      </c>
      <c r="R25" s="3">
        <v>46101</v>
      </c>
      <c r="S25" s="4">
        <f t="shared" ca="1" si="1"/>
        <v>2.4777549623545516</v>
      </c>
      <c r="T25">
        <f t="shared" si="2"/>
        <v>97.103999999999999</v>
      </c>
      <c r="U25" s="43">
        <v>24</v>
      </c>
      <c r="V25" s="4">
        <f t="shared" ca="1" si="3"/>
        <v>2</v>
      </c>
      <c r="W25" s="54">
        <f t="shared" ca="1" si="4"/>
        <v>8</v>
      </c>
      <c r="X25" s="4">
        <f t="shared" ca="1" si="0"/>
        <v>0.10494505494505496</v>
      </c>
      <c r="Y25" s="4">
        <f t="shared" ca="1" si="6"/>
        <v>96.999054945054951</v>
      </c>
      <c r="Z25">
        <f t="shared" si="5"/>
        <v>1.2834999999999648</v>
      </c>
    </row>
    <row r="26" spans="1:26" x14ac:dyDescent="0.35">
      <c r="A26" t="s">
        <v>85</v>
      </c>
      <c r="B26" t="s">
        <v>402</v>
      </c>
      <c r="C26" t="s">
        <v>394</v>
      </c>
      <c r="D26" t="s">
        <v>395</v>
      </c>
      <c r="E26" t="s">
        <v>396</v>
      </c>
      <c r="F26" t="s">
        <v>474</v>
      </c>
      <c r="G26" t="s">
        <v>398</v>
      </c>
      <c r="H26">
        <v>2</v>
      </c>
      <c r="I26">
        <v>0.9</v>
      </c>
      <c r="J26">
        <v>3.9990000000000006</v>
      </c>
      <c r="K26">
        <v>4.0340000000000007</v>
      </c>
      <c r="L26">
        <v>63.274000000000001</v>
      </c>
      <c r="M26">
        <v>63.012999999999998</v>
      </c>
      <c r="N26" t="s">
        <v>475</v>
      </c>
      <c r="O26" t="s">
        <v>476</v>
      </c>
      <c r="P26" t="s">
        <v>401</v>
      </c>
      <c r="Q26" s="3">
        <v>43384</v>
      </c>
      <c r="R26" s="3">
        <v>46101</v>
      </c>
      <c r="S26" s="4">
        <f t="shared" ca="1" si="1"/>
        <v>22.477754962354553</v>
      </c>
      <c r="T26">
        <f t="shared" si="2"/>
        <v>63.143500000000003</v>
      </c>
      <c r="U26" s="43">
        <v>25</v>
      </c>
      <c r="V26" s="4">
        <f t="shared" ca="1" si="3"/>
        <v>22</v>
      </c>
      <c r="W26" s="54">
        <f t="shared" ca="1" si="4"/>
        <v>8</v>
      </c>
      <c r="X26" s="4">
        <f t="shared" ca="1" si="0"/>
        <v>0.94450549450549459</v>
      </c>
      <c r="Y26" s="4">
        <f t="shared" ca="1" si="6"/>
        <v>62.198994505494511</v>
      </c>
      <c r="Z26">
        <f t="shared" si="5"/>
        <v>4.0165000000000006</v>
      </c>
    </row>
    <row r="27" spans="1:26" x14ac:dyDescent="0.35">
      <c r="A27" t="s">
        <v>86</v>
      </c>
      <c r="B27" t="s">
        <v>406</v>
      </c>
      <c r="C27" t="s">
        <v>394</v>
      </c>
      <c r="D27" t="s">
        <v>395</v>
      </c>
      <c r="E27" t="s">
        <v>396</v>
      </c>
      <c r="F27" t="s">
        <v>477</v>
      </c>
      <c r="G27" t="s">
        <v>398</v>
      </c>
      <c r="H27">
        <v>2</v>
      </c>
      <c r="I27">
        <v>0.7</v>
      </c>
      <c r="J27">
        <v>2.737999999999873</v>
      </c>
      <c r="K27">
        <v>2.7629999999998556</v>
      </c>
      <c r="L27">
        <v>80.991</v>
      </c>
      <c r="M27">
        <v>80.802000000000007</v>
      </c>
      <c r="N27" t="s">
        <v>478</v>
      </c>
      <c r="O27" t="s">
        <v>479</v>
      </c>
      <c r="P27" t="s">
        <v>401</v>
      </c>
      <c r="Q27" s="3">
        <v>43391</v>
      </c>
      <c r="R27" s="3">
        <v>46101</v>
      </c>
      <c r="S27" s="4">
        <f t="shared" ca="1" si="1"/>
        <v>12.476386036960985</v>
      </c>
      <c r="T27">
        <f t="shared" si="2"/>
        <v>80.896500000000003</v>
      </c>
      <c r="U27" s="43">
        <v>26</v>
      </c>
      <c r="V27" s="4">
        <f t="shared" ca="1" si="3"/>
        <v>12</v>
      </c>
      <c r="W27" s="54">
        <f t="shared" ca="1" si="4"/>
        <v>8</v>
      </c>
      <c r="X27" s="4">
        <f t="shared" ca="1" si="0"/>
        <v>0.73461538461538456</v>
      </c>
      <c r="Y27" s="4">
        <f t="shared" ca="1" si="6"/>
        <v>80.161884615384622</v>
      </c>
      <c r="Z27">
        <f t="shared" si="5"/>
        <v>2.7504999999998643</v>
      </c>
    </row>
    <row r="28" spans="1:26" x14ac:dyDescent="0.35">
      <c r="A28" t="s">
        <v>87</v>
      </c>
      <c r="B28" t="s">
        <v>393</v>
      </c>
      <c r="C28" t="s">
        <v>394</v>
      </c>
      <c r="D28" t="s">
        <v>395</v>
      </c>
      <c r="E28" t="s">
        <v>396</v>
      </c>
      <c r="F28" t="s">
        <v>480</v>
      </c>
      <c r="G28" t="s">
        <v>398</v>
      </c>
      <c r="H28">
        <v>2</v>
      </c>
      <c r="I28">
        <v>0.1</v>
      </c>
      <c r="J28">
        <v>1.3219999999999656</v>
      </c>
      <c r="K28">
        <v>1.3439999999999634</v>
      </c>
      <c r="L28">
        <v>96.727999999999994</v>
      </c>
      <c r="M28">
        <v>96.671000000000006</v>
      </c>
      <c r="N28" t="s">
        <v>481</v>
      </c>
      <c r="O28" t="s">
        <v>482</v>
      </c>
      <c r="P28" t="s">
        <v>401</v>
      </c>
      <c r="Q28" s="3">
        <v>43473</v>
      </c>
      <c r="R28" s="3">
        <v>46193</v>
      </c>
      <c r="S28" s="4">
        <f t="shared" ca="1" si="1"/>
        <v>2.7268993839835729</v>
      </c>
      <c r="T28">
        <f t="shared" si="2"/>
        <v>96.6995</v>
      </c>
      <c r="U28" s="43">
        <v>27</v>
      </c>
      <c r="V28" s="4">
        <f t="shared" ca="1" si="3"/>
        <v>2.5</v>
      </c>
      <c r="W28" s="54">
        <f t="shared" ca="1" si="4"/>
        <v>7</v>
      </c>
      <c r="X28" s="4">
        <f t="shared" ca="1" si="0"/>
        <v>5.4945054945054951E-2</v>
      </c>
      <c r="Y28" s="4">
        <f t="shared" ca="1" si="6"/>
        <v>96.644554945054949</v>
      </c>
      <c r="Z28">
        <f t="shared" si="5"/>
        <v>1.3329999999999647</v>
      </c>
    </row>
    <row r="29" spans="1:26" x14ac:dyDescent="0.35">
      <c r="A29" t="s">
        <v>88</v>
      </c>
      <c r="B29" t="s">
        <v>402</v>
      </c>
      <c r="C29" t="s">
        <v>394</v>
      </c>
      <c r="D29" t="s">
        <v>395</v>
      </c>
      <c r="E29" t="s">
        <v>396</v>
      </c>
      <c r="F29" t="s">
        <v>483</v>
      </c>
      <c r="G29" t="s">
        <v>398</v>
      </c>
      <c r="H29">
        <v>2</v>
      </c>
      <c r="I29">
        <v>0.7</v>
      </c>
      <c r="J29">
        <v>4.1459999999999937</v>
      </c>
      <c r="K29">
        <v>4.1819999999999951</v>
      </c>
      <c r="L29">
        <v>59.633000000000003</v>
      </c>
      <c r="M29">
        <v>59.381999999999998</v>
      </c>
      <c r="N29" t="s">
        <v>484</v>
      </c>
      <c r="O29" t="s">
        <v>485</v>
      </c>
      <c r="P29" t="s">
        <v>401</v>
      </c>
      <c r="Q29" s="3">
        <v>43475</v>
      </c>
      <c r="R29" s="3">
        <v>46193</v>
      </c>
      <c r="S29" s="4">
        <f t="shared" ca="1" si="1"/>
        <v>22.726899383983572</v>
      </c>
      <c r="T29">
        <f t="shared" si="2"/>
        <v>59.5075</v>
      </c>
      <c r="U29" s="43">
        <v>28</v>
      </c>
      <c r="V29" s="4">
        <f t="shared" ca="1" si="3"/>
        <v>22.5</v>
      </c>
      <c r="W29" s="54">
        <f t="shared" ca="1" si="4"/>
        <v>7</v>
      </c>
      <c r="X29" s="4">
        <f t="shared" ca="1" si="0"/>
        <v>0.38461538461538464</v>
      </c>
      <c r="Y29" s="4">
        <f t="shared" ca="1" si="6"/>
        <v>59.122884615384613</v>
      </c>
      <c r="Z29">
        <f t="shared" si="5"/>
        <v>4.1639999999999944</v>
      </c>
    </row>
    <row r="30" spans="1:26" x14ac:dyDescent="0.35">
      <c r="A30" t="s">
        <v>89</v>
      </c>
      <c r="B30" t="s">
        <v>406</v>
      </c>
      <c r="C30" t="s">
        <v>394</v>
      </c>
      <c r="D30" t="s">
        <v>395</v>
      </c>
      <c r="E30" t="s">
        <v>396</v>
      </c>
      <c r="F30" t="s">
        <v>486</v>
      </c>
      <c r="G30" t="s">
        <v>398</v>
      </c>
      <c r="H30">
        <v>2</v>
      </c>
      <c r="I30">
        <v>0.5</v>
      </c>
      <c r="J30">
        <v>2.811999999999228</v>
      </c>
      <c r="K30">
        <v>2.8369999999991373</v>
      </c>
      <c r="L30">
        <v>78.269000000000005</v>
      </c>
      <c r="M30">
        <v>78.085999999999999</v>
      </c>
      <c r="N30" t="s">
        <v>487</v>
      </c>
      <c r="O30" t="s">
        <v>488</v>
      </c>
      <c r="P30" t="s">
        <v>401</v>
      </c>
      <c r="Q30" s="3">
        <v>43489</v>
      </c>
      <c r="R30" s="3">
        <v>46193</v>
      </c>
      <c r="S30" s="4">
        <f t="shared" ca="1" si="1"/>
        <v>12.725530458590006</v>
      </c>
      <c r="T30">
        <f t="shared" si="2"/>
        <v>78.177500000000009</v>
      </c>
      <c r="U30" s="43">
        <v>29</v>
      </c>
      <c r="V30" s="4">
        <f t="shared" ca="1" si="3"/>
        <v>12.5</v>
      </c>
      <c r="W30" s="54">
        <f t="shared" ca="1" si="4"/>
        <v>7</v>
      </c>
      <c r="X30" s="4">
        <f t="shared" ca="1" si="0"/>
        <v>0.27472527472527475</v>
      </c>
      <c r="Y30" s="4">
        <f t="shared" ca="1" si="6"/>
        <v>77.902774725274739</v>
      </c>
      <c r="Z30">
        <f t="shared" si="5"/>
        <v>2.8244999999991824</v>
      </c>
    </row>
    <row r="31" spans="1:26" x14ac:dyDescent="0.35">
      <c r="A31" t="s">
        <v>90</v>
      </c>
      <c r="B31" t="s">
        <v>393</v>
      </c>
      <c r="C31" t="s">
        <v>394</v>
      </c>
      <c r="D31" t="s">
        <v>395</v>
      </c>
      <c r="E31" t="s">
        <v>396</v>
      </c>
      <c r="F31" t="s">
        <v>489</v>
      </c>
      <c r="G31" t="s">
        <v>398</v>
      </c>
      <c r="H31">
        <v>2</v>
      </c>
      <c r="I31">
        <v>0.1</v>
      </c>
      <c r="J31">
        <v>1.3659999999997967</v>
      </c>
      <c r="K31">
        <v>1.387999999999769</v>
      </c>
      <c r="L31">
        <v>96.325000000000003</v>
      </c>
      <c r="M31">
        <v>96.263999999999996</v>
      </c>
      <c r="N31" t="s">
        <v>490</v>
      </c>
      <c r="O31" t="s">
        <v>491</v>
      </c>
      <c r="P31" t="s">
        <v>401</v>
      </c>
      <c r="Q31" s="3">
        <v>43557</v>
      </c>
      <c r="R31" s="3">
        <v>46101</v>
      </c>
      <c r="S31" s="4">
        <f t="shared" ca="1" si="1"/>
        <v>2.9733059548254621</v>
      </c>
      <c r="T31">
        <f t="shared" si="2"/>
        <v>96.294499999999999</v>
      </c>
      <c r="U31" s="43">
        <v>30</v>
      </c>
      <c r="V31" s="4">
        <f t="shared" ca="1" si="3"/>
        <v>2.5</v>
      </c>
      <c r="W31" s="54">
        <f t="shared" ca="1" si="4"/>
        <v>7</v>
      </c>
      <c r="X31" s="4">
        <f t="shared" ca="1" si="0"/>
        <v>0.10494505494505496</v>
      </c>
      <c r="Y31" s="4">
        <f t="shared" ca="1" si="6"/>
        <v>96.189554945054951</v>
      </c>
      <c r="Z31">
        <f t="shared" si="5"/>
        <v>1.3769999999997828</v>
      </c>
    </row>
    <row r="32" spans="1:26" x14ac:dyDescent="0.35">
      <c r="A32" t="s">
        <v>91</v>
      </c>
      <c r="B32" t="s">
        <v>393</v>
      </c>
      <c r="C32" t="s">
        <v>394</v>
      </c>
      <c r="D32" t="s">
        <v>395</v>
      </c>
      <c r="E32" t="s">
        <v>396</v>
      </c>
      <c r="F32" t="s">
        <v>492</v>
      </c>
      <c r="G32" t="s">
        <v>398</v>
      </c>
      <c r="H32">
        <v>2</v>
      </c>
      <c r="I32">
        <v>0.1</v>
      </c>
      <c r="J32">
        <v>1.4159999999997692</v>
      </c>
      <c r="K32">
        <v>1.439999999999745</v>
      </c>
      <c r="L32">
        <v>95.882000000000005</v>
      </c>
      <c r="M32">
        <v>95.81</v>
      </c>
      <c r="N32" t="s">
        <v>493</v>
      </c>
      <c r="O32" t="s">
        <v>494</v>
      </c>
      <c r="P32" t="s">
        <v>401</v>
      </c>
      <c r="Q32" s="3">
        <v>43648</v>
      </c>
      <c r="R32" s="3">
        <v>46193</v>
      </c>
      <c r="S32" s="4">
        <f t="shared" ca="1" si="1"/>
        <v>3.2251882272416155</v>
      </c>
      <c r="T32">
        <f t="shared" si="2"/>
        <v>95.846000000000004</v>
      </c>
      <c r="U32" s="43">
        <v>31</v>
      </c>
      <c r="V32" s="4">
        <f t="shared" ca="1" si="3"/>
        <v>3</v>
      </c>
      <c r="W32" s="54">
        <f t="shared" ca="1" si="4"/>
        <v>7</v>
      </c>
      <c r="X32" s="4">
        <f t="shared" ca="1" si="0"/>
        <v>5.4945054945054951E-2</v>
      </c>
      <c r="Y32" s="4">
        <f t="shared" ca="1" si="6"/>
        <v>95.791054945054952</v>
      </c>
      <c r="Z32">
        <f t="shared" si="5"/>
        <v>1.427999999999757</v>
      </c>
    </row>
    <row r="33" spans="1:26" x14ac:dyDescent="0.35">
      <c r="A33" t="s">
        <v>92</v>
      </c>
      <c r="B33" t="s">
        <v>402</v>
      </c>
      <c r="C33" t="s">
        <v>394</v>
      </c>
      <c r="D33" t="s">
        <v>395</v>
      </c>
      <c r="E33" t="s">
        <v>396</v>
      </c>
      <c r="F33" t="s">
        <v>495</v>
      </c>
      <c r="G33" t="s">
        <v>398</v>
      </c>
      <c r="H33">
        <v>2</v>
      </c>
      <c r="I33">
        <v>0.4</v>
      </c>
      <c r="J33">
        <v>4.4309999999993606</v>
      </c>
      <c r="K33">
        <v>4.4689999999992649</v>
      </c>
      <c r="L33">
        <v>53.813000000000002</v>
      </c>
      <c r="M33">
        <v>53.58</v>
      </c>
      <c r="N33" t="s">
        <v>496</v>
      </c>
      <c r="O33" t="s">
        <v>497</v>
      </c>
      <c r="P33" t="s">
        <v>401</v>
      </c>
      <c r="Q33" s="3">
        <v>43650</v>
      </c>
      <c r="R33" s="3">
        <v>46193</v>
      </c>
      <c r="S33" s="4">
        <f t="shared" ca="1" si="1"/>
        <v>23.225188227241617</v>
      </c>
      <c r="T33">
        <f t="shared" si="2"/>
        <v>53.6965</v>
      </c>
      <c r="U33" s="43">
        <v>32</v>
      </c>
      <c r="V33" s="4">
        <f t="shared" ca="1" si="3"/>
        <v>23</v>
      </c>
      <c r="W33" s="54">
        <f t="shared" ca="1" si="4"/>
        <v>7</v>
      </c>
      <c r="X33" s="4">
        <f t="shared" ca="1" si="0"/>
        <v>0.2197802197802198</v>
      </c>
      <c r="Y33" s="4">
        <f t="shared" ca="1" si="6"/>
        <v>53.476719780219781</v>
      </c>
      <c r="Z33">
        <f t="shared" si="5"/>
        <v>4.4499999999993127</v>
      </c>
    </row>
    <row r="34" spans="1:26" x14ac:dyDescent="0.35">
      <c r="A34" t="s">
        <v>93</v>
      </c>
      <c r="B34" t="s">
        <v>406</v>
      </c>
      <c r="C34" t="s">
        <v>394</v>
      </c>
      <c r="D34" t="s">
        <v>395</v>
      </c>
      <c r="E34" t="s">
        <v>396</v>
      </c>
      <c r="F34" t="s">
        <v>498</v>
      </c>
      <c r="G34" t="s">
        <v>398</v>
      </c>
      <c r="H34">
        <v>2</v>
      </c>
      <c r="I34">
        <v>0.3</v>
      </c>
      <c r="J34">
        <v>2.9409999999920133</v>
      </c>
      <c r="K34">
        <v>2.965999999991189</v>
      </c>
      <c r="L34">
        <v>74.786000000000001</v>
      </c>
      <c r="M34">
        <v>74.608000000000004</v>
      </c>
      <c r="N34" t="s">
        <v>499</v>
      </c>
      <c r="O34" t="s">
        <v>500</v>
      </c>
      <c r="P34" t="s">
        <v>401</v>
      </c>
      <c r="Q34" s="3">
        <v>43663</v>
      </c>
      <c r="R34" s="3">
        <v>46193</v>
      </c>
      <c r="S34" s="4">
        <f t="shared" ca="1" si="1"/>
        <v>13.223819301848049</v>
      </c>
      <c r="T34">
        <f t="shared" si="2"/>
        <v>74.697000000000003</v>
      </c>
      <c r="U34" s="43">
        <v>33</v>
      </c>
      <c r="V34" s="4">
        <f t="shared" ca="1" si="3"/>
        <v>13</v>
      </c>
      <c r="W34" s="54">
        <f t="shared" ca="1" si="4"/>
        <v>7</v>
      </c>
      <c r="X34" s="4">
        <f t="shared" ca="1" si="0"/>
        <v>0.16483516483516483</v>
      </c>
      <c r="Y34" s="4">
        <f t="shared" ca="1" si="6"/>
        <v>74.532164835164835</v>
      </c>
      <c r="Z34">
        <f t="shared" si="5"/>
        <v>2.9534999999916014</v>
      </c>
    </row>
    <row r="35" spans="1:26" x14ac:dyDescent="0.35">
      <c r="A35" t="s">
        <v>94</v>
      </c>
      <c r="B35" t="s">
        <v>393</v>
      </c>
      <c r="C35" t="s">
        <v>394</v>
      </c>
      <c r="D35" t="s">
        <v>395</v>
      </c>
      <c r="E35" t="s">
        <v>396</v>
      </c>
      <c r="F35" t="s">
        <v>501</v>
      </c>
      <c r="G35" t="s">
        <v>398</v>
      </c>
      <c r="H35">
        <v>2</v>
      </c>
      <c r="I35">
        <v>0.1</v>
      </c>
      <c r="J35">
        <v>1.5469999999964401</v>
      </c>
      <c r="K35">
        <v>1.5669999999961144</v>
      </c>
      <c r="L35">
        <v>94.521000000000001</v>
      </c>
      <c r="M35">
        <v>94.448999999999998</v>
      </c>
      <c r="N35" t="s">
        <v>502</v>
      </c>
      <c r="O35" t="s">
        <v>503</v>
      </c>
      <c r="P35" t="s">
        <v>401</v>
      </c>
      <c r="Q35" s="3">
        <v>43916</v>
      </c>
      <c r="R35" s="3">
        <v>46101</v>
      </c>
      <c r="S35" s="4">
        <f t="shared" ca="1" si="1"/>
        <v>3.9726214921286789</v>
      </c>
      <c r="T35">
        <f t="shared" si="2"/>
        <v>94.484999999999999</v>
      </c>
      <c r="U35" s="43">
        <v>34</v>
      </c>
      <c r="V35" s="4">
        <f t="shared" ca="1" si="3"/>
        <v>3.5</v>
      </c>
      <c r="W35" s="54">
        <f t="shared" ca="1" si="4"/>
        <v>6</v>
      </c>
      <c r="X35" s="4">
        <f t="shared" ca="1" si="0"/>
        <v>0.10494505494505496</v>
      </c>
      <c r="Y35" s="4">
        <f t="shared" ca="1" si="6"/>
        <v>94.380054945054951</v>
      </c>
      <c r="Z35">
        <f t="shared" si="5"/>
        <v>1.5569999999962771</v>
      </c>
    </row>
    <row r="36" spans="1:26" x14ac:dyDescent="0.35">
      <c r="A36" t="s">
        <v>95</v>
      </c>
      <c r="B36" t="s">
        <v>402</v>
      </c>
      <c r="C36" t="s">
        <v>394</v>
      </c>
      <c r="D36" t="s">
        <v>395</v>
      </c>
      <c r="E36" t="s">
        <v>396</v>
      </c>
      <c r="F36" t="s">
        <v>504</v>
      </c>
      <c r="G36" t="s">
        <v>398</v>
      </c>
      <c r="H36">
        <v>2</v>
      </c>
      <c r="I36">
        <v>0.4</v>
      </c>
      <c r="J36">
        <v>4.5589999999982993</v>
      </c>
      <c r="K36">
        <v>4.5979999999980539</v>
      </c>
      <c r="L36">
        <v>52.314999999999998</v>
      </c>
      <c r="M36">
        <v>52.082000000000001</v>
      </c>
      <c r="N36" t="s">
        <v>505</v>
      </c>
      <c r="O36" t="s">
        <v>506</v>
      </c>
      <c r="P36" t="s">
        <v>401</v>
      </c>
      <c r="Q36" s="3">
        <v>43921</v>
      </c>
      <c r="R36" s="3">
        <v>46101</v>
      </c>
      <c r="S36" s="4">
        <f t="shared" ca="1" si="1"/>
        <v>23.972621492128678</v>
      </c>
      <c r="T36">
        <f t="shared" si="2"/>
        <v>52.198499999999996</v>
      </c>
      <c r="U36" s="43">
        <v>35</v>
      </c>
      <c r="V36" s="4">
        <f t="shared" ca="1" si="3"/>
        <v>23.5</v>
      </c>
      <c r="W36" s="54">
        <f t="shared" ca="1" si="4"/>
        <v>6</v>
      </c>
      <c r="X36" s="4">
        <f t="shared" ca="1" si="0"/>
        <v>0.41978021978021984</v>
      </c>
      <c r="Y36" s="4">
        <f t="shared" ca="1" si="6"/>
        <v>51.778719780219774</v>
      </c>
      <c r="Z36">
        <f t="shared" si="5"/>
        <v>4.5784999999981766</v>
      </c>
    </row>
    <row r="37" spans="1:26" x14ac:dyDescent="0.35">
      <c r="A37" t="s">
        <v>96</v>
      </c>
      <c r="B37" t="s">
        <v>406</v>
      </c>
      <c r="C37" t="s">
        <v>394</v>
      </c>
      <c r="D37" t="s">
        <v>395</v>
      </c>
      <c r="E37" t="s">
        <v>396</v>
      </c>
      <c r="F37" t="s">
        <v>507</v>
      </c>
      <c r="G37" t="s">
        <v>398</v>
      </c>
      <c r="H37">
        <v>2</v>
      </c>
      <c r="I37">
        <v>0.4</v>
      </c>
      <c r="J37">
        <v>3.0449999999871498</v>
      </c>
      <c r="K37">
        <v>3.070999999985784</v>
      </c>
      <c r="L37">
        <v>74.009</v>
      </c>
      <c r="M37">
        <v>73.819999999999993</v>
      </c>
      <c r="N37" t="s">
        <v>508</v>
      </c>
      <c r="O37" t="s">
        <v>509</v>
      </c>
      <c r="P37" t="s">
        <v>401</v>
      </c>
      <c r="Q37" s="3">
        <v>43935</v>
      </c>
      <c r="R37" s="3">
        <v>46101</v>
      </c>
      <c r="S37" s="4">
        <f t="shared" ca="1" si="1"/>
        <v>13.973990417522245</v>
      </c>
      <c r="T37">
        <f t="shared" si="2"/>
        <v>73.914500000000004</v>
      </c>
      <c r="U37" s="43">
        <v>36</v>
      </c>
      <c r="V37" s="4">
        <f t="shared" ca="1" si="3"/>
        <v>13.5</v>
      </c>
      <c r="W37" s="54">
        <f t="shared" ca="1" si="4"/>
        <v>6</v>
      </c>
      <c r="X37" s="4">
        <f t="shared" ca="1" si="0"/>
        <v>0.41978021978021984</v>
      </c>
      <c r="Y37" s="4">
        <f t="shared" ca="1" si="6"/>
        <v>73.494719780219782</v>
      </c>
      <c r="Z37">
        <f t="shared" si="5"/>
        <v>3.0579999999864667</v>
      </c>
    </row>
    <row r="38" spans="1:26" x14ac:dyDescent="0.35">
      <c r="A38" t="s">
        <v>97</v>
      </c>
      <c r="B38" t="s">
        <v>419</v>
      </c>
      <c r="C38" t="s">
        <v>394</v>
      </c>
      <c r="D38" t="s">
        <v>395</v>
      </c>
      <c r="E38" t="s">
        <v>396</v>
      </c>
      <c r="F38" t="s">
        <v>510</v>
      </c>
      <c r="G38" t="s">
        <v>398</v>
      </c>
      <c r="H38">
        <v>2</v>
      </c>
      <c r="I38">
        <v>0.5</v>
      </c>
      <c r="J38">
        <v>5.1569999998758682</v>
      </c>
      <c r="K38">
        <v>5.2689999998321353</v>
      </c>
      <c r="L38">
        <v>42.478999999999999</v>
      </c>
      <c r="M38">
        <v>41.9</v>
      </c>
      <c r="N38" t="s">
        <v>511</v>
      </c>
      <c r="O38" t="s">
        <v>512</v>
      </c>
      <c r="P38" t="s">
        <v>513</v>
      </c>
      <c r="Q38" s="3">
        <v>43970</v>
      </c>
      <c r="R38" s="3">
        <v>46101</v>
      </c>
      <c r="S38" s="4">
        <f t="shared" ca="1" si="1"/>
        <v>33.973990417522245</v>
      </c>
      <c r="T38">
        <f t="shared" si="2"/>
        <v>42.189499999999995</v>
      </c>
      <c r="U38" s="43">
        <v>37</v>
      </c>
      <c r="V38" s="4">
        <f t="shared" ca="1" si="3"/>
        <v>33.5</v>
      </c>
      <c r="W38" s="54">
        <f t="shared" ca="1" si="4"/>
        <v>6</v>
      </c>
      <c r="X38" s="4">
        <f t="shared" ca="1" si="0"/>
        <v>0.52472527472527475</v>
      </c>
      <c r="Y38" s="4">
        <f t="shared" ca="1" si="6"/>
        <v>41.664774725274718</v>
      </c>
      <c r="Z38">
        <f t="shared" si="5"/>
        <v>5.2129999998540022</v>
      </c>
    </row>
    <row r="39" spans="1:26" x14ac:dyDescent="0.35">
      <c r="A39" t="s">
        <v>98</v>
      </c>
      <c r="B39" t="s">
        <v>393</v>
      </c>
      <c r="C39" t="s">
        <v>394</v>
      </c>
      <c r="D39" t="s">
        <v>395</v>
      </c>
      <c r="E39" t="s">
        <v>396</v>
      </c>
      <c r="F39" t="s">
        <v>514</v>
      </c>
      <c r="G39" t="s">
        <v>398</v>
      </c>
      <c r="H39">
        <v>2</v>
      </c>
      <c r="I39">
        <v>0.1</v>
      </c>
      <c r="J39">
        <v>1.5799999999962568</v>
      </c>
      <c r="K39">
        <v>1.602999999995868</v>
      </c>
      <c r="L39">
        <v>94.073999999999998</v>
      </c>
      <c r="M39">
        <v>93.988</v>
      </c>
      <c r="N39" t="s">
        <v>515</v>
      </c>
      <c r="O39" t="s">
        <v>516</v>
      </c>
      <c r="P39" t="s">
        <v>401</v>
      </c>
      <c r="Q39" s="3">
        <v>44007</v>
      </c>
      <c r="R39" s="3">
        <v>46193</v>
      </c>
      <c r="S39" s="4">
        <f t="shared" ca="1" si="1"/>
        <v>4.2245037645448322</v>
      </c>
      <c r="T39">
        <f t="shared" si="2"/>
        <v>94.031000000000006</v>
      </c>
      <c r="U39" s="43">
        <v>38</v>
      </c>
      <c r="V39" s="4">
        <f t="shared" ca="1" si="3"/>
        <v>4</v>
      </c>
      <c r="W39" s="54">
        <f t="shared" ca="1" si="4"/>
        <v>6</v>
      </c>
      <c r="X39" s="4">
        <f t="shared" ca="1" si="0"/>
        <v>5.4945054945054951E-2</v>
      </c>
      <c r="Y39" s="4">
        <f t="shared" ca="1" si="6"/>
        <v>93.976054945054955</v>
      </c>
      <c r="Z39">
        <f t="shared" si="5"/>
        <v>1.5914999999960624</v>
      </c>
    </row>
    <row r="40" spans="1:26" x14ac:dyDescent="0.35">
      <c r="A40" t="s">
        <v>99</v>
      </c>
      <c r="B40" t="s">
        <v>402</v>
      </c>
      <c r="C40" t="s">
        <v>394</v>
      </c>
      <c r="D40" t="s">
        <v>395</v>
      </c>
      <c r="E40" t="s">
        <v>396</v>
      </c>
      <c r="F40" t="s">
        <v>517</v>
      </c>
      <c r="G40" t="s">
        <v>398</v>
      </c>
      <c r="H40">
        <v>2</v>
      </c>
      <c r="I40">
        <v>0.6</v>
      </c>
      <c r="J40">
        <v>4.4519999999998765</v>
      </c>
      <c r="K40">
        <v>4.4909999999998576</v>
      </c>
      <c r="L40">
        <v>55.061</v>
      </c>
      <c r="M40">
        <v>54.811</v>
      </c>
      <c r="N40" t="s">
        <v>518</v>
      </c>
      <c r="O40" t="s">
        <v>519</v>
      </c>
      <c r="P40" t="s">
        <v>401</v>
      </c>
      <c r="Q40" s="3">
        <v>44012</v>
      </c>
      <c r="R40" s="3">
        <v>46193</v>
      </c>
      <c r="S40" s="4">
        <f t="shared" ca="1" si="1"/>
        <v>24.224503764544831</v>
      </c>
      <c r="T40">
        <f t="shared" si="2"/>
        <v>54.936</v>
      </c>
      <c r="U40" s="43">
        <v>39</v>
      </c>
      <c r="V40" s="4">
        <f t="shared" ca="1" si="3"/>
        <v>24</v>
      </c>
      <c r="W40" s="54">
        <f t="shared" ca="1" si="4"/>
        <v>6</v>
      </c>
      <c r="X40" s="4">
        <f t="shared" ca="1" si="0"/>
        <v>0.32967032967032966</v>
      </c>
      <c r="Y40" s="4">
        <f t="shared" ca="1" si="6"/>
        <v>54.606329670329671</v>
      </c>
      <c r="Z40">
        <f t="shared" si="5"/>
        <v>4.4714999999998675</v>
      </c>
    </row>
    <row r="41" spans="1:26" x14ac:dyDescent="0.35">
      <c r="A41" t="s">
        <v>100</v>
      </c>
      <c r="B41" t="s">
        <v>406</v>
      </c>
      <c r="C41" t="s">
        <v>394</v>
      </c>
      <c r="D41" t="s">
        <v>395</v>
      </c>
      <c r="E41" t="s">
        <v>396</v>
      </c>
      <c r="F41" t="s">
        <v>520</v>
      </c>
      <c r="G41" t="s">
        <v>398</v>
      </c>
      <c r="H41">
        <v>2</v>
      </c>
      <c r="I41">
        <v>0.4</v>
      </c>
      <c r="J41">
        <v>3.0809999999853628</v>
      </c>
      <c r="K41">
        <v>3.1049999999839488</v>
      </c>
      <c r="L41">
        <v>73.42</v>
      </c>
      <c r="M41">
        <v>73.245999999999995</v>
      </c>
      <c r="N41" t="s">
        <v>521</v>
      </c>
      <c r="O41" t="s">
        <v>522</v>
      </c>
      <c r="P41" t="s">
        <v>401</v>
      </c>
      <c r="Q41" s="3">
        <v>44026</v>
      </c>
      <c r="R41" s="3">
        <v>46193</v>
      </c>
      <c r="S41" s="4">
        <f t="shared" ca="1" si="1"/>
        <v>14.225872689938399</v>
      </c>
      <c r="T41">
        <f t="shared" si="2"/>
        <v>73.332999999999998</v>
      </c>
      <c r="U41" s="43">
        <v>40</v>
      </c>
      <c r="V41" s="4">
        <f t="shared" ca="1" si="3"/>
        <v>14</v>
      </c>
      <c r="W41" s="54">
        <f t="shared" ca="1" si="4"/>
        <v>6</v>
      </c>
      <c r="X41" s="4">
        <f t="shared" ca="1" si="0"/>
        <v>0.2197802197802198</v>
      </c>
      <c r="Y41" s="4">
        <f t="shared" ca="1" si="6"/>
        <v>73.113219780219779</v>
      </c>
      <c r="Z41">
        <f t="shared" si="5"/>
        <v>3.0929999999846558</v>
      </c>
    </row>
    <row r="42" spans="1:26" x14ac:dyDescent="0.35">
      <c r="A42" t="s">
        <v>101</v>
      </c>
      <c r="B42" t="s">
        <v>406</v>
      </c>
      <c r="C42" t="s">
        <v>394</v>
      </c>
      <c r="D42" t="s">
        <v>395</v>
      </c>
      <c r="E42" t="s">
        <v>396</v>
      </c>
      <c r="F42" t="s">
        <v>523</v>
      </c>
      <c r="G42" t="s">
        <v>398</v>
      </c>
      <c r="H42">
        <v>2</v>
      </c>
      <c r="I42">
        <v>0.4</v>
      </c>
      <c r="J42">
        <v>3.1179999999760488</v>
      </c>
      <c r="K42">
        <v>3.143999999973583</v>
      </c>
      <c r="L42">
        <v>72.825000000000003</v>
      </c>
      <c r="M42">
        <v>72.637</v>
      </c>
      <c r="N42" t="s">
        <v>524</v>
      </c>
      <c r="O42" t="s">
        <v>525</v>
      </c>
      <c r="P42" t="s">
        <v>513</v>
      </c>
      <c r="Q42" s="3">
        <v>44117</v>
      </c>
      <c r="R42" s="3">
        <v>46101</v>
      </c>
      <c r="S42" s="4">
        <f t="shared" ca="1" si="1"/>
        <v>14.477754962354553</v>
      </c>
      <c r="T42">
        <f t="shared" si="2"/>
        <v>72.730999999999995</v>
      </c>
      <c r="U42" s="43">
        <v>41</v>
      </c>
      <c r="V42" s="4">
        <f t="shared" ca="1" si="3"/>
        <v>14</v>
      </c>
      <c r="W42" s="54">
        <f t="shared" ca="1" si="4"/>
        <v>6</v>
      </c>
      <c r="X42" s="4">
        <f t="shared" ca="1" si="0"/>
        <v>0.41978021978021984</v>
      </c>
      <c r="Y42" s="4">
        <f t="shared" ca="1" si="6"/>
        <v>72.311219780219773</v>
      </c>
      <c r="Z42">
        <f t="shared" si="5"/>
        <v>3.1309999999748159</v>
      </c>
    </row>
    <row r="43" spans="1:26" x14ac:dyDescent="0.35">
      <c r="A43" t="s">
        <v>102</v>
      </c>
      <c r="B43" t="s">
        <v>393</v>
      </c>
      <c r="C43" t="s">
        <v>394</v>
      </c>
      <c r="D43" t="s">
        <v>395</v>
      </c>
      <c r="E43" t="s">
        <v>396</v>
      </c>
      <c r="F43" t="s">
        <v>526</v>
      </c>
      <c r="G43" t="s">
        <v>398</v>
      </c>
      <c r="H43">
        <v>2</v>
      </c>
      <c r="I43">
        <v>0.1</v>
      </c>
      <c r="J43">
        <v>1.6439999999887491</v>
      </c>
      <c r="K43">
        <v>1.6649999999877207</v>
      </c>
      <c r="L43">
        <v>93.162999999999997</v>
      </c>
      <c r="M43">
        <v>93.076999999999998</v>
      </c>
      <c r="N43" t="s">
        <v>527</v>
      </c>
      <c r="O43" t="s">
        <v>528</v>
      </c>
      <c r="P43" t="s">
        <v>513</v>
      </c>
      <c r="Q43" s="3">
        <v>44193</v>
      </c>
      <c r="R43" s="3">
        <v>46193</v>
      </c>
      <c r="S43" s="4">
        <f t="shared" ca="1" si="1"/>
        <v>4.7255304585900069</v>
      </c>
      <c r="T43">
        <f t="shared" si="2"/>
        <v>93.12</v>
      </c>
      <c r="U43" s="43">
        <v>42</v>
      </c>
      <c r="V43" s="4">
        <f t="shared" ca="1" si="3"/>
        <v>4.5</v>
      </c>
      <c r="W43" s="54">
        <f t="shared" ca="1" si="4"/>
        <v>6</v>
      </c>
      <c r="X43" s="4">
        <f t="shared" ca="1" si="0"/>
        <v>5.4945054945054951E-2</v>
      </c>
      <c r="Y43" s="4">
        <f t="shared" ca="1" si="6"/>
        <v>93.065054945054953</v>
      </c>
      <c r="Z43">
        <f t="shared" si="5"/>
        <v>1.6544999999882348</v>
      </c>
    </row>
    <row r="44" spans="1:26" x14ac:dyDescent="0.35">
      <c r="A44" t="s">
        <v>103</v>
      </c>
      <c r="B44" t="s">
        <v>402</v>
      </c>
      <c r="C44" t="s">
        <v>394</v>
      </c>
      <c r="D44" t="s">
        <v>395</v>
      </c>
      <c r="E44" t="s">
        <v>396</v>
      </c>
      <c r="F44" t="s">
        <v>529</v>
      </c>
      <c r="G44" t="s">
        <v>398</v>
      </c>
      <c r="H44">
        <v>2</v>
      </c>
      <c r="I44">
        <v>0.7</v>
      </c>
      <c r="J44">
        <v>4.4649999999999475</v>
      </c>
      <c r="K44">
        <v>4.5039999999999356</v>
      </c>
      <c r="L44">
        <v>55.712000000000003</v>
      </c>
      <c r="M44">
        <v>55.457999999999998</v>
      </c>
      <c r="N44" t="s">
        <v>530</v>
      </c>
      <c r="O44" t="s">
        <v>531</v>
      </c>
      <c r="P44" t="s">
        <v>513</v>
      </c>
      <c r="Q44" s="3">
        <v>44193</v>
      </c>
      <c r="R44" s="3">
        <v>46193</v>
      </c>
      <c r="S44" s="4">
        <f t="shared" ca="1" si="1"/>
        <v>24.725530458590008</v>
      </c>
      <c r="T44">
        <f t="shared" si="2"/>
        <v>55.585000000000001</v>
      </c>
      <c r="U44" s="43">
        <v>43</v>
      </c>
      <c r="V44" s="4">
        <f t="shared" ca="1" si="3"/>
        <v>24.5</v>
      </c>
      <c r="W44" s="54">
        <f t="shared" ca="1" si="4"/>
        <v>6</v>
      </c>
      <c r="X44" s="4">
        <f t="shared" ca="1" si="0"/>
        <v>0.38461538461538464</v>
      </c>
      <c r="Y44" s="4">
        <f t="shared" ca="1" si="6"/>
        <v>55.200384615384614</v>
      </c>
      <c r="Z44">
        <f t="shared" si="5"/>
        <v>4.484499999999942</v>
      </c>
    </row>
    <row r="45" spans="1:26" x14ac:dyDescent="0.35">
      <c r="A45" t="s">
        <v>104</v>
      </c>
      <c r="B45" t="s">
        <v>406</v>
      </c>
      <c r="C45" t="s">
        <v>394</v>
      </c>
      <c r="D45" t="s">
        <v>395</v>
      </c>
      <c r="E45" t="s">
        <v>396</v>
      </c>
      <c r="F45" t="s">
        <v>532</v>
      </c>
      <c r="G45" t="s">
        <v>398</v>
      </c>
      <c r="H45">
        <v>2</v>
      </c>
      <c r="I45">
        <v>0.5</v>
      </c>
      <c r="J45">
        <v>3.1339999999873869</v>
      </c>
      <c r="K45">
        <v>3.1589999999860976</v>
      </c>
      <c r="L45">
        <v>73.399000000000001</v>
      </c>
      <c r="M45">
        <v>73.213999999999999</v>
      </c>
      <c r="N45" t="s">
        <v>533</v>
      </c>
      <c r="O45" t="s">
        <v>534</v>
      </c>
      <c r="P45" t="s">
        <v>513</v>
      </c>
      <c r="Q45" s="3">
        <v>44208</v>
      </c>
      <c r="R45" s="3">
        <v>46193</v>
      </c>
      <c r="S45" s="4">
        <f t="shared" ca="1" si="1"/>
        <v>14.726899383983573</v>
      </c>
      <c r="T45">
        <f t="shared" si="2"/>
        <v>73.3065</v>
      </c>
      <c r="U45" s="43">
        <v>44</v>
      </c>
      <c r="V45" s="4">
        <f t="shared" ca="1" si="3"/>
        <v>14.5</v>
      </c>
      <c r="W45" s="54">
        <f t="shared" ca="1" si="4"/>
        <v>5</v>
      </c>
      <c r="X45" s="4">
        <f t="shared" ca="1" si="0"/>
        <v>0.27472527472527475</v>
      </c>
      <c r="Y45" s="4">
        <f t="shared" ca="1" si="6"/>
        <v>73.03177472527473</v>
      </c>
      <c r="Z45">
        <f t="shared" si="5"/>
        <v>3.1464999999867422</v>
      </c>
    </row>
    <row r="46" spans="1:26" x14ac:dyDescent="0.35">
      <c r="A46" t="s">
        <v>105</v>
      </c>
      <c r="B46" t="s">
        <v>393</v>
      </c>
      <c r="C46" t="s">
        <v>394</v>
      </c>
      <c r="D46" t="s">
        <v>395</v>
      </c>
      <c r="E46" t="s">
        <v>396</v>
      </c>
      <c r="F46" t="s">
        <v>535</v>
      </c>
      <c r="G46" t="s">
        <v>398</v>
      </c>
      <c r="H46">
        <v>2</v>
      </c>
      <c r="I46">
        <v>0.1</v>
      </c>
      <c r="J46">
        <v>1.6779999999710236</v>
      </c>
      <c r="K46">
        <v>1.6949999999689331</v>
      </c>
      <c r="L46">
        <v>92.691000000000003</v>
      </c>
      <c r="M46">
        <v>92.617999999999995</v>
      </c>
      <c r="N46" t="s">
        <v>536</v>
      </c>
      <c r="O46" t="s">
        <v>537</v>
      </c>
      <c r="P46" t="s">
        <v>513</v>
      </c>
      <c r="Q46" s="3">
        <v>44280</v>
      </c>
      <c r="R46" s="3">
        <v>46101</v>
      </c>
      <c r="S46" s="4">
        <f t="shared" ca="1" si="1"/>
        <v>4.9719370294318956</v>
      </c>
      <c r="T46">
        <f t="shared" si="2"/>
        <v>92.654499999999999</v>
      </c>
      <c r="U46" s="43">
        <v>45</v>
      </c>
      <c r="V46" s="4">
        <f t="shared" ca="1" si="3"/>
        <v>4.5</v>
      </c>
      <c r="W46" s="54">
        <f t="shared" ca="1" si="4"/>
        <v>5</v>
      </c>
      <c r="X46" s="4">
        <f t="shared" ca="1" si="0"/>
        <v>0.10494505494505496</v>
      </c>
      <c r="Y46" s="4">
        <f t="shared" ca="1" si="6"/>
        <v>92.54955494505495</v>
      </c>
      <c r="Z46">
        <f t="shared" si="5"/>
        <v>1.6864999999699783</v>
      </c>
    </row>
    <row r="47" spans="1:26" x14ac:dyDescent="0.35">
      <c r="A47" t="s">
        <v>106</v>
      </c>
      <c r="B47" t="s">
        <v>402</v>
      </c>
      <c r="C47" t="s">
        <v>394</v>
      </c>
      <c r="D47" t="s">
        <v>395</v>
      </c>
      <c r="E47" t="s">
        <v>396</v>
      </c>
      <c r="F47" t="s">
        <v>538</v>
      </c>
      <c r="G47" t="s">
        <v>398</v>
      </c>
      <c r="H47">
        <v>2</v>
      </c>
      <c r="I47">
        <v>0.7</v>
      </c>
      <c r="J47">
        <v>4.5059999999999212</v>
      </c>
      <c r="K47">
        <v>4.5449999999999093</v>
      </c>
      <c r="L47">
        <v>55.235999999999997</v>
      </c>
      <c r="M47">
        <v>54.984000000000002</v>
      </c>
      <c r="N47" t="s">
        <v>539</v>
      </c>
      <c r="O47" t="s">
        <v>540</v>
      </c>
      <c r="P47" t="s">
        <v>513</v>
      </c>
      <c r="Q47" s="3">
        <v>44285</v>
      </c>
      <c r="R47" s="3">
        <v>46101</v>
      </c>
      <c r="S47" s="4">
        <f t="shared" ca="1" si="1"/>
        <v>24.971937029431896</v>
      </c>
      <c r="T47">
        <f t="shared" si="2"/>
        <v>55.11</v>
      </c>
      <c r="U47" s="43">
        <v>46</v>
      </c>
      <c r="V47" s="4">
        <f t="shared" ca="1" si="3"/>
        <v>24.5</v>
      </c>
      <c r="W47" s="54">
        <f t="shared" ca="1" si="4"/>
        <v>5</v>
      </c>
      <c r="X47" s="4">
        <f t="shared" ca="1" si="0"/>
        <v>0.73461538461538456</v>
      </c>
      <c r="Y47" s="4">
        <f t="shared" ca="1" si="6"/>
        <v>54.375384615384618</v>
      </c>
      <c r="Z47">
        <f t="shared" si="5"/>
        <v>4.5254999999999157</v>
      </c>
    </row>
    <row r="48" spans="1:26" x14ac:dyDescent="0.35">
      <c r="A48" t="s">
        <v>107</v>
      </c>
      <c r="B48" t="s">
        <v>541</v>
      </c>
      <c r="C48" t="s">
        <v>394</v>
      </c>
      <c r="D48" t="s">
        <v>395</v>
      </c>
      <c r="E48" t="s">
        <v>396</v>
      </c>
      <c r="F48" t="s">
        <v>542</v>
      </c>
      <c r="G48" t="s">
        <v>398</v>
      </c>
      <c r="H48">
        <v>2</v>
      </c>
      <c r="I48">
        <v>5.0000000000000001E-3</v>
      </c>
      <c r="J48">
        <v>0.74800000668121813</v>
      </c>
      <c r="K48">
        <v>0.76600000752848729</v>
      </c>
      <c r="L48">
        <v>99.983000000000004</v>
      </c>
      <c r="M48">
        <v>99.983000000000004</v>
      </c>
      <c r="N48" t="s">
        <v>543</v>
      </c>
      <c r="O48" t="s">
        <v>544</v>
      </c>
      <c r="P48" t="s">
        <v>401</v>
      </c>
      <c r="Q48" s="3">
        <v>44287</v>
      </c>
      <c r="R48" s="3">
        <v>46101</v>
      </c>
      <c r="S48" s="4">
        <f t="shared" ca="1" si="1"/>
        <v>-2.7378507871321012E-2</v>
      </c>
      <c r="T48">
        <f t="shared" si="2"/>
        <v>99.983000000000004</v>
      </c>
      <c r="U48" s="43">
        <v>47</v>
      </c>
      <c r="V48" s="4">
        <f t="shared" ca="1" si="3"/>
        <v>0</v>
      </c>
      <c r="W48" s="54">
        <f t="shared" ca="1" si="4"/>
        <v>5</v>
      </c>
      <c r="X48" s="4">
        <f t="shared" ca="1" si="0"/>
        <v>5.2472527472527475E-3</v>
      </c>
      <c r="Y48" s="4">
        <f t="shared" ca="1" si="6"/>
        <v>99.977752747252751</v>
      </c>
      <c r="Z48">
        <f t="shared" si="5"/>
        <v>0.75700000710485271</v>
      </c>
    </row>
    <row r="49" spans="1:26" x14ac:dyDescent="0.35">
      <c r="A49" t="s">
        <v>108</v>
      </c>
      <c r="B49" t="s">
        <v>406</v>
      </c>
      <c r="C49" t="s">
        <v>394</v>
      </c>
      <c r="D49" t="s">
        <v>395</v>
      </c>
      <c r="E49" t="s">
        <v>396</v>
      </c>
      <c r="F49" t="s">
        <v>545</v>
      </c>
      <c r="G49" t="s">
        <v>398</v>
      </c>
      <c r="H49">
        <v>2</v>
      </c>
      <c r="I49">
        <v>0.5</v>
      </c>
      <c r="J49">
        <v>3.1779999999791415</v>
      </c>
      <c r="K49">
        <v>3.2019999999771418</v>
      </c>
      <c r="L49">
        <v>72.77</v>
      </c>
      <c r="M49">
        <v>72.593000000000004</v>
      </c>
      <c r="N49" t="s">
        <v>546</v>
      </c>
      <c r="O49" t="s">
        <v>547</v>
      </c>
      <c r="P49" t="s">
        <v>513</v>
      </c>
      <c r="Q49" s="3">
        <v>44299</v>
      </c>
      <c r="R49" s="3">
        <v>46101</v>
      </c>
      <c r="S49" s="4">
        <f t="shared" ca="1" si="1"/>
        <v>14.973305954825461</v>
      </c>
      <c r="T49">
        <f t="shared" si="2"/>
        <v>72.6815</v>
      </c>
      <c r="U49" s="43">
        <v>48</v>
      </c>
      <c r="V49" s="4">
        <f t="shared" ca="1" si="3"/>
        <v>14.5</v>
      </c>
      <c r="W49" s="54">
        <f t="shared" ca="1" si="4"/>
        <v>5</v>
      </c>
      <c r="X49" s="4">
        <f t="shared" ca="1" si="0"/>
        <v>0.52472527472527475</v>
      </c>
      <c r="Y49" s="4">
        <f t="shared" ca="1" si="6"/>
        <v>72.15677472527473</v>
      </c>
      <c r="Z49">
        <f t="shared" si="5"/>
        <v>3.1899999999781414</v>
      </c>
    </row>
    <row r="50" spans="1:26" x14ac:dyDescent="0.35">
      <c r="A50" t="s">
        <v>109</v>
      </c>
      <c r="B50" t="s">
        <v>419</v>
      </c>
      <c r="C50" t="s">
        <v>394</v>
      </c>
      <c r="D50" t="s">
        <v>395</v>
      </c>
      <c r="E50" t="s">
        <v>396</v>
      </c>
      <c r="F50" t="s">
        <v>548</v>
      </c>
      <c r="G50" t="s">
        <v>398</v>
      </c>
      <c r="H50">
        <v>2</v>
      </c>
      <c r="I50">
        <v>0.7</v>
      </c>
      <c r="J50">
        <v>5.0169999999910688</v>
      </c>
      <c r="K50">
        <v>5.0759999999893406</v>
      </c>
      <c r="L50">
        <v>45.161999999999999</v>
      </c>
      <c r="M50">
        <v>44.826000000000001</v>
      </c>
      <c r="N50" t="s">
        <v>549</v>
      </c>
      <c r="O50" t="s">
        <v>550</v>
      </c>
      <c r="P50" t="s">
        <v>401</v>
      </c>
      <c r="Q50" s="3">
        <v>44336</v>
      </c>
      <c r="R50" s="3">
        <v>46101</v>
      </c>
      <c r="S50" s="4">
        <f t="shared" ca="1" si="1"/>
        <v>34.973305954825463</v>
      </c>
      <c r="T50">
        <f t="shared" si="2"/>
        <v>44.994</v>
      </c>
      <c r="U50" s="43">
        <v>49</v>
      </c>
      <c r="V50" s="4">
        <f t="shared" ca="1" si="3"/>
        <v>34.5</v>
      </c>
      <c r="W50" s="54">
        <f t="shared" ca="1" si="4"/>
        <v>5</v>
      </c>
      <c r="X50" s="4">
        <f t="shared" ca="1" si="0"/>
        <v>0.73461538461538456</v>
      </c>
      <c r="Y50" s="4">
        <f t="shared" ca="1" si="6"/>
        <v>44.259384615384619</v>
      </c>
      <c r="Z50">
        <f t="shared" si="5"/>
        <v>5.0464999999902052</v>
      </c>
    </row>
    <row r="51" spans="1:26" x14ac:dyDescent="0.35">
      <c r="A51" t="s">
        <v>110</v>
      </c>
      <c r="B51" t="s">
        <v>393</v>
      </c>
      <c r="C51" t="s">
        <v>394</v>
      </c>
      <c r="D51" t="s">
        <v>395</v>
      </c>
      <c r="E51" t="s">
        <v>396</v>
      </c>
      <c r="F51" t="s">
        <v>551</v>
      </c>
      <c r="G51" t="s">
        <v>398</v>
      </c>
      <c r="H51">
        <v>2</v>
      </c>
      <c r="I51">
        <v>0.1</v>
      </c>
      <c r="J51">
        <v>1.7099999999691318</v>
      </c>
      <c r="K51">
        <v>1.7269999999669614</v>
      </c>
      <c r="L51">
        <v>92.210999999999999</v>
      </c>
      <c r="M51">
        <v>92.135000000000005</v>
      </c>
      <c r="N51" t="s">
        <v>552</v>
      </c>
      <c r="O51" t="s">
        <v>553</v>
      </c>
      <c r="P51" t="s">
        <v>513</v>
      </c>
      <c r="Q51" s="3">
        <v>44371</v>
      </c>
      <c r="R51" s="3">
        <v>46193</v>
      </c>
      <c r="S51" s="4">
        <f t="shared" ca="1" si="1"/>
        <v>5.2238193018480494</v>
      </c>
      <c r="T51">
        <f t="shared" si="2"/>
        <v>92.173000000000002</v>
      </c>
      <c r="U51" s="43">
        <v>50</v>
      </c>
      <c r="V51" s="4">
        <f t="shared" ca="1" si="3"/>
        <v>5</v>
      </c>
      <c r="W51" s="54">
        <f t="shared" ca="1" si="4"/>
        <v>5</v>
      </c>
      <c r="X51" s="4">
        <f t="shared" ca="1" si="0"/>
        <v>5.4945054945054951E-2</v>
      </c>
      <c r="Y51" s="4">
        <f t="shared" ca="1" si="6"/>
        <v>92.118054945054951</v>
      </c>
      <c r="Z51">
        <f t="shared" si="5"/>
        <v>1.7184999999680466</v>
      </c>
    </row>
    <row r="52" spans="1:26" x14ac:dyDescent="0.35">
      <c r="A52" t="s">
        <v>111</v>
      </c>
      <c r="B52" t="s">
        <v>402</v>
      </c>
      <c r="C52" t="s">
        <v>394</v>
      </c>
      <c r="D52" t="s">
        <v>395</v>
      </c>
      <c r="E52" t="s">
        <v>396</v>
      </c>
      <c r="F52" t="s">
        <v>554</v>
      </c>
      <c r="G52" t="s">
        <v>398</v>
      </c>
      <c r="H52">
        <v>2</v>
      </c>
      <c r="I52">
        <v>0.7</v>
      </c>
      <c r="J52">
        <v>4.5459999999999114</v>
      </c>
      <c r="K52">
        <v>4.5859999999998937</v>
      </c>
      <c r="L52">
        <v>54.765999999999998</v>
      </c>
      <c r="M52">
        <v>54.51</v>
      </c>
      <c r="N52" t="s">
        <v>555</v>
      </c>
      <c r="O52" t="s">
        <v>556</v>
      </c>
      <c r="P52" t="s">
        <v>513</v>
      </c>
      <c r="Q52" s="3">
        <v>44376</v>
      </c>
      <c r="R52" s="3">
        <v>46193</v>
      </c>
      <c r="S52" s="4">
        <f t="shared" ca="1" si="1"/>
        <v>25.223819301848049</v>
      </c>
      <c r="T52">
        <f t="shared" si="2"/>
        <v>54.637999999999998</v>
      </c>
      <c r="U52" s="43">
        <v>51</v>
      </c>
      <c r="V52" s="4">
        <f t="shared" ca="1" si="3"/>
        <v>25</v>
      </c>
      <c r="W52" s="54">
        <f t="shared" ca="1" si="4"/>
        <v>5</v>
      </c>
      <c r="X52" s="4">
        <f t="shared" ca="1" si="0"/>
        <v>0.38461538461538464</v>
      </c>
      <c r="Y52" s="4">
        <f t="shared" ca="1" si="6"/>
        <v>54.253384615384611</v>
      </c>
      <c r="Z52">
        <f t="shared" si="5"/>
        <v>4.565999999999903</v>
      </c>
    </row>
    <row r="53" spans="1:26" x14ac:dyDescent="0.35">
      <c r="A53" t="s">
        <v>112</v>
      </c>
      <c r="B53" t="s">
        <v>541</v>
      </c>
      <c r="C53" t="s">
        <v>394</v>
      </c>
      <c r="D53" t="s">
        <v>395</v>
      </c>
      <c r="E53" t="s">
        <v>396</v>
      </c>
      <c r="F53" t="s">
        <v>557</v>
      </c>
      <c r="G53" t="s">
        <v>398</v>
      </c>
      <c r="H53">
        <v>2</v>
      </c>
      <c r="I53">
        <v>5.0000000000000001E-3</v>
      </c>
      <c r="J53">
        <v>0.78000000000208691</v>
      </c>
      <c r="K53">
        <v>0.80300000000260652</v>
      </c>
      <c r="L53">
        <v>99.787999999999997</v>
      </c>
      <c r="M53">
        <v>99.781000000000006</v>
      </c>
      <c r="N53" t="s">
        <v>558</v>
      </c>
      <c r="O53" t="s">
        <v>559</v>
      </c>
      <c r="P53" t="s">
        <v>513</v>
      </c>
      <c r="Q53" s="3">
        <v>44378</v>
      </c>
      <c r="R53" s="3">
        <v>46193</v>
      </c>
      <c r="S53" s="4">
        <f t="shared" ca="1" si="1"/>
        <v>0.22450376454483231</v>
      </c>
      <c r="T53">
        <f t="shared" si="2"/>
        <v>99.784500000000008</v>
      </c>
      <c r="U53" s="43">
        <v>52</v>
      </c>
      <c r="V53" s="4">
        <f t="shared" ca="1" si="3"/>
        <v>0</v>
      </c>
      <c r="W53" s="54">
        <f t="shared" ca="1" si="4"/>
        <v>5</v>
      </c>
      <c r="X53" s="4">
        <f t="shared" ca="1" si="0"/>
        <v>2.7472527472527475E-3</v>
      </c>
      <c r="Y53" s="4">
        <f t="shared" ca="1" si="6"/>
        <v>99.781752747252753</v>
      </c>
      <c r="Z53">
        <f t="shared" si="5"/>
        <v>0.79150000000234666</v>
      </c>
    </row>
    <row r="54" spans="1:26" x14ac:dyDescent="0.35">
      <c r="A54" t="s">
        <v>113</v>
      </c>
      <c r="B54" t="s">
        <v>406</v>
      </c>
      <c r="C54" t="s">
        <v>394</v>
      </c>
      <c r="D54" t="s">
        <v>395</v>
      </c>
      <c r="E54" t="s">
        <v>396</v>
      </c>
      <c r="F54" t="s">
        <v>560</v>
      </c>
      <c r="G54" t="s">
        <v>398</v>
      </c>
      <c r="H54">
        <v>2</v>
      </c>
      <c r="I54">
        <v>0.4</v>
      </c>
      <c r="J54">
        <v>3.2449999999473009</v>
      </c>
      <c r="K54">
        <v>3.2689999999425496</v>
      </c>
      <c r="L54">
        <v>70.944999999999993</v>
      </c>
      <c r="M54">
        <v>70.772000000000006</v>
      </c>
      <c r="N54" t="s">
        <v>561</v>
      </c>
      <c r="O54" t="s">
        <v>562</v>
      </c>
      <c r="P54" t="s">
        <v>513</v>
      </c>
      <c r="Q54" s="3">
        <v>44383</v>
      </c>
      <c r="R54" s="3">
        <v>46193</v>
      </c>
      <c r="S54" s="4">
        <f t="shared" ca="1" si="1"/>
        <v>15.225188227241615</v>
      </c>
      <c r="T54">
        <f t="shared" si="2"/>
        <v>70.858499999999992</v>
      </c>
      <c r="U54" s="43">
        <v>53</v>
      </c>
      <c r="V54" s="4">
        <f t="shared" ca="1" si="3"/>
        <v>15</v>
      </c>
      <c r="W54" s="54">
        <f t="shared" ca="1" si="4"/>
        <v>5</v>
      </c>
      <c r="X54" s="4">
        <f t="shared" ca="1" si="0"/>
        <v>0.2197802197802198</v>
      </c>
      <c r="Y54" s="4">
        <f t="shared" ca="1" si="6"/>
        <v>70.638719780219773</v>
      </c>
      <c r="Z54">
        <f t="shared" si="5"/>
        <v>3.2569999999449255</v>
      </c>
    </row>
    <row r="55" spans="1:26" x14ac:dyDescent="0.35">
      <c r="A55" t="s">
        <v>114</v>
      </c>
      <c r="B55" t="s">
        <v>393</v>
      </c>
      <c r="C55" t="s">
        <v>394</v>
      </c>
      <c r="D55" t="s">
        <v>395</v>
      </c>
      <c r="E55" t="s">
        <v>396</v>
      </c>
      <c r="F55" t="s">
        <v>563</v>
      </c>
      <c r="G55" t="s">
        <v>398</v>
      </c>
      <c r="H55">
        <v>2</v>
      </c>
      <c r="I55">
        <v>0.1</v>
      </c>
      <c r="J55">
        <v>1.7499999999255946</v>
      </c>
      <c r="K55">
        <v>1.7649999999210819</v>
      </c>
      <c r="L55">
        <v>91.686000000000007</v>
      </c>
      <c r="M55">
        <v>91.616</v>
      </c>
      <c r="N55" t="s">
        <v>564</v>
      </c>
      <c r="O55" t="s">
        <v>565</v>
      </c>
      <c r="P55" t="s">
        <v>513</v>
      </c>
      <c r="Q55" s="3">
        <v>44467</v>
      </c>
      <c r="R55" s="3">
        <v>46101</v>
      </c>
      <c r="S55" s="4">
        <f t="shared" ca="1" si="1"/>
        <v>5.4757015742642023</v>
      </c>
      <c r="T55">
        <f t="shared" si="2"/>
        <v>91.65100000000001</v>
      </c>
      <c r="U55" s="43">
        <v>54</v>
      </c>
      <c r="V55" s="4">
        <f t="shared" ca="1" si="3"/>
        <v>5</v>
      </c>
      <c r="W55" s="54">
        <f t="shared" ca="1" si="4"/>
        <v>5</v>
      </c>
      <c r="X55" s="4">
        <f t="shared" ca="1" si="0"/>
        <v>0.10494505494505496</v>
      </c>
      <c r="Y55" s="4">
        <f t="shared" ca="1" si="6"/>
        <v>91.546054945054962</v>
      </c>
      <c r="Z55">
        <f t="shared" si="5"/>
        <v>1.7574999999233383</v>
      </c>
    </row>
    <row r="56" spans="1:26" x14ac:dyDescent="0.35">
      <c r="A56" t="s">
        <v>115</v>
      </c>
      <c r="B56" t="s">
        <v>402</v>
      </c>
      <c r="C56" t="s">
        <v>394</v>
      </c>
      <c r="D56" t="s">
        <v>395</v>
      </c>
      <c r="E56" t="s">
        <v>396</v>
      </c>
      <c r="F56" t="s">
        <v>566</v>
      </c>
      <c r="G56" t="s">
        <v>398</v>
      </c>
      <c r="H56">
        <v>2</v>
      </c>
      <c r="I56">
        <v>0.7</v>
      </c>
      <c r="J56">
        <v>4.5909999999998679</v>
      </c>
      <c r="K56">
        <v>4.6299999999998454</v>
      </c>
      <c r="L56">
        <v>54.268999999999998</v>
      </c>
      <c r="M56">
        <v>54.021999999999998</v>
      </c>
      <c r="N56" t="s">
        <v>567</v>
      </c>
      <c r="O56" t="s">
        <v>568</v>
      </c>
      <c r="P56" t="s">
        <v>513</v>
      </c>
      <c r="Q56" s="3">
        <v>44474</v>
      </c>
      <c r="R56" s="3">
        <v>46101</v>
      </c>
      <c r="S56" s="4">
        <f t="shared" ca="1" si="1"/>
        <v>25.475701574264203</v>
      </c>
      <c r="T56">
        <f t="shared" si="2"/>
        <v>54.145499999999998</v>
      </c>
      <c r="U56" s="43">
        <v>55</v>
      </c>
      <c r="V56" s="4">
        <f t="shared" ca="1" si="3"/>
        <v>25</v>
      </c>
      <c r="W56" s="54">
        <f t="shared" ca="1" si="4"/>
        <v>5</v>
      </c>
      <c r="X56" s="4">
        <f t="shared" ca="1" si="0"/>
        <v>0.73461538461538456</v>
      </c>
      <c r="Y56" s="4">
        <f t="shared" ca="1" si="6"/>
        <v>53.410884615384617</v>
      </c>
      <c r="Z56">
        <f t="shared" si="5"/>
        <v>4.6104999999998562</v>
      </c>
    </row>
    <row r="57" spans="1:26" x14ac:dyDescent="0.35">
      <c r="A57" t="s">
        <v>116</v>
      </c>
      <c r="B57" t="s">
        <v>541</v>
      </c>
      <c r="C57" t="s">
        <v>394</v>
      </c>
      <c r="D57" t="s">
        <v>395</v>
      </c>
      <c r="E57" t="s">
        <v>396</v>
      </c>
      <c r="F57" t="s">
        <v>569</v>
      </c>
      <c r="G57" t="s">
        <v>398</v>
      </c>
      <c r="H57">
        <v>2</v>
      </c>
      <c r="I57">
        <v>5.0000000000000001E-3</v>
      </c>
      <c r="J57">
        <v>0.87299999999121713</v>
      </c>
      <c r="K57">
        <v>0.89599999999030333</v>
      </c>
      <c r="L57">
        <v>99.545000000000002</v>
      </c>
      <c r="M57">
        <v>99.533000000000001</v>
      </c>
      <c r="N57" t="s">
        <v>570</v>
      </c>
      <c r="O57" t="s">
        <v>571</v>
      </c>
      <c r="P57" t="s">
        <v>401</v>
      </c>
      <c r="Q57" s="3">
        <v>44476</v>
      </c>
      <c r="R57" s="3">
        <v>46101</v>
      </c>
      <c r="S57" s="4">
        <f t="shared" ca="1" si="1"/>
        <v>0.47638603696098564</v>
      </c>
      <c r="T57">
        <f t="shared" si="2"/>
        <v>99.539000000000001</v>
      </c>
      <c r="U57" s="43">
        <v>56</v>
      </c>
      <c r="V57" s="4">
        <f t="shared" ca="1" si="3"/>
        <v>0</v>
      </c>
      <c r="W57" s="54">
        <f t="shared" ca="1" si="4"/>
        <v>5</v>
      </c>
      <c r="X57" s="4">
        <f t="shared" ca="1" si="0"/>
        <v>5.2472527472527475E-3</v>
      </c>
      <c r="Y57" s="4">
        <f t="shared" ca="1" si="6"/>
        <v>99.533752747252748</v>
      </c>
      <c r="Z57">
        <f t="shared" si="5"/>
        <v>0.88449999999076023</v>
      </c>
    </row>
    <row r="58" spans="1:26" x14ac:dyDescent="0.35">
      <c r="A58" t="s">
        <v>117</v>
      </c>
      <c r="B58" t="s">
        <v>406</v>
      </c>
      <c r="C58" t="s">
        <v>394</v>
      </c>
      <c r="D58" t="s">
        <v>395</v>
      </c>
      <c r="E58" t="s">
        <v>396</v>
      </c>
      <c r="F58" t="s">
        <v>572</v>
      </c>
      <c r="G58" t="s">
        <v>398</v>
      </c>
      <c r="H58">
        <v>2</v>
      </c>
      <c r="I58">
        <v>0.5</v>
      </c>
      <c r="J58">
        <v>3.2559999999620595</v>
      </c>
      <c r="K58">
        <v>3.2829999999580868</v>
      </c>
      <c r="L58">
        <v>71.578000000000003</v>
      </c>
      <c r="M58">
        <v>71.379000000000005</v>
      </c>
      <c r="N58" t="s">
        <v>573</v>
      </c>
      <c r="O58" t="s">
        <v>574</v>
      </c>
      <c r="P58" t="s">
        <v>513</v>
      </c>
      <c r="Q58" s="3">
        <v>44481</v>
      </c>
      <c r="R58" s="3">
        <v>46101</v>
      </c>
      <c r="S58" s="4">
        <f t="shared" ca="1" si="1"/>
        <v>15.477070499657769</v>
      </c>
      <c r="T58">
        <f t="shared" si="2"/>
        <v>71.478499999999997</v>
      </c>
      <c r="U58" s="43">
        <v>57</v>
      </c>
      <c r="V58" s="4">
        <f t="shared" ca="1" si="3"/>
        <v>15</v>
      </c>
      <c r="W58" s="54">
        <f t="shared" ca="1" si="4"/>
        <v>5</v>
      </c>
      <c r="X58" s="4">
        <f t="shared" ca="1" si="0"/>
        <v>0.52472527472527475</v>
      </c>
      <c r="Y58" s="4">
        <f t="shared" ca="1" si="6"/>
        <v>70.953774725274727</v>
      </c>
      <c r="Z58">
        <f t="shared" si="5"/>
        <v>3.2694999999600731</v>
      </c>
    </row>
    <row r="59" spans="1:26" x14ac:dyDescent="0.35">
      <c r="A59" t="s">
        <v>118</v>
      </c>
      <c r="B59" t="s">
        <v>393</v>
      </c>
      <c r="C59" t="s">
        <v>394</v>
      </c>
      <c r="D59" t="s">
        <v>395</v>
      </c>
      <c r="E59" t="s">
        <v>396</v>
      </c>
      <c r="F59" t="s">
        <v>575</v>
      </c>
      <c r="G59" t="s">
        <v>398</v>
      </c>
      <c r="H59">
        <v>2</v>
      </c>
      <c r="I59">
        <v>0.1</v>
      </c>
      <c r="J59">
        <v>1.7749999999224804</v>
      </c>
      <c r="K59">
        <v>1.7919999999172049</v>
      </c>
      <c r="L59">
        <v>91.224999999999994</v>
      </c>
      <c r="M59">
        <v>91.144000000000005</v>
      </c>
      <c r="N59" t="s">
        <v>576</v>
      </c>
      <c r="O59" t="s">
        <v>577</v>
      </c>
      <c r="P59" t="s">
        <v>513</v>
      </c>
      <c r="Q59" s="3">
        <v>44558</v>
      </c>
      <c r="R59" s="3">
        <v>46193</v>
      </c>
      <c r="S59" s="4">
        <f t="shared" ca="1" si="1"/>
        <v>5.7248459958932241</v>
      </c>
      <c r="T59">
        <f t="shared" si="2"/>
        <v>91.1845</v>
      </c>
      <c r="U59" s="43">
        <v>58</v>
      </c>
      <c r="V59" s="4">
        <f t="shared" ca="1" si="3"/>
        <v>5.5</v>
      </c>
      <c r="W59" s="54">
        <f t="shared" ca="1" si="4"/>
        <v>5</v>
      </c>
      <c r="X59" s="4">
        <f t="shared" ca="1" si="0"/>
        <v>5.4945054945054951E-2</v>
      </c>
      <c r="Y59" s="4">
        <f t="shared" ca="1" si="6"/>
        <v>91.129554945054949</v>
      </c>
      <c r="Z59">
        <f t="shared" si="5"/>
        <v>1.7834999999198426</v>
      </c>
    </row>
    <row r="60" spans="1:26" x14ac:dyDescent="0.35">
      <c r="A60" t="s">
        <v>119</v>
      </c>
      <c r="B60" t="s">
        <v>402</v>
      </c>
      <c r="C60" t="s">
        <v>394</v>
      </c>
      <c r="D60" t="s">
        <v>395</v>
      </c>
      <c r="E60" t="s">
        <v>396</v>
      </c>
      <c r="F60" t="s">
        <v>578</v>
      </c>
      <c r="G60" t="s">
        <v>398</v>
      </c>
      <c r="H60">
        <v>2</v>
      </c>
      <c r="I60">
        <v>0.7</v>
      </c>
      <c r="J60">
        <v>4.6349999999998452</v>
      </c>
      <c r="K60">
        <v>4.6739999999998236</v>
      </c>
      <c r="L60">
        <v>53.784999999999997</v>
      </c>
      <c r="M60">
        <v>53.54</v>
      </c>
      <c r="N60" t="s">
        <v>579</v>
      </c>
      <c r="O60" t="s">
        <v>580</v>
      </c>
      <c r="P60" t="s">
        <v>513</v>
      </c>
      <c r="Q60" s="3">
        <v>44558</v>
      </c>
      <c r="R60" s="3">
        <v>46193</v>
      </c>
      <c r="S60" s="4">
        <f t="shared" ca="1" si="1"/>
        <v>25.724845995893222</v>
      </c>
      <c r="T60">
        <f t="shared" si="2"/>
        <v>53.662499999999994</v>
      </c>
      <c r="U60" s="43">
        <v>59</v>
      </c>
      <c r="V60" s="4">
        <f t="shared" ca="1" si="3"/>
        <v>25.5</v>
      </c>
      <c r="W60" s="54">
        <f t="shared" ca="1" si="4"/>
        <v>5</v>
      </c>
      <c r="X60" s="4">
        <f t="shared" ca="1" si="0"/>
        <v>0.38461538461538464</v>
      </c>
      <c r="Y60" s="4">
        <f t="shared" ca="1" si="6"/>
        <v>53.277884615384608</v>
      </c>
      <c r="Z60">
        <f t="shared" si="5"/>
        <v>4.6544999999998344</v>
      </c>
    </row>
    <row r="61" spans="1:26" x14ac:dyDescent="0.35">
      <c r="A61" t="s">
        <v>120</v>
      </c>
      <c r="B61" t="s">
        <v>541</v>
      </c>
      <c r="C61" t="s">
        <v>394</v>
      </c>
      <c r="D61" t="s">
        <v>395</v>
      </c>
      <c r="E61" t="s">
        <v>396</v>
      </c>
      <c r="F61" t="s">
        <v>397</v>
      </c>
      <c r="G61" t="s">
        <v>398</v>
      </c>
      <c r="H61">
        <v>2</v>
      </c>
      <c r="I61">
        <v>5.0000000000000001E-3</v>
      </c>
      <c r="J61">
        <v>0.95099999999759166</v>
      </c>
      <c r="K61">
        <v>0.97299999999740294</v>
      </c>
      <c r="L61">
        <v>99.271000000000001</v>
      </c>
      <c r="M61">
        <v>99.254999999999995</v>
      </c>
      <c r="N61" t="s">
        <v>581</v>
      </c>
      <c r="O61" t="s">
        <v>582</v>
      </c>
      <c r="P61" t="s">
        <v>513</v>
      </c>
      <c r="Q61" s="3">
        <v>44566</v>
      </c>
      <c r="R61" s="3">
        <v>46193</v>
      </c>
      <c r="S61" s="4">
        <f t="shared" ca="1" si="1"/>
        <v>0.72553045859000687</v>
      </c>
      <c r="T61">
        <f t="shared" si="2"/>
        <v>99.263000000000005</v>
      </c>
      <c r="U61" s="43">
        <v>60</v>
      </c>
      <c r="V61" s="4">
        <f t="shared" ca="1" si="3"/>
        <v>0.5</v>
      </c>
      <c r="W61" s="54">
        <f t="shared" ca="1" si="4"/>
        <v>4</v>
      </c>
      <c r="X61" s="4">
        <f t="shared" ca="1" si="0"/>
        <v>2.7472527472527475E-3</v>
      </c>
      <c r="Y61" s="4">
        <f t="shared" ca="1" si="6"/>
        <v>99.26025274725275</v>
      </c>
      <c r="Z61">
        <f t="shared" si="5"/>
        <v>0.9619999999974973</v>
      </c>
    </row>
    <row r="62" spans="1:26" x14ac:dyDescent="0.35">
      <c r="A62" t="s">
        <v>121</v>
      </c>
      <c r="B62" t="s">
        <v>406</v>
      </c>
      <c r="C62" t="s">
        <v>394</v>
      </c>
      <c r="D62" t="s">
        <v>395</v>
      </c>
      <c r="E62" t="s">
        <v>396</v>
      </c>
      <c r="F62" t="s">
        <v>583</v>
      </c>
      <c r="G62" t="s">
        <v>398</v>
      </c>
      <c r="H62">
        <v>2</v>
      </c>
      <c r="I62">
        <v>0.5</v>
      </c>
      <c r="J62">
        <v>3.2939999999568705</v>
      </c>
      <c r="K62">
        <v>3.318999999952756</v>
      </c>
      <c r="L62">
        <v>70.995000000000005</v>
      </c>
      <c r="M62">
        <v>70.811000000000007</v>
      </c>
      <c r="N62" t="s">
        <v>584</v>
      </c>
      <c r="O62" t="s">
        <v>585</v>
      </c>
      <c r="P62" t="s">
        <v>513</v>
      </c>
      <c r="Q62" s="3">
        <v>44568</v>
      </c>
      <c r="R62" s="3">
        <v>46193</v>
      </c>
      <c r="S62" s="4">
        <f t="shared" ca="1" si="1"/>
        <v>15.72621492128679</v>
      </c>
      <c r="T62">
        <f t="shared" si="2"/>
        <v>70.903000000000006</v>
      </c>
      <c r="U62" s="43">
        <v>61</v>
      </c>
      <c r="V62" s="4">
        <f t="shared" ca="1" si="3"/>
        <v>15.5</v>
      </c>
      <c r="W62" s="54">
        <f t="shared" ca="1" si="4"/>
        <v>4</v>
      </c>
      <c r="X62" s="4">
        <f t="shared" ca="1" si="0"/>
        <v>0.27472527472527475</v>
      </c>
      <c r="Y62" s="4">
        <f t="shared" ca="1" si="6"/>
        <v>70.628274725274736</v>
      </c>
      <c r="Z62">
        <f t="shared" si="5"/>
        <v>3.3064999999548133</v>
      </c>
    </row>
    <row r="63" spans="1:26" x14ac:dyDescent="0.35">
      <c r="A63" t="s">
        <v>122</v>
      </c>
      <c r="B63" t="s">
        <v>393</v>
      </c>
      <c r="C63" t="s">
        <v>394</v>
      </c>
      <c r="D63" t="s">
        <v>395</v>
      </c>
      <c r="E63" t="s">
        <v>396</v>
      </c>
      <c r="F63" t="s">
        <v>586</v>
      </c>
      <c r="G63" t="s">
        <v>398</v>
      </c>
      <c r="H63">
        <v>2</v>
      </c>
      <c r="I63">
        <v>0.2</v>
      </c>
      <c r="J63">
        <v>1.8069999998950457</v>
      </c>
      <c r="K63">
        <v>1.8229999998880817</v>
      </c>
      <c r="L63">
        <v>91.272000000000006</v>
      </c>
      <c r="M63">
        <v>91.192999999999998</v>
      </c>
      <c r="N63" t="s">
        <v>587</v>
      </c>
      <c r="O63" t="s">
        <v>588</v>
      </c>
      <c r="P63" t="s">
        <v>401</v>
      </c>
      <c r="Q63" s="3">
        <v>44649</v>
      </c>
      <c r="R63" s="3">
        <v>46101</v>
      </c>
      <c r="S63" s="4">
        <f t="shared" ca="1" si="1"/>
        <v>5.9739904175222449</v>
      </c>
      <c r="T63">
        <f t="shared" si="2"/>
        <v>91.232500000000002</v>
      </c>
      <c r="U63" s="43">
        <v>62</v>
      </c>
      <c r="V63" s="4">
        <f t="shared" ca="1" si="3"/>
        <v>5.5</v>
      </c>
      <c r="W63" s="54">
        <f t="shared" ca="1" si="4"/>
        <v>4</v>
      </c>
      <c r="X63" s="4">
        <f t="shared" ca="1" si="0"/>
        <v>0.20989010989010992</v>
      </c>
      <c r="Y63" s="4">
        <f t="shared" ca="1" si="6"/>
        <v>91.022609890109891</v>
      </c>
      <c r="Z63">
        <f t="shared" si="5"/>
        <v>1.8149999998915636</v>
      </c>
    </row>
    <row r="64" spans="1:26" x14ac:dyDescent="0.35">
      <c r="A64" t="s">
        <v>123</v>
      </c>
      <c r="B64" t="s">
        <v>402</v>
      </c>
      <c r="C64" t="s">
        <v>394</v>
      </c>
      <c r="D64" t="s">
        <v>395</v>
      </c>
      <c r="E64" t="s">
        <v>396</v>
      </c>
      <c r="F64" t="s">
        <v>589</v>
      </c>
      <c r="G64" t="s">
        <v>398</v>
      </c>
      <c r="H64">
        <v>2</v>
      </c>
      <c r="I64">
        <v>1</v>
      </c>
      <c r="J64">
        <v>4.4219999999999979</v>
      </c>
      <c r="K64">
        <v>4.4599999999999973</v>
      </c>
      <c r="L64">
        <v>58.595999999999997</v>
      </c>
      <c r="M64">
        <v>58.326999999999998</v>
      </c>
      <c r="N64" t="s">
        <v>590</v>
      </c>
      <c r="O64" t="s">
        <v>591</v>
      </c>
      <c r="P64" t="s">
        <v>401</v>
      </c>
      <c r="Q64" s="3">
        <v>44651</v>
      </c>
      <c r="R64" s="3">
        <v>46101</v>
      </c>
      <c r="S64" s="4">
        <f t="shared" ca="1" si="1"/>
        <v>25.973990417522245</v>
      </c>
      <c r="T64">
        <f t="shared" si="2"/>
        <v>58.461500000000001</v>
      </c>
      <c r="U64" s="43">
        <v>63</v>
      </c>
      <c r="V64" s="4">
        <f t="shared" ca="1" si="3"/>
        <v>25.5</v>
      </c>
      <c r="W64" s="54">
        <f t="shared" ca="1" si="4"/>
        <v>4</v>
      </c>
      <c r="X64" s="4">
        <f t="shared" ca="1" si="0"/>
        <v>1.0494505494505495</v>
      </c>
      <c r="Y64" s="4">
        <f t="shared" ca="1" si="6"/>
        <v>57.412049450549453</v>
      </c>
      <c r="Z64">
        <f t="shared" si="5"/>
        <v>4.4409999999999972</v>
      </c>
    </row>
    <row r="65" spans="1:26" x14ac:dyDescent="0.35">
      <c r="A65" t="s">
        <v>124</v>
      </c>
      <c r="B65" t="s">
        <v>541</v>
      </c>
      <c r="C65" t="s">
        <v>394</v>
      </c>
      <c r="D65" t="s">
        <v>395</v>
      </c>
      <c r="E65" t="s">
        <v>396</v>
      </c>
      <c r="F65" t="s">
        <v>410</v>
      </c>
      <c r="G65" t="s">
        <v>398</v>
      </c>
      <c r="H65">
        <v>2</v>
      </c>
      <c r="I65">
        <v>5.0000000000000001E-3</v>
      </c>
      <c r="J65">
        <v>0.99099999976548092</v>
      </c>
      <c r="K65">
        <v>1.0159999997422651</v>
      </c>
      <c r="L65">
        <v>99.001999999999995</v>
      </c>
      <c r="M65">
        <v>98.977000000000004</v>
      </c>
      <c r="N65" t="s">
        <v>592</v>
      </c>
      <c r="O65" t="s">
        <v>593</v>
      </c>
      <c r="P65" t="s">
        <v>401</v>
      </c>
      <c r="Q65" s="3">
        <v>44656</v>
      </c>
      <c r="R65" s="3">
        <v>46101</v>
      </c>
      <c r="S65" s="4">
        <f t="shared" ca="1" si="1"/>
        <v>0.97193702943189597</v>
      </c>
      <c r="T65">
        <f t="shared" si="2"/>
        <v>98.989499999999992</v>
      </c>
      <c r="U65" s="43">
        <v>64</v>
      </c>
      <c r="V65" s="4">
        <f t="shared" ca="1" si="3"/>
        <v>0.5</v>
      </c>
      <c r="W65" s="54">
        <f t="shared" ca="1" si="4"/>
        <v>4</v>
      </c>
      <c r="X65" s="4">
        <f t="shared" ca="1" si="0"/>
        <v>5.2472527472527475E-3</v>
      </c>
      <c r="Y65" s="4">
        <f t="shared" ca="1" si="6"/>
        <v>98.984252747252739</v>
      </c>
      <c r="Z65">
        <f t="shared" si="5"/>
        <v>1.0034999997538729</v>
      </c>
    </row>
    <row r="66" spans="1:26" x14ac:dyDescent="0.35">
      <c r="A66" t="s">
        <v>125</v>
      </c>
      <c r="B66" t="s">
        <v>406</v>
      </c>
      <c r="C66" t="s">
        <v>394</v>
      </c>
      <c r="D66" t="s">
        <v>395</v>
      </c>
      <c r="E66" t="s">
        <v>396</v>
      </c>
      <c r="F66" t="s">
        <v>594</v>
      </c>
      <c r="G66" t="s">
        <v>398</v>
      </c>
      <c r="H66">
        <v>2</v>
      </c>
      <c r="I66">
        <v>0.8</v>
      </c>
      <c r="J66">
        <v>3.2279999999946742</v>
      </c>
      <c r="K66">
        <v>3.2529999999940884</v>
      </c>
      <c r="L66">
        <v>74.358999999999995</v>
      </c>
      <c r="M66">
        <v>74.162999999999997</v>
      </c>
      <c r="N66" t="s">
        <v>595</v>
      </c>
      <c r="O66" t="s">
        <v>596</v>
      </c>
      <c r="P66" t="s">
        <v>401</v>
      </c>
      <c r="Q66" s="3">
        <v>44658</v>
      </c>
      <c r="R66" s="3">
        <v>46101</v>
      </c>
      <c r="S66" s="4">
        <f t="shared" ca="1" si="1"/>
        <v>15.972621492128679</v>
      </c>
      <c r="T66">
        <f t="shared" si="2"/>
        <v>74.260999999999996</v>
      </c>
      <c r="U66" s="43">
        <v>65</v>
      </c>
      <c r="V66" s="4">
        <f t="shared" ca="1" si="3"/>
        <v>15.5</v>
      </c>
      <c r="W66" s="54">
        <f t="shared" ca="1" si="4"/>
        <v>4</v>
      </c>
      <c r="X66" s="4">
        <f t="shared" ref="X66:X129" ca="1" si="7">(TODAY()-DATE(YEAR(R66),MONTH(R66)-6,DAY(R66)))/182*(I66)</f>
        <v>0.83956043956043969</v>
      </c>
      <c r="Y66" s="4">
        <f t="shared" ca="1" si="6"/>
        <v>73.421439560439552</v>
      </c>
      <c r="Z66">
        <f t="shared" si="5"/>
        <v>3.2404999999943813</v>
      </c>
    </row>
    <row r="67" spans="1:26" x14ac:dyDescent="0.35">
      <c r="A67" t="s">
        <v>126</v>
      </c>
      <c r="B67" t="s">
        <v>419</v>
      </c>
      <c r="C67" t="s">
        <v>394</v>
      </c>
      <c r="D67" t="s">
        <v>395</v>
      </c>
      <c r="E67" t="s">
        <v>396</v>
      </c>
      <c r="F67" t="s">
        <v>597</v>
      </c>
      <c r="G67" t="s">
        <v>398</v>
      </c>
      <c r="H67">
        <v>2</v>
      </c>
      <c r="I67">
        <v>1</v>
      </c>
      <c r="J67">
        <v>4.7289999999998997</v>
      </c>
      <c r="K67">
        <v>4.795999999999875</v>
      </c>
      <c r="L67">
        <v>50.313000000000002</v>
      </c>
      <c r="M67">
        <v>49.868000000000002</v>
      </c>
      <c r="N67" t="s">
        <v>598</v>
      </c>
      <c r="O67" t="s">
        <v>599</v>
      </c>
      <c r="P67" t="s">
        <v>401</v>
      </c>
      <c r="Q67" s="3">
        <v>44700</v>
      </c>
      <c r="R67" s="3">
        <v>46101</v>
      </c>
      <c r="S67" s="4">
        <f t="shared" ref="S67:S130" ca="1" si="8">(F67-TODAY())/365.25</f>
        <v>35.972621492128681</v>
      </c>
      <c r="T67">
        <f t="shared" ref="T67:T130" si="9">AVERAGE(L67:M67)</f>
        <v>50.090500000000006</v>
      </c>
      <c r="U67" s="43">
        <v>66</v>
      </c>
      <c r="V67" s="4">
        <f t="shared" ref="V67:V130" ca="1" si="10">ROUNDDOWN(S67,0)+IF(S67-ROUNDDOWN(S67,0)&gt;0.5,0.5,0)</f>
        <v>35.5</v>
      </c>
      <c r="W67" s="54">
        <f t="shared" ref="W67:W130" ca="1" si="11">YEAR(TODAY())-YEAR(Q67)</f>
        <v>4</v>
      </c>
      <c r="X67" s="4">
        <f t="shared" ca="1" si="7"/>
        <v>1.0494505494505495</v>
      </c>
      <c r="Y67" s="4">
        <f t="shared" ref="Y67:Y130" ca="1" si="12">T67-X67</f>
        <v>49.041049450549458</v>
      </c>
      <c r="Z67">
        <f t="shared" ref="Z67:Z130" si="13">AVERAGE(J67:K67)</f>
        <v>4.7624999999998874</v>
      </c>
    </row>
    <row r="68" spans="1:26" x14ac:dyDescent="0.35">
      <c r="A68" t="s">
        <v>127</v>
      </c>
      <c r="B68" t="s">
        <v>541</v>
      </c>
      <c r="C68" t="s">
        <v>394</v>
      </c>
      <c r="D68" t="s">
        <v>395</v>
      </c>
      <c r="E68" t="s">
        <v>396</v>
      </c>
      <c r="F68" t="s">
        <v>410</v>
      </c>
      <c r="G68" t="s">
        <v>398</v>
      </c>
      <c r="H68">
        <v>2</v>
      </c>
      <c r="I68">
        <v>0.1</v>
      </c>
      <c r="J68">
        <v>0.99199999984008069</v>
      </c>
      <c r="K68">
        <v>1.0159999998234326</v>
      </c>
      <c r="L68">
        <v>99.096999999999994</v>
      </c>
      <c r="M68">
        <v>99.072999999999993</v>
      </c>
      <c r="N68" t="s">
        <v>600</v>
      </c>
      <c r="O68" t="s">
        <v>601</v>
      </c>
      <c r="P68" t="s">
        <v>401</v>
      </c>
      <c r="Q68" s="3">
        <v>44726</v>
      </c>
      <c r="R68" s="3">
        <v>46101</v>
      </c>
      <c r="S68" s="4">
        <f t="shared" ca="1" si="8"/>
        <v>0.97193702943189597</v>
      </c>
      <c r="T68">
        <f t="shared" si="9"/>
        <v>99.084999999999994</v>
      </c>
      <c r="U68" s="43">
        <v>67</v>
      </c>
      <c r="V68" s="4">
        <f t="shared" ca="1" si="10"/>
        <v>0.5</v>
      </c>
      <c r="W68" s="54">
        <f t="shared" ca="1" si="11"/>
        <v>4</v>
      </c>
      <c r="X68" s="4">
        <f t="shared" ca="1" si="7"/>
        <v>0.10494505494505496</v>
      </c>
      <c r="Y68" s="4">
        <f t="shared" ca="1" si="12"/>
        <v>98.980054945054945</v>
      </c>
      <c r="Z68">
        <f t="shared" si="13"/>
        <v>1.0039999998317566</v>
      </c>
    </row>
    <row r="69" spans="1:26" x14ac:dyDescent="0.35">
      <c r="A69" t="s">
        <v>128</v>
      </c>
      <c r="B69" t="s">
        <v>393</v>
      </c>
      <c r="C69" t="s">
        <v>394</v>
      </c>
      <c r="D69" t="s">
        <v>395</v>
      </c>
      <c r="E69" t="s">
        <v>396</v>
      </c>
      <c r="F69" t="s">
        <v>602</v>
      </c>
      <c r="G69" t="s">
        <v>398</v>
      </c>
      <c r="H69">
        <v>2</v>
      </c>
      <c r="I69">
        <v>0.2</v>
      </c>
      <c r="J69">
        <v>1.8349999998885898</v>
      </c>
      <c r="K69">
        <v>1.8519999998808494</v>
      </c>
      <c r="L69">
        <v>90.801000000000002</v>
      </c>
      <c r="M69">
        <v>90.713999999999999</v>
      </c>
      <c r="N69" t="s">
        <v>603</v>
      </c>
      <c r="O69" t="s">
        <v>604</v>
      </c>
      <c r="P69" t="s">
        <v>401</v>
      </c>
      <c r="Q69" s="3">
        <v>44740</v>
      </c>
      <c r="R69" s="3">
        <v>46193</v>
      </c>
      <c r="S69" s="4">
        <f t="shared" ca="1" si="8"/>
        <v>6.2258726899383987</v>
      </c>
      <c r="T69">
        <f t="shared" si="9"/>
        <v>90.757499999999993</v>
      </c>
      <c r="U69" s="43">
        <v>68</v>
      </c>
      <c r="V69" s="4">
        <f t="shared" ca="1" si="10"/>
        <v>6</v>
      </c>
      <c r="W69" s="54">
        <f t="shared" ca="1" si="11"/>
        <v>4</v>
      </c>
      <c r="X69" s="4">
        <f t="shared" ca="1" si="7"/>
        <v>0.1098901098901099</v>
      </c>
      <c r="Y69" s="4">
        <f t="shared" ca="1" si="12"/>
        <v>90.647609890109877</v>
      </c>
      <c r="Z69">
        <f t="shared" si="13"/>
        <v>1.8434999998847195</v>
      </c>
    </row>
    <row r="70" spans="1:26" x14ac:dyDescent="0.35">
      <c r="A70" t="s">
        <v>129</v>
      </c>
      <c r="B70" t="s">
        <v>402</v>
      </c>
      <c r="C70" t="s">
        <v>394</v>
      </c>
      <c r="D70" t="s">
        <v>395</v>
      </c>
      <c r="E70" t="s">
        <v>396</v>
      </c>
      <c r="F70" t="s">
        <v>605</v>
      </c>
      <c r="G70" t="s">
        <v>398</v>
      </c>
      <c r="H70">
        <v>2</v>
      </c>
      <c r="I70">
        <v>1.3</v>
      </c>
      <c r="J70">
        <v>4.2389999999999981</v>
      </c>
      <c r="K70">
        <v>4.2769999999999992</v>
      </c>
      <c r="L70">
        <v>63.468000000000004</v>
      </c>
      <c r="M70">
        <v>63.168999999999997</v>
      </c>
      <c r="N70" t="s">
        <v>606</v>
      </c>
      <c r="O70" t="s">
        <v>607</v>
      </c>
      <c r="P70" t="s">
        <v>401</v>
      </c>
      <c r="Q70" s="3">
        <v>44742</v>
      </c>
      <c r="R70" s="3">
        <v>46193</v>
      </c>
      <c r="S70" s="4">
        <f t="shared" ca="1" si="8"/>
        <v>26.225872689938399</v>
      </c>
      <c r="T70">
        <f t="shared" si="9"/>
        <v>63.3185</v>
      </c>
      <c r="U70" s="43">
        <v>69</v>
      </c>
      <c r="V70" s="4">
        <f t="shared" ca="1" si="10"/>
        <v>26</v>
      </c>
      <c r="W70" s="54">
        <f t="shared" ca="1" si="11"/>
        <v>4</v>
      </c>
      <c r="X70" s="4">
        <f t="shared" ca="1" si="7"/>
        <v>0.71428571428571441</v>
      </c>
      <c r="Y70" s="4">
        <f t="shared" ca="1" si="12"/>
        <v>62.604214285714285</v>
      </c>
      <c r="Z70">
        <f t="shared" si="13"/>
        <v>4.2579999999999991</v>
      </c>
    </row>
    <row r="71" spans="1:26" x14ac:dyDescent="0.35">
      <c r="A71" t="s">
        <v>130</v>
      </c>
      <c r="B71" t="s">
        <v>541</v>
      </c>
      <c r="C71" t="s">
        <v>394</v>
      </c>
      <c r="D71" t="s">
        <v>395</v>
      </c>
      <c r="E71" t="s">
        <v>396</v>
      </c>
      <c r="F71" t="s">
        <v>423</v>
      </c>
      <c r="G71" t="s">
        <v>398</v>
      </c>
      <c r="H71">
        <v>2</v>
      </c>
      <c r="I71">
        <v>5.0000000000000001E-3</v>
      </c>
      <c r="J71">
        <v>1.0599999998174168</v>
      </c>
      <c r="K71">
        <v>1.084999999801123</v>
      </c>
      <c r="L71">
        <v>98.673000000000002</v>
      </c>
      <c r="M71">
        <v>98.641999999999996</v>
      </c>
      <c r="N71" t="s">
        <v>608</v>
      </c>
      <c r="O71" t="s">
        <v>609</v>
      </c>
      <c r="P71" t="s">
        <v>401</v>
      </c>
      <c r="Q71" s="3">
        <v>44747</v>
      </c>
      <c r="R71" s="3">
        <v>46193</v>
      </c>
      <c r="S71" s="4">
        <f t="shared" ca="1" si="8"/>
        <v>1.2238193018480492</v>
      </c>
      <c r="T71">
        <f t="shared" si="9"/>
        <v>98.657499999999999</v>
      </c>
      <c r="U71" s="43">
        <v>70</v>
      </c>
      <c r="V71" s="4">
        <f t="shared" ca="1" si="10"/>
        <v>1</v>
      </c>
      <c r="W71" s="54">
        <f t="shared" ca="1" si="11"/>
        <v>4</v>
      </c>
      <c r="X71" s="4">
        <f t="shared" ca="1" si="7"/>
        <v>2.7472527472527475E-3</v>
      </c>
      <c r="Y71" s="4">
        <f t="shared" ca="1" si="12"/>
        <v>98.654752747252743</v>
      </c>
      <c r="Z71">
        <f t="shared" si="13"/>
        <v>1.0724999998092699</v>
      </c>
    </row>
    <row r="72" spans="1:26" x14ac:dyDescent="0.35">
      <c r="A72" t="s">
        <v>131</v>
      </c>
      <c r="B72" t="s">
        <v>406</v>
      </c>
      <c r="C72" t="s">
        <v>394</v>
      </c>
      <c r="D72" t="s">
        <v>395</v>
      </c>
      <c r="E72" t="s">
        <v>396</v>
      </c>
      <c r="F72" t="s">
        <v>610</v>
      </c>
      <c r="G72" t="s">
        <v>398</v>
      </c>
      <c r="H72">
        <v>2</v>
      </c>
      <c r="I72">
        <v>0.9</v>
      </c>
      <c r="J72">
        <v>3.2309999999975059</v>
      </c>
      <c r="K72">
        <v>3.2559999999972229</v>
      </c>
      <c r="L72">
        <v>75.138000000000005</v>
      </c>
      <c r="M72">
        <v>74.938000000000002</v>
      </c>
      <c r="N72" t="s">
        <v>611</v>
      </c>
      <c r="O72" t="s">
        <v>612</v>
      </c>
      <c r="P72" t="s">
        <v>401</v>
      </c>
      <c r="Q72" s="3">
        <v>44749</v>
      </c>
      <c r="R72" s="3">
        <v>46193</v>
      </c>
      <c r="S72" s="4">
        <f t="shared" ca="1" si="8"/>
        <v>16.224503764544831</v>
      </c>
      <c r="T72">
        <f t="shared" si="9"/>
        <v>75.038000000000011</v>
      </c>
      <c r="U72" s="43">
        <v>71</v>
      </c>
      <c r="V72" s="4">
        <f t="shared" ca="1" si="10"/>
        <v>16</v>
      </c>
      <c r="W72" s="54">
        <f t="shared" ca="1" si="11"/>
        <v>4</v>
      </c>
      <c r="X72" s="4">
        <f t="shared" ca="1" si="7"/>
        <v>0.49450549450549458</v>
      </c>
      <c r="Y72" s="4">
        <f t="shared" ca="1" si="12"/>
        <v>74.543494505494522</v>
      </c>
      <c r="Z72">
        <f t="shared" si="13"/>
        <v>3.2434999999973644</v>
      </c>
    </row>
    <row r="73" spans="1:26" x14ac:dyDescent="0.35">
      <c r="A73" t="s">
        <v>132</v>
      </c>
      <c r="B73" t="s">
        <v>393</v>
      </c>
      <c r="C73" t="s">
        <v>394</v>
      </c>
      <c r="D73" t="s">
        <v>395</v>
      </c>
      <c r="E73" t="s">
        <v>396</v>
      </c>
      <c r="F73" t="s">
        <v>613</v>
      </c>
      <c r="G73" t="s">
        <v>398</v>
      </c>
      <c r="H73">
        <v>2</v>
      </c>
      <c r="I73">
        <v>0.2</v>
      </c>
      <c r="J73">
        <v>1.8649999999999975</v>
      </c>
      <c r="K73">
        <v>1.8810000000000002</v>
      </c>
      <c r="L73">
        <v>90.313000000000002</v>
      </c>
      <c r="M73">
        <v>90.228999999999999</v>
      </c>
      <c r="N73" t="s">
        <v>614</v>
      </c>
      <c r="O73" t="s">
        <v>615</v>
      </c>
      <c r="P73" t="s">
        <v>401</v>
      </c>
      <c r="Q73" s="3">
        <v>44831</v>
      </c>
      <c r="R73" s="3">
        <v>46101</v>
      </c>
      <c r="S73" s="4">
        <f t="shared" ca="1" si="8"/>
        <v>6.4777549623545516</v>
      </c>
      <c r="T73">
        <f t="shared" si="9"/>
        <v>90.271000000000001</v>
      </c>
      <c r="U73" s="43">
        <v>72</v>
      </c>
      <c r="V73" s="4">
        <f t="shared" ca="1" si="10"/>
        <v>6</v>
      </c>
      <c r="W73" s="54">
        <f t="shared" ca="1" si="11"/>
        <v>4</v>
      </c>
      <c r="X73" s="4">
        <f t="shared" ca="1" si="7"/>
        <v>0.20989010989010992</v>
      </c>
      <c r="Y73" s="4">
        <f t="shared" ca="1" si="12"/>
        <v>90.06110989010989</v>
      </c>
      <c r="Z73">
        <f t="shared" si="13"/>
        <v>1.8729999999999989</v>
      </c>
    </row>
    <row r="74" spans="1:26" x14ac:dyDescent="0.35">
      <c r="A74" t="s">
        <v>133</v>
      </c>
      <c r="B74" t="s">
        <v>402</v>
      </c>
      <c r="C74" t="s">
        <v>394</v>
      </c>
      <c r="D74" t="s">
        <v>395</v>
      </c>
      <c r="E74" t="s">
        <v>396</v>
      </c>
      <c r="F74" t="s">
        <v>616</v>
      </c>
      <c r="G74" t="s">
        <v>398</v>
      </c>
      <c r="H74">
        <v>2</v>
      </c>
      <c r="I74">
        <v>1.4</v>
      </c>
      <c r="J74">
        <v>4.1819999999388786</v>
      </c>
      <c r="K74">
        <v>4.222999999929792</v>
      </c>
      <c r="L74">
        <v>65.013999999999996</v>
      </c>
      <c r="M74">
        <v>64.680999999999997</v>
      </c>
      <c r="N74" t="s">
        <v>617</v>
      </c>
      <c r="O74" t="s">
        <v>618</v>
      </c>
      <c r="P74" t="s">
        <v>401</v>
      </c>
      <c r="Q74" s="3">
        <v>44839</v>
      </c>
      <c r="R74" s="3">
        <v>46101</v>
      </c>
      <c r="S74" s="4">
        <f t="shared" ca="1" si="8"/>
        <v>26.477754962354553</v>
      </c>
      <c r="T74">
        <f t="shared" si="9"/>
        <v>64.847499999999997</v>
      </c>
      <c r="U74" s="43">
        <v>73</v>
      </c>
      <c r="V74" s="4">
        <f t="shared" ca="1" si="10"/>
        <v>26</v>
      </c>
      <c r="W74" s="54">
        <f t="shared" ca="1" si="11"/>
        <v>4</v>
      </c>
      <c r="X74" s="4">
        <f t="shared" ca="1" si="7"/>
        <v>1.4692307692307691</v>
      </c>
      <c r="Y74" s="4">
        <f t="shared" ca="1" si="12"/>
        <v>63.378269230769227</v>
      </c>
      <c r="Z74">
        <f t="shared" si="13"/>
        <v>4.2024999999343358</v>
      </c>
    </row>
    <row r="75" spans="1:26" x14ac:dyDescent="0.35">
      <c r="A75" t="s">
        <v>134</v>
      </c>
      <c r="B75" t="s">
        <v>541</v>
      </c>
      <c r="C75" t="s">
        <v>394</v>
      </c>
      <c r="D75" t="s">
        <v>395</v>
      </c>
      <c r="E75" t="s">
        <v>396</v>
      </c>
      <c r="F75" t="s">
        <v>432</v>
      </c>
      <c r="G75" t="s">
        <v>398</v>
      </c>
      <c r="H75">
        <v>2</v>
      </c>
      <c r="I75">
        <v>0.1</v>
      </c>
      <c r="J75">
        <v>1.1440000000000041</v>
      </c>
      <c r="K75">
        <v>1.1670000000000009</v>
      </c>
      <c r="L75">
        <v>98.433999999999997</v>
      </c>
      <c r="M75">
        <v>98.4</v>
      </c>
      <c r="N75" t="s">
        <v>619</v>
      </c>
      <c r="O75" t="s">
        <v>620</v>
      </c>
      <c r="P75" t="s">
        <v>401</v>
      </c>
      <c r="Q75" s="3">
        <v>44841</v>
      </c>
      <c r="R75" s="3">
        <v>46101</v>
      </c>
      <c r="S75" s="4">
        <f t="shared" ca="1" si="8"/>
        <v>1.4757015742642026</v>
      </c>
      <c r="T75">
        <f t="shared" si="9"/>
        <v>98.417000000000002</v>
      </c>
      <c r="U75" s="43">
        <v>74</v>
      </c>
      <c r="V75" s="4">
        <f t="shared" ca="1" si="10"/>
        <v>1</v>
      </c>
      <c r="W75" s="54">
        <f t="shared" ca="1" si="11"/>
        <v>4</v>
      </c>
      <c r="X75" s="4">
        <f t="shared" ca="1" si="7"/>
        <v>0.10494505494505496</v>
      </c>
      <c r="Y75" s="4">
        <f t="shared" ca="1" si="12"/>
        <v>98.312054945054953</v>
      </c>
      <c r="Z75">
        <f t="shared" si="13"/>
        <v>1.1555000000000026</v>
      </c>
    </row>
    <row r="76" spans="1:26" x14ac:dyDescent="0.35">
      <c r="A76" t="s">
        <v>135</v>
      </c>
      <c r="B76" t="s">
        <v>406</v>
      </c>
      <c r="C76" t="s">
        <v>394</v>
      </c>
      <c r="D76" t="s">
        <v>395</v>
      </c>
      <c r="E76" t="s">
        <v>396</v>
      </c>
      <c r="F76" t="s">
        <v>621</v>
      </c>
      <c r="G76" t="s">
        <v>398</v>
      </c>
      <c r="H76">
        <v>2</v>
      </c>
      <c r="I76">
        <v>1.1000000000000001</v>
      </c>
      <c r="J76">
        <v>3.2059999999993622</v>
      </c>
      <c r="K76">
        <v>3.2309999999992822</v>
      </c>
      <c r="L76">
        <v>77.248999999999995</v>
      </c>
      <c r="M76">
        <v>77.040999999999997</v>
      </c>
      <c r="N76" t="s">
        <v>622</v>
      </c>
      <c r="O76" t="s">
        <v>623</v>
      </c>
      <c r="P76" t="s">
        <v>401</v>
      </c>
      <c r="Q76" s="3">
        <v>44845</v>
      </c>
      <c r="R76" s="3">
        <v>46101</v>
      </c>
      <c r="S76" s="4">
        <f t="shared" ca="1" si="8"/>
        <v>16.476386036960985</v>
      </c>
      <c r="T76">
        <f t="shared" si="9"/>
        <v>77.144999999999996</v>
      </c>
      <c r="U76" s="43">
        <v>75</v>
      </c>
      <c r="V76" s="4">
        <f t="shared" ca="1" si="10"/>
        <v>16</v>
      </c>
      <c r="W76" s="54">
        <f t="shared" ca="1" si="11"/>
        <v>4</v>
      </c>
      <c r="X76" s="4">
        <f t="shared" ca="1" si="7"/>
        <v>1.1543956043956045</v>
      </c>
      <c r="Y76" s="4">
        <f t="shared" ca="1" si="12"/>
        <v>75.990604395604393</v>
      </c>
      <c r="Z76">
        <f t="shared" si="13"/>
        <v>3.218499999999322</v>
      </c>
    </row>
    <row r="77" spans="1:26" x14ac:dyDescent="0.35">
      <c r="A77" t="s">
        <v>136</v>
      </c>
      <c r="B77" t="s">
        <v>624</v>
      </c>
      <c r="C77" t="s">
        <v>394</v>
      </c>
      <c r="D77" t="s">
        <v>395</v>
      </c>
      <c r="E77" t="s">
        <v>396</v>
      </c>
      <c r="F77" t="s">
        <v>625</v>
      </c>
      <c r="G77" t="s">
        <v>398</v>
      </c>
      <c r="H77">
        <v>2</v>
      </c>
      <c r="I77">
        <v>1</v>
      </c>
      <c r="J77">
        <v>1.1809999999972578</v>
      </c>
      <c r="K77">
        <v>1.2009999999961727</v>
      </c>
      <c r="L77">
        <v>99.694000000000003</v>
      </c>
      <c r="M77">
        <v>99.66</v>
      </c>
      <c r="N77" t="s">
        <v>626</v>
      </c>
      <c r="O77" t="s">
        <v>627</v>
      </c>
      <c r="P77" t="s">
        <v>401</v>
      </c>
      <c r="Q77" s="3">
        <v>45982</v>
      </c>
      <c r="R77" s="3">
        <v>46174</v>
      </c>
      <c r="S77" s="4">
        <f t="shared" ca="1" si="8"/>
        <v>1.6728268309377139</v>
      </c>
      <c r="T77">
        <f t="shared" si="9"/>
        <v>99.676999999999992</v>
      </c>
      <c r="U77" s="43">
        <v>76</v>
      </c>
      <c r="V77" s="4">
        <f t="shared" ca="1" si="10"/>
        <v>1.5</v>
      </c>
      <c r="W77" s="54">
        <f t="shared" ca="1" si="11"/>
        <v>1</v>
      </c>
      <c r="X77" s="4">
        <f t="shared" ca="1" si="7"/>
        <v>0.65384615384615385</v>
      </c>
      <c r="Y77" s="4">
        <f t="shared" ca="1" si="12"/>
        <v>99.023153846153832</v>
      </c>
      <c r="Z77">
        <f t="shared" si="13"/>
        <v>1.1909999999967154</v>
      </c>
    </row>
    <row r="78" spans="1:26" x14ac:dyDescent="0.35">
      <c r="A78" t="s">
        <v>137</v>
      </c>
      <c r="B78" t="s">
        <v>541</v>
      </c>
      <c r="C78" t="s">
        <v>394</v>
      </c>
      <c r="D78" t="s">
        <v>395</v>
      </c>
      <c r="E78" t="s">
        <v>396</v>
      </c>
      <c r="F78" t="s">
        <v>628</v>
      </c>
      <c r="G78" t="s">
        <v>398</v>
      </c>
      <c r="H78">
        <v>2</v>
      </c>
      <c r="I78">
        <v>1.4</v>
      </c>
      <c r="J78">
        <v>1.5649999998660922</v>
      </c>
      <c r="K78">
        <v>1.5869999998003588</v>
      </c>
      <c r="L78">
        <v>99.302000000000007</v>
      </c>
      <c r="M78">
        <v>99.21</v>
      </c>
      <c r="N78" t="s">
        <v>629</v>
      </c>
      <c r="O78" t="s">
        <v>630</v>
      </c>
      <c r="P78" t="s">
        <v>401</v>
      </c>
      <c r="Q78" s="3">
        <v>45993</v>
      </c>
      <c r="R78" s="3">
        <v>46101</v>
      </c>
      <c r="S78" s="4">
        <f t="shared" ca="1" si="8"/>
        <v>4.476386036960986</v>
      </c>
      <c r="T78">
        <f t="shared" si="9"/>
        <v>99.256</v>
      </c>
      <c r="U78" s="43">
        <v>77</v>
      </c>
      <c r="V78" s="4">
        <f t="shared" ca="1" si="10"/>
        <v>4</v>
      </c>
      <c r="W78" s="54">
        <f t="shared" ca="1" si="11"/>
        <v>1</v>
      </c>
      <c r="X78" s="4">
        <f t="shared" ca="1" si="7"/>
        <v>1.4692307692307691</v>
      </c>
      <c r="Y78" s="4">
        <f t="shared" ca="1" si="12"/>
        <v>97.786769230769238</v>
      </c>
      <c r="Z78">
        <f t="shared" si="13"/>
        <v>1.5759999998332255</v>
      </c>
    </row>
    <row r="79" spans="1:26" x14ac:dyDescent="0.35">
      <c r="A79" t="s">
        <v>138</v>
      </c>
      <c r="B79" t="s">
        <v>624</v>
      </c>
      <c r="C79" t="s">
        <v>394</v>
      </c>
      <c r="D79" t="s">
        <v>395</v>
      </c>
      <c r="E79" t="s">
        <v>396</v>
      </c>
      <c r="F79" t="s">
        <v>631</v>
      </c>
      <c r="G79" t="s">
        <v>398</v>
      </c>
      <c r="H79">
        <v>2</v>
      </c>
      <c r="I79">
        <v>1.1000000000000001</v>
      </c>
      <c r="J79">
        <v>1.1979999999996318</v>
      </c>
      <c r="K79">
        <v>1.2199999999993183</v>
      </c>
      <c r="L79">
        <v>99.825999999999993</v>
      </c>
      <c r="M79">
        <v>99.787000000000006</v>
      </c>
      <c r="N79" t="s">
        <v>632</v>
      </c>
      <c r="O79" t="s">
        <v>633</v>
      </c>
      <c r="P79" t="s">
        <v>401</v>
      </c>
      <c r="Q79" s="3">
        <v>46009</v>
      </c>
      <c r="R79" s="3">
        <v>46204</v>
      </c>
      <c r="S79" s="4">
        <f t="shared" ca="1" si="8"/>
        <v>1.7577002053388091</v>
      </c>
      <c r="T79">
        <f t="shared" si="9"/>
        <v>99.8065</v>
      </c>
      <c r="U79" s="43">
        <v>78</v>
      </c>
      <c r="V79" s="4">
        <f t="shared" ca="1" si="10"/>
        <v>1.5</v>
      </c>
      <c r="W79" s="54">
        <f t="shared" ca="1" si="11"/>
        <v>1</v>
      </c>
      <c r="X79" s="4">
        <f t="shared" ca="1" si="7"/>
        <v>0.53186813186813187</v>
      </c>
      <c r="Y79" s="4">
        <f t="shared" ca="1" si="12"/>
        <v>99.274631868131863</v>
      </c>
      <c r="Z79">
        <f t="shared" si="13"/>
        <v>1.2089999999994752</v>
      </c>
    </row>
    <row r="80" spans="1:26" x14ac:dyDescent="0.35">
      <c r="A80" t="s">
        <v>139</v>
      </c>
      <c r="B80" t="s">
        <v>393</v>
      </c>
      <c r="C80" t="s">
        <v>394</v>
      </c>
      <c r="D80" t="s">
        <v>395</v>
      </c>
      <c r="E80" t="s">
        <v>396</v>
      </c>
      <c r="F80" t="s">
        <v>634</v>
      </c>
      <c r="G80" t="s">
        <v>398</v>
      </c>
      <c r="H80">
        <v>2</v>
      </c>
      <c r="I80">
        <v>2.1</v>
      </c>
      <c r="J80">
        <v>2.1609999999509681</v>
      </c>
      <c r="K80">
        <v>2.1799999998873618</v>
      </c>
      <c r="L80">
        <v>99.507000000000005</v>
      </c>
      <c r="M80">
        <v>99.355000000000004</v>
      </c>
      <c r="N80" t="s">
        <v>635</v>
      </c>
      <c r="O80" t="s">
        <v>636</v>
      </c>
      <c r="P80" t="s">
        <v>401</v>
      </c>
      <c r="Q80" s="3">
        <v>46017</v>
      </c>
      <c r="R80" s="3">
        <v>46193</v>
      </c>
      <c r="S80" s="4">
        <f t="shared" ca="1" si="8"/>
        <v>9.7248459958932241</v>
      </c>
      <c r="T80">
        <f t="shared" si="9"/>
        <v>99.431000000000012</v>
      </c>
      <c r="U80" s="43">
        <v>79</v>
      </c>
      <c r="V80" s="4">
        <f t="shared" ca="1" si="10"/>
        <v>9.5</v>
      </c>
      <c r="W80" s="54">
        <f t="shared" ca="1" si="11"/>
        <v>1</v>
      </c>
      <c r="X80" s="4">
        <f t="shared" ca="1" si="7"/>
        <v>1.153846153846154</v>
      </c>
      <c r="Y80" s="4">
        <f t="shared" ca="1" si="12"/>
        <v>98.277153846153851</v>
      </c>
      <c r="Z80">
        <f t="shared" si="13"/>
        <v>2.1704999999191648</v>
      </c>
    </row>
    <row r="81" spans="1:26" x14ac:dyDescent="0.35">
      <c r="A81" t="s">
        <v>140</v>
      </c>
      <c r="B81" t="s">
        <v>402</v>
      </c>
      <c r="C81" t="s">
        <v>394</v>
      </c>
      <c r="D81" t="s">
        <v>395</v>
      </c>
      <c r="E81" t="s">
        <v>396</v>
      </c>
      <c r="F81" t="s">
        <v>637</v>
      </c>
      <c r="G81" t="s">
        <v>398</v>
      </c>
      <c r="H81">
        <v>2</v>
      </c>
      <c r="I81">
        <v>3.4</v>
      </c>
      <c r="J81">
        <v>3.4019999999999953</v>
      </c>
      <c r="K81">
        <v>3.4399999999657389</v>
      </c>
      <c r="L81">
        <v>99.97</v>
      </c>
      <c r="M81">
        <v>99.411000000000001</v>
      </c>
      <c r="N81" t="s">
        <v>638</v>
      </c>
      <c r="O81" t="s">
        <v>639</v>
      </c>
      <c r="P81" t="s">
        <v>401</v>
      </c>
      <c r="Q81" s="3">
        <v>46017</v>
      </c>
      <c r="R81" s="3">
        <v>46193</v>
      </c>
      <c r="S81" s="4">
        <f t="shared" ca="1" si="8"/>
        <v>29.724845995893222</v>
      </c>
      <c r="T81">
        <f t="shared" si="9"/>
        <v>99.6905</v>
      </c>
      <c r="U81" s="43">
        <v>80</v>
      </c>
      <c r="V81" s="4">
        <f t="shared" ca="1" si="10"/>
        <v>29.5</v>
      </c>
      <c r="W81" s="54">
        <f t="shared" ca="1" si="11"/>
        <v>1</v>
      </c>
      <c r="X81" s="4">
        <f t="shared" ca="1" si="7"/>
        <v>1.8681318681318682</v>
      </c>
      <c r="Y81" s="4">
        <f t="shared" ca="1" si="12"/>
        <v>97.822368131868132</v>
      </c>
      <c r="Z81">
        <f t="shared" si="13"/>
        <v>3.4209999999828673</v>
      </c>
    </row>
    <row r="82" spans="1:26" x14ac:dyDescent="0.35">
      <c r="A82" t="s">
        <v>141</v>
      </c>
      <c r="B82" t="s">
        <v>624</v>
      </c>
      <c r="C82" t="s">
        <v>394</v>
      </c>
      <c r="D82" t="s">
        <v>395</v>
      </c>
      <c r="E82" t="s">
        <v>396</v>
      </c>
      <c r="F82" t="s">
        <v>640</v>
      </c>
      <c r="G82" t="s">
        <v>398</v>
      </c>
      <c r="H82">
        <v>2</v>
      </c>
      <c r="I82">
        <v>1.3</v>
      </c>
      <c r="J82">
        <v>1.2350000000000778</v>
      </c>
      <c r="K82">
        <v>1.2550000000000199</v>
      </c>
      <c r="L82">
        <v>100.125</v>
      </c>
      <c r="M82">
        <v>100.086</v>
      </c>
      <c r="N82" t="s">
        <v>641</v>
      </c>
      <c r="O82" t="s">
        <v>642</v>
      </c>
      <c r="P82" t="s">
        <v>513</v>
      </c>
      <c r="Q82" s="3">
        <v>46073</v>
      </c>
      <c r="R82" s="3">
        <v>46266</v>
      </c>
      <c r="S82" s="4">
        <f t="shared" ca="1" si="8"/>
        <v>1.9219712525667352</v>
      </c>
      <c r="T82">
        <f t="shared" si="9"/>
        <v>100.10550000000001</v>
      </c>
      <c r="U82" s="43">
        <v>81</v>
      </c>
      <c r="V82" s="4">
        <f t="shared" ca="1" si="10"/>
        <v>1.5</v>
      </c>
      <c r="W82" s="54">
        <f t="shared" ca="1" si="11"/>
        <v>0</v>
      </c>
      <c r="X82" s="4">
        <f t="shared" ca="1" si="7"/>
        <v>0.20714285714285713</v>
      </c>
      <c r="Y82" s="4">
        <f t="shared" ca="1" si="12"/>
        <v>99.898357142857151</v>
      </c>
      <c r="Z82">
        <f t="shared" si="13"/>
        <v>1.245000000000049</v>
      </c>
    </row>
    <row r="83" spans="1:26" x14ac:dyDescent="0.35">
      <c r="A83" t="s">
        <v>142</v>
      </c>
      <c r="B83" t="s">
        <v>402</v>
      </c>
      <c r="C83" t="s">
        <v>394</v>
      </c>
      <c r="D83" t="s">
        <v>395</v>
      </c>
      <c r="E83" t="s">
        <v>396</v>
      </c>
      <c r="F83" t="s">
        <v>643</v>
      </c>
      <c r="G83" t="s">
        <v>398</v>
      </c>
      <c r="H83">
        <v>2</v>
      </c>
      <c r="I83">
        <v>2.8</v>
      </c>
      <c r="J83">
        <v>1.4089999999996365</v>
      </c>
      <c r="K83">
        <v>1.4339999999996769</v>
      </c>
      <c r="L83">
        <v>104.672</v>
      </c>
      <c r="M83">
        <v>104.584</v>
      </c>
      <c r="N83" t="s">
        <v>644</v>
      </c>
      <c r="O83" t="s">
        <v>645</v>
      </c>
      <c r="P83" t="s">
        <v>401</v>
      </c>
      <c r="Q83" s="3">
        <v>36405</v>
      </c>
      <c r="R83" s="3">
        <v>46101</v>
      </c>
      <c r="S83" s="4">
        <f t="shared" ca="1" si="8"/>
        <v>3.4770704996577688</v>
      </c>
      <c r="T83">
        <f t="shared" si="9"/>
        <v>104.628</v>
      </c>
      <c r="U83" s="43">
        <v>82</v>
      </c>
      <c r="V83" s="4">
        <f t="shared" ca="1" si="10"/>
        <v>3</v>
      </c>
      <c r="W83" s="54">
        <f t="shared" ca="1" si="11"/>
        <v>27</v>
      </c>
      <c r="X83" s="4">
        <f t="shared" ca="1" si="7"/>
        <v>2.9384615384615382</v>
      </c>
      <c r="Y83" s="4">
        <f t="shared" ca="1" si="12"/>
        <v>101.68953846153846</v>
      </c>
      <c r="Z83">
        <f t="shared" si="13"/>
        <v>1.4214999999996567</v>
      </c>
    </row>
    <row r="84" spans="1:26" x14ac:dyDescent="0.35">
      <c r="A84" t="s">
        <v>143</v>
      </c>
      <c r="B84" t="s">
        <v>402</v>
      </c>
      <c r="C84" t="s">
        <v>394</v>
      </c>
      <c r="D84" t="s">
        <v>395</v>
      </c>
      <c r="E84" t="s">
        <v>396</v>
      </c>
      <c r="F84" t="s">
        <v>646</v>
      </c>
      <c r="G84" t="s">
        <v>398</v>
      </c>
      <c r="H84">
        <v>2</v>
      </c>
      <c r="I84">
        <v>2.4</v>
      </c>
      <c r="J84">
        <v>1.4719999999999784</v>
      </c>
      <c r="K84">
        <v>1.4959999999999769</v>
      </c>
      <c r="L84">
        <v>103.46</v>
      </c>
      <c r="M84">
        <v>103.367</v>
      </c>
      <c r="N84" t="s">
        <v>647</v>
      </c>
      <c r="O84" t="s">
        <v>648</v>
      </c>
      <c r="P84" t="s">
        <v>401</v>
      </c>
      <c r="Q84" s="3">
        <v>36559</v>
      </c>
      <c r="R84" s="3">
        <v>46254</v>
      </c>
      <c r="S84" s="4">
        <f t="shared" ca="1" si="8"/>
        <v>3.8959616700889801</v>
      </c>
      <c r="T84">
        <f t="shared" si="9"/>
        <v>103.4135</v>
      </c>
      <c r="U84" s="43">
        <v>83</v>
      </c>
      <c r="V84" s="4">
        <f t="shared" ca="1" si="10"/>
        <v>3.5</v>
      </c>
      <c r="W84" s="54">
        <f t="shared" ca="1" si="11"/>
        <v>26</v>
      </c>
      <c r="X84" s="4">
        <f t="shared" ca="1" si="7"/>
        <v>0.50109890109890109</v>
      </c>
      <c r="Y84" s="4">
        <f t="shared" ca="1" si="12"/>
        <v>102.9124010989011</v>
      </c>
      <c r="Z84">
        <f t="shared" si="13"/>
        <v>1.4839999999999778</v>
      </c>
    </row>
    <row r="85" spans="1:26" x14ac:dyDescent="0.35">
      <c r="A85" t="s">
        <v>144</v>
      </c>
      <c r="B85" t="s">
        <v>402</v>
      </c>
      <c r="C85" t="s">
        <v>394</v>
      </c>
      <c r="D85" t="s">
        <v>395</v>
      </c>
      <c r="E85" t="s">
        <v>396</v>
      </c>
      <c r="F85" t="s">
        <v>649</v>
      </c>
      <c r="G85" t="s">
        <v>398</v>
      </c>
      <c r="H85">
        <v>2</v>
      </c>
      <c r="I85">
        <v>2.2999999999999998</v>
      </c>
      <c r="J85">
        <v>1.5059999999999718</v>
      </c>
      <c r="K85">
        <v>1.5299999999999701</v>
      </c>
      <c r="L85">
        <v>103.128</v>
      </c>
      <c r="M85">
        <v>103.03100000000001</v>
      </c>
      <c r="N85" t="s">
        <v>650</v>
      </c>
      <c r="O85" t="s">
        <v>651</v>
      </c>
      <c r="P85" t="s">
        <v>401</v>
      </c>
      <c r="Q85" s="3">
        <v>36663</v>
      </c>
      <c r="R85" s="3">
        <v>46162</v>
      </c>
      <c r="S85" s="4">
        <f t="shared" ca="1" si="8"/>
        <v>4.1396303901437372</v>
      </c>
      <c r="T85">
        <f t="shared" si="9"/>
        <v>103.0795</v>
      </c>
      <c r="U85" s="43">
        <v>84</v>
      </c>
      <c r="V85" s="4">
        <f t="shared" ca="1" si="10"/>
        <v>4</v>
      </c>
      <c r="W85" s="54">
        <f t="shared" ca="1" si="11"/>
        <v>26</v>
      </c>
      <c r="X85" s="4">
        <f t="shared" ca="1" si="7"/>
        <v>1.6428571428571428</v>
      </c>
      <c r="Y85" s="4">
        <f t="shared" ca="1" si="12"/>
        <v>101.43664285714286</v>
      </c>
      <c r="Z85">
        <f t="shared" si="13"/>
        <v>1.5179999999999709</v>
      </c>
    </row>
    <row r="86" spans="1:26" x14ac:dyDescent="0.35">
      <c r="A86" t="s">
        <v>145</v>
      </c>
      <c r="B86" t="s">
        <v>402</v>
      </c>
      <c r="C86" t="s">
        <v>394</v>
      </c>
      <c r="D86" t="s">
        <v>395</v>
      </c>
      <c r="E86" t="s">
        <v>396</v>
      </c>
      <c r="F86" t="s">
        <v>652</v>
      </c>
      <c r="G86" t="s">
        <v>398</v>
      </c>
      <c r="H86">
        <v>2</v>
      </c>
      <c r="I86">
        <v>2.9</v>
      </c>
      <c r="J86">
        <v>1.5499999999989809</v>
      </c>
      <c r="K86">
        <v>1.5749999999990927</v>
      </c>
      <c r="L86">
        <v>105.90600000000001</v>
      </c>
      <c r="M86">
        <v>105.79</v>
      </c>
      <c r="N86" t="s">
        <v>653</v>
      </c>
      <c r="O86" t="s">
        <v>654</v>
      </c>
      <c r="P86" t="s">
        <v>401</v>
      </c>
      <c r="Q86" s="3">
        <v>36838</v>
      </c>
      <c r="R86" s="3">
        <v>46162</v>
      </c>
      <c r="S86" s="4">
        <f t="shared" ca="1" si="8"/>
        <v>4.6433949349760439</v>
      </c>
      <c r="T86">
        <f t="shared" si="9"/>
        <v>105.84800000000001</v>
      </c>
      <c r="U86" s="43">
        <v>85</v>
      </c>
      <c r="V86" s="4">
        <f t="shared" ca="1" si="10"/>
        <v>4.5</v>
      </c>
      <c r="W86" s="54">
        <f t="shared" ca="1" si="11"/>
        <v>26</v>
      </c>
      <c r="X86" s="4">
        <f t="shared" ca="1" si="7"/>
        <v>2.0714285714285716</v>
      </c>
      <c r="Y86" s="4">
        <f t="shared" ca="1" si="12"/>
        <v>103.77657142857144</v>
      </c>
      <c r="Z86">
        <f t="shared" si="13"/>
        <v>1.5624999999990368</v>
      </c>
    </row>
    <row r="87" spans="1:26" x14ac:dyDescent="0.35">
      <c r="A87" t="s">
        <v>146</v>
      </c>
      <c r="B87" t="s">
        <v>402</v>
      </c>
      <c r="C87" t="s">
        <v>394</v>
      </c>
      <c r="D87" t="s">
        <v>395</v>
      </c>
      <c r="E87" t="s">
        <v>396</v>
      </c>
      <c r="F87" t="s">
        <v>655</v>
      </c>
      <c r="G87" t="s">
        <v>398</v>
      </c>
      <c r="H87">
        <v>2</v>
      </c>
      <c r="I87">
        <v>2.2000000000000002</v>
      </c>
      <c r="J87">
        <v>1.619999999999981</v>
      </c>
      <c r="K87">
        <v>1.6409999999999838</v>
      </c>
      <c r="L87">
        <v>102.776</v>
      </c>
      <c r="M87">
        <v>102.673</v>
      </c>
      <c r="N87" t="s">
        <v>656</v>
      </c>
      <c r="O87" t="s">
        <v>657</v>
      </c>
      <c r="P87" t="s">
        <v>401</v>
      </c>
      <c r="Q87" s="3">
        <v>37027</v>
      </c>
      <c r="R87" s="3">
        <v>46162</v>
      </c>
      <c r="S87" s="4">
        <f t="shared" ca="1" si="8"/>
        <v>5.1389459274469544</v>
      </c>
      <c r="T87">
        <f t="shared" si="9"/>
        <v>102.72450000000001</v>
      </c>
      <c r="U87" s="43">
        <v>86</v>
      </c>
      <c r="V87" s="4">
        <f t="shared" ca="1" si="10"/>
        <v>5</v>
      </c>
      <c r="W87" s="54">
        <f t="shared" ca="1" si="11"/>
        <v>25</v>
      </c>
      <c r="X87" s="4">
        <f t="shared" ca="1" si="7"/>
        <v>1.5714285714285716</v>
      </c>
      <c r="Y87" s="4">
        <f t="shared" ca="1" si="12"/>
        <v>101.15307142857144</v>
      </c>
      <c r="Z87">
        <f t="shared" si="13"/>
        <v>1.6304999999999823</v>
      </c>
    </row>
    <row r="88" spans="1:26" x14ac:dyDescent="0.35">
      <c r="A88" t="s">
        <v>147</v>
      </c>
      <c r="B88" t="s">
        <v>402</v>
      </c>
      <c r="C88" t="s">
        <v>394</v>
      </c>
      <c r="D88" t="s">
        <v>395</v>
      </c>
      <c r="E88" t="s">
        <v>396</v>
      </c>
      <c r="F88" t="s">
        <v>658</v>
      </c>
      <c r="G88" t="s">
        <v>398</v>
      </c>
      <c r="H88">
        <v>2</v>
      </c>
      <c r="I88">
        <v>2.4</v>
      </c>
      <c r="J88">
        <v>1.6619999999998913</v>
      </c>
      <c r="K88">
        <v>1.6819999999999051</v>
      </c>
      <c r="L88">
        <v>103.83799999999999</v>
      </c>
      <c r="M88">
        <v>103.73</v>
      </c>
      <c r="N88" t="s">
        <v>659</v>
      </c>
      <c r="O88" t="s">
        <v>660</v>
      </c>
      <c r="P88" t="s">
        <v>401</v>
      </c>
      <c r="Q88" s="3">
        <v>37203</v>
      </c>
      <c r="R88" s="3">
        <v>46162</v>
      </c>
      <c r="S88" s="4">
        <f t="shared" ca="1" si="8"/>
        <v>5.6427104722792611</v>
      </c>
      <c r="T88">
        <f t="shared" si="9"/>
        <v>103.78399999999999</v>
      </c>
      <c r="U88" s="43">
        <v>87</v>
      </c>
      <c r="V88" s="4">
        <f t="shared" ca="1" si="10"/>
        <v>5.5</v>
      </c>
      <c r="W88" s="54">
        <f t="shared" ca="1" si="11"/>
        <v>25</v>
      </c>
      <c r="X88" s="4">
        <f t="shared" ca="1" si="7"/>
        <v>1.7142857142857142</v>
      </c>
      <c r="Y88" s="4">
        <f t="shared" ca="1" si="12"/>
        <v>102.06971428571428</v>
      </c>
      <c r="Z88">
        <f t="shared" si="13"/>
        <v>1.6719999999998982</v>
      </c>
    </row>
    <row r="89" spans="1:26" x14ac:dyDescent="0.35">
      <c r="A89" t="s">
        <v>148</v>
      </c>
      <c r="B89" t="s">
        <v>402</v>
      </c>
      <c r="C89" t="s">
        <v>394</v>
      </c>
      <c r="D89" t="s">
        <v>395</v>
      </c>
      <c r="E89" t="s">
        <v>396</v>
      </c>
      <c r="F89" t="s">
        <v>661</v>
      </c>
      <c r="G89" t="s">
        <v>398</v>
      </c>
      <c r="H89">
        <v>2</v>
      </c>
      <c r="I89">
        <v>2.2999999999999998</v>
      </c>
      <c r="J89">
        <v>1.720999999999951</v>
      </c>
      <c r="K89">
        <v>1.740999999999965</v>
      </c>
      <c r="L89">
        <v>103.238</v>
      </c>
      <c r="M89">
        <v>103.123</v>
      </c>
      <c r="N89" t="s">
        <v>662</v>
      </c>
      <c r="O89" t="s">
        <v>663</v>
      </c>
      <c r="P89" t="s">
        <v>401</v>
      </c>
      <c r="Q89" s="3">
        <v>37391</v>
      </c>
      <c r="R89" s="3">
        <v>46162</v>
      </c>
      <c r="S89" s="4">
        <f t="shared" ca="1" si="8"/>
        <v>6.1409993155373028</v>
      </c>
      <c r="T89">
        <f t="shared" si="9"/>
        <v>103.18049999999999</v>
      </c>
      <c r="U89" s="43">
        <v>88</v>
      </c>
      <c r="V89" s="4">
        <f t="shared" ca="1" si="10"/>
        <v>6</v>
      </c>
      <c r="W89" s="54">
        <f t="shared" ca="1" si="11"/>
        <v>24</v>
      </c>
      <c r="X89" s="4">
        <f t="shared" ca="1" si="7"/>
        <v>1.6428571428571428</v>
      </c>
      <c r="Y89" s="4">
        <f t="shared" ca="1" si="12"/>
        <v>101.53764285714286</v>
      </c>
      <c r="Z89">
        <f t="shared" si="13"/>
        <v>1.7309999999999581</v>
      </c>
    </row>
    <row r="90" spans="1:26" x14ac:dyDescent="0.35">
      <c r="A90" t="s">
        <v>149</v>
      </c>
      <c r="B90" t="s">
        <v>402</v>
      </c>
      <c r="C90" t="s">
        <v>394</v>
      </c>
      <c r="D90" t="s">
        <v>395</v>
      </c>
      <c r="E90" t="s">
        <v>396</v>
      </c>
      <c r="F90" t="s">
        <v>664</v>
      </c>
      <c r="G90" t="s">
        <v>398</v>
      </c>
      <c r="H90">
        <v>2</v>
      </c>
      <c r="I90">
        <v>1.8</v>
      </c>
      <c r="J90">
        <v>1.7920000000000378</v>
      </c>
      <c r="K90">
        <v>1.8149999999997424</v>
      </c>
      <c r="L90">
        <v>100.047</v>
      </c>
      <c r="M90">
        <v>99.91</v>
      </c>
      <c r="N90" t="s">
        <v>665</v>
      </c>
      <c r="O90" t="s">
        <v>666</v>
      </c>
      <c r="P90" t="s">
        <v>401</v>
      </c>
      <c r="Q90" s="3">
        <v>37572</v>
      </c>
      <c r="R90" s="3">
        <v>46162</v>
      </c>
      <c r="S90" s="4">
        <f t="shared" ca="1" si="8"/>
        <v>6.6502395619438737</v>
      </c>
      <c r="T90">
        <f t="shared" si="9"/>
        <v>99.978499999999997</v>
      </c>
      <c r="U90" s="43">
        <v>89</v>
      </c>
      <c r="V90" s="4">
        <f t="shared" ca="1" si="10"/>
        <v>6.5</v>
      </c>
      <c r="W90" s="54">
        <f t="shared" ca="1" si="11"/>
        <v>24</v>
      </c>
      <c r="X90" s="4">
        <f t="shared" ca="1" si="7"/>
        <v>1.2857142857142858</v>
      </c>
      <c r="Y90" s="4">
        <f t="shared" ca="1" si="12"/>
        <v>98.692785714285705</v>
      </c>
      <c r="Z90">
        <f t="shared" si="13"/>
        <v>1.80349999999989</v>
      </c>
    </row>
    <row r="91" spans="1:26" x14ac:dyDescent="0.35">
      <c r="A91" t="s">
        <v>150</v>
      </c>
      <c r="B91" t="s">
        <v>402</v>
      </c>
      <c r="C91" t="s">
        <v>394</v>
      </c>
      <c r="D91" t="s">
        <v>395</v>
      </c>
      <c r="E91" t="s">
        <v>396</v>
      </c>
      <c r="F91" t="s">
        <v>667</v>
      </c>
      <c r="G91" t="s">
        <v>398</v>
      </c>
      <c r="H91">
        <v>2</v>
      </c>
      <c r="I91">
        <v>1.4</v>
      </c>
      <c r="J91">
        <v>1.8169999999999809</v>
      </c>
      <c r="K91">
        <v>1.8379999999999754</v>
      </c>
      <c r="L91">
        <v>97.483999999999995</v>
      </c>
      <c r="M91">
        <v>97.361000000000004</v>
      </c>
      <c r="N91" t="s">
        <v>668</v>
      </c>
      <c r="O91" t="s">
        <v>669</v>
      </c>
      <c r="P91" t="s">
        <v>401</v>
      </c>
      <c r="Q91" s="3">
        <v>37642</v>
      </c>
      <c r="R91" s="3">
        <v>46193</v>
      </c>
      <c r="S91" s="4">
        <f t="shared" ca="1" si="8"/>
        <v>6.7268993839835725</v>
      </c>
      <c r="T91">
        <f t="shared" si="9"/>
        <v>97.422499999999999</v>
      </c>
      <c r="U91" s="43">
        <v>90</v>
      </c>
      <c r="V91" s="4">
        <f t="shared" ca="1" si="10"/>
        <v>6.5</v>
      </c>
      <c r="W91" s="54">
        <f t="shared" ca="1" si="11"/>
        <v>23</v>
      </c>
      <c r="X91" s="4">
        <f t="shared" ca="1" si="7"/>
        <v>0.76923076923076927</v>
      </c>
      <c r="Y91" s="4">
        <f t="shared" ca="1" si="12"/>
        <v>96.653269230769226</v>
      </c>
      <c r="Z91">
        <f t="shared" si="13"/>
        <v>1.8274999999999781</v>
      </c>
    </row>
    <row r="92" spans="1:26" x14ac:dyDescent="0.35">
      <c r="A92" t="s">
        <v>151</v>
      </c>
      <c r="B92" t="s">
        <v>402</v>
      </c>
      <c r="C92" t="s">
        <v>394</v>
      </c>
      <c r="D92" t="s">
        <v>395</v>
      </c>
      <c r="E92" t="s">
        <v>396</v>
      </c>
      <c r="F92" t="s">
        <v>670</v>
      </c>
      <c r="G92" t="s">
        <v>398</v>
      </c>
      <c r="H92">
        <v>2</v>
      </c>
      <c r="I92">
        <v>1.1000000000000001</v>
      </c>
      <c r="J92">
        <v>1.8589999999987075</v>
      </c>
      <c r="K92">
        <v>1.8789999999984954</v>
      </c>
      <c r="L92">
        <v>95.284999999999997</v>
      </c>
      <c r="M92">
        <v>95.167000000000002</v>
      </c>
      <c r="N92" t="s">
        <v>671</v>
      </c>
      <c r="O92" t="s">
        <v>672</v>
      </c>
      <c r="P92" t="s">
        <v>401</v>
      </c>
      <c r="Q92" s="3">
        <v>37761</v>
      </c>
      <c r="R92" s="3">
        <v>46101</v>
      </c>
      <c r="S92" s="4">
        <f t="shared" ca="1" si="8"/>
        <v>6.9733059548254621</v>
      </c>
      <c r="T92">
        <f t="shared" si="9"/>
        <v>95.225999999999999</v>
      </c>
      <c r="U92" s="43">
        <v>91</v>
      </c>
      <c r="V92" s="4">
        <f t="shared" ca="1" si="10"/>
        <v>6.5</v>
      </c>
      <c r="W92" s="54">
        <f t="shared" ca="1" si="11"/>
        <v>23</v>
      </c>
      <c r="X92" s="4">
        <f t="shared" ca="1" si="7"/>
        <v>1.1543956043956045</v>
      </c>
      <c r="Y92" s="4">
        <f t="shared" ca="1" si="12"/>
        <v>94.071604395604396</v>
      </c>
      <c r="Z92">
        <f t="shared" si="13"/>
        <v>1.8689999999986013</v>
      </c>
    </row>
    <row r="93" spans="1:26" x14ac:dyDescent="0.35">
      <c r="A93" t="s">
        <v>152</v>
      </c>
      <c r="B93" t="s">
        <v>402</v>
      </c>
      <c r="C93" t="s">
        <v>394</v>
      </c>
      <c r="D93" t="s">
        <v>395</v>
      </c>
      <c r="E93" t="s">
        <v>396</v>
      </c>
      <c r="F93" t="s">
        <v>673</v>
      </c>
      <c r="G93" t="s">
        <v>398</v>
      </c>
      <c r="H93">
        <v>2</v>
      </c>
      <c r="I93">
        <v>1.7</v>
      </c>
      <c r="J93">
        <v>1.8549999999999973</v>
      </c>
      <c r="K93">
        <v>1.8769999999999982</v>
      </c>
      <c r="L93">
        <v>99.006</v>
      </c>
      <c r="M93">
        <v>98.867000000000004</v>
      </c>
      <c r="N93" t="s">
        <v>674</v>
      </c>
      <c r="O93" t="s">
        <v>675</v>
      </c>
      <c r="P93" t="s">
        <v>401</v>
      </c>
      <c r="Q93" s="3">
        <v>37826</v>
      </c>
      <c r="R93" s="3">
        <v>46193</v>
      </c>
      <c r="S93" s="4">
        <f t="shared" ca="1" si="8"/>
        <v>7.225188227241615</v>
      </c>
      <c r="T93">
        <f t="shared" si="9"/>
        <v>98.936499999999995</v>
      </c>
      <c r="U93" s="43">
        <v>92</v>
      </c>
      <c r="V93" s="4">
        <f t="shared" ca="1" si="10"/>
        <v>7</v>
      </c>
      <c r="W93" s="54">
        <f t="shared" ca="1" si="11"/>
        <v>23</v>
      </c>
      <c r="X93" s="4">
        <f t="shared" ca="1" si="7"/>
        <v>0.93406593406593408</v>
      </c>
      <c r="Y93" s="4">
        <f t="shared" ca="1" si="12"/>
        <v>98.002434065934068</v>
      </c>
      <c r="Z93">
        <f t="shared" si="13"/>
        <v>1.8659999999999979</v>
      </c>
    </row>
    <row r="94" spans="1:26" x14ac:dyDescent="0.35">
      <c r="A94" t="s">
        <v>153</v>
      </c>
      <c r="B94" t="s">
        <v>402</v>
      </c>
      <c r="C94" t="s">
        <v>394</v>
      </c>
      <c r="D94" t="s">
        <v>395</v>
      </c>
      <c r="E94" t="s">
        <v>396</v>
      </c>
      <c r="F94" t="s">
        <v>676</v>
      </c>
      <c r="G94" t="s">
        <v>398</v>
      </c>
      <c r="H94">
        <v>2</v>
      </c>
      <c r="I94">
        <v>2.1</v>
      </c>
      <c r="J94">
        <v>1.8649999999999949</v>
      </c>
      <c r="K94">
        <v>1.886999999999996</v>
      </c>
      <c r="L94">
        <v>101.55</v>
      </c>
      <c r="M94">
        <v>101.40300000000001</v>
      </c>
      <c r="N94" t="s">
        <v>677</v>
      </c>
      <c r="O94" t="s">
        <v>678</v>
      </c>
      <c r="P94" t="s">
        <v>401</v>
      </c>
      <c r="Q94" s="3">
        <v>37938</v>
      </c>
      <c r="R94" s="3">
        <v>46101</v>
      </c>
      <c r="S94" s="4">
        <f t="shared" ca="1" si="8"/>
        <v>7.4770704996577688</v>
      </c>
      <c r="T94">
        <f t="shared" si="9"/>
        <v>101.4765</v>
      </c>
      <c r="U94" s="43">
        <v>93</v>
      </c>
      <c r="V94" s="4">
        <f t="shared" ca="1" si="10"/>
        <v>7</v>
      </c>
      <c r="W94" s="54">
        <f t="shared" ca="1" si="11"/>
        <v>23</v>
      </c>
      <c r="X94" s="4">
        <f t="shared" ca="1" si="7"/>
        <v>2.203846153846154</v>
      </c>
      <c r="Y94" s="4">
        <f t="shared" ca="1" si="12"/>
        <v>99.272653846153844</v>
      </c>
      <c r="Z94">
        <f t="shared" si="13"/>
        <v>1.8759999999999954</v>
      </c>
    </row>
    <row r="95" spans="1:26" x14ac:dyDescent="0.35">
      <c r="A95" t="s">
        <v>154</v>
      </c>
      <c r="B95" t="s">
        <v>402</v>
      </c>
      <c r="C95" t="s">
        <v>394</v>
      </c>
      <c r="D95" t="s">
        <v>395</v>
      </c>
      <c r="E95" t="s">
        <v>396</v>
      </c>
      <c r="F95" t="s">
        <v>679</v>
      </c>
      <c r="G95" t="s">
        <v>398</v>
      </c>
      <c r="H95">
        <v>2</v>
      </c>
      <c r="I95">
        <v>2</v>
      </c>
      <c r="J95">
        <v>1.9070000000946985</v>
      </c>
      <c r="K95">
        <v>1.9270000000448051</v>
      </c>
      <c r="L95">
        <v>100.629</v>
      </c>
      <c r="M95">
        <v>100.49299999999999</v>
      </c>
      <c r="N95" t="s">
        <v>680</v>
      </c>
      <c r="O95" t="s">
        <v>681</v>
      </c>
      <c r="P95" t="s">
        <v>401</v>
      </c>
      <c r="Q95" s="3">
        <v>38041</v>
      </c>
      <c r="R95" s="3">
        <v>46193</v>
      </c>
      <c r="S95" s="4">
        <f t="shared" ca="1" si="8"/>
        <v>7.7262149212867897</v>
      </c>
      <c r="T95">
        <f t="shared" si="9"/>
        <v>100.56100000000001</v>
      </c>
      <c r="U95" s="43">
        <v>94</v>
      </c>
      <c r="V95" s="4">
        <f t="shared" ca="1" si="10"/>
        <v>7.5</v>
      </c>
      <c r="W95" s="54">
        <f t="shared" ca="1" si="11"/>
        <v>22</v>
      </c>
      <c r="X95" s="4">
        <f t="shared" ca="1" si="7"/>
        <v>1.098901098901099</v>
      </c>
      <c r="Y95" s="4">
        <f t="shared" ca="1" si="12"/>
        <v>99.462098901098912</v>
      </c>
      <c r="Z95">
        <f t="shared" si="13"/>
        <v>1.9170000000697518</v>
      </c>
    </row>
    <row r="96" spans="1:26" x14ac:dyDescent="0.35">
      <c r="A96" t="s">
        <v>155</v>
      </c>
      <c r="B96" t="s">
        <v>402</v>
      </c>
      <c r="C96" t="s">
        <v>394</v>
      </c>
      <c r="D96" t="s">
        <v>395</v>
      </c>
      <c r="E96" t="s">
        <v>396</v>
      </c>
      <c r="F96" t="s">
        <v>682</v>
      </c>
      <c r="G96" t="s">
        <v>398</v>
      </c>
      <c r="H96">
        <v>2</v>
      </c>
      <c r="I96">
        <v>2.4</v>
      </c>
      <c r="J96">
        <v>1.9149999999999221</v>
      </c>
      <c r="K96">
        <v>1.9359999999999393</v>
      </c>
      <c r="L96">
        <v>103.372</v>
      </c>
      <c r="M96">
        <v>103.221</v>
      </c>
      <c r="N96" t="s">
        <v>683</v>
      </c>
      <c r="O96" t="s">
        <v>684</v>
      </c>
      <c r="P96" t="s">
        <v>401</v>
      </c>
      <c r="Q96" s="3">
        <v>38092</v>
      </c>
      <c r="R96" s="3">
        <v>46101</v>
      </c>
      <c r="S96" s="4">
        <f t="shared" ca="1" si="8"/>
        <v>7.9726214921286793</v>
      </c>
      <c r="T96">
        <f t="shared" si="9"/>
        <v>103.29650000000001</v>
      </c>
      <c r="U96" s="43">
        <v>95</v>
      </c>
      <c r="V96" s="4">
        <f t="shared" ca="1" si="10"/>
        <v>7.5</v>
      </c>
      <c r="W96" s="54">
        <f t="shared" ca="1" si="11"/>
        <v>22</v>
      </c>
      <c r="X96" s="4">
        <f t="shared" ca="1" si="7"/>
        <v>2.5186813186813186</v>
      </c>
      <c r="Y96" s="4">
        <f t="shared" ca="1" si="12"/>
        <v>100.77781868131869</v>
      </c>
      <c r="Z96">
        <f t="shared" si="13"/>
        <v>1.9254999999999307</v>
      </c>
    </row>
    <row r="97" spans="1:26" x14ac:dyDescent="0.35">
      <c r="A97" t="s">
        <v>156</v>
      </c>
      <c r="B97" t="s">
        <v>402</v>
      </c>
      <c r="C97" t="s">
        <v>394</v>
      </c>
      <c r="D97" t="s">
        <v>395</v>
      </c>
      <c r="E97" t="s">
        <v>396</v>
      </c>
      <c r="F97" t="s">
        <v>685</v>
      </c>
      <c r="G97" t="s">
        <v>398</v>
      </c>
      <c r="H97">
        <v>2</v>
      </c>
      <c r="I97">
        <v>2.5</v>
      </c>
      <c r="J97">
        <v>1.9409999999998593</v>
      </c>
      <c r="K97">
        <v>1.9629999999998904</v>
      </c>
      <c r="L97">
        <v>103.985</v>
      </c>
      <c r="M97">
        <v>103.822</v>
      </c>
      <c r="N97" t="s">
        <v>686</v>
      </c>
      <c r="O97" t="s">
        <v>687</v>
      </c>
      <c r="P97" t="s">
        <v>401</v>
      </c>
      <c r="Q97" s="3">
        <v>38216</v>
      </c>
      <c r="R97" s="3">
        <v>46193</v>
      </c>
      <c r="S97" s="4">
        <f t="shared" ca="1" si="8"/>
        <v>8.2245037645448331</v>
      </c>
      <c r="T97">
        <f t="shared" si="9"/>
        <v>103.90350000000001</v>
      </c>
      <c r="U97" s="43">
        <v>96</v>
      </c>
      <c r="V97" s="4">
        <f t="shared" ca="1" si="10"/>
        <v>8</v>
      </c>
      <c r="W97" s="54">
        <f t="shared" ca="1" si="11"/>
        <v>22</v>
      </c>
      <c r="X97" s="4">
        <f t="shared" ca="1" si="7"/>
        <v>1.3736263736263736</v>
      </c>
      <c r="Y97" s="4">
        <f t="shared" ca="1" si="12"/>
        <v>102.52987362637363</v>
      </c>
      <c r="Z97">
        <f t="shared" si="13"/>
        <v>1.9519999999998747</v>
      </c>
    </row>
    <row r="98" spans="1:26" x14ac:dyDescent="0.35">
      <c r="A98" t="s">
        <v>157</v>
      </c>
      <c r="B98" t="s">
        <v>402</v>
      </c>
      <c r="C98" t="s">
        <v>394</v>
      </c>
      <c r="D98" t="s">
        <v>395</v>
      </c>
      <c r="E98" t="s">
        <v>396</v>
      </c>
      <c r="F98" t="s">
        <v>688</v>
      </c>
      <c r="G98" t="s">
        <v>398</v>
      </c>
      <c r="H98">
        <v>2</v>
      </c>
      <c r="I98">
        <v>2.5</v>
      </c>
      <c r="J98">
        <v>1.9709999999998487</v>
      </c>
      <c r="K98">
        <v>1.9909999999998795</v>
      </c>
      <c r="L98">
        <v>103.861</v>
      </c>
      <c r="M98">
        <v>103.709</v>
      </c>
      <c r="N98" t="s">
        <v>689</v>
      </c>
      <c r="O98" t="s">
        <v>690</v>
      </c>
      <c r="P98" t="s">
        <v>401</v>
      </c>
      <c r="Q98" s="3">
        <v>38279</v>
      </c>
      <c r="R98" s="3">
        <v>46101</v>
      </c>
      <c r="S98" s="4">
        <f t="shared" ca="1" si="8"/>
        <v>8.4763860369609851</v>
      </c>
      <c r="T98">
        <f t="shared" si="9"/>
        <v>103.785</v>
      </c>
      <c r="U98" s="43">
        <v>97</v>
      </c>
      <c r="V98" s="4">
        <f t="shared" ca="1" si="10"/>
        <v>8</v>
      </c>
      <c r="W98" s="54">
        <f t="shared" ca="1" si="11"/>
        <v>22</v>
      </c>
      <c r="X98" s="4">
        <f t="shared" ca="1" si="7"/>
        <v>2.6236263736263736</v>
      </c>
      <c r="Y98" s="4">
        <f t="shared" ca="1" si="12"/>
        <v>101.16137362637362</v>
      </c>
      <c r="Z98">
        <f t="shared" si="13"/>
        <v>1.980999999999864</v>
      </c>
    </row>
    <row r="99" spans="1:26" x14ac:dyDescent="0.35">
      <c r="A99" t="s">
        <v>158</v>
      </c>
      <c r="B99" t="s">
        <v>402</v>
      </c>
      <c r="C99" t="s">
        <v>394</v>
      </c>
      <c r="D99" t="s">
        <v>395</v>
      </c>
      <c r="E99" t="s">
        <v>396</v>
      </c>
      <c r="F99" t="s">
        <v>691</v>
      </c>
      <c r="G99" t="s">
        <v>398</v>
      </c>
      <c r="H99">
        <v>2</v>
      </c>
      <c r="I99">
        <v>2.4</v>
      </c>
      <c r="J99">
        <v>2.0079999999999734</v>
      </c>
      <c r="K99">
        <v>2.0299999999999794</v>
      </c>
      <c r="L99">
        <v>102.92400000000001</v>
      </c>
      <c r="M99">
        <v>102.755</v>
      </c>
      <c r="N99" t="s">
        <v>692</v>
      </c>
      <c r="O99" t="s">
        <v>693</v>
      </c>
      <c r="P99" t="s">
        <v>401</v>
      </c>
      <c r="Q99" s="3">
        <v>38398</v>
      </c>
      <c r="R99" s="3">
        <v>46193</v>
      </c>
      <c r="S99" s="4">
        <f t="shared" ca="1" si="8"/>
        <v>8.725530458590006</v>
      </c>
      <c r="T99">
        <f t="shared" si="9"/>
        <v>102.8395</v>
      </c>
      <c r="U99" s="43">
        <v>98</v>
      </c>
      <c r="V99" s="4">
        <f t="shared" ca="1" si="10"/>
        <v>8.5</v>
      </c>
      <c r="W99" s="54">
        <f t="shared" ca="1" si="11"/>
        <v>21</v>
      </c>
      <c r="X99" s="4">
        <f t="shared" ca="1" si="7"/>
        <v>1.3186813186813187</v>
      </c>
      <c r="Y99" s="4">
        <f t="shared" ca="1" si="12"/>
        <v>101.52081868131869</v>
      </c>
      <c r="Z99">
        <f t="shared" si="13"/>
        <v>2.0189999999999761</v>
      </c>
    </row>
    <row r="100" spans="1:26" x14ac:dyDescent="0.35">
      <c r="A100" t="s">
        <v>159</v>
      </c>
      <c r="B100" t="s">
        <v>402</v>
      </c>
      <c r="C100" t="s">
        <v>394</v>
      </c>
      <c r="D100" t="s">
        <v>395</v>
      </c>
      <c r="E100" t="s">
        <v>396</v>
      </c>
      <c r="F100" t="s">
        <v>694</v>
      </c>
      <c r="G100" t="s">
        <v>398</v>
      </c>
      <c r="H100">
        <v>2</v>
      </c>
      <c r="I100">
        <v>2.2999999999999998</v>
      </c>
      <c r="J100">
        <v>2.0449999999999933</v>
      </c>
      <c r="K100">
        <v>2.0659999999999963</v>
      </c>
      <c r="L100">
        <v>101.94199999999999</v>
      </c>
      <c r="M100">
        <v>101.779</v>
      </c>
      <c r="N100" t="s">
        <v>695</v>
      </c>
      <c r="O100" t="s">
        <v>696</v>
      </c>
      <c r="P100" t="s">
        <v>401</v>
      </c>
      <c r="Q100" s="3">
        <v>38456</v>
      </c>
      <c r="R100" s="3">
        <v>46101</v>
      </c>
      <c r="S100" s="4">
        <f t="shared" ca="1" si="8"/>
        <v>8.9719370294318956</v>
      </c>
      <c r="T100">
        <f t="shared" si="9"/>
        <v>101.8605</v>
      </c>
      <c r="U100" s="43">
        <v>99</v>
      </c>
      <c r="V100" s="4">
        <f t="shared" ca="1" si="10"/>
        <v>8.5</v>
      </c>
      <c r="W100" s="54">
        <f t="shared" ca="1" si="11"/>
        <v>21</v>
      </c>
      <c r="X100" s="4">
        <f t="shared" ca="1" si="7"/>
        <v>2.4137362637362636</v>
      </c>
      <c r="Y100" s="4">
        <f t="shared" ca="1" si="12"/>
        <v>99.446763736263733</v>
      </c>
      <c r="Z100">
        <f t="shared" si="13"/>
        <v>2.055499999999995</v>
      </c>
    </row>
    <row r="101" spans="1:26" x14ac:dyDescent="0.35">
      <c r="A101" t="s">
        <v>160</v>
      </c>
      <c r="B101" t="s">
        <v>402</v>
      </c>
      <c r="C101" t="s">
        <v>394</v>
      </c>
      <c r="D101" t="s">
        <v>395</v>
      </c>
      <c r="E101" t="s">
        <v>396</v>
      </c>
      <c r="F101" t="s">
        <v>697</v>
      </c>
      <c r="G101" t="s">
        <v>398</v>
      </c>
      <c r="H101">
        <v>2</v>
      </c>
      <c r="I101">
        <v>2.2999999999999998</v>
      </c>
      <c r="J101">
        <v>2.0779999999999985</v>
      </c>
      <c r="K101">
        <v>2.097999999999995</v>
      </c>
      <c r="L101">
        <v>101.726</v>
      </c>
      <c r="M101">
        <v>101.568</v>
      </c>
      <c r="N101" t="s">
        <v>698</v>
      </c>
      <c r="O101" t="s">
        <v>699</v>
      </c>
      <c r="P101" t="s">
        <v>401</v>
      </c>
      <c r="Q101" s="3">
        <v>38547</v>
      </c>
      <c r="R101" s="3">
        <v>46193</v>
      </c>
      <c r="S101" s="4">
        <f t="shared" ca="1" si="8"/>
        <v>9.2238193018480494</v>
      </c>
      <c r="T101">
        <f t="shared" si="9"/>
        <v>101.64699999999999</v>
      </c>
      <c r="U101" s="43">
        <v>100</v>
      </c>
      <c r="V101" s="4">
        <f t="shared" ca="1" si="10"/>
        <v>9</v>
      </c>
      <c r="W101" s="54">
        <f t="shared" ca="1" si="11"/>
        <v>21</v>
      </c>
      <c r="X101" s="4">
        <f t="shared" ca="1" si="7"/>
        <v>1.2637362637362637</v>
      </c>
      <c r="Y101" s="4">
        <f t="shared" ca="1" si="12"/>
        <v>100.38326373626373</v>
      </c>
      <c r="Z101">
        <f t="shared" si="13"/>
        <v>2.0879999999999965</v>
      </c>
    </row>
    <row r="102" spans="1:26" x14ac:dyDescent="0.35">
      <c r="A102" t="s">
        <v>161</v>
      </c>
      <c r="B102" t="s">
        <v>402</v>
      </c>
      <c r="C102" t="s">
        <v>394</v>
      </c>
      <c r="D102" t="s">
        <v>395</v>
      </c>
      <c r="E102" t="s">
        <v>396</v>
      </c>
      <c r="F102" t="s">
        <v>700</v>
      </c>
      <c r="G102" t="s">
        <v>398</v>
      </c>
      <c r="H102">
        <v>2</v>
      </c>
      <c r="I102">
        <v>2.5</v>
      </c>
      <c r="J102">
        <v>2.0909999999999402</v>
      </c>
      <c r="K102">
        <v>2.111999999999957</v>
      </c>
      <c r="L102">
        <v>103.248</v>
      </c>
      <c r="M102">
        <v>103.077</v>
      </c>
      <c r="N102" t="s">
        <v>701</v>
      </c>
      <c r="O102" t="s">
        <v>702</v>
      </c>
      <c r="P102" t="s">
        <v>401</v>
      </c>
      <c r="Q102" s="3">
        <v>38643</v>
      </c>
      <c r="R102" s="3">
        <v>46101</v>
      </c>
      <c r="S102" s="4">
        <f t="shared" ca="1" si="8"/>
        <v>9.4757015742642032</v>
      </c>
      <c r="T102">
        <f t="shared" si="9"/>
        <v>103.16249999999999</v>
      </c>
      <c r="U102" s="43">
        <v>101</v>
      </c>
      <c r="V102" s="4">
        <f t="shared" ca="1" si="10"/>
        <v>9</v>
      </c>
      <c r="W102" s="54">
        <f t="shared" ca="1" si="11"/>
        <v>21</v>
      </c>
      <c r="X102" s="4">
        <f t="shared" ca="1" si="7"/>
        <v>2.6236263736263736</v>
      </c>
      <c r="Y102" s="4">
        <f t="shared" ca="1" si="12"/>
        <v>100.53887362637361</v>
      </c>
      <c r="Z102">
        <f t="shared" si="13"/>
        <v>2.1014999999999486</v>
      </c>
    </row>
    <row r="103" spans="1:26" x14ac:dyDescent="0.35">
      <c r="A103" t="s">
        <v>162</v>
      </c>
      <c r="B103" t="s">
        <v>402</v>
      </c>
      <c r="C103" t="s">
        <v>394</v>
      </c>
      <c r="D103" t="s">
        <v>395</v>
      </c>
      <c r="E103" t="s">
        <v>396</v>
      </c>
      <c r="F103" t="s">
        <v>634</v>
      </c>
      <c r="G103" t="s">
        <v>398</v>
      </c>
      <c r="H103">
        <v>2</v>
      </c>
      <c r="I103">
        <v>2.2999999999999998</v>
      </c>
      <c r="J103">
        <v>2.1469999999999989</v>
      </c>
      <c r="K103">
        <v>2.1670000000000011</v>
      </c>
      <c r="L103">
        <v>101.236</v>
      </c>
      <c r="M103">
        <v>101.072</v>
      </c>
      <c r="N103" t="s">
        <v>703</v>
      </c>
      <c r="O103" t="s">
        <v>704</v>
      </c>
      <c r="P103" t="s">
        <v>401</v>
      </c>
      <c r="Q103" s="3">
        <v>38736</v>
      </c>
      <c r="R103" s="3">
        <v>46193</v>
      </c>
      <c r="S103" s="4">
        <f t="shared" ca="1" si="8"/>
        <v>9.7248459958932241</v>
      </c>
      <c r="T103">
        <f t="shared" si="9"/>
        <v>101.154</v>
      </c>
      <c r="U103" s="43">
        <v>102</v>
      </c>
      <c r="V103" s="4">
        <f t="shared" ca="1" si="10"/>
        <v>9.5</v>
      </c>
      <c r="W103" s="54">
        <f t="shared" ca="1" si="11"/>
        <v>20</v>
      </c>
      <c r="X103" s="4">
        <f t="shared" ca="1" si="7"/>
        <v>1.2637362637362637</v>
      </c>
      <c r="Y103" s="4">
        <f t="shared" ca="1" si="12"/>
        <v>99.890263736263734</v>
      </c>
      <c r="Z103">
        <f t="shared" si="13"/>
        <v>2.157</v>
      </c>
    </row>
    <row r="104" spans="1:26" x14ac:dyDescent="0.35">
      <c r="A104" t="s">
        <v>163</v>
      </c>
      <c r="B104" t="s">
        <v>406</v>
      </c>
      <c r="C104" t="s">
        <v>394</v>
      </c>
      <c r="D104" t="s">
        <v>395</v>
      </c>
      <c r="E104" t="s">
        <v>396</v>
      </c>
      <c r="F104" t="s">
        <v>542</v>
      </c>
      <c r="G104" t="s">
        <v>398</v>
      </c>
      <c r="H104">
        <v>2</v>
      </c>
      <c r="I104">
        <v>2.1</v>
      </c>
      <c r="J104">
        <v>0.74799999999936484</v>
      </c>
      <c r="K104">
        <v>0.77100000000052027</v>
      </c>
      <c r="L104">
        <v>100.029</v>
      </c>
      <c r="M104">
        <v>100.029</v>
      </c>
      <c r="N104" t="s">
        <v>705</v>
      </c>
      <c r="O104" t="s">
        <v>706</v>
      </c>
      <c r="P104" t="s">
        <v>401</v>
      </c>
      <c r="Q104" s="3">
        <v>38792</v>
      </c>
      <c r="R104" s="3">
        <v>46101</v>
      </c>
      <c r="S104" s="4">
        <f t="shared" ca="1" si="8"/>
        <v>-2.7378507871321012E-2</v>
      </c>
      <c r="T104">
        <f t="shared" si="9"/>
        <v>100.029</v>
      </c>
      <c r="U104" s="43">
        <v>103</v>
      </c>
      <c r="V104" s="4">
        <f t="shared" ca="1" si="10"/>
        <v>0</v>
      </c>
      <c r="W104" s="54">
        <f t="shared" ca="1" si="11"/>
        <v>20</v>
      </c>
      <c r="X104" s="4">
        <f t="shared" ca="1" si="7"/>
        <v>2.203846153846154</v>
      </c>
      <c r="Y104" s="4">
        <f t="shared" ca="1" si="12"/>
        <v>97.825153846153839</v>
      </c>
      <c r="Z104">
        <f t="shared" si="13"/>
        <v>0.75949999999994255</v>
      </c>
    </row>
    <row r="105" spans="1:26" x14ac:dyDescent="0.35">
      <c r="A105" t="s">
        <v>164</v>
      </c>
      <c r="B105" t="s">
        <v>402</v>
      </c>
      <c r="C105" t="s">
        <v>394</v>
      </c>
      <c r="D105" t="s">
        <v>395</v>
      </c>
      <c r="E105" t="s">
        <v>396</v>
      </c>
      <c r="F105" t="s">
        <v>707</v>
      </c>
      <c r="G105" t="s">
        <v>398</v>
      </c>
      <c r="H105">
        <v>2</v>
      </c>
      <c r="I105">
        <v>2.5</v>
      </c>
      <c r="J105">
        <v>2.1529999999999725</v>
      </c>
      <c r="K105">
        <v>2.1769999999999805</v>
      </c>
      <c r="L105">
        <v>102.86</v>
      </c>
      <c r="M105">
        <v>102.657</v>
      </c>
      <c r="N105" t="s">
        <v>708</v>
      </c>
      <c r="O105" t="s">
        <v>709</v>
      </c>
      <c r="P105" t="s">
        <v>401</v>
      </c>
      <c r="Q105" s="3">
        <v>38825</v>
      </c>
      <c r="R105" s="3">
        <v>46101</v>
      </c>
      <c r="S105" s="4">
        <f t="shared" ca="1" si="8"/>
        <v>9.9739904175222449</v>
      </c>
      <c r="T105">
        <f t="shared" si="9"/>
        <v>102.7585</v>
      </c>
      <c r="U105" s="43">
        <v>104</v>
      </c>
      <c r="V105" s="4">
        <f t="shared" ca="1" si="10"/>
        <v>9.5</v>
      </c>
      <c r="W105" s="54">
        <f t="shared" ca="1" si="11"/>
        <v>20</v>
      </c>
      <c r="X105" s="4">
        <f t="shared" ca="1" si="7"/>
        <v>2.6236263736263736</v>
      </c>
      <c r="Y105" s="4">
        <f t="shared" ca="1" si="12"/>
        <v>100.13487362637362</v>
      </c>
      <c r="Z105">
        <f t="shared" si="13"/>
        <v>2.1649999999999765</v>
      </c>
    </row>
    <row r="106" spans="1:26" x14ac:dyDescent="0.35">
      <c r="A106" t="s">
        <v>165</v>
      </c>
      <c r="B106" t="s">
        <v>406</v>
      </c>
      <c r="C106" t="s">
        <v>394</v>
      </c>
      <c r="D106" t="s">
        <v>395</v>
      </c>
      <c r="E106" t="s">
        <v>396</v>
      </c>
      <c r="F106" t="s">
        <v>542</v>
      </c>
      <c r="G106" t="s">
        <v>398</v>
      </c>
      <c r="H106">
        <v>2</v>
      </c>
      <c r="I106">
        <v>2.2999999999999998</v>
      </c>
      <c r="J106">
        <v>0.73599999999969556</v>
      </c>
      <c r="K106">
        <v>0.76799999999905377</v>
      </c>
      <c r="L106">
        <v>100.03400000000001</v>
      </c>
      <c r="M106">
        <v>100.033</v>
      </c>
      <c r="N106" t="s">
        <v>710</v>
      </c>
      <c r="O106" t="s">
        <v>711</v>
      </c>
      <c r="P106" t="s">
        <v>401</v>
      </c>
      <c r="Q106" s="3">
        <v>38832</v>
      </c>
      <c r="R106" s="3">
        <v>46101</v>
      </c>
      <c r="S106" s="4">
        <f t="shared" ca="1" si="8"/>
        <v>-2.7378507871321012E-2</v>
      </c>
      <c r="T106">
        <f t="shared" si="9"/>
        <v>100.0335</v>
      </c>
      <c r="U106" s="43">
        <v>105</v>
      </c>
      <c r="V106" s="4">
        <f t="shared" ca="1" si="10"/>
        <v>0</v>
      </c>
      <c r="W106" s="54">
        <f t="shared" ca="1" si="11"/>
        <v>20</v>
      </c>
      <c r="X106" s="4">
        <f t="shared" ca="1" si="7"/>
        <v>2.4137362637362636</v>
      </c>
      <c r="Y106" s="4">
        <f t="shared" ca="1" si="12"/>
        <v>97.619763736263735</v>
      </c>
      <c r="Z106">
        <f t="shared" si="13"/>
        <v>0.75199999999937472</v>
      </c>
    </row>
    <row r="107" spans="1:26" x14ac:dyDescent="0.35">
      <c r="A107" t="s">
        <v>166</v>
      </c>
      <c r="B107" t="s">
        <v>406</v>
      </c>
      <c r="C107" t="s">
        <v>394</v>
      </c>
      <c r="D107" t="s">
        <v>395</v>
      </c>
      <c r="E107" t="s">
        <v>396</v>
      </c>
      <c r="F107" t="s">
        <v>542</v>
      </c>
      <c r="G107" t="s">
        <v>398</v>
      </c>
      <c r="H107">
        <v>2</v>
      </c>
      <c r="I107">
        <v>2.2000000000000002</v>
      </c>
      <c r="J107">
        <v>0.73700000000022381</v>
      </c>
      <c r="K107">
        <v>0.76199999999929613</v>
      </c>
      <c r="L107">
        <v>100.032</v>
      </c>
      <c r="M107">
        <v>100.03100000000001</v>
      </c>
      <c r="N107" t="s">
        <v>712</v>
      </c>
      <c r="O107" t="s">
        <v>713</v>
      </c>
      <c r="P107" t="s">
        <v>401</v>
      </c>
      <c r="Q107" s="3">
        <v>38862</v>
      </c>
      <c r="R107" s="3">
        <v>46101</v>
      </c>
      <c r="S107" s="4">
        <f t="shared" ca="1" si="8"/>
        <v>-2.7378507871321012E-2</v>
      </c>
      <c r="T107">
        <f t="shared" si="9"/>
        <v>100.03149999999999</v>
      </c>
      <c r="U107" s="43">
        <v>106</v>
      </c>
      <c r="V107" s="4">
        <f t="shared" ca="1" si="10"/>
        <v>0</v>
      </c>
      <c r="W107" s="54">
        <f t="shared" ca="1" si="11"/>
        <v>20</v>
      </c>
      <c r="X107" s="4">
        <f t="shared" ca="1" si="7"/>
        <v>2.308791208791209</v>
      </c>
      <c r="Y107" s="4">
        <f t="shared" ca="1" si="12"/>
        <v>97.722708791208788</v>
      </c>
      <c r="Z107">
        <f t="shared" si="13"/>
        <v>0.74949999999976002</v>
      </c>
    </row>
    <row r="108" spans="1:26" x14ac:dyDescent="0.35">
      <c r="A108" t="s">
        <v>167</v>
      </c>
      <c r="B108" t="s">
        <v>406</v>
      </c>
      <c r="C108" t="s">
        <v>394</v>
      </c>
      <c r="D108" t="s">
        <v>395</v>
      </c>
      <c r="E108" t="s">
        <v>396</v>
      </c>
      <c r="F108" t="s">
        <v>557</v>
      </c>
      <c r="G108" t="s">
        <v>398</v>
      </c>
      <c r="H108">
        <v>2</v>
      </c>
      <c r="I108">
        <v>2.2999999999999998</v>
      </c>
      <c r="J108">
        <v>0.78599999982026514</v>
      </c>
      <c r="K108">
        <v>0.80999999983663351</v>
      </c>
      <c r="L108">
        <v>100.413</v>
      </c>
      <c r="M108">
        <v>100.407</v>
      </c>
      <c r="N108" t="s">
        <v>714</v>
      </c>
      <c r="O108" t="s">
        <v>715</v>
      </c>
      <c r="P108" t="s">
        <v>401</v>
      </c>
      <c r="Q108" s="3">
        <v>38888</v>
      </c>
      <c r="R108" s="3">
        <v>46193</v>
      </c>
      <c r="S108" s="4">
        <f t="shared" ca="1" si="8"/>
        <v>0.22450376454483231</v>
      </c>
      <c r="T108">
        <f t="shared" si="9"/>
        <v>100.41</v>
      </c>
      <c r="U108" s="43">
        <v>107</v>
      </c>
      <c r="V108" s="4">
        <f t="shared" ca="1" si="10"/>
        <v>0</v>
      </c>
      <c r="W108" s="54">
        <f t="shared" ca="1" si="11"/>
        <v>20</v>
      </c>
      <c r="X108" s="4">
        <f t="shared" ca="1" si="7"/>
        <v>1.2637362637362637</v>
      </c>
      <c r="Y108" s="4">
        <f t="shared" ca="1" si="12"/>
        <v>99.146263736263734</v>
      </c>
      <c r="Z108">
        <f t="shared" si="13"/>
        <v>0.79799999982844927</v>
      </c>
    </row>
    <row r="109" spans="1:26" x14ac:dyDescent="0.35">
      <c r="A109" t="s">
        <v>168</v>
      </c>
      <c r="B109" t="s">
        <v>402</v>
      </c>
      <c r="C109" t="s">
        <v>394</v>
      </c>
      <c r="D109" t="s">
        <v>395</v>
      </c>
      <c r="E109" t="s">
        <v>396</v>
      </c>
      <c r="F109" t="s">
        <v>716</v>
      </c>
      <c r="G109" t="s">
        <v>398</v>
      </c>
      <c r="H109">
        <v>2</v>
      </c>
      <c r="I109">
        <v>2.5</v>
      </c>
      <c r="J109">
        <v>2.1879999999999842</v>
      </c>
      <c r="K109">
        <v>2.2129999999999908</v>
      </c>
      <c r="L109">
        <v>102.617</v>
      </c>
      <c r="M109">
        <v>102.402</v>
      </c>
      <c r="N109" t="s">
        <v>717</v>
      </c>
      <c r="O109" t="s">
        <v>718</v>
      </c>
      <c r="P109" t="s">
        <v>401</v>
      </c>
      <c r="Q109" s="3">
        <v>38911</v>
      </c>
      <c r="R109" s="3">
        <v>46193</v>
      </c>
      <c r="S109" s="4">
        <f t="shared" ca="1" si="8"/>
        <v>10.225872689938399</v>
      </c>
      <c r="T109">
        <f t="shared" si="9"/>
        <v>102.5095</v>
      </c>
      <c r="U109" s="43">
        <v>108</v>
      </c>
      <c r="V109" s="4">
        <f t="shared" ca="1" si="10"/>
        <v>10</v>
      </c>
      <c r="W109" s="54">
        <f t="shared" ca="1" si="11"/>
        <v>20</v>
      </c>
      <c r="X109" s="4">
        <f t="shared" ca="1" si="7"/>
        <v>1.3736263736263736</v>
      </c>
      <c r="Y109" s="4">
        <f t="shared" ca="1" si="12"/>
        <v>101.13587362637362</v>
      </c>
      <c r="Z109">
        <f t="shared" si="13"/>
        <v>2.2004999999999875</v>
      </c>
    </row>
    <row r="110" spans="1:26" x14ac:dyDescent="0.35">
      <c r="A110" t="s">
        <v>169</v>
      </c>
      <c r="B110" t="s">
        <v>406</v>
      </c>
      <c r="C110" t="s">
        <v>394</v>
      </c>
      <c r="D110" t="s">
        <v>395</v>
      </c>
      <c r="E110" t="s">
        <v>396</v>
      </c>
      <c r="F110" t="s">
        <v>557</v>
      </c>
      <c r="G110" t="s">
        <v>398</v>
      </c>
      <c r="H110">
        <v>2</v>
      </c>
      <c r="I110">
        <v>2.2000000000000002</v>
      </c>
      <c r="J110">
        <v>0.77999999987736057</v>
      </c>
      <c r="K110">
        <v>0.80999999989240323</v>
      </c>
      <c r="L110">
        <v>100.38800000000001</v>
      </c>
      <c r="M110">
        <v>100.379</v>
      </c>
      <c r="N110" t="s">
        <v>719</v>
      </c>
      <c r="O110" t="s">
        <v>720</v>
      </c>
      <c r="P110" t="s">
        <v>401</v>
      </c>
      <c r="Q110" s="3">
        <v>38953</v>
      </c>
      <c r="R110" s="3">
        <v>46193</v>
      </c>
      <c r="S110" s="4">
        <f t="shared" ca="1" si="8"/>
        <v>0.22450376454483231</v>
      </c>
      <c r="T110">
        <f t="shared" si="9"/>
        <v>100.3835</v>
      </c>
      <c r="U110" s="43">
        <v>109</v>
      </c>
      <c r="V110" s="4">
        <f t="shared" ca="1" si="10"/>
        <v>0</v>
      </c>
      <c r="W110" s="54">
        <f t="shared" ca="1" si="11"/>
        <v>20</v>
      </c>
      <c r="X110" s="4">
        <f t="shared" ca="1" si="7"/>
        <v>1.2087912087912089</v>
      </c>
      <c r="Y110" s="4">
        <f t="shared" ca="1" si="12"/>
        <v>99.174708791208786</v>
      </c>
      <c r="Z110">
        <f t="shared" si="13"/>
        <v>0.7949999998848819</v>
      </c>
    </row>
    <row r="111" spans="1:26" x14ac:dyDescent="0.35">
      <c r="A111" t="s">
        <v>170</v>
      </c>
      <c r="B111" t="s">
        <v>406</v>
      </c>
      <c r="C111" t="s">
        <v>394</v>
      </c>
      <c r="D111" t="s">
        <v>395</v>
      </c>
      <c r="E111" t="s">
        <v>396</v>
      </c>
      <c r="F111" t="s">
        <v>569</v>
      </c>
      <c r="G111" t="s">
        <v>398</v>
      </c>
      <c r="H111">
        <v>2</v>
      </c>
      <c r="I111">
        <v>2.2000000000000002</v>
      </c>
      <c r="J111">
        <v>0.86100000004291655</v>
      </c>
      <c r="K111">
        <v>0.89000000003944801</v>
      </c>
      <c r="L111">
        <v>100.70099999999999</v>
      </c>
      <c r="M111">
        <v>100.685</v>
      </c>
      <c r="N111" t="s">
        <v>721</v>
      </c>
      <c r="O111" t="s">
        <v>722</v>
      </c>
      <c r="P111" t="s">
        <v>401</v>
      </c>
      <c r="Q111" s="3">
        <v>38981</v>
      </c>
      <c r="R111" s="3">
        <v>46101</v>
      </c>
      <c r="S111" s="4">
        <f t="shared" ca="1" si="8"/>
        <v>0.47638603696098564</v>
      </c>
      <c r="T111">
        <f t="shared" si="9"/>
        <v>100.693</v>
      </c>
      <c r="U111" s="43">
        <v>110</v>
      </c>
      <c r="V111" s="4">
        <f t="shared" ca="1" si="10"/>
        <v>0</v>
      </c>
      <c r="W111" s="54">
        <f t="shared" ca="1" si="11"/>
        <v>20</v>
      </c>
      <c r="X111" s="4">
        <f t="shared" ca="1" si="7"/>
        <v>2.308791208791209</v>
      </c>
      <c r="Y111" s="4">
        <f t="shared" ca="1" si="12"/>
        <v>98.384208791208792</v>
      </c>
      <c r="Z111">
        <f t="shared" si="13"/>
        <v>0.87550000004118234</v>
      </c>
    </row>
    <row r="112" spans="1:26" x14ac:dyDescent="0.35">
      <c r="A112" t="s">
        <v>171</v>
      </c>
      <c r="B112" t="s">
        <v>402</v>
      </c>
      <c r="C112" t="s">
        <v>394</v>
      </c>
      <c r="D112" t="s">
        <v>395</v>
      </c>
      <c r="E112" t="s">
        <v>396</v>
      </c>
      <c r="F112" t="s">
        <v>723</v>
      </c>
      <c r="G112" t="s">
        <v>398</v>
      </c>
      <c r="H112">
        <v>2</v>
      </c>
      <c r="I112">
        <v>2.5</v>
      </c>
      <c r="J112">
        <v>2.215999999999986</v>
      </c>
      <c r="K112">
        <v>2.2409999999999921</v>
      </c>
      <c r="L112">
        <v>102.423</v>
      </c>
      <c r="M112">
        <v>102.205</v>
      </c>
      <c r="N112" t="s">
        <v>724</v>
      </c>
      <c r="O112" t="s">
        <v>725</v>
      </c>
      <c r="P112" t="s">
        <v>401</v>
      </c>
      <c r="Q112" s="3">
        <v>39007</v>
      </c>
      <c r="R112" s="3">
        <v>46101</v>
      </c>
      <c r="S112" s="4">
        <f t="shared" ca="1" si="8"/>
        <v>10.477754962354553</v>
      </c>
      <c r="T112">
        <f t="shared" si="9"/>
        <v>102.31399999999999</v>
      </c>
      <c r="U112" s="43">
        <v>111</v>
      </c>
      <c r="V112" s="4">
        <f t="shared" ca="1" si="10"/>
        <v>10</v>
      </c>
      <c r="W112" s="54">
        <f t="shared" ca="1" si="11"/>
        <v>20</v>
      </c>
      <c r="X112" s="4">
        <f t="shared" ca="1" si="7"/>
        <v>2.6236263736263736</v>
      </c>
      <c r="Y112" s="4">
        <f t="shared" ca="1" si="12"/>
        <v>99.690373626373614</v>
      </c>
      <c r="Z112">
        <f t="shared" si="13"/>
        <v>2.2284999999999888</v>
      </c>
    </row>
    <row r="113" spans="1:26" x14ac:dyDescent="0.35">
      <c r="A113" t="s">
        <v>172</v>
      </c>
      <c r="B113" t="s">
        <v>406</v>
      </c>
      <c r="C113" t="s">
        <v>394</v>
      </c>
      <c r="D113" t="s">
        <v>395</v>
      </c>
      <c r="E113" t="s">
        <v>396</v>
      </c>
      <c r="F113" t="s">
        <v>569</v>
      </c>
      <c r="G113" t="s">
        <v>398</v>
      </c>
      <c r="H113">
        <v>2</v>
      </c>
      <c r="I113">
        <v>2.2999999999999998</v>
      </c>
      <c r="J113">
        <v>0.86900000005551981</v>
      </c>
      <c r="K113">
        <v>0.8950000000516708</v>
      </c>
      <c r="L113">
        <v>100.749</v>
      </c>
      <c r="M113">
        <v>100.735</v>
      </c>
      <c r="N113" t="s">
        <v>726</v>
      </c>
      <c r="O113" t="s">
        <v>727</v>
      </c>
      <c r="P113" t="s">
        <v>401</v>
      </c>
      <c r="Q113" s="3">
        <v>39014</v>
      </c>
      <c r="R113" s="3">
        <v>46101</v>
      </c>
      <c r="S113" s="4">
        <f t="shared" ca="1" si="8"/>
        <v>0.47638603696098564</v>
      </c>
      <c r="T113">
        <f t="shared" si="9"/>
        <v>100.74199999999999</v>
      </c>
      <c r="U113" s="43">
        <v>112</v>
      </c>
      <c r="V113" s="4">
        <f t="shared" ca="1" si="10"/>
        <v>0</v>
      </c>
      <c r="W113" s="54">
        <f t="shared" ca="1" si="11"/>
        <v>20</v>
      </c>
      <c r="X113" s="4">
        <f t="shared" ca="1" si="7"/>
        <v>2.4137362637362636</v>
      </c>
      <c r="Y113" s="4">
        <f t="shared" ca="1" si="12"/>
        <v>98.328263736263722</v>
      </c>
      <c r="Z113">
        <f t="shared" si="13"/>
        <v>0.88200000005359525</v>
      </c>
    </row>
    <row r="114" spans="1:26" x14ac:dyDescent="0.35">
      <c r="A114" t="s">
        <v>173</v>
      </c>
      <c r="B114" t="s">
        <v>406</v>
      </c>
      <c r="C114" t="s">
        <v>394</v>
      </c>
      <c r="D114" t="s">
        <v>395</v>
      </c>
      <c r="E114" t="s">
        <v>396</v>
      </c>
      <c r="F114" t="s">
        <v>397</v>
      </c>
      <c r="G114" t="s">
        <v>398</v>
      </c>
      <c r="H114">
        <v>2</v>
      </c>
      <c r="I114">
        <v>2.1</v>
      </c>
      <c r="J114">
        <v>0.94000000000417872</v>
      </c>
      <c r="K114">
        <v>0.96500000000389108</v>
      </c>
      <c r="L114">
        <v>100.892</v>
      </c>
      <c r="M114">
        <v>100.873</v>
      </c>
      <c r="N114" t="s">
        <v>728</v>
      </c>
      <c r="O114" t="s">
        <v>729</v>
      </c>
      <c r="P114" t="s">
        <v>401</v>
      </c>
      <c r="Q114" s="3">
        <v>39070</v>
      </c>
      <c r="R114" s="3">
        <v>46193</v>
      </c>
      <c r="S114" s="4">
        <f t="shared" ca="1" si="8"/>
        <v>0.72553045859000687</v>
      </c>
      <c r="T114">
        <f t="shared" si="9"/>
        <v>100.88249999999999</v>
      </c>
      <c r="U114" s="43">
        <v>113</v>
      </c>
      <c r="V114" s="4">
        <f t="shared" ca="1" si="10"/>
        <v>0.5</v>
      </c>
      <c r="W114" s="54">
        <f t="shared" ca="1" si="11"/>
        <v>20</v>
      </c>
      <c r="X114" s="4">
        <f t="shared" ca="1" si="7"/>
        <v>1.153846153846154</v>
      </c>
      <c r="Y114" s="4">
        <f t="shared" ca="1" si="12"/>
        <v>99.728653846153833</v>
      </c>
      <c r="Z114">
        <f t="shared" si="13"/>
        <v>0.9525000000040349</v>
      </c>
    </row>
    <row r="115" spans="1:26" x14ac:dyDescent="0.35">
      <c r="A115" t="s">
        <v>174</v>
      </c>
      <c r="B115" t="s">
        <v>402</v>
      </c>
      <c r="C115" t="s">
        <v>394</v>
      </c>
      <c r="D115" t="s">
        <v>395</v>
      </c>
      <c r="E115" t="s">
        <v>396</v>
      </c>
      <c r="F115" t="s">
        <v>407</v>
      </c>
      <c r="G115" t="s">
        <v>398</v>
      </c>
      <c r="H115">
        <v>2</v>
      </c>
      <c r="I115">
        <v>2.2999999999999998</v>
      </c>
      <c r="J115">
        <v>2.2720000000053959</v>
      </c>
      <c r="K115">
        <v>2.2950000000000301</v>
      </c>
      <c r="L115">
        <v>100.242</v>
      </c>
      <c r="M115">
        <v>100.04300000000001</v>
      </c>
      <c r="N115" t="s">
        <v>730</v>
      </c>
      <c r="O115" t="s">
        <v>731</v>
      </c>
      <c r="P115" t="s">
        <v>401</v>
      </c>
      <c r="Q115" s="3">
        <v>39100</v>
      </c>
      <c r="R115" s="3">
        <v>46193</v>
      </c>
      <c r="S115" s="4">
        <f t="shared" ca="1" si="8"/>
        <v>10.726899383983573</v>
      </c>
      <c r="T115">
        <f t="shared" si="9"/>
        <v>100.14250000000001</v>
      </c>
      <c r="U115" s="43">
        <v>114</v>
      </c>
      <c r="V115" s="4">
        <f t="shared" ca="1" si="10"/>
        <v>10.5</v>
      </c>
      <c r="W115" s="54">
        <f t="shared" ca="1" si="11"/>
        <v>19</v>
      </c>
      <c r="X115" s="4">
        <f t="shared" ca="1" si="7"/>
        <v>1.2637362637362637</v>
      </c>
      <c r="Y115" s="4">
        <f t="shared" ca="1" si="12"/>
        <v>98.87876373626375</v>
      </c>
      <c r="Z115">
        <f t="shared" si="13"/>
        <v>2.283500000002713</v>
      </c>
    </row>
    <row r="116" spans="1:26" x14ac:dyDescent="0.35">
      <c r="A116" t="s">
        <v>175</v>
      </c>
      <c r="B116" t="s">
        <v>406</v>
      </c>
      <c r="C116" t="s">
        <v>394</v>
      </c>
      <c r="D116" t="s">
        <v>395</v>
      </c>
      <c r="E116" t="s">
        <v>396</v>
      </c>
      <c r="F116" t="s">
        <v>410</v>
      </c>
      <c r="G116" t="s">
        <v>398</v>
      </c>
      <c r="H116">
        <v>2</v>
      </c>
      <c r="I116">
        <v>2</v>
      </c>
      <c r="J116">
        <v>0.99300000022308144</v>
      </c>
      <c r="K116">
        <v>1.0160000002044027</v>
      </c>
      <c r="L116">
        <v>101.018</v>
      </c>
      <c r="M116">
        <v>100.995</v>
      </c>
      <c r="N116" t="s">
        <v>732</v>
      </c>
      <c r="O116" t="s">
        <v>733</v>
      </c>
      <c r="P116" t="s">
        <v>401</v>
      </c>
      <c r="Q116" s="3">
        <v>39156</v>
      </c>
      <c r="R116" s="3">
        <v>46101</v>
      </c>
      <c r="S116" s="4">
        <f t="shared" ca="1" si="8"/>
        <v>0.97193702943189597</v>
      </c>
      <c r="T116">
        <f t="shared" si="9"/>
        <v>101.0065</v>
      </c>
      <c r="U116" s="43">
        <v>115</v>
      </c>
      <c r="V116" s="4">
        <f t="shared" ca="1" si="10"/>
        <v>0.5</v>
      </c>
      <c r="W116" s="54">
        <f t="shared" ca="1" si="11"/>
        <v>19</v>
      </c>
      <c r="X116" s="4">
        <f t="shared" ca="1" si="7"/>
        <v>2.098901098901099</v>
      </c>
      <c r="Y116" s="4">
        <f t="shared" ca="1" si="12"/>
        <v>98.907598901098908</v>
      </c>
      <c r="Z116">
        <f t="shared" si="13"/>
        <v>1.0045000002137421</v>
      </c>
    </row>
    <row r="117" spans="1:26" x14ac:dyDescent="0.35">
      <c r="A117" t="s">
        <v>176</v>
      </c>
      <c r="B117" t="s">
        <v>402</v>
      </c>
      <c r="C117" t="s">
        <v>394</v>
      </c>
      <c r="D117" t="s">
        <v>395</v>
      </c>
      <c r="E117" t="s">
        <v>396</v>
      </c>
      <c r="F117" t="s">
        <v>416</v>
      </c>
      <c r="G117" t="s">
        <v>398</v>
      </c>
      <c r="H117">
        <v>2</v>
      </c>
      <c r="I117">
        <v>2.4</v>
      </c>
      <c r="J117">
        <v>2.2869999999999973</v>
      </c>
      <c r="K117">
        <v>2.3109999999999995</v>
      </c>
      <c r="L117">
        <v>100.994</v>
      </c>
      <c r="M117">
        <v>100.78100000000001</v>
      </c>
      <c r="N117" t="s">
        <v>734</v>
      </c>
      <c r="O117" t="s">
        <v>735</v>
      </c>
      <c r="P117" t="s">
        <v>401</v>
      </c>
      <c r="Q117" s="3">
        <v>39189</v>
      </c>
      <c r="R117" s="3">
        <v>46101</v>
      </c>
      <c r="S117" s="4">
        <f t="shared" ca="1" si="8"/>
        <v>10.973305954825461</v>
      </c>
      <c r="T117">
        <f t="shared" si="9"/>
        <v>100.8875</v>
      </c>
      <c r="U117" s="43">
        <v>116</v>
      </c>
      <c r="V117" s="4">
        <f t="shared" ca="1" si="10"/>
        <v>10.5</v>
      </c>
      <c r="W117" s="54">
        <f t="shared" ca="1" si="11"/>
        <v>19</v>
      </c>
      <c r="X117" s="4">
        <f t="shared" ca="1" si="7"/>
        <v>2.5186813186813186</v>
      </c>
      <c r="Y117" s="4">
        <f t="shared" ca="1" si="12"/>
        <v>98.368818681318686</v>
      </c>
      <c r="Z117">
        <f t="shared" si="13"/>
        <v>2.2989999999999986</v>
      </c>
    </row>
    <row r="118" spans="1:26" x14ac:dyDescent="0.35">
      <c r="A118" t="s">
        <v>177</v>
      </c>
      <c r="B118" t="s">
        <v>406</v>
      </c>
      <c r="C118" t="s">
        <v>394</v>
      </c>
      <c r="D118" t="s">
        <v>395</v>
      </c>
      <c r="E118" t="s">
        <v>396</v>
      </c>
      <c r="F118" t="s">
        <v>410</v>
      </c>
      <c r="G118" t="s">
        <v>398</v>
      </c>
      <c r="H118">
        <v>2</v>
      </c>
      <c r="I118">
        <v>2.1</v>
      </c>
      <c r="J118">
        <v>0.9920000003186531</v>
      </c>
      <c r="K118">
        <v>1.0150000002940662</v>
      </c>
      <c r="L118">
        <v>101.12</v>
      </c>
      <c r="M118">
        <v>101.09699999999999</v>
      </c>
      <c r="N118" t="s">
        <v>736</v>
      </c>
      <c r="O118" t="s">
        <v>737</v>
      </c>
      <c r="P118" t="s">
        <v>401</v>
      </c>
      <c r="Q118" s="3">
        <v>39196</v>
      </c>
      <c r="R118" s="3">
        <v>46101</v>
      </c>
      <c r="S118" s="4">
        <f t="shared" ca="1" si="8"/>
        <v>0.97193702943189597</v>
      </c>
      <c r="T118">
        <f t="shared" si="9"/>
        <v>101.10849999999999</v>
      </c>
      <c r="U118" s="43">
        <v>117</v>
      </c>
      <c r="V118" s="4">
        <f t="shared" ca="1" si="10"/>
        <v>0.5</v>
      </c>
      <c r="W118" s="54">
        <f t="shared" ca="1" si="11"/>
        <v>19</v>
      </c>
      <c r="X118" s="4">
        <f t="shared" ca="1" si="7"/>
        <v>2.203846153846154</v>
      </c>
      <c r="Y118" s="4">
        <f t="shared" ca="1" si="12"/>
        <v>98.904653846153835</v>
      </c>
      <c r="Z118">
        <f t="shared" si="13"/>
        <v>1.0035000003063597</v>
      </c>
    </row>
    <row r="119" spans="1:26" x14ac:dyDescent="0.35">
      <c r="A119" t="s">
        <v>178</v>
      </c>
      <c r="B119" t="s">
        <v>406</v>
      </c>
      <c r="C119" t="s">
        <v>394</v>
      </c>
      <c r="D119" t="s">
        <v>395</v>
      </c>
      <c r="E119" t="s">
        <v>396</v>
      </c>
      <c r="F119" t="s">
        <v>423</v>
      </c>
      <c r="G119" t="s">
        <v>398</v>
      </c>
      <c r="H119">
        <v>2</v>
      </c>
      <c r="I119">
        <v>2.2999999999999998</v>
      </c>
      <c r="J119">
        <v>1.0580000002626728</v>
      </c>
      <c r="K119">
        <v>1.0800000002459673</v>
      </c>
      <c r="L119">
        <v>101.56100000000001</v>
      </c>
      <c r="M119">
        <v>101.533</v>
      </c>
      <c r="N119" t="s">
        <v>738</v>
      </c>
      <c r="O119" t="s">
        <v>739</v>
      </c>
      <c r="P119" t="s">
        <v>401</v>
      </c>
      <c r="Q119" s="3">
        <v>39254</v>
      </c>
      <c r="R119" s="3">
        <v>46193</v>
      </c>
      <c r="S119" s="4">
        <f t="shared" ca="1" si="8"/>
        <v>1.2238193018480492</v>
      </c>
      <c r="T119">
        <f t="shared" si="9"/>
        <v>101.547</v>
      </c>
      <c r="U119" s="43">
        <v>118</v>
      </c>
      <c r="V119" s="4">
        <f t="shared" ca="1" si="10"/>
        <v>1</v>
      </c>
      <c r="W119" s="54">
        <f t="shared" ca="1" si="11"/>
        <v>19</v>
      </c>
      <c r="X119" s="4">
        <f t="shared" ca="1" si="7"/>
        <v>1.2637362637362637</v>
      </c>
      <c r="Y119" s="4">
        <f t="shared" ca="1" si="12"/>
        <v>100.28326373626373</v>
      </c>
      <c r="Z119">
        <f t="shared" si="13"/>
        <v>1.0690000002543201</v>
      </c>
    </row>
    <row r="120" spans="1:26" x14ac:dyDescent="0.35">
      <c r="A120" t="s">
        <v>179</v>
      </c>
      <c r="B120" t="s">
        <v>406</v>
      </c>
      <c r="C120" t="s">
        <v>394</v>
      </c>
      <c r="D120" t="s">
        <v>395</v>
      </c>
      <c r="E120" t="s">
        <v>396</v>
      </c>
      <c r="F120" t="s">
        <v>423</v>
      </c>
      <c r="G120" t="s">
        <v>398</v>
      </c>
      <c r="H120">
        <v>2</v>
      </c>
      <c r="I120">
        <v>2.1</v>
      </c>
      <c r="J120">
        <v>1.0560000001421888</v>
      </c>
      <c r="K120">
        <v>1.0790000001312146</v>
      </c>
      <c r="L120">
        <v>101.312</v>
      </c>
      <c r="M120">
        <v>101.283</v>
      </c>
      <c r="N120" t="s">
        <v>740</v>
      </c>
      <c r="O120" t="s">
        <v>741</v>
      </c>
      <c r="P120" t="s">
        <v>401</v>
      </c>
      <c r="Q120" s="3">
        <v>39322</v>
      </c>
      <c r="R120" s="3">
        <v>46193</v>
      </c>
      <c r="S120" s="4">
        <f t="shared" ca="1" si="8"/>
        <v>1.2238193018480492</v>
      </c>
      <c r="T120">
        <f t="shared" si="9"/>
        <v>101.2975</v>
      </c>
      <c r="U120" s="43">
        <v>119</v>
      </c>
      <c r="V120" s="4">
        <f t="shared" ca="1" si="10"/>
        <v>1</v>
      </c>
      <c r="W120" s="54">
        <f t="shared" ca="1" si="11"/>
        <v>19</v>
      </c>
      <c r="X120" s="4">
        <f t="shared" ca="1" si="7"/>
        <v>1.153846153846154</v>
      </c>
      <c r="Y120" s="4">
        <f t="shared" ca="1" si="12"/>
        <v>100.14365384615384</v>
      </c>
      <c r="Z120">
        <f t="shared" si="13"/>
        <v>1.0675000001367017</v>
      </c>
    </row>
    <row r="121" spans="1:26" x14ac:dyDescent="0.35">
      <c r="A121" t="s">
        <v>180</v>
      </c>
      <c r="B121" t="s">
        <v>406</v>
      </c>
      <c r="C121" t="s">
        <v>394</v>
      </c>
      <c r="D121" t="s">
        <v>395</v>
      </c>
      <c r="E121" t="s">
        <v>396</v>
      </c>
      <c r="F121" t="s">
        <v>432</v>
      </c>
      <c r="G121" t="s">
        <v>398</v>
      </c>
      <c r="H121">
        <v>2</v>
      </c>
      <c r="I121">
        <v>2.2000000000000002</v>
      </c>
      <c r="J121">
        <v>1.1309999999999882</v>
      </c>
      <c r="K121">
        <v>1.1540000000000008</v>
      </c>
      <c r="L121">
        <v>101.60299999999999</v>
      </c>
      <c r="M121">
        <v>101.568</v>
      </c>
      <c r="N121" t="s">
        <v>742</v>
      </c>
      <c r="O121" t="s">
        <v>743</v>
      </c>
      <c r="P121" t="s">
        <v>401</v>
      </c>
      <c r="Q121" s="3">
        <v>39345</v>
      </c>
      <c r="R121" s="3">
        <v>46101</v>
      </c>
      <c r="S121" s="4">
        <f t="shared" ca="1" si="8"/>
        <v>1.4757015742642026</v>
      </c>
      <c r="T121">
        <f t="shared" si="9"/>
        <v>101.5855</v>
      </c>
      <c r="U121" s="43">
        <v>120</v>
      </c>
      <c r="V121" s="4">
        <f t="shared" ca="1" si="10"/>
        <v>1</v>
      </c>
      <c r="W121" s="54">
        <f t="shared" ca="1" si="11"/>
        <v>19</v>
      </c>
      <c r="X121" s="4">
        <f t="shared" ca="1" si="7"/>
        <v>2.308791208791209</v>
      </c>
      <c r="Y121" s="4">
        <f t="shared" ca="1" si="12"/>
        <v>99.27670879120879</v>
      </c>
      <c r="Z121">
        <f t="shared" si="13"/>
        <v>1.1424999999999945</v>
      </c>
    </row>
    <row r="122" spans="1:26" x14ac:dyDescent="0.35">
      <c r="A122" t="s">
        <v>181</v>
      </c>
      <c r="B122" t="s">
        <v>419</v>
      </c>
      <c r="C122" t="s">
        <v>394</v>
      </c>
      <c r="D122" t="s">
        <v>395</v>
      </c>
      <c r="E122" t="s">
        <v>396</v>
      </c>
      <c r="F122" t="s">
        <v>453</v>
      </c>
      <c r="G122" t="s">
        <v>398</v>
      </c>
      <c r="H122">
        <v>2</v>
      </c>
      <c r="I122">
        <v>2.4</v>
      </c>
      <c r="J122">
        <v>3.3559999999999999</v>
      </c>
      <c r="K122">
        <v>3.4009999999999998</v>
      </c>
      <c r="L122">
        <v>87.894000000000005</v>
      </c>
      <c r="M122">
        <v>87.396000000000001</v>
      </c>
      <c r="N122" t="s">
        <v>744</v>
      </c>
      <c r="O122" t="s">
        <v>745</v>
      </c>
      <c r="P122" t="s">
        <v>401</v>
      </c>
      <c r="Q122" s="3">
        <v>39392</v>
      </c>
      <c r="R122" s="3">
        <v>46101</v>
      </c>
      <c r="S122" s="4">
        <f t="shared" ca="1" si="8"/>
        <v>21.973990417522245</v>
      </c>
      <c r="T122">
        <f t="shared" si="9"/>
        <v>87.64500000000001</v>
      </c>
      <c r="U122" s="43">
        <v>121</v>
      </c>
      <c r="V122" s="4">
        <f t="shared" ca="1" si="10"/>
        <v>21.5</v>
      </c>
      <c r="W122" s="54">
        <f t="shared" ca="1" si="11"/>
        <v>19</v>
      </c>
      <c r="X122" s="4">
        <f t="shared" ca="1" si="7"/>
        <v>2.5186813186813186</v>
      </c>
      <c r="Y122" s="4">
        <f t="shared" ca="1" si="12"/>
        <v>85.126318681318693</v>
      </c>
      <c r="Z122">
        <f t="shared" si="13"/>
        <v>3.3784999999999998</v>
      </c>
    </row>
    <row r="123" spans="1:26" x14ac:dyDescent="0.35">
      <c r="A123" t="s">
        <v>182</v>
      </c>
      <c r="B123" t="s">
        <v>402</v>
      </c>
      <c r="C123" t="s">
        <v>394</v>
      </c>
      <c r="D123" t="s">
        <v>395</v>
      </c>
      <c r="E123" t="s">
        <v>396</v>
      </c>
      <c r="F123" t="s">
        <v>438</v>
      </c>
      <c r="G123" t="s">
        <v>398</v>
      </c>
      <c r="H123">
        <v>2</v>
      </c>
      <c r="I123">
        <v>2.5</v>
      </c>
      <c r="J123">
        <v>2.3410000000000006</v>
      </c>
      <c r="K123">
        <v>2.3670000000000013</v>
      </c>
      <c r="L123">
        <v>101.443</v>
      </c>
      <c r="M123">
        <v>101.20399999999999</v>
      </c>
      <c r="N123" t="s">
        <v>746</v>
      </c>
      <c r="O123" t="s">
        <v>747</v>
      </c>
      <c r="P123" t="s">
        <v>401</v>
      </c>
      <c r="Q123" s="3">
        <v>39371</v>
      </c>
      <c r="R123" s="3">
        <v>46101</v>
      </c>
      <c r="S123" s="4">
        <f t="shared" ca="1" si="8"/>
        <v>11.477070499657769</v>
      </c>
      <c r="T123">
        <f t="shared" si="9"/>
        <v>101.3235</v>
      </c>
      <c r="U123" s="43">
        <v>122</v>
      </c>
      <c r="V123" s="4">
        <f t="shared" ca="1" si="10"/>
        <v>11</v>
      </c>
      <c r="W123" s="54">
        <f t="shared" ca="1" si="11"/>
        <v>19</v>
      </c>
      <c r="X123" s="4">
        <f t="shared" ca="1" si="7"/>
        <v>2.6236263736263736</v>
      </c>
      <c r="Y123" s="4">
        <f t="shared" ca="1" si="12"/>
        <v>98.699873626373616</v>
      </c>
      <c r="Z123">
        <f t="shared" si="13"/>
        <v>2.354000000000001</v>
      </c>
    </row>
    <row r="124" spans="1:26" x14ac:dyDescent="0.35">
      <c r="A124" t="s">
        <v>183</v>
      </c>
      <c r="B124" t="s">
        <v>406</v>
      </c>
      <c r="C124" t="s">
        <v>394</v>
      </c>
      <c r="D124" t="s">
        <v>395</v>
      </c>
      <c r="E124" t="s">
        <v>396</v>
      </c>
      <c r="F124" t="s">
        <v>432</v>
      </c>
      <c r="G124" t="s">
        <v>398</v>
      </c>
      <c r="H124">
        <v>2</v>
      </c>
      <c r="I124">
        <v>2.1</v>
      </c>
      <c r="J124">
        <v>1.1299999999999901</v>
      </c>
      <c r="K124">
        <v>1.1530000000000036</v>
      </c>
      <c r="L124">
        <v>101.455</v>
      </c>
      <c r="M124">
        <v>101.42</v>
      </c>
      <c r="N124" t="s">
        <v>748</v>
      </c>
      <c r="O124" t="s">
        <v>749</v>
      </c>
      <c r="P124" t="s">
        <v>401</v>
      </c>
      <c r="Q124" s="3">
        <v>39407</v>
      </c>
      <c r="R124" s="3">
        <v>46101</v>
      </c>
      <c r="S124" s="4">
        <f t="shared" ca="1" si="8"/>
        <v>1.4757015742642026</v>
      </c>
      <c r="T124">
        <f t="shared" si="9"/>
        <v>101.4375</v>
      </c>
      <c r="U124" s="43">
        <v>123</v>
      </c>
      <c r="V124" s="4">
        <f t="shared" ca="1" si="10"/>
        <v>1</v>
      </c>
      <c r="W124" s="54">
        <f t="shared" ca="1" si="11"/>
        <v>19</v>
      </c>
      <c r="X124" s="4">
        <f t="shared" ca="1" si="7"/>
        <v>2.203846153846154</v>
      </c>
      <c r="Y124" s="4">
        <f t="shared" ca="1" si="12"/>
        <v>99.233653846153842</v>
      </c>
      <c r="Z124">
        <f t="shared" si="13"/>
        <v>1.1414999999999969</v>
      </c>
    </row>
    <row r="125" spans="1:26" x14ac:dyDescent="0.35">
      <c r="A125" t="s">
        <v>184</v>
      </c>
      <c r="B125" t="s">
        <v>406</v>
      </c>
      <c r="C125" t="s">
        <v>394</v>
      </c>
      <c r="D125" t="s">
        <v>395</v>
      </c>
      <c r="E125" t="s">
        <v>396</v>
      </c>
      <c r="F125" t="s">
        <v>441</v>
      </c>
      <c r="G125" t="s">
        <v>398</v>
      </c>
      <c r="H125">
        <v>2</v>
      </c>
      <c r="I125">
        <v>2.1</v>
      </c>
      <c r="J125">
        <v>1.1690000005561345</v>
      </c>
      <c r="K125">
        <v>1.1910000005101067</v>
      </c>
      <c r="L125">
        <v>101.619</v>
      </c>
      <c r="M125">
        <v>101.58</v>
      </c>
      <c r="N125" t="s">
        <v>750</v>
      </c>
      <c r="O125" t="s">
        <v>751</v>
      </c>
      <c r="P125" t="s">
        <v>401</v>
      </c>
      <c r="Q125" s="3">
        <v>39434</v>
      </c>
      <c r="R125" s="3">
        <v>46193</v>
      </c>
      <c r="S125" s="4">
        <f t="shared" ca="1" si="8"/>
        <v>1.7248459958932238</v>
      </c>
      <c r="T125">
        <f t="shared" si="9"/>
        <v>101.59950000000001</v>
      </c>
      <c r="U125" s="43">
        <v>124</v>
      </c>
      <c r="V125" s="4">
        <f t="shared" ca="1" si="10"/>
        <v>1.5</v>
      </c>
      <c r="W125" s="54">
        <f t="shared" ca="1" si="11"/>
        <v>19</v>
      </c>
      <c r="X125" s="4">
        <f t="shared" ca="1" si="7"/>
        <v>1.153846153846154</v>
      </c>
      <c r="Y125" s="4">
        <f t="shared" ca="1" si="12"/>
        <v>100.44565384615385</v>
      </c>
      <c r="Z125">
        <f t="shared" si="13"/>
        <v>1.1800000005331206</v>
      </c>
    </row>
    <row r="126" spans="1:26" x14ac:dyDescent="0.35">
      <c r="A126" t="s">
        <v>185</v>
      </c>
      <c r="B126" t="s">
        <v>406</v>
      </c>
      <c r="C126" t="s">
        <v>394</v>
      </c>
      <c r="D126" t="s">
        <v>395</v>
      </c>
      <c r="E126" t="s">
        <v>396</v>
      </c>
      <c r="F126" t="s">
        <v>450</v>
      </c>
      <c r="G126" t="s">
        <v>398</v>
      </c>
      <c r="H126">
        <v>2</v>
      </c>
      <c r="I126">
        <v>2.2000000000000002</v>
      </c>
      <c r="J126">
        <v>1.195000000000001</v>
      </c>
      <c r="K126">
        <v>1.2179999999999833</v>
      </c>
      <c r="L126">
        <v>101.98399999999999</v>
      </c>
      <c r="M126">
        <v>101.937</v>
      </c>
      <c r="N126" t="s">
        <v>752</v>
      </c>
      <c r="O126" t="s">
        <v>753</v>
      </c>
      <c r="P126" t="s">
        <v>401</v>
      </c>
      <c r="Q126" s="3">
        <v>39525</v>
      </c>
      <c r="R126" s="3">
        <v>46101</v>
      </c>
      <c r="S126" s="4">
        <f t="shared" ca="1" si="8"/>
        <v>1.9739904175222451</v>
      </c>
      <c r="T126">
        <f t="shared" si="9"/>
        <v>101.9605</v>
      </c>
      <c r="U126" s="43">
        <v>125</v>
      </c>
      <c r="V126" s="4">
        <f t="shared" ca="1" si="10"/>
        <v>1.5</v>
      </c>
      <c r="W126" s="54">
        <f t="shared" ca="1" si="11"/>
        <v>18</v>
      </c>
      <c r="X126" s="4">
        <f t="shared" ca="1" si="7"/>
        <v>2.308791208791209</v>
      </c>
      <c r="Y126" s="4">
        <f t="shared" ca="1" si="12"/>
        <v>99.65170879120879</v>
      </c>
      <c r="Z126">
        <f t="shared" si="13"/>
        <v>1.2064999999999921</v>
      </c>
    </row>
    <row r="127" spans="1:26" x14ac:dyDescent="0.35">
      <c r="A127" t="s">
        <v>186</v>
      </c>
      <c r="B127" t="s">
        <v>402</v>
      </c>
      <c r="C127" t="s">
        <v>394</v>
      </c>
      <c r="D127" t="s">
        <v>395</v>
      </c>
      <c r="E127" t="s">
        <v>396</v>
      </c>
      <c r="F127" t="s">
        <v>456</v>
      </c>
      <c r="G127" t="s">
        <v>398</v>
      </c>
      <c r="H127">
        <v>2</v>
      </c>
      <c r="I127">
        <v>2.5</v>
      </c>
      <c r="J127">
        <v>2.4029999999999996</v>
      </c>
      <c r="K127">
        <v>2.4290000000000007</v>
      </c>
      <c r="L127">
        <v>100.904</v>
      </c>
      <c r="M127">
        <v>100.66</v>
      </c>
      <c r="N127" t="s">
        <v>754</v>
      </c>
      <c r="O127" t="s">
        <v>755</v>
      </c>
      <c r="P127" t="s">
        <v>401</v>
      </c>
      <c r="Q127" s="3">
        <v>39553</v>
      </c>
      <c r="R127" s="3">
        <v>46101</v>
      </c>
      <c r="S127" s="4">
        <f t="shared" ca="1" si="8"/>
        <v>11.972621492128679</v>
      </c>
      <c r="T127">
        <f t="shared" si="9"/>
        <v>100.782</v>
      </c>
      <c r="U127" s="43">
        <v>126</v>
      </c>
      <c r="V127" s="4">
        <f t="shared" ca="1" si="10"/>
        <v>11.5</v>
      </c>
      <c r="W127" s="54">
        <f t="shared" ca="1" si="11"/>
        <v>18</v>
      </c>
      <c r="X127" s="4">
        <f t="shared" ca="1" si="7"/>
        <v>2.6236263736263736</v>
      </c>
      <c r="Y127" s="4">
        <f t="shared" ca="1" si="12"/>
        <v>98.158373626373617</v>
      </c>
      <c r="Z127">
        <f t="shared" si="13"/>
        <v>2.4160000000000004</v>
      </c>
    </row>
    <row r="128" spans="1:26" x14ac:dyDescent="0.35">
      <c r="A128" t="s">
        <v>187</v>
      </c>
      <c r="B128" t="s">
        <v>406</v>
      </c>
      <c r="C128" t="s">
        <v>394</v>
      </c>
      <c r="D128" t="s">
        <v>395</v>
      </c>
      <c r="E128" t="s">
        <v>396</v>
      </c>
      <c r="F128" t="s">
        <v>450</v>
      </c>
      <c r="G128" t="s">
        <v>398</v>
      </c>
      <c r="H128">
        <v>2</v>
      </c>
      <c r="I128">
        <v>2.4</v>
      </c>
      <c r="J128">
        <v>1.192999999999989</v>
      </c>
      <c r="K128">
        <v>1.2149999999999852</v>
      </c>
      <c r="L128">
        <v>102.38200000000001</v>
      </c>
      <c r="M128">
        <v>102.33799999999999</v>
      </c>
      <c r="N128" t="s">
        <v>756</v>
      </c>
      <c r="O128" t="s">
        <v>757</v>
      </c>
      <c r="P128" t="s">
        <v>401</v>
      </c>
      <c r="Q128" s="3">
        <v>39595</v>
      </c>
      <c r="R128" s="3">
        <v>46101</v>
      </c>
      <c r="S128" s="4">
        <f t="shared" ca="1" si="8"/>
        <v>1.9739904175222451</v>
      </c>
      <c r="T128">
        <f t="shared" si="9"/>
        <v>102.36</v>
      </c>
      <c r="U128" s="43">
        <v>127</v>
      </c>
      <c r="V128" s="4">
        <f t="shared" ca="1" si="10"/>
        <v>1.5</v>
      </c>
      <c r="W128" s="54">
        <f t="shared" ca="1" si="11"/>
        <v>18</v>
      </c>
      <c r="X128" s="4">
        <f t="shared" ca="1" si="7"/>
        <v>2.5186813186813186</v>
      </c>
      <c r="Y128" s="4">
        <f t="shared" ca="1" si="12"/>
        <v>99.841318681318683</v>
      </c>
      <c r="Z128">
        <f t="shared" si="13"/>
        <v>1.2039999999999871</v>
      </c>
    </row>
    <row r="129" spans="1:26" x14ac:dyDescent="0.35">
      <c r="A129" t="s">
        <v>188</v>
      </c>
      <c r="B129" t="s">
        <v>406</v>
      </c>
      <c r="C129" t="s">
        <v>394</v>
      </c>
      <c r="D129" t="s">
        <v>395</v>
      </c>
      <c r="E129" t="s">
        <v>396</v>
      </c>
      <c r="F129" t="s">
        <v>462</v>
      </c>
      <c r="G129" t="s">
        <v>398</v>
      </c>
      <c r="H129">
        <v>2</v>
      </c>
      <c r="I129">
        <v>2.4</v>
      </c>
      <c r="J129">
        <v>1.218000000000002</v>
      </c>
      <c r="K129">
        <v>1.2420000000000011</v>
      </c>
      <c r="L129">
        <v>102.61499999999999</v>
      </c>
      <c r="M129">
        <v>102.56</v>
      </c>
      <c r="N129" t="s">
        <v>758</v>
      </c>
      <c r="O129" t="s">
        <v>759</v>
      </c>
      <c r="P129" t="s">
        <v>401</v>
      </c>
      <c r="Q129" s="3">
        <v>39616</v>
      </c>
      <c r="R129" s="3">
        <v>46193</v>
      </c>
      <c r="S129" s="4">
        <f t="shared" ca="1" si="8"/>
        <v>2.2258726899383983</v>
      </c>
      <c r="T129">
        <f t="shared" si="9"/>
        <v>102.58750000000001</v>
      </c>
      <c r="U129" s="43">
        <v>128</v>
      </c>
      <c r="V129" s="4">
        <f t="shared" ca="1" si="10"/>
        <v>2</v>
      </c>
      <c r="W129" s="54">
        <f t="shared" ca="1" si="11"/>
        <v>18</v>
      </c>
      <c r="X129" s="4">
        <f t="shared" ca="1" si="7"/>
        <v>1.3186813186813187</v>
      </c>
      <c r="Y129" s="4">
        <f t="shared" ca="1" si="12"/>
        <v>101.26881868131869</v>
      </c>
      <c r="Z129">
        <f t="shared" si="13"/>
        <v>1.2300000000000015</v>
      </c>
    </row>
    <row r="130" spans="1:26" x14ac:dyDescent="0.35">
      <c r="A130" t="s">
        <v>189</v>
      </c>
      <c r="B130" t="s">
        <v>406</v>
      </c>
      <c r="C130" t="s">
        <v>394</v>
      </c>
      <c r="D130" t="s">
        <v>395</v>
      </c>
      <c r="E130" t="s">
        <v>396</v>
      </c>
      <c r="F130" t="s">
        <v>462</v>
      </c>
      <c r="G130" t="s">
        <v>398</v>
      </c>
      <c r="H130">
        <v>2</v>
      </c>
      <c r="I130">
        <v>2.2999999999999998</v>
      </c>
      <c r="J130">
        <v>1.2189999999999979</v>
      </c>
      <c r="K130">
        <v>1.2419999999999962</v>
      </c>
      <c r="L130">
        <v>102.39100000000001</v>
      </c>
      <c r="M130">
        <v>102.339</v>
      </c>
      <c r="N130" t="s">
        <v>760</v>
      </c>
      <c r="O130" t="s">
        <v>761</v>
      </c>
      <c r="P130" t="s">
        <v>401</v>
      </c>
      <c r="Q130" s="3">
        <v>39653</v>
      </c>
      <c r="R130" s="3">
        <v>46193</v>
      </c>
      <c r="S130" s="4">
        <f t="shared" ca="1" si="8"/>
        <v>2.2258726899383983</v>
      </c>
      <c r="T130">
        <f t="shared" si="9"/>
        <v>102.36500000000001</v>
      </c>
      <c r="U130" s="43">
        <v>129</v>
      </c>
      <c r="V130" s="4">
        <f t="shared" ca="1" si="10"/>
        <v>2</v>
      </c>
      <c r="W130" s="54">
        <f t="shared" ca="1" si="11"/>
        <v>18</v>
      </c>
      <c r="X130" s="4">
        <f t="shared" ref="X130:X193" ca="1" si="14">(TODAY()-DATE(YEAR(R130),MONTH(R130)-6,DAY(R130)))/182*(I130)</f>
        <v>1.2637362637362637</v>
      </c>
      <c r="Y130" s="4">
        <f t="shared" ca="1" si="12"/>
        <v>101.10126373626375</v>
      </c>
      <c r="Z130">
        <f t="shared" si="13"/>
        <v>1.230499999999997</v>
      </c>
    </row>
    <row r="131" spans="1:26" x14ac:dyDescent="0.35">
      <c r="A131" t="s">
        <v>190</v>
      </c>
      <c r="B131" t="s">
        <v>406</v>
      </c>
      <c r="C131" t="s">
        <v>394</v>
      </c>
      <c r="D131" t="s">
        <v>395</v>
      </c>
      <c r="E131" t="s">
        <v>396</v>
      </c>
      <c r="F131" t="s">
        <v>462</v>
      </c>
      <c r="G131" t="s">
        <v>398</v>
      </c>
      <c r="H131">
        <v>2</v>
      </c>
      <c r="I131">
        <v>2.1</v>
      </c>
      <c r="J131">
        <v>1.2239999999999986</v>
      </c>
      <c r="K131">
        <v>1.2480000000000002</v>
      </c>
      <c r="L131">
        <v>101.938</v>
      </c>
      <c r="M131">
        <v>101.883</v>
      </c>
      <c r="N131" t="s">
        <v>762</v>
      </c>
      <c r="O131" t="s">
        <v>763</v>
      </c>
      <c r="P131" t="s">
        <v>401</v>
      </c>
      <c r="Q131" s="3">
        <v>39686</v>
      </c>
      <c r="R131" s="3">
        <v>46193</v>
      </c>
      <c r="S131" s="4">
        <f t="shared" ref="S131:S194" ca="1" si="15">(F131-TODAY())/365.25</f>
        <v>2.2258726899383983</v>
      </c>
      <c r="T131">
        <f t="shared" ref="T131:T194" si="16">AVERAGE(L131:M131)</f>
        <v>101.9105</v>
      </c>
      <c r="U131" s="43">
        <v>130</v>
      </c>
      <c r="V131" s="4">
        <f t="shared" ref="V131:V194" ca="1" si="17">ROUNDDOWN(S131,0)+IF(S131-ROUNDDOWN(S131,0)&gt;0.5,0.5,0)</f>
        <v>2</v>
      </c>
      <c r="W131" s="54">
        <f t="shared" ref="W131:W194" ca="1" si="18">YEAR(TODAY())-YEAR(Q131)</f>
        <v>18</v>
      </c>
      <c r="X131" s="4">
        <f t="shared" ca="1" si="14"/>
        <v>1.153846153846154</v>
      </c>
      <c r="Y131" s="4">
        <f t="shared" ref="Y131:Y194" ca="1" si="19">T131-X131</f>
        <v>100.75665384615384</v>
      </c>
      <c r="Z131">
        <f t="shared" ref="Z131:Z194" si="20">AVERAGE(J131:K131)</f>
        <v>1.2359999999999993</v>
      </c>
    </row>
    <row r="132" spans="1:26" x14ac:dyDescent="0.35">
      <c r="A132" t="s">
        <v>191</v>
      </c>
      <c r="B132" t="s">
        <v>406</v>
      </c>
      <c r="C132" t="s">
        <v>394</v>
      </c>
      <c r="D132" t="s">
        <v>395</v>
      </c>
      <c r="E132" t="s">
        <v>396</v>
      </c>
      <c r="F132" t="s">
        <v>471</v>
      </c>
      <c r="G132" t="s">
        <v>398</v>
      </c>
      <c r="H132">
        <v>2</v>
      </c>
      <c r="I132">
        <v>2.1</v>
      </c>
      <c r="J132">
        <v>1.2479999999999967</v>
      </c>
      <c r="K132">
        <v>1.2709999999999946</v>
      </c>
      <c r="L132">
        <v>102.086</v>
      </c>
      <c r="M132">
        <v>102.02800000000001</v>
      </c>
      <c r="N132" t="s">
        <v>764</v>
      </c>
      <c r="O132" t="s">
        <v>765</v>
      </c>
      <c r="P132" t="s">
        <v>401</v>
      </c>
      <c r="Q132" s="3">
        <v>39709</v>
      </c>
      <c r="R132" s="3">
        <v>46101</v>
      </c>
      <c r="S132" s="4">
        <f t="shared" ca="1" si="15"/>
        <v>2.4777549623545516</v>
      </c>
      <c r="T132">
        <f t="shared" si="16"/>
        <v>102.057</v>
      </c>
      <c r="U132" s="43">
        <v>131</v>
      </c>
      <c r="V132" s="4">
        <f t="shared" ca="1" si="17"/>
        <v>2</v>
      </c>
      <c r="W132" s="54">
        <f t="shared" ca="1" si="18"/>
        <v>18</v>
      </c>
      <c r="X132" s="4">
        <f t="shared" ca="1" si="14"/>
        <v>2.203846153846154</v>
      </c>
      <c r="Y132" s="4">
        <f t="shared" ca="1" si="19"/>
        <v>99.853153846153845</v>
      </c>
      <c r="Z132">
        <f t="shared" si="20"/>
        <v>1.2594999999999956</v>
      </c>
    </row>
    <row r="133" spans="1:26" x14ac:dyDescent="0.35">
      <c r="A133" t="s">
        <v>192</v>
      </c>
      <c r="B133" t="s">
        <v>402</v>
      </c>
      <c r="C133" t="s">
        <v>394</v>
      </c>
      <c r="D133" t="s">
        <v>395</v>
      </c>
      <c r="E133" t="s">
        <v>396</v>
      </c>
      <c r="F133" t="s">
        <v>477</v>
      </c>
      <c r="G133" t="s">
        <v>398</v>
      </c>
      <c r="H133">
        <v>2</v>
      </c>
      <c r="I133">
        <v>2.4</v>
      </c>
      <c r="J133">
        <v>2.4790000000000028</v>
      </c>
      <c r="K133">
        <v>2.504999999999999</v>
      </c>
      <c r="L133">
        <v>99.244</v>
      </c>
      <c r="M133">
        <v>98.998000000000005</v>
      </c>
      <c r="N133" t="s">
        <v>766</v>
      </c>
      <c r="O133" t="s">
        <v>767</v>
      </c>
      <c r="P133" t="s">
        <v>401</v>
      </c>
      <c r="Q133" s="3">
        <v>39742</v>
      </c>
      <c r="R133" s="3">
        <v>46101</v>
      </c>
      <c r="S133" s="4">
        <f t="shared" ca="1" si="15"/>
        <v>12.476386036960985</v>
      </c>
      <c r="T133">
        <f t="shared" si="16"/>
        <v>99.121000000000009</v>
      </c>
      <c r="U133" s="43">
        <v>132</v>
      </c>
      <c r="V133" s="4">
        <f t="shared" ca="1" si="17"/>
        <v>12</v>
      </c>
      <c r="W133" s="54">
        <f t="shared" ca="1" si="18"/>
        <v>18</v>
      </c>
      <c r="X133" s="4">
        <f t="shared" ca="1" si="14"/>
        <v>2.5186813186813186</v>
      </c>
      <c r="Y133" s="4">
        <f t="shared" ca="1" si="19"/>
        <v>96.602318681318692</v>
      </c>
      <c r="Z133">
        <f t="shared" si="20"/>
        <v>2.4920000000000009</v>
      </c>
    </row>
    <row r="134" spans="1:26" x14ac:dyDescent="0.35">
      <c r="A134" t="s">
        <v>193</v>
      </c>
      <c r="B134" t="s">
        <v>406</v>
      </c>
      <c r="C134" t="s">
        <v>394</v>
      </c>
      <c r="D134" t="s">
        <v>395</v>
      </c>
      <c r="E134" t="s">
        <v>396</v>
      </c>
      <c r="F134" t="s">
        <v>471</v>
      </c>
      <c r="G134" t="s">
        <v>398</v>
      </c>
      <c r="H134">
        <v>2</v>
      </c>
      <c r="I134">
        <v>2.2000000000000002</v>
      </c>
      <c r="J134">
        <v>1.249999999999988</v>
      </c>
      <c r="K134">
        <v>1.2749999999999946</v>
      </c>
      <c r="L134">
        <v>102.32599999999999</v>
      </c>
      <c r="M134">
        <v>102.26300000000001</v>
      </c>
      <c r="N134" t="s">
        <v>768</v>
      </c>
      <c r="O134" t="s">
        <v>769</v>
      </c>
      <c r="P134" t="s">
        <v>401</v>
      </c>
      <c r="Q134" s="3">
        <v>39749</v>
      </c>
      <c r="R134" s="3">
        <v>46101</v>
      </c>
      <c r="S134" s="4">
        <f t="shared" ca="1" si="15"/>
        <v>2.4777549623545516</v>
      </c>
      <c r="T134">
        <f t="shared" si="16"/>
        <v>102.2945</v>
      </c>
      <c r="U134" s="43">
        <v>133</v>
      </c>
      <c r="V134" s="4">
        <f t="shared" ca="1" si="17"/>
        <v>2</v>
      </c>
      <c r="W134" s="54">
        <f t="shared" ca="1" si="18"/>
        <v>18</v>
      </c>
      <c r="X134" s="4">
        <f t="shared" ca="1" si="14"/>
        <v>2.308791208791209</v>
      </c>
      <c r="Y134" s="4">
        <f t="shared" ca="1" si="19"/>
        <v>99.985708791208793</v>
      </c>
      <c r="Z134">
        <f t="shared" si="20"/>
        <v>1.2624999999999913</v>
      </c>
    </row>
    <row r="135" spans="1:26" x14ac:dyDescent="0.35">
      <c r="A135" t="s">
        <v>194</v>
      </c>
      <c r="B135" t="s">
        <v>406</v>
      </c>
      <c r="C135" t="s">
        <v>394</v>
      </c>
      <c r="D135" t="s">
        <v>395</v>
      </c>
      <c r="E135" t="s">
        <v>396</v>
      </c>
      <c r="F135" t="s">
        <v>480</v>
      </c>
      <c r="G135" t="s">
        <v>398</v>
      </c>
      <c r="H135">
        <v>2</v>
      </c>
      <c r="I135">
        <v>2.1</v>
      </c>
      <c r="J135">
        <v>1.2940000000000011</v>
      </c>
      <c r="K135">
        <v>1.3169999999999988</v>
      </c>
      <c r="L135">
        <v>102.15900000000001</v>
      </c>
      <c r="M135">
        <v>102.096</v>
      </c>
      <c r="N135" t="s">
        <v>770</v>
      </c>
      <c r="O135" t="s">
        <v>771</v>
      </c>
      <c r="P135" t="s">
        <v>401</v>
      </c>
      <c r="Q135" s="3">
        <v>39798</v>
      </c>
      <c r="R135" s="3">
        <v>46193</v>
      </c>
      <c r="S135" s="4">
        <f t="shared" ca="1" si="15"/>
        <v>2.7268993839835729</v>
      </c>
      <c r="T135">
        <f t="shared" si="16"/>
        <v>102.1275</v>
      </c>
      <c r="U135" s="43">
        <v>134</v>
      </c>
      <c r="V135" s="4">
        <f t="shared" ca="1" si="17"/>
        <v>2.5</v>
      </c>
      <c r="W135" s="54">
        <f t="shared" ca="1" si="18"/>
        <v>18</v>
      </c>
      <c r="X135" s="4">
        <f t="shared" ca="1" si="14"/>
        <v>1.153846153846154</v>
      </c>
      <c r="Y135" s="4">
        <f t="shared" ca="1" si="19"/>
        <v>100.97365384615384</v>
      </c>
      <c r="Z135">
        <f t="shared" si="20"/>
        <v>1.3054999999999999</v>
      </c>
    </row>
    <row r="136" spans="1:26" x14ac:dyDescent="0.35">
      <c r="A136" t="s">
        <v>195</v>
      </c>
      <c r="B136" t="s">
        <v>406</v>
      </c>
      <c r="C136" t="s">
        <v>394</v>
      </c>
      <c r="D136" t="s">
        <v>395</v>
      </c>
      <c r="E136" t="s">
        <v>396</v>
      </c>
      <c r="F136" t="s">
        <v>480</v>
      </c>
      <c r="G136" t="s">
        <v>398</v>
      </c>
      <c r="H136">
        <v>2</v>
      </c>
      <c r="I136">
        <v>1.9</v>
      </c>
      <c r="J136">
        <v>1.2989999999999942</v>
      </c>
      <c r="K136">
        <v>1.3220000000000049</v>
      </c>
      <c r="L136">
        <v>101.60899999999999</v>
      </c>
      <c r="M136">
        <v>101.547</v>
      </c>
      <c r="N136" t="s">
        <v>772</v>
      </c>
      <c r="O136" t="s">
        <v>773</v>
      </c>
      <c r="P136" t="s">
        <v>401</v>
      </c>
      <c r="Q136" s="3">
        <v>39840</v>
      </c>
      <c r="R136" s="3">
        <v>46193</v>
      </c>
      <c r="S136" s="4">
        <f t="shared" ca="1" si="15"/>
        <v>2.7268993839835729</v>
      </c>
      <c r="T136">
        <f t="shared" si="16"/>
        <v>101.578</v>
      </c>
      <c r="U136" s="43">
        <v>135</v>
      </c>
      <c r="V136" s="4">
        <f t="shared" ca="1" si="17"/>
        <v>2.5</v>
      </c>
      <c r="W136" s="54">
        <f t="shared" ca="1" si="18"/>
        <v>17</v>
      </c>
      <c r="X136" s="4">
        <f t="shared" ca="1" si="14"/>
        <v>1.043956043956044</v>
      </c>
      <c r="Y136" s="4">
        <f t="shared" ca="1" si="19"/>
        <v>100.53404395604396</v>
      </c>
      <c r="Z136">
        <f t="shared" si="20"/>
        <v>1.3104999999999996</v>
      </c>
    </row>
    <row r="137" spans="1:26" x14ac:dyDescent="0.35">
      <c r="A137" t="s">
        <v>196</v>
      </c>
      <c r="B137" t="s">
        <v>406</v>
      </c>
      <c r="C137" t="s">
        <v>394</v>
      </c>
      <c r="D137" t="s">
        <v>395</v>
      </c>
      <c r="E137" t="s">
        <v>396</v>
      </c>
      <c r="F137" t="s">
        <v>489</v>
      </c>
      <c r="G137" t="s">
        <v>398</v>
      </c>
      <c r="H137">
        <v>2</v>
      </c>
      <c r="I137">
        <v>1.9</v>
      </c>
      <c r="J137">
        <v>1.3329999999999949</v>
      </c>
      <c r="K137">
        <v>1.3549999999999971</v>
      </c>
      <c r="L137">
        <v>101.64700000000001</v>
      </c>
      <c r="M137">
        <v>101.58199999999999</v>
      </c>
      <c r="N137" t="s">
        <v>774</v>
      </c>
      <c r="O137" t="s">
        <v>775</v>
      </c>
      <c r="P137" t="s">
        <v>401</v>
      </c>
      <c r="Q137" s="3">
        <v>39889</v>
      </c>
      <c r="R137" s="3">
        <v>46101</v>
      </c>
      <c r="S137" s="4">
        <f t="shared" ca="1" si="15"/>
        <v>2.9733059548254621</v>
      </c>
      <c r="T137">
        <f t="shared" si="16"/>
        <v>101.61449999999999</v>
      </c>
      <c r="U137" s="43">
        <v>136</v>
      </c>
      <c r="V137" s="4">
        <f t="shared" ca="1" si="17"/>
        <v>2.5</v>
      </c>
      <c r="W137" s="54">
        <f t="shared" ca="1" si="18"/>
        <v>17</v>
      </c>
      <c r="X137" s="4">
        <f t="shared" ca="1" si="14"/>
        <v>1.993956043956044</v>
      </c>
      <c r="Y137" s="4">
        <f t="shared" ca="1" si="19"/>
        <v>99.620543956043946</v>
      </c>
      <c r="Z137">
        <f t="shared" si="20"/>
        <v>1.3439999999999959</v>
      </c>
    </row>
    <row r="138" spans="1:26" x14ac:dyDescent="0.35">
      <c r="A138" t="s">
        <v>197</v>
      </c>
      <c r="B138" t="s">
        <v>402</v>
      </c>
      <c r="C138" t="s">
        <v>394</v>
      </c>
      <c r="D138" t="s">
        <v>395</v>
      </c>
      <c r="E138" t="s">
        <v>396</v>
      </c>
      <c r="F138" t="s">
        <v>776</v>
      </c>
      <c r="G138" t="s">
        <v>398</v>
      </c>
      <c r="H138">
        <v>2</v>
      </c>
      <c r="I138">
        <v>2.2999999999999998</v>
      </c>
      <c r="J138">
        <v>2.5519999999999796</v>
      </c>
      <c r="K138">
        <v>2.5789999999999669</v>
      </c>
      <c r="L138">
        <v>97.536000000000001</v>
      </c>
      <c r="M138">
        <v>97.28</v>
      </c>
      <c r="N138" t="s">
        <v>777</v>
      </c>
      <c r="O138" t="s">
        <v>778</v>
      </c>
      <c r="P138" t="s">
        <v>401</v>
      </c>
      <c r="Q138" s="3">
        <v>39917</v>
      </c>
      <c r="R138" s="3">
        <v>46101</v>
      </c>
      <c r="S138" s="4">
        <f t="shared" ca="1" si="15"/>
        <v>12.971937029431896</v>
      </c>
      <c r="T138">
        <f t="shared" si="16"/>
        <v>97.408000000000001</v>
      </c>
      <c r="U138" s="43">
        <v>137</v>
      </c>
      <c r="V138" s="4">
        <f t="shared" ca="1" si="17"/>
        <v>12.5</v>
      </c>
      <c r="W138" s="54">
        <f t="shared" ca="1" si="18"/>
        <v>17</v>
      </c>
      <c r="X138" s="4">
        <f t="shared" ca="1" si="14"/>
        <v>2.4137362637362636</v>
      </c>
      <c r="Y138" s="4">
        <f t="shared" ca="1" si="19"/>
        <v>94.994263736263733</v>
      </c>
      <c r="Z138">
        <f t="shared" si="20"/>
        <v>2.5654999999999735</v>
      </c>
    </row>
    <row r="139" spans="1:26" x14ac:dyDescent="0.35">
      <c r="A139" t="s">
        <v>198</v>
      </c>
      <c r="B139" t="s">
        <v>406</v>
      </c>
      <c r="C139" t="s">
        <v>394</v>
      </c>
      <c r="D139" t="s">
        <v>395</v>
      </c>
      <c r="E139" t="s">
        <v>396</v>
      </c>
      <c r="F139" t="s">
        <v>489</v>
      </c>
      <c r="G139" t="s">
        <v>398</v>
      </c>
      <c r="H139">
        <v>2</v>
      </c>
      <c r="I139">
        <v>2.1</v>
      </c>
      <c r="J139">
        <v>1.3289999999999951</v>
      </c>
      <c r="K139">
        <v>1.3529999999999978</v>
      </c>
      <c r="L139">
        <v>102.239</v>
      </c>
      <c r="M139">
        <v>102.16800000000001</v>
      </c>
      <c r="N139" t="s">
        <v>779</v>
      </c>
      <c r="O139" t="s">
        <v>780</v>
      </c>
      <c r="P139" t="s">
        <v>401</v>
      </c>
      <c r="Q139" s="3">
        <v>39924</v>
      </c>
      <c r="R139" s="3">
        <v>46101</v>
      </c>
      <c r="S139" s="4">
        <f t="shared" ca="1" si="15"/>
        <v>2.9733059548254621</v>
      </c>
      <c r="T139">
        <f t="shared" si="16"/>
        <v>102.20350000000001</v>
      </c>
      <c r="U139" s="43">
        <v>138</v>
      </c>
      <c r="V139" s="4">
        <f t="shared" ca="1" si="17"/>
        <v>2.5</v>
      </c>
      <c r="W139" s="54">
        <f t="shared" ca="1" si="18"/>
        <v>17</v>
      </c>
      <c r="X139" s="4">
        <f t="shared" ca="1" si="14"/>
        <v>2.203846153846154</v>
      </c>
      <c r="Y139" s="4">
        <f t="shared" ca="1" si="19"/>
        <v>99.999653846153848</v>
      </c>
      <c r="Z139">
        <f t="shared" si="20"/>
        <v>1.3409999999999964</v>
      </c>
    </row>
    <row r="140" spans="1:26" x14ac:dyDescent="0.35">
      <c r="A140" t="s">
        <v>199</v>
      </c>
      <c r="B140" t="s">
        <v>419</v>
      </c>
      <c r="C140" t="s">
        <v>394</v>
      </c>
      <c r="D140" t="s">
        <v>395</v>
      </c>
      <c r="E140" t="s">
        <v>396</v>
      </c>
      <c r="F140" t="s">
        <v>781</v>
      </c>
      <c r="G140" t="s">
        <v>398</v>
      </c>
      <c r="H140">
        <v>2</v>
      </c>
      <c r="I140">
        <v>2.2000000000000002</v>
      </c>
      <c r="J140">
        <v>3.4869999999999983</v>
      </c>
      <c r="K140">
        <v>3.5340000000000003</v>
      </c>
      <c r="L140">
        <v>83.563999999999993</v>
      </c>
      <c r="M140">
        <v>83.066000000000003</v>
      </c>
      <c r="N140" t="s">
        <v>782</v>
      </c>
      <c r="O140" t="s">
        <v>783</v>
      </c>
      <c r="P140" t="s">
        <v>401</v>
      </c>
      <c r="Q140" s="3">
        <v>39947</v>
      </c>
      <c r="R140" s="3">
        <v>46101</v>
      </c>
      <c r="S140" s="4">
        <f t="shared" ca="1" si="15"/>
        <v>22.973305954825463</v>
      </c>
      <c r="T140">
        <f t="shared" si="16"/>
        <v>83.314999999999998</v>
      </c>
      <c r="U140" s="43">
        <v>139</v>
      </c>
      <c r="V140" s="4">
        <f t="shared" ca="1" si="17"/>
        <v>22.5</v>
      </c>
      <c r="W140" s="54">
        <f t="shared" ca="1" si="18"/>
        <v>17</v>
      </c>
      <c r="X140" s="4">
        <f t="shared" ca="1" si="14"/>
        <v>2.308791208791209</v>
      </c>
      <c r="Y140" s="4">
        <f t="shared" ca="1" si="19"/>
        <v>81.006208791208792</v>
      </c>
      <c r="Z140">
        <f t="shared" si="20"/>
        <v>3.5104999999999995</v>
      </c>
    </row>
    <row r="141" spans="1:26" x14ac:dyDescent="0.35">
      <c r="A141" t="s">
        <v>200</v>
      </c>
      <c r="B141" t="s">
        <v>406</v>
      </c>
      <c r="C141" t="s">
        <v>394</v>
      </c>
      <c r="D141" t="s">
        <v>395</v>
      </c>
      <c r="E141" t="s">
        <v>396</v>
      </c>
      <c r="F141" t="s">
        <v>492</v>
      </c>
      <c r="G141" t="s">
        <v>398</v>
      </c>
      <c r="H141">
        <v>2</v>
      </c>
      <c r="I141">
        <v>2.2000000000000002</v>
      </c>
      <c r="J141">
        <v>1.3729999999999931</v>
      </c>
      <c r="K141">
        <v>1.3969999999999927</v>
      </c>
      <c r="L141">
        <v>102.59099999999999</v>
      </c>
      <c r="M141">
        <v>102.514</v>
      </c>
      <c r="N141" t="s">
        <v>784</v>
      </c>
      <c r="O141" t="s">
        <v>785</v>
      </c>
      <c r="P141" t="s">
        <v>401</v>
      </c>
      <c r="Q141" s="3">
        <v>39981</v>
      </c>
      <c r="R141" s="3">
        <v>46193</v>
      </c>
      <c r="S141" s="4">
        <f t="shared" ca="1" si="15"/>
        <v>3.2251882272416155</v>
      </c>
      <c r="T141">
        <f t="shared" si="16"/>
        <v>102.55249999999999</v>
      </c>
      <c r="U141" s="43">
        <v>140</v>
      </c>
      <c r="V141" s="4">
        <f t="shared" ca="1" si="17"/>
        <v>3</v>
      </c>
      <c r="W141" s="54">
        <f t="shared" ca="1" si="18"/>
        <v>17</v>
      </c>
      <c r="X141" s="4">
        <f t="shared" ca="1" si="14"/>
        <v>1.2087912087912089</v>
      </c>
      <c r="Y141" s="4">
        <f t="shared" ca="1" si="19"/>
        <v>101.34370879120878</v>
      </c>
      <c r="Z141">
        <f t="shared" si="20"/>
        <v>1.3849999999999929</v>
      </c>
    </row>
    <row r="142" spans="1:26" x14ac:dyDescent="0.35">
      <c r="A142" t="s">
        <v>201</v>
      </c>
      <c r="B142" t="s">
        <v>406</v>
      </c>
      <c r="C142" t="s">
        <v>394</v>
      </c>
      <c r="D142" t="s">
        <v>395</v>
      </c>
      <c r="E142" t="s">
        <v>396</v>
      </c>
      <c r="F142" t="s">
        <v>492</v>
      </c>
      <c r="G142" t="s">
        <v>398</v>
      </c>
      <c r="H142">
        <v>2</v>
      </c>
      <c r="I142">
        <v>2.1</v>
      </c>
      <c r="J142">
        <v>1.3809999999999996</v>
      </c>
      <c r="K142">
        <v>1.404999999999996</v>
      </c>
      <c r="L142">
        <v>102.252</v>
      </c>
      <c r="M142">
        <v>102.175</v>
      </c>
      <c r="N142" t="s">
        <v>786</v>
      </c>
      <c r="O142" t="s">
        <v>787</v>
      </c>
      <c r="P142" t="s">
        <v>401</v>
      </c>
      <c r="Q142" s="3">
        <v>40016</v>
      </c>
      <c r="R142" s="3">
        <v>46193</v>
      </c>
      <c r="S142" s="4">
        <f t="shared" ca="1" si="15"/>
        <v>3.2251882272416155</v>
      </c>
      <c r="T142">
        <f t="shared" si="16"/>
        <v>102.2135</v>
      </c>
      <c r="U142" s="43">
        <v>141</v>
      </c>
      <c r="V142" s="4">
        <f t="shared" ca="1" si="17"/>
        <v>3</v>
      </c>
      <c r="W142" s="54">
        <f t="shared" ca="1" si="18"/>
        <v>17</v>
      </c>
      <c r="X142" s="4">
        <f t="shared" ca="1" si="14"/>
        <v>1.153846153846154</v>
      </c>
      <c r="Y142" s="4">
        <f t="shared" ca="1" si="19"/>
        <v>101.05965384615384</v>
      </c>
      <c r="Z142">
        <f t="shared" si="20"/>
        <v>1.3929999999999978</v>
      </c>
    </row>
    <row r="143" spans="1:26" x14ac:dyDescent="0.35">
      <c r="A143" t="s">
        <v>202</v>
      </c>
      <c r="B143" t="s">
        <v>406</v>
      </c>
      <c r="C143" t="s">
        <v>394</v>
      </c>
      <c r="D143" t="s">
        <v>395</v>
      </c>
      <c r="E143" t="s">
        <v>396</v>
      </c>
      <c r="F143" t="s">
        <v>643</v>
      </c>
      <c r="G143" t="s">
        <v>398</v>
      </c>
      <c r="H143">
        <v>2</v>
      </c>
      <c r="I143">
        <v>2.1</v>
      </c>
      <c r="J143">
        <v>1.4179999999999928</v>
      </c>
      <c r="K143">
        <v>1.4429999999999903</v>
      </c>
      <c r="L143">
        <v>102.29</v>
      </c>
      <c r="M143">
        <v>102.20399999999999</v>
      </c>
      <c r="N143" t="s">
        <v>788</v>
      </c>
      <c r="O143" t="s">
        <v>789</v>
      </c>
      <c r="P143" t="s">
        <v>401</v>
      </c>
      <c r="Q143" s="3">
        <v>40071</v>
      </c>
      <c r="R143" s="3">
        <v>46101</v>
      </c>
      <c r="S143" s="4">
        <f t="shared" ca="1" si="15"/>
        <v>3.4770704996577688</v>
      </c>
      <c r="T143">
        <f t="shared" si="16"/>
        <v>102.247</v>
      </c>
      <c r="U143" s="43">
        <v>142</v>
      </c>
      <c r="V143" s="4">
        <f t="shared" ca="1" si="17"/>
        <v>3</v>
      </c>
      <c r="W143" s="54">
        <f t="shared" ca="1" si="18"/>
        <v>17</v>
      </c>
      <c r="X143" s="4">
        <f t="shared" ca="1" si="14"/>
        <v>2.203846153846154</v>
      </c>
      <c r="Y143" s="4">
        <f t="shared" ca="1" si="19"/>
        <v>100.04315384615384</v>
      </c>
      <c r="Z143">
        <f t="shared" si="20"/>
        <v>1.4304999999999914</v>
      </c>
    </row>
    <row r="144" spans="1:26" x14ac:dyDescent="0.35">
      <c r="A144" t="s">
        <v>203</v>
      </c>
      <c r="B144" t="s">
        <v>402</v>
      </c>
      <c r="C144" t="s">
        <v>394</v>
      </c>
      <c r="D144" t="s">
        <v>395</v>
      </c>
      <c r="E144" t="s">
        <v>396</v>
      </c>
      <c r="F144" t="s">
        <v>790</v>
      </c>
      <c r="G144" t="s">
        <v>398</v>
      </c>
      <c r="H144">
        <v>2</v>
      </c>
      <c r="I144">
        <v>2.2000000000000002</v>
      </c>
      <c r="J144">
        <v>2.6299999999995434</v>
      </c>
      <c r="K144">
        <v>2.656999999999361</v>
      </c>
      <c r="L144">
        <v>95.709000000000003</v>
      </c>
      <c r="M144">
        <v>95.451999999999998</v>
      </c>
      <c r="N144" t="s">
        <v>791</v>
      </c>
      <c r="O144" t="s">
        <v>792</v>
      </c>
      <c r="P144" t="s">
        <v>401</v>
      </c>
      <c r="Q144" s="3">
        <v>40094</v>
      </c>
      <c r="R144" s="3">
        <v>46101</v>
      </c>
      <c r="S144" s="4">
        <f t="shared" ca="1" si="15"/>
        <v>13.475701574264203</v>
      </c>
      <c r="T144">
        <f t="shared" si="16"/>
        <v>95.580500000000001</v>
      </c>
      <c r="U144" s="43">
        <v>143</v>
      </c>
      <c r="V144" s="4">
        <f t="shared" ca="1" si="17"/>
        <v>13</v>
      </c>
      <c r="W144" s="54">
        <f t="shared" ca="1" si="18"/>
        <v>17</v>
      </c>
      <c r="X144" s="4">
        <f t="shared" ca="1" si="14"/>
        <v>2.308791208791209</v>
      </c>
      <c r="Y144" s="4">
        <f t="shared" ca="1" si="19"/>
        <v>93.271708791208795</v>
      </c>
      <c r="Z144">
        <f t="shared" si="20"/>
        <v>2.6434999999994524</v>
      </c>
    </row>
    <row r="145" spans="1:26" x14ac:dyDescent="0.35">
      <c r="A145" t="s">
        <v>204</v>
      </c>
      <c r="B145" t="s">
        <v>406</v>
      </c>
      <c r="C145" t="s">
        <v>394</v>
      </c>
      <c r="D145" t="s">
        <v>395</v>
      </c>
      <c r="E145" t="s">
        <v>396</v>
      </c>
      <c r="F145" t="s">
        <v>793</v>
      </c>
      <c r="G145" t="s">
        <v>398</v>
      </c>
      <c r="H145">
        <v>2</v>
      </c>
      <c r="I145">
        <v>2.1</v>
      </c>
      <c r="J145">
        <v>1.4539999999999988</v>
      </c>
      <c r="K145">
        <v>1.4779999999999944</v>
      </c>
      <c r="L145">
        <v>102.31100000000001</v>
      </c>
      <c r="M145">
        <v>102.224</v>
      </c>
      <c r="N145" t="s">
        <v>794</v>
      </c>
      <c r="O145" t="s">
        <v>795</v>
      </c>
      <c r="P145" t="s">
        <v>401</v>
      </c>
      <c r="Q145" s="3">
        <v>40162</v>
      </c>
      <c r="R145" s="3">
        <v>46193</v>
      </c>
      <c r="S145" s="4">
        <f t="shared" ca="1" si="15"/>
        <v>3.7262149212867897</v>
      </c>
      <c r="T145">
        <f t="shared" si="16"/>
        <v>102.26750000000001</v>
      </c>
      <c r="U145" s="43">
        <v>144</v>
      </c>
      <c r="V145" s="4">
        <f t="shared" ca="1" si="17"/>
        <v>3.5</v>
      </c>
      <c r="W145" s="54">
        <f t="shared" ca="1" si="18"/>
        <v>17</v>
      </c>
      <c r="X145" s="4">
        <f t="shared" ca="1" si="14"/>
        <v>1.153846153846154</v>
      </c>
      <c r="Y145" s="4">
        <f t="shared" ca="1" si="19"/>
        <v>101.11365384615385</v>
      </c>
      <c r="Z145">
        <f t="shared" si="20"/>
        <v>1.4659999999999966</v>
      </c>
    </row>
    <row r="146" spans="1:26" x14ac:dyDescent="0.35">
      <c r="A146" t="s">
        <v>205</v>
      </c>
      <c r="B146" t="s">
        <v>406</v>
      </c>
      <c r="C146" t="s">
        <v>394</v>
      </c>
      <c r="D146" t="s">
        <v>395</v>
      </c>
      <c r="E146" t="s">
        <v>396</v>
      </c>
      <c r="F146" t="s">
        <v>793</v>
      </c>
      <c r="G146" t="s">
        <v>398</v>
      </c>
      <c r="H146">
        <v>2</v>
      </c>
      <c r="I146">
        <v>2.2000000000000002</v>
      </c>
      <c r="J146">
        <v>1.4509999999999901</v>
      </c>
      <c r="K146">
        <v>1.4759999999999969</v>
      </c>
      <c r="L146">
        <v>102.68</v>
      </c>
      <c r="M146">
        <v>102.589</v>
      </c>
      <c r="N146" t="s">
        <v>796</v>
      </c>
      <c r="O146" t="s">
        <v>797</v>
      </c>
      <c r="P146" t="s">
        <v>401</v>
      </c>
      <c r="Q146" s="3">
        <v>40232</v>
      </c>
      <c r="R146" s="3">
        <v>46193</v>
      </c>
      <c r="S146" s="4">
        <f t="shared" ca="1" si="15"/>
        <v>3.7262149212867897</v>
      </c>
      <c r="T146">
        <f t="shared" si="16"/>
        <v>102.6345</v>
      </c>
      <c r="U146" s="43">
        <v>145</v>
      </c>
      <c r="V146" s="4">
        <f t="shared" ca="1" si="17"/>
        <v>3.5</v>
      </c>
      <c r="W146" s="54">
        <f t="shared" ca="1" si="18"/>
        <v>16</v>
      </c>
      <c r="X146" s="4">
        <f t="shared" ca="1" si="14"/>
        <v>1.2087912087912089</v>
      </c>
      <c r="Y146" s="4">
        <f t="shared" ca="1" si="19"/>
        <v>101.42570879120879</v>
      </c>
      <c r="Z146">
        <f t="shared" si="20"/>
        <v>1.4634999999999936</v>
      </c>
    </row>
    <row r="147" spans="1:26" x14ac:dyDescent="0.35">
      <c r="A147" t="s">
        <v>206</v>
      </c>
      <c r="B147" t="s">
        <v>402</v>
      </c>
      <c r="C147" t="s">
        <v>394</v>
      </c>
      <c r="D147" t="s">
        <v>395</v>
      </c>
      <c r="E147" t="s">
        <v>396</v>
      </c>
      <c r="F147" t="s">
        <v>507</v>
      </c>
      <c r="G147" t="s">
        <v>398</v>
      </c>
      <c r="H147">
        <v>2</v>
      </c>
      <c r="I147">
        <v>2.2999999999999998</v>
      </c>
      <c r="J147">
        <v>2.6679999999997985</v>
      </c>
      <c r="K147">
        <v>2.6919999999997208</v>
      </c>
      <c r="L147">
        <v>96.244</v>
      </c>
      <c r="M147">
        <v>96.009</v>
      </c>
      <c r="N147" t="s">
        <v>798</v>
      </c>
      <c r="O147" t="s">
        <v>799</v>
      </c>
      <c r="P147" t="s">
        <v>401</v>
      </c>
      <c r="Q147" s="3">
        <v>40246</v>
      </c>
      <c r="R147" s="3">
        <v>46101</v>
      </c>
      <c r="S147" s="4">
        <f t="shared" ca="1" si="15"/>
        <v>13.973990417522245</v>
      </c>
      <c r="T147">
        <f t="shared" si="16"/>
        <v>96.126499999999993</v>
      </c>
      <c r="U147" s="43">
        <v>146</v>
      </c>
      <c r="V147" s="4">
        <f t="shared" ca="1" si="17"/>
        <v>13.5</v>
      </c>
      <c r="W147" s="54">
        <f t="shared" ca="1" si="18"/>
        <v>16</v>
      </c>
      <c r="X147" s="4">
        <f t="shared" ca="1" si="14"/>
        <v>2.4137362637362636</v>
      </c>
      <c r="Y147" s="4">
        <f t="shared" ca="1" si="19"/>
        <v>93.712763736263724</v>
      </c>
      <c r="Z147">
        <f t="shared" si="20"/>
        <v>2.6799999999997599</v>
      </c>
    </row>
    <row r="148" spans="1:26" x14ac:dyDescent="0.35">
      <c r="A148" t="s">
        <v>207</v>
      </c>
      <c r="B148" t="s">
        <v>406</v>
      </c>
      <c r="C148" t="s">
        <v>394</v>
      </c>
      <c r="D148" t="s">
        <v>395</v>
      </c>
      <c r="E148" t="s">
        <v>396</v>
      </c>
      <c r="F148" t="s">
        <v>501</v>
      </c>
      <c r="G148" t="s">
        <v>398</v>
      </c>
      <c r="H148">
        <v>2</v>
      </c>
      <c r="I148">
        <v>2.2000000000000002</v>
      </c>
      <c r="J148">
        <v>1.4859999999999773</v>
      </c>
      <c r="K148">
        <v>1.509999999999986</v>
      </c>
      <c r="L148">
        <v>102.709</v>
      </c>
      <c r="M148">
        <v>102.616</v>
      </c>
      <c r="N148" t="s">
        <v>800</v>
      </c>
      <c r="O148" t="s">
        <v>801</v>
      </c>
      <c r="P148" t="s">
        <v>401</v>
      </c>
      <c r="Q148" s="3">
        <v>40253</v>
      </c>
      <c r="R148" s="3">
        <v>46101</v>
      </c>
      <c r="S148" s="4">
        <f t="shared" ca="1" si="15"/>
        <v>3.9726214921286789</v>
      </c>
      <c r="T148">
        <f t="shared" si="16"/>
        <v>102.66249999999999</v>
      </c>
      <c r="U148" s="43">
        <v>147</v>
      </c>
      <c r="V148" s="4">
        <f t="shared" ca="1" si="17"/>
        <v>3.5</v>
      </c>
      <c r="W148" s="54">
        <f t="shared" ca="1" si="18"/>
        <v>16</v>
      </c>
      <c r="X148" s="4">
        <f t="shared" ca="1" si="14"/>
        <v>2.308791208791209</v>
      </c>
      <c r="Y148" s="4">
        <f t="shared" ca="1" si="19"/>
        <v>100.35370879120879</v>
      </c>
      <c r="Z148">
        <f t="shared" si="20"/>
        <v>1.4979999999999816</v>
      </c>
    </row>
    <row r="149" spans="1:26" x14ac:dyDescent="0.35">
      <c r="A149" t="s">
        <v>208</v>
      </c>
      <c r="B149" t="s">
        <v>406</v>
      </c>
      <c r="C149" t="s">
        <v>394</v>
      </c>
      <c r="D149" t="s">
        <v>395</v>
      </c>
      <c r="E149" t="s">
        <v>396</v>
      </c>
      <c r="F149" t="s">
        <v>501</v>
      </c>
      <c r="G149" t="s">
        <v>398</v>
      </c>
      <c r="H149">
        <v>2</v>
      </c>
      <c r="I149">
        <v>2.1</v>
      </c>
      <c r="J149">
        <v>1.4909999999999926</v>
      </c>
      <c r="K149">
        <v>1.5149999999999881</v>
      </c>
      <c r="L149">
        <v>102.31</v>
      </c>
      <c r="M149">
        <v>102.217</v>
      </c>
      <c r="N149" t="s">
        <v>802</v>
      </c>
      <c r="O149" t="s">
        <v>803</v>
      </c>
      <c r="P149" t="s">
        <v>401</v>
      </c>
      <c r="Q149" s="3">
        <v>40290</v>
      </c>
      <c r="R149" s="3">
        <v>46101</v>
      </c>
      <c r="S149" s="4">
        <f t="shared" ca="1" si="15"/>
        <v>3.9726214921286789</v>
      </c>
      <c r="T149">
        <f t="shared" si="16"/>
        <v>102.26349999999999</v>
      </c>
      <c r="U149" s="43">
        <v>148</v>
      </c>
      <c r="V149" s="4">
        <f t="shared" ca="1" si="17"/>
        <v>3.5</v>
      </c>
      <c r="W149" s="54">
        <f t="shared" ca="1" si="18"/>
        <v>16</v>
      </c>
      <c r="X149" s="4">
        <f t="shared" ca="1" si="14"/>
        <v>2.203846153846154</v>
      </c>
      <c r="Y149" s="4">
        <f t="shared" ca="1" si="19"/>
        <v>100.05965384615384</v>
      </c>
      <c r="Z149">
        <f t="shared" si="20"/>
        <v>1.5029999999999903</v>
      </c>
    </row>
    <row r="150" spans="1:26" x14ac:dyDescent="0.35">
      <c r="A150" t="s">
        <v>209</v>
      </c>
      <c r="B150" t="s">
        <v>419</v>
      </c>
      <c r="C150" t="s">
        <v>394</v>
      </c>
      <c r="D150" t="s">
        <v>395</v>
      </c>
      <c r="E150" t="s">
        <v>396</v>
      </c>
      <c r="F150" t="s">
        <v>504</v>
      </c>
      <c r="G150" t="s">
        <v>398</v>
      </c>
      <c r="H150">
        <v>2</v>
      </c>
      <c r="I150">
        <v>2.2000000000000002</v>
      </c>
      <c r="J150">
        <v>3.5829999999999975</v>
      </c>
      <c r="K150">
        <v>3.6259999999999963</v>
      </c>
      <c r="L150">
        <v>82.144999999999996</v>
      </c>
      <c r="M150">
        <v>81.691000000000003</v>
      </c>
      <c r="N150" t="s">
        <v>804</v>
      </c>
      <c r="O150" t="s">
        <v>805</v>
      </c>
      <c r="P150" t="s">
        <v>401</v>
      </c>
      <c r="Q150" s="3">
        <v>40311</v>
      </c>
      <c r="R150" s="3">
        <v>46101</v>
      </c>
      <c r="S150" s="4">
        <f t="shared" ca="1" si="15"/>
        <v>23.972621492128678</v>
      </c>
      <c r="T150">
        <f t="shared" si="16"/>
        <v>81.918000000000006</v>
      </c>
      <c r="U150" s="43">
        <v>149</v>
      </c>
      <c r="V150" s="4">
        <f t="shared" ca="1" si="17"/>
        <v>23.5</v>
      </c>
      <c r="W150" s="54">
        <f t="shared" ca="1" si="18"/>
        <v>16</v>
      </c>
      <c r="X150" s="4">
        <f t="shared" ca="1" si="14"/>
        <v>2.308791208791209</v>
      </c>
      <c r="Y150" s="4">
        <f t="shared" ca="1" si="19"/>
        <v>79.6092087912088</v>
      </c>
      <c r="Z150">
        <f t="shared" si="20"/>
        <v>3.6044999999999972</v>
      </c>
    </row>
    <row r="151" spans="1:26" x14ac:dyDescent="0.35">
      <c r="A151" t="s">
        <v>210</v>
      </c>
      <c r="B151" t="s">
        <v>406</v>
      </c>
      <c r="C151" t="s">
        <v>394</v>
      </c>
      <c r="D151" t="s">
        <v>395</v>
      </c>
      <c r="E151" t="s">
        <v>396</v>
      </c>
      <c r="F151" t="s">
        <v>514</v>
      </c>
      <c r="G151" t="s">
        <v>398</v>
      </c>
      <c r="H151">
        <v>2</v>
      </c>
      <c r="I151">
        <v>2</v>
      </c>
      <c r="J151">
        <v>1.5229999999999959</v>
      </c>
      <c r="K151">
        <v>1.5469999999999999</v>
      </c>
      <c r="L151">
        <v>101.914</v>
      </c>
      <c r="M151">
        <v>101.816</v>
      </c>
      <c r="N151" t="s">
        <v>806</v>
      </c>
      <c r="O151" t="s">
        <v>807</v>
      </c>
      <c r="P151" t="s">
        <v>401</v>
      </c>
      <c r="Q151" s="3">
        <v>40345</v>
      </c>
      <c r="R151" s="3">
        <v>46193</v>
      </c>
      <c r="S151" s="4">
        <f t="shared" ca="1" si="15"/>
        <v>4.2245037645448322</v>
      </c>
      <c r="T151">
        <f t="shared" si="16"/>
        <v>101.86500000000001</v>
      </c>
      <c r="U151" s="43">
        <v>150</v>
      </c>
      <c r="V151" s="4">
        <f t="shared" ca="1" si="17"/>
        <v>4</v>
      </c>
      <c r="W151" s="54">
        <f t="shared" ca="1" si="18"/>
        <v>16</v>
      </c>
      <c r="X151" s="4">
        <f t="shared" ca="1" si="14"/>
        <v>1.098901098901099</v>
      </c>
      <c r="Y151" s="4">
        <f t="shared" ca="1" si="19"/>
        <v>100.76609890109891</v>
      </c>
      <c r="Z151">
        <f t="shared" si="20"/>
        <v>1.5349999999999979</v>
      </c>
    </row>
    <row r="152" spans="1:26" x14ac:dyDescent="0.35">
      <c r="A152" t="s">
        <v>211</v>
      </c>
      <c r="B152" t="s">
        <v>406</v>
      </c>
      <c r="C152" t="s">
        <v>394</v>
      </c>
      <c r="D152" t="s">
        <v>395</v>
      </c>
      <c r="E152" t="s">
        <v>396</v>
      </c>
      <c r="F152" t="s">
        <v>514</v>
      </c>
      <c r="G152" t="s">
        <v>398</v>
      </c>
      <c r="H152">
        <v>2</v>
      </c>
      <c r="I152">
        <v>1.8</v>
      </c>
      <c r="J152">
        <v>1.5249999999999984</v>
      </c>
      <c r="K152">
        <v>1.5489999999999975</v>
      </c>
      <c r="L152">
        <v>101.10299999999999</v>
      </c>
      <c r="M152">
        <v>101.006</v>
      </c>
      <c r="N152" t="s">
        <v>808</v>
      </c>
      <c r="O152" t="s">
        <v>809</v>
      </c>
      <c r="P152" t="s">
        <v>401</v>
      </c>
      <c r="Q152" s="3">
        <v>40381</v>
      </c>
      <c r="R152" s="3">
        <v>46193</v>
      </c>
      <c r="S152" s="4">
        <f t="shared" ca="1" si="15"/>
        <v>4.2245037645448322</v>
      </c>
      <c r="T152">
        <f t="shared" si="16"/>
        <v>101.05449999999999</v>
      </c>
      <c r="U152" s="43">
        <v>151</v>
      </c>
      <c r="V152" s="4">
        <f t="shared" ca="1" si="17"/>
        <v>4</v>
      </c>
      <c r="W152" s="54">
        <f t="shared" ca="1" si="18"/>
        <v>16</v>
      </c>
      <c r="X152" s="4">
        <f t="shared" ca="1" si="14"/>
        <v>0.98901098901098916</v>
      </c>
      <c r="Y152" s="4">
        <f t="shared" ca="1" si="19"/>
        <v>100.065489010989</v>
      </c>
      <c r="Z152">
        <f t="shared" si="20"/>
        <v>1.5369999999999979</v>
      </c>
    </row>
    <row r="153" spans="1:26" x14ac:dyDescent="0.35">
      <c r="A153" t="s">
        <v>212</v>
      </c>
      <c r="B153" t="s">
        <v>406</v>
      </c>
      <c r="C153" t="s">
        <v>394</v>
      </c>
      <c r="D153" t="s">
        <v>395</v>
      </c>
      <c r="E153" t="s">
        <v>396</v>
      </c>
      <c r="F153" t="s">
        <v>514</v>
      </c>
      <c r="G153" t="s">
        <v>398</v>
      </c>
      <c r="H153">
        <v>2</v>
      </c>
      <c r="I153">
        <v>1.6</v>
      </c>
      <c r="J153">
        <v>1.5300000000054579</v>
      </c>
      <c r="K153">
        <v>1.554000000001506</v>
      </c>
      <c r="L153">
        <v>100.28</v>
      </c>
      <c r="M153">
        <v>100.184</v>
      </c>
      <c r="N153" t="s">
        <v>810</v>
      </c>
      <c r="O153" t="s">
        <v>811</v>
      </c>
      <c r="P153" t="s">
        <v>401</v>
      </c>
      <c r="Q153" s="3">
        <v>40414</v>
      </c>
      <c r="R153" s="3">
        <v>46193</v>
      </c>
      <c r="S153" s="4">
        <f t="shared" ca="1" si="15"/>
        <v>4.2245037645448322</v>
      </c>
      <c r="T153">
        <f t="shared" si="16"/>
        <v>100.232</v>
      </c>
      <c r="U153" s="43">
        <v>152</v>
      </c>
      <c r="V153" s="4">
        <f t="shared" ca="1" si="17"/>
        <v>4</v>
      </c>
      <c r="W153" s="54">
        <f t="shared" ca="1" si="18"/>
        <v>16</v>
      </c>
      <c r="X153" s="4">
        <f t="shared" ca="1" si="14"/>
        <v>0.87912087912087922</v>
      </c>
      <c r="Y153" s="4">
        <f t="shared" ca="1" si="19"/>
        <v>99.352879120879123</v>
      </c>
      <c r="Z153">
        <f t="shared" si="20"/>
        <v>1.5420000000034819</v>
      </c>
    </row>
    <row r="154" spans="1:26" x14ac:dyDescent="0.35">
      <c r="A154" t="s">
        <v>213</v>
      </c>
      <c r="B154" t="s">
        <v>402</v>
      </c>
      <c r="C154" t="s">
        <v>394</v>
      </c>
      <c r="D154" t="s">
        <v>395</v>
      </c>
      <c r="E154" t="s">
        <v>396</v>
      </c>
      <c r="F154" t="s">
        <v>523</v>
      </c>
      <c r="G154" t="s">
        <v>398</v>
      </c>
      <c r="H154">
        <v>2</v>
      </c>
      <c r="I154">
        <v>2</v>
      </c>
      <c r="J154">
        <v>2.7749999999780859</v>
      </c>
      <c r="K154">
        <v>2.7989999999738706</v>
      </c>
      <c r="L154">
        <v>91.975999999999999</v>
      </c>
      <c r="M154">
        <v>91.748000000000005</v>
      </c>
      <c r="N154" t="s">
        <v>812</v>
      </c>
      <c r="O154" t="s">
        <v>813</v>
      </c>
      <c r="P154" t="s">
        <v>401</v>
      </c>
      <c r="Q154" s="3">
        <v>40429</v>
      </c>
      <c r="R154" s="3">
        <v>46101</v>
      </c>
      <c r="S154" s="4">
        <f t="shared" ca="1" si="15"/>
        <v>14.477754962354553</v>
      </c>
      <c r="T154">
        <f t="shared" si="16"/>
        <v>91.861999999999995</v>
      </c>
      <c r="U154" s="43">
        <v>153</v>
      </c>
      <c r="V154" s="4">
        <f t="shared" ca="1" si="17"/>
        <v>14</v>
      </c>
      <c r="W154" s="54">
        <f t="shared" ca="1" si="18"/>
        <v>16</v>
      </c>
      <c r="X154" s="4">
        <f t="shared" ca="1" si="14"/>
        <v>2.098901098901099</v>
      </c>
      <c r="Y154" s="4">
        <f t="shared" ca="1" si="19"/>
        <v>89.7630989010989</v>
      </c>
      <c r="Z154">
        <f t="shared" si="20"/>
        <v>2.7869999999759782</v>
      </c>
    </row>
    <row r="155" spans="1:26" x14ac:dyDescent="0.35">
      <c r="A155" t="s">
        <v>214</v>
      </c>
      <c r="B155" t="s">
        <v>406</v>
      </c>
      <c r="C155" t="s">
        <v>394</v>
      </c>
      <c r="D155" t="s">
        <v>395</v>
      </c>
      <c r="E155" t="s">
        <v>396</v>
      </c>
      <c r="F155" t="s">
        <v>628</v>
      </c>
      <c r="G155" t="s">
        <v>398</v>
      </c>
      <c r="H155">
        <v>2</v>
      </c>
      <c r="I155">
        <v>1.9</v>
      </c>
      <c r="J155">
        <v>1.5549999999999957</v>
      </c>
      <c r="K155">
        <v>1.5780000000000034</v>
      </c>
      <c r="L155">
        <v>101.458</v>
      </c>
      <c r="M155">
        <v>101.36</v>
      </c>
      <c r="N155" t="s">
        <v>814</v>
      </c>
      <c r="O155" t="s">
        <v>815</v>
      </c>
      <c r="P155" t="s">
        <v>401</v>
      </c>
      <c r="Q155" s="3">
        <v>40435</v>
      </c>
      <c r="R155" s="3">
        <v>46101</v>
      </c>
      <c r="S155" s="4">
        <f t="shared" ca="1" si="15"/>
        <v>4.476386036960986</v>
      </c>
      <c r="T155">
        <f t="shared" si="16"/>
        <v>101.40899999999999</v>
      </c>
      <c r="U155" s="43">
        <v>154</v>
      </c>
      <c r="V155" s="4">
        <f t="shared" ca="1" si="17"/>
        <v>4</v>
      </c>
      <c r="W155" s="54">
        <f t="shared" ca="1" si="18"/>
        <v>16</v>
      </c>
      <c r="X155" s="4">
        <f t="shared" ca="1" si="14"/>
        <v>1.993956043956044</v>
      </c>
      <c r="Y155" s="4">
        <f t="shared" ca="1" si="19"/>
        <v>99.415043956043945</v>
      </c>
      <c r="Z155">
        <f t="shared" si="20"/>
        <v>1.5664999999999996</v>
      </c>
    </row>
    <row r="156" spans="1:26" x14ac:dyDescent="0.35">
      <c r="A156" t="s">
        <v>215</v>
      </c>
      <c r="B156" t="s">
        <v>406</v>
      </c>
      <c r="C156" t="s">
        <v>394</v>
      </c>
      <c r="D156" t="s">
        <v>395</v>
      </c>
      <c r="E156" t="s">
        <v>396</v>
      </c>
      <c r="F156" t="s">
        <v>628</v>
      </c>
      <c r="G156" t="s">
        <v>398</v>
      </c>
      <c r="H156">
        <v>2</v>
      </c>
      <c r="I156">
        <v>1.8</v>
      </c>
      <c r="J156">
        <v>1.5589999999999995</v>
      </c>
      <c r="K156">
        <v>1.5830000000000009</v>
      </c>
      <c r="L156">
        <v>101.018</v>
      </c>
      <c r="M156">
        <v>100.916</v>
      </c>
      <c r="N156" t="s">
        <v>816</v>
      </c>
      <c r="O156" t="s">
        <v>817</v>
      </c>
      <c r="P156" t="s">
        <v>401</v>
      </c>
      <c r="Q156" s="3">
        <v>40472</v>
      </c>
      <c r="R156" s="3">
        <v>46101</v>
      </c>
      <c r="S156" s="4">
        <f t="shared" ca="1" si="15"/>
        <v>4.476386036960986</v>
      </c>
      <c r="T156">
        <f t="shared" si="16"/>
        <v>100.967</v>
      </c>
      <c r="U156" s="43">
        <v>155</v>
      </c>
      <c r="V156" s="4">
        <f t="shared" ca="1" si="17"/>
        <v>4</v>
      </c>
      <c r="W156" s="54">
        <f t="shared" ca="1" si="18"/>
        <v>16</v>
      </c>
      <c r="X156" s="4">
        <f t="shared" ca="1" si="14"/>
        <v>1.8890109890109892</v>
      </c>
      <c r="Y156" s="4">
        <f t="shared" ca="1" si="19"/>
        <v>99.077989010989015</v>
      </c>
      <c r="Z156">
        <f t="shared" si="20"/>
        <v>1.5710000000000002</v>
      </c>
    </row>
    <row r="157" spans="1:26" x14ac:dyDescent="0.35">
      <c r="A157" t="s">
        <v>216</v>
      </c>
      <c r="B157" t="s">
        <v>406</v>
      </c>
      <c r="C157" t="s">
        <v>394</v>
      </c>
      <c r="D157" t="s">
        <v>395</v>
      </c>
      <c r="E157" t="s">
        <v>396</v>
      </c>
      <c r="F157" t="s">
        <v>526</v>
      </c>
      <c r="G157" t="s">
        <v>398</v>
      </c>
      <c r="H157">
        <v>2</v>
      </c>
      <c r="I157">
        <v>2.1</v>
      </c>
      <c r="J157">
        <v>1.5809999999999955</v>
      </c>
      <c r="K157">
        <v>1.6069999999999982</v>
      </c>
      <c r="L157">
        <v>102.304</v>
      </c>
      <c r="M157">
        <v>102.18600000000001</v>
      </c>
      <c r="N157" t="s">
        <v>818</v>
      </c>
      <c r="O157" t="s">
        <v>819</v>
      </c>
      <c r="P157" t="s">
        <v>401</v>
      </c>
      <c r="Q157" s="3">
        <v>40526</v>
      </c>
      <c r="R157" s="3">
        <v>46193</v>
      </c>
      <c r="S157" s="4">
        <f t="shared" ca="1" si="15"/>
        <v>4.7255304585900069</v>
      </c>
      <c r="T157">
        <f t="shared" si="16"/>
        <v>102.245</v>
      </c>
      <c r="U157" s="43">
        <v>156</v>
      </c>
      <c r="V157" s="4">
        <f t="shared" ca="1" si="17"/>
        <v>4.5</v>
      </c>
      <c r="W157" s="54">
        <f t="shared" ca="1" si="18"/>
        <v>16</v>
      </c>
      <c r="X157" s="4">
        <f t="shared" ca="1" si="14"/>
        <v>1.153846153846154</v>
      </c>
      <c r="Y157" s="4">
        <f t="shared" ca="1" si="19"/>
        <v>101.09115384615384</v>
      </c>
      <c r="Z157">
        <f t="shared" si="20"/>
        <v>1.5939999999999968</v>
      </c>
    </row>
    <row r="158" spans="1:26" x14ac:dyDescent="0.35">
      <c r="A158" t="s">
        <v>217</v>
      </c>
      <c r="B158" t="s">
        <v>406</v>
      </c>
      <c r="C158" t="s">
        <v>394</v>
      </c>
      <c r="D158" t="s">
        <v>395</v>
      </c>
      <c r="E158" t="s">
        <v>396</v>
      </c>
      <c r="F158" t="s">
        <v>526</v>
      </c>
      <c r="G158" t="s">
        <v>398</v>
      </c>
      <c r="H158">
        <v>2</v>
      </c>
      <c r="I158">
        <v>2</v>
      </c>
      <c r="J158">
        <v>1.5779999999999985</v>
      </c>
      <c r="K158">
        <v>1.6040000000000014</v>
      </c>
      <c r="L158">
        <v>101.873</v>
      </c>
      <c r="M158">
        <v>101.756</v>
      </c>
      <c r="N158" t="s">
        <v>820</v>
      </c>
      <c r="O158" t="s">
        <v>821</v>
      </c>
      <c r="P158" t="s">
        <v>401</v>
      </c>
      <c r="Q158" s="3">
        <v>40596</v>
      </c>
      <c r="R158" s="3">
        <v>46193</v>
      </c>
      <c r="S158" s="4">
        <f t="shared" ca="1" si="15"/>
        <v>4.7255304585900069</v>
      </c>
      <c r="T158">
        <f t="shared" si="16"/>
        <v>101.81450000000001</v>
      </c>
      <c r="U158" s="43">
        <v>157</v>
      </c>
      <c r="V158" s="4">
        <f t="shared" ca="1" si="17"/>
        <v>4.5</v>
      </c>
      <c r="W158" s="54">
        <f t="shared" ca="1" si="18"/>
        <v>15</v>
      </c>
      <c r="X158" s="4">
        <f t="shared" ca="1" si="14"/>
        <v>1.098901098901099</v>
      </c>
      <c r="Y158" s="4">
        <f t="shared" ca="1" si="19"/>
        <v>100.71559890109891</v>
      </c>
      <c r="Z158">
        <f t="shared" si="20"/>
        <v>1.591</v>
      </c>
    </row>
    <row r="159" spans="1:26" x14ac:dyDescent="0.35">
      <c r="A159" t="s">
        <v>218</v>
      </c>
      <c r="B159" t="s">
        <v>402</v>
      </c>
      <c r="C159" t="s">
        <v>394</v>
      </c>
      <c r="D159" t="s">
        <v>395</v>
      </c>
      <c r="E159" t="s">
        <v>396</v>
      </c>
      <c r="F159" t="s">
        <v>545</v>
      </c>
      <c r="G159" t="s">
        <v>398</v>
      </c>
      <c r="H159">
        <v>2</v>
      </c>
      <c r="I159">
        <v>2.2000000000000002</v>
      </c>
      <c r="J159">
        <v>2.7969999999957325</v>
      </c>
      <c r="K159">
        <v>2.8219999999946275</v>
      </c>
      <c r="L159">
        <v>93.685000000000002</v>
      </c>
      <c r="M159">
        <v>93.438000000000002</v>
      </c>
      <c r="N159" t="s">
        <v>822</v>
      </c>
      <c r="O159" t="s">
        <v>823</v>
      </c>
      <c r="P159" t="s">
        <v>401</v>
      </c>
      <c r="Q159" s="3">
        <v>40610</v>
      </c>
      <c r="R159" s="3">
        <v>46101</v>
      </c>
      <c r="S159" s="4">
        <f t="shared" ca="1" si="15"/>
        <v>14.973305954825461</v>
      </c>
      <c r="T159">
        <f t="shared" si="16"/>
        <v>93.561499999999995</v>
      </c>
      <c r="U159" s="43">
        <v>158</v>
      </c>
      <c r="V159" s="4">
        <f t="shared" ca="1" si="17"/>
        <v>14.5</v>
      </c>
      <c r="W159" s="54">
        <f t="shared" ca="1" si="18"/>
        <v>15</v>
      </c>
      <c r="X159" s="4">
        <f t="shared" ca="1" si="14"/>
        <v>2.308791208791209</v>
      </c>
      <c r="Y159" s="4">
        <f t="shared" ca="1" si="19"/>
        <v>91.252708791208789</v>
      </c>
      <c r="Z159">
        <f t="shared" si="20"/>
        <v>2.8094999999951797</v>
      </c>
    </row>
    <row r="160" spans="1:26" x14ac:dyDescent="0.35">
      <c r="A160" t="s">
        <v>219</v>
      </c>
      <c r="B160" t="s">
        <v>406</v>
      </c>
      <c r="C160" t="s">
        <v>394</v>
      </c>
      <c r="D160" t="s">
        <v>395</v>
      </c>
      <c r="E160" t="s">
        <v>396</v>
      </c>
      <c r="F160" t="s">
        <v>535</v>
      </c>
      <c r="G160" t="s">
        <v>398</v>
      </c>
      <c r="H160">
        <v>2</v>
      </c>
      <c r="I160">
        <v>2.2000000000000002</v>
      </c>
      <c r="J160">
        <v>1.5959999999999797</v>
      </c>
      <c r="K160">
        <v>1.6179999999999808</v>
      </c>
      <c r="L160">
        <v>102.80800000000001</v>
      </c>
      <c r="M160">
        <v>102.703</v>
      </c>
      <c r="N160" t="s">
        <v>824</v>
      </c>
      <c r="O160" t="s">
        <v>825</v>
      </c>
      <c r="P160" t="s">
        <v>401</v>
      </c>
      <c r="Q160" s="3">
        <v>40618</v>
      </c>
      <c r="R160" s="3">
        <v>46101</v>
      </c>
      <c r="S160" s="4">
        <f t="shared" ca="1" si="15"/>
        <v>4.9719370294318956</v>
      </c>
      <c r="T160">
        <f t="shared" si="16"/>
        <v>102.75550000000001</v>
      </c>
      <c r="U160" s="43">
        <v>159</v>
      </c>
      <c r="V160" s="4">
        <f t="shared" ca="1" si="17"/>
        <v>4.5</v>
      </c>
      <c r="W160" s="54">
        <f t="shared" ca="1" si="18"/>
        <v>15</v>
      </c>
      <c r="X160" s="4">
        <f t="shared" ca="1" si="14"/>
        <v>2.308791208791209</v>
      </c>
      <c r="Y160" s="4">
        <f t="shared" ca="1" si="19"/>
        <v>100.44670879120881</v>
      </c>
      <c r="Z160">
        <f t="shared" si="20"/>
        <v>1.6069999999999802</v>
      </c>
    </row>
    <row r="161" spans="1:26" x14ac:dyDescent="0.35">
      <c r="A161" t="s">
        <v>220</v>
      </c>
      <c r="B161" t="s">
        <v>406</v>
      </c>
      <c r="C161" t="s">
        <v>394</v>
      </c>
      <c r="D161" t="s">
        <v>395</v>
      </c>
      <c r="E161" t="s">
        <v>396</v>
      </c>
      <c r="F161" t="s">
        <v>535</v>
      </c>
      <c r="G161" t="s">
        <v>398</v>
      </c>
      <c r="H161">
        <v>2</v>
      </c>
      <c r="I161">
        <v>2</v>
      </c>
      <c r="J161">
        <v>1.6040000000000001</v>
      </c>
      <c r="K161">
        <v>1.626000000000005</v>
      </c>
      <c r="L161">
        <v>101.84</v>
      </c>
      <c r="M161">
        <v>101.736</v>
      </c>
      <c r="N161" t="s">
        <v>826</v>
      </c>
      <c r="O161" t="s">
        <v>827</v>
      </c>
      <c r="P161" t="s">
        <v>401</v>
      </c>
      <c r="Q161" s="3">
        <v>40654</v>
      </c>
      <c r="R161" s="3">
        <v>46101</v>
      </c>
      <c r="S161" s="4">
        <f t="shared" ca="1" si="15"/>
        <v>4.9719370294318956</v>
      </c>
      <c r="T161">
        <f t="shared" si="16"/>
        <v>101.78800000000001</v>
      </c>
      <c r="U161" s="43">
        <v>160</v>
      </c>
      <c r="V161" s="4">
        <f t="shared" ca="1" si="17"/>
        <v>4.5</v>
      </c>
      <c r="W161" s="54">
        <f t="shared" ca="1" si="18"/>
        <v>15</v>
      </c>
      <c r="X161" s="4">
        <f t="shared" ca="1" si="14"/>
        <v>2.098901098901099</v>
      </c>
      <c r="Y161" s="4">
        <f t="shared" ca="1" si="19"/>
        <v>99.689098901098916</v>
      </c>
      <c r="Z161">
        <f t="shared" si="20"/>
        <v>1.6150000000000024</v>
      </c>
    </row>
    <row r="162" spans="1:26" x14ac:dyDescent="0.35">
      <c r="A162" t="s">
        <v>221</v>
      </c>
      <c r="B162" t="s">
        <v>419</v>
      </c>
      <c r="C162" t="s">
        <v>394</v>
      </c>
      <c r="D162" t="s">
        <v>395</v>
      </c>
      <c r="E162" t="s">
        <v>396</v>
      </c>
      <c r="F162" t="s">
        <v>538</v>
      </c>
      <c r="G162" t="s">
        <v>398</v>
      </c>
      <c r="H162">
        <v>2</v>
      </c>
      <c r="I162">
        <v>2.2000000000000002</v>
      </c>
      <c r="J162">
        <v>3.6889999999999934</v>
      </c>
      <c r="K162">
        <v>3.7249999999999925</v>
      </c>
      <c r="L162">
        <v>80.625</v>
      </c>
      <c r="M162">
        <v>80.248999999999995</v>
      </c>
      <c r="N162" t="s">
        <v>828</v>
      </c>
      <c r="O162" t="s">
        <v>829</v>
      </c>
      <c r="P162" t="s">
        <v>401</v>
      </c>
      <c r="Q162" s="3">
        <v>40680</v>
      </c>
      <c r="R162" s="3">
        <v>46101</v>
      </c>
      <c r="S162" s="4">
        <f t="shared" ca="1" si="15"/>
        <v>24.971937029431896</v>
      </c>
      <c r="T162">
        <f t="shared" si="16"/>
        <v>80.436999999999998</v>
      </c>
      <c r="U162" s="43">
        <v>161</v>
      </c>
      <c r="V162" s="4">
        <f t="shared" ca="1" si="17"/>
        <v>24.5</v>
      </c>
      <c r="W162" s="54">
        <f t="shared" ca="1" si="18"/>
        <v>15</v>
      </c>
      <c r="X162" s="4">
        <f t="shared" ca="1" si="14"/>
        <v>2.308791208791209</v>
      </c>
      <c r="Y162" s="4">
        <f t="shared" ca="1" si="19"/>
        <v>78.128208791208792</v>
      </c>
      <c r="Z162">
        <f t="shared" si="20"/>
        <v>3.7069999999999927</v>
      </c>
    </row>
    <row r="163" spans="1:26" x14ac:dyDescent="0.35">
      <c r="A163" t="s">
        <v>222</v>
      </c>
      <c r="B163" t="s">
        <v>406</v>
      </c>
      <c r="C163" t="s">
        <v>394</v>
      </c>
      <c r="D163" t="s">
        <v>395</v>
      </c>
      <c r="E163" t="s">
        <v>396</v>
      </c>
      <c r="F163" t="s">
        <v>535</v>
      </c>
      <c r="G163" t="s">
        <v>398</v>
      </c>
      <c r="H163">
        <v>2</v>
      </c>
      <c r="I163">
        <v>1.9</v>
      </c>
      <c r="J163">
        <v>1.609</v>
      </c>
      <c r="K163">
        <v>1.6310000000000042</v>
      </c>
      <c r="L163">
        <v>101.352</v>
      </c>
      <c r="M163">
        <v>101.248</v>
      </c>
      <c r="N163" t="s">
        <v>830</v>
      </c>
      <c r="O163" t="s">
        <v>831</v>
      </c>
      <c r="P163" t="s">
        <v>401</v>
      </c>
      <c r="Q163" s="3">
        <v>40689</v>
      </c>
      <c r="R163" s="3">
        <v>46101</v>
      </c>
      <c r="S163" s="4">
        <f t="shared" ca="1" si="15"/>
        <v>4.9719370294318956</v>
      </c>
      <c r="T163">
        <f t="shared" si="16"/>
        <v>101.30000000000001</v>
      </c>
      <c r="U163" s="43">
        <v>162</v>
      </c>
      <c r="V163" s="4">
        <f t="shared" ca="1" si="17"/>
        <v>4.5</v>
      </c>
      <c r="W163" s="54">
        <f t="shared" ca="1" si="18"/>
        <v>15</v>
      </c>
      <c r="X163" s="4">
        <f t="shared" ca="1" si="14"/>
        <v>1.993956043956044</v>
      </c>
      <c r="Y163" s="4">
        <f t="shared" ca="1" si="19"/>
        <v>99.306043956043965</v>
      </c>
      <c r="Z163">
        <f t="shared" si="20"/>
        <v>1.6200000000000021</v>
      </c>
    </row>
    <row r="164" spans="1:26" x14ac:dyDescent="0.35">
      <c r="A164" t="s">
        <v>223</v>
      </c>
      <c r="B164" t="s">
        <v>406</v>
      </c>
      <c r="C164" t="s">
        <v>394</v>
      </c>
      <c r="D164" t="s">
        <v>395</v>
      </c>
      <c r="E164" t="s">
        <v>396</v>
      </c>
      <c r="F164" t="s">
        <v>551</v>
      </c>
      <c r="G164" t="s">
        <v>398</v>
      </c>
      <c r="H164">
        <v>2</v>
      </c>
      <c r="I164">
        <v>1.9</v>
      </c>
      <c r="J164">
        <v>1.6339999999999952</v>
      </c>
      <c r="K164">
        <v>1.6539999999999966</v>
      </c>
      <c r="L164">
        <v>101.291</v>
      </c>
      <c r="M164">
        <v>101.193</v>
      </c>
      <c r="N164" t="s">
        <v>832</v>
      </c>
      <c r="O164" t="s">
        <v>833</v>
      </c>
      <c r="P164" t="s">
        <v>401</v>
      </c>
      <c r="Q164" s="3">
        <v>40709</v>
      </c>
      <c r="R164" s="3">
        <v>46193</v>
      </c>
      <c r="S164" s="4">
        <f t="shared" ca="1" si="15"/>
        <v>5.2238193018480494</v>
      </c>
      <c r="T164">
        <f t="shared" si="16"/>
        <v>101.24199999999999</v>
      </c>
      <c r="U164" s="43">
        <v>163</v>
      </c>
      <c r="V164" s="4">
        <f t="shared" ca="1" si="17"/>
        <v>5</v>
      </c>
      <c r="W164" s="54">
        <f t="shared" ca="1" si="18"/>
        <v>15</v>
      </c>
      <c r="X164" s="4">
        <f t="shared" ca="1" si="14"/>
        <v>1.043956043956044</v>
      </c>
      <c r="Y164" s="4">
        <f t="shared" ca="1" si="19"/>
        <v>100.19804395604395</v>
      </c>
      <c r="Z164">
        <f t="shared" si="20"/>
        <v>1.6439999999999959</v>
      </c>
    </row>
    <row r="165" spans="1:26" x14ac:dyDescent="0.35">
      <c r="A165" t="s">
        <v>224</v>
      </c>
      <c r="B165" t="s">
        <v>406</v>
      </c>
      <c r="C165" t="s">
        <v>394</v>
      </c>
      <c r="D165" t="s">
        <v>395</v>
      </c>
      <c r="E165" t="s">
        <v>396</v>
      </c>
      <c r="F165" t="s">
        <v>551</v>
      </c>
      <c r="G165" t="s">
        <v>398</v>
      </c>
      <c r="H165">
        <v>2</v>
      </c>
      <c r="I165">
        <v>1.8</v>
      </c>
      <c r="J165">
        <v>1.6360000001607911</v>
      </c>
      <c r="K165">
        <v>1.6560000001065585</v>
      </c>
      <c r="L165">
        <v>100.79600000000001</v>
      </c>
      <c r="M165">
        <v>100.69799999999999</v>
      </c>
      <c r="N165" t="s">
        <v>834</v>
      </c>
      <c r="O165" t="s">
        <v>835</v>
      </c>
      <c r="P165" t="s">
        <v>401</v>
      </c>
      <c r="Q165" s="3">
        <v>40780</v>
      </c>
      <c r="R165" s="3">
        <v>46193</v>
      </c>
      <c r="S165" s="4">
        <f t="shared" ca="1" si="15"/>
        <v>5.2238193018480494</v>
      </c>
      <c r="T165">
        <f t="shared" si="16"/>
        <v>100.747</v>
      </c>
      <c r="U165" s="43">
        <v>164</v>
      </c>
      <c r="V165" s="4">
        <f t="shared" ca="1" si="17"/>
        <v>5</v>
      </c>
      <c r="W165" s="54">
        <f t="shared" ca="1" si="18"/>
        <v>15</v>
      </c>
      <c r="X165" s="4">
        <f t="shared" ca="1" si="14"/>
        <v>0.98901098901098916</v>
      </c>
      <c r="Y165" s="4">
        <f t="shared" ca="1" si="19"/>
        <v>99.757989010989007</v>
      </c>
      <c r="Z165">
        <f t="shared" si="20"/>
        <v>1.6460000001336748</v>
      </c>
    </row>
    <row r="166" spans="1:26" x14ac:dyDescent="0.35">
      <c r="A166" t="s">
        <v>225</v>
      </c>
      <c r="B166" t="s">
        <v>402</v>
      </c>
      <c r="C166" t="s">
        <v>394</v>
      </c>
      <c r="D166" t="s">
        <v>395</v>
      </c>
      <c r="E166" t="s">
        <v>396</v>
      </c>
      <c r="F166" t="s">
        <v>572</v>
      </c>
      <c r="G166" t="s">
        <v>398</v>
      </c>
      <c r="H166">
        <v>2</v>
      </c>
      <c r="I166">
        <v>2</v>
      </c>
      <c r="J166">
        <v>2.8789999999410631</v>
      </c>
      <c r="K166">
        <v>2.9059999999297133</v>
      </c>
      <c r="L166">
        <v>90.567999999999998</v>
      </c>
      <c r="M166">
        <v>90.305999999999997</v>
      </c>
      <c r="N166" t="s">
        <v>836</v>
      </c>
      <c r="O166" t="s">
        <v>837</v>
      </c>
      <c r="P166" t="s">
        <v>401</v>
      </c>
      <c r="Q166" s="3">
        <v>40792</v>
      </c>
      <c r="R166" s="3">
        <v>46101</v>
      </c>
      <c r="S166" s="4">
        <f t="shared" ca="1" si="15"/>
        <v>15.477070499657769</v>
      </c>
      <c r="T166">
        <f t="shared" si="16"/>
        <v>90.436999999999998</v>
      </c>
      <c r="U166" s="43">
        <v>165</v>
      </c>
      <c r="V166" s="4">
        <f t="shared" ca="1" si="17"/>
        <v>15</v>
      </c>
      <c r="W166" s="54">
        <f t="shared" ca="1" si="18"/>
        <v>15</v>
      </c>
      <c r="X166" s="4">
        <f t="shared" ca="1" si="14"/>
        <v>2.098901098901099</v>
      </c>
      <c r="Y166" s="4">
        <f t="shared" ca="1" si="19"/>
        <v>88.338098901098903</v>
      </c>
      <c r="Z166">
        <f t="shared" si="20"/>
        <v>2.8924999999353882</v>
      </c>
    </row>
    <row r="167" spans="1:26" x14ac:dyDescent="0.35">
      <c r="A167" t="s">
        <v>226</v>
      </c>
      <c r="B167" t="s">
        <v>406</v>
      </c>
      <c r="C167" t="s">
        <v>394</v>
      </c>
      <c r="D167" t="s">
        <v>395</v>
      </c>
      <c r="E167" t="s">
        <v>396</v>
      </c>
      <c r="F167" t="s">
        <v>563</v>
      </c>
      <c r="G167" t="s">
        <v>398</v>
      </c>
      <c r="H167">
        <v>2</v>
      </c>
      <c r="I167">
        <v>1.8</v>
      </c>
      <c r="J167">
        <v>1.6690000001149208</v>
      </c>
      <c r="K167">
        <v>1.6880000000702426</v>
      </c>
      <c r="L167">
        <v>100.66200000000001</v>
      </c>
      <c r="M167">
        <v>100.566</v>
      </c>
      <c r="N167" t="s">
        <v>838</v>
      </c>
      <c r="O167" t="s">
        <v>839</v>
      </c>
      <c r="P167" t="s">
        <v>401</v>
      </c>
      <c r="Q167" s="3">
        <v>40799</v>
      </c>
      <c r="R167" s="3">
        <v>46101</v>
      </c>
      <c r="S167" s="4">
        <f t="shared" ca="1" si="15"/>
        <v>5.4757015742642023</v>
      </c>
      <c r="T167">
        <f t="shared" si="16"/>
        <v>100.614</v>
      </c>
      <c r="U167" s="43">
        <v>166</v>
      </c>
      <c r="V167" s="4">
        <f t="shared" ca="1" si="17"/>
        <v>5</v>
      </c>
      <c r="W167" s="54">
        <f t="shared" ca="1" si="18"/>
        <v>15</v>
      </c>
      <c r="X167" s="4">
        <f t="shared" ca="1" si="14"/>
        <v>1.8890109890109892</v>
      </c>
      <c r="Y167" s="4">
        <f t="shared" ca="1" si="19"/>
        <v>98.72498901098902</v>
      </c>
      <c r="Z167">
        <f t="shared" si="20"/>
        <v>1.6785000000925816</v>
      </c>
    </row>
    <row r="168" spans="1:26" x14ac:dyDescent="0.35">
      <c r="A168" t="s">
        <v>227</v>
      </c>
      <c r="B168" t="s">
        <v>406</v>
      </c>
      <c r="C168" t="s">
        <v>394</v>
      </c>
      <c r="D168" t="s">
        <v>395</v>
      </c>
      <c r="E168" t="s">
        <v>396</v>
      </c>
      <c r="F168" t="s">
        <v>563</v>
      </c>
      <c r="G168" t="s">
        <v>398</v>
      </c>
      <c r="H168">
        <v>2</v>
      </c>
      <c r="I168">
        <v>1.7</v>
      </c>
      <c r="J168">
        <v>1.6720000000010271</v>
      </c>
      <c r="K168">
        <v>1.6910000000000318</v>
      </c>
      <c r="L168">
        <v>100.14100000000001</v>
      </c>
      <c r="M168">
        <v>100.045</v>
      </c>
      <c r="N168" t="s">
        <v>840</v>
      </c>
      <c r="O168" t="s">
        <v>841</v>
      </c>
      <c r="P168" t="s">
        <v>401</v>
      </c>
      <c r="Q168" s="3">
        <v>40869</v>
      </c>
      <c r="R168" s="3">
        <v>46101</v>
      </c>
      <c r="S168" s="4">
        <f t="shared" ca="1" si="15"/>
        <v>5.4757015742642023</v>
      </c>
      <c r="T168">
        <f t="shared" si="16"/>
        <v>100.093</v>
      </c>
      <c r="U168" s="43">
        <v>167</v>
      </c>
      <c r="V168" s="4">
        <f t="shared" ca="1" si="17"/>
        <v>5</v>
      </c>
      <c r="W168" s="54">
        <f t="shared" ca="1" si="18"/>
        <v>15</v>
      </c>
      <c r="X168" s="4">
        <f t="shared" ca="1" si="14"/>
        <v>1.7840659340659342</v>
      </c>
      <c r="Y168" s="4">
        <f t="shared" ca="1" si="19"/>
        <v>98.308934065934068</v>
      </c>
      <c r="Z168">
        <f t="shared" si="20"/>
        <v>1.6815000000005296</v>
      </c>
    </row>
    <row r="169" spans="1:26" x14ac:dyDescent="0.35">
      <c r="A169" t="s">
        <v>228</v>
      </c>
      <c r="B169" t="s">
        <v>406</v>
      </c>
      <c r="C169" t="s">
        <v>394</v>
      </c>
      <c r="D169" t="s">
        <v>395</v>
      </c>
      <c r="E169" t="s">
        <v>396</v>
      </c>
      <c r="F169" t="s">
        <v>575</v>
      </c>
      <c r="G169" t="s">
        <v>398</v>
      </c>
      <c r="H169">
        <v>2</v>
      </c>
      <c r="I169">
        <v>1.7</v>
      </c>
      <c r="J169">
        <v>1.7009999998887095</v>
      </c>
      <c r="K169">
        <v>1.7199999999996438</v>
      </c>
      <c r="L169">
        <v>99.994</v>
      </c>
      <c r="M169">
        <v>99.894000000000005</v>
      </c>
      <c r="N169" t="s">
        <v>842</v>
      </c>
      <c r="O169" t="s">
        <v>843</v>
      </c>
      <c r="P169" t="s">
        <v>401</v>
      </c>
      <c r="Q169" s="3">
        <v>40892</v>
      </c>
      <c r="R169" s="3">
        <v>46193</v>
      </c>
      <c r="S169" s="4">
        <f t="shared" ca="1" si="15"/>
        <v>5.7248459958932241</v>
      </c>
      <c r="T169">
        <f t="shared" si="16"/>
        <v>99.944000000000003</v>
      </c>
      <c r="U169" s="43">
        <v>168</v>
      </c>
      <c r="V169" s="4">
        <f t="shared" ca="1" si="17"/>
        <v>5.5</v>
      </c>
      <c r="W169" s="54">
        <f t="shared" ca="1" si="18"/>
        <v>15</v>
      </c>
      <c r="X169" s="4">
        <f t="shared" ca="1" si="14"/>
        <v>0.93406593406593408</v>
      </c>
      <c r="Y169" s="4">
        <f t="shared" ca="1" si="19"/>
        <v>99.009934065934075</v>
      </c>
      <c r="Z169">
        <f t="shared" si="20"/>
        <v>1.7104999999441768</v>
      </c>
    </row>
    <row r="170" spans="1:26" x14ac:dyDescent="0.35">
      <c r="A170" t="s">
        <v>229</v>
      </c>
      <c r="B170" t="s">
        <v>406</v>
      </c>
      <c r="C170" t="s">
        <v>394</v>
      </c>
      <c r="D170" t="s">
        <v>395</v>
      </c>
      <c r="E170" t="s">
        <v>396</v>
      </c>
      <c r="F170" t="s">
        <v>575</v>
      </c>
      <c r="G170" t="s">
        <v>398</v>
      </c>
      <c r="H170">
        <v>2</v>
      </c>
      <c r="I170">
        <v>1.8</v>
      </c>
      <c r="J170">
        <v>1.6960000000532316</v>
      </c>
      <c r="K170">
        <v>1.7150000000284553</v>
      </c>
      <c r="L170">
        <v>100.547</v>
      </c>
      <c r="M170">
        <v>100.446</v>
      </c>
      <c r="N170" t="s">
        <v>844</v>
      </c>
      <c r="O170" t="s">
        <v>845</v>
      </c>
      <c r="P170" t="s">
        <v>401</v>
      </c>
      <c r="Q170" s="3">
        <v>40934</v>
      </c>
      <c r="R170" s="3">
        <v>46193</v>
      </c>
      <c r="S170" s="4">
        <f t="shared" ca="1" si="15"/>
        <v>5.7248459958932241</v>
      </c>
      <c r="T170">
        <f t="shared" si="16"/>
        <v>100.4965</v>
      </c>
      <c r="U170" s="43">
        <v>169</v>
      </c>
      <c r="V170" s="4">
        <f t="shared" ca="1" si="17"/>
        <v>5.5</v>
      </c>
      <c r="W170" s="54">
        <f t="shared" ca="1" si="18"/>
        <v>14</v>
      </c>
      <c r="X170" s="4">
        <f t="shared" ca="1" si="14"/>
        <v>0.98901098901098916</v>
      </c>
      <c r="Y170" s="4">
        <f t="shared" ca="1" si="19"/>
        <v>99.507489010989005</v>
      </c>
      <c r="Z170">
        <f t="shared" si="20"/>
        <v>1.7055000000408436</v>
      </c>
    </row>
    <row r="171" spans="1:26" x14ac:dyDescent="0.35">
      <c r="A171" t="s">
        <v>230</v>
      </c>
      <c r="B171" t="s">
        <v>402</v>
      </c>
      <c r="C171" t="s">
        <v>394</v>
      </c>
      <c r="D171" t="s">
        <v>395</v>
      </c>
      <c r="E171" t="s">
        <v>396</v>
      </c>
      <c r="F171" t="s">
        <v>594</v>
      </c>
      <c r="G171" t="s">
        <v>398</v>
      </c>
      <c r="H171">
        <v>2</v>
      </c>
      <c r="I171">
        <v>2</v>
      </c>
      <c r="J171">
        <v>2.933999999905331</v>
      </c>
      <c r="K171">
        <v>2.9610000000000003</v>
      </c>
      <c r="L171">
        <v>89.82</v>
      </c>
      <c r="M171">
        <v>89.557000000000002</v>
      </c>
      <c r="N171" t="s">
        <v>846</v>
      </c>
      <c r="O171" t="s">
        <v>847</v>
      </c>
      <c r="P171" t="s">
        <v>401</v>
      </c>
      <c r="Q171" s="3">
        <v>40974</v>
      </c>
      <c r="R171" s="3">
        <v>46101</v>
      </c>
      <c r="S171" s="4">
        <f t="shared" ca="1" si="15"/>
        <v>15.972621492128679</v>
      </c>
      <c r="T171">
        <f t="shared" si="16"/>
        <v>89.688500000000005</v>
      </c>
      <c r="U171" s="43">
        <v>170</v>
      </c>
      <c r="V171" s="4">
        <f t="shared" ca="1" si="17"/>
        <v>15.5</v>
      </c>
      <c r="W171" s="54">
        <f t="shared" ca="1" si="18"/>
        <v>14</v>
      </c>
      <c r="X171" s="4">
        <f t="shared" ca="1" si="14"/>
        <v>2.098901098901099</v>
      </c>
      <c r="Y171" s="4">
        <f t="shared" ca="1" si="19"/>
        <v>87.58959890109891</v>
      </c>
      <c r="Z171">
        <f t="shared" si="20"/>
        <v>2.9474999999526657</v>
      </c>
    </row>
    <row r="172" spans="1:26" x14ac:dyDescent="0.35">
      <c r="A172" t="s">
        <v>231</v>
      </c>
      <c r="B172" t="s">
        <v>406</v>
      </c>
      <c r="C172" t="s">
        <v>394</v>
      </c>
      <c r="D172" t="s">
        <v>395</v>
      </c>
      <c r="E172" t="s">
        <v>396</v>
      </c>
      <c r="F172" t="s">
        <v>586</v>
      </c>
      <c r="G172" t="s">
        <v>398</v>
      </c>
      <c r="H172">
        <v>2</v>
      </c>
      <c r="I172">
        <v>1.8</v>
      </c>
      <c r="J172">
        <v>1.7230000000292964</v>
      </c>
      <c r="K172">
        <v>1.7430000000116002</v>
      </c>
      <c r="L172">
        <v>100.42</v>
      </c>
      <c r="M172">
        <v>100.31</v>
      </c>
      <c r="N172" t="s">
        <v>848</v>
      </c>
      <c r="O172" t="s">
        <v>849</v>
      </c>
      <c r="P172" t="s">
        <v>401</v>
      </c>
      <c r="Q172" s="3">
        <v>40983</v>
      </c>
      <c r="R172" s="3">
        <v>46101</v>
      </c>
      <c r="S172" s="4">
        <f t="shared" ca="1" si="15"/>
        <v>5.9739904175222449</v>
      </c>
      <c r="T172">
        <f t="shared" si="16"/>
        <v>100.36500000000001</v>
      </c>
      <c r="U172" s="43">
        <v>171</v>
      </c>
      <c r="V172" s="4">
        <f t="shared" ca="1" si="17"/>
        <v>5.5</v>
      </c>
      <c r="W172" s="54">
        <f t="shared" ca="1" si="18"/>
        <v>14</v>
      </c>
      <c r="X172" s="4">
        <f t="shared" ca="1" si="14"/>
        <v>1.8890109890109892</v>
      </c>
      <c r="Y172" s="4">
        <f t="shared" ca="1" si="19"/>
        <v>98.475989010989025</v>
      </c>
      <c r="Z172">
        <f t="shared" si="20"/>
        <v>1.7330000000204482</v>
      </c>
    </row>
    <row r="173" spans="1:26" x14ac:dyDescent="0.35">
      <c r="A173" t="s">
        <v>232</v>
      </c>
      <c r="B173" t="s">
        <v>406</v>
      </c>
      <c r="C173" t="s">
        <v>394</v>
      </c>
      <c r="D173" t="s">
        <v>395</v>
      </c>
      <c r="E173" t="s">
        <v>396</v>
      </c>
      <c r="F173" t="s">
        <v>586</v>
      </c>
      <c r="G173" t="s">
        <v>398</v>
      </c>
      <c r="H173">
        <v>2</v>
      </c>
      <c r="I173">
        <v>1.7</v>
      </c>
      <c r="J173">
        <v>1.7279999999986224</v>
      </c>
      <c r="K173">
        <v>1.7479999999929201</v>
      </c>
      <c r="L173">
        <v>99.846999999999994</v>
      </c>
      <c r="M173">
        <v>99.738</v>
      </c>
      <c r="N173" t="s">
        <v>850</v>
      </c>
      <c r="O173" t="s">
        <v>851</v>
      </c>
      <c r="P173" t="s">
        <v>401</v>
      </c>
      <c r="Q173" s="3">
        <v>41023</v>
      </c>
      <c r="R173" s="3">
        <v>46101</v>
      </c>
      <c r="S173" s="4">
        <f t="shared" ca="1" si="15"/>
        <v>5.9739904175222449</v>
      </c>
      <c r="T173">
        <f t="shared" si="16"/>
        <v>99.79249999999999</v>
      </c>
      <c r="U173" s="43">
        <v>172</v>
      </c>
      <c r="V173" s="4">
        <f t="shared" ca="1" si="17"/>
        <v>5.5</v>
      </c>
      <c r="W173" s="54">
        <f t="shared" ca="1" si="18"/>
        <v>14</v>
      </c>
      <c r="X173" s="4">
        <f t="shared" ca="1" si="14"/>
        <v>1.7840659340659342</v>
      </c>
      <c r="Y173" s="4">
        <f t="shared" ca="1" si="19"/>
        <v>98.008434065934054</v>
      </c>
      <c r="Z173">
        <f t="shared" si="20"/>
        <v>1.7379999999957714</v>
      </c>
    </row>
    <row r="174" spans="1:26" x14ac:dyDescent="0.35">
      <c r="A174" t="s">
        <v>233</v>
      </c>
      <c r="B174" t="s">
        <v>419</v>
      </c>
      <c r="C174" t="s">
        <v>394</v>
      </c>
      <c r="D174" t="s">
        <v>395</v>
      </c>
      <c r="E174" t="s">
        <v>396</v>
      </c>
      <c r="F174" t="s">
        <v>589</v>
      </c>
      <c r="G174" t="s">
        <v>398</v>
      </c>
      <c r="H174">
        <v>2</v>
      </c>
      <c r="I174">
        <v>2</v>
      </c>
      <c r="J174">
        <v>3.8589999999998814</v>
      </c>
      <c r="K174">
        <v>3.9069999999998486</v>
      </c>
      <c r="L174">
        <v>75.863</v>
      </c>
      <c r="M174">
        <v>75.393000000000001</v>
      </c>
      <c r="N174" t="s">
        <v>852</v>
      </c>
      <c r="O174" t="s">
        <v>853</v>
      </c>
      <c r="P174" t="s">
        <v>401</v>
      </c>
      <c r="Q174" s="3">
        <v>41044</v>
      </c>
      <c r="R174" s="3">
        <v>46101</v>
      </c>
      <c r="S174" s="4">
        <f t="shared" ca="1" si="15"/>
        <v>25.973990417522245</v>
      </c>
      <c r="T174">
        <f t="shared" si="16"/>
        <v>75.628</v>
      </c>
      <c r="U174" s="43">
        <v>173</v>
      </c>
      <c r="V174" s="4">
        <f t="shared" ca="1" si="17"/>
        <v>25.5</v>
      </c>
      <c r="W174" s="54">
        <f t="shared" ca="1" si="18"/>
        <v>14</v>
      </c>
      <c r="X174" s="4">
        <f t="shared" ca="1" si="14"/>
        <v>2.098901098901099</v>
      </c>
      <c r="Y174" s="4">
        <f t="shared" ca="1" si="19"/>
        <v>73.529098901098905</v>
      </c>
      <c r="Z174">
        <f t="shared" si="20"/>
        <v>3.882999999999865</v>
      </c>
    </row>
    <row r="175" spans="1:26" x14ac:dyDescent="0.35">
      <c r="A175" t="s">
        <v>234</v>
      </c>
      <c r="B175" t="s">
        <v>406</v>
      </c>
      <c r="C175" t="s">
        <v>394</v>
      </c>
      <c r="D175" t="s">
        <v>395</v>
      </c>
      <c r="E175" t="s">
        <v>396</v>
      </c>
      <c r="F175" t="s">
        <v>586</v>
      </c>
      <c r="G175" t="s">
        <v>398</v>
      </c>
      <c r="H175">
        <v>2</v>
      </c>
      <c r="I175">
        <v>1.6</v>
      </c>
      <c r="J175">
        <v>1.7309999998361589</v>
      </c>
      <c r="K175">
        <v>1.7509999999999977</v>
      </c>
      <c r="L175">
        <v>99.284999999999997</v>
      </c>
      <c r="M175">
        <v>99.177000000000007</v>
      </c>
      <c r="N175" t="s">
        <v>854</v>
      </c>
      <c r="O175" t="s">
        <v>855</v>
      </c>
      <c r="P175" t="s">
        <v>401</v>
      </c>
      <c r="Q175" s="3">
        <v>41053</v>
      </c>
      <c r="R175" s="3">
        <v>46101</v>
      </c>
      <c r="S175" s="4">
        <f t="shared" ca="1" si="15"/>
        <v>5.9739904175222449</v>
      </c>
      <c r="T175">
        <f t="shared" si="16"/>
        <v>99.230999999999995</v>
      </c>
      <c r="U175" s="43">
        <v>174</v>
      </c>
      <c r="V175" s="4">
        <f t="shared" ca="1" si="17"/>
        <v>5.5</v>
      </c>
      <c r="W175" s="54">
        <f t="shared" ca="1" si="18"/>
        <v>14</v>
      </c>
      <c r="X175" s="4">
        <f t="shared" ca="1" si="14"/>
        <v>1.6791208791208794</v>
      </c>
      <c r="Y175" s="4">
        <f t="shared" ca="1" si="19"/>
        <v>97.551879120879121</v>
      </c>
      <c r="Z175">
        <f t="shared" si="20"/>
        <v>1.7409999999180783</v>
      </c>
    </row>
    <row r="176" spans="1:26" x14ac:dyDescent="0.35">
      <c r="A176" t="s">
        <v>235</v>
      </c>
      <c r="B176" t="s">
        <v>406</v>
      </c>
      <c r="C176" t="s">
        <v>394</v>
      </c>
      <c r="D176" t="s">
        <v>395</v>
      </c>
      <c r="E176" t="s">
        <v>396</v>
      </c>
      <c r="F176" t="s">
        <v>602</v>
      </c>
      <c r="G176" t="s">
        <v>398</v>
      </c>
      <c r="H176">
        <v>2</v>
      </c>
      <c r="I176">
        <v>1.7</v>
      </c>
      <c r="J176">
        <v>1.7539999999902207</v>
      </c>
      <c r="K176">
        <v>1.7739999999742999</v>
      </c>
      <c r="L176">
        <v>99.694000000000003</v>
      </c>
      <c r="M176">
        <v>99.581999999999994</v>
      </c>
      <c r="N176" t="s">
        <v>856</v>
      </c>
      <c r="O176" t="s">
        <v>857</v>
      </c>
      <c r="P176" t="s">
        <v>401</v>
      </c>
      <c r="Q176" s="3">
        <v>41074</v>
      </c>
      <c r="R176" s="3">
        <v>46193</v>
      </c>
      <c r="S176" s="4">
        <f t="shared" ca="1" si="15"/>
        <v>6.2258726899383987</v>
      </c>
      <c r="T176">
        <f t="shared" si="16"/>
        <v>99.638000000000005</v>
      </c>
      <c r="U176" s="43">
        <v>175</v>
      </c>
      <c r="V176" s="4">
        <f t="shared" ca="1" si="17"/>
        <v>6</v>
      </c>
      <c r="W176" s="54">
        <f t="shared" ca="1" si="18"/>
        <v>14</v>
      </c>
      <c r="X176" s="4">
        <f t="shared" ca="1" si="14"/>
        <v>0.93406593406593408</v>
      </c>
      <c r="Y176" s="4">
        <f t="shared" ca="1" si="19"/>
        <v>98.703934065934078</v>
      </c>
      <c r="Z176">
        <f t="shared" si="20"/>
        <v>1.7639999999822602</v>
      </c>
    </row>
    <row r="177" spans="1:26" x14ac:dyDescent="0.35">
      <c r="A177" t="s">
        <v>236</v>
      </c>
      <c r="B177" t="s">
        <v>406</v>
      </c>
      <c r="C177" t="s">
        <v>394</v>
      </c>
      <c r="D177" t="s">
        <v>395</v>
      </c>
      <c r="E177" t="s">
        <v>396</v>
      </c>
      <c r="F177" t="s">
        <v>602</v>
      </c>
      <c r="G177" t="s">
        <v>398</v>
      </c>
      <c r="H177">
        <v>2</v>
      </c>
      <c r="I177">
        <v>1.5</v>
      </c>
      <c r="J177">
        <v>1.7639999999999982</v>
      </c>
      <c r="K177">
        <v>1.7829999999999988</v>
      </c>
      <c r="L177">
        <v>98.507999999999996</v>
      </c>
      <c r="M177">
        <v>98.403000000000006</v>
      </c>
      <c r="N177" t="s">
        <v>858</v>
      </c>
      <c r="O177" t="s">
        <v>859</v>
      </c>
      <c r="P177" t="s">
        <v>401</v>
      </c>
      <c r="Q177" s="3">
        <v>41116</v>
      </c>
      <c r="R177" s="3">
        <v>46193</v>
      </c>
      <c r="S177" s="4">
        <f t="shared" ca="1" si="15"/>
        <v>6.2258726899383987</v>
      </c>
      <c r="T177">
        <f t="shared" si="16"/>
        <v>98.455500000000001</v>
      </c>
      <c r="U177" s="43">
        <v>176</v>
      </c>
      <c r="V177" s="4">
        <f t="shared" ca="1" si="17"/>
        <v>6</v>
      </c>
      <c r="W177" s="54">
        <f t="shared" ca="1" si="18"/>
        <v>14</v>
      </c>
      <c r="X177" s="4">
        <f t="shared" ca="1" si="14"/>
        <v>0.82417582417582425</v>
      </c>
      <c r="Y177" s="4">
        <f t="shared" ca="1" si="19"/>
        <v>97.631324175824176</v>
      </c>
      <c r="Z177">
        <f t="shared" si="20"/>
        <v>1.7734999999999985</v>
      </c>
    </row>
    <row r="178" spans="1:26" x14ac:dyDescent="0.35">
      <c r="A178" t="s">
        <v>237</v>
      </c>
      <c r="B178" t="s">
        <v>406</v>
      </c>
      <c r="C178" t="s">
        <v>394</v>
      </c>
      <c r="D178" t="s">
        <v>395</v>
      </c>
      <c r="E178" t="s">
        <v>396</v>
      </c>
      <c r="F178" t="s">
        <v>602</v>
      </c>
      <c r="G178" t="s">
        <v>398</v>
      </c>
      <c r="H178">
        <v>2</v>
      </c>
      <c r="I178">
        <v>1.6</v>
      </c>
      <c r="J178">
        <v>1.7570000000000034</v>
      </c>
      <c r="K178">
        <v>1.7770000000000039</v>
      </c>
      <c r="L178">
        <v>99.111999999999995</v>
      </c>
      <c r="M178">
        <v>99</v>
      </c>
      <c r="N178" t="s">
        <v>860</v>
      </c>
      <c r="O178" t="s">
        <v>861</v>
      </c>
      <c r="P178" t="s">
        <v>401</v>
      </c>
      <c r="Q178" s="3">
        <v>41144</v>
      </c>
      <c r="R178" s="3">
        <v>46193</v>
      </c>
      <c r="S178" s="4">
        <f t="shared" ca="1" si="15"/>
        <v>6.2258726899383987</v>
      </c>
      <c r="T178">
        <f t="shared" si="16"/>
        <v>99.055999999999997</v>
      </c>
      <c r="U178" s="43">
        <v>177</v>
      </c>
      <c r="V178" s="4">
        <f t="shared" ca="1" si="17"/>
        <v>6</v>
      </c>
      <c r="W178" s="54">
        <f t="shared" ca="1" si="18"/>
        <v>14</v>
      </c>
      <c r="X178" s="4">
        <f t="shared" ca="1" si="14"/>
        <v>0.87912087912087922</v>
      </c>
      <c r="Y178" s="4">
        <f t="shared" ca="1" si="19"/>
        <v>98.176879120879121</v>
      </c>
      <c r="Z178">
        <f t="shared" si="20"/>
        <v>1.7670000000000037</v>
      </c>
    </row>
    <row r="179" spans="1:26" x14ac:dyDescent="0.35">
      <c r="A179" t="s">
        <v>238</v>
      </c>
      <c r="B179" t="s">
        <v>402</v>
      </c>
      <c r="C179" t="s">
        <v>394</v>
      </c>
      <c r="D179" t="s">
        <v>395</v>
      </c>
      <c r="E179" t="s">
        <v>396</v>
      </c>
      <c r="F179" t="s">
        <v>621</v>
      </c>
      <c r="G179" t="s">
        <v>398</v>
      </c>
      <c r="H179">
        <v>2</v>
      </c>
      <c r="I179">
        <v>1.9</v>
      </c>
      <c r="J179">
        <v>3.0040000000000009</v>
      </c>
      <c r="K179">
        <v>3.0329999999999973</v>
      </c>
      <c r="L179">
        <v>87.807000000000002</v>
      </c>
      <c r="M179">
        <v>87.527000000000001</v>
      </c>
      <c r="N179" t="s">
        <v>862</v>
      </c>
      <c r="O179" t="s">
        <v>863</v>
      </c>
      <c r="P179" t="s">
        <v>401</v>
      </c>
      <c r="Q179" s="3">
        <v>41158</v>
      </c>
      <c r="R179" s="3">
        <v>46101</v>
      </c>
      <c r="S179" s="4">
        <f t="shared" ca="1" si="15"/>
        <v>16.476386036960985</v>
      </c>
      <c r="T179">
        <f t="shared" si="16"/>
        <v>87.667000000000002</v>
      </c>
      <c r="U179" s="43">
        <v>178</v>
      </c>
      <c r="V179" s="4">
        <f t="shared" ca="1" si="17"/>
        <v>16</v>
      </c>
      <c r="W179" s="54">
        <f t="shared" ca="1" si="18"/>
        <v>14</v>
      </c>
      <c r="X179" s="4">
        <f t="shared" ca="1" si="14"/>
        <v>1.993956043956044</v>
      </c>
      <c r="Y179" s="4">
        <f t="shared" ca="1" si="19"/>
        <v>85.673043956043955</v>
      </c>
      <c r="Z179">
        <f t="shared" si="20"/>
        <v>3.0184999999999991</v>
      </c>
    </row>
    <row r="180" spans="1:26" x14ac:dyDescent="0.35">
      <c r="A180" t="s">
        <v>239</v>
      </c>
      <c r="B180" t="s">
        <v>406</v>
      </c>
      <c r="C180" t="s">
        <v>394</v>
      </c>
      <c r="D180" t="s">
        <v>395</v>
      </c>
      <c r="E180" t="s">
        <v>396</v>
      </c>
      <c r="F180" t="s">
        <v>613</v>
      </c>
      <c r="G180" t="s">
        <v>398</v>
      </c>
      <c r="H180">
        <v>2</v>
      </c>
      <c r="I180">
        <v>1.7</v>
      </c>
      <c r="J180">
        <v>1.7769999999606663</v>
      </c>
      <c r="K180">
        <v>1.7969999999196467</v>
      </c>
      <c r="L180">
        <v>99.549000000000007</v>
      </c>
      <c r="M180">
        <v>99.433000000000007</v>
      </c>
      <c r="N180" t="s">
        <v>864</v>
      </c>
      <c r="O180" t="s">
        <v>865</v>
      </c>
      <c r="P180" t="s">
        <v>401</v>
      </c>
      <c r="Q180" s="3">
        <v>41165</v>
      </c>
      <c r="R180" s="3">
        <v>46101</v>
      </c>
      <c r="S180" s="4">
        <f t="shared" ca="1" si="15"/>
        <v>6.4777549623545516</v>
      </c>
      <c r="T180">
        <f t="shared" si="16"/>
        <v>99.491000000000014</v>
      </c>
      <c r="U180" s="43">
        <v>179</v>
      </c>
      <c r="V180" s="4">
        <f t="shared" ca="1" si="17"/>
        <v>6</v>
      </c>
      <c r="W180" s="54">
        <f t="shared" ca="1" si="18"/>
        <v>14</v>
      </c>
      <c r="X180" s="4">
        <f t="shared" ca="1" si="14"/>
        <v>1.7840659340659342</v>
      </c>
      <c r="Y180" s="4">
        <f t="shared" ca="1" si="19"/>
        <v>97.706934065934078</v>
      </c>
      <c r="Z180">
        <f t="shared" si="20"/>
        <v>1.7869999999401565</v>
      </c>
    </row>
    <row r="181" spans="1:26" x14ac:dyDescent="0.35">
      <c r="A181" t="s">
        <v>240</v>
      </c>
      <c r="B181" t="s">
        <v>406</v>
      </c>
      <c r="C181" t="s">
        <v>394</v>
      </c>
      <c r="D181" t="s">
        <v>395</v>
      </c>
      <c r="E181" t="s">
        <v>396</v>
      </c>
      <c r="F181" t="s">
        <v>667</v>
      </c>
      <c r="G181" t="s">
        <v>398</v>
      </c>
      <c r="H181">
        <v>2</v>
      </c>
      <c r="I181">
        <v>1.7</v>
      </c>
      <c r="J181">
        <v>1.8029999999067505</v>
      </c>
      <c r="K181">
        <v>1.823999999833767</v>
      </c>
      <c r="L181">
        <v>99.378</v>
      </c>
      <c r="M181">
        <v>99.251999999999995</v>
      </c>
      <c r="N181" t="s">
        <v>866</v>
      </c>
      <c r="O181" t="s">
        <v>867</v>
      </c>
      <c r="P181" t="s">
        <v>401</v>
      </c>
      <c r="Q181" s="3">
        <v>41261</v>
      </c>
      <c r="R181" s="3">
        <v>46193</v>
      </c>
      <c r="S181" s="4">
        <f t="shared" ca="1" si="15"/>
        <v>6.7268993839835725</v>
      </c>
      <c r="T181">
        <f t="shared" si="16"/>
        <v>99.314999999999998</v>
      </c>
      <c r="U181" s="43">
        <v>180</v>
      </c>
      <c r="V181" s="4">
        <f t="shared" ca="1" si="17"/>
        <v>6.5</v>
      </c>
      <c r="W181" s="54">
        <f t="shared" ca="1" si="18"/>
        <v>14</v>
      </c>
      <c r="X181" s="4">
        <f t="shared" ca="1" si="14"/>
        <v>0.93406593406593408</v>
      </c>
      <c r="Y181" s="4">
        <f t="shared" ca="1" si="19"/>
        <v>98.380934065934071</v>
      </c>
      <c r="Z181">
        <f t="shared" si="20"/>
        <v>1.8134999998702588</v>
      </c>
    </row>
    <row r="182" spans="1:26" x14ac:dyDescent="0.35">
      <c r="A182" t="s">
        <v>241</v>
      </c>
      <c r="B182" t="s">
        <v>406</v>
      </c>
      <c r="C182" t="s">
        <v>394</v>
      </c>
      <c r="D182" t="s">
        <v>395</v>
      </c>
      <c r="E182" t="s">
        <v>396</v>
      </c>
      <c r="F182" t="s">
        <v>667</v>
      </c>
      <c r="G182" t="s">
        <v>398</v>
      </c>
      <c r="H182">
        <v>2</v>
      </c>
      <c r="I182">
        <v>1.8</v>
      </c>
      <c r="J182">
        <v>1.7940000000000182</v>
      </c>
      <c r="K182">
        <v>1.8149999999997457</v>
      </c>
      <c r="L182">
        <v>100.036</v>
      </c>
      <c r="M182">
        <v>99.909000000000006</v>
      </c>
      <c r="N182" t="s">
        <v>868</v>
      </c>
      <c r="O182" t="s">
        <v>869</v>
      </c>
      <c r="P182" t="s">
        <v>401</v>
      </c>
      <c r="Q182" s="3">
        <v>41326</v>
      </c>
      <c r="R182" s="3">
        <v>46193</v>
      </c>
      <c r="S182" s="4">
        <f t="shared" ca="1" si="15"/>
        <v>6.7268993839835725</v>
      </c>
      <c r="T182">
        <f t="shared" si="16"/>
        <v>99.972499999999997</v>
      </c>
      <c r="U182" s="43">
        <v>181</v>
      </c>
      <c r="V182" s="4">
        <f t="shared" ca="1" si="17"/>
        <v>6.5</v>
      </c>
      <c r="W182" s="54">
        <f t="shared" ca="1" si="18"/>
        <v>13</v>
      </c>
      <c r="X182" s="4">
        <f t="shared" ca="1" si="14"/>
        <v>0.98901098901098916</v>
      </c>
      <c r="Y182" s="4">
        <f t="shared" ca="1" si="19"/>
        <v>98.983489010989004</v>
      </c>
      <c r="Z182">
        <f t="shared" si="20"/>
        <v>1.8044999999998819</v>
      </c>
    </row>
    <row r="183" spans="1:26" x14ac:dyDescent="0.35">
      <c r="A183" t="s">
        <v>242</v>
      </c>
      <c r="B183" t="s">
        <v>402</v>
      </c>
      <c r="C183" t="s">
        <v>394</v>
      </c>
      <c r="D183" t="s">
        <v>395</v>
      </c>
      <c r="E183" t="s">
        <v>396</v>
      </c>
      <c r="F183" t="s">
        <v>870</v>
      </c>
      <c r="G183" t="s">
        <v>398</v>
      </c>
      <c r="H183">
        <v>2</v>
      </c>
      <c r="I183">
        <v>1.8</v>
      </c>
      <c r="J183">
        <v>3.0719999999999987</v>
      </c>
      <c r="K183">
        <v>3.0990000000000011</v>
      </c>
      <c r="L183">
        <v>85.781999999999996</v>
      </c>
      <c r="M183">
        <v>85.524000000000001</v>
      </c>
      <c r="N183" t="s">
        <v>871</v>
      </c>
      <c r="O183" t="s">
        <v>872</v>
      </c>
      <c r="P183" t="s">
        <v>401</v>
      </c>
      <c r="Q183" s="3">
        <v>41341</v>
      </c>
      <c r="R183" s="3">
        <v>46101</v>
      </c>
      <c r="S183" s="4">
        <f t="shared" ca="1" si="15"/>
        <v>16.971937029431896</v>
      </c>
      <c r="T183">
        <f t="shared" si="16"/>
        <v>85.652999999999992</v>
      </c>
      <c r="U183" s="43">
        <v>182</v>
      </c>
      <c r="V183" s="4">
        <f t="shared" ca="1" si="17"/>
        <v>16.5</v>
      </c>
      <c r="W183" s="54">
        <f t="shared" ca="1" si="18"/>
        <v>13</v>
      </c>
      <c r="X183" s="4">
        <f t="shared" ca="1" si="14"/>
        <v>1.8890109890109892</v>
      </c>
      <c r="Y183" s="4">
        <f t="shared" ca="1" si="19"/>
        <v>83.763989010989008</v>
      </c>
      <c r="Z183">
        <f t="shared" si="20"/>
        <v>3.0854999999999997</v>
      </c>
    </row>
    <row r="184" spans="1:26" x14ac:dyDescent="0.35">
      <c r="A184" t="s">
        <v>243</v>
      </c>
      <c r="B184" t="s">
        <v>406</v>
      </c>
      <c r="C184" t="s">
        <v>394</v>
      </c>
      <c r="D184" t="s">
        <v>395</v>
      </c>
      <c r="E184" t="s">
        <v>396</v>
      </c>
      <c r="F184" t="s">
        <v>670</v>
      </c>
      <c r="G184" t="s">
        <v>398</v>
      </c>
      <c r="H184">
        <v>2</v>
      </c>
      <c r="I184">
        <v>1.6</v>
      </c>
      <c r="J184">
        <v>1.8289999999999977</v>
      </c>
      <c r="K184">
        <v>1.8489999999999955</v>
      </c>
      <c r="L184">
        <v>98.573999999999998</v>
      </c>
      <c r="M184">
        <v>98.451999999999998</v>
      </c>
      <c r="N184" t="s">
        <v>873</v>
      </c>
      <c r="O184" t="s">
        <v>874</v>
      </c>
      <c r="P184" t="s">
        <v>401</v>
      </c>
      <c r="Q184" s="3">
        <v>41347</v>
      </c>
      <c r="R184" s="3">
        <v>46101</v>
      </c>
      <c r="S184" s="4">
        <f t="shared" ca="1" si="15"/>
        <v>6.9733059548254621</v>
      </c>
      <c r="T184">
        <f t="shared" si="16"/>
        <v>98.513000000000005</v>
      </c>
      <c r="U184" s="43">
        <v>183</v>
      </c>
      <c r="V184" s="4">
        <f t="shared" ca="1" si="17"/>
        <v>6.5</v>
      </c>
      <c r="W184" s="54">
        <f t="shared" ca="1" si="18"/>
        <v>13</v>
      </c>
      <c r="X184" s="4">
        <f t="shared" ca="1" si="14"/>
        <v>1.6791208791208794</v>
      </c>
      <c r="Y184" s="4">
        <f t="shared" ca="1" si="19"/>
        <v>96.833879120879132</v>
      </c>
      <c r="Z184">
        <f t="shared" si="20"/>
        <v>1.8389999999999966</v>
      </c>
    </row>
    <row r="185" spans="1:26" x14ac:dyDescent="0.35">
      <c r="A185" t="s">
        <v>244</v>
      </c>
      <c r="B185" t="s">
        <v>406</v>
      </c>
      <c r="C185" t="s">
        <v>394</v>
      </c>
      <c r="D185" t="s">
        <v>395</v>
      </c>
      <c r="E185" t="s">
        <v>396</v>
      </c>
      <c r="F185" t="s">
        <v>670</v>
      </c>
      <c r="G185" t="s">
        <v>398</v>
      </c>
      <c r="H185">
        <v>2</v>
      </c>
      <c r="I185">
        <v>1.5</v>
      </c>
      <c r="J185">
        <v>1.836999999999992</v>
      </c>
      <c r="K185">
        <v>1.8579999999999846</v>
      </c>
      <c r="L185">
        <v>97.903000000000006</v>
      </c>
      <c r="M185">
        <v>97.775999999999996</v>
      </c>
      <c r="N185" t="s">
        <v>875</v>
      </c>
      <c r="O185" t="s">
        <v>876</v>
      </c>
      <c r="P185" t="s">
        <v>401</v>
      </c>
      <c r="Q185" s="3">
        <v>41382</v>
      </c>
      <c r="R185" s="3">
        <v>46101</v>
      </c>
      <c r="S185" s="4">
        <f t="shared" ca="1" si="15"/>
        <v>6.9733059548254621</v>
      </c>
      <c r="T185">
        <f t="shared" si="16"/>
        <v>97.839500000000001</v>
      </c>
      <c r="U185" s="43">
        <v>184</v>
      </c>
      <c r="V185" s="4">
        <f t="shared" ca="1" si="17"/>
        <v>6.5</v>
      </c>
      <c r="W185" s="54">
        <f t="shared" ca="1" si="18"/>
        <v>13</v>
      </c>
      <c r="X185" s="4">
        <f t="shared" ca="1" si="14"/>
        <v>1.5741758241758244</v>
      </c>
      <c r="Y185" s="4">
        <f t="shared" ca="1" si="19"/>
        <v>96.265324175824176</v>
      </c>
      <c r="Z185">
        <f t="shared" si="20"/>
        <v>1.8474999999999882</v>
      </c>
    </row>
    <row r="186" spans="1:26" x14ac:dyDescent="0.35">
      <c r="A186" t="s">
        <v>245</v>
      </c>
      <c r="B186" t="s">
        <v>419</v>
      </c>
      <c r="C186" t="s">
        <v>394</v>
      </c>
      <c r="D186" t="s">
        <v>395</v>
      </c>
      <c r="E186" t="s">
        <v>396</v>
      </c>
      <c r="F186" t="s">
        <v>877</v>
      </c>
      <c r="G186" t="s">
        <v>398</v>
      </c>
      <c r="H186">
        <v>2</v>
      </c>
      <c r="I186">
        <v>1.9</v>
      </c>
      <c r="J186">
        <v>3.9379999999995308</v>
      </c>
      <c r="K186">
        <v>3.9839999999994191</v>
      </c>
      <c r="L186">
        <v>73.319999999999993</v>
      </c>
      <c r="M186">
        <v>72.881</v>
      </c>
      <c r="N186" t="s">
        <v>878</v>
      </c>
      <c r="O186" t="s">
        <v>879</v>
      </c>
      <c r="P186" t="s">
        <v>401</v>
      </c>
      <c r="Q186" s="3">
        <v>41415</v>
      </c>
      <c r="R186" s="3">
        <v>46101</v>
      </c>
      <c r="S186" s="4">
        <f t="shared" ca="1" si="15"/>
        <v>26.973305954825463</v>
      </c>
      <c r="T186">
        <f t="shared" si="16"/>
        <v>73.100499999999997</v>
      </c>
      <c r="U186" s="43">
        <v>185</v>
      </c>
      <c r="V186" s="4">
        <f t="shared" ca="1" si="17"/>
        <v>26.5</v>
      </c>
      <c r="W186" s="54">
        <f t="shared" ca="1" si="18"/>
        <v>13</v>
      </c>
      <c r="X186" s="4">
        <f t="shared" ca="1" si="14"/>
        <v>1.993956043956044</v>
      </c>
      <c r="Y186" s="4">
        <f t="shared" ca="1" si="19"/>
        <v>71.10654395604395</v>
      </c>
      <c r="Z186">
        <f t="shared" si="20"/>
        <v>3.9609999999994749</v>
      </c>
    </row>
    <row r="187" spans="1:26" x14ac:dyDescent="0.35">
      <c r="A187" t="s">
        <v>246</v>
      </c>
      <c r="B187" t="s">
        <v>402</v>
      </c>
      <c r="C187" t="s">
        <v>394</v>
      </c>
      <c r="D187" t="s">
        <v>395</v>
      </c>
      <c r="E187" t="s">
        <v>396</v>
      </c>
      <c r="F187" t="s">
        <v>880</v>
      </c>
      <c r="G187" t="s">
        <v>398</v>
      </c>
      <c r="H187">
        <v>2</v>
      </c>
      <c r="I187">
        <v>1.9</v>
      </c>
      <c r="J187">
        <v>3.0710000000000011</v>
      </c>
      <c r="K187">
        <v>3.0980000000000008</v>
      </c>
      <c r="L187">
        <v>86.783000000000001</v>
      </c>
      <c r="M187">
        <v>86.519000000000005</v>
      </c>
      <c r="N187" t="s">
        <v>881</v>
      </c>
      <c r="O187" t="s">
        <v>882</v>
      </c>
      <c r="P187" t="s">
        <v>401</v>
      </c>
      <c r="Q187" s="3">
        <v>41431</v>
      </c>
      <c r="R187" s="3">
        <v>46193</v>
      </c>
      <c r="S187" s="4">
        <f t="shared" ca="1" si="15"/>
        <v>17.223819301848049</v>
      </c>
      <c r="T187">
        <f t="shared" si="16"/>
        <v>86.65100000000001</v>
      </c>
      <c r="U187" s="43">
        <v>186</v>
      </c>
      <c r="V187" s="4">
        <f t="shared" ca="1" si="17"/>
        <v>17</v>
      </c>
      <c r="W187" s="54">
        <f t="shared" ca="1" si="18"/>
        <v>13</v>
      </c>
      <c r="X187" s="4">
        <f t="shared" ca="1" si="14"/>
        <v>1.043956043956044</v>
      </c>
      <c r="Y187" s="4">
        <f t="shared" ca="1" si="19"/>
        <v>85.607043956043967</v>
      </c>
      <c r="Z187">
        <f t="shared" si="20"/>
        <v>3.0845000000000011</v>
      </c>
    </row>
    <row r="188" spans="1:26" x14ac:dyDescent="0.35">
      <c r="A188" t="s">
        <v>247</v>
      </c>
      <c r="B188" t="s">
        <v>406</v>
      </c>
      <c r="C188" t="s">
        <v>394</v>
      </c>
      <c r="D188" t="s">
        <v>395</v>
      </c>
      <c r="E188" t="s">
        <v>396</v>
      </c>
      <c r="F188" t="s">
        <v>673</v>
      </c>
      <c r="G188" t="s">
        <v>398</v>
      </c>
      <c r="H188">
        <v>2</v>
      </c>
      <c r="I188">
        <v>1.7</v>
      </c>
      <c r="J188">
        <v>1.8559999999999985</v>
      </c>
      <c r="K188">
        <v>1.8769999999999982</v>
      </c>
      <c r="L188">
        <v>99</v>
      </c>
      <c r="M188">
        <v>98.867000000000004</v>
      </c>
      <c r="N188" t="s">
        <v>883</v>
      </c>
      <c r="O188" t="s">
        <v>884</v>
      </c>
      <c r="P188" t="s">
        <v>401</v>
      </c>
      <c r="Q188" s="3">
        <v>41443</v>
      </c>
      <c r="R188" s="3">
        <v>46193</v>
      </c>
      <c r="S188" s="4">
        <f t="shared" ca="1" si="15"/>
        <v>7.225188227241615</v>
      </c>
      <c r="T188">
        <f t="shared" si="16"/>
        <v>98.933500000000009</v>
      </c>
      <c r="U188" s="43">
        <v>187</v>
      </c>
      <c r="V188" s="4">
        <f t="shared" ca="1" si="17"/>
        <v>7</v>
      </c>
      <c r="W188" s="54">
        <f t="shared" ca="1" si="18"/>
        <v>13</v>
      </c>
      <c r="X188" s="4">
        <f t="shared" ca="1" si="14"/>
        <v>0.93406593406593408</v>
      </c>
      <c r="Y188" s="4">
        <f t="shared" ca="1" si="19"/>
        <v>97.999434065934082</v>
      </c>
      <c r="Z188">
        <f t="shared" si="20"/>
        <v>1.8664999999999985</v>
      </c>
    </row>
    <row r="189" spans="1:26" x14ac:dyDescent="0.35">
      <c r="A189" t="s">
        <v>248</v>
      </c>
      <c r="B189" t="s">
        <v>402</v>
      </c>
      <c r="C189" t="s">
        <v>394</v>
      </c>
      <c r="D189" t="s">
        <v>395</v>
      </c>
      <c r="E189" t="s">
        <v>396</v>
      </c>
      <c r="F189" t="s">
        <v>885</v>
      </c>
      <c r="G189" t="s">
        <v>398</v>
      </c>
      <c r="H189">
        <v>2</v>
      </c>
      <c r="I189">
        <v>1.8</v>
      </c>
      <c r="J189">
        <v>3.1300000000000026</v>
      </c>
      <c r="K189">
        <v>3.1580000000000004</v>
      </c>
      <c r="L189">
        <v>84.947000000000003</v>
      </c>
      <c r="M189">
        <v>84.679000000000002</v>
      </c>
      <c r="N189" t="s">
        <v>886</v>
      </c>
      <c r="O189" t="s">
        <v>887</v>
      </c>
      <c r="P189" t="s">
        <v>401</v>
      </c>
      <c r="Q189" s="3">
        <v>41527</v>
      </c>
      <c r="R189" s="3">
        <v>46101</v>
      </c>
      <c r="S189" s="4">
        <f t="shared" ca="1" si="15"/>
        <v>17.475701574264203</v>
      </c>
      <c r="T189">
        <f t="shared" si="16"/>
        <v>84.813000000000002</v>
      </c>
      <c r="U189" s="43">
        <v>188</v>
      </c>
      <c r="V189" s="4">
        <f t="shared" ca="1" si="17"/>
        <v>17</v>
      </c>
      <c r="W189" s="54">
        <f t="shared" ca="1" si="18"/>
        <v>13</v>
      </c>
      <c r="X189" s="4">
        <f t="shared" ca="1" si="14"/>
        <v>1.8890109890109892</v>
      </c>
      <c r="Y189" s="4">
        <f t="shared" ca="1" si="19"/>
        <v>82.923989010989018</v>
      </c>
      <c r="Z189">
        <f t="shared" si="20"/>
        <v>3.1440000000000015</v>
      </c>
    </row>
    <row r="190" spans="1:26" x14ac:dyDescent="0.35">
      <c r="A190" t="s">
        <v>249</v>
      </c>
      <c r="B190" t="s">
        <v>406</v>
      </c>
      <c r="C190" t="s">
        <v>394</v>
      </c>
      <c r="D190" t="s">
        <v>395</v>
      </c>
      <c r="E190" t="s">
        <v>396</v>
      </c>
      <c r="F190" t="s">
        <v>676</v>
      </c>
      <c r="G190" t="s">
        <v>398</v>
      </c>
      <c r="H190">
        <v>2</v>
      </c>
      <c r="I190">
        <v>1.7</v>
      </c>
      <c r="J190">
        <v>1.8919999999999997</v>
      </c>
      <c r="K190">
        <v>1.9129999999999965</v>
      </c>
      <c r="L190">
        <v>98.734999999999999</v>
      </c>
      <c r="M190">
        <v>98.597999999999999</v>
      </c>
      <c r="N190" t="s">
        <v>888</v>
      </c>
      <c r="O190" t="s">
        <v>889</v>
      </c>
      <c r="P190" t="s">
        <v>401</v>
      </c>
      <c r="Q190" s="3">
        <v>41535</v>
      </c>
      <c r="R190" s="3">
        <v>46101</v>
      </c>
      <c r="S190" s="4">
        <f t="shared" ca="1" si="15"/>
        <v>7.4770704996577688</v>
      </c>
      <c r="T190">
        <f t="shared" si="16"/>
        <v>98.666499999999999</v>
      </c>
      <c r="U190" s="43">
        <v>189</v>
      </c>
      <c r="V190" s="4">
        <f t="shared" ca="1" si="17"/>
        <v>7</v>
      </c>
      <c r="W190" s="54">
        <f t="shared" ca="1" si="18"/>
        <v>13</v>
      </c>
      <c r="X190" s="4">
        <f t="shared" ca="1" si="14"/>
        <v>1.7840659340659342</v>
      </c>
      <c r="Y190" s="4">
        <f t="shared" ca="1" si="19"/>
        <v>96.882434065934063</v>
      </c>
      <c r="Z190">
        <f t="shared" si="20"/>
        <v>1.9024999999999981</v>
      </c>
    </row>
    <row r="191" spans="1:26" x14ac:dyDescent="0.35">
      <c r="A191" t="s">
        <v>250</v>
      </c>
      <c r="B191" t="s">
        <v>402</v>
      </c>
      <c r="C191" t="s">
        <v>394</v>
      </c>
      <c r="D191" t="s">
        <v>395</v>
      </c>
      <c r="E191" t="s">
        <v>396</v>
      </c>
      <c r="F191" t="s">
        <v>890</v>
      </c>
      <c r="G191" t="s">
        <v>398</v>
      </c>
      <c r="H191">
        <v>2</v>
      </c>
      <c r="I191">
        <v>1.7</v>
      </c>
      <c r="J191">
        <v>3.1779999999999964</v>
      </c>
      <c r="K191">
        <v>3.2039999999999931</v>
      </c>
      <c r="L191">
        <v>83.210999999999999</v>
      </c>
      <c r="M191">
        <v>82.965999999999994</v>
      </c>
      <c r="N191" t="s">
        <v>891</v>
      </c>
      <c r="O191" t="s">
        <v>892</v>
      </c>
      <c r="P191" t="s">
        <v>401</v>
      </c>
      <c r="Q191" s="3">
        <v>41618</v>
      </c>
      <c r="R191" s="3">
        <v>46193</v>
      </c>
      <c r="S191" s="4">
        <f t="shared" ca="1" si="15"/>
        <v>17.724845995893222</v>
      </c>
      <c r="T191">
        <f t="shared" si="16"/>
        <v>83.088499999999996</v>
      </c>
      <c r="U191" s="43">
        <v>190</v>
      </c>
      <c r="V191" s="4">
        <f t="shared" ca="1" si="17"/>
        <v>17.5</v>
      </c>
      <c r="W191" s="54">
        <f t="shared" ca="1" si="18"/>
        <v>13</v>
      </c>
      <c r="X191" s="4">
        <f t="shared" ca="1" si="14"/>
        <v>0.93406593406593408</v>
      </c>
      <c r="Y191" s="4">
        <f t="shared" ca="1" si="19"/>
        <v>82.154434065934069</v>
      </c>
      <c r="Z191">
        <f t="shared" si="20"/>
        <v>3.1909999999999945</v>
      </c>
    </row>
    <row r="192" spans="1:26" x14ac:dyDescent="0.35">
      <c r="A192" t="s">
        <v>251</v>
      </c>
      <c r="B192" t="s">
        <v>406</v>
      </c>
      <c r="C192" t="s">
        <v>394</v>
      </c>
      <c r="D192" t="s">
        <v>395</v>
      </c>
      <c r="E192" t="s">
        <v>396</v>
      </c>
      <c r="F192" t="s">
        <v>679</v>
      </c>
      <c r="G192" t="s">
        <v>398</v>
      </c>
      <c r="H192">
        <v>2</v>
      </c>
      <c r="I192">
        <v>1.6</v>
      </c>
      <c r="J192">
        <v>1.9319999999999895</v>
      </c>
      <c r="K192">
        <v>1.9519999999999889</v>
      </c>
      <c r="L192">
        <v>97.754999999999995</v>
      </c>
      <c r="M192">
        <v>97.623000000000005</v>
      </c>
      <c r="N192" t="s">
        <v>893</v>
      </c>
      <c r="O192" t="s">
        <v>894</v>
      </c>
      <c r="P192" t="s">
        <v>401</v>
      </c>
      <c r="Q192" s="3">
        <v>41625</v>
      </c>
      <c r="R192" s="3">
        <v>46193</v>
      </c>
      <c r="S192" s="4">
        <f t="shared" ca="1" si="15"/>
        <v>7.7262149212867897</v>
      </c>
      <c r="T192">
        <f t="shared" si="16"/>
        <v>97.688999999999993</v>
      </c>
      <c r="U192" s="43">
        <v>191</v>
      </c>
      <c r="V192" s="4">
        <f t="shared" ca="1" si="17"/>
        <v>7.5</v>
      </c>
      <c r="W192" s="54">
        <f t="shared" ca="1" si="18"/>
        <v>13</v>
      </c>
      <c r="X192" s="4">
        <f t="shared" ca="1" si="14"/>
        <v>0.87912087912087922</v>
      </c>
      <c r="Y192" s="4">
        <f t="shared" ca="1" si="19"/>
        <v>96.809879120879117</v>
      </c>
      <c r="Z192">
        <f t="shared" si="20"/>
        <v>1.9419999999999891</v>
      </c>
    </row>
    <row r="193" spans="1:26" x14ac:dyDescent="0.35">
      <c r="A193" t="s">
        <v>252</v>
      </c>
      <c r="B193" t="s">
        <v>402</v>
      </c>
      <c r="C193" t="s">
        <v>394</v>
      </c>
      <c r="D193" t="s">
        <v>395</v>
      </c>
      <c r="E193" t="s">
        <v>396</v>
      </c>
      <c r="F193" t="s">
        <v>895</v>
      </c>
      <c r="G193" t="s">
        <v>398</v>
      </c>
      <c r="H193">
        <v>2</v>
      </c>
      <c r="I193">
        <v>1.7</v>
      </c>
      <c r="J193">
        <v>3.2059999999999951</v>
      </c>
      <c r="K193">
        <v>3.2339999999999907</v>
      </c>
      <c r="L193">
        <v>82.798000000000002</v>
      </c>
      <c r="M193">
        <v>82.534000000000006</v>
      </c>
      <c r="N193" t="s">
        <v>896</v>
      </c>
      <c r="O193" t="s">
        <v>897</v>
      </c>
      <c r="P193" t="s">
        <v>401</v>
      </c>
      <c r="Q193" s="3">
        <v>41704</v>
      </c>
      <c r="R193" s="3">
        <v>46101</v>
      </c>
      <c r="S193" s="4">
        <f t="shared" ca="1" si="15"/>
        <v>17.973990417522245</v>
      </c>
      <c r="T193">
        <f t="shared" si="16"/>
        <v>82.665999999999997</v>
      </c>
      <c r="U193" s="43">
        <v>192</v>
      </c>
      <c r="V193" s="4">
        <f t="shared" ca="1" si="17"/>
        <v>17.5</v>
      </c>
      <c r="W193" s="54">
        <f t="shared" ca="1" si="18"/>
        <v>12</v>
      </c>
      <c r="X193" s="4">
        <f t="shared" ca="1" si="14"/>
        <v>1.7840659340659342</v>
      </c>
      <c r="Y193" s="4">
        <f t="shared" ca="1" si="19"/>
        <v>80.881934065934061</v>
      </c>
      <c r="Z193">
        <f t="shared" si="20"/>
        <v>3.2199999999999926</v>
      </c>
    </row>
    <row r="194" spans="1:26" x14ac:dyDescent="0.35">
      <c r="A194" t="s">
        <v>253</v>
      </c>
      <c r="B194" t="s">
        <v>406</v>
      </c>
      <c r="C194" t="s">
        <v>394</v>
      </c>
      <c r="D194" t="s">
        <v>395</v>
      </c>
      <c r="E194" t="s">
        <v>396</v>
      </c>
      <c r="F194" t="s">
        <v>682</v>
      </c>
      <c r="G194" t="s">
        <v>398</v>
      </c>
      <c r="H194">
        <v>2</v>
      </c>
      <c r="I194">
        <v>1.5</v>
      </c>
      <c r="J194">
        <v>1.9759999999998656</v>
      </c>
      <c r="K194">
        <v>1.9949999999998327</v>
      </c>
      <c r="L194">
        <v>96.703999999999994</v>
      </c>
      <c r="M194">
        <v>96.575999999999993</v>
      </c>
      <c r="N194" t="s">
        <v>898</v>
      </c>
      <c r="O194" t="s">
        <v>899</v>
      </c>
      <c r="P194" t="s">
        <v>401</v>
      </c>
      <c r="Q194" s="3">
        <v>41716</v>
      </c>
      <c r="R194" s="3">
        <v>46101</v>
      </c>
      <c r="S194" s="4">
        <f t="shared" ca="1" si="15"/>
        <v>7.9726214921286793</v>
      </c>
      <c r="T194">
        <f t="shared" si="16"/>
        <v>96.639999999999986</v>
      </c>
      <c r="U194" s="43">
        <v>193</v>
      </c>
      <c r="V194" s="4">
        <f t="shared" ca="1" si="17"/>
        <v>7.5</v>
      </c>
      <c r="W194" s="54">
        <f t="shared" ca="1" si="18"/>
        <v>12</v>
      </c>
      <c r="X194" s="4">
        <f t="shared" ref="X194:X257" ca="1" si="21">(TODAY()-DATE(YEAR(R194),MONTH(R194)-6,DAY(R194)))/182*(I194)</f>
        <v>1.5741758241758244</v>
      </c>
      <c r="Y194" s="4">
        <f t="shared" ca="1" si="19"/>
        <v>95.065824175824162</v>
      </c>
      <c r="Z194">
        <f t="shared" si="20"/>
        <v>1.9854999999998491</v>
      </c>
    </row>
    <row r="195" spans="1:26" x14ac:dyDescent="0.35">
      <c r="A195" t="s">
        <v>254</v>
      </c>
      <c r="B195" t="s">
        <v>419</v>
      </c>
      <c r="C195" t="s">
        <v>394</v>
      </c>
      <c r="D195" t="s">
        <v>395</v>
      </c>
      <c r="E195" t="s">
        <v>396</v>
      </c>
      <c r="F195" t="s">
        <v>900</v>
      </c>
      <c r="G195" t="s">
        <v>398</v>
      </c>
      <c r="H195">
        <v>2</v>
      </c>
      <c r="I195">
        <v>1.7</v>
      </c>
      <c r="J195">
        <v>4.0059999999962272</v>
      </c>
      <c r="K195">
        <v>4.054999999995399</v>
      </c>
      <c r="L195">
        <v>69.555999999999997</v>
      </c>
      <c r="M195">
        <v>69.108999999999995</v>
      </c>
      <c r="N195" t="s">
        <v>901</v>
      </c>
      <c r="O195" t="s">
        <v>902</v>
      </c>
      <c r="P195" t="s">
        <v>401</v>
      </c>
      <c r="Q195" s="3">
        <v>41786</v>
      </c>
      <c r="R195" s="3">
        <v>46101</v>
      </c>
      <c r="S195" s="4">
        <f t="shared" ref="S195:S258" ca="1" si="22">(F195-TODAY())/365.25</f>
        <v>27.972621492128678</v>
      </c>
      <c r="T195">
        <f t="shared" ref="T195:T258" si="23">AVERAGE(L195:M195)</f>
        <v>69.332499999999996</v>
      </c>
      <c r="U195" s="43">
        <v>194</v>
      </c>
      <c r="V195" s="4">
        <f t="shared" ref="V195:V258" ca="1" si="24">ROUNDDOWN(S195,0)+IF(S195-ROUNDDOWN(S195,0)&gt;0.5,0.5,0)</f>
        <v>27.5</v>
      </c>
      <c r="W195" s="54">
        <f t="shared" ref="W195:W258" ca="1" si="25">YEAR(TODAY())-YEAR(Q195)</f>
        <v>12</v>
      </c>
      <c r="X195" s="4">
        <f t="shared" ca="1" si="21"/>
        <v>1.7840659340659342</v>
      </c>
      <c r="Y195" s="4">
        <f t="shared" ref="Y195:Y258" ca="1" si="26">T195-X195</f>
        <v>67.54843406593406</v>
      </c>
      <c r="Z195">
        <f t="shared" ref="Z195:Z258" si="27">AVERAGE(J195:K195)</f>
        <v>4.0304999999958131</v>
      </c>
    </row>
    <row r="196" spans="1:26" x14ac:dyDescent="0.35">
      <c r="A196" t="s">
        <v>255</v>
      </c>
      <c r="B196" t="s">
        <v>402</v>
      </c>
      <c r="C196" t="s">
        <v>394</v>
      </c>
      <c r="D196" t="s">
        <v>395</v>
      </c>
      <c r="E196" t="s">
        <v>396</v>
      </c>
      <c r="F196" t="s">
        <v>903</v>
      </c>
      <c r="G196" t="s">
        <v>398</v>
      </c>
      <c r="H196">
        <v>2</v>
      </c>
      <c r="I196">
        <v>1.7</v>
      </c>
      <c r="J196">
        <v>3.2309999999999941</v>
      </c>
      <c r="K196">
        <v>3.2599999999999896</v>
      </c>
      <c r="L196">
        <v>82.408000000000001</v>
      </c>
      <c r="M196">
        <v>82.135000000000005</v>
      </c>
      <c r="N196" t="s">
        <v>904</v>
      </c>
      <c r="O196" t="s">
        <v>905</v>
      </c>
      <c r="P196" t="s">
        <v>401</v>
      </c>
      <c r="Q196" s="3">
        <v>41795</v>
      </c>
      <c r="R196" s="3">
        <v>46193</v>
      </c>
      <c r="S196" s="4">
        <f t="shared" ca="1" si="22"/>
        <v>18.225872689938399</v>
      </c>
      <c r="T196">
        <f t="shared" si="23"/>
        <v>82.271500000000003</v>
      </c>
      <c r="U196" s="43">
        <v>195</v>
      </c>
      <c r="V196" s="4">
        <f t="shared" ca="1" si="24"/>
        <v>18</v>
      </c>
      <c r="W196" s="54">
        <f t="shared" ca="1" si="25"/>
        <v>12</v>
      </c>
      <c r="X196" s="4">
        <f t="shared" ca="1" si="21"/>
        <v>0.93406593406593408</v>
      </c>
      <c r="Y196" s="4">
        <f t="shared" ca="1" si="26"/>
        <v>81.337434065934076</v>
      </c>
      <c r="Z196">
        <f t="shared" si="27"/>
        <v>3.2454999999999918</v>
      </c>
    </row>
    <row r="197" spans="1:26" x14ac:dyDescent="0.35">
      <c r="A197" t="s">
        <v>256</v>
      </c>
      <c r="B197" t="s">
        <v>406</v>
      </c>
      <c r="C197" t="s">
        <v>394</v>
      </c>
      <c r="D197" t="s">
        <v>395</v>
      </c>
      <c r="E197" t="s">
        <v>396</v>
      </c>
      <c r="F197" t="s">
        <v>685</v>
      </c>
      <c r="G197" t="s">
        <v>398</v>
      </c>
      <c r="H197">
        <v>2</v>
      </c>
      <c r="I197">
        <v>1.5</v>
      </c>
      <c r="J197">
        <v>2.0109999999998114</v>
      </c>
      <c r="K197">
        <v>2.0319999999997624</v>
      </c>
      <c r="L197">
        <v>96.375</v>
      </c>
      <c r="M197">
        <v>96.230999999999995</v>
      </c>
      <c r="N197" t="s">
        <v>906</v>
      </c>
      <c r="O197" t="s">
        <v>907</v>
      </c>
      <c r="P197" t="s">
        <v>401</v>
      </c>
      <c r="Q197" s="3">
        <v>41807</v>
      </c>
      <c r="R197" s="3">
        <v>46193</v>
      </c>
      <c r="S197" s="4">
        <f t="shared" ca="1" si="22"/>
        <v>8.2245037645448331</v>
      </c>
      <c r="T197">
        <f t="shared" si="23"/>
        <v>96.302999999999997</v>
      </c>
      <c r="U197" s="43">
        <v>196</v>
      </c>
      <c r="V197" s="4">
        <f t="shared" ca="1" si="24"/>
        <v>8</v>
      </c>
      <c r="W197" s="54">
        <f t="shared" ca="1" si="25"/>
        <v>12</v>
      </c>
      <c r="X197" s="4">
        <f t="shared" ca="1" si="21"/>
        <v>0.82417582417582425</v>
      </c>
      <c r="Y197" s="4">
        <f t="shared" ca="1" si="26"/>
        <v>95.478824175824172</v>
      </c>
      <c r="Z197">
        <f t="shared" si="27"/>
        <v>2.0214999999997869</v>
      </c>
    </row>
    <row r="198" spans="1:26" x14ac:dyDescent="0.35">
      <c r="A198" t="s">
        <v>257</v>
      </c>
      <c r="B198" t="s">
        <v>402</v>
      </c>
      <c r="C198" t="s">
        <v>394</v>
      </c>
      <c r="D198" t="s">
        <v>395</v>
      </c>
      <c r="E198" t="s">
        <v>396</v>
      </c>
      <c r="F198" t="s">
        <v>908</v>
      </c>
      <c r="G198" t="s">
        <v>398</v>
      </c>
      <c r="H198">
        <v>2</v>
      </c>
      <c r="I198">
        <v>1.7</v>
      </c>
      <c r="J198">
        <v>3.2519999999999891</v>
      </c>
      <c r="K198">
        <v>3.2799999999999878</v>
      </c>
      <c r="L198">
        <v>82.057000000000002</v>
      </c>
      <c r="M198">
        <v>81.792000000000002</v>
      </c>
      <c r="N198" t="s">
        <v>909</v>
      </c>
      <c r="O198" t="s">
        <v>910</v>
      </c>
      <c r="P198" t="s">
        <v>401</v>
      </c>
      <c r="Q198" s="3">
        <v>41891</v>
      </c>
      <c r="R198" s="3">
        <v>46101</v>
      </c>
      <c r="S198" s="4">
        <f t="shared" ca="1" si="22"/>
        <v>18.477754962354553</v>
      </c>
      <c r="T198">
        <f t="shared" si="23"/>
        <v>81.924499999999995</v>
      </c>
      <c r="U198" s="43">
        <v>197</v>
      </c>
      <c r="V198" s="4">
        <f t="shared" ca="1" si="24"/>
        <v>18</v>
      </c>
      <c r="W198" s="54">
        <f t="shared" ca="1" si="25"/>
        <v>12</v>
      </c>
      <c r="X198" s="4">
        <f t="shared" ca="1" si="21"/>
        <v>1.7840659340659342</v>
      </c>
      <c r="Y198" s="4">
        <f t="shared" ca="1" si="26"/>
        <v>80.140434065934059</v>
      </c>
      <c r="Z198">
        <f t="shared" si="27"/>
        <v>3.2659999999999885</v>
      </c>
    </row>
    <row r="199" spans="1:26" x14ac:dyDescent="0.35">
      <c r="A199" t="s">
        <v>258</v>
      </c>
      <c r="B199" t="s">
        <v>406</v>
      </c>
      <c r="C199" t="s">
        <v>394</v>
      </c>
      <c r="D199" t="s">
        <v>395</v>
      </c>
      <c r="E199" t="s">
        <v>396</v>
      </c>
      <c r="F199" t="s">
        <v>688</v>
      </c>
      <c r="G199" t="s">
        <v>398</v>
      </c>
      <c r="H199">
        <v>2</v>
      </c>
      <c r="I199">
        <v>1.4</v>
      </c>
      <c r="J199">
        <v>2.0509999999987669</v>
      </c>
      <c r="K199">
        <v>2.0719999999985168</v>
      </c>
      <c r="L199">
        <v>95.275000000000006</v>
      </c>
      <c r="M199">
        <v>95.13</v>
      </c>
      <c r="N199" t="s">
        <v>911</v>
      </c>
      <c r="O199" t="s">
        <v>912</v>
      </c>
      <c r="P199" t="s">
        <v>401</v>
      </c>
      <c r="Q199" s="3">
        <v>41899</v>
      </c>
      <c r="R199" s="3">
        <v>46101</v>
      </c>
      <c r="S199" s="4">
        <f t="shared" ca="1" si="22"/>
        <v>8.4763860369609851</v>
      </c>
      <c r="T199">
        <f t="shared" si="23"/>
        <v>95.202500000000001</v>
      </c>
      <c r="U199" s="43">
        <v>198</v>
      </c>
      <c r="V199" s="4">
        <f t="shared" ca="1" si="24"/>
        <v>8</v>
      </c>
      <c r="W199" s="54">
        <f t="shared" ca="1" si="25"/>
        <v>12</v>
      </c>
      <c r="X199" s="4">
        <f t="shared" ca="1" si="21"/>
        <v>1.4692307692307691</v>
      </c>
      <c r="Y199" s="4">
        <f t="shared" ca="1" si="26"/>
        <v>93.733269230769238</v>
      </c>
      <c r="Z199">
        <f t="shared" si="27"/>
        <v>2.0614999999986416</v>
      </c>
    </row>
    <row r="200" spans="1:26" x14ac:dyDescent="0.35">
      <c r="A200" t="s">
        <v>259</v>
      </c>
      <c r="B200" t="s">
        <v>402</v>
      </c>
      <c r="C200" t="s">
        <v>394</v>
      </c>
      <c r="D200" t="s">
        <v>395</v>
      </c>
      <c r="E200" t="s">
        <v>396</v>
      </c>
      <c r="F200" t="s">
        <v>913</v>
      </c>
      <c r="G200" t="s">
        <v>398</v>
      </c>
      <c r="H200">
        <v>2</v>
      </c>
      <c r="I200">
        <v>1.5</v>
      </c>
      <c r="J200">
        <v>3.3429999999998983</v>
      </c>
      <c r="K200">
        <v>3.3679999999998835</v>
      </c>
      <c r="L200">
        <v>78.739999999999995</v>
      </c>
      <c r="M200">
        <v>78.513999999999996</v>
      </c>
      <c r="N200" t="s">
        <v>914</v>
      </c>
      <c r="O200" t="s">
        <v>915</v>
      </c>
      <c r="P200" t="s">
        <v>401</v>
      </c>
      <c r="Q200" s="3">
        <v>41982</v>
      </c>
      <c r="R200" s="3">
        <v>46193</v>
      </c>
      <c r="S200" s="4">
        <f t="shared" ca="1" si="22"/>
        <v>18.726899383983572</v>
      </c>
      <c r="T200">
        <f t="shared" si="23"/>
        <v>78.626999999999995</v>
      </c>
      <c r="U200" s="43">
        <v>199</v>
      </c>
      <c r="V200" s="4">
        <f t="shared" ca="1" si="24"/>
        <v>18.5</v>
      </c>
      <c r="W200" s="54">
        <f t="shared" ca="1" si="25"/>
        <v>12</v>
      </c>
      <c r="X200" s="4">
        <f t="shared" ca="1" si="21"/>
        <v>0.82417582417582425</v>
      </c>
      <c r="Y200" s="4">
        <f t="shared" ca="1" si="26"/>
        <v>77.802824175824171</v>
      </c>
      <c r="Z200">
        <f t="shared" si="27"/>
        <v>3.3554999999998909</v>
      </c>
    </row>
    <row r="201" spans="1:26" x14ac:dyDescent="0.35">
      <c r="A201" t="s">
        <v>260</v>
      </c>
      <c r="B201" t="s">
        <v>406</v>
      </c>
      <c r="C201" t="s">
        <v>394</v>
      </c>
      <c r="D201" t="s">
        <v>395</v>
      </c>
      <c r="E201" t="s">
        <v>396</v>
      </c>
      <c r="F201" t="s">
        <v>691</v>
      </c>
      <c r="G201" t="s">
        <v>398</v>
      </c>
      <c r="H201">
        <v>2</v>
      </c>
      <c r="I201">
        <v>1.2</v>
      </c>
      <c r="J201">
        <v>2.1019999999902792</v>
      </c>
      <c r="K201">
        <v>2.1219999999889114</v>
      </c>
      <c r="L201">
        <v>93.316999999999993</v>
      </c>
      <c r="M201">
        <v>93.179000000000002</v>
      </c>
      <c r="N201" t="s">
        <v>916</v>
      </c>
      <c r="O201" t="s">
        <v>917</v>
      </c>
      <c r="P201" t="s">
        <v>401</v>
      </c>
      <c r="Q201" s="3">
        <v>41991</v>
      </c>
      <c r="R201" s="3">
        <v>46193</v>
      </c>
      <c r="S201" s="4">
        <f t="shared" ca="1" si="22"/>
        <v>8.725530458590006</v>
      </c>
      <c r="T201">
        <f t="shared" si="23"/>
        <v>93.24799999999999</v>
      </c>
      <c r="U201" s="43">
        <v>200</v>
      </c>
      <c r="V201" s="4">
        <f t="shared" ca="1" si="24"/>
        <v>8.5</v>
      </c>
      <c r="W201" s="54">
        <f t="shared" ca="1" si="25"/>
        <v>12</v>
      </c>
      <c r="X201" s="4">
        <f t="shared" ca="1" si="21"/>
        <v>0.65934065934065933</v>
      </c>
      <c r="Y201" s="4">
        <f t="shared" ca="1" si="26"/>
        <v>92.588659340659333</v>
      </c>
      <c r="Z201">
        <f t="shared" si="27"/>
        <v>2.1119999999895951</v>
      </c>
    </row>
    <row r="202" spans="1:26" x14ac:dyDescent="0.35">
      <c r="A202" t="s">
        <v>261</v>
      </c>
      <c r="B202" t="s">
        <v>402</v>
      </c>
      <c r="C202" t="s">
        <v>394</v>
      </c>
      <c r="D202" t="s">
        <v>395</v>
      </c>
      <c r="E202" t="s">
        <v>396</v>
      </c>
      <c r="F202" t="s">
        <v>918</v>
      </c>
      <c r="G202" t="s">
        <v>398</v>
      </c>
      <c r="H202">
        <v>2</v>
      </c>
      <c r="I202">
        <v>1.5</v>
      </c>
      <c r="J202">
        <v>3.3679999999998524</v>
      </c>
      <c r="K202">
        <v>3.3949999999998313</v>
      </c>
      <c r="L202">
        <v>78.341999999999999</v>
      </c>
      <c r="M202">
        <v>78.096999999999994</v>
      </c>
      <c r="N202" t="s">
        <v>919</v>
      </c>
      <c r="O202" t="s">
        <v>920</v>
      </c>
      <c r="P202" t="s">
        <v>401</v>
      </c>
      <c r="Q202" s="3">
        <v>42068</v>
      </c>
      <c r="R202" s="3">
        <v>46101</v>
      </c>
      <c r="S202" s="4">
        <f t="shared" ca="1" si="22"/>
        <v>18.973305954825463</v>
      </c>
      <c r="T202">
        <f t="shared" si="23"/>
        <v>78.219499999999996</v>
      </c>
      <c r="U202" s="43">
        <v>201</v>
      </c>
      <c r="V202" s="4">
        <f t="shared" ca="1" si="24"/>
        <v>18.5</v>
      </c>
      <c r="W202" s="54">
        <f t="shared" ca="1" si="25"/>
        <v>11</v>
      </c>
      <c r="X202" s="4">
        <f t="shared" ca="1" si="21"/>
        <v>1.5741758241758244</v>
      </c>
      <c r="Y202" s="4">
        <f t="shared" ca="1" si="26"/>
        <v>76.645324175824172</v>
      </c>
      <c r="Z202">
        <f t="shared" si="27"/>
        <v>3.3814999999998419</v>
      </c>
    </row>
    <row r="203" spans="1:26" x14ac:dyDescent="0.35">
      <c r="A203" t="s">
        <v>262</v>
      </c>
      <c r="B203" t="s">
        <v>406</v>
      </c>
      <c r="C203" t="s">
        <v>394</v>
      </c>
      <c r="D203" t="s">
        <v>395</v>
      </c>
      <c r="E203" t="s">
        <v>396</v>
      </c>
      <c r="F203" t="s">
        <v>694</v>
      </c>
      <c r="G203" t="s">
        <v>398</v>
      </c>
      <c r="H203">
        <v>2</v>
      </c>
      <c r="I203">
        <v>1.2</v>
      </c>
      <c r="J203">
        <v>2.1329999999825939</v>
      </c>
      <c r="K203">
        <v>2.1529999999802247</v>
      </c>
      <c r="L203">
        <v>92.94</v>
      </c>
      <c r="M203">
        <v>92.8</v>
      </c>
      <c r="N203" t="s">
        <v>921</v>
      </c>
      <c r="O203" t="s">
        <v>922</v>
      </c>
      <c r="P203" t="s">
        <v>401</v>
      </c>
      <c r="Q203" s="3">
        <v>42081</v>
      </c>
      <c r="R203" s="3">
        <v>46101</v>
      </c>
      <c r="S203" s="4">
        <f t="shared" ca="1" si="22"/>
        <v>8.9719370294318956</v>
      </c>
      <c r="T203">
        <f t="shared" si="23"/>
        <v>92.87</v>
      </c>
      <c r="U203" s="43">
        <v>202</v>
      </c>
      <c r="V203" s="4">
        <f t="shared" ca="1" si="24"/>
        <v>8.5</v>
      </c>
      <c r="W203" s="54">
        <f t="shared" ca="1" si="25"/>
        <v>11</v>
      </c>
      <c r="X203" s="4">
        <f t="shared" ca="1" si="21"/>
        <v>1.2593406593406593</v>
      </c>
      <c r="Y203" s="4">
        <f t="shared" ca="1" si="26"/>
        <v>91.610659340659339</v>
      </c>
      <c r="Z203">
        <f t="shared" si="27"/>
        <v>2.1429999999814093</v>
      </c>
    </row>
    <row r="204" spans="1:26" x14ac:dyDescent="0.35">
      <c r="A204" t="s">
        <v>263</v>
      </c>
      <c r="B204" t="s">
        <v>419</v>
      </c>
      <c r="C204" t="s">
        <v>394</v>
      </c>
      <c r="D204" t="s">
        <v>395</v>
      </c>
      <c r="E204" t="s">
        <v>396</v>
      </c>
      <c r="F204" t="s">
        <v>923</v>
      </c>
      <c r="G204" t="s">
        <v>398</v>
      </c>
      <c r="H204">
        <v>2</v>
      </c>
      <c r="I204">
        <v>1.4</v>
      </c>
      <c r="J204">
        <v>4.2079999999026914</v>
      </c>
      <c r="K204">
        <v>4.2519999998875218</v>
      </c>
      <c r="L204">
        <v>63.311</v>
      </c>
      <c r="M204">
        <v>62.948999999999998</v>
      </c>
      <c r="N204" t="s">
        <v>924</v>
      </c>
      <c r="O204" t="s">
        <v>925</v>
      </c>
      <c r="P204" t="s">
        <v>401</v>
      </c>
      <c r="Q204" s="3">
        <v>42117</v>
      </c>
      <c r="R204" s="3">
        <v>46101</v>
      </c>
      <c r="S204" s="4">
        <f t="shared" ca="1" si="22"/>
        <v>28.971937029431896</v>
      </c>
      <c r="T204">
        <f t="shared" si="23"/>
        <v>63.129999999999995</v>
      </c>
      <c r="U204" s="43">
        <v>203</v>
      </c>
      <c r="V204" s="4">
        <f t="shared" ca="1" si="24"/>
        <v>28.5</v>
      </c>
      <c r="W204" s="54">
        <f t="shared" ca="1" si="25"/>
        <v>11</v>
      </c>
      <c r="X204" s="4">
        <f t="shared" ca="1" si="21"/>
        <v>1.4692307692307691</v>
      </c>
      <c r="Y204" s="4">
        <f t="shared" ca="1" si="26"/>
        <v>61.660769230769226</v>
      </c>
      <c r="Z204">
        <f t="shared" si="27"/>
        <v>4.2299999998951066</v>
      </c>
    </row>
    <row r="205" spans="1:26" x14ac:dyDescent="0.35">
      <c r="A205" t="s">
        <v>264</v>
      </c>
      <c r="B205" t="s">
        <v>402</v>
      </c>
      <c r="C205" t="s">
        <v>394</v>
      </c>
      <c r="D205" t="s">
        <v>395</v>
      </c>
      <c r="E205" t="s">
        <v>396</v>
      </c>
      <c r="F205" t="s">
        <v>926</v>
      </c>
      <c r="G205" t="s">
        <v>398</v>
      </c>
      <c r="H205">
        <v>2</v>
      </c>
      <c r="I205">
        <v>1.6</v>
      </c>
      <c r="J205">
        <v>3.3629999999999427</v>
      </c>
      <c r="K205">
        <v>3.3899999999999357</v>
      </c>
      <c r="L205">
        <v>79.382999999999996</v>
      </c>
      <c r="M205">
        <v>79.132999999999996</v>
      </c>
      <c r="N205" t="s">
        <v>927</v>
      </c>
      <c r="O205" t="s">
        <v>928</v>
      </c>
      <c r="P205" t="s">
        <v>401</v>
      </c>
      <c r="Q205" s="3">
        <v>42159</v>
      </c>
      <c r="R205" s="3">
        <v>46193</v>
      </c>
      <c r="S205" s="4">
        <f t="shared" ca="1" si="22"/>
        <v>19.225188227241617</v>
      </c>
      <c r="T205">
        <f t="shared" si="23"/>
        <v>79.257999999999996</v>
      </c>
      <c r="U205" s="43">
        <v>204</v>
      </c>
      <c r="V205" s="4">
        <f t="shared" ca="1" si="24"/>
        <v>19</v>
      </c>
      <c r="W205" s="54">
        <f t="shared" ca="1" si="25"/>
        <v>11</v>
      </c>
      <c r="X205" s="4">
        <f t="shared" ca="1" si="21"/>
        <v>0.87912087912087922</v>
      </c>
      <c r="Y205" s="4">
        <f t="shared" ca="1" si="26"/>
        <v>78.37887912087912</v>
      </c>
      <c r="Z205">
        <f t="shared" si="27"/>
        <v>3.3764999999999392</v>
      </c>
    </row>
    <row r="206" spans="1:26" x14ac:dyDescent="0.35">
      <c r="A206" t="s">
        <v>265</v>
      </c>
      <c r="B206" t="s">
        <v>406</v>
      </c>
      <c r="C206" t="s">
        <v>394</v>
      </c>
      <c r="D206" t="s">
        <v>395</v>
      </c>
      <c r="E206" t="s">
        <v>396</v>
      </c>
      <c r="F206" t="s">
        <v>697</v>
      </c>
      <c r="G206" t="s">
        <v>398</v>
      </c>
      <c r="H206">
        <v>2</v>
      </c>
      <c r="I206">
        <v>1.3</v>
      </c>
      <c r="J206">
        <v>2.160999999990822</v>
      </c>
      <c r="K206">
        <v>2.1809999999894765</v>
      </c>
      <c r="L206">
        <v>93.347999999999999</v>
      </c>
      <c r="M206">
        <v>93.203999999999994</v>
      </c>
      <c r="N206" t="s">
        <v>929</v>
      </c>
      <c r="O206" t="s">
        <v>930</v>
      </c>
      <c r="P206" t="s">
        <v>401</v>
      </c>
      <c r="Q206" s="3">
        <v>42166</v>
      </c>
      <c r="R206" s="3">
        <v>46193</v>
      </c>
      <c r="S206" s="4">
        <f t="shared" ca="1" si="22"/>
        <v>9.2238193018480494</v>
      </c>
      <c r="T206">
        <f t="shared" si="23"/>
        <v>93.275999999999996</v>
      </c>
      <c r="U206" s="43">
        <v>205</v>
      </c>
      <c r="V206" s="4">
        <f t="shared" ca="1" si="24"/>
        <v>9</v>
      </c>
      <c r="W206" s="54">
        <f t="shared" ca="1" si="25"/>
        <v>11</v>
      </c>
      <c r="X206" s="4">
        <f t="shared" ca="1" si="21"/>
        <v>0.71428571428571441</v>
      </c>
      <c r="Y206" s="4">
        <f t="shared" ca="1" si="26"/>
        <v>92.561714285714288</v>
      </c>
      <c r="Z206">
        <f t="shared" si="27"/>
        <v>2.1709999999901495</v>
      </c>
    </row>
    <row r="207" spans="1:26" x14ac:dyDescent="0.35">
      <c r="A207" t="s">
        <v>266</v>
      </c>
      <c r="B207" t="s">
        <v>393</v>
      </c>
      <c r="C207" t="s">
        <v>394</v>
      </c>
      <c r="D207" t="s">
        <v>395</v>
      </c>
      <c r="E207" t="s">
        <v>396</v>
      </c>
      <c r="F207" t="s">
        <v>542</v>
      </c>
      <c r="G207" t="s">
        <v>398</v>
      </c>
      <c r="H207">
        <v>2</v>
      </c>
      <c r="I207">
        <v>0.1</v>
      </c>
      <c r="J207">
        <v>0.74000000286817924</v>
      </c>
      <c r="K207">
        <v>0.76300000357648134</v>
      </c>
      <c r="L207">
        <v>99.984999999999999</v>
      </c>
      <c r="M207">
        <v>99.984999999999999</v>
      </c>
      <c r="N207" t="s">
        <v>931</v>
      </c>
      <c r="O207" t="s">
        <v>932</v>
      </c>
      <c r="P207" t="s">
        <v>401</v>
      </c>
      <c r="Q207" s="3">
        <v>42430</v>
      </c>
      <c r="R207" s="3">
        <v>46101</v>
      </c>
      <c r="S207" s="4">
        <f t="shared" ca="1" si="22"/>
        <v>-2.7378507871321012E-2</v>
      </c>
      <c r="T207">
        <f t="shared" si="23"/>
        <v>99.984999999999999</v>
      </c>
      <c r="U207" s="43">
        <v>206</v>
      </c>
      <c r="V207" s="4">
        <f t="shared" ca="1" si="24"/>
        <v>0</v>
      </c>
      <c r="W207" s="54">
        <f t="shared" ca="1" si="25"/>
        <v>10</v>
      </c>
      <c r="X207" s="4">
        <f t="shared" ca="1" si="21"/>
        <v>0.10494505494505496</v>
      </c>
      <c r="Y207" s="4">
        <f t="shared" ca="1" si="26"/>
        <v>99.880054945054951</v>
      </c>
      <c r="Z207">
        <f t="shared" si="27"/>
        <v>0.75150000322233024</v>
      </c>
    </row>
    <row r="208" spans="1:26" x14ac:dyDescent="0.35">
      <c r="A208" t="s">
        <v>267</v>
      </c>
      <c r="B208" t="s">
        <v>402</v>
      </c>
      <c r="C208" t="s">
        <v>394</v>
      </c>
      <c r="D208" t="s">
        <v>395</v>
      </c>
      <c r="E208" t="s">
        <v>396</v>
      </c>
      <c r="F208" t="s">
        <v>933</v>
      </c>
      <c r="G208" t="s">
        <v>398</v>
      </c>
      <c r="H208">
        <v>2</v>
      </c>
      <c r="I208">
        <v>0.8</v>
      </c>
      <c r="J208">
        <v>3.7409999999999992</v>
      </c>
      <c r="K208">
        <v>3.7779999999999987</v>
      </c>
      <c r="L208">
        <v>66.331999999999994</v>
      </c>
      <c r="M208">
        <v>66.052999999999997</v>
      </c>
      <c r="N208" t="s">
        <v>934</v>
      </c>
      <c r="O208" t="s">
        <v>935</v>
      </c>
      <c r="P208" t="s">
        <v>401</v>
      </c>
      <c r="Q208" s="3">
        <v>42437</v>
      </c>
      <c r="R208" s="3">
        <v>46101</v>
      </c>
      <c r="S208" s="4">
        <f t="shared" ca="1" si="22"/>
        <v>19.972621492128678</v>
      </c>
      <c r="T208">
        <f t="shared" si="23"/>
        <v>66.192499999999995</v>
      </c>
      <c r="U208" s="43">
        <v>207</v>
      </c>
      <c r="V208" s="4">
        <f t="shared" ca="1" si="24"/>
        <v>19.5</v>
      </c>
      <c r="W208" s="54">
        <f t="shared" ca="1" si="25"/>
        <v>10</v>
      </c>
      <c r="X208" s="4">
        <f t="shared" ca="1" si="21"/>
        <v>0.83956043956043969</v>
      </c>
      <c r="Y208" s="4">
        <f t="shared" ca="1" si="26"/>
        <v>65.352939560439552</v>
      </c>
      <c r="Z208">
        <f t="shared" si="27"/>
        <v>3.7594999999999992</v>
      </c>
    </row>
    <row r="209" spans="1:26" x14ac:dyDescent="0.35">
      <c r="A209" t="s">
        <v>268</v>
      </c>
      <c r="B209" t="s">
        <v>406</v>
      </c>
      <c r="C209" t="s">
        <v>394</v>
      </c>
      <c r="D209" t="s">
        <v>395</v>
      </c>
      <c r="E209" t="s">
        <v>396</v>
      </c>
      <c r="F209" t="s">
        <v>707</v>
      </c>
      <c r="G209" t="s">
        <v>398</v>
      </c>
      <c r="H209">
        <v>2</v>
      </c>
      <c r="I209">
        <v>0.4</v>
      </c>
      <c r="J209">
        <v>2.3739999999999815</v>
      </c>
      <c r="K209">
        <v>2.3979999999999784</v>
      </c>
      <c r="L209">
        <v>84.018000000000001</v>
      </c>
      <c r="M209">
        <v>83.855999999999995</v>
      </c>
      <c r="N209" t="s">
        <v>936</v>
      </c>
      <c r="O209" t="s">
        <v>937</v>
      </c>
      <c r="P209" t="s">
        <v>401</v>
      </c>
      <c r="Q209" s="3">
        <v>42446</v>
      </c>
      <c r="R209" s="3">
        <v>46101</v>
      </c>
      <c r="S209" s="4">
        <f t="shared" ca="1" si="22"/>
        <v>9.9739904175222449</v>
      </c>
      <c r="T209">
        <f t="shared" si="23"/>
        <v>83.936999999999998</v>
      </c>
      <c r="U209" s="43">
        <v>208</v>
      </c>
      <c r="V209" s="4">
        <f t="shared" ca="1" si="24"/>
        <v>9.5</v>
      </c>
      <c r="W209" s="54">
        <f t="shared" ca="1" si="25"/>
        <v>10</v>
      </c>
      <c r="X209" s="4">
        <f t="shared" ca="1" si="21"/>
        <v>0.41978021978021984</v>
      </c>
      <c r="Y209" s="4">
        <f t="shared" ca="1" si="26"/>
        <v>83.517219780219776</v>
      </c>
      <c r="Z209">
        <f t="shared" si="27"/>
        <v>2.3859999999999797</v>
      </c>
    </row>
    <row r="210" spans="1:26" x14ac:dyDescent="0.35">
      <c r="A210" t="s">
        <v>269</v>
      </c>
      <c r="B210" t="s">
        <v>402</v>
      </c>
      <c r="C210" t="s">
        <v>394</v>
      </c>
      <c r="D210" t="s">
        <v>395</v>
      </c>
      <c r="E210" t="s">
        <v>396</v>
      </c>
      <c r="F210" t="s">
        <v>938</v>
      </c>
      <c r="G210" t="s">
        <v>398</v>
      </c>
      <c r="H210">
        <v>2</v>
      </c>
      <c r="I210">
        <v>1.4</v>
      </c>
      <c r="J210">
        <v>3.4799999999993383</v>
      </c>
      <c r="K210">
        <v>3.5079999999992468</v>
      </c>
      <c r="L210">
        <v>75.634</v>
      </c>
      <c r="M210">
        <v>75.387</v>
      </c>
      <c r="N210" t="s">
        <v>939</v>
      </c>
      <c r="O210" t="s">
        <v>940</v>
      </c>
      <c r="P210" t="s">
        <v>401</v>
      </c>
      <c r="Q210" s="3">
        <v>42346</v>
      </c>
      <c r="R210" s="3">
        <v>46193</v>
      </c>
      <c r="S210" s="4">
        <f t="shared" ca="1" si="22"/>
        <v>19.72621492128679</v>
      </c>
      <c r="T210">
        <f t="shared" si="23"/>
        <v>75.510500000000008</v>
      </c>
      <c r="U210" s="43">
        <v>209</v>
      </c>
      <c r="V210" s="4">
        <f t="shared" ca="1" si="24"/>
        <v>19.5</v>
      </c>
      <c r="W210" s="54">
        <f t="shared" ca="1" si="25"/>
        <v>11</v>
      </c>
      <c r="X210" s="4">
        <f t="shared" ca="1" si="21"/>
        <v>0.76923076923076927</v>
      </c>
      <c r="Y210" s="4">
        <f t="shared" ca="1" si="26"/>
        <v>74.741269230769234</v>
      </c>
      <c r="Z210">
        <f t="shared" si="27"/>
        <v>3.4939999999992928</v>
      </c>
    </row>
    <row r="211" spans="1:26" x14ac:dyDescent="0.35">
      <c r="A211" t="s">
        <v>270</v>
      </c>
      <c r="B211" t="s">
        <v>406</v>
      </c>
      <c r="C211" t="s">
        <v>394</v>
      </c>
      <c r="D211" t="s">
        <v>395</v>
      </c>
      <c r="E211" t="s">
        <v>396</v>
      </c>
      <c r="F211" t="s">
        <v>634</v>
      </c>
      <c r="G211" t="s">
        <v>398</v>
      </c>
      <c r="H211">
        <v>2</v>
      </c>
      <c r="I211">
        <v>1</v>
      </c>
      <c r="J211">
        <v>2.2659999999999996</v>
      </c>
      <c r="K211">
        <v>2.286</v>
      </c>
      <c r="L211">
        <v>89.867999999999995</v>
      </c>
      <c r="M211">
        <v>89.724999999999994</v>
      </c>
      <c r="N211" t="s">
        <v>941</v>
      </c>
      <c r="O211" t="s">
        <v>942</v>
      </c>
      <c r="P211" t="s">
        <v>401</v>
      </c>
      <c r="Q211" s="3">
        <v>42355</v>
      </c>
      <c r="R211" s="3">
        <v>46193</v>
      </c>
      <c r="S211" s="4">
        <f t="shared" ca="1" si="22"/>
        <v>9.7248459958932241</v>
      </c>
      <c r="T211">
        <f t="shared" si="23"/>
        <v>89.796499999999995</v>
      </c>
      <c r="U211" s="43">
        <v>210</v>
      </c>
      <c r="V211" s="4">
        <f t="shared" ca="1" si="24"/>
        <v>9.5</v>
      </c>
      <c r="W211" s="54">
        <f t="shared" ca="1" si="25"/>
        <v>11</v>
      </c>
      <c r="X211" s="4">
        <f t="shared" ca="1" si="21"/>
        <v>0.5494505494505495</v>
      </c>
      <c r="Y211" s="4">
        <f t="shared" ca="1" si="26"/>
        <v>89.24704945054944</v>
      </c>
      <c r="Z211">
        <f t="shared" si="27"/>
        <v>2.2759999999999998</v>
      </c>
    </row>
    <row r="212" spans="1:26" x14ac:dyDescent="0.35">
      <c r="A212" t="s">
        <v>271</v>
      </c>
      <c r="B212" t="s">
        <v>419</v>
      </c>
      <c r="C212" t="s">
        <v>394</v>
      </c>
      <c r="D212" t="s">
        <v>395</v>
      </c>
      <c r="E212" t="s">
        <v>396</v>
      </c>
      <c r="F212" t="s">
        <v>943</v>
      </c>
      <c r="G212" t="s">
        <v>398</v>
      </c>
      <c r="H212">
        <v>2</v>
      </c>
      <c r="I212">
        <v>0.4</v>
      </c>
      <c r="J212">
        <v>5.1529999998726126</v>
      </c>
      <c r="K212">
        <v>5.2119999998502644</v>
      </c>
      <c r="L212">
        <v>43.975999999999999</v>
      </c>
      <c r="M212">
        <v>43.671999999999997</v>
      </c>
      <c r="N212" t="s">
        <v>944</v>
      </c>
      <c r="O212" t="s">
        <v>945</v>
      </c>
      <c r="P212" t="s">
        <v>401</v>
      </c>
      <c r="Q212" s="3">
        <v>42516</v>
      </c>
      <c r="R212" s="3">
        <v>46101</v>
      </c>
      <c r="S212" s="4">
        <f t="shared" ca="1" si="22"/>
        <v>29.973990417522245</v>
      </c>
      <c r="T212">
        <f t="shared" si="23"/>
        <v>43.823999999999998</v>
      </c>
      <c r="U212" s="43">
        <v>211</v>
      </c>
      <c r="V212" s="4">
        <f t="shared" ca="1" si="24"/>
        <v>29.5</v>
      </c>
      <c r="W212" s="54">
        <f t="shared" ca="1" si="25"/>
        <v>10</v>
      </c>
      <c r="X212" s="4">
        <f t="shared" ca="1" si="21"/>
        <v>0.41978021978021984</v>
      </c>
      <c r="Y212" s="4">
        <f t="shared" ca="1" si="26"/>
        <v>43.404219780219776</v>
      </c>
      <c r="Z212">
        <f t="shared" si="27"/>
        <v>5.1824999998614381</v>
      </c>
    </row>
    <row r="213" spans="1:26" x14ac:dyDescent="0.35">
      <c r="A213" t="s">
        <v>272</v>
      </c>
      <c r="B213" t="s">
        <v>393</v>
      </c>
      <c r="C213" t="s">
        <v>394</v>
      </c>
      <c r="D213" t="s">
        <v>395</v>
      </c>
      <c r="E213" t="s">
        <v>396</v>
      </c>
      <c r="F213" t="s">
        <v>557</v>
      </c>
      <c r="G213" t="s">
        <v>398</v>
      </c>
      <c r="H213">
        <v>2</v>
      </c>
      <c r="I213">
        <v>0.1</v>
      </c>
      <c r="J213">
        <v>0.77200000000052893</v>
      </c>
      <c r="K213">
        <v>0.79400000000069337</v>
      </c>
      <c r="L213">
        <v>99.816000000000003</v>
      </c>
      <c r="M213">
        <v>99.81</v>
      </c>
      <c r="N213" t="s">
        <v>946</v>
      </c>
      <c r="O213" t="s">
        <v>947</v>
      </c>
      <c r="P213" t="s">
        <v>401</v>
      </c>
      <c r="Q213" s="3">
        <v>42523</v>
      </c>
      <c r="R213" s="3">
        <v>46193</v>
      </c>
      <c r="S213" s="4">
        <f t="shared" ca="1" si="22"/>
        <v>0.22450376454483231</v>
      </c>
      <c r="T213">
        <f t="shared" si="23"/>
        <v>99.813000000000002</v>
      </c>
      <c r="U213" s="43">
        <v>212</v>
      </c>
      <c r="V213" s="4">
        <f t="shared" ca="1" si="24"/>
        <v>0</v>
      </c>
      <c r="W213" s="54">
        <f t="shared" ca="1" si="25"/>
        <v>10</v>
      </c>
      <c r="X213" s="4">
        <f t="shared" ca="1" si="21"/>
        <v>5.4945054945054951E-2</v>
      </c>
      <c r="Y213" s="4">
        <f t="shared" ca="1" si="26"/>
        <v>99.758054945054951</v>
      </c>
      <c r="Z213">
        <f t="shared" si="27"/>
        <v>0.78300000000061121</v>
      </c>
    </row>
    <row r="214" spans="1:26" x14ac:dyDescent="0.35">
      <c r="A214" t="s">
        <v>273</v>
      </c>
      <c r="B214" t="s">
        <v>402</v>
      </c>
      <c r="C214" t="s">
        <v>394</v>
      </c>
      <c r="D214" t="s">
        <v>395</v>
      </c>
      <c r="E214" t="s">
        <v>396</v>
      </c>
      <c r="F214" t="s">
        <v>948</v>
      </c>
      <c r="G214" t="s">
        <v>398</v>
      </c>
      <c r="H214">
        <v>2</v>
      </c>
      <c r="I214">
        <v>0.3</v>
      </c>
      <c r="J214">
        <v>4.0339999999999367</v>
      </c>
      <c r="K214">
        <v>4.0719999999999255</v>
      </c>
      <c r="L214">
        <v>58.354999999999997</v>
      </c>
      <c r="M214">
        <v>58.109000000000002</v>
      </c>
      <c r="N214" t="s">
        <v>949</v>
      </c>
      <c r="O214" t="s">
        <v>950</v>
      </c>
      <c r="P214" t="s">
        <v>401</v>
      </c>
      <c r="Q214" s="3">
        <v>42528</v>
      </c>
      <c r="R214" s="3">
        <v>46193</v>
      </c>
      <c r="S214" s="4">
        <f t="shared" ca="1" si="22"/>
        <v>20.224503764544831</v>
      </c>
      <c r="T214">
        <f t="shared" si="23"/>
        <v>58.231999999999999</v>
      </c>
      <c r="U214" s="43">
        <v>213</v>
      </c>
      <c r="V214" s="4">
        <f t="shared" ca="1" si="24"/>
        <v>20</v>
      </c>
      <c r="W214" s="54">
        <f t="shared" ca="1" si="25"/>
        <v>10</v>
      </c>
      <c r="X214" s="4">
        <f t="shared" ca="1" si="21"/>
        <v>0.16483516483516483</v>
      </c>
      <c r="Y214" s="4">
        <f t="shared" ca="1" si="26"/>
        <v>58.067164835164832</v>
      </c>
      <c r="Z214">
        <f t="shared" si="27"/>
        <v>4.0529999999999315</v>
      </c>
    </row>
    <row r="215" spans="1:26" x14ac:dyDescent="0.35">
      <c r="A215" t="s">
        <v>274</v>
      </c>
      <c r="B215" t="s">
        <v>406</v>
      </c>
      <c r="C215" t="s">
        <v>394</v>
      </c>
      <c r="D215" t="s">
        <v>395</v>
      </c>
      <c r="E215" t="s">
        <v>396</v>
      </c>
      <c r="F215" t="s">
        <v>716</v>
      </c>
      <c r="G215" t="s">
        <v>398</v>
      </c>
      <c r="H215">
        <v>2</v>
      </c>
      <c r="I215">
        <v>0.2</v>
      </c>
      <c r="J215">
        <v>2.4399999999998894</v>
      </c>
      <c r="K215">
        <v>2.464999999999876</v>
      </c>
      <c r="L215">
        <v>81.599000000000004</v>
      </c>
      <c r="M215">
        <v>81.430999999999997</v>
      </c>
      <c r="N215" t="s">
        <v>951</v>
      </c>
      <c r="O215" t="s">
        <v>952</v>
      </c>
      <c r="P215" t="s">
        <v>401</v>
      </c>
      <c r="Q215" s="3">
        <v>42544</v>
      </c>
      <c r="R215" s="3">
        <v>46193</v>
      </c>
      <c r="S215" s="4">
        <f t="shared" ca="1" si="22"/>
        <v>10.225872689938399</v>
      </c>
      <c r="T215">
        <f t="shared" si="23"/>
        <v>81.515000000000001</v>
      </c>
      <c r="U215" s="43">
        <v>214</v>
      </c>
      <c r="V215" s="4">
        <f t="shared" ca="1" si="24"/>
        <v>10</v>
      </c>
      <c r="W215" s="54">
        <f t="shared" ca="1" si="25"/>
        <v>10</v>
      </c>
      <c r="X215" s="4">
        <f t="shared" ca="1" si="21"/>
        <v>0.1098901098901099</v>
      </c>
      <c r="Y215" s="4">
        <f t="shared" ca="1" si="26"/>
        <v>81.405109890109884</v>
      </c>
      <c r="Z215">
        <f t="shared" si="27"/>
        <v>2.4524999999998824</v>
      </c>
    </row>
    <row r="216" spans="1:26" x14ac:dyDescent="0.35">
      <c r="A216" t="s">
        <v>275</v>
      </c>
      <c r="B216" t="s">
        <v>393</v>
      </c>
      <c r="C216" t="s">
        <v>394</v>
      </c>
      <c r="D216" t="s">
        <v>395</v>
      </c>
      <c r="E216" t="s">
        <v>396</v>
      </c>
      <c r="F216" t="s">
        <v>569</v>
      </c>
      <c r="G216" t="s">
        <v>398</v>
      </c>
      <c r="H216">
        <v>2</v>
      </c>
      <c r="I216">
        <v>0.1</v>
      </c>
      <c r="J216">
        <v>0.86699999999443811</v>
      </c>
      <c r="K216">
        <v>0.88899999999382628</v>
      </c>
      <c r="L216">
        <v>99.597999999999999</v>
      </c>
      <c r="M216">
        <v>99.585999999999999</v>
      </c>
      <c r="N216" t="s">
        <v>953</v>
      </c>
      <c r="O216" t="s">
        <v>954</v>
      </c>
      <c r="P216" t="s">
        <v>401</v>
      </c>
      <c r="Q216" s="3">
        <v>42614</v>
      </c>
      <c r="R216" s="3">
        <v>46101</v>
      </c>
      <c r="S216" s="4">
        <f t="shared" ca="1" si="22"/>
        <v>0.47638603696098564</v>
      </c>
      <c r="T216">
        <f t="shared" si="23"/>
        <v>99.591999999999999</v>
      </c>
      <c r="U216" s="43">
        <v>215</v>
      </c>
      <c r="V216" s="4">
        <f t="shared" ca="1" si="24"/>
        <v>0</v>
      </c>
      <c r="W216" s="54">
        <f t="shared" ca="1" si="25"/>
        <v>10</v>
      </c>
      <c r="X216" s="4">
        <f t="shared" ca="1" si="21"/>
        <v>0.10494505494505496</v>
      </c>
      <c r="Y216" s="4">
        <f t="shared" ca="1" si="26"/>
        <v>99.48705494505495</v>
      </c>
      <c r="Z216">
        <f t="shared" si="27"/>
        <v>0.87799999999413214</v>
      </c>
    </row>
    <row r="217" spans="1:26" x14ac:dyDescent="0.35">
      <c r="A217" t="s">
        <v>276</v>
      </c>
      <c r="B217" t="s">
        <v>402</v>
      </c>
      <c r="C217" t="s">
        <v>394</v>
      </c>
      <c r="D217" t="s">
        <v>395</v>
      </c>
      <c r="E217" t="s">
        <v>396</v>
      </c>
      <c r="F217" t="s">
        <v>955</v>
      </c>
      <c r="G217" t="s">
        <v>398</v>
      </c>
      <c r="H217">
        <v>2</v>
      </c>
      <c r="I217">
        <v>0.5</v>
      </c>
      <c r="J217">
        <v>3.9559999999999942</v>
      </c>
      <c r="K217">
        <v>3.992999999999991</v>
      </c>
      <c r="L217">
        <v>60.850999999999999</v>
      </c>
      <c r="M217">
        <v>60.597000000000001</v>
      </c>
      <c r="N217" t="s">
        <v>956</v>
      </c>
      <c r="O217" t="s">
        <v>957</v>
      </c>
      <c r="P217" t="s">
        <v>401</v>
      </c>
      <c r="Q217" s="3">
        <v>42619</v>
      </c>
      <c r="R217" s="3">
        <v>46101</v>
      </c>
      <c r="S217" s="4">
        <f t="shared" ca="1" si="22"/>
        <v>20.476386036960985</v>
      </c>
      <c r="T217">
        <f t="shared" si="23"/>
        <v>60.724000000000004</v>
      </c>
      <c r="U217" s="43">
        <v>216</v>
      </c>
      <c r="V217" s="4">
        <f t="shared" ca="1" si="24"/>
        <v>20</v>
      </c>
      <c r="W217" s="54">
        <f t="shared" ca="1" si="25"/>
        <v>10</v>
      </c>
      <c r="X217" s="4">
        <f t="shared" ca="1" si="21"/>
        <v>0.52472527472527475</v>
      </c>
      <c r="Y217" s="4">
        <f t="shared" ca="1" si="26"/>
        <v>60.199274725274726</v>
      </c>
      <c r="Z217">
        <f t="shared" si="27"/>
        <v>3.9744999999999928</v>
      </c>
    </row>
    <row r="218" spans="1:26" x14ac:dyDescent="0.35">
      <c r="A218" t="s">
        <v>277</v>
      </c>
      <c r="B218" t="s">
        <v>406</v>
      </c>
      <c r="C218" t="s">
        <v>394</v>
      </c>
      <c r="D218" t="s">
        <v>395</v>
      </c>
      <c r="E218" t="s">
        <v>396</v>
      </c>
      <c r="F218" t="s">
        <v>723</v>
      </c>
      <c r="G218" t="s">
        <v>398</v>
      </c>
      <c r="H218">
        <v>2</v>
      </c>
      <c r="I218">
        <v>0.5</v>
      </c>
      <c r="J218">
        <v>2.4439999999999777</v>
      </c>
      <c r="K218">
        <v>2.4689999999999737</v>
      </c>
      <c r="L218">
        <v>83.724000000000004</v>
      </c>
      <c r="M218">
        <v>83.549000000000007</v>
      </c>
      <c r="N218" t="s">
        <v>958</v>
      </c>
      <c r="O218" t="s">
        <v>959</v>
      </c>
      <c r="P218" t="s">
        <v>401</v>
      </c>
      <c r="Q218" s="3">
        <v>42626</v>
      </c>
      <c r="R218" s="3">
        <v>46101</v>
      </c>
      <c r="S218" s="4">
        <f t="shared" ca="1" si="22"/>
        <v>10.477754962354553</v>
      </c>
      <c r="T218">
        <f t="shared" si="23"/>
        <v>83.636500000000012</v>
      </c>
      <c r="U218" s="43">
        <v>217</v>
      </c>
      <c r="V218" s="4">
        <f t="shared" ca="1" si="24"/>
        <v>10</v>
      </c>
      <c r="W218" s="54">
        <f t="shared" ca="1" si="25"/>
        <v>10</v>
      </c>
      <c r="X218" s="4">
        <f t="shared" ca="1" si="21"/>
        <v>0.52472527472527475</v>
      </c>
      <c r="Y218" s="4">
        <f t="shared" ca="1" si="26"/>
        <v>83.111774725274742</v>
      </c>
      <c r="Z218">
        <f t="shared" si="27"/>
        <v>2.4564999999999757</v>
      </c>
    </row>
    <row r="219" spans="1:26" x14ac:dyDescent="0.35">
      <c r="A219" t="s">
        <v>278</v>
      </c>
      <c r="B219" t="s">
        <v>402</v>
      </c>
      <c r="C219" t="s">
        <v>394</v>
      </c>
      <c r="D219" t="s">
        <v>395</v>
      </c>
      <c r="E219" t="s">
        <v>396</v>
      </c>
      <c r="F219" t="s">
        <v>960</v>
      </c>
      <c r="G219" t="s">
        <v>398</v>
      </c>
      <c r="H219">
        <v>2</v>
      </c>
      <c r="I219">
        <v>1.4</v>
      </c>
      <c r="J219">
        <v>3.4499999999993993</v>
      </c>
      <c r="K219">
        <v>3.4779999999993154</v>
      </c>
      <c r="L219">
        <v>76.082999999999998</v>
      </c>
      <c r="M219">
        <v>75.834999999999994</v>
      </c>
      <c r="N219" t="s">
        <v>961</v>
      </c>
      <c r="O219" t="s">
        <v>962</v>
      </c>
      <c r="P219" t="s">
        <v>401</v>
      </c>
      <c r="Q219" s="3">
        <v>42255</v>
      </c>
      <c r="R219" s="3">
        <v>46101</v>
      </c>
      <c r="S219" s="4">
        <f t="shared" ca="1" si="22"/>
        <v>19.477070499657767</v>
      </c>
      <c r="T219">
        <f t="shared" si="23"/>
        <v>75.959000000000003</v>
      </c>
      <c r="U219" s="43">
        <v>218</v>
      </c>
      <c r="V219" s="4">
        <f t="shared" ca="1" si="24"/>
        <v>19</v>
      </c>
      <c r="W219" s="54">
        <f t="shared" ca="1" si="25"/>
        <v>11</v>
      </c>
      <c r="X219" s="4">
        <f t="shared" ca="1" si="21"/>
        <v>1.4692307692307691</v>
      </c>
      <c r="Y219" s="4">
        <f t="shared" ca="1" si="26"/>
        <v>74.489769230769241</v>
      </c>
      <c r="Z219">
        <f t="shared" si="27"/>
        <v>3.4639999999993574</v>
      </c>
    </row>
    <row r="220" spans="1:26" x14ac:dyDescent="0.35">
      <c r="A220" t="s">
        <v>279</v>
      </c>
      <c r="B220" t="s">
        <v>406</v>
      </c>
      <c r="C220" t="s">
        <v>394</v>
      </c>
      <c r="D220" t="s">
        <v>395</v>
      </c>
      <c r="E220" t="s">
        <v>396</v>
      </c>
      <c r="F220" t="s">
        <v>700</v>
      </c>
      <c r="G220" t="s">
        <v>398</v>
      </c>
      <c r="H220">
        <v>2</v>
      </c>
      <c r="I220">
        <v>1.2</v>
      </c>
      <c r="J220">
        <v>2.203999999963365</v>
      </c>
      <c r="K220">
        <v>2.2249999999584733</v>
      </c>
      <c r="L220">
        <v>92.094999999999999</v>
      </c>
      <c r="M220">
        <v>91.942999999999998</v>
      </c>
      <c r="N220" t="s">
        <v>963</v>
      </c>
      <c r="O220" t="s">
        <v>964</v>
      </c>
      <c r="P220" t="s">
        <v>401</v>
      </c>
      <c r="Q220" s="3">
        <v>42263</v>
      </c>
      <c r="R220" s="3">
        <v>46101</v>
      </c>
      <c r="S220" s="4">
        <f t="shared" ca="1" si="22"/>
        <v>9.4757015742642032</v>
      </c>
      <c r="T220">
        <f t="shared" si="23"/>
        <v>92.019000000000005</v>
      </c>
      <c r="U220" s="43">
        <v>219</v>
      </c>
      <c r="V220" s="4">
        <f t="shared" ca="1" si="24"/>
        <v>9</v>
      </c>
      <c r="W220" s="54">
        <f t="shared" ca="1" si="25"/>
        <v>11</v>
      </c>
      <c r="X220" s="4">
        <f t="shared" ca="1" si="21"/>
        <v>1.2593406593406593</v>
      </c>
      <c r="Y220" s="4">
        <f t="shared" ca="1" si="26"/>
        <v>90.75965934065934</v>
      </c>
      <c r="Z220">
        <f t="shared" si="27"/>
        <v>2.2144999999609194</v>
      </c>
    </row>
    <row r="221" spans="1:26" x14ac:dyDescent="0.35">
      <c r="A221" t="s">
        <v>280</v>
      </c>
      <c r="B221" t="s">
        <v>541</v>
      </c>
      <c r="C221" t="s">
        <v>394</v>
      </c>
      <c r="D221" t="s">
        <v>395</v>
      </c>
      <c r="E221" t="s">
        <v>396</v>
      </c>
      <c r="F221" t="s">
        <v>526</v>
      </c>
      <c r="G221" t="s">
        <v>398</v>
      </c>
      <c r="H221">
        <v>2</v>
      </c>
      <c r="I221">
        <v>1.6</v>
      </c>
      <c r="J221">
        <v>1.6009999999200701</v>
      </c>
      <c r="K221">
        <v>1.6239999999996815</v>
      </c>
      <c r="L221">
        <v>99.995000000000005</v>
      </c>
      <c r="M221">
        <v>99.893000000000001</v>
      </c>
      <c r="N221" t="s">
        <v>965</v>
      </c>
      <c r="O221" t="s">
        <v>966</v>
      </c>
      <c r="P221" t="s">
        <v>401</v>
      </c>
      <c r="Q221" s="3">
        <v>46029</v>
      </c>
      <c r="R221" s="3">
        <v>46193</v>
      </c>
      <c r="S221" s="4">
        <f t="shared" ca="1" si="22"/>
        <v>4.7255304585900069</v>
      </c>
      <c r="T221">
        <f t="shared" si="23"/>
        <v>99.944000000000003</v>
      </c>
      <c r="U221" s="43">
        <v>220</v>
      </c>
      <c r="V221" s="4">
        <f t="shared" ca="1" si="24"/>
        <v>4.5</v>
      </c>
      <c r="W221" s="54">
        <f t="shared" ca="1" si="25"/>
        <v>0</v>
      </c>
      <c r="X221" s="4">
        <f t="shared" ca="1" si="21"/>
        <v>0.87912087912087922</v>
      </c>
      <c r="Y221" s="4">
        <f t="shared" ca="1" si="26"/>
        <v>99.064879120879127</v>
      </c>
      <c r="Z221">
        <f t="shared" si="27"/>
        <v>1.6124999999598759</v>
      </c>
    </row>
    <row r="222" spans="1:26" x14ac:dyDescent="0.35">
      <c r="A222" t="s">
        <v>281</v>
      </c>
      <c r="B222" t="s">
        <v>406</v>
      </c>
      <c r="C222" t="s">
        <v>394</v>
      </c>
      <c r="D222" t="s">
        <v>395</v>
      </c>
      <c r="E222" t="s">
        <v>396</v>
      </c>
      <c r="F222" t="s">
        <v>938</v>
      </c>
      <c r="G222" t="s">
        <v>398</v>
      </c>
      <c r="H222">
        <v>2</v>
      </c>
      <c r="I222">
        <v>3.2</v>
      </c>
      <c r="J222">
        <v>3.012999999999995</v>
      </c>
      <c r="K222">
        <v>3.0419999999999976</v>
      </c>
      <c r="L222">
        <v>102.31699999999999</v>
      </c>
      <c r="M222">
        <v>101.95</v>
      </c>
      <c r="N222" t="s">
        <v>967</v>
      </c>
      <c r="O222" t="s">
        <v>968</v>
      </c>
      <c r="P222" t="s">
        <v>401</v>
      </c>
      <c r="Q222" s="3">
        <v>46035</v>
      </c>
      <c r="R222" s="3">
        <v>46193</v>
      </c>
      <c r="S222" s="4">
        <f t="shared" ca="1" si="22"/>
        <v>19.72621492128679</v>
      </c>
      <c r="T222">
        <f t="shared" si="23"/>
        <v>102.1335</v>
      </c>
      <c r="U222" s="43">
        <v>221</v>
      </c>
      <c r="V222" s="4">
        <f t="shared" ca="1" si="24"/>
        <v>19.5</v>
      </c>
      <c r="W222" s="54">
        <f t="shared" ca="1" si="25"/>
        <v>0</v>
      </c>
      <c r="X222" s="4">
        <f t="shared" ca="1" si="21"/>
        <v>1.7582417582417584</v>
      </c>
      <c r="Y222" s="4">
        <f t="shared" ca="1" si="26"/>
        <v>100.37525824175825</v>
      </c>
      <c r="Z222">
        <f t="shared" si="27"/>
        <v>3.0274999999999963</v>
      </c>
    </row>
    <row r="223" spans="1:26" x14ac:dyDescent="0.35">
      <c r="A223" t="s">
        <v>282</v>
      </c>
      <c r="B223" t="s">
        <v>541</v>
      </c>
      <c r="C223" t="s">
        <v>394</v>
      </c>
      <c r="D223" t="s">
        <v>395</v>
      </c>
      <c r="E223" t="s">
        <v>396</v>
      </c>
      <c r="F223" t="s">
        <v>526</v>
      </c>
      <c r="G223" t="s">
        <v>398</v>
      </c>
      <c r="H223">
        <v>2</v>
      </c>
      <c r="I223">
        <v>1.6</v>
      </c>
      <c r="J223">
        <v>1.6020000000000068</v>
      </c>
      <c r="K223">
        <v>1.6269999999995455</v>
      </c>
      <c r="L223">
        <v>99.991</v>
      </c>
      <c r="M223">
        <v>99.88</v>
      </c>
      <c r="N223" t="s">
        <v>969</v>
      </c>
      <c r="O223" t="s">
        <v>970</v>
      </c>
      <c r="P223" t="s">
        <v>401</v>
      </c>
      <c r="Q223" s="3">
        <v>46041</v>
      </c>
      <c r="R223" s="3">
        <v>46193</v>
      </c>
      <c r="S223" s="4">
        <f t="shared" ca="1" si="22"/>
        <v>4.7255304585900069</v>
      </c>
      <c r="T223">
        <f t="shared" si="23"/>
        <v>99.93549999999999</v>
      </c>
      <c r="U223" s="43">
        <v>222</v>
      </c>
      <c r="V223" s="4">
        <f t="shared" ca="1" si="24"/>
        <v>4.5</v>
      </c>
      <c r="W223" s="54">
        <f t="shared" ca="1" si="25"/>
        <v>0</v>
      </c>
      <c r="X223" s="4">
        <f t="shared" ca="1" si="21"/>
        <v>0.87912087912087922</v>
      </c>
      <c r="Y223" s="4">
        <f t="shared" ca="1" si="26"/>
        <v>99.056379120879114</v>
      </c>
      <c r="Z223">
        <f t="shared" si="27"/>
        <v>1.6144999999997762</v>
      </c>
    </row>
    <row r="224" spans="1:26" x14ac:dyDescent="0.35">
      <c r="A224" t="s">
        <v>283</v>
      </c>
      <c r="B224" t="s">
        <v>624</v>
      </c>
      <c r="C224" t="s">
        <v>394</v>
      </c>
      <c r="D224" t="s">
        <v>395</v>
      </c>
      <c r="E224" t="s">
        <v>396</v>
      </c>
      <c r="F224" t="s">
        <v>971</v>
      </c>
      <c r="G224" t="s">
        <v>398</v>
      </c>
      <c r="H224">
        <v>2</v>
      </c>
      <c r="I224">
        <v>1.3</v>
      </c>
      <c r="J224">
        <v>1.2180000000001769</v>
      </c>
      <c r="K224">
        <v>1.2410000000000623</v>
      </c>
      <c r="L224">
        <v>100.151</v>
      </c>
      <c r="M224">
        <v>100.10899999999999</v>
      </c>
      <c r="N224" t="s">
        <v>972</v>
      </c>
      <c r="O224" t="s">
        <v>973</v>
      </c>
      <c r="P224" t="s">
        <v>401</v>
      </c>
      <c r="Q224" s="3">
        <v>46045</v>
      </c>
      <c r="R224" s="3">
        <v>46235</v>
      </c>
      <c r="S224" s="4">
        <f t="shared" ca="1" si="22"/>
        <v>1.8425735797399041</v>
      </c>
      <c r="T224">
        <f t="shared" si="23"/>
        <v>100.13</v>
      </c>
      <c r="U224" s="43">
        <v>223</v>
      </c>
      <c r="V224" s="4">
        <f t="shared" ca="1" si="24"/>
        <v>1.5</v>
      </c>
      <c r="W224" s="54">
        <f t="shared" ca="1" si="25"/>
        <v>0</v>
      </c>
      <c r="X224" s="4">
        <f t="shared" ca="1" si="21"/>
        <v>0.40714285714285714</v>
      </c>
      <c r="Y224" s="4">
        <f t="shared" ca="1" si="26"/>
        <v>99.722857142857137</v>
      </c>
      <c r="Z224">
        <f t="shared" si="27"/>
        <v>1.2295000000001197</v>
      </c>
    </row>
    <row r="225" spans="1:26" x14ac:dyDescent="0.35">
      <c r="A225" t="s">
        <v>284</v>
      </c>
      <c r="B225" t="s">
        <v>406</v>
      </c>
      <c r="C225" t="s">
        <v>394</v>
      </c>
      <c r="D225" t="s">
        <v>395</v>
      </c>
      <c r="E225" t="s">
        <v>396</v>
      </c>
      <c r="F225" t="s">
        <v>960</v>
      </c>
      <c r="G225" t="s">
        <v>398</v>
      </c>
      <c r="H225">
        <v>2</v>
      </c>
      <c r="I225">
        <v>2.7</v>
      </c>
      <c r="J225">
        <v>3.0909999999995401</v>
      </c>
      <c r="K225">
        <v>3.1179999999993404</v>
      </c>
      <c r="L225">
        <v>95.238</v>
      </c>
      <c r="M225">
        <v>94.926000000000002</v>
      </c>
      <c r="N225" t="s">
        <v>974</v>
      </c>
      <c r="O225" t="s">
        <v>975</v>
      </c>
      <c r="P225" t="s">
        <v>401</v>
      </c>
      <c r="Q225" s="3">
        <v>45938</v>
      </c>
      <c r="R225" s="3">
        <v>46101</v>
      </c>
      <c r="S225" s="4">
        <f t="shared" ca="1" si="22"/>
        <v>19.477070499657767</v>
      </c>
      <c r="T225">
        <f t="shared" si="23"/>
        <v>95.081999999999994</v>
      </c>
      <c r="U225" s="43">
        <v>224</v>
      </c>
      <c r="V225" s="4">
        <f t="shared" ca="1" si="24"/>
        <v>19</v>
      </c>
      <c r="W225" s="54">
        <f t="shared" ca="1" si="25"/>
        <v>1</v>
      </c>
      <c r="X225" s="4">
        <f t="shared" ca="1" si="21"/>
        <v>2.8335164835164837</v>
      </c>
      <c r="Y225" s="4">
        <f t="shared" ca="1" si="26"/>
        <v>92.248483516483503</v>
      </c>
      <c r="Z225">
        <f t="shared" si="27"/>
        <v>3.1044999999994403</v>
      </c>
    </row>
    <row r="226" spans="1:26" x14ac:dyDescent="0.35">
      <c r="A226" t="s">
        <v>285</v>
      </c>
      <c r="B226" t="s">
        <v>393</v>
      </c>
      <c r="C226" t="s">
        <v>394</v>
      </c>
      <c r="D226" t="s">
        <v>395</v>
      </c>
      <c r="E226" t="s">
        <v>396</v>
      </c>
      <c r="F226" t="s">
        <v>700</v>
      </c>
      <c r="G226" t="s">
        <v>398</v>
      </c>
      <c r="H226">
        <v>2</v>
      </c>
      <c r="I226">
        <v>1.6</v>
      </c>
      <c r="J226">
        <v>2.1259999999994537</v>
      </c>
      <c r="K226">
        <v>2.150999999999291</v>
      </c>
      <c r="L226">
        <v>95.832999999999998</v>
      </c>
      <c r="M226">
        <v>95.643000000000001</v>
      </c>
      <c r="N226" t="s">
        <v>976</v>
      </c>
      <c r="O226" t="s">
        <v>977</v>
      </c>
      <c r="P226" t="s">
        <v>401</v>
      </c>
      <c r="Q226" s="3">
        <v>45944</v>
      </c>
      <c r="R226" s="3">
        <v>46101</v>
      </c>
      <c r="S226" s="4">
        <f t="shared" ca="1" si="22"/>
        <v>9.4757015742642032</v>
      </c>
      <c r="T226">
        <f t="shared" si="23"/>
        <v>95.738</v>
      </c>
      <c r="U226" s="43">
        <v>225</v>
      </c>
      <c r="V226" s="4">
        <f t="shared" ca="1" si="24"/>
        <v>9</v>
      </c>
      <c r="W226" s="54">
        <f t="shared" ca="1" si="25"/>
        <v>1</v>
      </c>
      <c r="X226" s="4">
        <f t="shared" ca="1" si="21"/>
        <v>1.6791208791208794</v>
      </c>
      <c r="Y226" s="4">
        <f t="shared" ca="1" si="26"/>
        <v>94.058879120879126</v>
      </c>
      <c r="Z226">
        <f t="shared" si="27"/>
        <v>2.1384999999993726</v>
      </c>
    </row>
    <row r="227" spans="1:26" x14ac:dyDescent="0.35">
      <c r="A227" t="s">
        <v>286</v>
      </c>
      <c r="B227" t="s">
        <v>624</v>
      </c>
      <c r="C227" t="s">
        <v>394</v>
      </c>
      <c r="D227" t="s">
        <v>395</v>
      </c>
      <c r="E227" t="s">
        <v>396</v>
      </c>
      <c r="F227" t="s">
        <v>978</v>
      </c>
      <c r="G227" t="s">
        <v>398</v>
      </c>
      <c r="H227">
        <v>2</v>
      </c>
      <c r="I227">
        <v>1</v>
      </c>
      <c r="J227">
        <v>1.1679999999976978</v>
      </c>
      <c r="K227">
        <v>1.1869999999967396</v>
      </c>
      <c r="L227">
        <v>99.728999999999999</v>
      </c>
      <c r="M227">
        <v>99.697999999999993</v>
      </c>
      <c r="N227" t="s">
        <v>979</v>
      </c>
      <c r="O227" t="s">
        <v>980</v>
      </c>
      <c r="P227" t="s">
        <v>401</v>
      </c>
      <c r="Q227" s="3">
        <v>45954</v>
      </c>
      <c r="R227" s="3">
        <v>46143</v>
      </c>
      <c r="S227" s="4">
        <f t="shared" ca="1" si="22"/>
        <v>1.5906913073237507</v>
      </c>
      <c r="T227">
        <f t="shared" si="23"/>
        <v>99.713499999999996</v>
      </c>
      <c r="U227" s="43">
        <v>226</v>
      </c>
      <c r="V227" s="4">
        <f t="shared" ca="1" si="24"/>
        <v>1.5</v>
      </c>
      <c r="W227" s="54">
        <f t="shared" ca="1" si="25"/>
        <v>1</v>
      </c>
      <c r="X227" s="4">
        <f t="shared" ca="1" si="21"/>
        <v>0.81868131868131866</v>
      </c>
      <c r="Y227" s="4">
        <f t="shared" ca="1" si="26"/>
        <v>98.894818681318682</v>
      </c>
      <c r="Z227">
        <f t="shared" si="27"/>
        <v>1.1774999999972187</v>
      </c>
    </row>
    <row r="228" spans="1:26" x14ac:dyDescent="0.35">
      <c r="A228" t="s">
        <v>287</v>
      </c>
      <c r="B228" t="s">
        <v>541</v>
      </c>
      <c r="C228" t="s">
        <v>394</v>
      </c>
      <c r="D228" t="s">
        <v>395</v>
      </c>
      <c r="E228" t="s">
        <v>396</v>
      </c>
      <c r="F228" t="s">
        <v>514</v>
      </c>
      <c r="G228" t="s">
        <v>398</v>
      </c>
      <c r="H228">
        <v>2</v>
      </c>
      <c r="I228">
        <v>1.1000000000000001</v>
      </c>
      <c r="J228">
        <v>1.5490000000000022</v>
      </c>
      <c r="K228">
        <v>1.5699999999999936</v>
      </c>
      <c r="L228">
        <v>98.2</v>
      </c>
      <c r="M228">
        <v>98.117000000000004</v>
      </c>
      <c r="N228" t="s">
        <v>981</v>
      </c>
      <c r="O228" t="s">
        <v>982</v>
      </c>
      <c r="P228" t="s">
        <v>401</v>
      </c>
      <c r="Q228" s="3">
        <v>45903</v>
      </c>
      <c r="R228" s="3">
        <v>46193</v>
      </c>
      <c r="S228" s="4">
        <f t="shared" ca="1" si="22"/>
        <v>4.2245037645448322</v>
      </c>
      <c r="T228">
        <f t="shared" si="23"/>
        <v>98.158500000000004</v>
      </c>
      <c r="U228" s="43">
        <v>227</v>
      </c>
      <c r="V228" s="4">
        <f t="shared" ca="1" si="24"/>
        <v>4</v>
      </c>
      <c r="W228" s="54">
        <f t="shared" ca="1" si="25"/>
        <v>1</v>
      </c>
      <c r="X228" s="4">
        <f t="shared" ca="1" si="21"/>
        <v>0.60439560439560447</v>
      </c>
      <c r="Y228" s="4">
        <f t="shared" ca="1" si="26"/>
        <v>97.554104395604398</v>
      </c>
      <c r="Z228">
        <f t="shared" si="27"/>
        <v>1.5594999999999979</v>
      </c>
    </row>
    <row r="229" spans="1:26" x14ac:dyDescent="0.35">
      <c r="A229" t="s">
        <v>288</v>
      </c>
      <c r="B229" t="s">
        <v>624</v>
      </c>
      <c r="C229" t="s">
        <v>394</v>
      </c>
      <c r="D229" t="s">
        <v>395</v>
      </c>
      <c r="E229" t="s">
        <v>396</v>
      </c>
      <c r="F229" t="s">
        <v>983</v>
      </c>
      <c r="G229" t="s">
        <v>398</v>
      </c>
      <c r="H229">
        <v>2</v>
      </c>
      <c r="I229">
        <v>1</v>
      </c>
      <c r="J229">
        <v>1.1509999999982763</v>
      </c>
      <c r="K229">
        <v>1.1709999999974416</v>
      </c>
      <c r="L229">
        <v>99.769000000000005</v>
      </c>
      <c r="M229">
        <v>99.738</v>
      </c>
      <c r="N229" t="s">
        <v>984</v>
      </c>
      <c r="O229" t="s">
        <v>985</v>
      </c>
      <c r="P229" t="s">
        <v>401</v>
      </c>
      <c r="Q229" s="3">
        <v>45922</v>
      </c>
      <c r="R229" s="3">
        <v>46113</v>
      </c>
      <c r="S229" s="4">
        <f t="shared" ca="1" si="22"/>
        <v>1.5058179329226558</v>
      </c>
      <c r="T229">
        <f t="shared" si="23"/>
        <v>99.753500000000003</v>
      </c>
      <c r="U229" s="43">
        <v>228</v>
      </c>
      <c r="V229" s="4">
        <f t="shared" ca="1" si="24"/>
        <v>1.5</v>
      </c>
      <c r="W229" s="54">
        <f t="shared" ca="1" si="25"/>
        <v>1</v>
      </c>
      <c r="X229" s="4">
        <f t="shared" ca="1" si="21"/>
        <v>0.98901098901098905</v>
      </c>
      <c r="Y229" s="4">
        <f t="shared" ca="1" si="26"/>
        <v>98.76448901098901</v>
      </c>
      <c r="Z229">
        <f t="shared" si="27"/>
        <v>1.1609999999978591</v>
      </c>
    </row>
    <row r="230" spans="1:26" x14ac:dyDescent="0.35">
      <c r="A230" t="s">
        <v>289</v>
      </c>
      <c r="B230" t="s">
        <v>393</v>
      </c>
      <c r="C230" t="s">
        <v>394</v>
      </c>
      <c r="D230" t="s">
        <v>395</v>
      </c>
      <c r="E230" t="s">
        <v>396</v>
      </c>
      <c r="F230" t="s">
        <v>700</v>
      </c>
      <c r="G230" t="s">
        <v>398</v>
      </c>
      <c r="H230">
        <v>2</v>
      </c>
      <c r="I230">
        <v>1.7</v>
      </c>
      <c r="J230">
        <v>2.1609999999997638</v>
      </c>
      <c r="K230">
        <v>2.1789999999997112</v>
      </c>
      <c r="L230">
        <v>96.358000000000004</v>
      </c>
      <c r="M230">
        <v>96.221000000000004</v>
      </c>
      <c r="N230" t="s">
        <v>986</v>
      </c>
      <c r="O230" t="s">
        <v>987</v>
      </c>
      <c r="P230" t="s">
        <v>401</v>
      </c>
      <c r="Q230" s="3">
        <v>45925</v>
      </c>
      <c r="R230" s="3">
        <v>46101</v>
      </c>
      <c r="S230" s="4">
        <f t="shared" ca="1" si="22"/>
        <v>9.4757015742642032</v>
      </c>
      <c r="T230">
        <f t="shared" si="23"/>
        <v>96.289500000000004</v>
      </c>
      <c r="U230" s="43">
        <v>229</v>
      </c>
      <c r="V230" s="4">
        <f t="shared" ca="1" si="24"/>
        <v>9</v>
      </c>
      <c r="W230" s="54">
        <f t="shared" ca="1" si="25"/>
        <v>1</v>
      </c>
      <c r="X230" s="4">
        <f t="shared" ca="1" si="21"/>
        <v>1.7840659340659342</v>
      </c>
      <c r="Y230" s="4">
        <f t="shared" ca="1" si="26"/>
        <v>94.505434065934068</v>
      </c>
      <c r="Z230">
        <f t="shared" si="27"/>
        <v>2.1699999999997375</v>
      </c>
    </row>
    <row r="231" spans="1:26" x14ac:dyDescent="0.35">
      <c r="A231" t="s">
        <v>290</v>
      </c>
      <c r="B231" t="s">
        <v>402</v>
      </c>
      <c r="C231" t="s">
        <v>394</v>
      </c>
      <c r="D231" t="s">
        <v>395</v>
      </c>
      <c r="E231" t="s">
        <v>396</v>
      </c>
      <c r="F231" t="s">
        <v>988</v>
      </c>
      <c r="G231" t="s">
        <v>398</v>
      </c>
      <c r="H231">
        <v>2</v>
      </c>
      <c r="I231">
        <v>3.2</v>
      </c>
      <c r="J231">
        <v>3.4569999999999528</v>
      </c>
      <c r="K231">
        <v>3.4999999999998987</v>
      </c>
      <c r="L231">
        <v>96.244</v>
      </c>
      <c r="M231">
        <v>95.643000000000001</v>
      </c>
      <c r="N231" t="s">
        <v>989</v>
      </c>
      <c r="O231" t="s">
        <v>990</v>
      </c>
      <c r="P231" t="s">
        <v>401</v>
      </c>
      <c r="Q231" s="3">
        <v>45930</v>
      </c>
      <c r="R231" s="3">
        <v>46101</v>
      </c>
      <c r="S231" s="4">
        <f t="shared" ca="1" si="22"/>
        <v>29.475701574264203</v>
      </c>
      <c r="T231">
        <f t="shared" si="23"/>
        <v>95.9435</v>
      </c>
      <c r="U231" s="43">
        <v>230</v>
      </c>
      <c r="V231" s="4">
        <f t="shared" ca="1" si="24"/>
        <v>29</v>
      </c>
      <c r="W231" s="54">
        <f t="shared" ca="1" si="25"/>
        <v>1</v>
      </c>
      <c r="X231" s="4">
        <f t="shared" ca="1" si="21"/>
        <v>3.3582417582417587</v>
      </c>
      <c r="Y231" s="4">
        <f t="shared" ca="1" si="26"/>
        <v>92.58525824175824</v>
      </c>
      <c r="Z231">
        <f t="shared" si="27"/>
        <v>3.4784999999999258</v>
      </c>
    </row>
    <row r="232" spans="1:26" x14ac:dyDescent="0.35">
      <c r="A232" t="s">
        <v>291</v>
      </c>
      <c r="B232" t="s">
        <v>541</v>
      </c>
      <c r="C232" t="s">
        <v>394</v>
      </c>
      <c r="D232" t="s">
        <v>395</v>
      </c>
      <c r="E232" t="s">
        <v>396</v>
      </c>
      <c r="F232" t="s">
        <v>628</v>
      </c>
      <c r="G232" t="s">
        <v>398</v>
      </c>
      <c r="H232">
        <v>2</v>
      </c>
      <c r="I232">
        <v>1.3</v>
      </c>
      <c r="J232">
        <v>1.5740000000000045</v>
      </c>
      <c r="K232">
        <v>1.5960000000000052</v>
      </c>
      <c r="L232">
        <v>98.841999999999999</v>
      </c>
      <c r="M232">
        <v>98.75</v>
      </c>
      <c r="N232" t="s">
        <v>991</v>
      </c>
      <c r="O232" t="s">
        <v>992</v>
      </c>
      <c r="P232" t="s">
        <v>401</v>
      </c>
      <c r="Q232" s="3">
        <v>45932</v>
      </c>
      <c r="R232" s="3">
        <v>46101</v>
      </c>
      <c r="S232" s="4">
        <f t="shared" ca="1" si="22"/>
        <v>4.476386036960986</v>
      </c>
      <c r="T232">
        <f t="shared" si="23"/>
        <v>98.795999999999992</v>
      </c>
      <c r="U232" s="43">
        <v>231</v>
      </c>
      <c r="V232" s="4">
        <f t="shared" ca="1" si="24"/>
        <v>4</v>
      </c>
      <c r="W232" s="54">
        <f t="shared" ca="1" si="25"/>
        <v>1</v>
      </c>
      <c r="X232" s="4">
        <f t="shared" ca="1" si="21"/>
        <v>1.3642857142857143</v>
      </c>
      <c r="Y232" s="4">
        <f t="shared" ca="1" si="26"/>
        <v>97.431714285714278</v>
      </c>
      <c r="Z232">
        <f t="shared" si="27"/>
        <v>1.5850000000000048</v>
      </c>
    </row>
    <row r="233" spans="1:26" x14ac:dyDescent="0.35">
      <c r="A233" t="s">
        <v>292</v>
      </c>
      <c r="B233" t="s">
        <v>624</v>
      </c>
      <c r="C233" t="s">
        <v>394</v>
      </c>
      <c r="D233" t="s">
        <v>395</v>
      </c>
      <c r="E233" t="s">
        <v>396</v>
      </c>
      <c r="F233" t="s">
        <v>993</v>
      </c>
      <c r="G233" t="s">
        <v>398</v>
      </c>
      <c r="H233">
        <v>2</v>
      </c>
      <c r="I233">
        <v>0.9</v>
      </c>
      <c r="J233">
        <v>1.1319999999994508</v>
      </c>
      <c r="K233">
        <v>1.1509999999993004</v>
      </c>
      <c r="L233">
        <v>99.662999999999997</v>
      </c>
      <c r="M233">
        <v>99.635999999999996</v>
      </c>
      <c r="N233" t="s">
        <v>994</v>
      </c>
      <c r="O233" t="s">
        <v>995</v>
      </c>
      <c r="P233" t="s">
        <v>401</v>
      </c>
      <c r="Q233" s="3">
        <v>45890</v>
      </c>
      <c r="R233" s="3">
        <v>46266</v>
      </c>
      <c r="S233" s="4">
        <f t="shared" ca="1" si="22"/>
        <v>1.4236824093086926</v>
      </c>
      <c r="T233">
        <f t="shared" si="23"/>
        <v>99.649499999999989</v>
      </c>
      <c r="U233" s="43">
        <v>232</v>
      </c>
      <c r="V233" s="4">
        <f t="shared" ca="1" si="24"/>
        <v>1</v>
      </c>
      <c r="W233" s="54">
        <f t="shared" ca="1" si="25"/>
        <v>1</v>
      </c>
      <c r="X233" s="4">
        <f t="shared" ca="1" si="21"/>
        <v>0.1434065934065934</v>
      </c>
      <c r="Y233" s="4">
        <f t="shared" ca="1" si="26"/>
        <v>99.506093406593394</v>
      </c>
      <c r="Z233">
        <f t="shared" si="27"/>
        <v>1.1414999999993756</v>
      </c>
    </row>
    <row r="234" spans="1:26" x14ac:dyDescent="0.35">
      <c r="A234" t="s">
        <v>293</v>
      </c>
      <c r="B234" t="s">
        <v>541</v>
      </c>
      <c r="C234" t="s">
        <v>394</v>
      </c>
      <c r="D234" t="s">
        <v>395</v>
      </c>
      <c r="E234" t="s">
        <v>396</v>
      </c>
      <c r="F234" t="s">
        <v>514</v>
      </c>
      <c r="G234" t="s">
        <v>398</v>
      </c>
      <c r="H234">
        <v>2</v>
      </c>
      <c r="I234">
        <v>1</v>
      </c>
      <c r="J234">
        <v>1.5569999999999919</v>
      </c>
      <c r="K234">
        <v>1.575999999999997</v>
      </c>
      <c r="L234">
        <v>97.766999999999996</v>
      </c>
      <c r="M234">
        <v>97.692999999999998</v>
      </c>
      <c r="N234" t="s">
        <v>996</v>
      </c>
      <c r="O234" t="s">
        <v>997</v>
      </c>
      <c r="P234" t="s">
        <v>401</v>
      </c>
      <c r="Q234" s="3">
        <v>45839</v>
      </c>
      <c r="R234" s="3">
        <v>46193</v>
      </c>
      <c r="S234" s="4">
        <f t="shared" ca="1" si="22"/>
        <v>4.2245037645448322</v>
      </c>
      <c r="T234">
        <f t="shared" si="23"/>
        <v>97.72999999999999</v>
      </c>
      <c r="U234" s="43">
        <v>233</v>
      </c>
      <c r="V234" s="4">
        <f t="shared" ca="1" si="24"/>
        <v>4</v>
      </c>
      <c r="W234" s="54">
        <f t="shared" ca="1" si="25"/>
        <v>1</v>
      </c>
      <c r="X234" s="4">
        <f t="shared" ca="1" si="21"/>
        <v>0.5494505494505495</v>
      </c>
      <c r="Y234" s="4">
        <f t="shared" ca="1" si="26"/>
        <v>97.180549450549435</v>
      </c>
      <c r="Z234">
        <f t="shared" si="27"/>
        <v>1.5664999999999945</v>
      </c>
    </row>
    <row r="235" spans="1:26" x14ac:dyDescent="0.35">
      <c r="A235" t="s">
        <v>294</v>
      </c>
      <c r="B235" t="s">
        <v>406</v>
      </c>
      <c r="C235" t="s">
        <v>394</v>
      </c>
      <c r="D235" t="s">
        <v>395</v>
      </c>
      <c r="E235" t="s">
        <v>396</v>
      </c>
      <c r="F235" t="s">
        <v>926</v>
      </c>
      <c r="G235" t="s">
        <v>398</v>
      </c>
      <c r="H235">
        <v>2</v>
      </c>
      <c r="I235">
        <v>2.5</v>
      </c>
      <c r="J235">
        <v>3.1209999999930313</v>
      </c>
      <c r="K235">
        <v>3.1429999999915448</v>
      </c>
      <c r="L235">
        <v>92.525999999999996</v>
      </c>
      <c r="M235">
        <v>92.281999999999996</v>
      </c>
      <c r="N235" t="s">
        <v>998</v>
      </c>
      <c r="O235" t="s">
        <v>999</v>
      </c>
      <c r="P235" t="s">
        <v>401</v>
      </c>
      <c r="Q235" s="3">
        <v>45841</v>
      </c>
      <c r="R235" s="3">
        <v>46193</v>
      </c>
      <c r="S235" s="4">
        <f t="shared" ca="1" si="22"/>
        <v>19.225188227241617</v>
      </c>
      <c r="T235">
        <f t="shared" si="23"/>
        <v>92.403999999999996</v>
      </c>
      <c r="U235" s="43">
        <v>234</v>
      </c>
      <c r="V235" s="4">
        <f t="shared" ca="1" si="24"/>
        <v>19</v>
      </c>
      <c r="W235" s="54">
        <f t="shared" ca="1" si="25"/>
        <v>1</v>
      </c>
      <c r="X235" s="4">
        <f t="shared" ca="1" si="21"/>
        <v>1.3736263736263736</v>
      </c>
      <c r="Y235" s="4">
        <f t="shared" ca="1" si="26"/>
        <v>91.030373626373617</v>
      </c>
      <c r="Z235">
        <f t="shared" si="27"/>
        <v>3.1319999999922881</v>
      </c>
    </row>
    <row r="236" spans="1:26" x14ac:dyDescent="0.35">
      <c r="A236" t="s">
        <v>295</v>
      </c>
      <c r="B236" t="s">
        <v>541</v>
      </c>
      <c r="C236" t="s">
        <v>394</v>
      </c>
      <c r="D236" t="s">
        <v>395</v>
      </c>
      <c r="E236" t="s">
        <v>396</v>
      </c>
      <c r="F236" t="s">
        <v>514</v>
      </c>
      <c r="G236" t="s">
        <v>398</v>
      </c>
      <c r="H236">
        <v>2</v>
      </c>
      <c r="I236">
        <v>1</v>
      </c>
      <c r="J236">
        <v>1.5609999999999893</v>
      </c>
      <c r="K236">
        <v>1.5809999999999922</v>
      </c>
      <c r="L236">
        <v>97.751999999999995</v>
      </c>
      <c r="M236">
        <v>97.673000000000002</v>
      </c>
      <c r="N236" t="s">
        <v>1000</v>
      </c>
      <c r="O236" t="s">
        <v>1001</v>
      </c>
      <c r="P236" t="s">
        <v>401</v>
      </c>
      <c r="Q236" s="3">
        <v>45846</v>
      </c>
      <c r="R236" s="3">
        <v>46193</v>
      </c>
      <c r="S236" s="4">
        <f t="shared" ca="1" si="22"/>
        <v>4.2245037645448322</v>
      </c>
      <c r="T236">
        <f t="shared" si="23"/>
        <v>97.712500000000006</v>
      </c>
      <c r="U236" s="43">
        <v>235</v>
      </c>
      <c r="V236" s="4">
        <f t="shared" ca="1" si="24"/>
        <v>4</v>
      </c>
      <c r="W236" s="54">
        <f t="shared" ca="1" si="25"/>
        <v>1</v>
      </c>
      <c r="X236" s="4">
        <f t="shared" ca="1" si="21"/>
        <v>0.5494505494505495</v>
      </c>
      <c r="Y236" s="4">
        <f t="shared" ca="1" si="26"/>
        <v>97.163049450549451</v>
      </c>
      <c r="Z236">
        <f t="shared" si="27"/>
        <v>1.5709999999999908</v>
      </c>
    </row>
    <row r="237" spans="1:26" x14ac:dyDescent="0.35">
      <c r="A237" t="s">
        <v>296</v>
      </c>
      <c r="B237" t="s">
        <v>624</v>
      </c>
      <c r="C237" t="s">
        <v>394</v>
      </c>
      <c r="D237" t="s">
        <v>395</v>
      </c>
      <c r="E237" t="s">
        <v>396</v>
      </c>
      <c r="F237" t="s">
        <v>1002</v>
      </c>
      <c r="G237" t="s">
        <v>398</v>
      </c>
      <c r="H237">
        <v>2</v>
      </c>
      <c r="I237">
        <v>0.9</v>
      </c>
      <c r="J237">
        <v>1.1079999999994732</v>
      </c>
      <c r="K237">
        <v>1.1299999999992814</v>
      </c>
      <c r="L237">
        <v>99.715000000000003</v>
      </c>
      <c r="M237">
        <v>99.685000000000002</v>
      </c>
      <c r="N237" t="s">
        <v>1003</v>
      </c>
      <c r="O237" t="s">
        <v>1004</v>
      </c>
      <c r="P237" t="s">
        <v>401</v>
      </c>
      <c r="Q237" s="3">
        <v>45860</v>
      </c>
      <c r="R237" s="3">
        <v>46235</v>
      </c>
      <c r="S237" s="4">
        <f t="shared" ca="1" si="22"/>
        <v>1.3388090349075976</v>
      </c>
      <c r="T237">
        <f t="shared" si="23"/>
        <v>99.7</v>
      </c>
      <c r="U237" s="43">
        <v>236</v>
      </c>
      <c r="V237" s="4">
        <f t="shared" ca="1" si="24"/>
        <v>1</v>
      </c>
      <c r="W237" s="54">
        <f t="shared" ca="1" si="25"/>
        <v>1</v>
      </c>
      <c r="X237" s="4">
        <f t="shared" ca="1" si="21"/>
        <v>0.28186813186813187</v>
      </c>
      <c r="Y237" s="4">
        <f t="shared" ca="1" si="26"/>
        <v>99.418131868131866</v>
      </c>
      <c r="Z237">
        <f t="shared" si="27"/>
        <v>1.1189999999993772</v>
      </c>
    </row>
    <row r="238" spans="1:26" x14ac:dyDescent="0.35">
      <c r="A238" t="s">
        <v>297</v>
      </c>
      <c r="B238" t="s">
        <v>624</v>
      </c>
      <c r="C238" t="s">
        <v>394</v>
      </c>
      <c r="D238" t="s">
        <v>395</v>
      </c>
      <c r="E238" t="s">
        <v>396</v>
      </c>
      <c r="F238" t="s">
        <v>1005</v>
      </c>
      <c r="G238" t="s">
        <v>398</v>
      </c>
      <c r="H238">
        <v>2</v>
      </c>
      <c r="I238">
        <v>0.8</v>
      </c>
      <c r="J238">
        <v>1.0559999999984435</v>
      </c>
      <c r="K238">
        <v>1.0759999999980203</v>
      </c>
      <c r="L238">
        <v>99.691000000000003</v>
      </c>
      <c r="M238">
        <v>99.667000000000002</v>
      </c>
      <c r="N238" t="s">
        <v>1006</v>
      </c>
      <c r="O238" t="s">
        <v>1007</v>
      </c>
      <c r="P238" t="s">
        <v>401</v>
      </c>
      <c r="Q238" s="3">
        <v>45800</v>
      </c>
      <c r="R238" s="3">
        <v>46174</v>
      </c>
      <c r="S238" s="4">
        <f t="shared" ca="1" si="22"/>
        <v>1.1718001368925393</v>
      </c>
      <c r="T238">
        <f t="shared" si="23"/>
        <v>99.679000000000002</v>
      </c>
      <c r="U238" s="43">
        <v>237</v>
      </c>
      <c r="V238" s="4">
        <f t="shared" ca="1" si="24"/>
        <v>1</v>
      </c>
      <c r="W238" s="54">
        <f t="shared" ca="1" si="25"/>
        <v>1</v>
      </c>
      <c r="X238" s="4">
        <f t="shared" ca="1" si="21"/>
        <v>0.52307692307692311</v>
      </c>
      <c r="Y238" s="4">
        <f t="shared" ca="1" si="26"/>
        <v>99.155923076923074</v>
      </c>
      <c r="Z238">
        <f t="shared" si="27"/>
        <v>1.0659999999982319</v>
      </c>
    </row>
    <row r="239" spans="1:26" x14ac:dyDescent="0.35">
      <c r="A239" t="s">
        <v>298</v>
      </c>
      <c r="B239" t="s">
        <v>624</v>
      </c>
      <c r="C239" t="s">
        <v>394</v>
      </c>
      <c r="D239" t="s">
        <v>395</v>
      </c>
      <c r="E239" t="s">
        <v>396</v>
      </c>
      <c r="F239" t="s">
        <v>1008</v>
      </c>
      <c r="G239" t="s">
        <v>398</v>
      </c>
      <c r="H239">
        <v>2</v>
      </c>
      <c r="I239">
        <v>0.7</v>
      </c>
      <c r="J239">
        <v>1.0839999999951573</v>
      </c>
      <c r="K239">
        <v>1.1039999999942998</v>
      </c>
      <c r="L239">
        <v>99.506</v>
      </c>
      <c r="M239">
        <v>99.48</v>
      </c>
      <c r="N239" t="s">
        <v>1009</v>
      </c>
      <c r="O239" t="s">
        <v>1010</v>
      </c>
      <c r="P239" t="s">
        <v>401</v>
      </c>
      <c r="Q239" s="3">
        <v>45827</v>
      </c>
      <c r="R239" s="3">
        <v>46204</v>
      </c>
      <c r="S239" s="4">
        <f t="shared" ca="1" si="22"/>
        <v>1.2539356605065024</v>
      </c>
      <c r="T239">
        <f t="shared" si="23"/>
        <v>99.492999999999995</v>
      </c>
      <c r="U239" s="43">
        <v>238</v>
      </c>
      <c r="V239" s="4">
        <f t="shared" ca="1" si="24"/>
        <v>1</v>
      </c>
      <c r="W239" s="54">
        <f t="shared" ca="1" si="25"/>
        <v>1</v>
      </c>
      <c r="X239" s="4">
        <f t="shared" ca="1" si="21"/>
        <v>0.33846153846153842</v>
      </c>
      <c r="Y239" s="4">
        <f t="shared" ca="1" si="26"/>
        <v>99.154538461538451</v>
      </c>
      <c r="Z239">
        <f t="shared" si="27"/>
        <v>1.0939999999947285</v>
      </c>
    </row>
    <row r="240" spans="1:26" x14ac:dyDescent="0.35">
      <c r="A240" t="s">
        <v>299</v>
      </c>
      <c r="B240" t="s">
        <v>393</v>
      </c>
      <c r="C240" t="s">
        <v>394</v>
      </c>
      <c r="D240" t="s">
        <v>395</v>
      </c>
      <c r="E240" t="s">
        <v>396</v>
      </c>
      <c r="F240" t="s">
        <v>697</v>
      </c>
      <c r="G240" t="s">
        <v>398</v>
      </c>
      <c r="H240">
        <v>2</v>
      </c>
      <c r="I240">
        <v>1.5</v>
      </c>
      <c r="J240">
        <v>2.1469999999986022</v>
      </c>
      <c r="K240">
        <v>2.161999999998407</v>
      </c>
      <c r="L240">
        <v>94.995999999999995</v>
      </c>
      <c r="M240">
        <v>94.885999999999996</v>
      </c>
      <c r="N240" t="s">
        <v>1011</v>
      </c>
      <c r="O240" t="s">
        <v>1012</v>
      </c>
      <c r="P240" t="s">
        <v>401</v>
      </c>
      <c r="Q240" s="3">
        <v>45832</v>
      </c>
      <c r="R240" s="3">
        <v>46193</v>
      </c>
      <c r="S240" s="4">
        <f t="shared" ca="1" si="22"/>
        <v>9.2238193018480494</v>
      </c>
      <c r="T240">
        <f t="shared" si="23"/>
        <v>94.941000000000003</v>
      </c>
      <c r="U240" s="43">
        <v>239</v>
      </c>
      <c r="V240" s="4">
        <f t="shared" ca="1" si="24"/>
        <v>9</v>
      </c>
      <c r="W240" s="54">
        <f t="shared" ca="1" si="25"/>
        <v>1</v>
      </c>
      <c r="X240" s="4">
        <f t="shared" ca="1" si="21"/>
        <v>0.82417582417582425</v>
      </c>
      <c r="Y240" s="4">
        <f t="shared" ca="1" si="26"/>
        <v>94.116824175824178</v>
      </c>
      <c r="Z240">
        <f t="shared" si="27"/>
        <v>2.1544999999985048</v>
      </c>
    </row>
    <row r="241" spans="1:26" x14ac:dyDescent="0.35">
      <c r="A241" t="s">
        <v>300</v>
      </c>
      <c r="B241" t="s">
        <v>402</v>
      </c>
      <c r="C241" t="s">
        <v>394</v>
      </c>
      <c r="D241" t="s">
        <v>395</v>
      </c>
      <c r="E241" t="s">
        <v>396</v>
      </c>
      <c r="F241" t="s">
        <v>1013</v>
      </c>
      <c r="G241" t="s">
        <v>398</v>
      </c>
      <c r="H241">
        <v>2</v>
      </c>
      <c r="I241">
        <v>2.8</v>
      </c>
      <c r="J241">
        <v>3.5839999999653753</v>
      </c>
      <c r="K241">
        <v>3.6189999999559701</v>
      </c>
      <c r="L241">
        <v>88.8</v>
      </c>
      <c r="M241">
        <v>88.358000000000004</v>
      </c>
      <c r="N241" t="s">
        <v>1014</v>
      </c>
      <c r="O241" t="s">
        <v>1015</v>
      </c>
      <c r="P241" t="s">
        <v>401</v>
      </c>
      <c r="Q241" s="3">
        <v>45834</v>
      </c>
      <c r="R241" s="3">
        <v>46193</v>
      </c>
      <c r="S241" s="4">
        <f t="shared" ca="1" si="22"/>
        <v>29.223819301848049</v>
      </c>
      <c r="T241">
        <f t="shared" si="23"/>
        <v>88.579000000000008</v>
      </c>
      <c r="U241" s="43">
        <v>240</v>
      </c>
      <c r="V241" s="4">
        <f t="shared" ca="1" si="24"/>
        <v>29</v>
      </c>
      <c r="W241" s="54">
        <f t="shared" ca="1" si="25"/>
        <v>1</v>
      </c>
      <c r="X241" s="4">
        <f t="shared" ca="1" si="21"/>
        <v>1.5384615384615385</v>
      </c>
      <c r="Y241" s="4">
        <f t="shared" ca="1" si="26"/>
        <v>87.040538461538475</v>
      </c>
      <c r="Z241">
        <f t="shared" si="27"/>
        <v>3.6014999999606729</v>
      </c>
    </row>
    <row r="242" spans="1:26" x14ac:dyDescent="0.35">
      <c r="A242" t="s">
        <v>301</v>
      </c>
      <c r="B242" t="s">
        <v>419</v>
      </c>
      <c r="C242" t="s">
        <v>394</v>
      </c>
      <c r="D242" t="s">
        <v>395</v>
      </c>
      <c r="E242" t="s">
        <v>396</v>
      </c>
      <c r="F242" t="s">
        <v>1016</v>
      </c>
      <c r="G242" t="s">
        <v>398</v>
      </c>
      <c r="H242">
        <v>2</v>
      </c>
      <c r="I242">
        <v>3.1</v>
      </c>
      <c r="J242">
        <v>3.6109999999976354</v>
      </c>
      <c r="K242">
        <v>3.6689999999958354</v>
      </c>
      <c r="L242">
        <v>91.721999999999994</v>
      </c>
      <c r="M242">
        <v>90.869</v>
      </c>
      <c r="N242" t="s">
        <v>1017</v>
      </c>
      <c r="O242" t="s">
        <v>1018</v>
      </c>
      <c r="P242" t="s">
        <v>401</v>
      </c>
      <c r="Q242" s="3">
        <v>45798</v>
      </c>
      <c r="R242" s="3">
        <v>46101</v>
      </c>
      <c r="S242" s="4">
        <f t="shared" ca="1" si="22"/>
        <v>38.973305954825463</v>
      </c>
      <c r="T242">
        <f t="shared" si="23"/>
        <v>91.295500000000004</v>
      </c>
      <c r="U242" s="43">
        <v>241</v>
      </c>
      <c r="V242" s="4">
        <f t="shared" ca="1" si="24"/>
        <v>38.5</v>
      </c>
      <c r="W242" s="54">
        <f t="shared" ca="1" si="25"/>
        <v>1</v>
      </c>
      <c r="X242" s="4">
        <f t="shared" ca="1" si="21"/>
        <v>3.2532967032967037</v>
      </c>
      <c r="Y242" s="4">
        <f t="shared" ca="1" si="26"/>
        <v>88.042203296703306</v>
      </c>
      <c r="Z242">
        <f t="shared" si="27"/>
        <v>3.6399999999967356</v>
      </c>
    </row>
    <row r="243" spans="1:26" x14ac:dyDescent="0.35">
      <c r="A243" t="s">
        <v>302</v>
      </c>
      <c r="B243" t="s">
        <v>402</v>
      </c>
      <c r="C243" t="s">
        <v>394</v>
      </c>
      <c r="D243" t="s">
        <v>395</v>
      </c>
      <c r="E243" t="s">
        <v>396</v>
      </c>
      <c r="F243" t="s">
        <v>923</v>
      </c>
      <c r="G243" t="s">
        <v>398</v>
      </c>
      <c r="H243">
        <v>2</v>
      </c>
      <c r="I243">
        <v>2.4</v>
      </c>
      <c r="J243">
        <v>3.7409999999999979</v>
      </c>
      <c r="K243">
        <v>3.774999999999999</v>
      </c>
      <c r="L243">
        <v>81.34</v>
      </c>
      <c r="M243">
        <v>80.956999999999994</v>
      </c>
      <c r="N243" t="s">
        <v>1019</v>
      </c>
      <c r="O243" t="s">
        <v>1020</v>
      </c>
      <c r="P243" t="s">
        <v>401</v>
      </c>
      <c r="Q243" s="3">
        <v>45748</v>
      </c>
      <c r="R243" s="3">
        <v>46101</v>
      </c>
      <c r="S243" s="4">
        <f t="shared" ca="1" si="22"/>
        <v>28.971937029431896</v>
      </c>
      <c r="T243">
        <f t="shared" si="23"/>
        <v>81.148499999999999</v>
      </c>
      <c r="U243" s="43">
        <v>242</v>
      </c>
      <c r="V243" s="4">
        <f t="shared" ca="1" si="24"/>
        <v>28.5</v>
      </c>
      <c r="W243" s="54">
        <f t="shared" ca="1" si="25"/>
        <v>1</v>
      </c>
      <c r="X243" s="4">
        <f t="shared" ca="1" si="21"/>
        <v>2.5186813186813186</v>
      </c>
      <c r="Y243" s="4">
        <f t="shared" ca="1" si="26"/>
        <v>78.629818681318682</v>
      </c>
      <c r="Z243">
        <f t="shared" si="27"/>
        <v>3.7579999999999982</v>
      </c>
    </row>
    <row r="244" spans="1:26" x14ac:dyDescent="0.35">
      <c r="A244" t="s">
        <v>303</v>
      </c>
      <c r="B244" t="s">
        <v>541</v>
      </c>
      <c r="C244" t="s">
        <v>394</v>
      </c>
      <c r="D244" t="s">
        <v>395</v>
      </c>
      <c r="E244" t="s">
        <v>396</v>
      </c>
      <c r="F244" t="s">
        <v>501</v>
      </c>
      <c r="G244" t="s">
        <v>398</v>
      </c>
      <c r="H244">
        <v>2</v>
      </c>
      <c r="I244">
        <v>1</v>
      </c>
      <c r="J244">
        <v>1.5189999999999966</v>
      </c>
      <c r="K244">
        <v>1.5379999999999956</v>
      </c>
      <c r="L244">
        <v>98.031999999999996</v>
      </c>
      <c r="M244">
        <v>97.962000000000003</v>
      </c>
      <c r="N244" t="s">
        <v>1021</v>
      </c>
      <c r="O244" t="s">
        <v>1022</v>
      </c>
      <c r="P244" t="s">
        <v>401</v>
      </c>
      <c r="Q244" s="3">
        <v>45750</v>
      </c>
      <c r="R244" s="3">
        <v>46101</v>
      </c>
      <c r="S244" s="4">
        <f t="shared" ca="1" si="22"/>
        <v>3.9726214921286789</v>
      </c>
      <c r="T244">
        <f t="shared" si="23"/>
        <v>97.997</v>
      </c>
      <c r="U244" s="43">
        <v>243</v>
      </c>
      <c r="V244" s="4">
        <f t="shared" ca="1" si="24"/>
        <v>3.5</v>
      </c>
      <c r="W244" s="54">
        <f t="shared" ca="1" si="25"/>
        <v>1</v>
      </c>
      <c r="X244" s="4">
        <f t="shared" ca="1" si="21"/>
        <v>1.0494505494505495</v>
      </c>
      <c r="Y244" s="4">
        <f t="shared" ca="1" si="26"/>
        <v>96.947549450549445</v>
      </c>
      <c r="Z244">
        <f t="shared" si="27"/>
        <v>1.5284999999999962</v>
      </c>
    </row>
    <row r="245" spans="1:26" x14ac:dyDescent="0.35">
      <c r="A245" t="s">
        <v>304</v>
      </c>
      <c r="B245" t="s">
        <v>406</v>
      </c>
      <c r="C245" t="s">
        <v>394</v>
      </c>
      <c r="D245" t="s">
        <v>395</v>
      </c>
      <c r="E245" t="s">
        <v>396</v>
      </c>
      <c r="F245" t="s">
        <v>918</v>
      </c>
      <c r="G245" t="s">
        <v>398</v>
      </c>
      <c r="H245">
        <v>2</v>
      </c>
      <c r="I245">
        <v>2.4</v>
      </c>
      <c r="J245">
        <v>3.1269999999791045</v>
      </c>
      <c r="K245">
        <v>3.150999999974903</v>
      </c>
      <c r="L245">
        <v>91.328000000000003</v>
      </c>
      <c r="M245">
        <v>91.067999999999998</v>
      </c>
      <c r="N245" t="s">
        <v>1023</v>
      </c>
      <c r="O245" t="s">
        <v>1024</v>
      </c>
      <c r="P245" t="s">
        <v>401</v>
      </c>
      <c r="Q245" s="3">
        <v>45755</v>
      </c>
      <c r="R245" s="3">
        <v>46101</v>
      </c>
      <c r="S245" s="4">
        <f t="shared" ca="1" si="22"/>
        <v>18.973305954825463</v>
      </c>
      <c r="T245">
        <f t="shared" si="23"/>
        <v>91.198000000000008</v>
      </c>
      <c r="U245" s="43">
        <v>244</v>
      </c>
      <c r="V245" s="4">
        <f t="shared" ca="1" si="24"/>
        <v>18.5</v>
      </c>
      <c r="W245" s="54">
        <f t="shared" ca="1" si="25"/>
        <v>1</v>
      </c>
      <c r="X245" s="4">
        <f t="shared" ca="1" si="21"/>
        <v>2.5186813186813186</v>
      </c>
      <c r="Y245" s="4">
        <f t="shared" ca="1" si="26"/>
        <v>88.679318681318691</v>
      </c>
      <c r="Z245">
        <f t="shared" si="27"/>
        <v>3.1389999999770035</v>
      </c>
    </row>
    <row r="246" spans="1:26" x14ac:dyDescent="0.35">
      <c r="A246" t="s">
        <v>305</v>
      </c>
      <c r="B246" t="s">
        <v>624</v>
      </c>
      <c r="C246" t="s">
        <v>394</v>
      </c>
      <c r="D246" t="s">
        <v>395</v>
      </c>
      <c r="E246" t="s">
        <v>396</v>
      </c>
      <c r="F246" t="s">
        <v>1025</v>
      </c>
      <c r="G246" t="s">
        <v>398</v>
      </c>
      <c r="H246">
        <v>2</v>
      </c>
      <c r="I246">
        <v>0.7</v>
      </c>
      <c r="J246">
        <v>1.0129999999965369</v>
      </c>
      <c r="K246">
        <v>1.035999999995648</v>
      </c>
      <c r="L246">
        <v>99.647999999999996</v>
      </c>
      <c r="M246">
        <v>99.622</v>
      </c>
      <c r="N246" t="s">
        <v>1026</v>
      </c>
      <c r="O246" t="s">
        <v>1027</v>
      </c>
      <c r="P246" t="s">
        <v>401</v>
      </c>
      <c r="Q246" s="3">
        <v>45764</v>
      </c>
      <c r="R246" s="3">
        <v>46143</v>
      </c>
      <c r="S246" s="4">
        <f t="shared" ca="1" si="22"/>
        <v>1.0869267624914443</v>
      </c>
      <c r="T246">
        <f t="shared" si="23"/>
        <v>99.634999999999991</v>
      </c>
      <c r="U246" s="43">
        <v>245</v>
      </c>
      <c r="V246" s="4">
        <f t="shared" ca="1" si="24"/>
        <v>1</v>
      </c>
      <c r="W246" s="54">
        <f t="shared" ca="1" si="25"/>
        <v>1</v>
      </c>
      <c r="X246" s="4">
        <f t="shared" ca="1" si="21"/>
        <v>0.57307692307692304</v>
      </c>
      <c r="Y246" s="4">
        <f t="shared" ca="1" si="26"/>
        <v>99.061923076923065</v>
      </c>
      <c r="Z246">
        <f t="shared" si="27"/>
        <v>1.0244999999960924</v>
      </c>
    </row>
    <row r="247" spans="1:26" x14ac:dyDescent="0.35">
      <c r="A247" t="s">
        <v>306</v>
      </c>
      <c r="B247" t="s">
        <v>541</v>
      </c>
      <c r="C247" t="s">
        <v>394</v>
      </c>
      <c r="D247" t="s">
        <v>395</v>
      </c>
      <c r="E247" t="s">
        <v>396</v>
      </c>
      <c r="F247" t="s">
        <v>793</v>
      </c>
      <c r="G247" t="s">
        <v>398</v>
      </c>
      <c r="H247">
        <v>2</v>
      </c>
      <c r="I247">
        <v>1.1000000000000001</v>
      </c>
      <c r="J247">
        <v>1.4839999999999998</v>
      </c>
      <c r="K247">
        <v>1.5039999999999978</v>
      </c>
      <c r="L247">
        <v>98.626999999999995</v>
      </c>
      <c r="M247">
        <v>98.555999999999997</v>
      </c>
      <c r="N247" t="s">
        <v>1028</v>
      </c>
      <c r="O247" t="s">
        <v>1029</v>
      </c>
      <c r="P247" t="s">
        <v>401</v>
      </c>
      <c r="Q247" s="3">
        <v>45719</v>
      </c>
      <c r="R247" s="3">
        <v>46193</v>
      </c>
      <c r="S247" s="4">
        <f t="shared" ca="1" si="22"/>
        <v>3.7262149212867897</v>
      </c>
      <c r="T247">
        <f t="shared" si="23"/>
        <v>98.591499999999996</v>
      </c>
      <c r="U247" s="43">
        <v>246</v>
      </c>
      <c r="V247" s="4">
        <f t="shared" ca="1" si="24"/>
        <v>3.5</v>
      </c>
      <c r="W247" s="54">
        <f t="shared" ca="1" si="25"/>
        <v>1</v>
      </c>
      <c r="X247" s="4">
        <f t="shared" ca="1" si="21"/>
        <v>0.60439560439560447</v>
      </c>
      <c r="Y247" s="4">
        <f t="shared" ca="1" si="26"/>
        <v>97.987104395604391</v>
      </c>
      <c r="Z247">
        <f t="shared" si="27"/>
        <v>1.4939999999999989</v>
      </c>
    </row>
    <row r="248" spans="1:26" x14ac:dyDescent="0.35">
      <c r="A248" t="s">
        <v>307</v>
      </c>
      <c r="B248" t="s">
        <v>624</v>
      </c>
      <c r="C248" t="s">
        <v>394</v>
      </c>
      <c r="D248" t="s">
        <v>395</v>
      </c>
      <c r="E248" t="s">
        <v>396</v>
      </c>
      <c r="F248" t="s">
        <v>1030</v>
      </c>
      <c r="G248" t="s">
        <v>398</v>
      </c>
      <c r="H248">
        <v>2</v>
      </c>
      <c r="I248">
        <v>0.9</v>
      </c>
      <c r="J248">
        <v>0.99099999999992283</v>
      </c>
      <c r="K248">
        <v>1.0139999999998559</v>
      </c>
      <c r="L248">
        <v>99.905000000000001</v>
      </c>
      <c r="M248">
        <v>99.881</v>
      </c>
      <c r="N248" t="s">
        <v>1031</v>
      </c>
      <c r="O248" t="s">
        <v>1032</v>
      </c>
      <c r="P248" t="s">
        <v>401</v>
      </c>
      <c r="Q248" s="3">
        <v>45740</v>
      </c>
      <c r="R248" s="3">
        <v>46113</v>
      </c>
      <c r="S248" s="4">
        <f t="shared" ca="1" si="22"/>
        <v>1.0047912388774811</v>
      </c>
      <c r="T248">
        <f t="shared" si="23"/>
        <v>99.893000000000001</v>
      </c>
      <c r="U248" s="43">
        <v>247</v>
      </c>
      <c r="V248" s="4">
        <f t="shared" ca="1" si="24"/>
        <v>1</v>
      </c>
      <c r="W248" s="54">
        <f t="shared" ca="1" si="25"/>
        <v>1</v>
      </c>
      <c r="X248" s="4">
        <f t="shared" ca="1" si="21"/>
        <v>0.89010989010989017</v>
      </c>
      <c r="Y248" s="4">
        <f t="shared" ca="1" si="26"/>
        <v>99.002890109890117</v>
      </c>
      <c r="Z248">
        <f t="shared" si="27"/>
        <v>1.0024999999998894</v>
      </c>
    </row>
    <row r="249" spans="1:26" x14ac:dyDescent="0.35">
      <c r="A249" t="s">
        <v>308</v>
      </c>
      <c r="B249" t="s">
        <v>393</v>
      </c>
      <c r="C249" t="s">
        <v>394</v>
      </c>
      <c r="D249" t="s">
        <v>395</v>
      </c>
      <c r="E249" t="s">
        <v>396</v>
      </c>
      <c r="F249" t="s">
        <v>694</v>
      </c>
      <c r="G249" t="s">
        <v>398</v>
      </c>
      <c r="H249">
        <v>2</v>
      </c>
      <c r="I249">
        <v>1.4</v>
      </c>
      <c r="J249">
        <v>2.1249999999968354</v>
      </c>
      <c r="K249">
        <v>2.137999999996484</v>
      </c>
      <c r="L249">
        <v>94.510999999999996</v>
      </c>
      <c r="M249">
        <v>94.418000000000006</v>
      </c>
      <c r="N249" t="s">
        <v>1033</v>
      </c>
      <c r="O249" t="s">
        <v>1034</v>
      </c>
      <c r="P249" t="s">
        <v>401</v>
      </c>
      <c r="Q249" s="3">
        <v>45743</v>
      </c>
      <c r="R249" s="3">
        <v>46101</v>
      </c>
      <c r="S249" s="4">
        <f t="shared" ca="1" si="22"/>
        <v>8.9719370294318956</v>
      </c>
      <c r="T249">
        <f t="shared" si="23"/>
        <v>94.464500000000001</v>
      </c>
      <c r="U249" s="43">
        <v>248</v>
      </c>
      <c r="V249" s="4">
        <f t="shared" ca="1" si="24"/>
        <v>8.5</v>
      </c>
      <c r="W249" s="54">
        <f t="shared" ca="1" si="25"/>
        <v>1</v>
      </c>
      <c r="X249" s="4">
        <f t="shared" ca="1" si="21"/>
        <v>1.4692307692307691</v>
      </c>
      <c r="Y249" s="4">
        <f t="shared" ca="1" si="26"/>
        <v>92.995269230769239</v>
      </c>
      <c r="Z249">
        <f t="shared" si="27"/>
        <v>2.1314999999966595</v>
      </c>
    </row>
    <row r="250" spans="1:26" x14ac:dyDescent="0.35">
      <c r="A250" t="s">
        <v>309</v>
      </c>
      <c r="B250" t="s">
        <v>624</v>
      </c>
      <c r="C250" t="s">
        <v>394</v>
      </c>
      <c r="D250" t="s">
        <v>395</v>
      </c>
      <c r="E250" t="s">
        <v>396</v>
      </c>
      <c r="F250" t="s">
        <v>1035</v>
      </c>
      <c r="G250" t="s">
        <v>398</v>
      </c>
      <c r="H250">
        <v>2</v>
      </c>
      <c r="I250">
        <v>0.7</v>
      </c>
      <c r="J250">
        <v>0.9719999999999771</v>
      </c>
      <c r="K250">
        <v>0.99399999999998112</v>
      </c>
      <c r="L250">
        <v>99.759</v>
      </c>
      <c r="M250">
        <v>99.739000000000004</v>
      </c>
      <c r="N250" t="s">
        <v>1036</v>
      </c>
      <c r="O250" t="s">
        <v>1037</v>
      </c>
      <c r="P250" t="s">
        <v>401</v>
      </c>
      <c r="Q250" s="3">
        <v>45681</v>
      </c>
      <c r="R250" s="3">
        <v>46235</v>
      </c>
      <c r="S250" s="4">
        <f t="shared" ca="1" si="22"/>
        <v>0.84325804243668723</v>
      </c>
      <c r="T250">
        <f t="shared" si="23"/>
        <v>99.748999999999995</v>
      </c>
      <c r="U250" s="43">
        <v>249</v>
      </c>
      <c r="V250" s="4">
        <f t="shared" ca="1" si="24"/>
        <v>0.5</v>
      </c>
      <c r="W250" s="54">
        <f t="shared" ca="1" si="25"/>
        <v>1</v>
      </c>
      <c r="X250" s="4">
        <f t="shared" ca="1" si="21"/>
        <v>0.2192307692307692</v>
      </c>
      <c r="Y250" s="4">
        <f t="shared" ca="1" si="26"/>
        <v>99.529769230769233</v>
      </c>
      <c r="Z250">
        <f t="shared" si="27"/>
        <v>0.98299999999997911</v>
      </c>
    </row>
    <row r="251" spans="1:26" x14ac:dyDescent="0.35">
      <c r="A251" t="s">
        <v>310</v>
      </c>
      <c r="B251" t="s">
        <v>541</v>
      </c>
      <c r="C251" t="s">
        <v>394</v>
      </c>
      <c r="D251" t="s">
        <v>395</v>
      </c>
      <c r="E251" t="s">
        <v>396</v>
      </c>
      <c r="F251" t="s">
        <v>793</v>
      </c>
      <c r="G251" t="s">
        <v>398</v>
      </c>
      <c r="H251">
        <v>2</v>
      </c>
      <c r="I251">
        <v>1</v>
      </c>
      <c r="J251">
        <v>1.4819999999999955</v>
      </c>
      <c r="K251">
        <v>1.5029999999999997</v>
      </c>
      <c r="L251">
        <v>98.275999999999996</v>
      </c>
      <c r="M251">
        <v>98.201999999999998</v>
      </c>
      <c r="N251" t="s">
        <v>1038</v>
      </c>
      <c r="O251" t="s">
        <v>1039</v>
      </c>
      <c r="P251" t="s">
        <v>401</v>
      </c>
      <c r="Q251" s="3">
        <v>45695</v>
      </c>
      <c r="R251" s="3">
        <v>46193</v>
      </c>
      <c r="S251" s="4">
        <f t="shared" ca="1" si="22"/>
        <v>3.7262149212867897</v>
      </c>
      <c r="T251">
        <f t="shared" si="23"/>
        <v>98.239000000000004</v>
      </c>
      <c r="U251" s="43">
        <v>250</v>
      </c>
      <c r="V251" s="4">
        <f t="shared" ca="1" si="24"/>
        <v>3.5</v>
      </c>
      <c r="W251" s="54">
        <f t="shared" ca="1" si="25"/>
        <v>1</v>
      </c>
      <c r="X251" s="4">
        <f t="shared" ca="1" si="21"/>
        <v>0.5494505494505495</v>
      </c>
      <c r="Y251" s="4">
        <f t="shared" ca="1" si="26"/>
        <v>97.68954945054945</v>
      </c>
      <c r="Z251">
        <f t="shared" si="27"/>
        <v>1.4924999999999975</v>
      </c>
    </row>
    <row r="252" spans="1:26" x14ac:dyDescent="0.35">
      <c r="A252" t="s">
        <v>311</v>
      </c>
      <c r="B252" t="s">
        <v>624</v>
      </c>
      <c r="C252" t="s">
        <v>394</v>
      </c>
      <c r="D252" t="s">
        <v>395</v>
      </c>
      <c r="E252" t="s">
        <v>396</v>
      </c>
      <c r="F252" t="s">
        <v>1040</v>
      </c>
      <c r="G252" t="s">
        <v>398</v>
      </c>
      <c r="H252">
        <v>2</v>
      </c>
      <c r="I252">
        <v>0.8</v>
      </c>
      <c r="J252">
        <v>0.97599999965068007</v>
      </c>
      <c r="K252">
        <v>0.99899999955023644</v>
      </c>
      <c r="L252">
        <v>99.83</v>
      </c>
      <c r="M252">
        <v>99.808000000000007</v>
      </c>
      <c r="N252" t="s">
        <v>1041</v>
      </c>
      <c r="O252" t="s">
        <v>1042</v>
      </c>
      <c r="P252" t="s">
        <v>401</v>
      </c>
      <c r="Q252" s="3">
        <v>45708</v>
      </c>
      <c r="R252" s="3">
        <v>46266</v>
      </c>
      <c r="S252" s="4">
        <f t="shared" ca="1" si="22"/>
        <v>0.91991786447638602</v>
      </c>
      <c r="T252">
        <f t="shared" si="23"/>
        <v>99.819000000000003</v>
      </c>
      <c r="U252" s="43">
        <v>251</v>
      </c>
      <c r="V252" s="4">
        <f t="shared" ca="1" si="24"/>
        <v>0.5</v>
      </c>
      <c r="W252" s="54">
        <f t="shared" ca="1" si="25"/>
        <v>1</v>
      </c>
      <c r="X252" s="4">
        <f t="shared" ca="1" si="21"/>
        <v>0.12747252747252746</v>
      </c>
      <c r="Y252" s="4">
        <f t="shared" ca="1" si="26"/>
        <v>99.691527472527468</v>
      </c>
      <c r="Z252">
        <f t="shared" si="27"/>
        <v>0.98749999960045831</v>
      </c>
    </row>
    <row r="253" spans="1:26" x14ac:dyDescent="0.35">
      <c r="A253" t="s">
        <v>312</v>
      </c>
      <c r="B253" t="s">
        <v>624</v>
      </c>
      <c r="C253" t="s">
        <v>394</v>
      </c>
      <c r="D253" t="s">
        <v>395</v>
      </c>
      <c r="E253" t="s">
        <v>396</v>
      </c>
      <c r="F253" t="s">
        <v>1043</v>
      </c>
      <c r="G253" t="s">
        <v>398</v>
      </c>
      <c r="H253">
        <v>2</v>
      </c>
      <c r="I253">
        <v>0.6</v>
      </c>
      <c r="J253">
        <v>0.95899999999990848</v>
      </c>
      <c r="K253">
        <v>0.97699999999990728</v>
      </c>
      <c r="L253">
        <v>99.712000000000003</v>
      </c>
      <c r="M253">
        <v>99.697000000000003</v>
      </c>
      <c r="N253" t="s">
        <v>1044</v>
      </c>
      <c r="O253" t="s">
        <v>1045</v>
      </c>
      <c r="P253" t="s">
        <v>401</v>
      </c>
      <c r="Q253" s="3">
        <v>45645</v>
      </c>
      <c r="R253" s="3">
        <v>46204</v>
      </c>
      <c r="S253" s="4">
        <f t="shared" ca="1" si="22"/>
        <v>0.75838466803559201</v>
      </c>
      <c r="T253">
        <f t="shared" si="23"/>
        <v>99.704499999999996</v>
      </c>
      <c r="U253" s="43">
        <v>252</v>
      </c>
      <c r="V253" s="4">
        <f t="shared" ca="1" si="24"/>
        <v>0.5</v>
      </c>
      <c r="W253" s="54">
        <f t="shared" ca="1" si="25"/>
        <v>2</v>
      </c>
      <c r="X253" s="4">
        <f t="shared" ca="1" si="21"/>
        <v>0.29010989010989008</v>
      </c>
      <c r="Y253" s="4">
        <f t="shared" ca="1" si="26"/>
        <v>99.414390109890107</v>
      </c>
      <c r="Z253">
        <f t="shared" si="27"/>
        <v>0.96799999999990782</v>
      </c>
    </row>
    <row r="254" spans="1:26" x14ac:dyDescent="0.35">
      <c r="A254" t="s">
        <v>313</v>
      </c>
      <c r="B254" t="s">
        <v>393</v>
      </c>
      <c r="C254" t="s">
        <v>394</v>
      </c>
      <c r="D254" t="s">
        <v>395</v>
      </c>
      <c r="E254" t="s">
        <v>396</v>
      </c>
      <c r="F254" t="s">
        <v>691</v>
      </c>
      <c r="G254" t="s">
        <v>398</v>
      </c>
      <c r="H254">
        <v>2</v>
      </c>
      <c r="I254">
        <v>1.2</v>
      </c>
      <c r="J254">
        <v>2.1069999999899505</v>
      </c>
      <c r="K254">
        <v>2.1209999999889826</v>
      </c>
      <c r="L254">
        <v>93.281999999999996</v>
      </c>
      <c r="M254">
        <v>93.186000000000007</v>
      </c>
      <c r="N254" t="s">
        <v>1046</v>
      </c>
      <c r="O254" t="s">
        <v>1047</v>
      </c>
      <c r="P254" t="s">
        <v>401</v>
      </c>
      <c r="Q254" s="3">
        <v>45653</v>
      </c>
      <c r="R254" s="3">
        <v>46193</v>
      </c>
      <c r="S254" s="4">
        <f t="shared" ca="1" si="22"/>
        <v>8.725530458590006</v>
      </c>
      <c r="T254">
        <f t="shared" si="23"/>
        <v>93.234000000000009</v>
      </c>
      <c r="U254" s="43">
        <v>253</v>
      </c>
      <c r="V254" s="4">
        <f t="shared" ca="1" si="24"/>
        <v>8.5</v>
      </c>
      <c r="W254" s="54">
        <f t="shared" ca="1" si="25"/>
        <v>2</v>
      </c>
      <c r="X254" s="4">
        <f t="shared" ca="1" si="21"/>
        <v>0.65934065934065933</v>
      </c>
      <c r="Y254" s="4">
        <f t="shared" ca="1" si="26"/>
        <v>92.574659340659352</v>
      </c>
      <c r="Z254">
        <f t="shared" si="27"/>
        <v>2.1139999999894665</v>
      </c>
    </row>
    <row r="255" spans="1:26" x14ac:dyDescent="0.35">
      <c r="A255" t="s">
        <v>314</v>
      </c>
      <c r="B255" t="s">
        <v>402</v>
      </c>
      <c r="C255" t="s">
        <v>394</v>
      </c>
      <c r="D255" t="s">
        <v>395</v>
      </c>
      <c r="E255" t="s">
        <v>396</v>
      </c>
      <c r="F255" t="s">
        <v>1048</v>
      </c>
      <c r="G255" t="s">
        <v>398</v>
      </c>
      <c r="H255">
        <v>2</v>
      </c>
      <c r="I255">
        <v>2.2999999999999998</v>
      </c>
      <c r="J255">
        <v>3.7789999999999955</v>
      </c>
      <c r="K255">
        <v>3.8219999999999921</v>
      </c>
      <c r="L255">
        <v>79.611000000000004</v>
      </c>
      <c r="M255">
        <v>79.141999999999996</v>
      </c>
      <c r="N255" t="s">
        <v>1049</v>
      </c>
      <c r="O255" t="s">
        <v>1050</v>
      </c>
      <c r="P255" t="s">
        <v>401</v>
      </c>
      <c r="Q255" s="3">
        <v>45653</v>
      </c>
      <c r="R255" s="3">
        <v>46193</v>
      </c>
      <c r="S255" s="4">
        <f t="shared" ca="1" si="22"/>
        <v>28.725530458590008</v>
      </c>
      <c r="T255">
        <f t="shared" si="23"/>
        <v>79.376499999999993</v>
      </c>
      <c r="U255" s="43">
        <v>254</v>
      </c>
      <c r="V255" s="4">
        <f t="shared" ca="1" si="24"/>
        <v>28.5</v>
      </c>
      <c r="W255" s="54">
        <f t="shared" ca="1" si="25"/>
        <v>2</v>
      </c>
      <c r="X255" s="4">
        <f t="shared" ca="1" si="21"/>
        <v>1.2637362637362637</v>
      </c>
      <c r="Y255" s="4">
        <f t="shared" ca="1" si="26"/>
        <v>78.11276373626373</v>
      </c>
      <c r="Z255">
        <f t="shared" si="27"/>
        <v>3.8004999999999938</v>
      </c>
    </row>
    <row r="256" spans="1:26" x14ac:dyDescent="0.35">
      <c r="A256" t="s">
        <v>315</v>
      </c>
      <c r="B256" t="s">
        <v>541</v>
      </c>
      <c r="C256" t="s">
        <v>394</v>
      </c>
      <c r="D256" t="s">
        <v>395</v>
      </c>
      <c r="E256" t="s">
        <v>396</v>
      </c>
      <c r="F256" t="s">
        <v>793</v>
      </c>
      <c r="G256" t="s">
        <v>398</v>
      </c>
      <c r="H256">
        <v>2</v>
      </c>
      <c r="I256">
        <v>0.9</v>
      </c>
      <c r="J256">
        <v>1.4879999999999953</v>
      </c>
      <c r="K256">
        <v>1.5079999999999951</v>
      </c>
      <c r="L256">
        <v>97.897999999999996</v>
      </c>
      <c r="M256">
        <v>97.828000000000003</v>
      </c>
      <c r="N256" t="s">
        <v>1051</v>
      </c>
      <c r="O256" t="s">
        <v>1052</v>
      </c>
      <c r="P256" t="s">
        <v>401</v>
      </c>
      <c r="Q256" s="3">
        <v>45664</v>
      </c>
      <c r="R256" s="3">
        <v>46193</v>
      </c>
      <c r="S256" s="4">
        <f t="shared" ca="1" si="22"/>
        <v>3.7262149212867897</v>
      </c>
      <c r="T256">
        <f t="shared" si="23"/>
        <v>97.863</v>
      </c>
      <c r="U256" s="43">
        <v>255</v>
      </c>
      <c r="V256" s="4">
        <f t="shared" ca="1" si="24"/>
        <v>3.5</v>
      </c>
      <c r="W256" s="54">
        <f t="shared" ca="1" si="25"/>
        <v>1</v>
      </c>
      <c r="X256" s="4">
        <f t="shared" ca="1" si="21"/>
        <v>0.49450549450549458</v>
      </c>
      <c r="Y256" s="4">
        <f t="shared" ca="1" si="26"/>
        <v>97.36849450549451</v>
      </c>
      <c r="Z256">
        <f t="shared" si="27"/>
        <v>1.4979999999999953</v>
      </c>
    </row>
    <row r="257" spans="1:26" x14ac:dyDescent="0.35">
      <c r="A257" t="s">
        <v>316</v>
      </c>
      <c r="B257" t="s">
        <v>406</v>
      </c>
      <c r="C257" t="s">
        <v>394</v>
      </c>
      <c r="D257" t="s">
        <v>395</v>
      </c>
      <c r="E257" t="s">
        <v>396</v>
      </c>
      <c r="F257" t="s">
        <v>913</v>
      </c>
      <c r="G257" t="s">
        <v>398</v>
      </c>
      <c r="H257">
        <v>2</v>
      </c>
      <c r="I257">
        <v>2</v>
      </c>
      <c r="J257">
        <v>3.2049999999999992</v>
      </c>
      <c r="K257">
        <v>3.2289999999999988</v>
      </c>
      <c r="L257">
        <v>85.875</v>
      </c>
      <c r="M257">
        <v>85.634</v>
      </c>
      <c r="N257" t="s">
        <v>1053</v>
      </c>
      <c r="O257" t="s">
        <v>1054</v>
      </c>
      <c r="P257" t="s">
        <v>401</v>
      </c>
      <c r="Q257" s="3">
        <v>45666</v>
      </c>
      <c r="R257" s="3">
        <v>46193</v>
      </c>
      <c r="S257" s="4">
        <f t="shared" ca="1" si="22"/>
        <v>18.726899383983572</v>
      </c>
      <c r="T257">
        <f t="shared" si="23"/>
        <v>85.754500000000007</v>
      </c>
      <c r="U257" s="43">
        <v>256</v>
      </c>
      <c r="V257" s="4">
        <f t="shared" ca="1" si="24"/>
        <v>18.5</v>
      </c>
      <c r="W257" s="54">
        <f t="shared" ca="1" si="25"/>
        <v>1</v>
      </c>
      <c r="X257" s="4">
        <f t="shared" ca="1" si="21"/>
        <v>1.098901098901099</v>
      </c>
      <c r="Y257" s="4">
        <f t="shared" ca="1" si="26"/>
        <v>84.655598901098912</v>
      </c>
      <c r="Z257">
        <f t="shared" si="27"/>
        <v>3.2169999999999987</v>
      </c>
    </row>
    <row r="258" spans="1:26" x14ac:dyDescent="0.35">
      <c r="A258" t="s">
        <v>317</v>
      </c>
      <c r="B258" t="s">
        <v>541</v>
      </c>
      <c r="C258" t="s">
        <v>394</v>
      </c>
      <c r="D258" t="s">
        <v>395</v>
      </c>
      <c r="E258" t="s">
        <v>396</v>
      </c>
      <c r="F258" t="s">
        <v>643</v>
      </c>
      <c r="G258" t="s">
        <v>398</v>
      </c>
      <c r="H258">
        <v>2</v>
      </c>
      <c r="I258">
        <v>0.7</v>
      </c>
      <c r="J258">
        <v>1.453999999999982</v>
      </c>
      <c r="K258">
        <v>1.4729999999999803</v>
      </c>
      <c r="L258">
        <v>97.471000000000004</v>
      </c>
      <c r="M258">
        <v>97.408000000000001</v>
      </c>
      <c r="N258" t="s">
        <v>1055</v>
      </c>
      <c r="O258" t="s">
        <v>1056</v>
      </c>
      <c r="P258" t="s">
        <v>401</v>
      </c>
      <c r="Q258" s="3">
        <v>45604</v>
      </c>
      <c r="R258" s="3">
        <v>46101</v>
      </c>
      <c r="S258" s="4">
        <f t="shared" ca="1" si="22"/>
        <v>3.4770704996577688</v>
      </c>
      <c r="T258">
        <f t="shared" si="23"/>
        <v>97.43950000000001</v>
      </c>
      <c r="U258" s="43">
        <v>257</v>
      </c>
      <c r="V258" s="4">
        <f t="shared" ca="1" si="24"/>
        <v>3</v>
      </c>
      <c r="W258" s="54">
        <f t="shared" ca="1" si="25"/>
        <v>2</v>
      </c>
      <c r="X258" s="4">
        <f t="shared" ref="X258:X321" ca="1" si="28">(TODAY()-DATE(YEAR(R258),MONTH(R258)-6,DAY(R258)))/182*(I258)</f>
        <v>0.73461538461538456</v>
      </c>
      <c r="Y258" s="4">
        <f t="shared" ca="1" si="26"/>
        <v>96.704884615384628</v>
      </c>
      <c r="Z258">
        <f t="shared" si="27"/>
        <v>1.4634999999999811</v>
      </c>
    </row>
    <row r="259" spans="1:26" x14ac:dyDescent="0.35">
      <c r="A259" t="s">
        <v>318</v>
      </c>
      <c r="B259" t="s">
        <v>624</v>
      </c>
      <c r="C259" t="s">
        <v>394</v>
      </c>
      <c r="D259" t="s">
        <v>395</v>
      </c>
      <c r="E259" t="s">
        <v>396</v>
      </c>
      <c r="F259" t="s">
        <v>1057</v>
      </c>
      <c r="G259" t="s">
        <v>398</v>
      </c>
      <c r="H259">
        <v>2</v>
      </c>
      <c r="I259">
        <v>0.6</v>
      </c>
      <c r="J259">
        <v>0.93199999999986527</v>
      </c>
      <c r="K259">
        <v>0.95399999999982954</v>
      </c>
      <c r="L259">
        <v>99.760999999999996</v>
      </c>
      <c r="M259">
        <v>99.745000000000005</v>
      </c>
      <c r="N259" t="s">
        <v>1058</v>
      </c>
      <c r="O259" t="s">
        <v>1059</v>
      </c>
      <c r="P259" t="s">
        <v>401</v>
      </c>
      <c r="Q259" s="3">
        <v>45618</v>
      </c>
      <c r="R259" s="3">
        <v>46174</v>
      </c>
      <c r="S259" s="4">
        <f t="shared" ref="S259:S322" ca="1" si="29">(F259-TODAY())/365.25</f>
        <v>0.67351129363449691</v>
      </c>
      <c r="T259">
        <f t="shared" ref="T259:T322" si="30">AVERAGE(L259:M259)</f>
        <v>99.753</v>
      </c>
      <c r="U259" s="43">
        <v>258</v>
      </c>
      <c r="V259" s="4">
        <f t="shared" ref="V259:V322" ca="1" si="31">ROUNDDOWN(S259,0)+IF(S259-ROUNDDOWN(S259,0)&gt;0.5,0.5,0)</f>
        <v>0.5</v>
      </c>
      <c r="W259" s="54">
        <f t="shared" ref="W259:W322" ca="1" si="32">YEAR(TODAY())-YEAR(Q259)</f>
        <v>2</v>
      </c>
      <c r="X259" s="4">
        <f t="shared" ca="1" si="28"/>
        <v>0.3923076923076923</v>
      </c>
      <c r="Y259" s="4">
        <f t="shared" ref="Y259:Y322" ca="1" si="33">T259-X259</f>
        <v>99.360692307692304</v>
      </c>
      <c r="Z259">
        <f t="shared" ref="Z259:Z322" si="34">AVERAGE(J259:K259)</f>
        <v>0.9429999999998474</v>
      </c>
    </row>
    <row r="260" spans="1:26" x14ac:dyDescent="0.35">
      <c r="A260" t="s">
        <v>319</v>
      </c>
      <c r="B260" t="s">
        <v>624</v>
      </c>
      <c r="C260" t="s">
        <v>394</v>
      </c>
      <c r="D260" t="s">
        <v>395</v>
      </c>
      <c r="E260" t="s">
        <v>396</v>
      </c>
      <c r="F260" t="s">
        <v>1060</v>
      </c>
      <c r="G260" t="s">
        <v>398</v>
      </c>
      <c r="H260">
        <v>2</v>
      </c>
      <c r="I260">
        <v>0.4</v>
      </c>
      <c r="J260">
        <v>0.87599999999905209</v>
      </c>
      <c r="K260">
        <v>0.89999999999891589</v>
      </c>
      <c r="L260">
        <v>99.736000000000004</v>
      </c>
      <c r="M260">
        <v>99.722999999999999</v>
      </c>
      <c r="N260" t="s">
        <v>1061</v>
      </c>
      <c r="O260" t="s">
        <v>1062</v>
      </c>
      <c r="P260" t="s">
        <v>401</v>
      </c>
      <c r="Q260" s="3">
        <v>45555</v>
      </c>
      <c r="R260" s="3">
        <v>46113</v>
      </c>
      <c r="S260" s="4">
        <f t="shared" ca="1" si="29"/>
        <v>0.50650239561943877</v>
      </c>
      <c r="T260">
        <f t="shared" si="30"/>
        <v>99.729500000000002</v>
      </c>
      <c r="U260" s="43">
        <v>259</v>
      </c>
      <c r="V260" s="4">
        <f t="shared" ca="1" si="31"/>
        <v>0.5</v>
      </c>
      <c r="W260" s="54">
        <f t="shared" ca="1" si="32"/>
        <v>2</v>
      </c>
      <c r="X260" s="4">
        <f t="shared" ca="1" si="28"/>
        <v>0.39560439560439564</v>
      </c>
      <c r="Y260" s="4">
        <f t="shared" ca="1" si="33"/>
        <v>99.333895604395607</v>
      </c>
      <c r="Z260">
        <f t="shared" si="34"/>
        <v>0.88799999999898405</v>
      </c>
    </row>
    <row r="261" spans="1:26" x14ac:dyDescent="0.35">
      <c r="A261" t="s">
        <v>320</v>
      </c>
      <c r="B261" t="s">
        <v>393</v>
      </c>
      <c r="C261" t="s">
        <v>394</v>
      </c>
      <c r="D261" t="s">
        <v>395</v>
      </c>
      <c r="E261" t="s">
        <v>396</v>
      </c>
      <c r="F261" t="s">
        <v>688</v>
      </c>
      <c r="G261" t="s">
        <v>398</v>
      </c>
      <c r="H261">
        <v>2</v>
      </c>
      <c r="I261">
        <v>0.9</v>
      </c>
      <c r="J261">
        <v>2.0939999999227852</v>
      </c>
      <c r="K261">
        <v>2.1099999999161341</v>
      </c>
      <c r="L261">
        <v>91.361999999999995</v>
      </c>
      <c r="M261">
        <v>91.256</v>
      </c>
      <c r="N261" t="s">
        <v>1063</v>
      </c>
      <c r="O261" t="s">
        <v>1064</v>
      </c>
      <c r="P261" t="s">
        <v>401</v>
      </c>
      <c r="Q261" s="3">
        <v>45561</v>
      </c>
      <c r="R261" s="3">
        <v>46101</v>
      </c>
      <c r="S261" s="4">
        <f t="shared" ca="1" si="29"/>
        <v>8.4763860369609851</v>
      </c>
      <c r="T261">
        <f t="shared" si="30"/>
        <v>91.308999999999997</v>
      </c>
      <c r="U261" s="43">
        <v>260</v>
      </c>
      <c r="V261" s="4">
        <f t="shared" ca="1" si="31"/>
        <v>8</v>
      </c>
      <c r="W261" s="54">
        <f t="shared" ca="1" si="32"/>
        <v>2</v>
      </c>
      <c r="X261" s="4">
        <f t="shared" ca="1" si="28"/>
        <v>0.94450549450549459</v>
      </c>
      <c r="Y261" s="4">
        <f t="shared" ca="1" si="33"/>
        <v>90.364494505494505</v>
      </c>
      <c r="Z261">
        <f t="shared" si="34"/>
        <v>2.1019999999194594</v>
      </c>
    </row>
    <row r="262" spans="1:26" x14ac:dyDescent="0.35">
      <c r="A262" t="s">
        <v>321</v>
      </c>
      <c r="B262" t="s">
        <v>402</v>
      </c>
      <c r="C262" t="s">
        <v>394</v>
      </c>
      <c r="D262" t="s">
        <v>395</v>
      </c>
      <c r="E262" t="s">
        <v>396</v>
      </c>
      <c r="F262" t="s">
        <v>1065</v>
      </c>
      <c r="G262" t="s">
        <v>398</v>
      </c>
      <c r="H262">
        <v>2</v>
      </c>
      <c r="I262">
        <v>2.1</v>
      </c>
      <c r="J262">
        <v>3.8659999999999322</v>
      </c>
      <c r="K262">
        <v>3.901999999999918</v>
      </c>
      <c r="L262">
        <v>76.043000000000006</v>
      </c>
      <c r="M262">
        <v>75.673000000000002</v>
      </c>
      <c r="N262" t="s">
        <v>1066</v>
      </c>
      <c r="O262" t="s">
        <v>1067</v>
      </c>
      <c r="P262" t="s">
        <v>401</v>
      </c>
      <c r="Q262" s="3">
        <v>45566</v>
      </c>
      <c r="R262" s="3">
        <v>46101</v>
      </c>
      <c r="S262" s="4">
        <f t="shared" ca="1" si="29"/>
        <v>28.476386036960985</v>
      </c>
      <c r="T262">
        <f t="shared" si="30"/>
        <v>75.858000000000004</v>
      </c>
      <c r="U262" s="43">
        <v>261</v>
      </c>
      <c r="V262" s="4">
        <f t="shared" ca="1" si="31"/>
        <v>28</v>
      </c>
      <c r="W262" s="54">
        <f t="shared" ca="1" si="32"/>
        <v>2</v>
      </c>
      <c r="X262" s="4">
        <f t="shared" ca="1" si="28"/>
        <v>2.203846153846154</v>
      </c>
      <c r="Y262" s="4">
        <f t="shared" ca="1" si="33"/>
        <v>73.654153846153847</v>
      </c>
      <c r="Z262">
        <f t="shared" si="34"/>
        <v>3.8839999999999248</v>
      </c>
    </row>
    <row r="263" spans="1:26" x14ac:dyDescent="0.35">
      <c r="A263" t="s">
        <v>322</v>
      </c>
      <c r="B263" t="s">
        <v>541</v>
      </c>
      <c r="C263" t="s">
        <v>394</v>
      </c>
      <c r="D263" t="s">
        <v>395</v>
      </c>
      <c r="E263" t="s">
        <v>396</v>
      </c>
      <c r="F263" t="s">
        <v>643</v>
      </c>
      <c r="G263" t="s">
        <v>398</v>
      </c>
      <c r="H263">
        <v>2</v>
      </c>
      <c r="I263">
        <v>0.6</v>
      </c>
      <c r="J263">
        <v>1.4539999999999584</v>
      </c>
      <c r="K263">
        <v>1.4729999999999528</v>
      </c>
      <c r="L263">
        <v>97.135000000000005</v>
      </c>
      <c r="M263">
        <v>97.072999999999993</v>
      </c>
      <c r="N263" t="s">
        <v>1068</v>
      </c>
      <c r="O263" t="s">
        <v>1069</v>
      </c>
      <c r="P263" t="s">
        <v>401</v>
      </c>
      <c r="Q263" s="3">
        <v>45568</v>
      </c>
      <c r="R263" s="3">
        <v>46101</v>
      </c>
      <c r="S263" s="4">
        <f t="shared" ca="1" si="29"/>
        <v>3.4770704996577688</v>
      </c>
      <c r="T263">
        <f t="shared" si="30"/>
        <v>97.103999999999999</v>
      </c>
      <c r="U263" s="43">
        <v>262</v>
      </c>
      <c r="V263" s="4">
        <f t="shared" ca="1" si="31"/>
        <v>3</v>
      </c>
      <c r="W263" s="54">
        <f t="shared" ca="1" si="32"/>
        <v>2</v>
      </c>
      <c r="X263" s="4">
        <f t="shared" ca="1" si="28"/>
        <v>0.62967032967032965</v>
      </c>
      <c r="Y263" s="4">
        <f t="shared" ca="1" si="33"/>
        <v>96.474329670329666</v>
      </c>
      <c r="Z263">
        <f t="shared" si="34"/>
        <v>1.4634999999999556</v>
      </c>
    </row>
    <row r="264" spans="1:26" x14ac:dyDescent="0.35">
      <c r="A264" t="s">
        <v>323</v>
      </c>
      <c r="B264" t="s">
        <v>406</v>
      </c>
      <c r="C264" t="s">
        <v>394</v>
      </c>
      <c r="D264" t="s">
        <v>395</v>
      </c>
      <c r="E264" t="s">
        <v>396</v>
      </c>
      <c r="F264" t="s">
        <v>908</v>
      </c>
      <c r="G264" t="s">
        <v>398</v>
      </c>
      <c r="H264">
        <v>2</v>
      </c>
      <c r="I264">
        <v>1.8</v>
      </c>
      <c r="J264">
        <v>3.2319999999999975</v>
      </c>
      <c r="K264">
        <v>3.2559999999999971</v>
      </c>
      <c r="L264">
        <v>83.406000000000006</v>
      </c>
      <c r="M264">
        <v>83.174999999999997</v>
      </c>
      <c r="N264" t="s">
        <v>1070</v>
      </c>
      <c r="O264" t="s">
        <v>1071</v>
      </c>
      <c r="P264" t="s">
        <v>401</v>
      </c>
      <c r="Q264" s="3">
        <v>45582</v>
      </c>
      <c r="R264" s="3">
        <v>46101</v>
      </c>
      <c r="S264" s="4">
        <f t="shared" ca="1" si="29"/>
        <v>18.477754962354553</v>
      </c>
      <c r="T264">
        <f t="shared" si="30"/>
        <v>83.290500000000009</v>
      </c>
      <c r="U264" s="43">
        <v>263</v>
      </c>
      <c r="V264" s="4">
        <f t="shared" ca="1" si="31"/>
        <v>18</v>
      </c>
      <c r="W264" s="54">
        <f t="shared" ca="1" si="32"/>
        <v>2</v>
      </c>
      <c r="X264" s="4">
        <f t="shared" ca="1" si="28"/>
        <v>1.8890109890109892</v>
      </c>
      <c r="Y264" s="4">
        <f t="shared" ca="1" si="33"/>
        <v>81.401489010989025</v>
      </c>
      <c r="Z264">
        <f t="shared" si="34"/>
        <v>3.2439999999999971</v>
      </c>
    </row>
    <row r="265" spans="1:26" x14ac:dyDescent="0.35">
      <c r="A265" t="s">
        <v>324</v>
      </c>
      <c r="B265" t="s">
        <v>624</v>
      </c>
      <c r="C265" t="s">
        <v>394</v>
      </c>
      <c r="D265" t="s">
        <v>395</v>
      </c>
      <c r="E265" t="s">
        <v>396</v>
      </c>
      <c r="F265" t="s">
        <v>1072</v>
      </c>
      <c r="G265" t="s">
        <v>398</v>
      </c>
      <c r="H265">
        <v>2</v>
      </c>
      <c r="I265">
        <v>0.5</v>
      </c>
      <c r="J265">
        <v>0.91699999999956083</v>
      </c>
      <c r="K265">
        <v>0.94099999999944961</v>
      </c>
      <c r="L265">
        <v>99.733999999999995</v>
      </c>
      <c r="M265">
        <v>99.718000000000004</v>
      </c>
      <c r="N265" t="s">
        <v>1073</v>
      </c>
      <c r="O265" t="s">
        <v>1074</v>
      </c>
      <c r="P265" t="s">
        <v>401</v>
      </c>
      <c r="Q265" s="3">
        <v>45587</v>
      </c>
      <c r="R265" s="3">
        <v>46143</v>
      </c>
      <c r="S265" s="4">
        <f t="shared" ca="1" si="29"/>
        <v>0.59137577002053388</v>
      </c>
      <c r="T265">
        <f t="shared" si="30"/>
        <v>99.725999999999999</v>
      </c>
      <c r="U265" s="43">
        <v>264</v>
      </c>
      <c r="V265" s="4">
        <f t="shared" ca="1" si="31"/>
        <v>0.5</v>
      </c>
      <c r="W265" s="54">
        <f t="shared" ca="1" si="32"/>
        <v>2</v>
      </c>
      <c r="X265" s="4">
        <f t="shared" ca="1" si="28"/>
        <v>0.40934065934065933</v>
      </c>
      <c r="Y265" s="4">
        <f t="shared" ca="1" si="33"/>
        <v>99.316659340659342</v>
      </c>
      <c r="Z265">
        <f t="shared" si="34"/>
        <v>0.92899999999950522</v>
      </c>
    </row>
    <row r="266" spans="1:26" x14ac:dyDescent="0.35">
      <c r="A266" t="s">
        <v>325</v>
      </c>
      <c r="B266" t="s">
        <v>541</v>
      </c>
      <c r="C266" t="s">
        <v>394</v>
      </c>
      <c r="D266" t="s">
        <v>395</v>
      </c>
      <c r="E266" t="s">
        <v>396</v>
      </c>
      <c r="F266" t="s">
        <v>492</v>
      </c>
      <c r="G266" t="s">
        <v>398</v>
      </c>
      <c r="H266">
        <v>2</v>
      </c>
      <c r="I266">
        <v>0.4</v>
      </c>
      <c r="J266">
        <v>1.4129999999999545</v>
      </c>
      <c r="K266">
        <v>1.432999999999951</v>
      </c>
      <c r="L266">
        <v>96.83</v>
      </c>
      <c r="M266">
        <v>96.769000000000005</v>
      </c>
      <c r="N266" t="s">
        <v>1075</v>
      </c>
      <c r="O266" t="s">
        <v>1076</v>
      </c>
      <c r="P266" t="s">
        <v>401</v>
      </c>
      <c r="Q266" s="3">
        <v>45511</v>
      </c>
      <c r="R266" s="3">
        <v>46193</v>
      </c>
      <c r="S266" s="4">
        <f t="shared" ca="1" si="29"/>
        <v>3.2251882272416155</v>
      </c>
      <c r="T266">
        <f t="shared" si="30"/>
        <v>96.799499999999995</v>
      </c>
      <c r="U266" s="43">
        <v>265</v>
      </c>
      <c r="V266" s="4">
        <f t="shared" ca="1" si="31"/>
        <v>3</v>
      </c>
      <c r="W266" s="54">
        <f t="shared" ca="1" si="32"/>
        <v>2</v>
      </c>
      <c r="X266" s="4">
        <f t="shared" ca="1" si="28"/>
        <v>0.2197802197802198</v>
      </c>
      <c r="Y266" s="4">
        <f t="shared" ca="1" si="33"/>
        <v>96.579719780219776</v>
      </c>
      <c r="Z266">
        <f t="shared" si="34"/>
        <v>1.4229999999999527</v>
      </c>
    </row>
    <row r="267" spans="1:26" x14ac:dyDescent="0.35">
      <c r="A267" t="s">
        <v>326</v>
      </c>
      <c r="B267" t="s">
        <v>624</v>
      </c>
      <c r="C267" t="s">
        <v>394</v>
      </c>
      <c r="D267" t="s">
        <v>395</v>
      </c>
      <c r="E267" t="s">
        <v>396</v>
      </c>
      <c r="F267" t="s">
        <v>1077</v>
      </c>
      <c r="G267" t="s">
        <v>398</v>
      </c>
      <c r="H267">
        <v>2</v>
      </c>
      <c r="I267">
        <v>0.4</v>
      </c>
      <c r="J267">
        <v>0.85300000000007992</v>
      </c>
      <c r="K267">
        <v>0.87600000000003142</v>
      </c>
      <c r="L267">
        <v>99.786000000000001</v>
      </c>
      <c r="M267">
        <v>99.775000000000006</v>
      </c>
      <c r="N267" t="s">
        <v>1078</v>
      </c>
      <c r="O267" t="s">
        <v>1079</v>
      </c>
      <c r="P267" t="s">
        <v>401</v>
      </c>
      <c r="Q267" s="3">
        <v>45526</v>
      </c>
      <c r="R267" s="3">
        <v>46266</v>
      </c>
      <c r="S267" s="4">
        <f t="shared" ca="1" si="29"/>
        <v>0.42436687200547568</v>
      </c>
      <c r="T267">
        <f t="shared" si="30"/>
        <v>99.780500000000004</v>
      </c>
      <c r="U267" s="43">
        <v>266</v>
      </c>
      <c r="V267" s="4">
        <f t="shared" ca="1" si="31"/>
        <v>0</v>
      </c>
      <c r="W267" s="54">
        <f t="shared" ca="1" si="32"/>
        <v>2</v>
      </c>
      <c r="X267" s="4">
        <f t="shared" ca="1" si="28"/>
        <v>6.3736263736263732E-2</v>
      </c>
      <c r="Y267" s="4">
        <f t="shared" ca="1" si="33"/>
        <v>99.716763736263744</v>
      </c>
      <c r="Z267">
        <f t="shared" si="34"/>
        <v>0.86450000000005567</v>
      </c>
    </row>
    <row r="268" spans="1:26" x14ac:dyDescent="0.35">
      <c r="A268" t="s">
        <v>327</v>
      </c>
      <c r="B268" t="s">
        <v>541</v>
      </c>
      <c r="C268" t="s">
        <v>394</v>
      </c>
      <c r="D268" t="s">
        <v>395</v>
      </c>
      <c r="E268" t="s">
        <v>396</v>
      </c>
      <c r="F268" t="s">
        <v>492</v>
      </c>
      <c r="G268" t="s">
        <v>398</v>
      </c>
      <c r="H268">
        <v>2</v>
      </c>
      <c r="I268">
        <v>0.5</v>
      </c>
      <c r="J268">
        <v>1.4109999999999803</v>
      </c>
      <c r="K268">
        <v>1.432999999999975</v>
      </c>
      <c r="L268">
        <v>97.149000000000001</v>
      </c>
      <c r="M268">
        <v>97.081999999999994</v>
      </c>
      <c r="N268" t="s">
        <v>1080</v>
      </c>
      <c r="O268" t="s">
        <v>1081</v>
      </c>
      <c r="P268" t="s">
        <v>401</v>
      </c>
      <c r="Q268" s="3">
        <v>45538</v>
      </c>
      <c r="R268" s="3">
        <v>46193</v>
      </c>
      <c r="S268" s="4">
        <f t="shared" ca="1" si="29"/>
        <v>3.2251882272416155</v>
      </c>
      <c r="T268">
        <f t="shared" si="30"/>
        <v>97.115499999999997</v>
      </c>
      <c r="U268" s="43">
        <v>267</v>
      </c>
      <c r="V268" s="4">
        <f t="shared" ca="1" si="31"/>
        <v>3</v>
      </c>
      <c r="W268" s="54">
        <f t="shared" ca="1" si="32"/>
        <v>2</v>
      </c>
      <c r="X268" s="4">
        <f t="shared" ca="1" si="28"/>
        <v>0.27472527472527475</v>
      </c>
      <c r="Y268" s="4">
        <f t="shared" ca="1" si="33"/>
        <v>96.840774725274727</v>
      </c>
      <c r="Z268">
        <f t="shared" si="34"/>
        <v>1.4219999999999775</v>
      </c>
    </row>
    <row r="269" spans="1:26" x14ac:dyDescent="0.35">
      <c r="A269" t="s">
        <v>328</v>
      </c>
      <c r="B269" t="s">
        <v>624</v>
      </c>
      <c r="C269" t="s">
        <v>394</v>
      </c>
      <c r="D269" t="s">
        <v>395</v>
      </c>
      <c r="E269" t="s">
        <v>396</v>
      </c>
      <c r="F269" t="s">
        <v>1082</v>
      </c>
      <c r="G269" t="s">
        <v>398</v>
      </c>
      <c r="H269">
        <v>2</v>
      </c>
      <c r="I269">
        <v>0.4</v>
      </c>
      <c r="J269">
        <v>0.79000000000009518</v>
      </c>
      <c r="K269">
        <v>0.81299999999999473</v>
      </c>
      <c r="L269">
        <v>99.881</v>
      </c>
      <c r="M269">
        <v>99.873999999999995</v>
      </c>
      <c r="N269" t="s">
        <v>1083</v>
      </c>
      <c r="O269" t="s">
        <v>1084</v>
      </c>
      <c r="P269" t="s">
        <v>401</v>
      </c>
      <c r="Q269" s="3">
        <v>45463</v>
      </c>
      <c r="R269" s="3">
        <v>46204</v>
      </c>
      <c r="S269" s="4">
        <f t="shared" ca="1" si="29"/>
        <v>0.25462012320328542</v>
      </c>
      <c r="T269">
        <f t="shared" si="30"/>
        <v>99.877499999999998</v>
      </c>
      <c r="U269" s="43">
        <v>268</v>
      </c>
      <c r="V269" s="4">
        <f t="shared" ca="1" si="31"/>
        <v>0</v>
      </c>
      <c r="W269" s="54">
        <f t="shared" ca="1" si="32"/>
        <v>2</v>
      </c>
      <c r="X269" s="4">
        <f t="shared" ca="1" si="28"/>
        <v>0.19340659340659341</v>
      </c>
      <c r="Y269" s="4">
        <f t="shared" ca="1" si="33"/>
        <v>99.684093406593405</v>
      </c>
      <c r="Z269">
        <f t="shared" si="34"/>
        <v>0.80150000000004495</v>
      </c>
    </row>
    <row r="270" spans="1:26" x14ac:dyDescent="0.35">
      <c r="A270" t="s">
        <v>329</v>
      </c>
      <c r="B270" t="s">
        <v>393</v>
      </c>
      <c r="C270" t="s">
        <v>394</v>
      </c>
      <c r="D270" t="s">
        <v>395</v>
      </c>
      <c r="E270" t="s">
        <v>396</v>
      </c>
      <c r="F270" t="s">
        <v>685</v>
      </c>
      <c r="G270" t="s">
        <v>398</v>
      </c>
      <c r="H270">
        <v>2</v>
      </c>
      <c r="I270">
        <v>1.1000000000000001</v>
      </c>
      <c r="J270">
        <v>2.0449999999900084</v>
      </c>
      <c r="K270">
        <v>2.0609999999889457</v>
      </c>
      <c r="L270">
        <v>93.311999999999998</v>
      </c>
      <c r="M270">
        <v>93.206999999999994</v>
      </c>
      <c r="N270" t="s">
        <v>1085</v>
      </c>
      <c r="O270" t="s">
        <v>1086</v>
      </c>
      <c r="P270" t="s">
        <v>401</v>
      </c>
      <c r="Q270" s="3">
        <v>45468</v>
      </c>
      <c r="R270" s="3">
        <v>46193</v>
      </c>
      <c r="S270" s="4">
        <f t="shared" ca="1" si="29"/>
        <v>8.2245037645448331</v>
      </c>
      <c r="T270">
        <f t="shared" si="30"/>
        <v>93.259500000000003</v>
      </c>
      <c r="U270" s="43">
        <v>269</v>
      </c>
      <c r="V270" s="4">
        <f t="shared" ca="1" si="31"/>
        <v>8</v>
      </c>
      <c r="W270" s="54">
        <f t="shared" ca="1" si="32"/>
        <v>2</v>
      </c>
      <c r="X270" s="4">
        <f t="shared" ca="1" si="28"/>
        <v>0.60439560439560447</v>
      </c>
      <c r="Y270" s="4">
        <f t="shared" ca="1" si="33"/>
        <v>92.655104395604397</v>
      </c>
      <c r="Z270">
        <f t="shared" si="34"/>
        <v>2.0529999999894768</v>
      </c>
    </row>
    <row r="271" spans="1:26" x14ac:dyDescent="0.35">
      <c r="A271" t="s">
        <v>330</v>
      </c>
      <c r="B271" t="s">
        <v>402</v>
      </c>
      <c r="C271" t="s">
        <v>394</v>
      </c>
      <c r="D271" t="s">
        <v>395</v>
      </c>
      <c r="E271" t="s">
        <v>396</v>
      </c>
      <c r="F271" t="s">
        <v>1087</v>
      </c>
      <c r="G271" t="s">
        <v>398</v>
      </c>
      <c r="H271">
        <v>2</v>
      </c>
      <c r="I271">
        <v>2.2000000000000002</v>
      </c>
      <c r="J271">
        <v>3.8249999999999789</v>
      </c>
      <c r="K271">
        <v>3.8619999999999775</v>
      </c>
      <c r="L271">
        <v>77.926000000000002</v>
      </c>
      <c r="M271">
        <v>77.536000000000001</v>
      </c>
      <c r="N271" t="s">
        <v>1088</v>
      </c>
      <c r="O271" t="s">
        <v>1089</v>
      </c>
      <c r="P271" t="s">
        <v>401</v>
      </c>
      <c r="Q271" s="3">
        <v>45470</v>
      </c>
      <c r="R271" s="3">
        <v>46193</v>
      </c>
      <c r="S271" s="4">
        <f t="shared" ca="1" si="29"/>
        <v>28.224503764544831</v>
      </c>
      <c r="T271">
        <f t="shared" si="30"/>
        <v>77.730999999999995</v>
      </c>
      <c r="U271" s="43">
        <v>270</v>
      </c>
      <c r="V271" s="4">
        <f t="shared" ca="1" si="31"/>
        <v>28</v>
      </c>
      <c r="W271" s="54">
        <f t="shared" ca="1" si="32"/>
        <v>2</v>
      </c>
      <c r="X271" s="4">
        <f t="shared" ca="1" si="28"/>
        <v>1.2087912087912089</v>
      </c>
      <c r="Y271" s="4">
        <f t="shared" ca="1" si="33"/>
        <v>76.522208791208783</v>
      </c>
      <c r="Z271">
        <f t="shared" si="34"/>
        <v>3.8434999999999784</v>
      </c>
    </row>
    <row r="272" spans="1:26" x14ac:dyDescent="0.35">
      <c r="A272" t="s">
        <v>331</v>
      </c>
      <c r="B272" t="s">
        <v>541</v>
      </c>
      <c r="C272" t="s">
        <v>394</v>
      </c>
      <c r="D272" t="s">
        <v>395</v>
      </c>
      <c r="E272" t="s">
        <v>396</v>
      </c>
      <c r="F272" t="s">
        <v>492</v>
      </c>
      <c r="G272" t="s">
        <v>398</v>
      </c>
      <c r="H272">
        <v>2</v>
      </c>
      <c r="I272">
        <v>0.6</v>
      </c>
      <c r="J272">
        <v>1.4069999999999812</v>
      </c>
      <c r="K272">
        <v>1.4269999999999907</v>
      </c>
      <c r="L272">
        <v>97.474000000000004</v>
      </c>
      <c r="M272">
        <v>97.412999999999997</v>
      </c>
      <c r="N272" t="s">
        <v>1090</v>
      </c>
      <c r="O272" t="s">
        <v>1091</v>
      </c>
      <c r="P272" t="s">
        <v>401</v>
      </c>
      <c r="Q272" s="3">
        <v>45475</v>
      </c>
      <c r="R272" s="3">
        <v>46193</v>
      </c>
      <c r="S272" s="4">
        <f t="shared" ca="1" si="29"/>
        <v>3.2251882272416155</v>
      </c>
      <c r="T272">
        <f t="shared" si="30"/>
        <v>97.4435</v>
      </c>
      <c r="U272" s="43">
        <v>271</v>
      </c>
      <c r="V272" s="4">
        <f t="shared" ca="1" si="31"/>
        <v>3</v>
      </c>
      <c r="W272" s="54">
        <f t="shared" ca="1" si="32"/>
        <v>2</v>
      </c>
      <c r="X272" s="4">
        <f t="shared" ca="1" si="28"/>
        <v>0.32967032967032966</v>
      </c>
      <c r="Y272" s="4">
        <f t="shared" ca="1" si="33"/>
        <v>97.113829670329665</v>
      </c>
      <c r="Z272">
        <f t="shared" si="34"/>
        <v>1.416999999999986</v>
      </c>
    </row>
    <row r="273" spans="1:26" x14ac:dyDescent="0.35">
      <c r="A273" t="s">
        <v>332</v>
      </c>
      <c r="B273" t="s">
        <v>406</v>
      </c>
      <c r="C273" t="s">
        <v>394</v>
      </c>
      <c r="D273" t="s">
        <v>395</v>
      </c>
      <c r="E273" t="s">
        <v>396</v>
      </c>
      <c r="F273" t="s">
        <v>903</v>
      </c>
      <c r="G273" t="s">
        <v>398</v>
      </c>
      <c r="H273">
        <v>2</v>
      </c>
      <c r="I273">
        <v>1.9</v>
      </c>
      <c r="J273">
        <v>3.1830000000000007</v>
      </c>
      <c r="K273">
        <v>3.2069999999999981</v>
      </c>
      <c r="L273">
        <v>85.176000000000002</v>
      </c>
      <c r="M273">
        <v>84.941000000000003</v>
      </c>
      <c r="N273" t="s">
        <v>1092</v>
      </c>
      <c r="O273" t="s">
        <v>1093</v>
      </c>
      <c r="P273" t="s">
        <v>401</v>
      </c>
      <c r="Q273" s="3">
        <v>45477</v>
      </c>
      <c r="R273" s="3">
        <v>46193</v>
      </c>
      <c r="S273" s="4">
        <f t="shared" ca="1" si="29"/>
        <v>18.225872689938399</v>
      </c>
      <c r="T273">
        <f t="shared" si="30"/>
        <v>85.058500000000009</v>
      </c>
      <c r="U273" s="43">
        <v>272</v>
      </c>
      <c r="V273" s="4">
        <f t="shared" ca="1" si="31"/>
        <v>18</v>
      </c>
      <c r="W273" s="54">
        <f t="shared" ca="1" si="32"/>
        <v>2</v>
      </c>
      <c r="X273" s="4">
        <f t="shared" ca="1" si="28"/>
        <v>1.043956043956044</v>
      </c>
      <c r="Y273" s="4">
        <f t="shared" ca="1" si="33"/>
        <v>84.014543956043966</v>
      </c>
      <c r="Z273">
        <f t="shared" si="34"/>
        <v>3.1949999999999994</v>
      </c>
    </row>
    <row r="274" spans="1:26" x14ac:dyDescent="0.35">
      <c r="A274" t="s">
        <v>333</v>
      </c>
      <c r="B274" t="s">
        <v>541</v>
      </c>
      <c r="C274" t="s">
        <v>394</v>
      </c>
      <c r="D274" t="s">
        <v>395</v>
      </c>
      <c r="E274" t="s">
        <v>396</v>
      </c>
      <c r="F274" t="s">
        <v>492</v>
      </c>
      <c r="G274" t="s">
        <v>398</v>
      </c>
      <c r="H274">
        <v>2</v>
      </c>
      <c r="I274">
        <v>0.5</v>
      </c>
      <c r="J274">
        <v>1.4149999999999832</v>
      </c>
      <c r="K274">
        <v>1.4379999999999746</v>
      </c>
      <c r="L274">
        <v>97.135999999999996</v>
      </c>
      <c r="M274">
        <v>97.066999999999993</v>
      </c>
      <c r="N274" t="s">
        <v>1094</v>
      </c>
      <c r="O274" t="s">
        <v>1095</v>
      </c>
      <c r="P274" t="s">
        <v>401</v>
      </c>
      <c r="Q274" s="3">
        <v>45484</v>
      </c>
      <c r="R274" s="3">
        <v>46193</v>
      </c>
      <c r="S274" s="4">
        <f t="shared" ca="1" si="29"/>
        <v>3.2251882272416155</v>
      </c>
      <c r="T274">
        <f t="shared" si="30"/>
        <v>97.101499999999987</v>
      </c>
      <c r="U274" s="43">
        <v>273</v>
      </c>
      <c r="V274" s="4">
        <f t="shared" ca="1" si="31"/>
        <v>3</v>
      </c>
      <c r="W274" s="54">
        <f t="shared" ca="1" si="32"/>
        <v>2</v>
      </c>
      <c r="X274" s="4">
        <f t="shared" ca="1" si="28"/>
        <v>0.27472527472527475</v>
      </c>
      <c r="Y274" s="4">
        <f t="shared" ca="1" si="33"/>
        <v>96.826774725274717</v>
      </c>
      <c r="Z274">
        <f t="shared" si="34"/>
        <v>1.426499999999979</v>
      </c>
    </row>
    <row r="275" spans="1:26" x14ac:dyDescent="0.35">
      <c r="A275" t="s">
        <v>334</v>
      </c>
      <c r="B275" t="s">
        <v>624</v>
      </c>
      <c r="C275" t="s">
        <v>394</v>
      </c>
      <c r="D275" t="s">
        <v>395</v>
      </c>
      <c r="E275" t="s">
        <v>396</v>
      </c>
      <c r="F275" t="s">
        <v>1096</v>
      </c>
      <c r="G275" t="s">
        <v>398</v>
      </c>
      <c r="H275">
        <v>2</v>
      </c>
      <c r="I275">
        <v>0.4</v>
      </c>
      <c r="J275">
        <v>0.82400000000008433</v>
      </c>
      <c r="K275">
        <v>0.84700000000012676</v>
      </c>
      <c r="L275">
        <v>99.834999999999994</v>
      </c>
      <c r="M275">
        <v>99.825999999999993</v>
      </c>
      <c r="N275" t="s">
        <v>1097</v>
      </c>
      <c r="O275" t="s">
        <v>1098</v>
      </c>
      <c r="P275" t="s">
        <v>401</v>
      </c>
      <c r="Q275" s="3">
        <v>45492</v>
      </c>
      <c r="R275" s="3">
        <v>46235</v>
      </c>
      <c r="S275" s="4">
        <f t="shared" ca="1" si="29"/>
        <v>0.33949349760438058</v>
      </c>
      <c r="T275">
        <f t="shared" si="30"/>
        <v>99.830500000000001</v>
      </c>
      <c r="U275" s="43">
        <v>274</v>
      </c>
      <c r="V275" s="4">
        <f t="shared" ca="1" si="31"/>
        <v>0</v>
      </c>
      <c r="W275" s="54">
        <f t="shared" ca="1" si="32"/>
        <v>2</v>
      </c>
      <c r="X275" s="4">
        <f t="shared" ca="1" si="28"/>
        <v>0.12527472527472527</v>
      </c>
      <c r="Y275" s="4">
        <f t="shared" ca="1" si="33"/>
        <v>99.705225274725279</v>
      </c>
      <c r="Z275">
        <f t="shared" si="34"/>
        <v>0.8355000000001056</v>
      </c>
    </row>
    <row r="276" spans="1:26" x14ac:dyDescent="0.35">
      <c r="A276" t="s">
        <v>335</v>
      </c>
      <c r="B276" t="s">
        <v>541</v>
      </c>
      <c r="C276" t="s">
        <v>394</v>
      </c>
      <c r="D276" t="s">
        <v>395</v>
      </c>
      <c r="E276" t="s">
        <v>396</v>
      </c>
      <c r="F276" t="s">
        <v>489</v>
      </c>
      <c r="G276" t="s">
        <v>398</v>
      </c>
      <c r="H276">
        <v>2</v>
      </c>
      <c r="I276">
        <v>0.6</v>
      </c>
      <c r="J276">
        <v>1.3589999999999949</v>
      </c>
      <c r="K276">
        <v>1.3799999999999946</v>
      </c>
      <c r="L276">
        <v>97.796000000000006</v>
      </c>
      <c r="M276">
        <v>97.736999999999995</v>
      </c>
      <c r="N276" t="s">
        <v>1099</v>
      </c>
      <c r="O276" t="s">
        <v>1100</v>
      </c>
      <c r="P276" t="s">
        <v>401</v>
      </c>
      <c r="Q276" s="3">
        <v>45419</v>
      </c>
      <c r="R276" s="3">
        <v>46101</v>
      </c>
      <c r="S276" s="4">
        <f t="shared" ca="1" si="29"/>
        <v>2.9733059548254621</v>
      </c>
      <c r="T276">
        <f t="shared" si="30"/>
        <v>97.766500000000008</v>
      </c>
      <c r="U276" s="43">
        <v>275</v>
      </c>
      <c r="V276" s="4">
        <f t="shared" ca="1" si="31"/>
        <v>2.5</v>
      </c>
      <c r="W276" s="54">
        <f t="shared" ca="1" si="32"/>
        <v>2</v>
      </c>
      <c r="X276" s="4">
        <f t="shared" ca="1" si="28"/>
        <v>0.62967032967032965</v>
      </c>
      <c r="Y276" s="4">
        <f t="shared" ca="1" si="33"/>
        <v>97.136829670329675</v>
      </c>
      <c r="Z276">
        <f t="shared" si="34"/>
        <v>1.3694999999999946</v>
      </c>
    </row>
    <row r="277" spans="1:26" x14ac:dyDescent="0.35">
      <c r="A277" t="s">
        <v>336</v>
      </c>
      <c r="B277" t="s">
        <v>419</v>
      </c>
      <c r="C277" t="s">
        <v>394</v>
      </c>
      <c r="D277" t="s">
        <v>395</v>
      </c>
      <c r="E277" t="s">
        <v>396</v>
      </c>
      <c r="F277" t="s">
        <v>1101</v>
      </c>
      <c r="G277" t="s">
        <v>398</v>
      </c>
      <c r="H277">
        <v>2</v>
      </c>
      <c r="I277">
        <v>2.2000000000000002</v>
      </c>
      <c r="J277">
        <v>4.0209999999998933</v>
      </c>
      <c r="K277">
        <v>4.0719999999998615</v>
      </c>
      <c r="L277">
        <v>72.62</v>
      </c>
      <c r="M277">
        <v>72.067999999999998</v>
      </c>
      <c r="N277" t="s">
        <v>1102</v>
      </c>
      <c r="O277" t="s">
        <v>1103</v>
      </c>
      <c r="P277" t="s">
        <v>401</v>
      </c>
      <c r="Q277" s="3">
        <v>45427</v>
      </c>
      <c r="R277" s="3">
        <v>46101</v>
      </c>
      <c r="S277" s="4">
        <f t="shared" ca="1" si="29"/>
        <v>37.973990417522245</v>
      </c>
      <c r="T277">
        <f t="shared" si="30"/>
        <v>72.343999999999994</v>
      </c>
      <c r="U277" s="43">
        <v>276</v>
      </c>
      <c r="V277" s="4">
        <f t="shared" ca="1" si="31"/>
        <v>37.5</v>
      </c>
      <c r="W277" s="54">
        <f t="shared" ca="1" si="32"/>
        <v>2</v>
      </c>
      <c r="X277" s="4">
        <f t="shared" ca="1" si="28"/>
        <v>2.308791208791209</v>
      </c>
      <c r="Y277" s="4">
        <f t="shared" ca="1" si="33"/>
        <v>70.035208791208788</v>
      </c>
      <c r="Z277">
        <f t="shared" si="34"/>
        <v>4.0464999999998774</v>
      </c>
    </row>
    <row r="278" spans="1:26" x14ac:dyDescent="0.35">
      <c r="A278" t="s">
        <v>337</v>
      </c>
      <c r="B278" t="s">
        <v>393</v>
      </c>
      <c r="C278" t="s">
        <v>394</v>
      </c>
      <c r="D278" t="s">
        <v>395</v>
      </c>
      <c r="E278" t="s">
        <v>396</v>
      </c>
      <c r="F278" t="s">
        <v>682</v>
      </c>
      <c r="G278" t="s">
        <v>398</v>
      </c>
      <c r="H278">
        <v>2</v>
      </c>
      <c r="I278">
        <v>1</v>
      </c>
      <c r="J278">
        <v>2.0269999999807209</v>
      </c>
      <c r="K278">
        <v>2.0729999999747895</v>
      </c>
      <c r="L278">
        <v>92.912999999999997</v>
      </c>
      <c r="M278">
        <v>92.619</v>
      </c>
      <c r="N278" t="s">
        <v>1104</v>
      </c>
      <c r="O278" t="s">
        <v>1105</v>
      </c>
      <c r="P278" t="s">
        <v>401</v>
      </c>
      <c r="Q278" s="3">
        <v>45433</v>
      </c>
      <c r="R278" s="3">
        <v>46101</v>
      </c>
      <c r="S278" s="4">
        <f t="shared" ca="1" si="29"/>
        <v>7.9726214921286793</v>
      </c>
      <c r="T278">
        <f t="shared" si="30"/>
        <v>92.765999999999991</v>
      </c>
      <c r="U278" s="43">
        <v>277</v>
      </c>
      <c r="V278" s="4">
        <f t="shared" ca="1" si="31"/>
        <v>7.5</v>
      </c>
      <c r="W278" s="54">
        <f t="shared" ca="1" si="32"/>
        <v>2</v>
      </c>
      <c r="X278" s="4">
        <f t="shared" ca="1" si="28"/>
        <v>1.0494505494505495</v>
      </c>
      <c r="Y278" s="4">
        <f t="shared" ca="1" si="33"/>
        <v>91.716549450549437</v>
      </c>
      <c r="Z278">
        <f t="shared" si="34"/>
        <v>2.0499999999777554</v>
      </c>
    </row>
    <row r="279" spans="1:26" x14ac:dyDescent="0.35">
      <c r="A279" t="s">
        <v>338</v>
      </c>
      <c r="B279" t="s">
        <v>624</v>
      </c>
      <c r="C279" t="s">
        <v>394</v>
      </c>
      <c r="D279" t="s">
        <v>395</v>
      </c>
      <c r="E279" t="s">
        <v>396</v>
      </c>
      <c r="F279" t="s">
        <v>1106</v>
      </c>
      <c r="G279" t="s">
        <v>398</v>
      </c>
      <c r="H279">
        <v>2</v>
      </c>
      <c r="I279">
        <v>0.4</v>
      </c>
      <c r="J279">
        <v>0.76299999999997958</v>
      </c>
      <c r="K279">
        <v>0.78500000000007186</v>
      </c>
      <c r="L279">
        <v>99.918999999999997</v>
      </c>
      <c r="M279">
        <v>99.914000000000001</v>
      </c>
      <c r="N279" t="s">
        <v>1107</v>
      </c>
      <c r="O279" t="s">
        <v>1108</v>
      </c>
      <c r="P279" t="s">
        <v>401</v>
      </c>
      <c r="Q279" s="3">
        <v>45435</v>
      </c>
      <c r="R279" s="3">
        <v>46174</v>
      </c>
      <c r="S279" s="4">
        <f t="shared" ca="1" si="29"/>
        <v>0.17248459958932238</v>
      </c>
      <c r="T279">
        <f t="shared" si="30"/>
        <v>99.916499999999999</v>
      </c>
      <c r="U279" s="43">
        <v>278</v>
      </c>
      <c r="V279" s="4">
        <f t="shared" ca="1" si="31"/>
        <v>0</v>
      </c>
      <c r="W279" s="54">
        <f t="shared" ca="1" si="32"/>
        <v>2</v>
      </c>
      <c r="X279" s="4">
        <f t="shared" ca="1" si="28"/>
        <v>0.26153846153846155</v>
      </c>
      <c r="Y279" s="4">
        <f t="shared" ca="1" si="33"/>
        <v>99.654961538461535</v>
      </c>
      <c r="Z279">
        <f t="shared" si="34"/>
        <v>0.77400000000002578</v>
      </c>
    </row>
    <row r="280" spans="1:26" x14ac:dyDescent="0.35">
      <c r="A280" t="s">
        <v>339</v>
      </c>
      <c r="B280" t="s">
        <v>541</v>
      </c>
      <c r="C280" t="s">
        <v>394</v>
      </c>
      <c r="D280" t="s">
        <v>395</v>
      </c>
      <c r="E280" t="s">
        <v>396</v>
      </c>
      <c r="F280" t="s">
        <v>489</v>
      </c>
      <c r="G280" t="s">
        <v>398</v>
      </c>
      <c r="H280">
        <v>2</v>
      </c>
      <c r="I280">
        <v>0.5</v>
      </c>
      <c r="J280">
        <v>1.3569999999999802</v>
      </c>
      <c r="K280">
        <v>1.3779999999999786</v>
      </c>
      <c r="L280">
        <v>97.512</v>
      </c>
      <c r="M280">
        <v>97.451999999999998</v>
      </c>
      <c r="N280" t="s">
        <v>1109</v>
      </c>
      <c r="O280" t="s">
        <v>1110</v>
      </c>
      <c r="P280" t="s">
        <v>401</v>
      </c>
      <c r="Q280" s="3">
        <v>45456</v>
      </c>
      <c r="R280" s="3">
        <v>46101</v>
      </c>
      <c r="S280" s="4">
        <f t="shared" ca="1" si="29"/>
        <v>2.9733059548254621</v>
      </c>
      <c r="T280">
        <f t="shared" si="30"/>
        <v>97.481999999999999</v>
      </c>
      <c r="U280" s="43">
        <v>279</v>
      </c>
      <c r="V280" s="4">
        <f t="shared" ca="1" si="31"/>
        <v>2.5</v>
      </c>
      <c r="W280" s="54">
        <f t="shared" ca="1" si="32"/>
        <v>2</v>
      </c>
      <c r="X280" s="4">
        <f t="shared" ca="1" si="28"/>
        <v>0.52472527472527475</v>
      </c>
      <c r="Y280" s="4">
        <f t="shared" ca="1" si="33"/>
        <v>96.957274725274729</v>
      </c>
      <c r="Z280">
        <f t="shared" si="34"/>
        <v>1.3674999999999793</v>
      </c>
    </row>
    <row r="281" spans="1:26" x14ac:dyDescent="0.35">
      <c r="A281" t="s">
        <v>340</v>
      </c>
      <c r="B281" t="s">
        <v>624</v>
      </c>
      <c r="C281" t="s">
        <v>394</v>
      </c>
      <c r="D281" t="s">
        <v>395</v>
      </c>
      <c r="E281" t="s">
        <v>396</v>
      </c>
      <c r="F281" t="s">
        <v>1111</v>
      </c>
      <c r="G281" t="s">
        <v>398</v>
      </c>
      <c r="H281">
        <v>2</v>
      </c>
      <c r="I281">
        <v>0.2</v>
      </c>
      <c r="J281">
        <v>0.73500000326512127</v>
      </c>
      <c r="K281">
        <v>0.75800000574591553</v>
      </c>
      <c r="L281">
        <v>99.97</v>
      </c>
      <c r="M281">
        <v>99.968999999999994</v>
      </c>
      <c r="N281" t="s">
        <v>1112</v>
      </c>
      <c r="O281" t="s">
        <v>1113</v>
      </c>
      <c r="P281" t="s">
        <v>401</v>
      </c>
      <c r="Q281" s="3">
        <v>45373</v>
      </c>
      <c r="R281" s="3">
        <v>46113</v>
      </c>
      <c r="S281" s="4">
        <f t="shared" ca="1" si="29"/>
        <v>5.4757015742642025E-3</v>
      </c>
      <c r="T281">
        <f t="shared" si="30"/>
        <v>99.969499999999996</v>
      </c>
      <c r="U281" s="43">
        <v>280</v>
      </c>
      <c r="V281" s="4">
        <f t="shared" ca="1" si="31"/>
        <v>0</v>
      </c>
      <c r="W281" s="54">
        <f t="shared" ca="1" si="32"/>
        <v>2</v>
      </c>
      <c r="X281" s="4">
        <f t="shared" ca="1" si="28"/>
        <v>0.19780219780219782</v>
      </c>
      <c r="Y281" s="4">
        <f t="shared" ca="1" si="33"/>
        <v>99.771697802197792</v>
      </c>
      <c r="Z281">
        <f t="shared" si="34"/>
        <v>0.74650000450551834</v>
      </c>
    </row>
    <row r="282" spans="1:26" x14ac:dyDescent="0.35">
      <c r="A282" t="s">
        <v>341</v>
      </c>
      <c r="B282" t="s">
        <v>393</v>
      </c>
      <c r="C282" t="s">
        <v>394</v>
      </c>
      <c r="D282" t="s">
        <v>395</v>
      </c>
      <c r="E282" t="s">
        <v>396</v>
      </c>
      <c r="F282" t="s">
        <v>682</v>
      </c>
      <c r="G282" t="s">
        <v>398</v>
      </c>
      <c r="H282">
        <v>2</v>
      </c>
      <c r="I282">
        <v>0.8</v>
      </c>
      <c r="J282">
        <v>2.0279999999292815</v>
      </c>
      <c r="K282">
        <v>2.0449999999229505</v>
      </c>
      <c r="L282">
        <v>91.527000000000001</v>
      </c>
      <c r="M282">
        <v>91.42</v>
      </c>
      <c r="N282" t="s">
        <v>1114</v>
      </c>
      <c r="O282" t="s">
        <v>1115</v>
      </c>
      <c r="P282" t="s">
        <v>401</v>
      </c>
      <c r="Q282" s="3">
        <v>45377</v>
      </c>
      <c r="R282" s="3">
        <v>46101</v>
      </c>
      <c r="S282" s="4">
        <f t="shared" ca="1" si="29"/>
        <v>7.9726214921286793</v>
      </c>
      <c r="T282">
        <f t="shared" si="30"/>
        <v>91.473500000000001</v>
      </c>
      <c r="U282" s="43">
        <v>281</v>
      </c>
      <c r="V282" s="4">
        <f t="shared" ca="1" si="31"/>
        <v>7.5</v>
      </c>
      <c r="W282" s="54">
        <f t="shared" ca="1" si="32"/>
        <v>2</v>
      </c>
      <c r="X282" s="4">
        <f t="shared" ca="1" si="28"/>
        <v>0.83956043956043969</v>
      </c>
      <c r="Y282" s="4">
        <f t="shared" ca="1" si="33"/>
        <v>90.633939560439558</v>
      </c>
      <c r="Z282">
        <f t="shared" si="34"/>
        <v>2.0364999999261162</v>
      </c>
    </row>
    <row r="283" spans="1:26" x14ac:dyDescent="0.35">
      <c r="A283" t="s">
        <v>342</v>
      </c>
      <c r="B283" t="s">
        <v>402</v>
      </c>
      <c r="C283" t="s">
        <v>394</v>
      </c>
      <c r="D283" t="s">
        <v>395</v>
      </c>
      <c r="E283" t="s">
        <v>396</v>
      </c>
      <c r="F283" t="s">
        <v>900</v>
      </c>
      <c r="G283" t="s">
        <v>398</v>
      </c>
      <c r="H283">
        <v>2</v>
      </c>
      <c r="I283">
        <v>1.8</v>
      </c>
      <c r="J283">
        <v>3.9999999999983826</v>
      </c>
      <c r="K283">
        <v>4.0389999999980901</v>
      </c>
      <c r="L283">
        <v>70.932000000000002</v>
      </c>
      <c r="M283">
        <v>70.569000000000003</v>
      </c>
      <c r="N283" t="s">
        <v>1116</v>
      </c>
      <c r="O283" t="s">
        <v>1117</v>
      </c>
      <c r="P283" t="s">
        <v>401</v>
      </c>
      <c r="Q283" s="3">
        <v>45379</v>
      </c>
      <c r="R283" s="3">
        <v>46101</v>
      </c>
      <c r="S283" s="4">
        <f t="shared" ca="1" si="29"/>
        <v>27.972621492128678</v>
      </c>
      <c r="T283">
        <f t="shared" si="30"/>
        <v>70.750500000000002</v>
      </c>
      <c r="U283" s="43">
        <v>282</v>
      </c>
      <c r="V283" s="4">
        <f t="shared" ca="1" si="31"/>
        <v>27.5</v>
      </c>
      <c r="W283" s="54">
        <f t="shared" ca="1" si="32"/>
        <v>2</v>
      </c>
      <c r="X283" s="4">
        <f t="shared" ca="1" si="28"/>
        <v>1.8890109890109892</v>
      </c>
      <c r="Y283" s="4">
        <f t="shared" ca="1" si="33"/>
        <v>68.861489010989018</v>
      </c>
      <c r="Z283">
        <f t="shared" si="34"/>
        <v>4.0194999999982368</v>
      </c>
    </row>
    <row r="284" spans="1:26" x14ac:dyDescent="0.35">
      <c r="A284" t="s">
        <v>343</v>
      </c>
      <c r="B284" t="s">
        <v>541</v>
      </c>
      <c r="C284" t="s">
        <v>394</v>
      </c>
      <c r="D284" t="s">
        <v>395</v>
      </c>
      <c r="E284" t="s">
        <v>396</v>
      </c>
      <c r="F284" t="s">
        <v>489</v>
      </c>
      <c r="G284" t="s">
        <v>398</v>
      </c>
      <c r="H284">
        <v>2</v>
      </c>
      <c r="I284">
        <v>0.4</v>
      </c>
      <c r="J284">
        <v>1.3629999999999627</v>
      </c>
      <c r="K284">
        <v>1.3839999999999646</v>
      </c>
      <c r="L284">
        <v>97.204999999999998</v>
      </c>
      <c r="M284">
        <v>97.144999999999996</v>
      </c>
      <c r="N284" t="s">
        <v>1118</v>
      </c>
      <c r="O284" t="s">
        <v>1119</v>
      </c>
      <c r="P284" t="s">
        <v>401</v>
      </c>
      <c r="Q284" s="3">
        <v>45384</v>
      </c>
      <c r="R284" s="3">
        <v>46101</v>
      </c>
      <c r="S284" s="4">
        <f t="shared" ca="1" si="29"/>
        <v>2.9733059548254621</v>
      </c>
      <c r="T284">
        <f t="shared" si="30"/>
        <v>97.174999999999997</v>
      </c>
      <c r="U284" s="43">
        <v>283</v>
      </c>
      <c r="V284" s="4">
        <f t="shared" ca="1" si="31"/>
        <v>2.5</v>
      </c>
      <c r="W284" s="54">
        <f t="shared" ca="1" si="32"/>
        <v>2</v>
      </c>
      <c r="X284" s="4">
        <f t="shared" ca="1" si="28"/>
        <v>0.41978021978021984</v>
      </c>
      <c r="Y284" s="4">
        <f t="shared" ca="1" si="33"/>
        <v>96.755219780219775</v>
      </c>
      <c r="Z284">
        <f t="shared" si="34"/>
        <v>1.3734999999999635</v>
      </c>
    </row>
    <row r="285" spans="1:26" x14ac:dyDescent="0.35">
      <c r="A285" t="s">
        <v>344</v>
      </c>
      <c r="B285" t="s">
        <v>406</v>
      </c>
      <c r="C285" t="s">
        <v>394</v>
      </c>
      <c r="D285" t="s">
        <v>395</v>
      </c>
      <c r="E285" t="s">
        <v>396</v>
      </c>
      <c r="F285" t="s">
        <v>895</v>
      </c>
      <c r="G285" t="s">
        <v>398</v>
      </c>
      <c r="H285">
        <v>2</v>
      </c>
      <c r="I285">
        <v>1.6</v>
      </c>
      <c r="J285">
        <v>3.234999999999979</v>
      </c>
      <c r="K285">
        <v>3.2589999999999755</v>
      </c>
      <c r="L285">
        <v>81.385999999999996</v>
      </c>
      <c r="M285">
        <v>81.164000000000001</v>
      </c>
      <c r="N285" t="s">
        <v>1120</v>
      </c>
      <c r="O285" t="s">
        <v>1121</v>
      </c>
      <c r="P285" t="s">
        <v>401</v>
      </c>
      <c r="Q285" s="3">
        <v>45386</v>
      </c>
      <c r="R285" s="3">
        <v>46101</v>
      </c>
      <c r="S285" s="4">
        <f t="shared" ca="1" si="29"/>
        <v>17.973990417522245</v>
      </c>
      <c r="T285">
        <f t="shared" si="30"/>
        <v>81.275000000000006</v>
      </c>
      <c r="U285" s="43">
        <v>284</v>
      </c>
      <c r="V285" s="4">
        <f t="shared" ca="1" si="31"/>
        <v>17.5</v>
      </c>
      <c r="W285" s="54">
        <f t="shared" ca="1" si="32"/>
        <v>2</v>
      </c>
      <c r="X285" s="4">
        <f t="shared" ca="1" si="28"/>
        <v>1.6791208791208794</v>
      </c>
      <c r="Y285" s="4">
        <f t="shared" ca="1" si="33"/>
        <v>79.595879120879133</v>
      </c>
      <c r="Z285">
        <f t="shared" si="34"/>
        <v>3.2469999999999772</v>
      </c>
    </row>
    <row r="286" spans="1:26" x14ac:dyDescent="0.35">
      <c r="A286" t="s">
        <v>345</v>
      </c>
      <c r="B286" t="s">
        <v>624</v>
      </c>
      <c r="C286" t="s">
        <v>394</v>
      </c>
      <c r="D286" t="s">
        <v>395</v>
      </c>
      <c r="E286" t="s">
        <v>396</v>
      </c>
      <c r="F286" t="s">
        <v>1122</v>
      </c>
      <c r="G286" t="s">
        <v>398</v>
      </c>
      <c r="H286">
        <v>2</v>
      </c>
      <c r="I286">
        <v>0.3</v>
      </c>
      <c r="J286">
        <v>0.75000000000001288</v>
      </c>
      <c r="K286">
        <v>0.77300000000015368</v>
      </c>
      <c r="L286">
        <v>99.938000000000002</v>
      </c>
      <c r="M286">
        <v>99.935000000000002</v>
      </c>
      <c r="N286" t="s">
        <v>1123</v>
      </c>
      <c r="O286" t="s">
        <v>1124</v>
      </c>
      <c r="P286" t="s">
        <v>401</v>
      </c>
      <c r="Q286" s="3">
        <v>45398</v>
      </c>
      <c r="R286" s="3">
        <v>46143</v>
      </c>
      <c r="S286" s="4">
        <f t="shared" ca="1" si="29"/>
        <v>8.761122518822724E-2</v>
      </c>
      <c r="T286">
        <f t="shared" si="30"/>
        <v>99.936499999999995</v>
      </c>
      <c r="U286" s="43">
        <v>285</v>
      </c>
      <c r="V286" s="4">
        <f t="shared" ca="1" si="31"/>
        <v>0</v>
      </c>
      <c r="W286" s="54">
        <f t="shared" ca="1" si="32"/>
        <v>2</v>
      </c>
      <c r="X286" s="4">
        <f t="shared" ca="1" si="28"/>
        <v>0.24560439560439559</v>
      </c>
      <c r="Y286" s="4">
        <f t="shared" ca="1" si="33"/>
        <v>99.690895604395607</v>
      </c>
      <c r="Z286">
        <f t="shared" si="34"/>
        <v>0.76150000000008333</v>
      </c>
    </row>
    <row r="287" spans="1:26" x14ac:dyDescent="0.35">
      <c r="A287" t="s">
        <v>346</v>
      </c>
      <c r="B287" t="s">
        <v>393</v>
      </c>
      <c r="C287" t="s">
        <v>394</v>
      </c>
      <c r="D287" t="s">
        <v>395</v>
      </c>
      <c r="E287" t="s">
        <v>396</v>
      </c>
      <c r="F287" t="s">
        <v>679</v>
      </c>
      <c r="G287" t="s">
        <v>398</v>
      </c>
      <c r="H287">
        <v>2</v>
      </c>
      <c r="I287">
        <v>0.7</v>
      </c>
      <c r="J287">
        <v>2.0299999999179619</v>
      </c>
      <c r="K287">
        <v>2.066999999902456</v>
      </c>
      <c r="L287">
        <v>91.067999999999998</v>
      </c>
      <c r="M287">
        <v>90.841999999999999</v>
      </c>
      <c r="N287" t="s">
        <v>1125</v>
      </c>
      <c r="O287" t="s">
        <v>1126</v>
      </c>
      <c r="P287" t="s">
        <v>401</v>
      </c>
      <c r="Q287" s="3">
        <v>45329</v>
      </c>
      <c r="R287" s="3">
        <v>46193</v>
      </c>
      <c r="S287" s="4">
        <f t="shared" ca="1" si="29"/>
        <v>7.7262149212867897</v>
      </c>
      <c r="T287">
        <f t="shared" si="30"/>
        <v>90.954999999999998</v>
      </c>
      <c r="U287" s="43">
        <v>286</v>
      </c>
      <c r="V287" s="4">
        <f t="shared" ca="1" si="31"/>
        <v>7.5</v>
      </c>
      <c r="W287" s="54">
        <f t="shared" ca="1" si="32"/>
        <v>2</v>
      </c>
      <c r="X287" s="4">
        <f t="shared" ca="1" si="28"/>
        <v>0.38461538461538464</v>
      </c>
      <c r="Y287" s="4">
        <f t="shared" ca="1" si="33"/>
        <v>90.570384615384611</v>
      </c>
      <c r="Z287">
        <f t="shared" si="34"/>
        <v>2.0484999999102089</v>
      </c>
    </row>
    <row r="288" spans="1:26" x14ac:dyDescent="0.35">
      <c r="A288" t="s">
        <v>347</v>
      </c>
      <c r="B288" t="s">
        <v>541</v>
      </c>
      <c r="C288" t="s">
        <v>394</v>
      </c>
      <c r="D288" t="s">
        <v>395</v>
      </c>
      <c r="E288" t="s">
        <v>396</v>
      </c>
      <c r="F288" t="s">
        <v>480</v>
      </c>
      <c r="G288" t="s">
        <v>398</v>
      </c>
      <c r="H288">
        <v>2</v>
      </c>
      <c r="I288">
        <v>0.3</v>
      </c>
      <c r="J288">
        <v>1.3179999999999865</v>
      </c>
      <c r="K288">
        <v>1.3409999999999833</v>
      </c>
      <c r="L288">
        <v>97.274000000000001</v>
      </c>
      <c r="M288">
        <v>97.213999999999999</v>
      </c>
      <c r="N288" t="s">
        <v>1127</v>
      </c>
      <c r="O288" t="s">
        <v>1128</v>
      </c>
      <c r="P288" t="s">
        <v>401</v>
      </c>
      <c r="Q288" s="3">
        <v>45342</v>
      </c>
      <c r="R288" s="3">
        <v>46193</v>
      </c>
      <c r="S288" s="4">
        <f t="shared" ca="1" si="29"/>
        <v>2.7268993839835729</v>
      </c>
      <c r="T288">
        <f t="shared" si="30"/>
        <v>97.244</v>
      </c>
      <c r="U288" s="43">
        <v>287</v>
      </c>
      <c r="V288" s="4">
        <f t="shared" ca="1" si="31"/>
        <v>2.5</v>
      </c>
      <c r="W288" s="54">
        <f t="shared" ca="1" si="32"/>
        <v>2</v>
      </c>
      <c r="X288" s="4">
        <f t="shared" ca="1" si="28"/>
        <v>0.16483516483516483</v>
      </c>
      <c r="Y288" s="4">
        <f t="shared" ca="1" si="33"/>
        <v>97.079164835164832</v>
      </c>
      <c r="Z288">
        <f t="shared" si="34"/>
        <v>1.3294999999999848</v>
      </c>
    </row>
    <row r="289" spans="1:26" x14ac:dyDescent="0.35">
      <c r="A289" t="s">
        <v>348</v>
      </c>
      <c r="B289" t="s">
        <v>541</v>
      </c>
      <c r="C289" t="s">
        <v>394</v>
      </c>
      <c r="D289" t="s">
        <v>395</v>
      </c>
      <c r="E289" t="s">
        <v>396</v>
      </c>
      <c r="F289" t="s">
        <v>480</v>
      </c>
      <c r="G289" t="s">
        <v>398</v>
      </c>
      <c r="H289">
        <v>2</v>
      </c>
      <c r="I289">
        <v>0.4</v>
      </c>
      <c r="J289">
        <v>1.3199999999999934</v>
      </c>
      <c r="K289">
        <v>1.3419999999999899</v>
      </c>
      <c r="L289">
        <v>97.536000000000001</v>
      </c>
      <c r="M289">
        <v>97.478999999999999</v>
      </c>
      <c r="N289" t="s">
        <v>1129</v>
      </c>
      <c r="O289" t="s">
        <v>1130</v>
      </c>
      <c r="P289" t="s">
        <v>401</v>
      </c>
      <c r="Q289" s="3">
        <v>45356</v>
      </c>
      <c r="R289" s="3">
        <v>46193</v>
      </c>
      <c r="S289" s="4">
        <f t="shared" ca="1" si="29"/>
        <v>2.7268993839835729</v>
      </c>
      <c r="T289">
        <f t="shared" si="30"/>
        <v>97.507499999999993</v>
      </c>
      <c r="U289" s="43">
        <v>288</v>
      </c>
      <c r="V289" s="4">
        <f t="shared" ca="1" si="31"/>
        <v>2.5</v>
      </c>
      <c r="W289" s="54">
        <f t="shared" ca="1" si="32"/>
        <v>2</v>
      </c>
      <c r="X289" s="4">
        <f t="shared" ca="1" si="28"/>
        <v>0.2197802197802198</v>
      </c>
      <c r="Y289" s="4">
        <f t="shared" ca="1" si="33"/>
        <v>97.287719780219774</v>
      </c>
      <c r="Z289">
        <f t="shared" si="34"/>
        <v>1.3309999999999915</v>
      </c>
    </row>
    <row r="290" spans="1:26" x14ac:dyDescent="0.35">
      <c r="A290" t="s">
        <v>349</v>
      </c>
      <c r="B290" t="s">
        <v>393</v>
      </c>
      <c r="C290" t="s">
        <v>394</v>
      </c>
      <c r="D290" t="s">
        <v>395</v>
      </c>
      <c r="E290" t="s">
        <v>396</v>
      </c>
      <c r="F290" t="s">
        <v>679</v>
      </c>
      <c r="G290" t="s">
        <v>398</v>
      </c>
      <c r="H290">
        <v>2</v>
      </c>
      <c r="I290">
        <v>0.6</v>
      </c>
      <c r="J290">
        <v>2.0049999998719392</v>
      </c>
      <c r="K290">
        <v>2.020999999862394</v>
      </c>
      <c r="L290">
        <v>90.549000000000007</v>
      </c>
      <c r="M290">
        <v>90.450999999999993</v>
      </c>
      <c r="N290" t="s">
        <v>1131</v>
      </c>
      <c r="O290" t="s">
        <v>1132</v>
      </c>
      <c r="P290" t="s">
        <v>401</v>
      </c>
      <c r="Q290" s="3">
        <v>45288</v>
      </c>
      <c r="R290" s="3">
        <v>46193</v>
      </c>
      <c r="S290" s="4">
        <f t="shared" ca="1" si="29"/>
        <v>7.7262149212867897</v>
      </c>
      <c r="T290">
        <f t="shared" si="30"/>
        <v>90.5</v>
      </c>
      <c r="U290" s="43">
        <v>289</v>
      </c>
      <c r="V290" s="4">
        <f t="shared" ca="1" si="31"/>
        <v>7.5</v>
      </c>
      <c r="W290" s="54">
        <f t="shared" ca="1" si="32"/>
        <v>3</v>
      </c>
      <c r="X290" s="4">
        <f t="shared" ca="1" si="28"/>
        <v>0.32967032967032966</v>
      </c>
      <c r="Y290" s="4">
        <f t="shared" ca="1" si="33"/>
        <v>90.170329670329664</v>
      </c>
      <c r="Z290">
        <f t="shared" si="34"/>
        <v>2.0129999998671666</v>
      </c>
    </row>
    <row r="291" spans="1:26" x14ac:dyDescent="0.35">
      <c r="A291" t="s">
        <v>350</v>
      </c>
      <c r="B291" t="s">
        <v>402</v>
      </c>
      <c r="C291" t="s">
        <v>394</v>
      </c>
      <c r="D291" t="s">
        <v>395</v>
      </c>
      <c r="E291" t="s">
        <v>396</v>
      </c>
      <c r="F291" t="s">
        <v>1133</v>
      </c>
      <c r="G291" t="s">
        <v>398</v>
      </c>
      <c r="H291">
        <v>2</v>
      </c>
      <c r="I291">
        <v>1.6</v>
      </c>
      <c r="J291">
        <v>4.0989999999891928</v>
      </c>
      <c r="K291">
        <v>4.1379999999874881</v>
      </c>
      <c r="L291">
        <v>67.542000000000002</v>
      </c>
      <c r="M291">
        <v>67.201999999999998</v>
      </c>
      <c r="N291" t="s">
        <v>1134</v>
      </c>
      <c r="O291" t="s">
        <v>1135</v>
      </c>
      <c r="P291" t="s">
        <v>401</v>
      </c>
      <c r="Q291" s="3">
        <v>45296</v>
      </c>
      <c r="R291" s="3">
        <v>46193</v>
      </c>
      <c r="S291" s="4">
        <f t="shared" ca="1" si="29"/>
        <v>27.72621492128679</v>
      </c>
      <c r="T291">
        <f t="shared" si="30"/>
        <v>67.372</v>
      </c>
      <c r="U291" s="43">
        <v>290</v>
      </c>
      <c r="V291" s="4">
        <f t="shared" ca="1" si="31"/>
        <v>27.5</v>
      </c>
      <c r="W291" s="54">
        <f t="shared" ca="1" si="32"/>
        <v>2</v>
      </c>
      <c r="X291" s="4">
        <f t="shared" ca="1" si="28"/>
        <v>0.87912087912087922</v>
      </c>
      <c r="Y291" s="4">
        <f t="shared" ca="1" si="33"/>
        <v>66.492879120879124</v>
      </c>
      <c r="Z291">
        <f t="shared" si="34"/>
        <v>4.1184999999883409</v>
      </c>
    </row>
    <row r="292" spans="1:26" x14ac:dyDescent="0.35">
      <c r="A292" t="s">
        <v>351</v>
      </c>
      <c r="B292" t="s">
        <v>541</v>
      </c>
      <c r="C292" t="s">
        <v>394</v>
      </c>
      <c r="D292" t="s">
        <v>395</v>
      </c>
      <c r="E292" t="s">
        <v>396</v>
      </c>
      <c r="F292" t="s">
        <v>480</v>
      </c>
      <c r="G292" t="s">
        <v>398</v>
      </c>
      <c r="H292">
        <v>2</v>
      </c>
      <c r="I292">
        <v>0.2</v>
      </c>
      <c r="J292">
        <v>1.3189999999999751</v>
      </c>
      <c r="K292">
        <v>1.3389999999999702</v>
      </c>
      <c r="L292">
        <v>97.004000000000005</v>
      </c>
      <c r="M292">
        <v>96.951999999999998</v>
      </c>
      <c r="N292" t="s">
        <v>1136</v>
      </c>
      <c r="O292" t="s">
        <v>1137</v>
      </c>
      <c r="P292" t="s">
        <v>401</v>
      </c>
      <c r="Q292" s="3">
        <v>45300</v>
      </c>
      <c r="R292" s="3">
        <v>46193</v>
      </c>
      <c r="S292" s="4">
        <f t="shared" ca="1" si="29"/>
        <v>2.7268993839835729</v>
      </c>
      <c r="T292">
        <f t="shared" si="30"/>
        <v>96.978000000000009</v>
      </c>
      <c r="U292" s="43">
        <v>291</v>
      </c>
      <c r="V292" s="4">
        <f t="shared" ca="1" si="31"/>
        <v>2.5</v>
      </c>
      <c r="W292" s="54">
        <f t="shared" ca="1" si="32"/>
        <v>2</v>
      </c>
      <c r="X292" s="4">
        <f t="shared" ca="1" si="28"/>
        <v>0.1098901098901099</v>
      </c>
      <c r="Y292" s="4">
        <f t="shared" ca="1" si="33"/>
        <v>96.868109890109892</v>
      </c>
      <c r="Z292">
        <f t="shared" si="34"/>
        <v>1.3289999999999726</v>
      </c>
    </row>
    <row r="293" spans="1:26" x14ac:dyDescent="0.35">
      <c r="A293" t="s">
        <v>352</v>
      </c>
      <c r="B293" t="s">
        <v>406</v>
      </c>
      <c r="C293" t="s">
        <v>394</v>
      </c>
      <c r="D293" t="s">
        <v>395</v>
      </c>
      <c r="E293" t="s">
        <v>396</v>
      </c>
      <c r="F293" t="s">
        <v>890</v>
      </c>
      <c r="G293" t="s">
        <v>398</v>
      </c>
      <c r="H293">
        <v>2</v>
      </c>
      <c r="I293">
        <v>1.3</v>
      </c>
      <c r="J293">
        <v>3.2859999999997211</v>
      </c>
      <c r="K293">
        <v>3.3109999999996833</v>
      </c>
      <c r="L293">
        <v>77.713999999999999</v>
      </c>
      <c r="M293">
        <v>77.497</v>
      </c>
      <c r="N293" t="s">
        <v>1138</v>
      </c>
      <c r="O293" t="s">
        <v>1139</v>
      </c>
      <c r="P293" t="s">
        <v>401</v>
      </c>
      <c r="Q293" s="3">
        <v>45302</v>
      </c>
      <c r="R293" s="3">
        <v>46193</v>
      </c>
      <c r="S293" s="4">
        <f t="shared" ca="1" si="29"/>
        <v>17.724845995893222</v>
      </c>
      <c r="T293">
        <f t="shared" si="30"/>
        <v>77.605500000000006</v>
      </c>
      <c r="U293" s="43">
        <v>292</v>
      </c>
      <c r="V293" s="4">
        <f t="shared" ca="1" si="31"/>
        <v>17.5</v>
      </c>
      <c r="W293" s="54">
        <f t="shared" ca="1" si="32"/>
        <v>2</v>
      </c>
      <c r="X293" s="4">
        <f t="shared" ca="1" si="28"/>
        <v>0.71428571428571441</v>
      </c>
      <c r="Y293" s="4">
        <f t="shared" ca="1" si="33"/>
        <v>76.891214285714298</v>
      </c>
      <c r="Z293">
        <f t="shared" si="34"/>
        <v>3.2984999999997022</v>
      </c>
    </row>
    <row r="294" spans="1:26" x14ac:dyDescent="0.35">
      <c r="A294" t="s">
        <v>353</v>
      </c>
      <c r="B294" t="s">
        <v>541</v>
      </c>
      <c r="C294" t="s">
        <v>394</v>
      </c>
      <c r="D294" t="s">
        <v>395</v>
      </c>
      <c r="E294" t="s">
        <v>396</v>
      </c>
      <c r="F294" t="s">
        <v>480</v>
      </c>
      <c r="G294" t="s">
        <v>398</v>
      </c>
      <c r="H294">
        <v>2</v>
      </c>
      <c r="I294">
        <v>0.3</v>
      </c>
      <c r="J294">
        <v>1.3189999999999882</v>
      </c>
      <c r="K294">
        <v>1.3399999999999825</v>
      </c>
      <c r="L294">
        <v>97.271000000000001</v>
      </c>
      <c r="M294">
        <v>97.216999999999999</v>
      </c>
      <c r="N294" t="s">
        <v>1140</v>
      </c>
      <c r="O294" t="s">
        <v>1141</v>
      </c>
      <c r="P294" t="s">
        <v>401</v>
      </c>
      <c r="Q294" s="3">
        <v>45324</v>
      </c>
      <c r="R294" s="3">
        <v>46193</v>
      </c>
      <c r="S294" s="4">
        <f t="shared" ca="1" si="29"/>
        <v>2.7268993839835729</v>
      </c>
      <c r="T294">
        <f t="shared" si="30"/>
        <v>97.244</v>
      </c>
      <c r="U294" s="43">
        <v>293</v>
      </c>
      <c r="V294" s="4">
        <f t="shared" ca="1" si="31"/>
        <v>2.5</v>
      </c>
      <c r="W294" s="54">
        <f t="shared" ca="1" si="32"/>
        <v>2</v>
      </c>
      <c r="X294" s="4">
        <f t="shared" ca="1" si="28"/>
        <v>0.16483516483516483</v>
      </c>
      <c r="Y294" s="4">
        <f t="shared" ca="1" si="33"/>
        <v>97.079164835164832</v>
      </c>
      <c r="Z294">
        <f t="shared" si="34"/>
        <v>1.3294999999999852</v>
      </c>
    </row>
    <row r="295" spans="1:26" x14ac:dyDescent="0.35">
      <c r="A295" t="s">
        <v>354</v>
      </c>
      <c r="B295" t="s">
        <v>541</v>
      </c>
      <c r="C295" t="s">
        <v>394</v>
      </c>
      <c r="D295" t="s">
        <v>395</v>
      </c>
      <c r="E295" t="s">
        <v>396</v>
      </c>
      <c r="F295" t="s">
        <v>471</v>
      </c>
      <c r="G295" t="s">
        <v>398</v>
      </c>
      <c r="H295">
        <v>2</v>
      </c>
      <c r="I295">
        <v>0.4</v>
      </c>
      <c r="J295">
        <v>1.2739999999999967</v>
      </c>
      <c r="K295">
        <v>1.2979999999999976</v>
      </c>
      <c r="L295">
        <v>97.861000000000004</v>
      </c>
      <c r="M295">
        <v>97.802999999999997</v>
      </c>
      <c r="N295" t="s">
        <v>1142</v>
      </c>
      <c r="O295" t="s">
        <v>1143</v>
      </c>
      <c r="P295" t="s">
        <v>401</v>
      </c>
      <c r="Q295" s="3">
        <v>45237</v>
      </c>
      <c r="R295" s="3">
        <v>46101</v>
      </c>
      <c r="S295" s="4">
        <f t="shared" ca="1" si="29"/>
        <v>2.4777549623545516</v>
      </c>
      <c r="T295">
        <f t="shared" si="30"/>
        <v>97.831999999999994</v>
      </c>
      <c r="U295" s="43">
        <v>294</v>
      </c>
      <c r="V295" s="4">
        <f t="shared" ca="1" si="31"/>
        <v>2</v>
      </c>
      <c r="W295" s="54">
        <f t="shared" ca="1" si="32"/>
        <v>3</v>
      </c>
      <c r="X295" s="4">
        <f t="shared" ca="1" si="28"/>
        <v>0.41978021978021984</v>
      </c>
      <c r="Y295" s="4">
        <f t="shared" ca="1" si="33"/>
        <v>97.412219780219772</v>
      </c>
      <c r="Z295">
        <f t="shared" si="34"/>
        <v>1.2859999999999971</v>
      </c>
    </row>
    <row r="296" spans="1:26" x14ac:dyDescent="0.35">
      <c r="A296" t="s">
        <v>355</v>
      </c>
      <c r="B296" t="s">
        <v>393</v>
      </c>
      <c r="C296" t="s">
        <v>394</v>
      </c>
      <c r="D296" t="s">
        <v>395</v>
      </c>
      <c r="E296" t="s">
        <v>396</v>
      </c>
      <c r="F296" t="s">
        <v>676</v>
      </c>
      <c r="G296" t="s">
        <v>398</v>
      </c>
      <c r="H296">
        <v>2</v>
      </c>
      <c r="I296">
        <v>0.8</v>
      </c>
      <c r="J296">
        <v>1.9519999999680215</v>
      </c>
      <c r="K296">
        <v>1.9689999999649797</v>
      </c>
      <c r="L296">
        <v>92.44</v>
      </c>
      <c r="M296">
        <v>92.337000000000003</v>
      </c>
      <c r="N296" t="s">
        <v>1144</v>
      </c>
      <c r="O296" t="s">
        <v>1145</v>
      </c>
      <c r="P296" t="s">
        <v>401</v>
      </c>
      <c r="Q296" s="3">
        <v>45195</v>
      </c>
      <c r="R296" s="3">
        <v>46101</v>
      </c>
      <c r="S296" s="4">
        <f t="shared" ca="1" si="29"/>
        <v>7.4770704996577688</v>
      </c>
      <c r="T296">
        <f t="shared" si="30"/>
        <v>92.388499999999993</v>
      </c>
      <c r="U296" s="43">
        <v>295</v>
      </c>
      <c r="V296" s="4">
        <f t="shared" ca="1" si="31"/>
        <v>7</v>
      </c>
      <c r="W296" s="54">
        <f t="shared" ca="1" si="32"/>
        <v>3</v>
      </c>
      <c r="X296" s="4">
        <f t="shared" ca="1" si="28"/>
        <v>0.83956043956043969</v>
      </c>
      <c r="Y296" s="4">
        <f t="shared" ca="1" si="33"/>
        <v>91.54893956043955</v>
      </c>
      <c r="Z296">
        <f t="shared" si="34"/>
        <v>1.9604999999665007</v>
      </c>
    </row>
    <row r="297" spans="1:26" x14ac:dyDescent="0.35">
      <c r="A297" t="s">
        <v>356</v>
      </c>
      <c r="B297" t="s">
        <v>402</v>
      </c>
      <c r="C297" t="s">
        <v>394</v>
      </c>
      <c r="D297" t="s">
        <v>395</v>
      </c>
      <c r="E297" t="s">
        <v>396</v>
      </c>
      <c r="F297" t="s">
        <v>1146</v>
      </c>
      <c r="G297" t="s">
        <v>398</v>
      </c>
      <c r="H297">
        <v>2</v>
      </c>
      <c r="I297">
        <v>1.8</v>
      </c>
      <c r="J297">
        <v>4.0019999999984677</v>
      </c>
      <c r="K297">
        <v>4.0349999999982389</v>
      </c>
      <c r="L297">
        <v>71.158000000000001</v>
      </c>
      <c r="M297">
        <v>70.852000000000004</v>
      </c>
      <c r="N297" t="s">
        <v>1147</v>
      </c>
      <c r="O297" t="s">
        <v>1148</v>
      </c>
      <c r="P297" t="s">
        <v>401</v>
      </c>
      <c r="Q297" s="3">
        <v>45197</v>
      </c>
      <c r="R297" s="3">
        <v>46101</v>
      </c>
      <c r="S297" s="4">
        <f t="shared" ca="1" si="29"/>
        <v>27.477070499657767</v>
      </c>
      <c r="T297">
        <f t="shared" si="30"/>
        <v>71.004999999999995</v>
      </c>
      <c r="U297" s="43">
        <v>296</v>
      </c>
      <c r="V297" s="4">
        <f t="shared" ca="1" si="31"/>
        <v>27</v>
      </c>
      <c r="W297" s="54">
        <f t="shared" ca="1" si="32"/>
        <v>3</v>
      </c>
      <c r="X297" s="4">
        <f t="shared" ca="1" si="28"/>
        <v>1.8890109890109892</v>
      </c>
      <c r="Y297" s="4">
        <f t="shared" ca="1" si="33"/>
        <v>69.115989010989011</v>
      </c>
      <c r="Z297">
        <f t="shared" si="34"/>
        <v>4.0184999999983528</v>
      </c>
    </row>
    <row r="298" spans="1:26" x14ac:dyDescent="0.35">
      <c r="A298" t="s">
        <v>357</v>
      </c>
      <c r="B298" t="s">
        <v>541</v>
      </c>
      <c r="C298" t="s">
        <v>394</v>
      </c>
      <c r="D298" t="s">
        <v>395</v>
      </c>
      <c r="E298" t="s">
        <v>396</v>
      </c>
      <c r="F298" t="s">
        <v>471</v>
      </c>
      <c r="G298" t="s">
        <v>398</v>
      </c>
      <c r="H298">
        <v>2</v>
      </c>
      <c r="I298">
        <v>0.3</v>
      </c>
      <c r="J298">
        <v>1.2779999999999858</v>
      </c>
      <c r="K298">
        <v>1.3009999999999848</v>
      </c>
      <c r="L298">
        <v>97.605999999999995</v>
      </c>
      <c r="M298">
        <v>97.551000000000002</v>
      </c>
      <c r="N298" t="s">
        <v>1149</v>
      </c>
      <c r="O298" t="s">
        <v>1150</v>
      </c>
      <c r="P298" t="s">
        <v>401</v>
      </c>
      <c r="Q298" s="3">
        <v>45203</v>
      </c>
      <c r="R298" s="3">
        <v>46101</v>
      </c>
      <c r="S298" s="4">
        <f t="shared" ca="1" si="29"/>
        <v>2.4777549623545516</v>
      </c>
      <c r="T298">
        <f t="shared" si="30"/>
        <v>97.578499999999991</v>
      </c>
      <c r="U298" s="43">
        <v>297</v>
      </c>
      <c r="V298" s="4">
        <f t="shared" ca="1" si="31"/>
        <v>2</v>
      </c>
      <c r="W298" s="54">
        <f t="shared" ca="1" si="32"/>
        <v>3</v>
      </c>
      <c r="X298" s="4">
        <f t="shared" ca="1" si="28"/>
        <v>0.31483516483516483</v>
      </c>
      <c r="Y298" s="4">
        <f t="shared" ca="1" si="33"/>
        <v>97.263664835164832</v>
      </c>
      <c r="Z298">
        <f t="shared" si="34"/>
        <v>1.2894999999999852</v>
      </c>
    </row>
    <row r="299" spans="1:26" x14ac:dyDescent="0.35">
      <c r="A299" t="s">
        <v>358</v>
      </c>
      <c r="B299" t="s">
        <v>406</v>
      </c>
      <c r="C299" t="s">
        <v>394</v>
      </c>
      <c r="D299" t="s">
        <v>395</v>
      </c>
      <c r="E299" t="s">
        <v>396</v>
      </c>
      <c r="F299" t="s">
        <v>885</v>
      </c>
      <c r="G299" t="s">
        <v>398</v>
      </c>
      <c r="H299">
        <v>2</v>
      </c>
      <c r="I299">
        <v>1.5</v>
      </c>
      <c r="J299">
        <v>3.2019999999999653</v>
      </c>
      <c r="K299">
        <v>3.2279999999999598</v>
      </c>
      <c r="L299">
        <v>80.893000000000001</v>
      </c>
      <c r="M299">
        <v>80.656999999999996</v>
      </c>
      <c r="N299" t="s">
        <v>1151</v>
      </c>
      <c r="O299" t="s">
        <v>1152</v>
      </c>
      <c r="P299" t="s">
        <v>401</v>
      </c>
      <c r="Q299" s="3">
        <v>45209</v>
      </c>
      <c r="R299" s="3">
        <v>46101</v>
      </c>
      <c r="S299" s="4">
        <f t="shared" ca="1" si="29"/>
        <v>17.475701574264203</v>
      </c>
      <c r="T299">
        <f t="shared" si="30"/>
        <v>80.775000000000006</v>
      </c>
      <c r="U299" s="43">
        <v>298</v>
      </c>
      <c r="V299" s="4">
        <f t="shared" ca="1" si="31"/>
        <v>17</v>
      </c>
      <c r="W299" s="54">
        <f t="shared" ca="1" si="32"/>
        <v>3</v>
      </c>
      <c r="X299" s="4">
        <f t="shared" ca="1" si="28"/>
        <v>1.5741758241758244</v>
      </c>
      <c r="Y299" s="4">
        <f t="shared" ca="1" si="33"/>
        <v>79.200824175824181</v>
      </c>
      <c r="Z299">
        <f t="shared" si="34"/>
        <v>3.2149999999999626</v>
      </c>
    </row>
    <row r="300" spans="1:26" x14ac:dyDescent="0.35">
      <c r="A300" t="s">
        <v>359</v>
      </c>
      <c r="B300" t="s">
        <v>541</v>
      </c>
      <c r="C300" t="s">
        <v>394</v>
      </c>
      <c r="D300" t="s">
        <v>395</v>
      </c>
      <c r="E300" t="s">
        <v>396</v>
      </c>
      <c r="F300" t="s">
        <v>462</v>
      </c>
      <c r="G300" t="s">
        <v>398</v>
      </c>
      <c r="H300">
        <v>2</v>
      </c>
      <c r="I300">
        <v>0.2</v>
      </c>
      <c r="J300">
        <v>1.2439999999999851</v>
      </c>
      <c r="K300">
        <v>1.2689999999999895</v>
      </c>
      <c r="L300">
        <v>97.691000000000003</v>
      </c>
      <c r="M300">
        <v>97.637</v>
      </c>
      <c r="N300" t="s">
        <v>1153</v>
      </c>
      <c r="O300" t="s">
        <v>1154</v>
      </c>
      <c r="P300" t="s">
        <v>401</v>
      </c>
      <c r="Q300" s="3">
        <v>45146</v>
      </c>
      <c r="R300" s="3">
        <v>46193</v>
      </c>
      <c r="S300" s="4">
        <f t="shared" ca="1" si="29"/>
        <v>2.2258726899383983</v>
      </c>
      <c r="T300">
        <f t="shared" si="30"/>
        <v>97.664000000000001</v>
      </c>
      <c r="U300" s="43">
        <v>299</v>
      </c>
      <c r="V300" s="4">
        <f t="shared" ca="1" si="31"/>
        <v>2</v>
      </c>
      <c r="W300" s="54">
        <f t="shared" ca="1" si="32"/>
        <v>3</v>
      </c>
      <c r="X300" s="4">
        <f t="shared" ca="1" si="28"/>
        <v>0.1098901098901099</v>
      </c>
      <c r="Y300" s="4">
        <f t="shared" ca="1" si="33"/>
        <v>97.554109890109885</v>
      </c>
      <c r="Z300">
        <f t="shared" si="34"/>
        <v>1.2564999999999873</v>
      </c>
    </row>
    <row r="301" spans="1:26" x14ac:dyDescent="0.35">
      <c r="A301" t="s">
        <v>360</v>
      </c>
      <c r="B301" t="s">
        <v>541</v>
      </c>
      <c r="C301" t="s">
        <v>394</v>
      </c>
      <c r="D301" t="s">
        <v>395</v>
      </c>
      <c r="E301" t="s">
        <v>396</v>
      </c>
      <c r="F301" t="s">
        <v>462</v>
      </c>
      <c r="G301" t="s">
        <v>398</v>
      </c>
      <c r="H301">
        <v>2</v>
      </c>
      <c r="I301">
        <v>0.3</v>
      </c>
      <c r="J301">
        <v>1.2420000000000044</v>
      </c>
      <c r="K301">
        <v>1.2669999999999921</v>
      </c>
      <c r="L301">
        <v>97.915999999999997</v>
      </c>
      <c r="M301">
        <v>97.861999999999995</v>
      </c>
      <c r="N301" t="s">
        <v>1155</v>
      </c>
      <c r="O301" t="s">
        <v>1156</v>
      </c>
      <c r="P301" t="s">
        <v>401</v>
      </c>
      <c r="Q301" s="3">
        <v>45174</v>
      </c>
      <c r="R301" s="3">
        <v>46193</v>
      </c>
      <c r="S301" s="4">
        <f t="shared" ca="1" si="29"/>
        <v>2.2258726899383983</v>
      </c>
      <c r="T301">
        <f t="shared" si="30"/>
        <v>97.888999999999996</v>
      </c>
      <c r="U301" s="43">
        <v>300</v>
      </c>
      <c r="V301" s="4">
        <f t="shared" ca="1" si="31"/>
        <v>2</v>
      </c>
      <c r="W301" s="54">
        <f t="shared" ca="1" si="32"/>
        <v>3</v>
      </c>
      <c r="X301" s="4">
        <f t="shared" ca="1" si="28"/>
        <v>0.16483516483516483</v>
      </c>
      <c r="Y301" s="4">
        <f t="shared" ca="1" si="33"/>
        <v>97.724164835164828</v>
      </c>
      <c r="Z301">
        <f t="shared" si="34"/>
        <v>1.2544999999999984</v>
      </c>
    </row>
    <row r="302" spans="1:26" x14ac:dyDescent="0.35">
      <c r="A302" t="s">
        <v>361</v>
      </c>
      <c r="B302" t="s">
        <v>393</v>
      </c>
      <c r="C302" t="s">
        <v>394</v>
      </c>
      <c r="D302" t="s">
        <v>395</v>
      </c>
      <c r="E302" t="s">
        <v>396</v>
      </c>
      <c r="F302" t="s">
        <v>673</v>
      </c>
      <c r="G302" t="s">
        <v>398</v>
      </c>
      <c r="H302">
        <v>2</v>
      </c>
      <c r="I302">
        <v>0.4</v>
      </c>
      <c r="J302">
        <v>1.9430000000000005</v>
      </c>
      <c r="K302">
        <v>1.9609999999999994</v>
      </c>
      <c r="L302">
        <v>90.165999999999997</v>
      </c>
      <c r="M302">
        <v>90.061999999999998</v>
      </c>
      <c r="N302" t="s">
        <v>1157</v>
      </c>
      <c r="O302" t="s">
        <v>1158</v>
      </c>
      <c r="P302" t="s">
        <v>401</v>
      </c>
      <c r="Q302" s="3">
        <v>45104</v>
      </c>
      <c r="R302" s="3">
        <v>46193</v>
      </c>
      <c r="S302" s="4">
        <f t="shared" ca="1" si="29"/>
        <v>7.225188227241615</v>
      </c>
      <c r="T302">
        <f t="shared" si="30"/>
        <v>90.114000000000004</v>
      </c>
      <c r="U302" s="43">
        <v>301</v>
      </c>
      <c r="V302" s="4">
        <f t="shared" ca="1" si="31"/>
        <v>7</v>
      </c>
      <c r="W302" s="54">
        <f t="shared" ca="1" si="32"/>
        <v>3</v>
      </c>
      <c r="X302" s="4">
        <f t="shared" ca="1" si="28"/>
        <v>0.2197802197802198</v>
      </c>
      <c r="Y302" s="4">
        <f t="shared" ca="1" si="33"/>
        <v>89.894219780219785</v>
      </c>
      <c r="Z302">
        <f t="shared" si="34"/>
        <v>1.952</v>
      </c>
    </row>
    <row r="303" spans="1:26" x14ac:dyDescent="0.35">
      <c r="A303" t="s">
        <v>362</v>
      </c>
      <c r="B303" t="s">
        <v>402</v>
      </c>
      <c r="C303" t="s">
        <v>394</v>
      </c>
      <c r="D303" t="s">
        <v>395</v>
      </c>
      <c r="E303" t="s">
        <v>396</v>
      </c>
      <c r="F303" t="s">
        <v>1159</v>
      </c>
      <c r="G303" t="s">
        <v>398</v>
      </c>
      <c r="H303">
        <v>2</v>
      </c>
      <c r="I303">
        <v>1.2</v>
      </c>
      <c r="J303">
        <v>4.3379999999999992</v>
      </c>
      <c r="K303">
        <v>4.3750000000000009</v>
      </c>
      <c r="L303">
        <v>60.796999999999997</v>
      </c>
      <c r="M303">
        <v>60.517000000000003</v>
      </c>
      <c r="N303" t="s">
        <v>1160</v>
      </c>
      <c r="O303" t="s">
        <v>1161</v>
      </c>
      <c r="P303" t="s">
        <v>401</v>
      </c>
      <c r="Q303" s="3">
        <v>45106</v>
      </c>
      <c r="R303" s="3">
        <v>46193</v>
      </c>
      <c r="S303" s="4">
        <f t="shared" ca="1" si="29"/>
        <v>27.225188227241617</v>
      </c>
      <c r="T303">
        <f t="shared" si="30"/>
        <v>60.656999999999996</v>
      </c>
      <c r="U303" s="43">
        <v>302</v>
      </c>
      <c r="V303" s="4">
        <f t="shared" ca="1" si="31"/>
        <v>27</v>
      </c>
      <c r="W303" s="54">
        <f t="shared" ca="1" si="32"/>
        <v>3</v>
      </c>
      <c r="X303" s="4">
        <f t="shared" ca="1" si="28"/>
        <v>0.65934065934065933</v>
      </c>
      <c r="Y303" s="4">
        <f t="shared" ca="1" si="33"/>
        <v>59.997659340659339</v>
      </c>
      <c r="Z303">
        <f t="shared" si="34"/>
        <v>4.3565000000000005</v>
      </c>
    </row>
    <row r="304" spans="1:26" x14ac:dyDescent="0.35">
      <c r="A304" t="s">
        <v>363</v>
      </c>
      <c r="B304" t="s">
        <v>541</v>
      </c>
      <c r="C304" t="s">
        <v>394</v>
      </c>
      <c r="D304" t="s">
        <v>395</v>
      </c>
      <c r="E304" t="s">
        <v>396</v>
      </c>
      <c r="F304" t="s">
        <v>462</v>
      </c>
      <c r="G304" t="s">
        <v>398</v>
      </c>
      <c r="H304">
        <v>2</v>
      </c>
      <c r="I304">
        <v>0.1</v>
      </c>
      <c r="J304">
        <v>1.2499999999999907</v>
      </c>
      <c r="K304">
        <v>1.2700000000000102</v>
      </c>
      <c r="L304">
        <v>97.456999999999994</v>
      </c>
      <c r="M304">
        <v>97.414000000000001</v>
      </c>
      <c r="N304" t="s">
        <v>1162</v>
      </c>
      <c r="O304" t="s">
        <v>1163</v>
      </c>
      <c r="P304" t="s">
        <v>401</v>
      </c>
      <c r="Q304" s="3">
        <v>45111</v>
      </c>
      <c r="R304" s="3">
        <v>46193</v>
      </c>
      <c r="S304" s="4">
        <f t="shared" ca="1" si="29"/>
        <v>2.2258726899383983</v>
      </c>
      <c r="T304">
        <f t="shared" si="30"/>
        <v>97.43549999999999</v>
      </c>
      <c r="U304" s="43">
        <v>303</v>
      </c>
      <c r="V304" s="4">
        <f t="shared" ca="1" si="31"/>
        <v>2</v>
      </c>
      <c r="W304" s="54">
        <f t="shared" ca="1" si="32"/>
        <v>3</v>
      </c>
      <c r="X304" s="4">
        <f t="shared" ca="1" si="28"/>
        <v>5.4945054945054951E-2</v>
      </c>
      <c r="Y304" s="4">
        <f t="shared" ca="1" si="33"/>
        <v>97.380554945054939</v>
      </c>
      <c r="Z304">
        <f t="shared" si="34"/>
        <v>1.2600000000000005</v>
      </c>
    </row>
    <row r="305" spans="1:26" x14ac:dyDescent="0.35">
      <c r="A305" t="s">
        <v>364</v>
      </c>
      <c r="B305" t="s">
        <v>406</v>
      </c>
      <c r="C305" t="s">
        <v>394</v>
      </c>
      <c r="D305" t="s">
        <v>395</v>
      </c>
      <c r="E305" t="s">
        <v>396</v>
      </c>
      <c r="F305" t="s">
        <v>880</v>
      </c>
      <c r="G305" t="s">
        <v>398</v>
      </c>
      <c r="H305">
        <v>2</v>
      </c>
      <c r="I305">
        <v>1.1000000000000001</v>
      </c>
      <c r="J305">
        <v>3.292999999998846</v>
      </c>
      <c r="K305">
        <v>3.3169999999987105</v>
      </c>
      <c r="L305">
        <v>75.852999999999994</v>
      </c>
      <c r="M305">
        <v>75.653000000000006</v>
      </c>
      <c r="N305" t="s">
        <v>1164</v>
      </c>
      <c r="O305" t="s">
        <v>1165</v>
      </c>
      <c r="P305" t="s">
        <v>401</v>
      </c>
      <c r="Q305" s="3">
        <v>45113</v>
      </c>
      <c r="R305" s="3">
        <v>46193</v>
      </c>
      <c r="S305" s="4">
        <f t="shared" ca="1" si="29"/>
        <v>17.223819301848049</v>
      </c>
      <c r="T305">
        <f t="shared" si="30"/>
        <v>75.753</v>
      </c>
      <c r="U305" s="43">
        <v>304</v>
      </c>
      <c r="V305" s="4">
        <f t="shared" ca="1" si="31"/>
        <v>17</v>
      </c>
      <c r="W305" s="54">
        <f t="shared" ca="1" si="32"/>
        <v>3</v>
      </c>
      <c r="X305" s="4">
        <f t="shared" ca="1" si="28"/>
        <v>0.60439560439560447</v>
      </c>
      <c r="Y305" s="4">
        <f t="shared" ca="1" si="33"/>
        <v>75.148604395604394</v>
      </c>
      <c r="Z305">
        <f t="shared" si="34"/>
        <v>3.3049999999987785</v>
      </c>
    </row>
    <row r="306" spans="1:26" x14ac:dyDescent="0.35">
      <c r="A306" t="s">
        <v>365</v>
      </c>
      <c r="B306" t="s">
        <v>393</v>
      </c>
      <c r="C306" t="s">
        <v>394</v>
      </c>
      <c r="D306" t="s">
        <v>395</v>
      </c>
      <c r="E306" t="s">
        <v>396</v>
      </c>
      <c r="F306" t="s">
        <v>670</v>
      </c>
      <c r="G306" t="s">
        <v>398</v>
      </c>
      <c r="H306">
        <v>2</v>
      </c>
      <c r="I306">
        <v>0.5</v>
      </c>
      <c r="J306">
        <v>1.8969999999084206</v>
      </c>
      <c r="K306">
        <v>1.9149999999006515</v>
      </c>
      <c r="L306">
        <v>91.343000000000004</v>
      </c>
      <c r="M306">
        <v>91.241</v>
      </c>
      <c r="N306" t="s">
        <v>1166</v>
      </c>
      <c r="O306" t="s">
        <v>1167</v>
      </c>
      <c r="P306" t="s">
        <v>401</v>
      </c>
      <c r="Q306" s="3">
        <v>45013</v>
      </c>
      <c r="R306" s="3">
        <v>46101</v>
      </c>
      <c r="S306" s="4">
        <f t="shared" ca="1" si="29"/>
        <v>6.9733059548254621</v>
      </c>
      <c r="T306">
        <f t="shared" si="30"/>
        <v>91.292000000000002</v>
      </c>
      <c r="U306" s="43">
        <v>305</v>
      </c>
      <c r="V306" s="4">
        <f t="shared" ca="1" si="31"/>
        <v>6.5</v>
      </c>
      <c r="W306" s="54">
        <f t="shared" ca="1" si="32"/>
        <v>3</v>
      </c>
      <c r="X306" s="4">
        <f t="shared" ca="1" si="28"/>
        <v>0.52472527472527475</v>
      </c>
      <c r="Y306" s="4">
        <f t="shared" ca="1" si="33"/>
        <v>90.767274725274731</v>
      </c>
      <c r="Z306">
        <f t="shared" si="34"/>
        <v>1.9059999999045361</v>
      </c>
    </row>
    <row r="307" spans="1:26" x14ac:dyDescent="0.35">
      <c r="A307" t="s">
        <v>366</v>
      </c>
      <c r="B307" t="s">
        <v>402</v>
      </c>
      <c r="C307" t="s">
        <v>394</v>
      </c>
      <c r="D307" t="s">
        <v>395</v>
      </c>
      <c r="E307" t="s">
        <v>396</v>
      </c>
      <c r="F307" t="s">
        <v>877</v>
      </c>
      <c r="G307" t="s">
        <v>398</v>
      </c>
      <c r="H307">
        <v>2</v>
      </c>
      <c r="I307">
        <v>1.4</v>
      </c>
      <c r="J307">
        <v>4.2039999999284943</v>
      </c>
      <c r="K307">
        <v>4.2399999999193447</v>
      </c>
      <c r="L307">
        <v>64.527000000000001</v>
      </c>
      <c r="M307">
        <v>64.233999999999995</v>
      </c>
      <c r="N307" t="s">
        <v>1168</v>
      </c>
      <c r="O307" t="s">
        <v>1169</v>
      </c>
      <c r="P307" t="s">
        <v>401</v>
      </c>
      <c r="Q307" s="3">
        <v>45015</v>
      </c>
      <c r="R307" s="3">
        <v>46101</v>
      </c>
      <c r="S307" s="4">
        <f t="shared" ca="1" si="29"/>
        <v>26.973305954825463</v>
      </c>
      <c r="T307">
        <f t="shared" si="30"/>
        <v>64.380499999999998</v>
      </c>
      <c r="U307" s="43">
        <v>306</v>
      </c>
      <c r="V307" s="4">
        <f t="shared" ca="1" si="31"/>
        <v>26.5</v>
      </c>
      <c r="W307" s="54">
        <f t="shared" ca="1" si="32"/>
        <v>3</v>
      </c>
      <c r="X307" s="4">
        <f t="shared" ca="1" si="28"/>
        <v>1.4692307692307691</v>
      </c>
      <c r="Y307" s="4">
        <f t="shared" ca="1" si="33"/>
        <v>62.911269230769228</v>
      </c>
      <c r="Z307">
        <f t="shared" si="34"/>
        <v>4.2219999999239199</v>
      </c>
    </row>
    <row r="308" spans="1:26" x14ac:dyDescent="0.35">
      <c r="A308" t="s">
        <v>367</v>
      </c>
      <c r="B308" t="s">
        <v>541</v>
      </c>
      <c r="C308" t="s">
        <v>394</v>
      </c>
      <c r="D308" t="s">
        <v>395</v>
      </c>
      <c r="E308" t="s">
        <v>396</v>
      </c>
      <c r="F308" t="s">
        <v>450</v>
      </c>
      <c r="G308" t="s">
        <v>398</v>
      </c>
      <c r="H308">
        <v>2</v>
      </c>
      <c r="I308">
        <v>0.2</v>
      </c>
      <c r="J308">
        <v>1.215000000000001</v>
      </c>
      <c r="K308">
        <v>1.2390000000000001</v>
      </c>
      <c r="L308">
        <v>97.995999999999995</v>
      </c>
      <c r="M308">
        <v>97.95</v>
      </c>
      <c r="N308" t="s">
        <v>1170</v>
      </c>
      <c r="O308" t="s">
        <v>1171</v>
      </c>
      <c r="P308" t="s">
        <v>401</v>
      </c>
      <c r="Q308" s="3">
        <v>45020</v>
      </c>
      <c r="R308" s="3">
        <v>46101</v>
      </c>
      <c r="S308" s="4">
        <f t="shared" ca="1" si="29"/>
        <v>1.9739904175222451</v>
      </c>
      <c r="T308">
        <f t="shared" si="30"/>
        <v>97.972999999999999</v>
      </c>
      <c r="U308" s="43">
        <v>307</v>
      </c>
      <c r="V308" s="4">
        <f t="shared" ca="1" si="31"/>
        <v>1.5</v>
      </c>
      <c r="W308" s="54">
        <f t="shared" ca="1" si="32"/>
        <v>3</v>
      </c>
      <c r="X308" s="4">
        <f t="shared" ca="1" si="28"/>
        <v>0.20989010989010992</v>
      </c>
      <c r="Y308" s="4">
        <f t="shared" ca="1" si="33"/>
        <v>97.763109890109888</v>
      </c>
      <c r="Z308">
        <f t="shared" si="34"/>
        <v>1.2270000000000005</v>
      </c>
    </row>
    <row r="309" spans="1:26" x14ac:dyDescent="0.35">
      <c r="A309" t="s">
        <v>368</v>
      </c>
      <c r="B309" t="s">
        <v>406</v>
      </c>
      <c r="C309" t="s">
        <v>394</v>
      </c>
      <c r="D309" t="s">
        <v>395</v>
      </c>
      <c r="E309" t="s">
        <v>396</v>
      </c>
      <c r="F309" t="s">
        <v>870</v>
      </c>
      <c r="G309" t="s">
        <v>398</v>
      </c>
      <c r="H309">
        <v>2</v>
      </c>
      <c r="I309">
        <v>1.1000000000000001</v>
      </c>
      <c r="J309">
        <v>3.2639999999989486</v>
      </c>
      <c r="K309">
        <v>3.2879999999988274</v>
      </c>
      <c r="L309">
        <v>76.319999999999993</v>
      </c>
      <c r="M309">
        <v>76.12</v>
      </c>
      <c r="N309" t="s">
        <v>1172</v>
      </c>
      <c r="O309" t="s">
        <v>1173</v>
      </c>
      <c r="P309" t="s">
        <v>401</v>
      </c>
      <c r="Q309" s="3">
        <v>45029</v>
      </c>
      <c r="R309" s="3">
        <v>46101</v>
      </c>
      <c r="S309" s="4">
        <f t="shared" ca="1" si="29"/>
        <v>16.971937029431896</v>
      </c>
      <c r="T309">
        <f t="shared" si="30"/>
        <v>76.22</v>
      </c>
      <c r="U309" s="43">
        <v>308</v>
      </c>
      <c r="V309" s="4">
        <f t="shared" ca="1" si="31"/>
        <v>16.5</v>
      </c>
      <c r="W309" s="54">
        <f t="shared" ca="1" si="32"/>
        <v>3</v>
      </c>
      <c r="X309" s="4">
        <f t="shared" ca="1" si="28"/>
        <v>1.1543956043956045</v>
      </c>
      <c r="Y309" s="4">
        <f t="shared" ca="1" si="33"/>
        <v>75.065604395604396</v>
      </c>
      <c r="Z309">
        <f t="shared" si="34"/>
        <v>3.2759999999988878</v>
      </c>
    </row>
    <row r="310" spans="1:26" x14ac:dyDescent="0.35">
      <c r="A310" t="s">
        <v>369</v>
      </c>
      <c r="B310" t="s">
        <v>541</v>
      </c>
      <c r="C310" t="s">
        <v>394</v>
      </c>
      <c r="D310" t="s">
        <v>395</v>
      </c>
      <c r="E310" t="s">
        <v>396</v>
      </c>
      <c r="F310" t="s">
        <v>450</v>
      </c>
      <c r="G310" t="s">
        <v>398</v>
      </c>
      <c r="H310">
        <v>2</v>
      </c>
      <c r="I310">
        <v>0.1</v>
      </c>
      <c r="J310">
        <v>1.2159999999999946</v>
      </c>
      <c r="K310">
        <v>1.2400000000000002</v>
      </c>
      <c r="L310">
        <v>97.796999999999997</v>
      </c>
      <c r="M310">
        <v>97.751000000000005</v>
      </c>
      <c r="N310" t="s">
        <v>1174</v>
      </c>
      <c r="O310" t="s">
        <v>1175</v>
      </c>
      <c r="P310" t="s">
        <v>401</v>
      </c>
      <c r="Q310" s="3">
        <v>45054</v>
      </c>
      <c r="R310" s="3">
        <v>46101</v>
      </c>
      <c r="S310" s="4">
        <f t="shared" ca="1" si="29"/>
        <v>1.9739904175222451</v>
      </c>
      <c r="T310">
        <f t="shared" si="30"/>
        <v>97.774000000000001</v>
      </c>
      <c r="U310" s="43">
        <v>309</v>
      </c>
      <c r="V310" s="4">
        <f t="shared" ca="1" si="31"/>
        <v>1.5</v>
      </c>
      <c r="W310" s="54">
        <f t="shared" ca="1" si="32"/>
        <v>3</v>
      </c>
      <c r="X310" s="4">
        <f t="shared" ca="1" si="28"/>
        <v>0.10494505494505496</v>
      </c>
      <c r="Y310" s="4">
        <f t="shared" ca="1" si="33"/>
        <v>97.669054945054953</v>
      </c>
      <c r="Z310">
        <f t="shared" si="34"/>
        <v>1.2279999999999975</v>
      </c>
    </row>
    <row r="311" spans="1:26" x14ac:dyDescent="0.35">
      <c r="A311" t="s">
        <v>370</v>
      </c>
      <c r="B311" t="s">
        <v>419</v>
      </c>
      <c r="C311" t="s">
        <v>394</v>
      </c>
      <c r="D311" t="s">
        <v>395</v>
      </c>
      <c r="E311" t="s">
        <v>396</v>
      </c>
      <c r="F311" t="s">
        <v>1176</v>
      </c>
      <c r="G311" t="s">
        <v>398</v>
      </c>
      <c r="H311">
        <v>2</v>
      </c>
      <c r="I311">
        <v>1.3</v>
      </c>
      <c r="J311">
        <v>4.5439999999999987</v>
      </c>
      <c r="K311">
        <v>4.5969999999999995</v>
      </c>
      <c r="L311">
        <v>55.223999999999997</v>
      </c>
      <c r="M311">
        <v>54.823</v>
      </c>
      <c r="N311" t="s">
        <v>1177</v>
      </c>
      <c r="O311" t="s">
        <v>1178</v>
      </c>
      <c r="P311" t="s">
        <v>401</v>
      </c>
      <c r="Q311" s="3">
        <v>45064</v>
      </c>
      <c r="R311" s="3">
        <v>46101</v>
      </c>
      <c r="S311" s="4">
        <f t="shared" ca="1" si="29"/>
        <v>36.971937029431899</v>
      </c>
      <c r="T311">
        <f t="shared" si="30"/>
        <v>55.023499999999999</v>
      </c>
      <c r="U311" s="43">
        <v>310</v>
      </c>
      <c r="V311" s="4">
        <f t="shared" ca="1" si="31"/>
        <v>36.5</v>
      </c>
      <c r="W311" s="54">
        <f t="shared" ca="1" si="32"/>
        <v>3</v>
      </c>
      <c r="X311" s="4">
        <f t="shared" ca="1" si="28"/>
        <v>1.3642857142857143</v>
      </c>
      <c r="Y311" s="4">
        <f t="shared" ca="1" si="33"/>
        <v>53.659214285714285</v>
      </c>
      <c r="Z311">
        <f t="shared" si="34"/>
        <v>4.5704999999999991</v>
      </c>
    </row>
    <row r="312" spans="1:26" x14ac:dyDescent="0.35">
      <c r="A312" t="s">
        <v>371</v>
      </c>
      <c r="B312" t="s">
        <v>541</v>
      </c>
      <c r="C312" t="s">
        <v>394</v>
      </c>
      <c r="D312" t="s">
        <v>395</v>
      </c>
      <c r="E312" t="s">
        <v>396</v>
      </c>
      <c r="F312" t="s">
        <v>441</v>
      </c>
      <c r="G312" t="s">
        <v>398</v>
      </c>
      <c r="H312">
        <v>2</v>
      </c>
      <c r="I312">
        <v>0.2</v>
      </c>
      <c r="J312">
        <v>1.1789999999999872</v>
      </c>
      <c r="K312">
        <v>1.2040000000000017</v>
      </c>
      <c r="L312">
        <v>98.296999999999997</v>
      </c>
      <c r="M312">
        <v>98.254000000000005</v>
      </c>
      <c r="N312" t="s">
        <v>1179</v>
      </c>
      <c r="O312" t="s">
        <v>1180</v>
      </c>
      <c r="P312" t="s">
        <v>401</v>
      </c>
      <c r="Q312" s="3">
        <v>44966</v>
      </c>
      <c r="R312" s="3">
        <v>46193</v>
      </c>
      <c r="S312" s="4">
        <f t="shared" ca="1" si="29"/>
        <v>1.7248459958932238</v>
      </c>
      <c r="T312">
        <f t="shared" si="30"/>
        <v>98.275499999999994</v>
      </c>
      <c r="U312" s="43">
        <v>311</v>
      </c>
      <c r="V312" s="4">
        <f t="shared" ca="1" si="31"/>
        <v>1.5</v>
      </c>
      <c r="W312" s="54">
        <f t="shared" ca="1" si="32"/>
        <v>3</v>
      </c>
      <c r="X312" s="4">
        <f t="shared" ca="1" si="28"/>
        <v>0.1098901098901099</v>
      </c>
      <c r="Y312" s="4">
        <f t="shared" ca="1" si="33"/>
        <v>98.165609890109877</v>
      </c>
      <c r="Z312">
        <f t="shared" si="34"/>
        <v>1.1914999999999945</v>
      </c>
    </row>
    <row r="313" spans="1:26" x14ac:dyDescent="0.35">
      <c r="A313" t="s">
        <v>372</v>
      </c>
      <c r="B313" t="s">
        <v>393</v>
      </c>
      <c r="C313" t="s">
        <v>394</v>
      </c>
      <c r="D313" t="s">
        <v>395</v>
      </c>
      <c r="E313" t="s">
        <v>396</v>
      </c>
      <c r="F313" t="s">
        <v>667</v>
      </c>
      <c r="G313" t="s">
        <v>398</v>
      </c>
      <c r="H313">
        <v>2</v>
      </c>
      <c r="I313">
        <v>0.5</v>
      </c>
      <c r="J313">
        <v>1.8729999999519316</v>
      </c>
      <c r="K313">
        <v>1.8899999999480253</v>
      </c>
      <c r="L313">
        <v>91.745000000000005</v>
      </c>
      <c r="M313">
        <v>91.650999999999996</v>
      </c>
      <c r="N313" t="s">
        <v>1181</v>
      </c>
      <c r="O313" t="s">
        <v>1182</v>
      </c>
      <c r="P313" t="s">
        <v>401</v>
      </c>
      <c r="Q313" s="3">
        <v>44923</v>
      </c>
      <c r="R313" s="3">
        <v>46193</v>
      </c>
      <c r="S313" s="4">
        <f t="shared" ca="1" si="29"/>
        <v>6.7268993839835725</v>
      </c>
      <c r="T313">
        <f t="shared" si="30"/>
        <v>91.698000000000008</v>
      </c>
      <c r="U313" s="43">
        <v>312</v>
      </c>
      <c r="V313" s="4">
        <f t="shared" ca="1" si="31"/>
        <v>6.5</v>
      </c>
      <c r="W313" s="54">
        <f t="shared" ca="1" si="32"/>
        <v>4</v>
      </c>
      <c r="X313" s="4">
        <f t="shared" ca="1" si="28"/>
        <v>0.27472527472527475</v>
      </c>
      <c r="Y313" s="4">
        <f t="shared" ca="1" si="33"/>
        <v>91.423274725274737</v>
      </c>
      <c r="Z313">
        <f t="shared" si="34"/>
        <v>1.8814999999499784</v>
      </c>
    </row>
    <row r="314" spans="1:26" x14ac:dyDescent="0.35">
      <c r="A314" t="s">
        <v>373</v>
      </c>
      <c r="B314" t="s">
        <v>402</v>
      </c>
      <c r="C314" t="s">
        <v>394</v>
      </c>
      <c r="D314" t="s">
        <v>395</v>
      </c>
      <c r="E314" t="s">
        <v>396</v>
      </c>
      <c r="F314" t="s">
        <v>1183</v>
      </c>
      <c r="G314" t="s">
        <v>398</v>
      </c>
      <c r="H314">
        <v>2</v>
      </c>
      <c r="I314">
        <v>1.6</v>
      </c>
      <c r="J314">
        <v>4.0829999999912303</v>
      </c>
      <c r="K314">
        <v>4.1239999999897492</v>
      </c>
      <c r="L314">
        <v>68.239000000000004</v>
      </c>
      <c r="M314">
        <v>67.882999999999996</v>
      </c>
      <c r="N314" t="s">
        <v>1184</v>
      </c>
      <c r="O314" t="s">
        <v>1185</v>
      </c>
      <c r="P314" t="s">
        <v>401</v>
      </c>
      <c r="Q314" s="3">
        <v>44930</v>
      </c>
      <c r="R314" s="3">
        <v>46193</v>
      </c>
      <c r="S314" s="4">
        <f t="shared" ca="1" si="29"/>
        <v>26.726899383983572</v>
      </c>
      <c r="T314">
        <f t="shared" si="30"/>
        <v>68.061000000000007</v>
      </c>
      <c r="U314" s="43">
        <v>313</v>
      </c>
      <c r="V314" s="4">
        <f t="shared" ca="1" si="31"/>
        <v>26.5</v>
      </c>
      <c r="W314" s="54">
        <f t="shared" ca="1" si="32"/>
        <v>3</v>
      </c>
      <c r="X314" s="4">
        <f t="shared" ca="1" si="28"/>
        <v>0.87912087912087922</v>
      </c>
      <c r="Y314" s="4">
        <f t="shared" ca="1" si="33"/>
        <v>67.181879120879131</v>
      </c>
      <c r="Z314">
        <f t="shared" si="34"/>
        <v>4.1034999999904898</v>
      </c>
    </row>
    <row r="315" spans="1:26" x14ac:dyDescent="0.35">
      <c r="A315" t="s">
        <v>374</v>
      </c>
      <c r="B315" t="s">
        <v>541</v>
      </c>
      <c r="C315" t="s">
        <v>394</v>
      </c>
      <c r="D315" t="s">
        <v>395</v>
      </c>
      <c r="E315" t="s">
        <v>396</v>
      </c>
      <c r="F315" t="s">
        <v>441</v>
      </c>
      <c r="G315" t="s">
        <v>398</v>
      </c>
      <c r="H315">
        <v>2</v>
      </c>
      <c r="I315">
        <v>0.3</v>
      </c>
      <c r="J315">
        <v>1.1819999994167807</v>
      </c>
      <c r="K315">
        <v>1.2059999999999877</v>
      </c>
      <c r="L315">
        <v>98.465999999999994</v>
      </c>
      <c r="M315">
        <v>98.424999999999997</v>
      </c>
      <c r="N315" t="s">
        <v>1186</v>
      </c>
      <c r="O315" t="s">
        <v>1187</v>
      </c>
      <c r="P315" t="s">
        <v>401</v>
      </c>
      <c r="Q315" s="3">
        <v>44932</v>
      </c>
      <c r="R315" s="3">
        <v>46193</v>
      </c>
      <c r="S315" s="4">
        <f t="shared" ca="1" si="29"/>
        <v>1.7248459958932238</v>
      </c>
      <c r="T315">
        <f t="shared" si="30"/>
        <v>98.445499999999996</v>
      </c>
      <c r="U315" s="43">
        <v>314</v>
      </c>
      <c r="V315" s="4">
        <f t="shared" ca="1" si="31"/>
        <v>1.5</v>
      </c>
      <c r="W315" s="54">
        <f t="shared" ca="1" si="32"/>
        <v>3</v>
      </c>
      <c r="X315" s="4">
        <f t="shared" ca="1" si="28"/>
        <v>0.16483516483516483</v>
      </c>
      <c r="Y315" s="4">
        <f t="shared" ca="1" si="33"/>
        <v>98.280664835164828</v>
      </c>
      <c r="Z315">
        <f t="shared" si="34"/>
        <v>1.1939999997083843</v>
      </c>
    </row>
    <row r="316" spans="1:26" x14ac:dyDescent="0.35">
      <c r="A316" t="s">
        <v>375</v>
      </c>
      <c r="B316" t="s">
        <v>406</v>
      </c>
      <c r="C316" t="s">
        <v>394</v>
      </c>
      <c r="D316" t="s">
        <v>395</v>
      </c>
      <c r="E316" t="s">
        <v>396</v>
      </c>
      <c r="F316" t="s">
        <v>1188</v>
      </c>
      <c r="G316" t="s">
        <v>398</v>
      </c>
      <c r="H316">
        <v>2</v>
      </c>
      <c r="I316">
        <v>1.4</v>
      </c>
      <c r="J316">
        <v>3.1589999999999576</v>
      </c>
      <c r="K316">
        <v>3.1829999999999532</v>
      </c>
      <c r="L316">
        <v>80.712000000000003</v>
      </c>
      <c r="M316">
        <v>80.501000000000005</v>
      </c>
      <c r="N316" t="s">
        <v>1189</v>
      </c>
      <c r="O316" t="s">
        <v>1190</v>
      </c>
      <c r="P316" t="s">
        <v>401</v>
      </c>
      <c r="Q316" s="3">
        <v>44938</v>
      </c>
      <c r="R316" s="3">
        <v>46193</v>
      </c>
      <c r="S316" s="4">
        <f t="shared" ca="1" si="29"/>
        <v>16.725530458590008</v>
      </c>
      <c r="T316">
        <f t="shared" si="30"/>
        <v>80.606500000000011</v>
      </c>
      <c r="U316" s="43">
        <v>315</v>
      </c>
      <c r="V316" s="4">
        <f t="shared" ca="1" si="31"/>
        <v>16.5</v>
      </c>
      <c r="W316" s="54">
        <f t="shared" ca="1" si="32"/>
        <v>3</v>
      </c>
      <c r="X316" s="4">
        <f t="shared" ca="1" si="28"/>
        <v>0.76923076923076927</v>
      </c>
      <c r="Y316" s="4">
        <f t="shared" ca="1" si="33"/>
        <v>79.837269230769238</v>
      </c>
      <c r="Z316">
        <f t="shared" si="34"/>
        <v>3.1709999999999554</v>
      </c>
    </row>
    <row r="317" spans="1:26" x14ac:dyDescent="0.35">
      <c r="A317" t="s">
        <v>376</v>
      </c>
      <c r="B317" t="s">
        <v>393</v>
      </c>
      <c r="C317" t="s">
        <v>394</v>
      </c>
      <c r="D317" t="s">
        <v>395</v>
      </c>
      <c r="E317" t="s">
        <v>396</v>
      </c>
      <c r="F317" t="s">
        <v>628</v>
      </c>
      <c r="G317" t="s">
        <v>398</v>
      </c>
      <c r="H317">
        <v>2</v>
      </c>
      <c r="I317">
        <v>0.1</v>
      </c>
      <c r="J317">
        <v>1.6079999999895414</v>
      </c>
      <c r="K317">
        <v>1.6289999999885652</v>
      </c>
      <c r="L317">
        <v>93.637</v>
      </c>
      <c r="M317">
        <v>93.554000000000002</v>
      </c>
      <c r="N317" t="s">
        <v>1191</v>
      </c>
      <c r="O317" t="s">
        <v>1192</v>
      </c>
      <c r="P317" t="s">
        <v>401</v>
      </c>
      <c r="Q317" s="3">
        <v>44098</v>
      </c>
      <c r="R317" s="3">
        <v>46101</v>
      </c>
      <c r="S317" s="4">
        <f t="shared" ca="1" si="29"/>
        <v>4.476386036960986</v>
      </c>
      <c r="T317">
        <f t="shared" si="30"/>
        <v>93.595500000000001</v>
      </c>
      <c r="U317" s="43">
        <v>316</v>
      </c>
      <c r="V317" s="4">
        <f t="shared" ca="1" si="31"/>
        <v>4</v>
      </c>
      <c r="W317" s="54">
        <f t="shared" ca="1" si="32"/>
        <v>6</v>
      </c>
      <c r="X317" s="4">
        <f t="shared" ca="1" si="28"/>
        <v>0.10494505494505496</v>
      </c>
      <c r="Y317" s="4">
        <f t="shared" ca="1" si="33"/>
        <v>93.490554945054953</v>
      </c>
      <c r="Z317">
        <f t="shared" si="34"/>
        <v>1.6184999999890533</v>
      </c>
    </row>
    <row r="318" spans="1:26" x14ac:dyDescent="0.35">
      <c r="A318" t="s">
        <v>377</v>
      </c>
      <c r="B318" t="s">
        <v>402</v>
      </c>
      <c r="C318" t="s">
        <v>394</v>
      </c>
      <c r="D318" t="s">
        <v>395</v>
      </c>
      <c r="E318" t="s">
        <v>396</v>
      </c>
      <c r="F318" t="s">
        <v>1193</v>
      </c>
      <c r="G318" t="s">
        <v>398</v>
      </c>
      <c r="H318">
        <v>2</v>
      </c>
      <c r="I318">
        <v>0.6</v>
      </c>
      <c r="J318">
        <v>4.497999999999811</v>
      </c>
      <c r="K318">
        <v>4.5419999999997751</v>
      </c>
      <c r="L318">
        <v>54.542999999999999</v>
      </c>
      <c r="M318">
        <v>54.265000000000001</v>
      </c>
      <c r="N318" t="s">
        <v>1194</v>
      </c>
      <c r="O318" t="s">
        <v>1195</v>
      </c>
      <c r="P318" t="s">
        <v>513</v>
      </c>
      <c r="Q318" s="3">
        <v>44103</v>
      </c>
      <c r="R318" s="3">
        <v>46101</v>
      </c>
      <c r="S318" s="4">
        <f t="shared" ca="1" si="29"/>
        <v>24.476386036960985</v>
      </c>
      <c r="T318">
        <f t="shared" si="30"/>
        <v>54.403999999999996</v>
      </c>
      <c r="U318" s="43">
        <v>317</v>
      </c>
      <c r="V318" s="4">
        <f t="shared" ca="1" si="31"/>
        <v>24</v>
      </c>
      <c r="W318" s="54">
        <f t="shared" ca="1" si="32"/>
        <v>6</v>
      </c>
      <c r="X318" s="4">
        <f t="shared" ca="1" si="28"/>
        <v>0.62967032967032965</v>
      </c>
      <c r="Y318" s="4">
        <f t="shared" ca="1" si="33"/>
        <v>53.774329670329664</v>
      </c>
      <c r="Z318">
        <f t="shared" si="34"/>
        <v>4.5199999999997935</v>
      </c>
    </row>
    <row r="319" spans="1:26" x14ac:dyDescent="0.35">
      <c r="A319" t="s">
        <v>378</v>
      </c>
      <c r="B319" t="s">
        <v>393</v>
      </c>
      <c r="C319" t="s">
        <v>394</v>
      </c>
      <c r="D319" t="s">
        <v>395</v>
      </c>
      <c r="E319" t="s">
        <v>396</v>
      </c>
      <c r="F319" t="s">
        <v>793</v>
      </c>
      <c r="G319" t="s">
        <v>398</v>
      </c>
      <c r="H319">
        <v>2</v>
      </c>
      <c r="I319">
        <v>0.1</v>
      </c>
      <c r="J319">
        <v>1.5069999999989467</v>
      </c>
      <c r="K319">
        <v>1.5289999999988426</v>
      </c>
      <c r="L319">
        <v>94.974000000000004</v>
      </c>
      <c r="M319">
        <v>94.899000000000001</v>
      </c>
      <c r="N319" t="s">
        <v>1196</v>
      </c>
      <c r="O319" t="s">
        <v>1197</v>
      </c>
      <c r="P319" t="s">
        <v>401</v>
      </c>
      <c r="Q319" s="3">
        <v>43826</v>
      </c>
      <c r="R319" s="3">
        <v>46193</v>
      </c>
      <c r="S319" s="4">
        <f t="shared" ca="1" si="29"/>
        <v>3.7262149212867897</v>
      </c>
      <c r="T319">
        <f t="shared" si="30"/>
        <v>94.936499999999995</v>
      </c>
      <c r="U319" s="43">
        <v>318</v>
      </c>
      <c r="V319" s="4">
        <f t="shared" ca="1" si="31"/>
        <v>3.5</v>
      </c>
      <c r="W319" s="54">
        <f t="shared" ca="1" si="32"/>
        <v>7</v>
      </c>
      <c r="X319" s="4">
        <f t="shared" ca="1" si="28"/>
        <v>5.4945054945054951E-2</v>
      </c>
      <c r="Y319" s="4">
        <f t="shared" ca="1" si="33"/>
        <v>94.881554945054944</v>
      </c>
      <c r="Z319">
        <f t="shared" si="34"/>
        <v>1.5179999999988947</v>
      </c>
    </row>
    <row r="320" spans="1:26" x14ac:dyDescent="0.35">
      <c r="A320" t="s">
        <v>379</v>
      </c>
      <c r="B320" t="s">
        <v>402</v>
      </c>
      <c r="C320" t="s">
        <v>394</v>
      </c>
      <c r="D320" t="s">
        <v>395</v>
      </c>
      <c r="E320" t="s">
        <v>396</v>
      </c>
      <c r="F320" t="s">
        <v>1198</v>
      </c>
      <c r="G320" t="s">
        <v>398</v>
      </c>
      <c r="H320">
        <v>2</v>
      </c>
      <c r="I320">
        <v>0.4</v>
      </c>
      <c r="J320">
        <v>4.5229999999988379</v>
      </c>
      <c r="K320">
        <v>4.5589999999986786</v>
      </c>
      <c r="L320">
        <v>52.765999999999998</v>
      </c>
      <c r="M320">
        <v>52.55</v>
      </c>
      <c r="N320" t="s">
        <v>1199</v>
      </c>
      <c r="O320" t="s">
        <v>1200</v>
      </c>
      <c r="P320" t="s">
        <v>401</v>
      </c>
      <c r="Q320" s="3">
        <v>43826</v>
      </c>
      <c r="R320" s="3">
        <v>46193</v>
      </c>
      <c r="S320" s="4">
        <f t="shared" ca="1" si="29"/>
        <v>23.72621492128679</v>
      </c>
      <c r="T320">
        <f t="shared" si="30"/>
        <v>52.658000000000001</v>
      </c>
      <c r="U320" s="43">
        <v>319</v>
      </c>
      <c r="V320" s="4">
        <f t="shared" ca="1" si="31"/>
        <v>23.5</v>
      </c>
      <c r="W320" s="54">
        <f t="shared" ca="1" si="32"/>
        <v>7</v>
      </c>
      <c r="X320" s="4">
        <f t="shared" ca="1" si="28"/>
        <v>0.2197802197802198</v>
      </c>
      <c r="Y320" s="4">
        <f t="shared" ca="1" si="33"/>
        <v>52.438219780219782</v>
      </c>
      <c r="Z320">
        <f t="shared" si="34"/>
        <v>4.5409999999987587</v>
      </c>
    </row>
    <row r="321" spans="1:26" x14ac:dyDescent="0.35">
      <c r="A321" t="s">
        <v>380</v>
      </c>
      <c r="B321" t="s">
        <v>406</v>
      </c>
      <c r="C321" t="s">
        <v>394</v>
      </c>
      <c r="D321" t="s">
        <v>395</v>
      </c>
      <c r="E321" t="s">
        <v>396</v>
      </c>
      <c r="F321" t="s">
        <v>1201</v>
      </c>
      <c r="G321" t="s">
        <v>398</v>
      </c>
      <c r="H321">
        <v>2</v>
      </c>
      <c r="I321">
        <v>0.3</v>
      </c>
      <c r="J321">
        <v>3.0269999999836164</v>
      </c>
      <c r="K321">
        <v>3.0529999999819166</v>
      </c>
      <c r="L321">
        <v>73.489000000000004</v>
      </c>
      <c r="M321">
        <v>73.302999999999997</v>
      </c>
      <c r="N321" t="s">
        <v>1202</v>
      </c>
      <c r="O321" t="s">
        <v>1203</v>
      </c>
      <c r="P321" t="s">
        <v>401</v>
      </c>
      <c r="Q321" s="3">
        <v>43840</v>
      </c>
      <c r="R321" s="3">
        <v>46193</v>
      </c>
      <c r="S321" s="4">
        <f t="shared" ca="1" si="29"/>
        <v>13.724845995893224</v>
      </c>
      <c r="T321">
        <f t="shared" si="30"/>
        <v>73.396000000000001</v>
      </c>
      <c r="U321" s="43">
        <v>320</v>
      </c>
      <c r="V321" s="4">
        <f t="shared" ca="1" si="31"/>
        <v>13.5</v>
      </c>
      <c r="W321" s="54">
        <f t="shared" ca="1" si="32"/>
        <v>6</v>
      </c>
      <c r="X321" s="4">
        <f t="shared" ca="1" si="28"/>
        <v>0.16483516483516483</v>
      </c>
      <c r="Y321" s="4">
        <f t="shared" ca="1" si="33"/>
        <v>73.231164835164833</v>
      </c>
      <c r="Z321">
        <f t="shared" si="34"/>
        <v>3.0399999999827667</v>
      </c>
    </row>
    <row r="322" spans="1:26" x14ac:dyDescent="0.35">
      <c r="A322" t="s">
        <v>381</v>
      </c>
      <c r="B322" t="s">
        <v>402</v>
      </c>
      <c r="C322" t="s">
        <v>394</v>
      </c>
      <c r="D322" t="s">
        <v>395</v>
      </c>
      <c r="E322" t="s">
        <v>396</v>
      </c>
      <c r="F322" t="s">
        <v>1204</v>
      </c>
      <c r="G322" t="s">
        <v>398</v>
      </c>
      <c r="H322">
        <v>2</v>
      </c>
      <c r="I322">
        <v>0.4</v>
      </c>
      <c r="J322">
        <v>4.475999999999023</v>
      </c>
      <c r="K322">
        <v>4.5149999999988726</v>
      </c>
      <c r="L322">
        <v>53.292000000000002</v>
      </c>
      <c r="M322">
        <v>53.055</v>
      </c>
      <c r="N322" t="s">
        <v>1205</v>
      </c>
      <c r="O322" t="s">
        <v>1206</v>
      </c>
      <c r="P322" t="s">
        <v>401</v>
      </c>
      <c r="Q322" s="3">
        <v>43748</v>
      </c>
      <c r="R322" s="3">
        <v>46101</v>
      </c>
      <c r="S322" s="4">
        <f t="shared" ca="1" si="29"/>
        <v>23.477070499657767</v>
      </c>
      <c r="T322">
        <f t="shared" si="30"/>
        <v>53.173500000000004</v>
      </c>
      <c r="U322" s="43">
        <v>321</v>
      </c>
      <c r="V322" s="4">
        <f t="shared" ca="1" si="31"/>
        <v>23</v>
      </c>
      <c r="W322" s="54">
        <f t="shared" ca="1" si="32"/>
        <v>7</v>
      </c>
      <c r="X322" s="4">
        <f t="shared" ref="X322:X327" ca="1" si="35">(TODAY()-DATE(YEAR(R322),MONTH(R322)-6,DAY(R322)))/182*(I322)</f>
        <v>0.41978021978021984</v>
      </c>
      <c r="Y322" s="4">
        <f t="shared" ca="1" si="33"/>
        <v>52.753719780219782</v>
      </c>
      <c r="Z322">
        <f t="shared" si="34"/>
        <v>4.4954999999989482</v>
      </c>
    </row>
    <row r="323" spans="1:26" x14ac:dyDescent="0.35">
      <c r="A323" t="s">
        <v>382</v>
      </c>
      <c r="B323" t="s">
        <v>406</v>
      </c>
      <c r="C323" t="s">
        <v>394</v>
      </c>
      <c r="D323" t="s">
        <v>395</v>
      </c>
      <c r="E323" t="s">
        <v>396</v>
      </c>
      <c r="F323" t="s">
        <v>790</v>
      </c>
      <c r="G323" t="s">
        <v>398</v>
      </c>
      <c r="H323">
        <v>2</v>
      </c>
      <c r="I323">
        <v>0.3</v>
      </c>
      <c r="J323">
        <v>2.9849999999859871</v>
      </c>
      <c r="K323">
        <v>3.0109999999845116</v>
      </c>
      <c r="L323">
        <v>74.128</v>
      </c>
      <c r="M323">
        <v>73.942999999999998</v>
      </c>
      <c r="N323" t="s">
        <v>1207</v>
      </c>
      <c r="O323" t="s">
        <v>1208</v>
      </c>
      <c r="P323" t="s">
        <v>401</v>
      </c>
      <c r="Q323" s="3">
        <v>43762</v>
      </c>
      <c r="R323" s="3">
        <v>46101</v>
      </c>
      <c r="S323" s="4">
        <f t="shared" ref="S323:S327" ca="1" si="36">(F323-TODAY())/365.25</f>
        <v>13.475701574264203</v>
      </c>
      <c r="T323">
        <f t="shared" ref="T323:T327" si="37">AVERAGE(L323:M323)</f>
        <v>74.035499999999999</v>
      </c>
      <c r="U323" s="43">
        <v>322</v>
      </c>
      <c r="V323" s="4">
        <f t="shared" ref="V323:V327" ca="1" si="38">ROUNDDOWN(S323,0)+IF(S323-ROUNDDOWN(S323,0)&gt;0.5,0.5,0)</f>
        <v>13</v>
      </c>
      <c r="W323" s="54">
        <f t="shared" ref="W323:W327" ca="1" si="39">YEAR(TODAY())-YEAR(Q323)</f>
        <v>7</v>
      </c>
      <c r="X323" s="4">
        <f t="shared" ca="1" si="35"/>
        <v>0.31483516483516483</v>
      </c>
      <c r="Y323" s="4">
        <f t="shared" ref="Y323:Y327" ca="1" si="40">T323-X323</f>
        <v>73.72066483516484</v>
      </c>
      <c r="Z323">
        <f t="shared" ref="Z323:Z327" si="41">AVERAGE(J323:K323)</f>
        <v>2.9979999999852494</v>
      </c>
    </row>
    <row r="324" spans="1:26" x14ac:dyDescent="0.35">
      <c r="A324" t="s">
        <v>383</v>
      </c>
      <c r="B324" t="s">
        <v>393</v>
      </c>
      <c r="C324" t="s">
        <v>394</v>
      </c>
      <c r="D324" t="s">
        <v>395</v>
      </c>
      <c r="E324" t="s">
        <v>396</v>
      </c>
      <c r="F324" t="s">
        <v>643</v>
      </c>
      <c r="G324" t="s">
        <v>398</v>
      </c>
      <c r="H324">
        <v>2</v>
      </c>
      <c r="I324">
        <v>0.1</v>
      </c>
      <c r="J324">
        <v>1.4599999999990589</v>
      </c>
      <c r="K324">
        <v>1.4819999999989455</v>
      </c>
      <c r="L324">
        <v>95.438999999999993</v>
      </c>
      <c r="M324">
        <v>95.369</v>
      </c>
      <c r="N324" t="s">
        <v>1209</v>
      </c>
      <c r="O324" t="s">
        <v>1210</v>
      </c>
      <c r="P324" t="s">
        <v>401</v>
      </c>
      <c r="Q324" s="3">
        <v>43739</v>
      </c>
      <c r="R324" s="3">
        <v>46101</v>
      </c>
      <c r="S324" s="4">
        <f t="shared" ca="1" si="36"/>
        <v>3.4770704996577688</v>
      </c>
      <c r="T324">
        <f t="shared" si="37"/>
        <v>95.403999999999996</v>
      </c>
      <c r="U324" s="43">
        <v>323</v>
      </c>
      <c r="V324" s="4">
        <f t="shared" ca="1" si="38"/>
        <v>3</v>
      </c>
      <c r="W324" s="54">
        <f t="shared" ca="1" si="39"/>
        <v>7</v>
      </c>
      <c r="X324" s="4">
        <f t="shared" ca="1" si="35"/>
        <v>0.10494505494505496</v>
      </c>
      <c r="Y324" s="4">
        <f t="shared" ca="1" si="40"/>
        <v>95.299054945054948</v>
      </c>
      <c r="Z324">
        <f t="shared" si="41"/>
        <v>1.4709999999990022</v>
      </c>
    </row>
    <row r="325" spans="1:26" x14ac:dyDescent="0.35">
      <c r="A325" t="s">
        <v>384</v>
      </c>
      <c r="B325" t="s">
        <v>402</v>
      </c>
      <c r="C325" t="s">
        <v>394</v>
      </c>
      <c r="D325" t="s">
        <v>395</v>
      </c>
      <c r="E325" t="s">
        <v>396</v>
      </c>
      <c r="F325" t="s">
        <v>781</v>
      </c>
      <c r="G325" t="s">
        <v>398</v>
      </c>
      <c r="H325">
        <v>2</v>
      </c>
      <c r="I325">
        <v>0.5</v>
      </c>
      <c r="J325">
        <v>4.3169999999998607</v>
      </c>
      <c r="K325">
        <v>4.3539999999998393</v>
      </c>
      <c r="L325">
        <v>55.927</v>
      </c>
      <c r="M325">
        <v>55.689</v>
      </c>
      <c r="N325" t="s">
        <v>1211</v>
      </c>
      <c r="O325" t="s">
        <v>1212</v>
      </c>
      <c r="P325" t="s">
        <v>401</v>
      </c>
      <c r="Q325" s="3">
        <v>43559</v>
      </c>
      <c r="R325" s="3">
        <v>46101</v>
      </c>
      <c r="S325" s="4">
        <f t="shared" ca="1" si="36"/>
        <v>22.973305954825463</v>
      </c>
      <c r="T325">
        <f t="shared" si="37"/>
        <v>55.808</v>
      </c>
      <c r="U325" s="43">
        <v>324</v>
      </c>
      <c r="V325" s="4">
        <f t="shared" ca="1" si="38"/>
        <v>22.5</v>
      </c>
      <c r="W325" s="54">
        <f t="shared" ca="1" si="39"/>
        <v>7</v>
      </c>
      <c r="X325" s="4">
        <f t="shared" ca="1" si="35"/>
        <v>0.52472527472527475</v>
      </c>
      <c r="Y325" s="4">
        <f t="shared" ca="1" si="40"/>
        <v>55.283274725274723</v>
      </c>
      <c r="Z325">
        <f t="shared" si="41"/>
        <v>4.3354999999998505</v>
      </c>
    </row>
    <row r="326" spans="1:26" x14ac:dyDescent="0.35">
      <c r="A326" t="s">
        <v>385</v>
      </c>
      <c r="B326" t="s">
        <v>406</v>
      </c>
      <c r="C326" t="s">
        <v>394</v>
      </c>
      <c r="D326" t="s">
        <v>395</v>
      </c>
      <c r="E326" t="s">
        <v>396</v>
      </c>
      <c r="F326" t="s">
        <v>776</v>
      </c>
      <c r="G326" t="s">
        <v>398</v>
      </c>
      <c r="H326">
        <v>2</v>
      </c>
      <c r="I326">
        <v>0.4</v>
      </c>
      <c r="J326">
        <v>2.8679999999969943</v>
      </c>
      <c r="K326">
        <v>2.8949999999966343</v>
      </c>
      <c r="L326">
        <v>76.599999999999994</v>
      </c>
      <c r="M326">
        <v>76.405000000000001</v>
      </c>
      <c r="N326" t="s">
        <v>1213</v>
      </c>
      <c r="O326" t="s">
        <v>1214</v>
      </c>
      <c r="P326" t="s">
        <v>401</v>
      </c>
      <c r="Q326" s="3">
        <v>43571</v>
      </c>
      <c r="R326" s="3">
        <v>46101</v>
      </c>
      <c r="S326" s="4">
        <f t="shared" ca="1" si="36"/>
        <v>12.971937029431896</v>
      </c>
      <c r="T326">
        <f t="shared" si="37"/>
        <v>76.502499999999998</v>
      </c>
      <c r="U326" s="43">
        <v>325</v>
      </c>
      <c r="V326" s="4">
        <f t="shared" ca="1" si="38"/>
        <v>12.5</v>
      </c>
      <c r="W326" s="54">
        <f t="shared" ca="1" si="39"/>
        <v>7</v>
      </c>
      <c r="X326" s="4">
        <f t="shared" ca="1" si="35"/>
        <v>0.41978021978021984</v>
      </c>
      <c r="Y326" s="4">
        <f t="shared" ca="1" si="40"/>
        <v>76.082719780219776</v>
      </c>
      <c r="Z326">
        <f t="shared" si="41"/>
        <v>2.8814999999968141</v>
      </c>
    </row>
    <row r="327" spans="1:26" x14ac:dyDescent="0.35">
      <c r="A327" t="s">
        <v>386</v>
      </c>
      <c r="B327" t="s">
        <v>419</v>
      </c>
      <c r="C327" t="s">
        <v>394</v>
      </c>
      <c r="D327" t="s">
        <v>395</v>
      </c>
      <c r="E327" t="s">
        <v>396</v>
      </c>
      <c r="F327" t="s">
        <v>1215</v>
      </c>
      <c r="G327" t="s">
        <v>398</v>
      </c>
      <c r="H327">
        <v>2</v>
      </c>
      <c r="I327">
        <v>0.5</v>
      </c>
      <c r="J327">
        <v>5.2119999998883095</v>
      </c>
      <c r="K327">
        <v>5.280999999865454</v>
      </c>
      <c r="L327">
        <v>42.817</v>
      </c>
      <c r="M327">
        <v>42.462000000000003</v>
      </c>
      <c r="N327" t="s">
        <v>1216</v>
      </c>
      <c r="O327" t="s">
        <v>1217</v>
      </c>
      <c r="P327" t="s">
        <v>401</v>
      </c>
      <c r="Q327" s="3">
        <v>43613</v>
      </c>
      <c r="R327" s="3">
        <v>46101</v>
      </c>
      <c r="S327" s="4">
        <f t="shared" ca="1" si="36"/>
        <v>32.971937029431899</v>
      </c>
      <c r="T327">
        <f t="shared" si="37"/>
        <v>42.639499999999998</v>
      </c>
      <c r="U327" s="43">
        <v>326</v>
      </c>
      <c r="V327" s="4">
        <f t="shared" ca="1" si="38"/>
        <v>32.5</v>
      </c>
      <c r="W327" s="54">
        <f t="shared" ca="1" si="39"/>
        <v>7</v>
      </c>
      <c r="X327" s="4">
        <f t="shared" ca="1" si="35"/>
        <v>0.52472527472527475</v>
      </c>
      <c r="Y327" s="4">
        <f t="shared" ca="1" si="40"/>
        <v>42.114774725274721</v>
      </c>
      <c r="Z327">
        <f t="shared" si="41"/>
        <v>5.2464999998768818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FCD5-EC3F-457B-B88C-8721009077C2}">
  <dimension ref="A1:Z327"/>
  <sheetViews>
    <sheetView tabSelected="1" topLeftCell="I1" zoomScale="63" zoomScaleNormal="130" workbookViewId="0">
      <selection activeCell="T327" sqref="A1:Z327"/>
    </sheetView>
  </sheetViews>
  <sheetFormatPr defaultRowHeight="12.75" x14ac:dyDescent="0.35"/>
  <cols>
    <col min="17" max="17" width="9.86328125" style="3" customWidth="1"/>
    <col min="18" max="19" width="10.59765625" bestFit="1" customWidth="1"/>
  </cols>
  <sheetData>
    <row r="1" spans="1:26" x14ac:dyDescent="0.35">
      <c r="A1" t="str" cm="1">
        <f t="array" aca="1" ref="A1:Z1" ca="1">+OFFSET(Offline!A1,,,1,COUNTA(Offline!1:1))</f>
        <v>Instrument</v>
      </c>
      <c r="B1" t="str">
        <f ca="1"/>
        <v>Name</v>
      </c>
      <c r="C1" t="str">
        <f ca="1"/>
        <v>Ticker</v>
      </c>
      <c r="D1" t="str">
        <f ca="1"/>
        <v>Country/Region</v>
      </c>
      <c r="E1" t="str">
        <f ca="1"/>
        <v>Currency</v>
      </c>
      <c r="F1" t="str">
        <f ca="1"/>
        <v>Maturity</v>
      </c>
      <c r="G1" t="str">
        <f ca="1"/>
        <v>Coupon Type</v>
      </c>
      <c r="H1" t="str">
        <f ca="1"/>
        <v>Coupon Frequency</v>
      </c>
      <c r="I1" t="str">
        <f ca="1"/>
        <v>Coupon</v>
      </c>
      <c r="J1" t="str">
        <f ca="1"/>
        <v>Ask Yield to Maturity</v>
      </c>
      <c r="K1" t="str">
        <f ca="1"/>
        <v>Bid Yield to Maturity</v>
      </c>
      <c r="L1" t="str">
        <f ca="1"/>
        <v>Ask Price</v>
      </c>
      <c r="M1" t="str">
        <f ca="1"/>
        <v>Bid Price</v>
      </c>
      <c r="N1" s="4" t="str">
        <f ca="1"/>
        <v>Identifier</v>
      </c>
      <c r="O1" t="str">
        <f ca="1"/>
        <v>ISIN</v>
      </c>
      <c r="P1" t="str">
        <f ca="1"/>
        <v>Bloomberg Composite Rating</v>
      </c>
      <c r="Q1" s="3" t="str">
        <f ca="1"/>
        <v>Announce</v>
      </c>
      <c r="R1" s="1" t="str">
        <f ca="1"/>
        <v>Next Coupon Settle Date</v>
      </c>
      <c r="S1" t="str">
        <f ca="1"/>
        <v>Time</v>
      </c>
      <c r="T1" t="str">
        <f ca="1"/>
        <v>AVG price</v>
      </c>
      <c r="U1" t="str">
        <f ca="1"/>
        <v>id</v>
      </c>
      <c r="V1" t="str">
        <f ca="1"/>
        <v>TIMEish</v>
      </c>
      <c r="W1" t="str">
        <f ca="1"/>
        <v>years ago</v>
      </c>
      <c r="X1" t="str">
        <f ca="1"/>
        <v>Accrued Interest</v>
      </c>
      <c r="Y1" t="str">
        <f ca="1"/>
        <v>Clean price</v>
      </c>
      <c r="Z1" t="str">
        <f ca="1"/>
        <v>AVG yield</v>
      </c>
    </row>
    <row r="2" spans="1:26" x14ac:dyDescent="0.35">
      <c r="A2" t="str" cm="1">
        <f t="array" aca="1" ref="A2:Z327" ca="1">_xlfn._xlws.SORT(OFFSET(Offline!A2,,,COUNTA(Offline!A:A)-1,COUNTA(Offline!1:1)),COLUMN(Offline!S1))</f>
        <v>BO997638 Corp</v>
      </c>
      <c r="B2" t="str">
        <f ca="1"/>
        <v>Japan Government Five Year Bond</v>
      </c>
      <c r="C2" t="str">
        <f ca="1"/>
        <v>JGB</v>
      </c>
      <c r="D2" t="str">
        <f ca="1"/>
        <v>JP</v>
      </c>
      <c r="E2" t="str">
        <f ca="1"/>
        <v>JPY</v>
      </c>
      <c r="F2" t="str">
        <f ca="1"/>
        <v>20/03/2026</v>
      </c>
      <c r="G2" t="str">
        <f ca="1"/>
        <v>FIXED</v>
      </c>
      <c r="H2">
        <f ca="1"/>
        <v>2</v>
      </c>
      <c r="I2">
        <f ca="1"/>
        <v>5.0000000000000001E-3</v>
      </c>
      <c r="J2">
        <f ca="1"/>
        <v>0.74800000668121813</v>
      </c>
      <c r="K2">
        <f ca="1"/>
        <v>0.76600000752848729</v>
      </c>
      <c r="L2">
        <f ca="1"/>
        <v>99.983000000000004</v>
      </c>
      <c r="M2">
        <f ca="1"/>
        <v>99.983000000000004</v>
      </c>
      <c r="N2" t="str">
        <f ca="1"/>
        <v>BO9976388</v>
      </c>
      <c r="O2" t="str">
        <f ca="1"/>
        <v>JP1051471M45</v>
      </c>
      <c r="P2" t="str">
        <f ca="1"/>
        <v>A+</v>
      </c>
      <c r="Q2" s="3">
        <f ca="1"/>
        <v>44287</v>
      </c>
      <c r="R2" s="4">
        <f ca="1"/>
        <v>46101</v>
      </c>
      <c r="S2" s="4">
        <f ca="1"/>
        <v>-2.7378507871321012E-2</v>
      </c>
      <c r="T2">
        <f ca="1"/>
        <v>99.983000000000004</v>
      </c>
      <c r="U2">
        <f ca="1"/>
        <v>47</v>
      </c>
      <c r="V2">
        <f ca="1"/>
        <v>0</v>
      </c>
      <c r="W2">
        <f ca="1"/>
        <v>5</v>
      </c>
      <c r="X2">
        <f ca="1"/>
        <v>5.2472527472527475E-3</v>
      </c>
      <c r="Y2">
        <f ca="1"/>
        <v>99.977752747252751</v>
      </c>
      <c r="Z2">
        <f ca="1"/>
        <v>0.75700000710485271</v>
      </c>
    </row>
    <row r="3" spans="1:26" x14ac:dyDescent="0.35">
      <c r="A3" t="str">
        <f ca="1"/>
        <v>EF329501 Corp</v>
      </c>
      <c r="B3" t="str">
        <f ca="1"/>
        <v>Japan Government Twenty Year Bond</v>
      </c>
      <c r="C3" t="str">
        <f ca="1"/>
        <v>JGB</v>
      </c>
      <c r="D3" t="str">
        <f ca="1"/>
        <v>JP</v>
      </c>
      <c r="E3" t="str">
        <f ca="1"/>
        <v>JPY</v>
      </c>
      <c r="F3" t="str">
        <f ca="1"/>
        <v>20/03/2026</v>
      </c>
      <c r="G3" t="str">
        <f ca="1"/>
        <v>FIXED</v>
      </c>
      <c r="H3">
        <f ca="1"/>
        <v>2</v>
      </c>
      <c r="I3">
        <f ca="1"/>
        <v>2.1</v>
      </c>
      <c r="J3">
        <f ca="1"/>
        <v>0.74799999999936484</v>
      </c>
      <c r="K3">
        <f ca="1"/>
        <v>0.77100000000052027</v>
      </c>
      <c r="L3">
        <f ca="1"/>
        <v>100.029</v>
      </c>
      <c r="M3">
        <f ca="1"/>
        <v>100.029</v>
      </c>
      <c r="N3" t="str">
        <f ca="1"/>
        <v>EF3295013</v>
      </c>
      <c r="O3" t="str">
        <f ca="1"/>
        <v>JP1200851630</v>
      </c>
      <c r="P3" t="str">
        <f ca="1"/>
        <v>A+</v>
      </c>
      <c r="Q3" s="3">
        <f ca="1"/>
        <v>38792</v>
      </c>
      <c r="R3" s="4">
        <f ca="1"/>
        <v>46101</v>
      </c>
      <c r="S3" s="4">
        <f ca="1"/>
        <v>-2.7378507871321012E-2</v>
      </c>
      <c r="T3">
        <f ca="1"/>
        <v>100.029</v>
      </c>
      <c r="U3">
        <f ca="1"/>
        <v>103</v>
      </c>
      <c r="V3">
        <f ca="1"/>
        <v>0</v>
      </c>
      <c r="W3">
        <f ca="1"/>
        <v>20</v>
      </c>
      <c r="X3">
        <f ca="1"/>
        <v>2.203846153846154</v>
      </c>
      <c r="Y3">
        <f ca="1"/>
        <v>97.825153846153839</v>
      </c>
      <c r="Z3">
        <f ca="1"/>
        <v>0.75949999999994255</v>
      </c>
    </row>
    <row r="4" spans="1:26" x14ac:dyDescent="0.35">
      <c r="A4" t="str">
        <f ca="1"/>
        <v>EF381218 Corp</v>
      </c>
      <c r="B4" t="str">
        <f ca="1"/>
        <v>Japan Government Twenty Year Bond</v>
      </c>
      <c r="C4" t="str">
        <f ca="1"/>
        <v>JGB</v>
      </c>
      <c r="D4" t="str">
        <f ca="1"/>
        <v>JP</v>
      </c>
      <c r="E4" t="str">
        <f ca="1"/>
        <v>JPY</v>
      </c>
      <c r="F4" t="str">
        <f ca="1"/>
        <v>20/03/2026</v>
      </c>
      <c r="G4" t="str">
        <f ca="1"/>
        <v>FIXED</v>
      </c>
      <c r="H4">
        <f ca="1"/>
        <v>2</v>
      </c>
      <c r="I4">
        <f ca="1"/>
        <v>2.2999999999999998</v>
      </c>
      <c r="J4">
        <f ca="1"/>
        <v>0.73599999999969556</v>
      </c>
      <c r="K4">
        <f ca="1"/>
        <v>0.76799999999905377</v>
      </c>
      <c r="L4">
        <f ca="1"/>
        <v>100.03400000000001</v>
      </c>
      <c r="M4">
        <f ca="1"/>
        <v>100.033</v>
      </c>
      <c r="N4" t="str">
        <f ca="1"/>
        <v>EF3812189</v>
      </c>
      <c r="O4" t="str">
        <f ca="1"/>
        <v>JP1200861647</v>
      </c>
      <c r="P4" t="str">
        <f ca="1"/>
        <v>A+</v>
      </c>
      <c r="Q4" s="3">
        <f ca="1"/>
        <v>38832</v>
      </c>
      <c r="R4" s="4">
        <f ca="1"/>
        <v>46101</v>
      </c>
      <c r="S4" s="4">
        <f ca="1"/>
        <v>-2.7378507871321012E-2</v>
      </c>
      <c r="T4">
        <f ca="1"/>
        <v>100.0335</v>
      </c>
      <c r="U4">
        <f ca="1"/>
        <v>105</v>
      </c>
      <c r="V4">
        <f ca="1"/>
        <v>0</v>
      </c>
      <c r="W4">
        <f ca="1"/>
        <v>20</v>
      </c>
      <c r="X4">
        <f ca="1"/>
        <v>2.4137362637362636</v>
      </c>
      <c r="Y4">
        <f ca="1"/>
        <v>97.619763736263735</v>
      </c>
      <c r="Z4">
        <f ca="1"/>
        <v>0.75199999999937472</v>
      </c>
    </row>
    <row r="5" spans="1:26" x14ac:dyDescent="0.35">
      <c r="A5" t="str">
        <f ca="1"/>
        <v>EF452796 Corp</v>
      </c>
      <c r="B5" t="str">
        <f ca="1"/>
        <v>Japan Government Twenty Year Bond</v>
      </c>
      <c r="C5" t="str">
        <f ca="1"/>
        <v>JGB</v>
      </c>
      <c r="D5" t="str">
        <f ca="1"/>
        <v>JP</v>
      </c>
      <c r="E5" t="str">
        <f ca="1"/>
        <v>JPY</v>
      </c>
      <c r="F5" t="str">
        <f ca="1"/>
        <v>20/03/2026</v>
      </c>
      <c r="G5" t="str">
        <f ca="1"/>
        <v>FIXED</v>
      </c>
      <c r="H5">
        <f ca="1"/>
        <v>2</v>
      </c>
      <c r="I5">
        <f ca="1"/>
        <v>2.2000000000000002</v>
      </c>
      <c r="J5">
        <f ca="1"/>
        <v>0.73700000000022381</v>
      </c>
      <c r="K5">
        <f ca="1"/>
        <v>0.76199999999929613</v>
      </c>
      <c r="L5">
        <f ca="1"/>
        <v>100.032</v>
      </c>
      <c r="M5">
        <f ca="1"/>
        <v>100.03100000000001</v>
      </c>
      <c r="N5" t="str">
        <f ca="1"/>
        <v>EF4527968</v>
      </c>
      <c r="O5" t="str">
        <f ca="1"/>
        <v>JP1200871653</v>
      </c>
      <c r="P5" t="str">
        <f ca="1"/>
        <v>A+</v>
      </c>
      <c r="Q5" s="3">
        <f ca="1"/>
        <v>38862</v>
      </c>
      <c r="R5" s="4">
        <f ca="1"/>
        <v>46101</v>
      </c>
      <c r="S5" s="4">
        <f ca="1"/>
        <v>-2.7378507871321012E-2</v>
      </c>
      <c r="T5">
        <f ca="1"/>
        <v>100.03149999999999</v>
      </c>
      <c r="U5">
        <f ca="1"/>
        <v>106</v>
      </c>
      <c r="V5">
        <f ca="1"/>
        <v>0</v>
      </c>
      <c r="W5">
        <f ca="1"/>
        <v>20</v>
      </c>
      <c r="X5">
        <f ca="1"/>
        <v>2.308791208791209</v>
      </c>
      <c r="Y5">
        <f ca="1"/>
        <v>97.722708791208788</v>
      </c>
      <c r="Z5">
        <f ca="1"/>
        <v>0.74949999999976002</v>
      </c>
    </row>
    <row r="6" spans="1:26" x14ac:dyDescent="0.35">
      <c r="A6" t="str">
        <f ca="1"/>
        <v>JK298261 Corp</v>
      </c>
      <c r="B6" t="str">
        <f ca="1"/>
        <v>Japan Government Ten Year Bond</v>
      </c>
      <c r="C6" t="str">
        <f ca="1"/>
        <v>JGB</v>
      </c>
      <c r="D6" t="str">
        <f ca="1"/>
        <v>JP</v>
      </c>
      <c r="E6" t="str">
        <f ca="1"/>
        <v>JPY</v>
      </c>
      <c r="F6" t="str">
        <f ca="1"/>
        <v>20/03/2026</v>
      </c>
      <c r="G6" t="str">
        <f ca="1"/>
        <v>FIXED</v>
      </c>
      <c r="H6">
        <f ca="1"/>
        <v>2</v>
      </c>
      <c r="I6">
        <f ca="1"/>
        <v>0.1</v>
      </c>
      <c r="J6">
        <f ca="1"/>
        <v>0.74000000286817924</v>
      </c>
      <c r="K6">
        <f ca="1"/>
        <v>0.76300000357648134</v>
      </c>
      <c r="L6">
        <f ca="1"/>
        <v>99.984999999999999</v>
      </c>
      <c r="M6">
        <f ca="1"/>
        <v>99.984999999999999</v>
      </c>
      <c r="N6" t="str">
        <f ca="1"/>
        <v>JK2982615</v>
      </c>
      <c r="O6" t="str">
        <f ca="1"/>
        <v>JP1103421G35</v>
      </c>
      <c r="P6" t="str">
        <f ca="1"/>
        <v>A+</v>
      </c>
      <c r="Q6" s="3">
        <f ca="1"/>
        <v>42430</v>
      </c>
      <c r="R6" s="4">
        <f ca="1"/>
        <v>46101</v>
      </c>
      <c r="S6" s="4">
        <f ca="1"/>
        <v>-2.7378507871321012E-2</v>
      </c>
      <c r="T6">
        <f ca="1"/>
        <v>99.984999999999999</v>
      </c>
      <c r="U6">
        <f ca="1"/>
        <v>206</v>
      </c>
      <c r="V6">
        <f ca="1"/>
        <v>0</v>
      </c>
      <c r="W6">
        <f ca="1"/>
        <v>10</v>
      </c>
      <c r="X6">
        <f ca="1"/>
        <v>0.10494505494505496</v>
      </c>
      <c r="Y6">
        <f ca="1"/>
        <v>99.880054945054951</v>
      </c>
      <c r="Z6">
        <f ca="1"/>
        <v>0.75150000322233024</v>
      </c>
    </row>
    <row r="7" spans="1:26" x14ac:dyDescent="0.35">
      <c r="A7" t="str">
        <f ca="1"/>
        <v>ZB137529 Corp</v>
      </c>
      <c r="B7" t="str">
        <f ca="1"/>
        <v>Japan Government Two Year Bond</v>
      </c>
      <c r="C7" t="str">
        <f ca="1"/>
        <v>JGB</v>
      </c>
      <c r="D7" t="str">
        <f ca="1"/>
        <v>JP</v>
      </c>
      <c r="E7" t="str">
        <f ca="1"/>
        <v>JPY</v>
      </c>
      <c r="F7" t="str">
        <f ca="1"/>
        <v>01/04/2026</v>
      </c>
      <c r="G7" t="str">
        <f ca="1"/>
        <v>FIXED</v>
      </c>
      <c r="H7">
        <f ca="1"/>
        <v>2</v>
      </c>
      <c r="I7">
        <f ca="1"/>
        <v>0.2</v>
      </c>
      <c r="J7">
        <f ca="1"/>
        <v>0.73500000326512127</v>
      </c>
      <c r="K7">
        <f ca="1"/>
        <v>0.75800000574591553</v>
      </c>
      <c r="L7">
        <f ca="1"/>
        <v>99.97</v>
      </c>
      <c r="M7">
        <f ca="1"/>
        <v>99.968999999999994</v>
      </c>
      <c r="N7" t="str">
        <f ca="1"/>
        <v>ZB1375292</v>
      </c>
      <c r="O7" t="str">
        <f ca="1"/>
        <v>JP1024591Q43</v>
      </c>
      <c r="P7" t="str">
        <f ca="1"/>
        <v>A+</v>
      </c>
      <c r="Q7" s="3">
        <f ca="1"/>
        <v>45373</v>
      </c>
      <c r="R7" s="4">
        <f ca="1"/>
        <v>46113</v>
      </c>
      <c r="S7" s="4">
        <f ca="1"/>
        <v>5.4757015742642025E-3</v>
      </c>
      <c r="T7">
        <f ca="1"/>
        <v>99.969499999999996</v>
      </c>
      <c r="U7">
        <f ca="1"/>
        <v>280</v>
      </c>
      <c r="V7">
        <f ca="1"/>
        <v>0</v>
      </c>
      <c r="W7">
        <f ca="1"/>
        <v>2</v>
      </c>
      <c r="X7">
        <f ca="1"/>
        <v>0.19780219780219782</v>
      </c>
      <c r="Y7">
        <f ca="1"/>
        <v>99.771697802197792</v>
      </c>
      <c r="Z7">
        <f ca="1"/>
        <v>0.74650000450551834</v>
      </c>
    </row>
    <row r="8" spans="1:26" x14ac:dyDescent="0.35">
      <c r="A8" t="str">
        <f ca="1"/>
        <v>ZB651229 Corp</v>
      </c>
      <c r="B8" t="str">
        <f ca="1"/>
        <v>Japan Government Two Year Bond</v>
      </c>
      <c r="C8" t="str">
        <f ca="1"/>
        <v>JGB</v>
      </c>
      <c r="D8" t="str">
        <f ca="1"/>
        <v>JP</v>
      </c>
      <c r="E8" t="str">
        <f ca="1"/>
        <v>JPY</v>
      </c>
      <c r="F8" t="str">
        <f ca="1"/>
        <v>01/05/2026</v>
      </c>
      <c r="G8" t="str">
        <f ca="1"/>
        <v>FIXED</v>
      </c>
      <c r="H8">
        <f ca="1"/>
        <v>2</v>
      </c>
      <c r="I8">
        <f ca="1"/>
        <v>0.3</v>
      </c>
      <c r="J8">
        <f ca="1"/>
        <v>0.75000000000001288</v>
      </c>
      <c r="K8">
        <f ca="1"/>
        <v>0.77300000000015368</v>
      </c>
      <c r="L8">
        <f ca="1"/>
        <v>99.938000000000002</v>
      </c>
      <c r="M8">
        <f ca="1"/>
        <v>99.935000000000002</v>
      </c>
      <c r="N8" t="str">
        <f ca="1"/>
        <v>ZB6512295</v>
      </c>
      <c r="O8" t="str">
        <f ca="1"/>
        <v>JP1024601Q58</v>
      </c>
      <c r="P8" t="str">
        <f ca="1"/>
        <v>A+</v>
      </c>
      <c r="Q8" s="3">
        <f ca="1"/>
        <v>45398</v>
      </c>
      <c r="R8" s="4">
        <f ca="1"/>
        <v>46143</v>
      </c>
      <c r="S8" s="4">
        <f ca="1"/>
        <v>8.761122518822724E-2</v>
      </c>
      <c r="T8">
        <f ca="1"/>
        <v>99.936499999999995</v>
      </c>
      <c r="U8">
        <f ca="1"/>
        <v>285</v>
      </c>
      <c r="V8">
        <f ca="1"/>
        <v>0</v>
      </c>
      <c r="W8">
        <f ca="1"/>
        <v>2</v>
      </c>
      <c r="X8">
        <f ca="1"/>
        <v>0.24560439560439559</v>
      </c>
      <c r="Y8">
        <f ca="1"/>
        <v>99.690895604395607</v>
      </c>
      <c r="Z8">
        <f ca="1"/>
        <v>0.76150000000008333</v>
      </c>
    </row>
    <row r="9" spans="1:26" x14ac:dyDescent="0.35">
      <c r="A9" t="str">
        <f ca="1"/>
        <v>YX440521 Corp</v>
      </c>
      <c r="B9" t="str">
        <f ca="1"/>
        <v>Japan Government Two Year Bond</v>
      </c>
      <c r="C9" t="str">
        <f ca="1"/>
        <v>JGB</v>
      </c>
      <c r="D9" t="str">
        <f ca="1"/>
        <v>JP</v>
      </c>
      <c r="E9" t="str">
        <f ca="1"/>
        <v>JPY</v>
      </c>
      <c r="F9" t="str">
        <f ca="1"/>
        <v>01/06/2026</v>
      </c>
      <c r="G9" t="str">
        <f ca="1"/>
        <v>FIXED</v>
      </c>
      <c r="H9">
        <f ca="1"/>
        <v>2</v>
      </c>
      <c r="I9">
        <f ca="1"/>
        <v>0.4</v>
      </c>
      <c r="J9">
        <f ca="1"/>
        <v>0.76299999999997958</v>
      </c>
      <c r="K9">
        <f ca="1"/>
        <v>0.78500000000007186</v>
      </c>
      <c r="L9">
        <f ca="1"/>
        <v>99.918999999999997</v>
      </c>
      <c r="M9">
        <f ca="1"/>
        <v>99.914000000000001</v>
      </c>
      <c r="N9" t="str">
        <f ca="1"/>
        <v>YX4405214</v>
      </c>
      <c r="O9" t="str">
        <f ca="1"/>
        <v>JP1024611Q64</v>
      </c>
      <c r="P9" t="str">
        <f ca="1"/>
        <v>A+</v>
      </c>
      <c r="Q9" s="3">
        <f ca="1"/>
        <v>45435</v>
      </c>
      <c r="R9" s="4">
        <f ca="1"/>
        <v>46174</v>
      </c>
      <c r="S9" s="4">
        <f ca="1"/>
        <v>0.17248459958932238</v>
      </c>
      <c r="T9">
        <f ca="1"/>
        <v>99.916499999999999</v>
      </c>
      <c r="U9">
        <f ca="1"/>
        <v>278</v>
      </c>
      <c r="V9">
        <f ca="1"/>
        <v>0</v>
      </c>
      <c r="W9">
        <f ca="1"/>
        <v>2</v>
      </c>
      <c r="X9">
        <f ca="1"/>
        <v>0.26153846153846155</v>
      </c>
      <c r="Y9">
        <f ca="1"/>
        <v>99.654961538461535</v>
      </c>
      <c r="Z9">
        <f ca="1"/>
        <v>0.77400000000002578</v>
      </c>
    </row>
    <row r="10" spans="1:26" x14ac:dyDescent="0.35">
      <c r="A10" t="str">
        <f ca="1"/>
        <v>BQ447894 Corp</v>
      </c>
      <c r="B10" t="str">
        <f ca="1"/>
        <v>Japan Government Five Year Bond</v>
      </c>
      <c r="C10" t="str">
        <f ca="1"/>
        <v>JGB</v>
      </c>
      <c r="D10" t="str">
        <f ca="1"/>
        <v>JP</v>
      </c>
      <c r="E10" t="str">
        <f ca="1"/>
        <v>JPY</v>
      </c>
      <c r="F10" t="str">
        <f ca="1"/>
        <v>20/06/2026</v>
      </c>
      <c r="G10" t="str">
        <f ca="1"/>
        <v>FIXED</v>
      </c>
      <c r="H10">
        <f ca="1"/>
        <v>2</v>
      </c>
      <c r="I10">
        <f ca="1"/>
        <v>5.0000000000000001E-3</v>
      </c>
      <c r="J10">
        <f ca="1"/>
        <v>0.78000000000208691</v>
      </c>
      <c r="K10">
        <f ca="1"/>
        <v>0.80300000000260652</v>
      </c>
      <c r="L10">
        <f ca="1"/>
        <v>99.787999999999997</v>
      </c>
      <c r="M10">
        <f ca="1"/>
        <v>99.781000000000006</v>
      </c>
      <c r="N10" t="str">
        <f ca="1"/>
        <v>BQ4478948</v>
      </c>
      <c r="O10" t="str">
        <f ca="1"/>
        <v>JP1051481M76</v>
      </c>
      <c r="P10" t="str">
        <f ca="1"/>
        <v>NR</v>
      </c>
      <c r="Q10" s="3">
        <f ca="1"/>
        <v>44378</v>
      </c>
      <c r="R10" s="4">
        <f ca="1"/>
        <v>46193</v>
      </c>
      <c r="S10" s="4">
        <f ca="1"/>
        <v>0.22450376454483231</v>
      </c>
      <c r="T10">
        <f ca="1"/>
        <v>99.784500000000008</v>
      </c>
      <c r="U10">
        <f ca="1"/>
        <v>52</v>
      </c>
      <c r="V10">
        <f ca="1"/>
        <v>0</v>
      </c>
      <c r="W10">
        <f ca="1"/>
        <v>5</v>
      </c>
      <c r="X10">
        <f ca="1"/>
        <v>2.7472527472527475E-3</v>
      </c>
      <c r="Y10">
        <f ca="1"/>
        <v>99.781752747252753</v>
      </c>
      <c r="Z10">
        <f ca="1"/>
        <v>0.79150000000234666</v>
      </c>
    </row>
    <row r="11" spans="1:26" x14ac:dyDescent="0.35">
      <c r="A11" t="str">
        <f ca="1"/>
        <v>EF500367 Corp</v>
      </c>
      <c r="B11" t="str">
        <f ca="1"/>
        <v>Japan Government Twenty Year Bond</v>
      </c>
      <c r="C11" t="str">
        <f ca="1"/>
        <v>JGB</v>
      </c>
      <c r="D11" t="str">
        <f ca="1"/>
        <v>JP</v>
      </c>
      <c r="E11" t="str">
        <f ca="1"/>
        <v>JPY</v>
      </c>
      <c r="F11" t="str">
        <f ca="1"/>
        <v>20/06/2026</v>
      </c>
      <c r="G11" t="str">
        <f ca="1"/>
        <v>FIXED</v>
      </c>
      <c r="H11">
        <f ca="1"/>
        <v>2</v>
      </c>
      <c r="I11">
        <f ca="1"/>
        <v>2.2999999999999998</v>
      </c>
      <c r="J11">
        <f ca="1"/>
        <v>0.78599999982026514</v>
      </c>
      <c r="K11">
        <f ca="1"/>
        <v>0.80999999983663351</v>
      </c>
      <c r="L11">
        <f ca="1"/>
        <v>100.413</v>
      </c>
      <c r="M11">
        <f ca="1"/>
        <v>100.407</v>
      </c>
      <c r="N11" t="str">
        <f ca="1"/>
        <v>EF5003670</v>
      </c>
      <c r="O11" t="str">
        <f ca="1"/>
        <v>JP1200881660</v>
      </c>
      <c r="P11" t="str">
        <f ca="1"/>
        <v>A+</v>
      </c>
      <c r="Q11" s="3">
        <f ca="1"/>
        <v>38888</v>
      </c>
      <c r="R11" s="4">
        <f ca="1"/>
        <v>46193</v>
      </c>
      <c r="S11" s="4">
        <f ca="1"/>
        <v>0.22450376454483231</v>
      </c>
      <c r="T11">
        <f ca="1"/>
        <v>100.41</v>
      </c>
      <c r="U11">
        <f ca="1"/>
        <v>107</v>
      </c>
      <c r="V11">
        <f ca="1"/>
        <v>0</v>
      </c>
      <c r="W11">
        <f ca="1"/>
        <v>20</v>
      </c>
      <c r="X11">
        <f ca="1"/>
        <v>1.2637362637362637</v>
      </c>
      <c r="Y11">
        <f ca="1"/>
        <v>99.146263736263734</v>
      </c>
      <c r="Z11">
        <f ca="1"/>
        <v>0.79799999982844927</v>
      </c>
    </row>
    <row r="12" spans="1:26" x14ac:dyDescent="0.35">
      <c r="A12" t="str">
        <f ca="1"/>
        <v>EF659299 Corp</v>
      </c>
      <c r="B12" t="str">
        <f ca="1"/>
        <v>Japan Government Twenty Year Bond</v>
      </c>
      <c r="C12" t="str">
        <f ca="1"/>
        <v>JGB</v>
      </c>
      <c r="D12" t="str">
        <f ca="1"/>
        <v>JP</v>
      </c>
      <c r="E12" t="str">
        <f ca="1"/>
        <v>JPY</v>
      </c>
      <c r="F12" t="str">
        <f ca="1"/>
        <v>20/06/2026</v>
      </c>
      <c r="G12" t="str">
        <f ca="1"/>
        <v>FIXED</v>
      </c>
      <c r="H12">
        <f ca="1"/>
        <v>2</v>
      </c>
      <c r="I12">
        <f ca="1"/>
        <v>2.2000000000000002</v>
      </c>
      <c r="J12">
        <f ca="1"/>
        <v>0.77999999987736057</v>
      </c>
      <c r="K12">
        <f ca="1"/>
        <v>0.80999999989240323</v>
      </c>
      <c r="L12">
        <f ca="1"/>
        <v>100.38800000000001</v>
      </c>
      <c r="M12">
        <f ca="1"/>
        <v>100.379</v>
      </c>
      <c r="N12" t="str">
        <f ca="1"/>
        <v>EF6592994</v>
      </c>
      <c r="O12" t="str">
        <f ca="1"/>
        <v>JP1200891685</v>
      </c>
      <c r="P12" t="str">
        <f ca="1"/>
        <v>A+</v>
      </c>
      <c r="Q12" s="3">
        <f ca="1"/>
        <v>38953</v>
      </c>
      <c r="R12" s="4">
        <f ca="1"/>
        <v>46193</v>
      </c>
      <c r="S12" s="4">
        <f ca="1"/>
        <v>0.22450376454483231</v>
      </c>
      <c r="T12">
        <f ca="1"/>
        <v>100.3835</v>
      </c>
      <c r="U12">
        <f ca="1"/>
        <v>109</v>
      </c>
      <c r="V12">
        <f ca="1"/>
        <v>0</v>
      </c>
      <c r="W12">
        <f ca="1"/>
        <v>20</v>
      </c>
      <c r="X12">
        <f ca="1"/>
        <v>1.2087912087912089</v>
      </c>
      <c r="Y12">
        <f ca="1"/>
        <v>99.174708791208786</v>
      </c>
      <c r="Z12">
        <f ca="1"/>
        <v>0.7949999998848819</v>
      </c>
    </row>
    <row r="13" spans="1:26" x14ac:dyDescent="0.35">
      <c r="A13" t="str">
        <f ca="1"/>
        <v>LW316486 Corp</v>
      </c>
      <c r="B13" t="str">
        <f ca="1"/>
        <v>Japan Government Ten Year Bond</v>
      </c>
      <c r="C13" t="str">
        <f ca="1"/>
        <v>JGB</v>
      </c>
      <c r="D13" t="str">
        <f ca="1"/>
        <v>JP</v>
      </c>
      <c r="E13" t="str">
        <f ca="1"/>
        <v>JPY</v>
      </c>
      <c r="F13" t="str">
        <f ca="1"/>
        <v>20/06/2026</v>
      </c>
      <c r="G13" t="str">
        <f ca="1"/>
        <v>FIXED</v>
      </c>
      <c r="H13">
        <f ca="1"/>
        <v>2</v>
      </c>
      <c r="I13">
        <f ca="1"/>
        <v>0.1</v>
      </c>
      <c r="J13">
        <f ca="1"/>
        <v>0.77200000000052893</v>
      </c>
      <c r="K13">
        <f ca="1"/>
        <v>0.79400000000069337</v>
      </c>
      <c r="L13">
        <f ca="1"/>
        <v>99.816000000000003</v>
      </c>
      <c r="M13">
        <f ca="1"/>
        <v>99.81</v>
      </c>
      <c r="N13" t="str">
        <f ca="1"/>
        <v>LW3164867</v>
      </c>
      <c r="O13" t="str">
        <f ca="1"/>
        <v>JP1103431G66</v>
      </c>
      <c r="P13" t="str">
        <f ca="1"/>
        <v>A+</v>
      </c>
      <c r="Q13" s="3">
        <f ca="1"/>
        <v>42523</v>
      </c>
      <c r="R13" s="4">
        <f ca="1"/>
        <v>46193</v>
      </c>
      <c r="S13" s="4">
        <f ca="1"/>
        <v>0.22450376454483231</v>
      </c>
      <c r="T13">
        <f ca="1"/>
        <v>99.813000000000002</v>
      </c>
      <c r="U13">
        <f ca="1"/>
        <v>212</v>
      </c>
      <c r="V13">
        <f ca="1"/>
        <v>0</v>
      </c>
      <c r="W13">
        <f ca="1"/>
        <v>10</v>
      </c>
      <c r="X13">
        <f ca="1"/>
        <v>5.4945054945054951E-2</v>
      </c>
      <c r="Y13">
        <f ca="1"/>
        <v>99.758054945054951</v>
      </c>
      <c r="Z13">
        <f ca="1"/>
        <v>0.78300000000061121</v>
      </c>
    </row>
    <row r="14" spans="1:26" x14ac:dyDescent="0.35">
      <c r="A14" t="str">
        <f ca="1"/>
        <v>YW041715 Corp</v>
      </c>
      <c r="B14" t="str">
        <f ca="1"/>
        <v>Japan Government Two Year Bond</v>
      </c>
      <c r="C14" t="str">
        <f ca="1"/>
        <v>JGB</v>
      </c>
      <c r="D14" t="str">
        <f ca="1"/>
        <v>JP</v>
      </c>
      <c r="E14" t="str">
        <f ca="1"/>
        <v>JPY</v>
      </c>
      <c r="F14" t="str">
        <f ca="1"/>
        <v>01/07/2026</v>
      </c>
      <c r="G14" t="str">
        <f ca="1"/>
        <v>FIXED</v>
      </c>
      <c r="H14">
        <f ca="1"/>
        <v>2</v>
      </c>
      <c r="I14">
        <f ca="1"/>
        <v>0.4</v>
      </c>
      <c r="J14">
        <f ca="1"/>
        <v>0.79000000000009518</v>
      </c>
      <c r="K14">
        <f ca="1"/>
        <v>0.81299999999999473</v>
      </c>
      <c r="L14">
        <f ca="1"/>
        <v>99.881</v>
      </c>
      <c r="M14">
        <f ca="1"/>
        <v>99.873999999999995</v>
      </c>
      <c r="N14" t="str">
        <f ca="1"/>
        <v>YW0417157</v>
      </c>
      <c r="O14" t="str">
        <f ca="1"/>
        <v>JP1024621Q70</v>
      </c>
      <c r="P14" t="str">
        <f ca="1"/>
        <v>A+</v>
      </c>
      <c r="Q14" s="3">
        <f ca="1"/>
        <v>45463</v>
      </c>
      <c r="R14" s="4">
        <f ca="1"/>
        <v>46204</v>
      </c>
      <c r="S14" s="4">
        <f ca="1"/>
        <v>0.25462012320328542</v>
      </c>
      <c r="T14">
        <f ca="1"/>
        <v>99.877499999999998</v>
      </c>
      <c r="U14">
        <f ca="1"/>
        <v>268</v>
      </c>
      <c r="V14">
        <f ca="1"/>
        <v>0</v>
      </c>
      <c r="W14">
        <f ca="1"/>
        <v>2</v>
      </c>
      <c r="X14">
        <f ca="1"/>
        <v>0.19340659340659341</v>
      </c>
      <c r="Y14">
        <f ca="1"/>
        <v>99.684093406593405</v>
      </c>
      <c r="Z14">
        <f ca="1"/>
        <v>0.80150000000004495</v>
      </c>
    </row>
    <row r="15" spans="1:26" x14ac:dyDescent="0.35">
      <c r="A15" t="str">
        <f ca="1"/>
        <v>YW691926 Corp</v>
      </c>
      <c r="B15" t="str">
        <f ca="1"/>
        <v>Japan Government Two Year Bond</v>
      </c>
      <c r="C15" t="str">
        <f ca="1"/>
        <v>JGB</v>
      </c>
      <c r="D15" t="str">
        <f ca="1"/>
        <v>JP</v>
      </c>
      <c r="E15" t="str">
        <f ca="1"/>
        <v>JPY</v>
      </c>
      <c r="F15" t="str">
        <f ca="1"/>
        <v>01/08/2026</v>
      </c>
      <c r="G15" t="str">
        <f ca="1"/>
        <v>FIXED</v>
      </c>
      <c r="H15">
        <f ca="1"/>
        <v>2</v>
      </c>
      <c r="I15">
        <f ca="1"/>
        <v>0.4</v>
      </c>
      <c r="J15">
        <f ca="1"/>
        <v>0.82400000000008433</v>
      </c>
      <c r="K15">
        <f ca="1"/>
        <v>0.84700000000012676</v>
      </c>
      <c r="L15">
        <f ca="1"/>
        <v>99.834999999999994</v>
      </c>
      <c r="M15">
        <f ca="1"/>
        <v>99.825999999999993</v>
      </c>
      <c r="N15" t="str">
        <f ca="1"/>
        <v>YW6919263</v>
      </c>
      <c r="O15" t="str">
        <f ca="1"/>
        <v>JP1024631Q86</v>
      </c>
      <c r="P15" t="str">
        <f ca="1"/>
        <v>A+</v>
      </c>
      <c r="Q15" s="3">
        <f ca="1"/>
        <v>45492</v>
      </c>
      <c r="R15" s="4">
        <f ca="1"/>
        <v>46235</v>
      </c>
      <c r="S15" s="4">
        <f ca="1"/>
        <v>0.33949349760438058</v>
      </c>
      <c r="T15">
        <f ca="1"/>
        <v>99.830500000000001</v>
      </c>
      <c r="U15">
        <f ca="1"/>
        <v>274</v>
      </c>
      <c r="V15">
        <f ca="1"/>
        <v>0</v>
      </c>
      <c r="W15">
        <f ca="1"/>
        <v>2</v>
      </c>
      <c r="X15">
        <f ca="1"/>
        <v>0.12527472527472527</v>
      </c>
      <c r="Y15">
        <f ca="1"/>
        <v>99.705225274725279</v>
      </c>
      <c r="Z15">
        <f ca="1"/>
        <v>0.8355000000001056</v>
      </c>
    </row>
    <row r="16" spans="1:26" x14ac:dyDescent="0.35">
      <c r="A16" t="str">
        <f ca="1"/>
        <v>YV477187 Corp</v>
      </c>
      <c r="B16" t="str">
        <f ca="1"/>
        <v>Japan Government Two Year Bond</v>
      </c>
      <c r="C16" t="str">
        <f ca="1"/>
        <v>JGB</v>
      </c>
      <c r="D16" t="str">
        <f ca="1"/>
        <v>JP</v>
      </c>
      <c r="E16" t="str">
        <f ca="1"/>
        <v>JPY</v>
      </c>
      <c r="F16" t="str">
        <f ca="1"/>
        <v>01/09/2026</v>
      </c>
      <c r="G16" t="str">
        <f ca="1"/>
        <v>FIXED</v>
      </c>
      <c r="H16">
        <f ca="1"/>
        <v>2</v>
      </c>
      <c r="I16">
        <f ca="1"/>
        <v>0.4</v>
      </c>
      <c r="J16">
        <f ca="1"/>
        <v>0.85300000000007992</v>
      </c>
      <c r="K16">
        <f ca="1"/>
        <v>0.87600000000003142</v>
      </c>
      <c r="L16">
        <f ca="1"/>
        <v>99.786000000000001</v>
      </c>
      <c r="M16">
        <f ca="1"/>
        <v>99.775000000000006</v>
      </c>
      <c r="N16" t="str">
        <f ca="1"/>
        <v>YV4771874</v>
      </c>
      <c r="O16" t="str">
        <f ca="1"/>
        <v>JP1024641Q92</v>
      </c>
      <c r="P16" t="str">
        <f ca="1"/>
        <v>A+</v>
      </c>
      <c r="Q16" s="3">
        <f ca="1"/>
        <v>45526</v>
      </c>
      <c r="R16" s="4">
        <f ca="1"/>
        <v>46266</v>
      </c>
      <c r="S16" s="4">
        <f ca="1"/>
        <v>0.42436687200547568</v>
      </c>
      <c r="T16">
        <f ca="1"/>
        <v>99.780500000000004</v>
      </c>
      <c r="U16">
        <f ca="1"/>
        <v>266</v>
      </c>
      <c r="V16">
        <f ca="1"/>
        <v>0</v>
      </c>
      <c r="W16">
        <f ca="1"/>
        <v>2</v>
      </c>
      <c r="X16">
        <f ca="1"/>
        <v>6.3736263736263732E-2</v>
      </c>
      <c r="Y16">
        <f ca="1"/>
        <v>99.716763736263744</v>
      </c>
      <c r="Z16">
        <f ca="1"/>
        <v>0.86450000000005567</v>
      </c>
    </row>
    <row r="17" spans="1:26" x14ac:dyDescent="0.35">
      <c r="A17" t="str">
        <f ca="1"/>
        <v>BR962540 Corp</v>
      </c>
      <c r="B17" t="str">
        <f ca="1"/>
        <v>Japan Government Five Year Bond</v>
      </c>
      <c r="C17" t="str">
        <f ca="1"/>
        <v>JGB</v>
      </c>
      <c r="D17" t="str">
        <f ca="1"/>
        <v>JP</v>
      </c>
      <c r="E17" t="str">
        <f ca="1"/>
        <v>JPY</v>
      </c>
      <c r="F17" t="str">
        <f ca="1"/>
        <v>20/09/2026</v>
      </c>
      <c r="G17" t="str">
        <f ca="1"/>
        <v>FIXED</v>
      </c>
      <c r="H17">
        <f ca="1"/>
        <v>2</v>
      </c>
      <c r="I17">
        <f ca="1"/>
        <v>5.0000000000000001E-3</v>
      </c>
      <c r="J17">
        <f ca="1"/>
        <v>0.87299999999121713</v>
      </c>
      <c r="K17">
        <f ca="1"/>
        <v>0.89599999999030333</v>
      </c>
      <c r="L17">
        <f ca="1"/>
        <v>99.545000000000002</v>
      </c>
      <c r="M17">
        <f ca="1"/>
        <v>99.533000000000001</v>
      </c>
      <c r="N17" t="str">
        <f ca="1"/>
        <v>BR9625400</v>
      </c>
      <c r="O17" t="str">
        <f ca="1"/>
        <v>JP1051491MA0</v>
      </c>
      <c r="P17" t="str">
        <f ca="1"/>
        <v>A+</v>
      </c>
      <c r="Q17" s="3">
        <f ca="1"/>
        <v>44476</v>
      </c>
      <c r="R17" s="4">
        <f ca="1"/>
        <v>46101</v>
      </c>
      <c r="S17" s="4">
        <f ca="1"/>
        <v>0.47638603696098564</v>
      </c>
      <c r="T17">
        <f ca="1"/>
        <v>99.539000000000001</v>
      </c>
      <c r="U17">
        <f ca="1"/>
        <v>56</v>
      </c>
      <c r="V17">
        <f ca="1"/>
        <v>0</v>
      </c>
      <c r="W17">
        <f ca="1"/>
        <v>5</v>
      </c>
      <c r="X17">
        <f ca="1"/>
        <v>5.2472527472527475E-3</v>
      </c>
      <c r="Y17">
        <f ca="1"/>
        <v>99.533752747252748</v>
      </c>
      <c r="Z17">
        <f ca="1"/>
        <v>0.88449999999076023</v>
      </c>
    </row>
    <row r="18" spans="1:26" x14ac:dyDescent="0.35">
      <c r="A18" t="str">
        <f ca="1"/>
        <v>EF715379 Corp</v>
      </c>
      <c r="B18" t="str">
        <f ca="1"/>
        <v>Japan Government Twenty Year Bond</v>
      </c>
      <c r="C18" t="str">
        <f ca="1"/>
        <v>JGB</v>
      </c>
      <c r="D18" t="str">
        <f ca="1"/>
        <v>JP</v>
      </c>
      <c r="E18" t="str">
        <f ca="1"/>
        <v>JPY</v>
      </c>
      <c r="F18" t="str">
        <f ca="1"/>
        <v>20/09/2026</v>
      </c>
      <c r="G18" t="str">
        <f ca="1"/>
        <v>FIXED</v>
      </c>
      <c r="H18">
        <f ca="1"/>
        <v>2</v>
      </c>
      <c r="I18">
        <f ca="1"/>
        <v>2.2000000000000002</v>
      </c>
      <c r="J18">
        <f ca="1"/>
        <v>0.86100000004291655</v>
      </c>
      <c r="K18">
        <f ca="1"/>
        <v>0.89000000003944801</v>
      </c>
      <c r="L18">
        <f ca="1"/>
        <v>100.70099999999999</v>
      </c>
      <c r="M18">
        <f ca="1"/>
        <v>100.685</v>
      </c>
      <c r="N18" t="str">
        <f ca="1"/>
        <v>EF7153796</v>
      </c>
      <c r="O18" t="str">
        <f ca="1"/>
        <v>JP1200901690</v>
      </c>
      <c r="P18" t="str">
        <f ca="1"/>
        <v>A+</v>
      </c>
      <c r="Q18" s="3">
        <f ca="1"/>
        <v>38981</v>
      </c>
      <c r="R18" s="4">
        <f ca="1"/>
        <v>46101</v>
      </c>
      <c r="S18" s="4">
        <f ca="1"/>
        <v>0.47638603696098564</v>
      </c>
      <c r="T18">
        <f ca="1"/>
        <v>100.693</v>
      </c>
      <c r="U18">
        <f ca="1"/>
        <v>110</v>
      </c>
      <c r="V18">
        <f ca="1"/>
        <v>0</v>
      </c>
      <c r="W18">
        <f ca="1"/>
        <v>20</v>
      </c>
      <c r="X18">
        <f ca="1"/>
        <v>2.308791208791209</v>
      </c>
      <c r="Y18">
        <f ca="1"/>
        <v>98.384208791208792</v>
      </c>
      <c r="Z18">
        <f ca="1"/>
        <v>0.87550000004118234</v>
      </c>
    </row>
    <row r="19" spans="1:26" x14ac:dyDescent="0.35">
      <c r="A19" t="str">
        <f ca="1"/>
        <v>EF794306 Corp</v>
      </c>
      <c r="B19" t="str">
        <f ca="1"/>
        <v>Japan Government Twenty Year Bond</v>
      </c>
      <c r="C19" t="str">
        <f ca="1"/>
        <v>JGB</v>
      </c>
      <c r="D19" t="str">
        <f ca="1"/>
        <v>JP</v>
      </c>
      <c r="E19" t="str">
        <f ca="1"/>
        <v>JPY</v>
      </c>
      <c r="F19" t="str">
        <f ca="1"/>
        <v>20/09/2026</v>
      </c>
      <c r="G19" t="str">
        <f ca="1"/>
        <v>FIXED</v>
      </c>
      <c r="H19">
        <f ca="1"/>
        <v>2</v>
      </c>
      <c r="I19">
        <f ca="1"/>
        <v>2.2999999999999998</v>
      </c>
      <c r="J19">
        <f ca="1"/>
        <v>0.86900000005551981</v>
      </c>
      <c r="K19">
        <f ca="1"/>
        <v>0.8950000000516708</v>
      </c>
      <c r="L19">
        <f ca="1"/>
        <v>100.749</v>
      </c>
      <c r="M19">
        <f ca="1"/>
        <v>100.735</v>
      </c>
      <c r="N19" t="str">
        <f ca="1"/>
        <v>EF7943063</v>
      </c>
      <c r="O19" t="str">
        <f ca="1"/>
        <v>JP12009116A6</v>
      </c>
      <c r="P19" t="str">
        <f ca="1"/>
        <v>A+</v>
      </c>
      <c r="Q19" s="3">
        <f ca="1"/>
        <v>39014</v>
      </c>
      <c r="R19" s="4">
        <f ca="1"/>
        <v>46101</v>
      </c>
      <c r="S19" s="4">
        <f ca="1"/>
        <v>0.47638603696098564</v>
      </c>
      <c r="T19">
        <f ca="1"/>
        <v>100.74199999999999</v>
      </c>
      <c r="U19">
        <f ca="1"/>
        <v>112</v>
      </c>
      <c r="V19">
        <f ca="1"/>
        <v>0</v>
      </c>
      <c r="W19">
        <f ca="1"/>
        <v>20</v>
      </c>
      <c r="X19">
        <f ca="1"/>
        <v>2.4137362637362636</v>
      </c>
      <c r="Y19">
        <f ca="1"/>
        <v>98.328263736263722</v>
      </c>
      <c r="Z19">
        <f ca="1"/>
        <v>0.88200000005359525</v>
      </c>
    </row>
    <row r="20" spans="1:26" x14ac:dyDescent="0.35">
      <c r="A20" t="str">
        <f ca="1"/>
        <v>QZ413850 Corp</v>
      </c>
      <c r="B20" t="str">
        <f ca="1"/>
        <v>Japan Government Ten Year Bond</v>
      </c>
      <c r="C20" t="str">
        <f ca="1"/>
        <v>JGB</v>
      </c>
      <c r="D20" t="str">
        <f ca="1"/>
        <v>JP</v>
      </c>
      <c r="E20" t="str">
        <f ca="1"/>
        <v>JPY</v>
      </c>
      <c r="F20" t="str">
        <f ca="1"/>
        <v>20/09/2026</v>
      </c>
      <c r="G20" t="str">
        <f ca="1"/>
        <v>FIXED</v>
      </c>
      <c r="H20">
        <f ca="1"/>
        <v>2</v>
      </c>
      <c r="I20">
        <f ca="1"/>
        <v>0.1</v>
      </c>
      <c r="J20">
        <f ca="1"/>
        <v>0.86699999999443811</v>
      </c>
      <c r="K20">
        <f ca="1"/>
        <v>0.88899999999382628</v>
      </c>
      <c r="L20">
        <f ca="1"/>
        <v>99.597999999999999</v>
      </c>
      <c r="M20">
        <f ca="1"/>
        <v>99.585999999999999</v>
      </c>
      <c r="N20" t="str">
        <f ca="1"/>
        <v>QZ4138504</v>
      </c>
      <c r="O20" t="str">
        <f ca="1"/>
        <v>JP1103441G98</v>
      </c>
      <c r="P20" t="str">
        <f ca="1"/>
        <v>A+</v>
      </c>
      <c r="Q20" s="3">
        <f ca="1"/>
        <v>42614</v>
      </c>
      <c r="R20" s="4">
        <f ca="1"/>
        <v>46101</v>
      </c>
      <c r="S20" s="4">
        <f ca="1"/>
        <v>0.47638603696098564</v>
      </c>
      <c r="T20">
        <f ca="1"/>
        <v>99.591999999999999</v>
      </c>
      <c r="U20">
        <f ca="1"/>
        <v>215</v>
      </c>
      <c r="V20">
        <f ca="1"/>
        <v>0</v>
      </c>
      <c r="W20">
        <f ca="1"/>
        <v>10</v>
      </c>
      <c r="X20">
        <f ca="1"/>
        <v>0.10494505494505496</v>
      </c>
      <c r="Y20">
        <f ca="1"/>
        <v>99.48705494505495</v>
      </c>
      <c r="Z20">
        <f ca="1"/>
        <v>0.87799999999413214</v>
      </c>
    </row>
    <row r="21" spans="1:26" x14ac:dyDescent="0.35">
      <c r="A21" t="str">
        <f ca="1"/>
        <v>YU173621 Corp</v>
      </c>
      <c r="B21" t="str">
        <f ca="1"/>
        <v>Japan Government Two Year Bond</v>
      </c>
      <c r="C21" t="str">
        <f ca="1"/>
        <v>JGB</v>
      </c>
      <c r="D21" t="str">
        <f ca="1"/>
        <v>JP</v>
      </c>
      <c r="E21" t="str">
        <f ca="1"/>
        <v>JPY</v>
      </c>
      <c r="F21" t="str">
        <f ca="1"/>
        <v>01/10/2026</v>
      </c>
      <c r="G21" t="str">
        <f ca="1"/>
        <v>FIXED</v>
      </c>
      <c r="H21">
        <f ca="1"/>
        <v>2</v>
      </c>
      <c r="I21">
        <f ca="1"/>
        <v>0.4</v>
      </c>
      <c r="J21">
        <f ca="1"/>
        <v>0.87599999999905209</v>
      </c>
      <c r="K21">
        <f ca="1"/>
        <v>0.89999999999891589</v>
      </c>
      <c r="L21">
        <f ca="1"/>
        <v>99.736000000000004</v>
      </c>
      <c r="M21">
        <f ca="1"/>
        <v>99.722999999999999</v>
      </c>
      <c r="N21" t="str">
        <f ca="1"/>
        <v>YU1736211</v>
      </c>
      <c r="O21" t="str">
        <f ca="1"/>
        <v>JP1024651QA4</v>
      </c>
      <c r="P21" t="str">
        <f ca="1"/>
        <v>A+</v>
      </c>
      <c r="Q21" s="3">
        <f ca="1"/>
        <v>45555</v>
      </c>
      <c r="R21" s="4">
        <f ca="1"/>
        <v>46113</v>
      </c>
      <c r="S21" s="4">
        <f ca="1"/>
        <v>0.50650239561943877</v>
      </c>
      <c r="T21">
        <f ca="1"/>
        <v>99.729500000000002</v>
      </c>
      <c r="U21">
        <f ca="1"/>
        <v>259</v>
      </c>
      <c r="V21">
        <f ca="1"/>
        <v>0.5</v>
      </c>
      <c r="W21">
        <f ca="1"/>
        <v>2</v>
      </c>
      <c r="X21">
        <f ca="1"/>
        <v>0.39560439560439564</v>
      </c>
      <c r="Y21">
        <f ca="1"/>
        <v>99.333895604395607</v>
      </c>
      <c r="Z21">
        <f ca="1"/>
        <v>0.88799999999898405</v>
      </c>
    </row>
    <row r="22" spans="1:26" x14ac:dyDescent="0.35">
      <c r="A22" t="str">
        <f ca="1"/>
        <v>YU844361 Corp</v>
      </c>
      <c r="B22" t="str">
        <f ca="1"/>
        <v>Japan Government Two Year Bond</v>
      </c>
      <c r="C22" t="str">
        <f ca="1"/>
        <v>JGB</v>
      </c>
      <c r="D22" t="str">
        <f ca="1"/>
        <v>JP</v>
      </c>
      <c r="E22" t="str">
        <f ca="1"/>
        <v>JPY</v>
      </c>
      <c r="F22" t="str">
        <f ca="1"/>
        <v>01/11/2026</v>
      </c>
      <c r="G22" t="str">
        <f ca="1"/>
        <v>FIXED</v>
      </c>
      <c r="H22">
        <f ca="1"/>
        <v>2</v>
      </c>
      <c r="I22">
        <f ca="1"/>
        <v>0.5</v>
      </c>
      <c r="J22">
        <f ca="1"/>
        <v>0.91699999999956083</v>
      </c>
      <c r="K22">
        <f ca="1"/>
        <v>0.94099999999944961</v>
      </c>
      <c r="L22">
        <f ca="1"/>
        <v>99.733999999999995</v>
      </c>
      <c r="M22">
        <f ca="1"/>
        <v>99.718000000000004</v>
      </c>
      <c r="N22" t="str">
        <f ca="1"/>
        <v>YU8443613</v>
      </c>
      <c r="O22" t="str">
        <f ca="1"/>
        <v>JP1024661QB1</v>
      </c>
      <c r="P22" t="str">
        <f ca="1"/>
        <v>A+</v>
      </c>
      <c r="Q22" s="3">
        <f ca="1"/>
        <v>45587</v>
      </c>
      <c r="R22" s="4">
        <f ca="1"/>
        <v>46143</v>
      </c>
      <c r="S22" s="4">
        <f ca="1"/>
        <v>0.59137577002053388</v>
      </c>
      <c r="T22">
        <f ca="1"/>
        <v>99.725999999999999</v>
      </c>
      <c r="U22">
        <f ca="1"/>
        <v>264</v>
      </c>
      <c r="V22">
        <f ca="1"/>
        <v>0.5</v>
      </c>
      <c r="W22">
        <f ca="1"/>
        <v>2</v>
      </c>
      <c r="X22">
        <f ca="1"/>
        <v>0.40934065934065933</v>
      </c>
      <c r="Y22">
        <f ca="1"/>
        <v>99.316659340659342</v>
      </c>
      <c r="Z22">
        <f ca="1"/>
        <v>0.92899999999950522</v>
      </c>
    </row>
    <row r="23" spans="1:26" x14ac:dyDescent="0.35">
      <c r="A23" t="str">
        <f ca="1"/>
        <v>YT642248 Corp</v>
      </c>
      <c r="B23" t="str">
        <f ca="1"/>
        <v>Japan Government Two Year Bond</v>
      </c>
      <c r="C23" t="str">
        <f ca="1"/>
        <v>JGB</v>
      </c>
      <c r="D23" t="str">
        <f ca="1"/>
        <v>JP</v>
      </c>
      <c r="E23" t="str">
        <f ca="1"/>
        <v>JPY</v>
      </c>
      <c r="F23" t="str">
        <f ca="1"/>
        <v>01/12/2026</v>
      </c>
      <c r="G23" t="str">
        <f ca="1"/>
        <v>FIXED</v>
      </c>
      <c r="H23">
        <f ca="1"/>
        <v>2</v>
      </c>
      <c r="I23">
        <f ca="1"/>
        <v>0.6</v>
      </c>
      <c r="J23">
        <f ca="1"/>
        <v>0.93199999999986527</v>
      </c>
      <c r="K23">
        <f ca="1"/>
        <v>0.95399999999982954</v>
      </c>
      <c r="L23">
        <f ca="1"/>
        <v>99.760999999999996</v>
      </c>
      <c r="M23">
        <f ca="1"/>
        <v>99.745000000000005</v>
      </c>
      <c r="N23" t="str">
        <f ca="1"/>
        <v>YT6422489</v>
      </c>
      <c r="O23" t="str">
        <f ca="1"/>
        <v>JP1024671QC8</v>
      </c>
      <c r="P23" t="str">
        <f ca="1"/>
        <v>A+</v>
      </c>
      <c r="Q23" s="3">
        <f ca="1"/>
        <v>45618</v>
      </c>
      <c r="R23" s="4">
        <f ca="1"/>
        <v>46174</v>
      </c>
      <c r="S23" s="4">
        <f ca="1"/>
        <v>0.67351129363449691</v>
      </c>
      <c r="T23">
        <f ca="1"/>
        <v>99.753</v>
      </c>
      <c r="U23">
        <f ca="1"/>
        <v>258</v>
      </c>
      <c r="V23">
        <f ca="1"/>
        <v>0.5</v>
      </c>
      <c r="W23">
        <f ca="1"/>
        <v>2</v>
      </c>
      <c r="X23">
        <f ca="1"/>
        <v>0.3923076923076923</v>
      </c>
      <c r="Y23">
        <f ca="1"/>
        <v>99.360692307692304</v>
      </c>
      <c r="Z23">
        <f ca="1"/>
        <v>0.9429999999998474</v>
      </c>
    </row>
    <row r="24" spans="1:26" x14ac:dyDescent="0.35">
      <c r="A24" t="str">
        <f ca="1"/>
        <v>AL516835 Corp</v>
      </c>
      <c r="B24" t="str">
        <f ca="1"/>
        <v>Japan Government Ten Year Bond</v>
      </c>
      <c r="C24" t="str">
        <f ca="1"/>
        <v>JGB</v>
      </c>
      <c r="D24" t="str">
        <f ca="1"/>
        <v>JP</v>
      </c>
      <c r="E24" t="str">
        <f ca="1"/>
        <v>JPY</v>
      </c>
      <c r="F24" t="str">
        <f ca="1"/>
        <v>20/12/2026</v>
      </c>
      <c r="G24" t="str">
        <f ca="1"/>
        <v>FIXED</v>
      </c>
      <c r="H24">
        <f ca="1"/>
        <v>2</v>
      </c>
      <c r="I24">
        <f ca="1"/>
        <v>0.1</v>
      </c>
      <c r="J24">
        <f ca="1"/>
        <v>0.95699999999828878</v>
      </c>
      <c r="K24">
        <f ca="1"/>
        <v>0.97899999999814125</v>
      </c>
      <c r="L24">
        <f ca="1"/>
        <v>99.34</v>
      </c>
      <c r="M24">
        <f ca="1"/>
        <v>99.322999999999993</v>
      </c>
      <c r="N24" t="str">
        <f ca="1"/>
        <v>AL5168359</v>
      </c>
      <c r="O24" t="str">
        <f ca="1"/>
        <v>JP1103451GC0</v>
      </c>
      <c r="P24" t="str">
        <f ca="1"/>
        <v>A+</v>
      </c>
      <c r="Q24" s="3">
        <f ca="1"/>
        <v>42705</v>
      </c>
      <c r="R24" s="4">
        <f ca="1"/>
        <v>46193</v>
      </c>
      <c r="S24" s="4">
        <f ca="1"/>
        <v>0.72553045859000687</v>
      </c>
      <c r="T24">
        <f ca="1"/>
        <v>99.331500000000005</v>
      </c>
      <c r="U24">
        <f ca="1"/>
        <v>1</v>
      </c>
      <c r="V24">
        <f ca="1"/>
        <v>0.5</v>
      </c>
      <c r="W24">
        <f ca="1"/>
        <v>10</v>
      </c>
      <c r="X24">
        <f ca="1"/>
        <v>5.4945054945054951E-2</v>
      </c>
      <c r="Y24">
        <f ca="1"/>
        <v>99.276554945054954</v>
      </c>
      <c r="Z24">
        <f ca="1"/>
        <v>0.96799999999821495</v>
      </c>
    </row>
    <row r="25" spans="1:26" x14ac:dyDescent="0.35">
      <c r="A25" t="str">
        <f ca="1"/>
        <v>BT484763 Corp</v>
      </c>
      <c r="B25" t="str">
        <f ca="1"/>
        <v>Japan Government Five Year Bond</v>
      </c>
      <c r="C25" t="str">
        <f ca="1"/>
        <v>JGB</v>
      </c>
      <c r="D25" t="str">
        <f ca="1"/>
        <v>JP</v>
      </c>
      <c r="E25" t="str">
        <f ca="1"/>
        <v>JPY</v>
      </c>
      <c r="F25" t="str">
        <f ca="1"/>
        <v>20/12/2026</v>
      </c>
      <c r="G25" t="str">
        <f ca="1"/>
        <v>FIXED</v>
      </c>
      <c r="H25">
        <f ca="1"/>
        <v>2</v>
      </c>
      <c r="I25">
        <f ca="1"/>
        <v>5.0000000000000001E-3</v>
      </c>
      <c r="J25">
        <f ca="1"/>
        <v>0.95099999999759166</v>
      </c>
      <c r="K25">
        <f ca="1"/>
        <v>0.97299999999740294</v>
      </c>
      <c r="L25">
        <f ca="1"/>
        <v>99.271000000000001</v>
      </c>
      <c r="M25">
        <f ca="1"/>
        <v>99.254999999999995</v>
      </c>
      <c r="N25" t="str">
        <f ca="1"/>
        <v>BT4847633</v>
      </c>
      <c r="O25" t="str">
        <f ca="1"/>
        <v>JP1051501N14</v>
      </c>
      <c r="P25" t="str">
        <f ca="1"/>
        <v>NR</v>
      </c>
      <c r="Q25" s="3">
        <f ca="1"/>
        <v>44566</v>
      </c>
      <c r="R25" s="4">
        <f ca="1"/>
        <v>46193</v>
      </c>
      <c r="S25" s="4">
        <f ca="1"/>
        <v>0.72553045859000687</v>
      </c>
      <c r="T25">
        <f ca="1"/>
        <v>99.263000000000005</v>
      </c>
      <c r="U25">
        <f ca="1"/>
        <v>60</v>
      </c>
      <c r="V25">
        <f ca="1"/>
        <v>0.5</v>
      </c>
      <c r="W25">
        <f ca="1"/>
        <v>4</v>
      </c>
      <c r="X25">
        <f ca="1"/>
        <v>2.7472527472527475E-3</v>
      </c>
      <c r="Y25">
        <f ca="1"/>
        <v>99.26025274725275</v>
      </c>
      <c r="Z25">
        <f ca="1"/>
        <v>0.9619999999974973</v>
      </c>
    </row>
    <row r="26" spans="1:26" x14ac:dyDescent="0.35">
      <c r="A26" t="str">
        <f ca="1"/>
        <v>EG057459 Corp</v>
      </c>
      <c r="B26" t="str">
        <f ca="1"/>
        <v>Japan Government Twenty Year Bond</v>
      </c>
      <c r="C26" t="str">
        <f ca="1"/>
        <v>JGB</v>
      </c>
      <c r="D26" t="str">
        <f ca="1"/>
        <v>JP</v>
      </c>
      <c r="E26" t="str">
        <f ca="1"/>
        <v>JPY</v>
      </c>
      <c r="F26" t="str">
        <f ca="1"/>
        <v>20/12/2026</v>
      </c>
      <c r="G26" t="str">
        <f ca="1"/>
        <v>FIXED</v>
      </c>
      <c r="H26">
        <f ca="1"/>
        <v>2</v>
      </c>
      <c r="I26">
        <f ca="1"/>
        <v>2.1</v>
      </c>
      <c r="J26">
        <f ca="1"/>
        <v>0.94000000000417872</v>
      </c>
      <c r="K26">
        <f ca="1"/>
        <v>0.96500000000389108</v>
      </c>
      <c r="L26">
        <f ca="1"/>
        <v>100.892</v>
      </c>
      <c r="M26">
        <f ca="1"/>
        <v>100.873</v>
      </c>
      <c r="N26" t="str">
        <f ca="1"/>
        <v>EG0574590</v>
      </c>
      <c r="O26" t="str">
        <f ca="1"/>
        <v>JP12009216C0</v>
      </c>
      <c r="P26" t="str">
        <f ca="1"/>
        <v>A+</v>
      </c>
      <c r="Q26" s="3">
        <f ca="1"/>
        <v>39070</v>
      </c>
      <c r="R26" s="4">
        <f ca="1"/>
        <v>46193</v>
      </c>
      <c r="S26" s="4">
        <f ca="1"/>
        <v>0.72553045859000687</v>
      </c>
      <c r="T26">
        <f ca="1"/>
        <v>100.88249999999999</v>
      </c>
      <c r="U26">
        <f ca="1"/>
        <v>113</v>
      </c>
      <c r="V26">
        <f ca="1"/>
        <v>0.5</v>
      </c>
      <c r="W26">
        <f ca="1"/>
        <v>20</v>
      </c>
      <c r="X26">
        <f ca="1"/>
        <v>1.153846153846154</v>
      </c>
      <c r="Y26">
        <f ca="1"/>
        <v>99.728653846153833</v>
      </c>
      <c r="Z26">
        <f ca="1"/>
        <v>0.9525000000040349</v>
      </c>
    </row>
    <row r="27" spans="1:26" x14ac:dyDescent="0.35">
      <c r="A27" t="str">
        <f ca="1"/>
        <v>YS259033 Corp</v>
      </c>
      <c r="B27" t="str">
        <f ca="1"/>
        <v>Japan Government Two Year Bond</v>
      </c>
      <c r="C27" t="str">
        <f ca="1"/>
        <v>JGB</v>
      </c>
      <c r="D27" t="str">
        <f ca="1"/>
        <v>JP</v>
      </c>
      <c r="E27" t="str">
        <f ca="1"/>
        <v>JPY</v>
      </c>
      <c r="F27" t="str">
        <f ca="1"/>
        <v>01/01/2027</v>
      </c>
      <c r="G27" t="str">
        <f ca="1"/>
        <v>FIXED</v>
      </c>
      <c r="H27">
        <f ca="1"/>
        <v>2</v>
      </c>
      <c r="I27">
        <f ca="1"/>
        <v>0.6</v>
      </c>
      <c r="J27">
        <f ca="1"/>
        <v>0.95899999999990848</v>
      </c>
      <c r="K27">
        <f ca="1"/>
        <v>0.97699999999990728</v>
      </c>
      <c r="L27">
        <f ca="1"/>
        <v>99.712000000000003</v>
      </c>
      <c r="M27">
        <f ca="1"/>
        <v>99.697000000000003</v>
      </c>
      <c r="N27" t="str">
        <f ca="1"/>
        <v>YS2590331</v>
      </c>
      <c r="O27" t="str">
        <f ca="1"/>
        <v>JP1024681R19</v>
      </c>
      <c r="P27" t="str">
        <f ca="1"/>
        <v>A+</v>
      </c>
      <c r="Q27" s="3">
        <f ca="1"/>
        <v>45645</v>
      </c>
      <c r="R27" s="4">
        <f ca="1"/>
        <v>46204</v>
      </c>
      <c r="S27" s="4">
        <f ca="1"/>
        <v>0.75838466803559201</v>
      </c>
      <c r="T27">
        <f ca="1"/>
        <v>99.704499999999996</v>
      </c>
      <c r="U27">
        <f ca="1"/>
        <v>252</v>
      </c>
      <c r="V27">
        <f ca="1"/>
        <v>0.5</v>
      </c>
      <c r="W27">
        <f ca="1"/>
        <v>2</v>
      </c>
      <c r="X27">
        <f ca="1"/>
        <v>0.29010989010989008</v>
      </c>
      <c r="Y27">
        <f ca="1"/>
        <v>99.414390109890107</v>
      </c>
      <c r="Z27">
        <f ca="1"/>
        <v>0.96799999999990782</v>
      </c>
    </row>
    <row r="28" spans="1:26" x14ac:dyDescent="0.35">
      <c r="A28" t="str">
        <f ca="1"/>
        <v>YR145899 Corp</v>
      </c>
      <c r="B28" t="str">
        <f ca="1"/>
        <v>Japan Government Two Year Bond</v>
      </c>
      <c r="C28" t="str">
        <f ca="1"/>
        <v>JGB</v>
      </c>
      <c r="D28" t="str">
        <f ca="1"/>
        <v>JP</v>
      </c>
      <c r="E28" t="str">
        <f ca="1"/>
        <v>JPY</v>
      </c>
      <c r="F28" t="str">
        <f ca="1"/>
        <v>01/02/2027</v>
      </c>
      <c r="G28" t="str">
        <f ca="1"/>
        <v>FIXED</v>
      </c>
      <c r="H28">
        <f ca="1"/>
        <v>2</v>
      </c>
      <c r="I28">
        <f ca="1"/>
        <v>0.7</v>
      </c>
      <c r="J28">
        <f ca="1"/>
        <v>0.9719999999999771</v>
      </c>
      <c r="K28">
        <f ca="1"/>
        <v>0.99399999999998112</v>
      </c>
      <c r="L28">
        <f ca="1"/>
        <v>99.759</v>
      </c>
      <c r="M28">
        <f ca="1"/>
        <v>99.739000000000004</v>
      </c>
      <c r="N28" t="str">
        <f ca="1"/>
        <v>YR1458995</v>
      </c>
      <c r="O28" t="str">
        <f ca="1"/>
        <v>JP1024691R25</v>
      </c>
      <c r="P28" t="str">
        <f ca="1"/>
        <v>A+</v>
      </c>
      <c r="Q28" s="3">
        <f ca="1"/>
        <v>45681</v>
      </c>
      <c r="R28" s="4">
        <f ca="1"/>
        <v>46235</v>
      </c>
      <c r="S28" s="4">
        <f ca="1"/>
        <v>0.84325804243668723</v>
      </c>
      <c r="T28">
        <f ca="1"/>
        <v>99.748999999999995</v>
      </c>
      <c r="U28">
        <f ca="1"/>
        <v>249</v>
      </c>
      <c r="V28">
        <f ca="1"/>
        <v>0.5</v>
      </c>
      <c r="W28">
        <f ca="1"/>
        <v>1</v>
      </c>
      <c r="X28">
        <f ca="1"/>
        <v>0.2192307692307692</v>
      </c>
      <c r="Y28">
        <f ca="1"/>
        <v>99.529769230769233</v>
      </c>
      <c r="Z28">
        <f ca="1"/>
        <v>0.98299999999997911</v>
      </c>
    </row>
    <row r="29" spans="1:26" x14ac:dyDescent="0.35">
      <c r="A29" t="str">
        <f ca="1"/>
        <v>YR907955 Corp</v>
      </c>
      <c r="B29" t="str">
        <f ca="1"/>
        <v>Japan Government Two Year Bond</v>
      </c>
      <c r="C29" t="str">
        <f ca="1"/>
        <v>JGB</v>
      </c>
      <c r="D29" t="str">
        <f ca="1"/>
        <v>JP</v>
      </c>
      <c r="E29" t="str">
        <f ca="1"/>
        <v>JPY</v>
      </c>
      <c r="F29" t="str">
        <f ca="1"/>
        <v>01/03/2027</v>
      </c>
      <c r="G29" t="str">
        <f ca="1"/>
        <v>FIXED</v>
      </c>
      <c r="H29">
        <f ca="1"/>
        <v>2</v>
      </c>
      <c r="I29">
        <f ca="1"/>
        <v>0.8</v>
      </c>
      <c r="J29">
        <f ca="1"/>
        <v>0.97599999965068007</v>
      </c>
      <c r="K29">
        <f ca="1"/>
        <v>0.99899999955023644</v>
      </c>
      <c r="L29">
        <f ca="1"/>
        <v>99.83</v>
      </c>
      <c r="M29">
        <f ca="1"/>
        <v>99.808000000000007</v>
      </c>
      <c r="N29" t="str">
        <f ca="1"/>
        <v>YR9079553</v>
      </c>
      <c r="O29" t="str">
        <f ca="1"/>
        <v>JP1024701R31</v>
      </c>
      <c r="P29" t="str">
        <f ca="1"/>
        <v>A+</v>
      </c>
      <c r="Q29" s="3">
        <f ca="1"/>
        <v>45708</v>
      </c>
      <c r="R29" s="4">
        <f ca="1"/>
        <v>46266</v>
      </c>
      <c r="S29" s="4">
        <f ca="1"/>
        <v>0.91991786447638602</v>
      </c>
      <c r="T29">
        <f ca="1"/>
        <v>99.819000000000003</v>
      </c>
      <c r="U29">
        <f ca="1"/>
        <v>251</v>
      </c>
      <c r="V29">
        <f ca="1"/>
        <v>0.5</v>
      </c>
      <c r="W29">
        <f ca="1"/>
        <v>1</v>
      </c>
      <c r="X29">
        <f ca="1"/>
        <v>0.12747252747252746</v>
      </c>
      <c r="Y29">
        <f ca="1"/>
        <v>99.691527472527468</v>
      </c>
      <c r="Z29">
        <f ca="1"/>
        <v>0.98749999960045831</v>
      </c>
    </row>
    <row r="30" spans="1:26" x14ac:dyDescent="0.35">
      <c r="A30" t="str">
        <f ca="1"/>
        <v>AM713129 Corp</v>
      </c>
      <c r="B30" t="str">
        <f ca="1"/>
        <v>Japan Government Ten Year Bond</v>
      </c>
      <c r="C30" t="str">
        <f ca="1"/>
        <v>JGB</v>
      </c>
      <c r="D30" t="str">
        <f ca="1"/>
        <v>JP</v>
      </c>
      <c r="E30" t="str">
        <f ca="1"/>
        <v>JPY</v>
      </c>
      <c r="F30" t="str">
        <f ca="1"/>
        <v>20/03/2027</v>
      </c>
      <c r="G30" t="str">
        <f ca="1"/>
        <v>FIXED</v>
      </c>
      <c r="H30">
        <f ca="1"/>
        <v>2</v>
      </c>
      <c r="I30">
        <f ca="1"/>
        <v>0.1</v>
      </c>
      <c r="J30">
        <f ca="1"/>
        <v>0.99999999983467414</v>
      </c>
      <c r="K30">
        <f ca="1"/>
        <v>1.0209999998197796</v>
      </c>
      <c r="L30">
        <f ca="1"/>
        <v>99.088999999999999</v>
      </c>
      <c r="M30">
        <f ca="1"/>
        <v>99.067999999999998</v>
      </c>
      <c r="N30" t="str">
        <f ca="1"/>
        <v>AM7131296</v>
      </c>
      <c r="O30" t="str">
        <f ca="1"/>
        <v>JP1103461H35</v>
      </c>
      <c r="P30" t="str">
        <f ca="1"/>
        <v>A+</v>
      </c>
      <c r="Q30" s="3">
        <f ca="1"/>
        <v>42796</v>
      </c>
      <c r="R30" s="4">
        <f ca="1"/>
        <v>46101</v>
      </c>
      <c r="S30" s="4">
        <f ca="1"/>
        <v>0.97193702943189597</v>
      </c>
      <c r="T30">
        <f ca="1"/>
        <v>99.078499999999991</v>
      </c>
      <c r="U30">
        <f ca="1"/>
        <v>4</v>
      </c>
      <c r="V30">
        <f ca="1"/>
        <v>0.5</v>
      </c>
      <c r="W30">
        <f ca="1"/>
        <v>9</v>
      </c>
      <c r="X30">
        <f ca="1"/>
        <v>0.10494505494505496</v>
      </c>
      <c r="Y30">
        <f ca="1"/>
        <v>98.973554945054943</v>
      </c>
      <c r="Z30">
        <f ca="1"/>
        <v>1.0104999998272268</v>
      </c>
    </row>
    <row r="31" spans="1:26" x14ac:dyDescent="0.35">
      <c r="A31" t="str">
        <f ca="1"/>
        <v>BV894033 Corp</v>
      </c>
      <c r="B31" t="str">
        <f ca="1"/>
        <v>Japan Government Five Year Bond</v>
      </c>
      <c r="C31" t="str">
        <f ca="1"/>
        <v>JGB</v>
      </c>
      <c r="D31" t="str">
        <f ca="1"/>
        <v>JP</v>
      </c>
      <c r="E31" t="str">
        <f ca="1"/>
        <v>JPY</v>
      </c>
      <c r="F31" t="str">
        <f ca="1"/>
        <v>20/03/2027</v>
      </c>
      <c r="G31" t="str">
        <f ca="1"/>
        <v>FIXED</v>
      </c>
      <c r="H31">
        <f ca="1"/>
        <v>2</v>
      </c>
      <c r="I31">
        <f ca="1"/>
        <v>5.0000000000000001E-3</v>
      </c>
      <c r="J31">
        <f ca="1"/>
        <v>0.99099999976548092</v>
      </c>
      <c r="K31">
        <f ca="1"/>
        <v>1.0159999997422651</v>
      </c>
      <c r="L31">
        <f ca="1"/>
        <v>99.001999999999995</v>
      </c>
      <c r="M31">
        <f ca="1"/>
        <v>98.977000000000004</v>
      </c>
      <c r="N31" t="str">
        <f ca="1"/>
        <v>BV8940330</v>
      </c>
      <c r="O31" t="str">
        <f ca="1"/>
        <v>JP1051511N46</v>
      </c>
      <c r="P31" t="str">
        <f ca="1"/>
        <v>A+</v>
      </c>
      <c r="Q31" s="3">
        <f ca="1"/>
        <v>44656</v>
      </c>
      <c r="R31" s="4">
        <f ca="1"/>
        <v>46101</v>
      </c>
      <c r="S31" s="4">
        <f ca="1"/>
        <v>0.97193702943189597</v>
      </c>
      <c r="T31">
        <f ca="1"/>
        <v>98.989499999999992</v>
      </c>
      <c r="U31">
        <f ca="1"/>
        <v>64</v>
      </c>
      <c r="V31">
        <f ca="1"/>
        <v>0.5</v>
      </c>
      <c r="W31">
        <f ca="1"/>
        <v>4</v>
      </c>
      <c r="X31">
        <f ca="1"/>
        <v>5.2472527472527475E-3</v>
      </c>
      <c r="Y31">
        <f ca="1"/>
        <v>98.984252747252739</v>
      </c>
      <c r="Z31">
        <f ca="1"/>
        <v>1.0034999997538729</v>
      </c>
    </row>
    <row r="32" spans="1:26" x14ac:dyDescent="0.35">
      <c r="A32" t="str">
        <f ca="1"/>
        <v>BX331425 Corp</v>
      </c>
      <c r="B32" t="str">
        <f ca="1"/>
        <v>Japan Government Five Year Bond</v>
      </c>
      <c r="C32" t="str">
        <f ca="1"/>
        <v>JGB</v>
      </c>
      <c r="D32" t="str">
        <f ca="1"/>
        <v>JP</v>
      </c>
      <c r="E32" t="str">
        <f ca="1"/>
        <v>JPY</v>
      </c>
      <c r="F32" t="str">
        <f ca="1"/>
        <v>20/03/2027</v>
      </c>
      <c r="G32" t="str">
        <f ca="1"/>
        <v>FIXED</v>
      </c>
      <c r="H32">
        <f ca="1"/>
        <v>2</v>
      </c>
      <c r="I32">
        <f ca="1"/>
        <v>0.1</v>
      </c>
      <c r="J32">
        <f ca="1"/>
        <v>0.99199999984008069</v>
      </c>
      <c r="K32">
        <f ca="1"/>
        <v>1.0159999998234326</v>
      </c>
      <c r="L32">
        <f ca="1"/>
        <v>99.096999999999994</v>
      </c>
      <c r="M32">
        <f ca="1"/>
        <v>99.072999999999993</v>
      </c>
      <c r="N32" t="str">
        <f ca="1"/>
        <v>BX3314255</v>
      </c>
      <c r="O32" t="str">
        <f ca="1"/>
        <v>JP1051521N69</v>
      </c>
      <c r="P32" t="str">
        <f ca="1"/>
        <v>A+</v>
      </c>
      <c r="Q32" s="3">
        <f ca="1"/>
        <v>44726</v>
      </c>
      <c r="R32" s="4">
        <f ca="1"/>
        <v>46101</v>
      </c>
      <c r="S32" s="4">
        <f ca="1"/>
        <v>0.97193702943189597</v>
      </c>
      <c r="T32">
        <f ca="1"/>
        <v>99.084999999999994</v>
      </c>
      <c r="U32">
        <f ca="1"/>
        <v>67</v>
      </c>
      <c r="V32">
        <f ca="1"/>
        <v>0.5</v>
      </c>
      <c r="W32">
        <f ca="1"/>
        <v>4</v>
      </c>
      <c r="X32">
        <f ca="1"/>
        <v>0.10494505494505496</v>
      </c>
      <c r="Y32">
        <f ca="1"/>
        <v>98.980054945054945</v>
      </c>
      <c r="Z32">
        <f ca="1"/>
        <v>1.0039999998317566</v>
      </c>
    </row>
    <row r="33" spans="1:26" x14ac:dyDescent="0.35">
      <c r="A33" t="str">
        <f ca="1"/>
        <v>EG278595 Corp</v>
      </c>
      <c r="B33" t="str">
        <f ca="1"/>
        <v>Japan Government Twenty Year Bond</v>
      </c>
      <c r="C33" t="str">
        <f ca="1"/>
        <v>JGB</v>
      </c>
      <c r="D33" t="str">
        <f ca="1"/>
        <v>JP</v>
      </c>
      <c r="E33" t="str">
        <f ca="1"/>
        <v>JPY</v>
      </c>
      <c r="F33" t="str">
        <f ca="1"/>
        <v>20/03/2027</v>
      </c>
      <c r="G33" t="str">
        <f ca="1"/>
        <v>FIXED</v>
      </c>
      <c r="H33">
        <f ca="1"/>
        <v>2</v>
      </c>
      <c r="I33">
        <f ca="1"/>
        <v>2</v>
      </c>
      <c r="J33">
        <f ca="1"/>
        <v>0.99300000022308144</v>
      </c>
      <c r="K33">
        <f ca="1"/>
        <v>1.0160000002044027</v>
      </c>
      <c r="L33">
        <f ca="1"/>
        <v>101.018</v>
      </c>
      <c r="M33">
        <f ca="1"/>
        <v>100.995</v>
      </c>
      <c r="N33" t="str">
        <f ca="1"/>
        <v>EG2785954</v>
      </c>
      <c r="O33" t="str">
        <f ca="1"/>
        <v>JP1200931739</v>
      </c>
      <c r="P33" t="str">
        <f ca="1"/>
        <v>A+</v>
      </c>
      <c r="Q33" s="3">
        <f ca="1"/>
        <v>39156</v>
      </c>
      <c r="R33" s="4">
        <f ca="1"/>
        <v>46101</v>
      </c>
      <c r="S33" s="4">
        <f ca="1"/>
        <v>0.97193702943189597</v>
      </c>
      <c r="T33">
        <f ca="1"/>
        <v>101.0065</v>
      </c>
      <c r="U33">
        <f ca="1"/>
        <v>115</v>
      </c>
      <c r="V33">
        <f ca="1"/>
        <v>0.5</v>
      </c>
      <c r="W33">
        <f ca="1"/>
        <v>19</v>
      </c>
      <c r="X33">
        <f ca="1"/>
        <v>2.098901098901099</v>
      </c>
      <c r="Y33">
        <f ca="1"/>
        <v>98.907598901098908</v>
      </c>
      <c r="Z33">
        <f ca="1"/>
        <v>1.0045000002137421</v>
      </c>
    </row>
    <row r="34" spans="1:26" x14ac:dyDescent="0.35">
      <c r="A34" t="str">
        <f ca="1"/>
        <v>EG396905 Corp</v>
      </c>
      <c r="B34" t="str">
        <f ca="1"/>
        <v>Japan Government Twenty Year Bond</v>
      </c>
      <c r="C34" t="str">
        <f ca="1"/>
        <v>JGB</v>
      </c>
      <c r="D34" t="str">
        <f ca="1"/>
        <v>JP</v>
      </c>
      <c r="E34" t="str">
        <f ca="1"/>
        <v>JPY</v>
      </c>
      <c r="F34" t="str">
        <f ca="1"/>
        <v>20/03/2027</v>
      </c>
      <c r="G34" t="str">
        <f ca="1"/>
        <v>FIXED</v>
      </c>
      <c r="H34">
        <f ca="1"/>
        <v>2</v>
      </c>
      <c r="I34">
        <f ca="1"/>
        <v>2.1</v>
      </c>
      <c r="J34">
        <f ca="1"/>
        <v>0.9920000003186531</v>
      </c>
      <c r="K34">
        <f ca="1"/>
        <v>1.0150000002940662</v>
      </c>
      <c r="L34">
        <f ca="1"/>
        <v>101.12</v>
      </c>
      <c r="M34">
        <f ca="1"/>
        <v>101.09699999999999</v>
      </c>
      <c r="N34" t="str">
        <f ca="1"/>
        <v>EG3969052</v>
      </c>
      <c r="O34" t="str">
        <f ca="1"/>
        <v>JP1200941746</v>
      </c>
      <c r="P34" t="str">
        <f ca="1"/>
        <v>A+</v>
      </c>
      <c r="Q34" s="3">
        <f ca="1"/>
        <v>39196</v>
      </c>
      <c r="R34" s="4">
        <f ca="1"/>
        <v>46101</v>
      </c>
      <c r="S34" s="4">
        <f ca="1"/>
        <v>0.97193702943189597</v>
      </c>
      <c r="T34">
        <f ca="1"/>
        <v>101.10849999999999</v>
      </c>
      <c r="U34">
        <f ca="1"/>
        <v>117</v>
      </c>
      <c r="V34">
        <f ca="1"/>
        <v>0.5</v>
      </c>
      <c r="W34">
        <f ca="1"/>
        <v>19</v>
      </c>
      <c r="X34">
        <f ca="1"/>
        <v>2.203846153846154</v>
      </c>
      <c r="Y34">
        <f ca="1"/>
        <v>98.904653846153835</v>
      </c>
      <c r="Z34">
        <f ca="1"/>
        <v>1.0035000003063597</v>
      </c>
    </row>
    <row r="35" spans="1:26" x14ac:dyDescent="0.35">
      <c r="A35" t="str">
        <f ca="1"/>
        <v>YQ865312 Corp</v>
      </c>
      <c r="B35" t="str">
        <f ca="1"/>
        <v>Japan Government Two Year Bond</v>
      </c>
      <c r="C35" t="str">
        <f ca="1"/>
        <v>JGB</v>
      </c>
      <c r="D35" t="str">
        <f ca="1"/>
        <v>JP</v>
      </c>
      <c r="E35" t="str">
        <f ca="1"/>
        <v>JPY</v>
      </c>
      <c r="F35" t="str">
        <f ca="1"/>
        <v>01/04/2027</v>
      </c>
      <c r="G35" t="str">
        <f ca="1"/>
        <v>FIXED</v>
      </c>
      <c r="H35">
        <f ca="1"/>
        <v>2</v>
      </c>
      <c r="I35">
        <f ca="1"/>
        <v>0.9</v>
      </c>
      <c r="J35">
        <f ca="1"/>
        <v>0.99099999999992283</v>
      </c>
      <c r="K35">
        <f ca="1"/>
        <v>1.0139999999998559</v>
      </c>
      <c r="L35">
        <f ca="1"/>
        <v>99.905000000000001</v>
      </c>
      <c r="M35">
        <f ca="1"/>
        <v>99.881</v>
      </c>
      <c r="N35" t="str">
        <f ca="1"/>
        <v>YQ8653129</v>
      </c>
      <c r="O35" t="str">
        <f ca="1"/>
        <v>JP1024711R47</v>
      </c>
      <c r="P35" t="str">
        <f ca="1"/>
        <v>A+</v>
      </c>
      <c r="Q35" s="3">
        <f ca="1"/>
        <v>45740</v>
      </c>
      <c r="R35" s="4">
        <f ca="1"/>
        <v>46113</v>
      </c>
      <c r="S35" s="4">
        <f ca="1"/>
        <v>1.0047912388774811</v>
      </c>
      <c r="T35">
        <f ca="1"/>
        <v>99.893000000000001</v>
      </c>
      <c r="U35">
        <f ca="1"/>
        <v>247</v>
      </c>
      <c r="V35">
        <f ca="1"/>
        <v>1</v>
      </c>
      <c r="W35">
        <f ca="1"/>
        <v>1</v>
      </c>
      <c r="X35">
        <f ca="1"/>
        <v>0.89010989010989017</v>
      </c>
      <c r="Y35">
        <f ca="1"/>
        <v>99.002890109890117</v>
      </c>
      <c r="Z35">
        <f ca="1"/>
        <v>1.0024999999998894</v>
      </c>
    </row>
    <row r="36" spans="1:26" x14ac:dyDescent="0.35">
      <c r="A36" t="str">
        <f ca="1"/>
        <v>YP920263 Corp</v>
      </c>
      <c r="B36" t="str">
        <f ca="1"/>
        <v>Japan Government Two Year Bond</v>
      </c>
      <c r="C36" t="str">
        <f ca="1"/>
        <v>JGB</v>
      </c>
      <c r="D36" t="str">
        <f ca="1"/>
        <v>JP</v>
      </c>
      <c r="E36" t="str">
        <f ca="1"/>
        <v>JPY</v>
      </c>
      <c r="F36" t="str">
        <f ca="1"/>
        <v>01/05/2027</v>
      </c>
      <c r="G36" t="str">
        <f ca="1"/>
        <v>FIXED</v>
      </c>
      <c r="H36">
        <f ca="1"/>
        <v>2</v>
      </c>
      <c r="I36">
        <f ca="1"/>
        <v>0.7</v>
      </c>
      <c r="J36">
        <f ca="1"/>
        <v>1.0129999999965369</v>
      </c>
      <c r="K36">
        <f ca="1"/>
        <v>1.035999999995648</v>
      </c>
      <c r="L36">
        <f ca="1"/>
        <v>99.647999999999996</v>
      </c>
      <c r="M36">
        <f ca="1"/>
        <v>99.622</v>
      </c>
      <c r="N36" t="str">
        <f ca="1"/>
        <v>YP9202639</v>
      </c>
      <c r="O36" t="str">
        <f ca="1"/>
        <v>JP1024721R52</v>
      </c>
      <c r="P36" t="str">
        <f ca="1"/>
        <v>A+</v>
      </c>
      <c r="Q36" s="3">
        <f ca="1"/>
        <v>45764</v>
      </c>
      <c r="R36" s="4">
        <f ca="1"/>
        <v>46143</v>
      </c>
      <c r="S36" s="4">
        <f ca="1"/>
        <v>1.0869267624914443</v>
      </c>
      <c r="T36">
        <f ca="1"/>
        <v>99.634999999999991</v>
      </c>
      <c r="U36">
        <f ca="1"/>
        <v>245</v>
      </c>
      <c r="V36">
        <f ca="1"/>
        <v>1</v>
      </c>
      <c r="W36">
        <f ca="1"/>
        <v>1</v>
      </c>
      <c r="X36">
        <f ca="1"/>
        <v>0.57307692307692304</v>
      </c>
      <c r="Y36">
        <f ca="1"/>
        <v>99.061923076923065</v>
      </c>
      <c r="Z36">
        <f ca="1"/>
        <v>1.0244999999960924</v>
      </c>
    </row>
    <row r="37" spans="1:26" x14ac:dyDescent="0.35">
      <c r="A37" t="str">
        <f ca="1"/>
        <v>YN009853 Corp</v>
      </c>
      <c r="B37" t="str">
        <f ca="1"/>
        <v>Japan Government Two Year Bond</v>
      </c>
      <c r="C37" t="str">
        <f ca="1"/>
        <v>JGB</v>
      </c>
      <c r="D37" t="str">
        <f ca="1"/>
        <v>JP</v>
      </c>
      <c r="E37" t="str">
        <f ca="1"/>
        <v>JPY</v>
      </c>
      <c r="F37" t="str">
        <f ca="1"/>
        <v>01/06/2027</v>
      </c>
      <c r="G37" t="str">
        <f ca="1"/>
        <v>FIXED</v>
      </c>
      <c r="H37">
        <f ca="1"/>
        <v>2</v>
      </c>
      <c r="I37">
        <f ca="1"/>
        <v>0.8</v>
      </c>
      <c r="J37">
        <f ca="1"/>
        <v>1.0559999999984435</v>
      </c>
      <c r="K37">
        <f ca="1"/>
        <v>1.0759999999980203</v>
      </c>
      <c r="L37">
        <f ca="1"/>
        <v>99.691000000000003</v>
      </c>
      <c r="M37">
        <f ca="1"/>
        <v>99.667000000000002</v>
      </c>
      <c r="N37" t="str">
        <f ca="1"/>
        <v>YN0098536</v>
      </c>
      <c r="O37" t="str">
        <f ca="1"/>
        <v>JP1024731R68</v>
      </c>
      <c r="P37" t="str">
        <f ca="1"/>
        <v>A+</v>
      </c>
      <c r="Q37" s="3">
        <f ca="1"/>
        <v>45800</v>
      </c>
      <c r="R37" s="4">
        <f ca="1"/>
        <v>46174</v>
      </c>
      <c r="S37" s="4">
        <f ca="1"/>
        <v>1.1718001368925393</v>
      </c>
      <c r="T37">
        <f ca="1"/>
        <v>99.679000000000002</v>
      </c>
      <c r="U37">
        <f ca="1"/>
        <v>237</v>
      </c>
      <c r="V37">
        <f ca="1"/>
        <v>1</v>
      </c>
      <c r="W37">
        <f ca="1"/>
        <v>1</v>
      </c>
      <c r="X37">
        <f ca="1"/>
        <v>0.52307692307692311</v>
      </c>
      <c r="Y37">
        <f ca="1"/>
        <v>99.155923076923074</v>
      </c>
      <c r="Z37">
        <f ca="1"/>
        <v>1.0659999999982319</v>
      </c>
    </row>
    <row r="38" spans="1:26" x14ac:dyDescent="0.35">
      <c r="A38" t="str">
        <f ca="1"/>
        <v>AN821370 Corp</v>
      </c>
      <c r="B38" t="str">
        <f ca="1"/>
        <v>Japan Government Ten Year Bond</v>
      </c>
      <c r="C38" t="str">
        <f ca="1"/>
        <v>JGB</v>
      </c>
      <c r="D38" t="str">
        <f ca="1"/>
        <v>JP</v>
      </c>
      <c r="E38" t="str">
        <f ca="1"/>
        <v>JPY</v>
      </c>
      <c r="F38" t="str">
        <f ca="1"/>
        <v>20/06/2027</v>
      </c>
      <c r="G38" t="str">
        <f ca="1"/>
        <v>FIXED</v>
      </c>
      <c r="H38">
        <f ca="1"/>
        <v>2</v>
      </c>
      <c r="I38">
        <f ca="1"/>
        <v>0.1</v>
      </c>
      <c r="J38">
        <f ca="1"/>
        <v>1.0619999998705669</v>
      </c>
      <c r="K38">
        <f ca="1"/>
        <v>1.0849999998590174</v>
      </c>
      <c r="L38">
        <f ca="1"/>
        <v>98.79</v>
      </c>
      <c r="M38">
        <f ca="1"/>
        <v>98.762</v>
      </c>
      <c r="N38" t="str">
        <f ca="1"/>
        <v>AN8213703</v>
      </c>
      <c r="O38" t="str">
        <f ca="1"/>
        <v>JP1103471H66</v>
      </c>
      <c r="P38" t="str">
        <f ca="1"/>
        <v>A+</v>
      </c>
      <c r="Q38" s="3">
        <f ca="1"/>
        <v>42887</v>
      </c>
      <c r="R38" s="4">
        <f ca="1"/>
        <v>46193</v>
      </c>
      <c r="S38" s="4">
        <f ca="1"/>
        <v>1.2238193018480492</v>
      </c>
      <c r="T38">
        <f ca="1"/>
        <v>98.77600000000001</v>
      </c>
      <c r="U38">
        <f ca="1"/>
        <v>8</v>
      </c>
      <c r="V38">
        <f ca="1"/>
        <v>1</v>
      </c>
      <c r="W38">
        <f ca="1"/>
        <v>9</v>
      </c>
      <c r="X38">
        <f ca="1"/>
        <v>5.4945054945054951E-2</v>
      </c>
      <c r="Y38">
        <f ca="1"/>
        <v>98.721054945054959</v>
      </c>
      <c r="Z38">
        <f ca="1"/>
        <v>1.0734999998647923</v>
      </c>
    </row>
    <row r="39" spans="1:26" x14ac:dyDescent="0.35">
      <c r="A39" t="str">
        <f ca="1"/>
        <v>BX810244 Corp</v>
      </c>
      <c r="B39" t="str">
        <f ca="1"/>
        <v>Japan Government Five Year Bond</v>
      </c>
      <c r="C39" t="str">
        <f ca="1"/>
        <v>JGB</v>
      </c>
      <c r="D39" t="str">
        <f ca="1"/>
        <v>JP</v>
      </c>
      <c r="E39" t="str">
        <f ca="1"/>
        <v>JPY</v>
      </c>
      <c r="F39" t="str">
        <f ca="1"/>
        <v>20/06/2027</v>
      </c>
      <c r="G39" t="str">
        <f ca="1"/>
        <v>FIXED</v>
      </c>
      <c r="H39">
        <f ca="1"/>
        <v>2</v>
      </c>
      <c r="I39">
        <f ca="1"/>
        <v>5.0000000000000001E-3</v>
      </c>
      <c r="J39">
        <f ca="1"/>
        <v>1.0599999998174168</v>
      </c>
      <c r="K39">
        <f ca="1"/>
        <v>1.084999999801123</v>
      </c>
      <c r="L39">
        <f ca="1"/>
        <v>98.673000000000002</v>
      </c>
      <c r="M39">
        <f ca="1"/>
        <v>98.641999999999996</v>
      </c>
      <c r="N39" t="str">
        <f ca="1"/>
        <v>BX8102440</v>
      </c>
      <c r="O39" t="str">
        <f ca="1"/>
        <v>JP1051531N75</v>
      </c>
      <c r="P39" t="str">
        <f ca="1"/>
        <v>A+</v>
      </c>
      <c r="Q39" s="3">
        <f ca="1"/>
        <v>44747</v>
      </c>
      <c r="R39" s="4">
        <f ca="1"/>
        <v>46193</v>
      </c>
      <c r="S39" s="4">
        <f ca="1"/>
        <v>1.2238193018480492</v>
      </c>
      <c r="T39">
        <f ca="1"/>
        <v>98.657499999999999</v>
      </c>
      <c r="U39">
        <f ca="1"/>
        <v>70</v>
      </c>
      <c r="V39">
        <f ca="1"/>
        <v>1</v>
      </c>
      <c r="W39">
        <f ca="1"/>
        <v>4</v>
      </c>
      <c r="X39">
        <f ca="1"/>
        <v>2.7472527472527475E-3</v>
      </c>
      <c r="Y39">
        <f ca="1"/>
        <v>98.654752747252743</v>
      </c>
      <c r="Z39">
        <f ca="1"/>
        <v>1.0724999998092699</v>
      </c>
    </row>
    <row r="40" spans="1:26" x14ac:dyDescent="0.35">
      <c r="A40" t="str">
        <f ca="1"/>
        <v>EG586429 Corp</v>
      </c>
      <c r="B40" t="str">
        <f ca="1"/>
        <v>Japan Government Twenty Year Bond</v>
      </c>
      <c r="C40" t="str">
        <f ca="1"/>
        <v>JGB</v>
      </c>
      <c r="D40" t="str">
        <f ca="1"/>
        <v>JP</v>
      </c>
      <c r="E40" t="str">
        <f ca="1"/>
        <v>JPY</v>
      </c>
      <c r="F40" t="str">
        <f ca="1"/>
        <v>20/06/2027</v>
      </c>
      <c r="G40" t="str">
        <f ca="1"/>
        <v>FIXED</v>
      </c>
      <c r="H40">
        <f ca="1"/>
        <v>2</v>
      </c>
      <c r="I40">
        <f ca="1"/>
        <v>2.2999999999999998</v>
      </c>
      <c r="J40">
        <f ca="1"/>
        <v>1.0580000002626728</v>
      </c>
      <c r="K40">
        <f ca="1"/>
        <v>1.0800000002459673</v>
      </c>
      <c r="L40">
        <f ca="1"/>
        <v>101.56100000000001</v>
      </c>
      <c r="M40">
        <f ca="1"/>
        <v>101.533</v>
      </c>
      <c r="N40" t="str">
        <f ca="1"/>
        <v>EG5864293</v>
      </c>
      <c r="O40" t="str">
        <f ca="1"/>
        <v>JP1200951760</v>
      </c>
      <c r="P40" t="str">
        <f ca="1"/>
        <v>A+</v>
      </c>
      <c r="Q40" s="3">
        <f ca="1"/>
        <v>39254</v>
      </c>
      <c r="R40" s="4">
        <f ca="1"/>
        <v>46193</v>
      </c>
      <c r="S40" s="4">
        <f ca="1"/>
        <v>1.2238193018480492</v>
      </c>
      <c r="T40">
        <f ca="1"/>
        <v>101.547</v>
      </c>
      <c r="U40">
        <f ca="1"/>
        <v>118</v>
      </c>
      <c r="V40">
        <f ca="1"/>
        <v>1</v>
      </c>
      <c r="W40">
        <f ca="1"/>
        <v>19</v>
      </c>
      <c r="X40">
        <f ca="1"/>
        <v>1.2637362637362637</v>
      </c>
      <c r="Y40">
        <f ca="1"/>
        <v>100.28326373626373</v>
      </c>
      <c r="Z40">
        <f ca="1"/>
        <v>1.0690000002543201</v>
      </c>
    </row>
    <row r="41" spans="1:26" x14ac:dyDescent="0.35">
      <c r="A41" t="str">
        <f ca="1"/>
        <v>EG780776 Corp</v>
      </c>
      <c r="B41" t="str">
        <f ca="1"/>
        <v>Japan Government Twenty Year Bond</v>
      </c>
      <c r="C41" t="str">
        <f ca="1"/>
        <v>JGB</v>
      </c>
      <c r="D41" t="str">
        <f ca="1"/>
        <v>JP</v>
      </c>
      <c r="E41" t="str">
        <f ca="1"/>
        <v>JPY</v>
      </c>
      <c r="F41" t="str">
        <f ca="1"/>
        <v>20/06/2027</v>
      </c>
      <c r="G41" t="str">
        <f ca="1"/>
        <v>FIXED</v>
      </c>
      <c r="H41">
        <f ca="1"/>
        <v>2</v>
      </c>
      <c r="I41">
        <f ca="1"/>
        <v>2.1</v>
      </c>
      <c r="J41">
        <f ca="1"/>
        <v>1.0560000001421888</v>
      </c>
      <c r="K41">
        <f ca="1"/>
        <v>1.0790000001312146</v>
      </c>
      <c r="L41">
        <f ca="1"/>
        <v>101.312</v>
      </c>
      <c r="M41">
        <f ca="1"/>
        <v>101.283</v>
      </c>
      <c r="N41" t="str">
        <f ca="1"/>
        <v>EG7807761</v>
      </c>
      <c r="O41" t="str">
        <f ca="1"/>
        <v>JP1200961785</v>
      </c>
      <c r="P41" t="str">
        <f ca="1"/>
        <v>A+</v>
      </c>
      <c r="Q41" s="3">
        <f ca="1"/>
        <v>39322</v>
      </c>
      <c r="R41" s="4">
        <f ca="1"/>
        <v>46193</v>
      </c>
      <c r="S41" s="4">
        <f ca="1"/>
        <v>1.2238193018480492</v>
      </c>
      <c r="T41">
        <f ca="1"/>
        <v>101.2975</v>
      </c>
      <c r="U41">
        <f ca="1"/>
        <v>119</v>
      </c>
      <c r="V41">
        <f ca="1"/>
        <v>1</v>
      </c>
      <c r="W41">
        <f ca="1"/>
        <v>19</v>
      </c>
      <c r="X41">
        <f ca="1"/>
        <v>1.153846153846154</v>
      </c>
      <c r="Y41">
        <f ca="1"/>
        <v>100.14365384615384</v>
      </c>
      <c r="Z41">
        <f ca="1"/>
        <v>1.0675000001367017</v>
      </c>
    </row>
    <row r="42" spans="1:26" x14ac:dyDescent="0.35">
      <c r="A42" t="str">
        <f ca="1"/>
        <v>YN766681 Corp</v>
      </c>
      <c r="B42" t="str">
        <f ca="1"/>
        <v>Japan Government Two Year Bond</v>
      </c>
      <c r="C42" t="str">
        <f ca="1"/>
        <v>JGB</v>
      </c>
      <c r="D42" t="str">
        <f ca="1"/>
        <v>JP</v>
      </c>
      <c r="E42" t="str">
        <f ca="1"/>
        <v>JPY</v>
      </c>
      <c r="F42" t="str">
        <f ca="1"/>
        <v>01/07/2027</v>
      </c>
      <c r="G42" t="str">
        <f ca="1"/>
        <v>FIXED</v>
      </c>
      <c r="H42">
        <f ca="1"/>
        <v>2</v>
      </c>
      <c r="I42">
        <f ca="1"/>
        <v>0.7</v>
      </c>
      <c r="J42">
        <f ca="1"/>
        <v>1.0839999999951573</v>
      </c>
      <c r="K42">
        <f ca="1"/>
        <v>1.1039999999942998</v>
      </c>
      <c r="L42">
        <f ca="1"/>
        <v>99.506</v>
      </c>
      <c r="M42">
        <f ca="1"/>
        <v>99.48</v>
      </c>
      <c r="N42" t="str">
        <f ca="1"/>
        <v>YN7666814</v>
      </c>
      <c r="O42" t="str">
        <f ca="1"/>
        <v>JP1024741R74</v>
      </c>
      <c r="P42" t="str">
        <f ca="1"/>
        <v>A+</v>
      </c>
      <c r="Q42" s="3">
        <f ca="1"/>
        <v>45827</v>
      </c>
      <c r="R42" s="4">
        <f ca="1"/>
        <v>46204</v>
      </c>
      <c r="S42" s="4">
        <f ca="1"/>
        <v>1.2539356605065024</v>
      </c>
      <c r="T42">
        <f ca="1"/>
        <v>99.492999999999995</v>
      </c>
      <c r="U42">
        <f ca="1"/>
        <v>238</v>
      </c>
      <c r="V42">
        <f ca="1"/>
        <v>1</v>
      </c>
      <c r="W42">
        <f ca="1"/>
        <v>1</v>
      </c>
      <c r="X42">
        <f ca="1"/>
        <v>0.33846153846153842</v>
      </c>
      <c r="Y42">
        <f ca="1"/>
        <v>99.154538461538451</v>
      </c>
      <c r="Z42">
        <f ca="1"/>
        <v>1.0939999999947285</v>
      </c>
    </row>
    <row r="43" spans="1:26" x14ac:dyDescent="0.35">
      <c r="A43" t="str">
        <f ca="1"/>
        <v>YM801404 Corp</v>
      </c>
      <c r="B43" t="str">
        <f ca="1"/>
        <v>Japan Government Two Year Bond</v>
      </c>
      <c r="C43" t="str">
        <f ca="1"/>
        <v>JGB</v>
      </c>
      <c r="D43" t="str">
        <f ca="1"/>
        <v>JP</v>
      </c>
      <c r="E43" t="str">
        <f ca="1"/>
        <v>JPY</v>
      </c>
      <c r="F43" t="str">
        <f ca="1"/>
        <v>01/08/2027</v>
      </c>
      <c r="G43" t="str">
        <f ca="1"/>
        <v>FIXED</v>
      </c>
      <c r="H43">
        <f ca="1"/>
        <v>2</v>
      </c>
      <c r="I43">
        <f ca="1"/>
        <v>0.9</v>
      </c>
      <c r="J43">
        <f ca="1"/>
        <v>1.1079999999994732</v>
      </c>
      <c r="K43">
        <f ca="1"/>
        <v>1.1299999999992814</v>
      </c>
      <c r="L43">
        <f ca="1"/>
        <v>99.715000000000003</v>
      </c>
      <c r="M43">
        <f ca="1"/>
        <v>99.685000000000002</v>
      </c>
      <c r="N43" t="str">
        <f ca="1"/>
        <v>YM8014040</v>
      </c>
      <c r="O43" t="str">
        <f ca="1"/>
        <v>JP1024751R89</v>
      </c>
      <c r="P43" t="str">
        <f ca="1"/>
        <v>A+</v>
      </c>
      <c r="Q43" s="3">
        <f ca="1"/>
        <v>45860</v>
      </c>
      <c r="R43" s="4">
        <f ca="1"/>
        <v>46235</v>
      </c>
      <c r="S43" s="4">
        <f ca="1"/>
        <v>1.3388090349075976</v>
      </c>
      <c r="T43">
        <f ca="1"/>
        <v>99.7</v>
      </c>
      <c r="U43">
        <f ca="1"/>
        <v>236</v>
      </c>
      <c r="V43">
        <f ca="1"/>
        <v>1</v>
      </c>
      <c r="W43">
        <f ca="1"/>
        <v>1</v>
      </c>
      <c r="X43">
        <f ca="1"/>
        <v>0.28186813186813187</v>
      </c>
      <c r="Y43">
        <f ca="1"/>
        <v>99.418131868131866</v>
      </c>
      <c r="Z43">
        <f ca="1"/>
        <v>1.1189999999993772</v>
      </c>
    </row>
    <row r="44" spans="1:26" x14ac:dyDescent="0.35">
      <c r="A44" t="str">
        <f ca="1"/>
        <v>YL701515 Corp</v>
      </c>
      <c r="B44" t="str">
        <f ca="1"/>
        <v>Japan Government Two Year Bond</v>
      </c>
      <c r="C44" t="str">
        <f ca="1"/>
        <v>JGB</v>
      </c>
      <c r="D44" t="str">
        <f ca="1"/>
        <v>JP</v>
      </c>
      <c r="E44" t="str">
        <f ca="1"/>
        <v>JPY</v>
      </c>
      <c r="F44" t="str">
        <f ca="1"/>
        <v>01/09/2027</v>
      </c>
      <c r="G44" t="str">
        <f ca="1"/>
        <v>FIXED</v>
      </c>
      <c r="H44">
        <f ca="1"/>
        <v>2</v>
      </c>
      <c r="I44">
        <f ca="1"/>
        <v>0.9</v>
      </c>
      <c r="J44">
        <f ca="1"/>
        <v>1.1319999999994508</v>
      </c>
      <c r="K44">
        <f ca="1"/>
        <v>1.1509999999993004</v>
      </c>
      <c r="L44">
        <f ca="1"/>
        <v>99.662999999999997</v>
      </c>
      <c r="M44">
        <f ca="1"/>
        <v>99.635999999999996</v>
      </c>
      <c r="N44" t="str">
        <f ca="1"/>
        <v>YL7015156</v>
      </c>
      <c r="O44" t="str">
        <f ca="1"/>
        <v>JP1024761R95</v>
      </c>
      <c r="P44" t="str">
        <f ca="1"/>
        <v>A+</v>
      </c>
      <c r="Q44" s="3">
        <f ca="1"/>
        <v>45890</v>
      </c>
      <c r="R44" s="4">
        <f ca="1"/>
        <v>46266</v>
      </c>
      <c r="S44" s="4">
        <f ca="1"/>
        <v>1.4236824093086926</v>
      </c>
      <c r="T44">
        <f ca="1"/>
        <v>99.649499999999989</v>
      </c>
      <c r="U44">
        <f ca="1"/>
        <v>232</v>
      </c>
      <c r="V44">
        <f ca="1"/>
        <v>1</v>
      </c>
      <c r="W44">
        <f ca="1"/>
        <v>1</v>
      </c>
      <c r="X44">
        <f ca="1"/>
        <v>0.1434065934065934</v>
      </c>
      <c r="Y44">
        <f ca="1"/>
        <v>99.506093406593394</v>
      </c>
      <c r="Z44">
        <f ca="1"/>
        <v>1.1414999999993756</v>
      </c>
    </row>
    <row r="45" spans="1:26" x14ac:dyDescent="0.35">
      <c r="A45" t="str">
        <f ca="1"/>
        <v>AP027592 Corp</v>
      </c>
      <c r="B45" t="str">
        <f ca="1"/>
        <v>Japan Government Ten Year Bond</v>
      </c>
      <c r="C45" t="str">
        <f ca="1"/>
        <v>JGB</v>
      </c>
      <c r="D45" t="str">
        <f ca="1"/>
        <v>JP</v>
      </c>
      <c r="E45" t="str">
        <f ca="1"/>
        <v>JPY</v>
      </c>
      <c r="F45" t="str">
        <f ca="1"/>
        <v>20/09/2027</v>
      </c>
      <c r="G45" t="str">
        <f ca="1"/>
        <v>FIXED</v>
      </c>
      <c r="H45">
        <f ca="1"/>
        <v>2</v>
      </c>
      <c r="I45">
        <f ca="1"/>
        <v>0.1</v>
      </c>
      <c r="J45">
        <f ca="1"/>
        <v>1.1380000000000026</v>
      </c>
      <c r="K45">
        <f ca="1"/>
        <v>1.161000000000008</v>
      </c>
      <c r="L45">
        <f ca="1"/>
        <v>98.442999999999998</v>
      </c>
      <c r="M45">
        <f ca="1"/>
        <v>98.409000000000006</v>
      </c>
      <c r="N45" t="str">
        <f ca="1"/>
        <v>AP0275929</v>
      </c>
      <c r="O45" t="str">
        <f ca="1"/>
        <v>JP1103481H98</v>
      </c>
      <c r="P45" t="str">
        <f ca="1"/>
        <v>A+</v>
      </c>
      <c r="Q45" s="3">
        <f ca="1"/>
        <v>42983</v>
      </c>
      <c r="R45" s="4">
        <f ca="1"/>
        <v>46101</v>
      </c>
      <c r="S45" s="4">
        <f ca="1"/>
        <v>1.4757015742642026</v>
      </c>
      <c r="T45">
        <f ca="1"/>
        <v>98.426000000000002</v>
      </c>
      <c r="U45">
        <f ca="1"/>
        <v>11</v>
      </c>
      <c r="V45">
        <f ca="1"/>
        <v>1</v>
      </c>
      <c r="W45">
        <f ca="1"/>
        <v>9</v>
      </c>
      <c r="X45">
        <f ca="1"/>
        <v>0.10494505494505496</v>
      </c>
      <c r="Y45">
        <f ca="1"/>
        <v>98.321054945054954</v>
      </c>
      <c r="Z45">
        <f ca="1"/>
        <v>1.1495000000000053</v>
      </c>
    </row>
    <row r="46" spans="1:26" x14ac:dyDescent="0.35">
      <c r="A46" t="str">
        <f ca="1"/>
        <v>BZ743105 Corp</v>
      </c>
      <c r="B46" t="str">
        <f ca="1"/>
        <v>Japan Government Five Year Bond</v>
      </c>
      <c r="C46" t="str">
        <f ca="1"/>
        <v>JGB</v>
      </c>
      <c r="D46" t="str">
        <f ca="1"/>
        <v>JP</v>
      </c>
      <c r="E46" t="str">
        <f ca="1"/>
        <v>JPY</v>
      </c>
      <c r="F46" t="str">
        <f ca="1"/>
        <v>20/09/2027</v>
      </c>
      <c r="G46" t="str">
        <f ca="1"/>
        <v>FIXED</v>
      </c>
      <c r="H46">
        <f ca="1"/>
        <v>2</v>
      </c>
      <c r="I46">
        <f ca="1"/>
        <v>0.1</v>
      </c>
      <c r="J46">
        <f ca="1"/>
        <v>1.1440000000000041</v>
      </c>
      <c r="K46">
        <f ca="1"/>
        <v>1.1670000000000009</v>
      </c>
      <c r="L46">
        <f ca="1"/>
        <v>98.433999999999997</v>
      </c>
      <c r="M46">
        <f ca="1"/>
        <v>98.4</v>
      </c>
      <c r="N46" t="str">
        <f ca="1"/>
        <v>BZ7431050</v>
      </c>
      <c r="O46" t="str">
        <f ca="1"/>
        <v>JP1051541NA0</v>
      </c>
      <c r="P46" t="str">
        <f ca="1"/>
        <v>A+</v>
      </c>
      <c r="Q46" s="3">
        <f ca="1"/>
        <v>44841</v>
      </c>
      <c r="R46" s="4">
        <f ca="1"/>
        <v>46101</v>
      </c>
      <c r="S46" s="4">
        <f ca="1"/>
        <v>1.4757015742642026</v>
      </c>
      <c r="T46">
        <f ca="1"/>
        <v>98.417000000000002</v>
      </c>
      <c r="U46">
        <f ca="1"/>
        <v>74</v>
      </c>
      <c r="V46">
        <f ca="1"/>
        <v>1</v>
      </c>
      <c r="W46">
        <f ca="1"/>
        <v>4</v>
      </c>
      <c r="X46">
        <f ca="1"/>
        <v>0.10494505494505496</v>
      </c>
      <c r="Y46">
        <f ca="1"/>
        <v>98.312054945054953</v>
      </c>
      <c r="Z46">
        <f ca="1"/>
        <v>1.1555000000000026</v>
      </c>
    </row>
    <row r="47" spans="1:26" x14ac:dyDescent="0.35">
      <c r="A47" t="str">
        <f ca="1"/>
        <v>EG857336 Corp</v>
      </c>
      <c r="B47" t="str">
        <f ca="1"/>
        <v>Japan Government Twenty Year Bond</v>
      </c>
      <c r="C47" t="str">
        <f ca="1"/>
        <v>JGB</v>
      </c>
      <c r="D47" t="str">
        <f ca="1"/>
        <v>JP</v>
      </c>
      <c r="E47" t="str">
        <f ca="1"/>
        <v>JPY</v>
      </c>
      <c r="F47" t="str">
        <f ca="1"/>
        <v>20/09/2027</v>
      </c>
      <c r="G47" t="str">
        <f ca="1"/>
        <v>FIXED</v>
      </c>
      <c r="H47">
        <f ca="1"/>
        <v>2</v>
      </c>
      <c r="I47">
        <f ca="1"/>
        <v>2.2000000000000002</v>
      </c>
      <c r="J47">
        <f ca="1"/>
        <v>1.1309999999999882</v>
      </c>
      <c r="K47">
        <f ca="1"/>
        <v>1.1540000000000008</v>
      </c>
      <c r="L47">
        <f ca="1"/>
        <v>101.60299999999999</v>
      </c>
      <c r="M47">
        <f ca="1"/>
        <v>101.568</v>
      </c>
      <c r="N47" t="str">
        <f ca="1"/>
        <v>EG8573362</v>
      </c>
      <c r="O47" t="str">
        <f ca="1"/>
        <v>JP1200971792</v>
      </c>
      <c r="P47" t="str">
        <f ca="1"/>
        <v>A+</v>
      </c>
      <c r="Q47" s="3">
        <f ca="1"/>
        <v>39345</v>
      </c>
      <c r="R47" s="4">
        <f ca="1"/>
        <v>46101</v>
      </c>
      <c r="S47" s="4">
        <f ca="1"/>
        <v>1.4757015742642026</v>
      </c>
      <c r="T47">
        <f ca="1"/>
        <v>101.5855</v>
      </c>
      <c r="U47">
        <f ca="1"/>
        <v>120</v>
      </c>
      <c r="V47">
        <f ca="1"/>
        <v>1</v>
      </c>
      <c r="W47">
        <f ca="1"/>
        <v>19</v>
      </c>
      <c r="X47">
        <f ca="1"/>
        <v>2.308791208791209</v>
      </c>
      <c r="Y47">
        <f ca="1"/>
        <v>99.27670879120879</v>
      </c>
      <c r="Z47">
        <f ca="1"/>
        <v>1.1424999999999945</v>
      </c>
    </row>
    <row r="48" spans="1:26" x14ac:dyDescent="0.35">
      <c r="A48" t="str">
        <f ca="1"/>
        <v>EH063365 Corp</v>
      </c>
      <c r="B48" t="str">
        <f ca="1"/>
        <v>Japan Government Twenty Year Bond</v>
      </c>
      <c r="C48" t="str">
        <f ca="1"/>
        <v>JGB</v>
      </c>
      <c r="D48" t="str">
        <f ca="1"/>
        <v>JP</v>
      </c>
      <c r="E48" t="str">
        <f ca="1"/>
        <v>JPY</v>
      </c>
      <c r="F48" t="str">
        <f ca="1"/>
        <v>20/09/2027</v>
      </c>
      <c r="G48" t="str">
        <f ca="1"/>
        <v>FIXED</v>
      </c>
      <c r="H48">
        <f ca="1"/>
        <v>2</v>
      </c>
      <c r="I48">
        <f ca="1"/>
        <v>2.1</v>
      </c>
      <c r="J48">
        <f ca="1"/>
        <v>1.1299999999999901</v>
      </c>
      <c r="K48">
        <f ca="1"/>
        <v>1.1530000000000036</v>
      </c>
      <c r="L48">
        <f ca="1"/>
        <v>101.455</v>
      </c>
      <c r="M48">
        <f ca="1"/>
        <v>101.42</v>
      </c>
      <c r="N48" t="str">
        <f ca="1"/>
        <v>EH0633659</v>
      </c>
      <c r="O48" t="str">
        <f ca="1"/>
        <v>JP12009817B7</v>
      </c>
      <c r="P48" t="str">
        <f ca="1"/>
        <v>A+</v>
      </c>
      <c r="Q48" s="3">
        <f ca="1"/>
        <v>39407</v>
      </c>
      <c r="R48" s="4">
        <f ca="1"/>
        <v>46101</v>
      </c>
      <c r="S48" s="4">
        <f ca="1"/>
        <v>1.4757015742642026</v>
      </c>
      <c r="T48">
        <f ca="1"/>
        <v>101.4375</v>
      </c>
      <c r="U48">
        <f ca="1"/>
        <v>123</v>
      </c>
      <c r="V48">
        <f ca="1"/>
        <v>1</v>
      </c>
      <c r="W48">
        <f ca="1"/>
        <v>19</v>
      </c>
      <c r="X48">
        <f ca="1"/>
        <v>2.203846153846154</v>
      </c>
      <c r="Y48">
        <f ca="1"/>
        <v>99.233653846153842</v>
      </c>
      <c r="Z48">
        <f ca="1"/>
        <v>1.1414999999999969</v>
      </c>
    </row>
    <row r="49" spans="1:26" x14ac:dyDescent="0.35">
      <c r="A49" t="str">
        <f ca="1"/>
        <v>YK553774 Corp</v>
      </c>
      <c r="B49" t="str">
        <f ca="1"/>
        <v>Japan Government Two Year Bond</v>
      </c>
      <c r="C49" t="str">
        <f ca="1"/>
        <v>JGB</v>
      </c>
      <c r="D49" t="str">
        <f ca="1"/>
        <v>JP</v>
      </c>
      <c r="E49" t="str">
        <f ca="1"/>
        <v>JPY</v>
      </c>
      <c r="F49" t="str">
        <f ca="1"/>
        <v>01/10/2027</v>
      </c>
      <c r="G49" t="str">
        <f ca="1"/>
        <v>FIXED</v>
      </c>
      <c r="H49">
        <f ca="1"/>
        <v>2</v>
      </c>
      <c r="I49">
        <f ca="1"/>
        <v>1</v>
      </c>
      <c r="J49">
        <f ca="1"/>
        <v>1.1509999999982763</v>
      </c>
      <c r="K49">
        <f ca="1"/>
        <v>1.1709999999974416</v>
      </c>
      <c r="L49">
        <f ca="1"/>
        <v>99.769000000000005</v>
      </c>
      <c r="M49">
        <f ca="1"/>
        <v>99.738</v>
      </c>
      <c r="N49" t="str">
        <f ca="1"/>
        <v>YK5537740</v>
      </c>
      <c r="O49" t="str">
        <f ca="1"/>
        <v>JP1024771RA8</v>
      </c>
      <c r="P49" t="str">
        <f ca="1"/>
        <v>A+</v>
      </c>
      <c r="Q49" s="3">
        <f ca="1"/>
        <v>45922</v>
      </c>
      <c r="R49" s="4">
        <f ca="1"/>
        <v>46113</v>
      </c>
      <c r="S49" s="4">
        <f ca="1"/>
        <v>1.5058179329226558</v>
      </c>
      <c r="T49">
        <f ca="1"/>
        <v>99.753500000000003</v>
      </c>
      <c r="U49">
        <f ca="1"/>
        <v>228</v>
      </c>
      <c r="V49">
        <f ca="1"/>
        <v>1.5</v>
      </c>
      <c r="W49">
        <f ca="1"/>
        <v>1</v>
      </c>
      <c r="X49">
        <f ca="1"/>
        <v>0.98901098901098905</v>
      </c>
      <c r="Y49">
        <f ca="1"/>
        <v>98.76448901098901</v>
      </c>
      <c r="Z49">
        <f ca="1"/>
        <v>1.1609999999978591</v>
      </c>
    </row>
    <row r="50" spans="1:26" x14ac:dyDescent="0.35">
      <c r="A50" t="str">
        <f ca="1"/>
        <v>YJ827109 Corp</v>
      </c>
      <c r="B50" t="str">
        <f ca="1"/>
        <v>Japan Government Two Year Bond</v>
      </c>
      <c r="C50" t="str">
        <f ca="1"/>
        <v>JGB</v>
      </c>
      <c r="D50" t="str">
        <f ca="1"/>
        <v>JP</v>
      </c>
      <c r="E50" t="str">
        <f ca="1"/>
        <v>JPY</v>
      </c>
      <c r="F50" t="str">
        <f ca="1"/>
        <v>01/11/2027</v>
      </c>
      <c r="G50" t="str">
        <f ca="1"/>
        <v>FIXED</v>
      </c>
      <c r="H50">
        <f ca="1"/>
        <v>2</v>
      </c>
      <c r="I50">
        <f ca="1"/>
        <v>1</v>
      </c>
      <c r="J50">
        <f ca="1"/>
        <v>1.1679999999976978</v>
      </c>
      <c r="K50">
        <f ca="1"/>
        <v>1.1869999999967396</v>
      </c>
      <c r="L50">
        <f ca="1"/>
        <v>99.728999999999999</v>
      </c>
      <c r="M50">
        <f ca="1"/>
        <v>99.697999999999993</v>
      </c>
      <c r="N50" t="str">
        <f ca="1"/>
        <v>YJ8271092</v>
      </c>
      <c r="O50" t="str">
        <f ca="1"/>
        <v>JP1024781RB5</v>
      </c>
      <c r="P50" t="str">
        <f ca="1"/>
        <v>A+</v>
      </c>
      <c r="Q50" s="3">
        <f ca="1"/>
        <v>45954</v>
      </c>
      <c r="R50" s="4">
        <f ca="1"/>
        <v>46143</v>
      </c>
      <c r="S50" s="4">
        <f ca="1"/>
        <v>1.5906913073237507</v>
      </c>
      <c r="T50">
        <f ca="1"/>
        <v>99.713499999999996</v>
      </c>
      <c r="U50">
        <f ca="1"/>
        <v>226</v>
      </c>
      <c r="V50">
        <f ca="1"/>
        <v>1.5</v>
      </c>
      <c r="W50">
        <f ca="1"/>
        <v>1</v>
      </c>
      <c r="X50">
        <f ca="1"/>
        <v>0.81868131868131866</v>
      </c>
      <c r="Y50">
        <f ca="1"/>
        <v>98.894818681318682</v>
      </c>
      <c r="Z50">
        <f ca="1"/>
        <v>1.1774999999972187</v>
      </c>
    </row>
    <row r="51" spans="1:26" x14ac:dyDescent="0.35">
      <c r="A51" t="str">
        <f ca="1"/>
        <v>DA962213 Corp</v>
      </c>
      <c r="B51" t="str">
        <f ca="1"/>
        <v>Japan Government Two Year Bond</v>
      </c>
      <c r="C51" t="str">
        <f ca="1"/>
        <v>JGB</v>
      </c>
      <c r="D51" t="str">
        <f ca="1"/>
        <v>JP</v>
      </c>
      <c r="E51" t="str">
        <f ca="1"/>
        <v>JPY</v>
      </c>
      <c r="F51" t="str">
        <f ca="1"/>
        <v>01/12/2027</v>
      </c>
      <c r="G51" t="str">
        <f ca="1"/>
        <v>FIXED</v>
      </c>
      <c r="H51">
        <f ca="1"/>
        <v>2</v>
      </c>
      <c r="I51">
        <f ca="1"/>
        <v>1</v>
      </c>
      <c r="J51">
        <f ca="1"/>
        <v>1.1809999999972578</v>
      </c>
      <c r="K51">
        <f ca="1"/>
        <v>1.2009999999961727</v>
      </c>
      <c r="L51">
        <f ca="1"/>
        <v>99.694000000000003</v>
      </c>
      <c r="M51">
        <f ca="1"/>
        <v>99.66</v>
      </c>
      <c r="N51" t="str">
        <f ca="1"/>
        <v>DA9622139</v>
      </c>
      <c r="O51" t="str">
        <f ca="1"/>
        <v>JP1024791RC2</v>
      </c>
      <c r="P51" t="str">
        <f ca="1"/>
        <v>A+</v>
      </c>
      <c r="Q51" s="3">
        <f ca="1"/>
        <v>45982</v>
      </c>
      <c r="R51" s="4">
        <f ca="1"/>
        <v>46174</v>
      </c>
      <c r="S51" s="4">
        <f ca="1"/>
        <v>1.6728268309377139</v>
      </c>
      <c r="T51">
        <f ca="1"/>
        <v>99.676999999999992</v>
      </c>
      <c r="U51">
        <f ca="1"/>
        <v>76</v>
      </c>
      <c r="V51">
        <f ca="1"/>
        <v>1.5</v>
      </c>
      <c r="W51">
        <f ca="1"/>
        <v>1</v>
      </c>
      <c r="X51">
        <f ca="1"/>
        <v>0.65384615384615385</v>
      </c>
      <c r="Y51">
        <f ca="1"/>
        <v>99.023153846153832</v>
      </c>
      <c r="Z51">
        <f ca="1"/>
        <v>1.1909999999967154</v>
      </c>
    </row>
    <row r="52" spans="1:26" x14ac:dyDescent="0.35">
      <c r="A52" t="str">
        <f ca="1"/>
        <v>AQ307103 Corp</v>
      </c>
      <c r="B52" t="str">
        <f ca="1"/>
        <v>Japan Government Ten Year Bond</v>
      </c>
      <c r="C52" t="str">
        <f ca="1"/>
        <v>JGB</v>
      </c>
      <c r="D52" t="str">
        <f ca="1"/>
        <v>JP</v>
      </c>
      <c r="E52" t="str">
        <f ca="1"/>
        <v>JPY</v>
      </c>
      <c r="F52" t="str">
        <f ca="1"/>
        <v>20/12/2027</v>
      </c>
      <c r="G52" t="str">
        <f ca="1"/>
        <v>FIXED</v>
      </c>
      <c r="H52">
        <f ca="1"/>
        <v>2</v>
      </c>
      <c r="I52">
        <f ca="1"/>
        <v>0.1</v>
      </c>
      <c r="J52">
        <f ca="1"/>
        <v>1.1779999999999933</v>
      </c>
      <c r="K52">
        <f ca="1"/>
        <v>1.2019999999999986</v>
      </c>
      <c r="L52">
        <f ca="1"/>
        <v>98.125</v>
      </c>
      <c r="M52">
        <f ca="1"/>
        <v>98.084000000000003</v>
      </c>
      <c r="N52" t="str">
        <f ca="1"/>
        <v>AQ3071034</v>
      </c>
      <c r="O52" t="str">
        <f ca="1"/>
        <v>JP1103491HC4</v>
      </c>
      <c r="P52" t="str">
        <f ca="1"/>
        <v>A+</v>
      </c>
      <c r="Q52" s="3">
        <f ca="1"/>
        <v>43074</v>
      </c>
      <c r="R52" s="4">
        <f ca="1"/>
        <v>46193</v>
      </c>
      <c r="S52" s="4">
        <f ca="1"/>
        <v>1.7248459958932238</v>
      </c>
      <c r="T52">
        <f ca="1"/>
        <v>98.104500000000002</v>
      </c>
      <c r="U52">
        <f ca="1"/>
        <v>14</v>
      </c>
      <c r="V52">
        <f ca="1"/>
        <v>1.5</v>
      </c>
      <c r="W52">
        <f ca="1"/>
        <v>9</v>
      </c>
      <c r="X52">
        <f ca="1"/>
        <v>5.4945054945054951E-2</v>
      </c>
      <c r="Y52">
        <f ca="1"/>
        <v>98.04955494505495</v>
      </c>
      <c r="Z52">
        <f ca="1"/>
        <v>1.1899999999999959</v>
      </c>
    </row>
    <row r="53" spans="1:26" x14ac:dyDescent="0.35">
      <c r="A53" t="str">
        <f ca="1"/>
        <v>EH131379 Corp</v>
      </c>
      <c r="B53" t="str">
        <f ca="1"/>
        <v>Japan Government Twenty Year Bond</v>
      </c>
      <c r="C53" t="str">
        <f ca="1"/>
        <v>JGB</v>
      </c>
      <c r="D53" t="str">
        <f ca="1"/>
        <v>JP</v>
      </c>
      <c r="E53" t="str">
        <f ca="1"/>
        <v>JPY</v>
      </c>
      <c r="F53" t="str">
        <f ca="1"/>
        <v>20/12/2027</v>
      </c>
      <c r="G53" t="str">
        <f ca="1"/>
        <v>FIXED</v>
      </c>
      <c r="H53">
        <f ca="1"/>
        <v>2</v>
      </c>
      <c r="I53">
        <f ca="1"/>
        <v>2.1</v>
      </c>
      <c r="J53">
        <f ca="1"/>
        <v>1.1690000005561345</v>
      </c>
      <c r="K53">
        <f ca="1"/>
        <v>1.1910000005101067</v>
      </c>
      <c r="L53">
        <f ca="1"/>
        <v>101.619</v>
      </c>
      <c r="M53">
        <f ca="1"/>
        <v>101.58</v>
      </c>
      <c r="N53" t="str">
        <f ca="1"/>
        <v>EH1313798</v>
      </c>
      <c r="O53" t="str">
        <f ca="1"/>
        <v>JP12009917C3</v>
      </c>
      <c r="P53" t="str">
        <f ca="1"/>
        <v>A+</v>
      </c>
      <c r="Q53" s="3">
        <f ca="1"/>
        <v>39434</v>
      </c>
      <c r="R53" s="4">
        <f ca="1"/>
        <v>46193</v>
      </c>
      <c r="S53" s="4">
        <f ca="1"/>
        <v>1.7248459958932238</v>
      </c>
      <c r="T53">
        <f ca="1"/>
        <v>101.59950000000001</v>
      </c>
      <c r="U53">
        <f ca="1"/>
        <v>124</v>
      </c>
      <c r="V53">
        <f ca="1"/>
        <v>1.5</v>
      </c>
      <c r="W53">
        <f ca="1"/>
        <v>19</v>
      </c>
      <c r="X53">
        <f ca="1"/>
        <v>1.153846153846154</v>
      </c>
      <c r="Y53">
        <f ca="1"/>
        <v>100.44565384615385</v>
      </c>
      <c r="Z53">
        <f ca="1"/>
        <v>1.1800000005331206</v>
      </c>
    </row>
    <row r="54" spans="1:26" x14ac:dyDescent="0.35">
      <c r="A54" t="str">
        <f ca="1"/>
        <v>ZL113533 Corp</v>
      </c>
      <c r="B54" t="str">
        <f ca="1"/>
        <v>Japan Government Five Year Bond</v>
      </c>
      <c r="C54" t="str">
        <f ca="1"/>
        <v>JGB</v>
      </c>
      <c r="D54" t="str">
        <f ca="1"/>
        <v>JP</v>
      </c>
      <c r="E54" t="str">
        <f ca="1"/>
        <v>JPY</v>
      </c>
      <c r="F54" t="str">
        <f ca="1"/>
        <v>20/12/2027</v>
      </c>
      <c r="G54" t="str">
        <f ca="1"/>
        <v>FIXED</v>
      </c>
      <c r="H54">
        <f ca="1"/>
        <v>2</v>
      </c>
      <c r="I54">
        <f ca="1"/>
        <v>0.2</v>
      </c>
      <c r="J54">
        <f ca="1"/>
        <v>1.1789999999999872</v>
      </c>
      <c r="K54">
        <f ca="1"/>
        <v>1.2040000000000017</v>
      </c>
      <c r="L54">
        <f ca="1"/>
        <v>98.296999999999997</v>
      </c>
      <c r="M54">
        <f ca="1"/>
        <v>98.254000000000005</v>
      </c>
      <c r="N54" t="str">
        <f ca="1"/>
        <v>ZL1135330</v>
      </c>
      <c r="O54" t="str">
        <f ca="1"/>
        <v>JP1051561P27</v>
      </c>
      <c r="P54" t="str">
        <f ca="1"/>
        <v>A+</v>
      </c>
      <c r="Q54" s="3">
        <f ca="1"/>
        <v>44966</v>
      </c>
      <c r="R54" s="4">
        <f ca="1"/>
        <v>46193</v>
      </c>
      <c r="S54" s="4">
        <f ca="1"/>
        <v>1.7248459958932238</v>
      </c>
      <c r="T54">
        <f ca="1"/>
        <v>98.275499999999994</v>
      </c>
      <c r="U54">
        <f ca="1"/>
        <v>311</v>
      </c>
      <c r="V54">
        <f ca="1"/>
        <v>1.5</v>
      </c>
      <c r="W54">
        <f ca="1"/>
        <v>3</v>
      </c>
      <c r="X54">
        <f ca="1"/>
        <v>0.1098901098901099</v>
      </c>
      <c r="Y54">
        <f ca="1"/>
        <v>98.165609890109877</v>
      </c>
      <c r="Z54">
        <f ca="1"/>
        <v>1.1914999999999945</v>
      </c>
    </row>
    <row r="55" spans="1:26" x14ac:dyDescent="0.35">
      <c r="A55" t="str">
        <f ca="1"/>
        <v>ZM445143 Corp</v>
      </c>
      <c r="B55" t="str">
        <f ca="1"/>
        <v>Japan Government Five Year Bond</v>
      </c>
      <c r="C55" t="str">
        <f ca="1"/>
        <v>JGB</v>
      </c>
      <c r="D55" t="str">
        <f ca="1"/>
        <v>JP</v>
      </c>
      <c r="E55" t="str">
        <f ca="1"/>
        <v>JPY</v>
      </c>
      <c r="F55" t="str">
        <f ca="1"/>
        <v>20/12/2027</v>
      </c>
      <c r="G55" t="str">
        <f ca="1"/>
        <v>FIXED</v>
      </c>
      <c r="H55">
        <f ca="1"/>
        <v>2</v>
      </c>
      <c r="I55">
        <f ca="1"/>
        <v>0.3</v>
      </c>
      <c r="J55">
        <f ca="1"/>
        <v>1.1819999994167807</v>
      </c>
      <c r="K55">
        <f ca="1"/>
        <v>1.2059999999999877</v>
      </c>
      <c r="L55">
        <f ca="1"/>
        <v>98.465999999999994</v>
      </c>
      <c r="M55">
        <f ca="1"/>
        <v>98.424999999999997</v>
      </c>
      <c r="N55" t="str">
        <f ca="1"/>
        <v>ZM4451435</v>
      </c>
      <c r="O55" t="str">
        <f ca="1"/>
        <v>JP1051551P11</v>
      </c>
      <c r="P55" t="str">
        <f ca="1"/>
        <v>A+</v>
      </c>
      <c r="Q55" s="3">
        <f ca="1"/>
        <v>44932</v>
      </c>
      <c r="R55" s="4">
        <f ca="1"/>
        <v>46193</v>
      </c>
      <c r="S55" s="4">
        <f ca="1"/>
        <v>1.7248459958932238</v>
      </c>
      <c r="T55">
        <f ca="1"/>
        <v>98.445499999999996</v>
      </c>
      <c r="U55">
        <f ca="1"/>
        <v>314</v>
      </c>
      <c r="V55">
        <f ca="1"/>
        <v>1.5</v>
      </c>
      <c r="W55">
        <f ca="1"/>
        <v>3</v>
      </c>
      <c r="X55">
        <f ca="1"/>
        <v>0.16483516483516483</v>
      </c>
      <c r="Y55">
        <f ca="1"/>
        <v>98.280664835164828</v>
      </c>
      <c r="Z55">
        <f ca="1"/>
        <v>1.1939999997083843</v>
      </c>
    </row>
    <row r="56" spans="1:26" x14ac:dyDescent="0.35">
      <c r="A56" t="str">
        <f ca="1"/>
        <v>DC578379 Corp</v>
      </c>
      <c r="B56" t="str">
        <f ca="1"/>
        <v>Japan Government Two Year Bond</v>
      </c>
      <c r="C56" t="str">
        <f ca="1"/>
        <v>JGB</v>
      </c>
      <c r="D56" t="str">
        <f ca="1"/>
        <v>JP</v>
      </c>
      <c r="E56" t="str">
        <f ca="1"/>
        <v>JPY</v>
      </c>
      <c r="F56" t="str">
        <f ca="1"/>
        <v>01/01/2028</v>
      </c>
      <c r="G56" t="str">
        <f ca="1"/>
        <v>FIXED</v>
      </c>
      <c r="H56">
        <f ca="1"/>
        <v>2</v>
      </c>
      <c r="I56">
        <f ca="1"/>
        <v>1.1000000000000001</v>
      </c>
      <c r="J56">
        <f ca="1"/>
        <v>1.1979999999996318</v>
      </c>
      <c r="K56">
        <f ca="1"/>
        <v>1.2199999999993183</v>
      </c>
      <c r="L56">
        <f ca="1"/>
        <v>99.825999999999993</v>
      </c>
      <c r="M56">
        <f ca="1"/>
        <v>99.787000000000006</v>
      </c>
      <c r="N56" t="str">
        <f ca="1"/>
        <v>DC5783790</v>
      </c>
      <c r="O56" t="str">
        <f ca="1"/>
        <v>JP1024801S13</v>
      </c>
      <c r="P56" t="str">
        <f ca="1"/>
        <v>A+</v>
      </c>
      <c r="Q56" s="3">
        <f ca="1"/>
        <v>46009</v>
      </c>
      <c r="R56" s="4">
        <f ca="1"/>
        <v>46204</v>
      </c>
      <c r="S56" s="4">
        <f ca="1"/>
        <v>1.7577002053388091</v>
      </c>
      <c r="T56">
        <f ca="1"/>
        <v>99.8065</v>
      </c>
      <c r="U56">
        <f ca="1"/>
        <v>78</v>
      </c>
      <c r="V56">
        <f ca="1"/>
        <v>1.5</v>
      </c>
      <c r="W56">
        <f ca="1"/>
        <v>1</v>
      </c>
      <c r="X56">
        <f ca="1"/>
        <v>0.53186813186813187</v>
      </c>
      <c r="Y56">
        <f ca="1"/>
        <v>99.274631868131863</v>
      </c>
      <c r="Z56">
        <f ca="1"/>
        <v>1.2089999999994752</v>
      </c>
    </row>
    <row r="57" spans="1:26" x14ac:dyDescent="0.35">
      <c r="A57" t="str">
        <f ca="1"/>
        <v>YI570831 Corp</v>
      </c>
      <c r="B57" t="str">
        <f ca="1"/>
        <v>Japan Government Two Year Bond</v>
      </c>
      <c r="C57" t="str">
        <f ca="1"/>
        <v>JGB</v>
      </c>
      <c r="D57" t="str">
        <f ca="1"/>
        <v>JP</v>
      </c>
      <c r="E57" t="str">
        <f ca="1"/>
        <v>JPY</v>
      </c>
      <c r="F57" t="str">
        <f ca="1"/>
        <v>01/02/2028</v>
      </c>
      <c r="G57" t="str">
        <f ca="1"/>
        <v>FIXED</v>
      </c>
      <c r="H57">
        <f ca="1"/>
        <v>2</v>
      </c>
      <c r="I57">
        <f ca="1"/>
        <v>1.3</v>
      </c>
      <c r="J57">
        <f ca="1"/>
        <v>1.2180000000001769</v>
      </c>
      <c r="K57">
        <f ca="1"/>
        <v>1.2410000000000623</v>
      </c>
      <c r="L57">
        <f ca="1"/>
        <v>100.151</v>
      </c>
      <c r="M57">
        <f ca="1"/>
        <v>100.10899999999999</v>
      </c>
      <c r="N57" t="str">
        <f ca="1"/>
        <v>YI5708312</v>
      </c>
      <c r="O57" t="str">
        <f ca="1"/>
        <v>JP1024811S29</v>
      </c>
      <c r="P57" t="str">
        <f ca="1"/>
        <v>A+</v>
      </c>
      <c r="Q57" s="3">
        <f ca="1"/>
        <v>46045</v>
      </c>
      <c r="R57" s="4">
        <f ca="1"/>
        <v>46235</v>
      </c>
      <c r="S57" s="4">
        <f ca="1"/>
        <v>1.8425735797399041</v>
      </c>
      <c r="T57">
        <f ca="1"/>
        <v>100.13</v>
      </c>
      <c r="U57">
        <f ca="1"/>
        <v>223</v>
      </c>
      <c r="V57">
        <f ca="1"/>
        <v>1.5</v>
      </c>
      <c r="W57">
        <f ca="1"/>
        <v>0</v>
      </c>
      <c r="X57">
        <f ca="1"/>
        <v>0.40714285714285714</v>
      </c>
      <c r="Y57">
        <f ca="1"/>
        <v>99.722857142857137</v>
      </c>
      <c r="Z57">
        <f ca="1"/>
        <v>1.2295000000001197</v>
      </c>
    </row>
    <row r="58" spans="1:26" x14ac:dyDescent="0.35">
      <c r="A58" t="str">
        <f ca="1"/>
        <v>DF972719 Corp</v>
      </c>
      <c r="B58" t="str">
        <f ca="1"/>
        <v>Japan Government Two Year Bond</v>
      </c>
      <c r="C58" t="str">
        <f ca="1"/>
        <v>JGB</v>
      </c>
      <c r="D58" t="str">
        <f ca="1"/>
        <v>JP</v>
      </c>
      <c r="E58" t="str">
        <f ca="1"/>
        <v>JPY</v>
      </c>
      <c r="F58" t="str">
        <f ca="1"/>
        <v>01/03/2028</v>
      </c>
      <c r="G58" t="str">
        <f ca="1"/>
        <v>FIXED</v>
      </c>
      <c r="H58">
        <f ca="1"/>
        <v>2</v>
      </c>
      <c r="I58">
        <f ca="1"/>
        <v>1.3</v>
      </c>
      <c r="J58">
        <f ca="1"/>
        <v>1.2350000000000778</v>
      </c>
      <c r="K58">
        <f ca="1"/>
        <v>1.2550000000000199</v>
      </c>
      <c r="L58">
        <f ca="1"/>
        <v>100.125</v>
      </c>
      <c r="M58">
        <f ca="1"/>
        <v>100.086</v>
      </c>
      <c r="N58" t="str">
        <f ca="1"/>
        <v>DF9727192</v>
      </c>
      <c r="O58" t="str">
        <f ca="1"/>
        <v>JP1024821S35</v>
      </c>
      <c r="P58" t="str">
        <f ca="1"/>
        <v>NR</v>
      </c>
      <c r="Q58" s="3">
        <f ca="1"/>
        <v>46073</v>
      </c>
      <c r="R58" s="4">
        <f ca="1"/>
        <v>46266</v>
      </c>
      <c r="S58" s="4">
        <f ca="1"/>
        <v>1.9219712525667352</v>
      </c>
      <c r="T58">
        <f ca="1"/>
        <v>100.10550000000001</v>
      </c>
      <c r="U58">
        <f ca="1"/>
        <v>81</v>
      </c>
      <c r="V58">
        <f ca="1"/>
        <v>1.5</v>
      </c>
      <c r="W58">
        <f ca="1"/>
        <v>0</v>
      </c>
      <c r="X58">
        <f ca="1"/>
        <v>0.20714285714285713</v>
      </c>
      <c r="Y58">
        <f ca="1"/>
        <v>99.898357142857151</v>
      </c>
      <c r="Z58">
        <f ca="1"/>
        <v>1.245000000000049</v>
      </c>
    </row>
    <row r="59" spans="1:26" x14ac:dyDescent="0.35">
      <c r="A59" t="str">
        <f ca="1"/>
        <v>AR545005 Corp</v>
      </c>
      <c r="B59" t="str">
        <f ca="1"/>
        <v>Japan Government Ten Year Bond</v>
      </c>
      <c r="C59" t="str">
        <f ca="1"/>
        <v>JGB</v>
      </c>
      <c r="D59" t="str">
        <f ca="1"/>
        <v>JP</v>
      </c>
      <c r="E59" t="str">
        <f ca="1"/>
        <v>JPY</v>
      </c>
      <c r="F59" t="str">
        <f ca="1"/>
        <v>20/03/2028</v>
      </c>
      <c r="G59" t="str">
        <f ca="1"/>
        <v>FIXED</v>
      </c>
      <c r="H59">
        <f ca="1"/>
        <v>2</v>
      </c>
      <c r="I59">
        <f ca="1"/>
        <v>0.1</v>
      </c>
      <c r="J59">
        <f ca="1"/>
        <v>1.2129999999999999</v>
      </c>
      <c r="K59">
        <f ca="1"/>
        <v>1.2359999999999975</v>
      </c>
      <c r="L59">
        <f ca="1"/>
        <v>97.802999999999997</v>
      </c>
      <c r="M59">
        <f ca="1"/>
        <v>97.759</v>
      </c>
      <c r="N59" t="str">
        <f ca="1"/>
        <v>AR5450051</v>
      </c>
      <c r="O59" t="str">
        <f ca="1"/>
        <v>JP1103501J35</v>
      </c>
      <c r="P59" t="str">
        <f ca="1"/>
        <v>A+</v>
      </c>
      <c r="Q59" s="3">
        <f ca="1"/>
        <v>43160</v>
      </c>
      <c r="R59" s="4">
        <f ca="1"/>
        <v>46101</v>
      </c>
      <c r="S59" s="4">
        <f ca="1"/>
        <v>1.9739904175222451</v>
      </c>
      <c r="T59">
        <f ca="1"/>
        <v>97.781000000000006</v>
      </c>
      <c r="U59">
        <f ca="1"/>
        <v>17</v>
      </c>
      <c r="V59">
        <f ca="1"/>
        <v>1.5</v>
      </c>
      <c r="W59">
        <f ca="1"/>
        <v>8</v>
      </c>
      <c r="X59">
        <f ca="1"/>
        <v>0.10494505494505496</v>
      </c>
      <c r="Y59">
        <f ca="1"/>
        <v>97.676054945054958</v>
      </c>
      <c r="Z59">
        <f ca="1"/>
        <v>1.2244999999999986</v>
      </c>
    </row>
    <row r="60" spans="1:26" x14ac:dyDescent="0.35">
      <c r="A60" t="str">
        <f ca="1"/>
        <v>EH269031 Corp</v>
      </c>
      <c r="B60" t="str">
        <f ca="1"/>
        <v>Japan Government Twenty Year Bond</v>
      </c>
      <c r="C60" t="str">
        <f ca="1"/>
        <v>JGB</v>
      </c>
      <c r="D60" t="str">
        <f ca="1"/>
        <v>JP</v>
      </c>
      <c r="E60" t="str">
        <f ca="1"/>
        <v>JPY</v>
      </c>
      <c r="F60" t="str">
        <f ca="1"/>
        <v>20/03/2028</v>
      </c>
      <c r="G60" t="str">
        <f ca="1"/>
        <v>FIXED</v>
      </c>
      <c r="H60">
        <f ca="1"/>
        <v>2</v>
      </c>
      <c r="I60">
        <f ca="1"/>
        <v>2.2000000000000002</v>
      </c>
      <c r="J60">
        <f ca="1"/>
        <v>1.195000000000001</v>
      </c>
      <c r="K60">
        <f ca="1"/>
        <v>1.2179999999999833</v>
      </c>
      <c r="L60">
        <f ca="1"/>
        <v>101.98399999999999</v>
      </c>
      <c r="M60">
        <f ca="1"/>
        <v>101.937</v>
      </c>
      <c r="N60" t="str">
        <f ca="1"/>
        <v>EH2690319</v>
      </c>
      <c r="O60" t="str">
        <f ca="1"/>
        <v>JP1201001839</v>
      </c>
      <c r="P60" t="str">
        <f ca="1"/>
        <v>A+</v>
      </c>
      <c r="Q60" s="3">
        <f ca="1"/>
        <v>39525</v>
      </c>
      <c r="R60" s="4">
        <f ca="1"/>
        <v>46101</v>
      </c>
      <c r="S60" s="4">
        <f ca="1"/>
        <v>1.9739904175222451</v>
      </c>
      <c r="T60">
        <f ca="1"/>
        <v>101.9605</v>
      </c>
      <c r="U60">
        <f ca="1"/>
        <v>125</v>
      </c>
      <c r="V60">
        <f ca="1"/>
        <v>1.5</v>
      </c>
      <c r="W60">
        <f ca="1"/>
        <v>18</v>
      </c>
      <c r="X60">
        <f ca="1"/>
        <v>2.308791208791209</v>
      </c>
      <c r="Y60">
        <f ca="1"/>
        <v>99.65170879120879</v>
      </c>
      <c r="Z60">
        <f ca="1"/>
        <v>1.2064999999999921</v>
      </c>
    </row>
    <row r="61" spans="1:26" x14ac:dyDescent="0.35">
      <c r="A61" t="str">
        <f ca="1"/>
        <v>EH385409 Corp</v>
      </c>
      <c r="B61" t="str">
        <f ca="1"/>
        <v>Japan Government Twenty Year Bond</v>
      </c>
      <c r="C61" t="str">
        <f ca="1"/>
        <v>JGB</v>
      </c>
      <c r="D61" t="str">
        <f ca="1"/>
        <v>JP</v>
      </c>
      <c r="E61" t="str">
        <f ca="1"/>
        <v>JPY</v>
      </c>
      <c r="F61" t="str">
        <f ca="1"/>
        <v>20/03/2028</v>
      </c>
      <c r="G61" t="str">
        <f ca="1"/>
        <v>FIXED</v>
      </c>
      <c r="H61">
        <f ca="1"/>
        <v>2</v>
      </c>
      <c r="I61">
        <f ca="1"/>
        <v>2.4</v>
      </c>
      <c r="J61">
        <f ca="1"/>
        <v>1.192999999999989</v>
      </c>
      <c r="K61">
        <f ca="1"/>
        <v>1.2149999999999852</v>
      </c>
      <c r="L61">
        <f ca="1"/>
        <v>102.38200000000001</v>
      </c>
      <c r="M61">
        <f ca="1"/>
        <v>102.33799999999999</v>
      </c>
      <c r="N61" t="str">
        <f ca="1"/>
        <v>EH3854096</v>
      </c>
      <c r="O61" t="str">
        <f ca="1"/>
        <v>JP1201011853</v>
      </c>
      <c r="P61" t="str">
        <f ca="1"/>
        <v>A+</v>
      </c>
      <c r="Q61" s="3">
        <f ca="1"/>
        <v>39595</v>
      </c>
      <c r="R61" s="4">
        <f ca="1"/>
        <v>46101</v>
      </c>
      <c r="S61" s="4">
        <f ca="1"/>
        <v>1.9739904175222451</v>
      </c>
      <c r="T61">
        <f ca="1"/>
        <v>102.36</v>
      </c>
      <c r="U61">
        <f ca="1"/>
        <v>127</v>
      </c>
      <c r="V61">
        <f ca="1"/>
        <v>1.5</v>
      </c>
      <c r="W61">
        <f ca="1"/>
        <v>18</v>
      </c>
      <c r="X61">
        <f ca="1"/>
        <v>2.5186813186813186</v>
      </c>
      <c r="Y61">
        <f ca="1"/>
        <v>99.841318681318683</v>
      </c>
      <c r="Z61">
        <f ca="1"/>
        <v>1.2039999999999871</v>
      </c>
    </row>
    <row r="62" spans="1:26" x14ac:dyDescent="0.35">
      <c r="A62" t="str">
        <f ca="1"/>
        <v>ZK140252 Corp</v>
      </c>
      <c r="B62" t="str">
        <f ca="1"/>
        <v>Japan Government Five Year Bond</v>
      </c>
      <c r="C62" t="str">
        <f ca="1"/>
        <v>JGB</v>
      </c>
      <c r="D62" t="str">
        <f ca="1"/>
        <v>JP</v>
      </c>
      <c r="E62" t="str">
        <f ca="1"/>
        <v>JPY</v>
      </c>
      <c r="F62" t="str">
        <f ca="1"/>
        <v>20/03/2028</v>
      </c>
      <c r="G62" t="str">
        <f ca="1"/>
        <v>FIXED</v>
      </c>
      <c r="H62">
        <f ca="1"/>
        <v>2</v>
      </c>
      <c r="I62">
        <f ca="1"/>
        <v>0.2</v>
      </c>
      <c r="J62">
        <f ca="1"/>
        <v>1.215000000000001</v>
      </c>
      <c r="K62">
        <f ca="1"/>
        <v>1.2390000000000001</v>
      </c>
      <c r="L62">
        <f ca="1"/>
        <v>97.995999999999995</v>
      </c>
      <c r="M62">
        <f ca="1"/>
        <v>97.95</v>
      </c>
      <c r="N62" t="str">
        <f ca="1"/>
        <v>ZK1402526</v>
      </c>
      <c r="O62" t="str">
        <f ca="1"/>
        <v>JP1051571P41</v>
      </c>
      <c r="P62" t="str">
        <f ca="1"/>
        <v>A+</v>
      </c>
      <c r="Q62" s="3">
        <f ca="1"/>
        <v>45020</v>
      </c>
      <c r="R62" s="4">
        <f ca="1"/>
        <v>46101</v>
      </c>
      <c r="S62" s="4">
        <f ca="1"/>
        <v>1.9739904175222451</v>
      </c>
      <c r="T62">
        <f ca="1"/>
        <v>97.972999999999999</v>
      </c>
      <c r="U62">
        <f ca="1"/>
        <v>307</v>
      </c>
      <c r="V62">
        <f ca="1"/>
        <v>1.5</v>
      </c>
      <c r="W62">
        <f ca="1"/>
        <v>3</v>
      </c>
      <c r="X62">
        <f ca="1"/>
        <v>0.20989010989010992</v>
      </c>
      <c r="Y62">
        <f ca="1"/>
        <v>97.763109890109888</v>
      </c>
      <c r="Z62">
        <f ca="1"/>
        <v>1.2270000000000005</v>
      </c>
    </row>
    <row r="63" spans="1:26" x14ac:dyDescent="0.35">
      <c r="A63" t="str">
        <f ca="1"/>
        <v>ZK645188 Corp</v>
      </c>
      <c r="B63" t="str">
        <f ca="1"/>
        <v>Japan Government Five Year Bond</v>
      </c>
      <c r="C63" t="str">
        <f ca="1"/>
        <v>JGB</v>
      </c>
      <c r="D63" t="str">
        <f ca="1"/>
        <v>JP</v>
      </c>
      <c r="E63" t="str">
        <f ca="1"/>
        <v>JPY</v>
      </c>
      <c r="F63" t="str">
        <f ca="1"/>
        <v>20/03/2028</v>
      </c>
      <c r="G63" t="str">
        <f ca="1"/>
        <v>FIXED</v>
      </c>
      <c r="H63">
        <f ca="1"/>
        <v>2</v>
      </c>
      <c r="I63">
        <f ca="1"/>
        <v>0.1</v>
      </c>
      <c r="J63">
        <f ca="1"/>
        <v>1.2159999999999946</v>
      </c>
      <c r="K63">
        <f ca="1"/>
        <v>1.2400000000000002</v>
      </c>
      <c r="L63">
        <f ca="1"/>
        <v>97.796999999999997</v>
      </c>
      <c r="M63">
        <f ca="1"/>
        <v>97.751000000000005</v>
      </c>
      <c r="N63" t="str">
        <f ca="1"/>
        <v>ZK6451882</v>
      </c>
      <c r="O63" t="str">
        <f ca="1"/>
        <v>JP1051581P56</v>
      </c>
      <c r="P63" t="str">
        <f ca="1"/>
        <v>A+</v>
      </c>
      <c r="Q63" s="3">
        <f ca="1"/>
        <v>45054</v>
      </c>
      <c r="R63" s="4">
        <f ca="1"/>
        <v>46101</v>
      </c>
      <c r="S63" s="4">
        <f ca="1"/>
        <v>1.9739904175222451</v>
      </c>
      <c r="T63">
        <f ca="1"/>
        <v>97.774000000000001</v>
      </c>
      <c r="U63">
        <f ca="1"/>
        <v>309</v>
      </c>
      <c r="V63">
        <f ca="1"/>
        <v>1.5</v>
      </c>
      <c r="W63">
        <f ca="1"/>
        <v>3</v>
      </c>
      <c r="X63">
        <f ca="1"/>
        <v>0.10494505494505496</v>
      </c>
      <c r="Y63">
        <f ca="1"/>
        <v>97.669054945054953</v>
      </c>
      <c r="Z63">
        <f ca="1"/>
        <v>1.2279999999999975</v>
      </c>
    </row>
    <row r="64" spans="1:26" x14ac:dyDescent="0.35">
      <c r="A64" t="str">
        <f ca="1"/>
        <v>AT427280 Corp</v>
      </c>
      <c r="B64" t="str">
        <f ca="1"/>
        <v>Japan Government Ten Year Bond</v>
      </c>
      <c r="C64" t="str">
        <f ca="1"/>
        <v>JGB</v>
      </c>
      <c r="D64" t="str">
        <f ca="1"/>
        <v>JP</v>
      </c>
      <c r="E64" t="str">
        <f ca="1"/>
        <v>JPY</v>
      </c>
      <c r="F64" t="str">
        <f ca="1"/>
        <v>20/06/2028</v>
      </c>
      <c r="G64" t="str">
        <f ca="1"/>
        <v>FIXED</v>
      </c>
      <c r="H64">
        <f ca="1"/>
        <v>2</v>
      </c>
      <c r="I64">
        <f ca="1"/>
        <v>0.1</v>
      </c>
      <c r="J64">
        <f ca="1"/>
        <v>1.2409999999999946</v>
      </c>
      <c r="K64">
        <f ca="1"/>
        <v>1.2620000000000002</v>
      </c>
      <c r="L64">
        <f ca="1"/>
        <v>97.475999999999999</v>
      </c>
      <c r="M64">
        <f ca="1"/>
        <v>97.430999999999997</v>
      </c>
      <c r="N64" t="str">
        <f ca="1"/>
        <v>AT4272809</v>
      </c>
      <c r="O64" t="str">
        <f ca="1"/>
        <v>JP1103511J74</v>
      </c>
      <c r="P64" t="str">
        <f ca="1"/>
        <v>A+</v>
      </c>
      <c r="Q64" s="3">
        <f ca="1"/>
        <v>43284</v>
      </c>
      <c r="R64" s="4">
        <f ca="1"/>
        <v>46193</v>
      </c>
      <c r="S64" s="4">
        <f ca="1"/>
        <v>2.2258726899383983</v>
      </c>
      <c r="T64">
        <f ca="1"/>
        <v>97.453499999999991</v>
      </c>
      <c r="U64">
        <f ca="1"/>
        <v>21</v>
      </c>
      <c r="V64">
        <f ca="1"/>
        <v>2</v>
      </c>
      <c r="W64">
        <f ca="1"/>
        <v>8</v>
      </c>
      <c r="X64">
        <f ca="1"/>
        <v>5.4945054945054951E-2</v>
      </c>
      <c r="Y64">
        <f ca="1"/>
        <v>97.39855494505494</v>
      </c>
      <c r="Z64">
        <f ca="1"/>
        <v>1.2514999999999974</v>
      </c>
    </row>
    <row r="65" spans="1:26" x14ac:dyDescent="0.35">
      <c r="A65" t="str">
        <f ca="1"/>
        <v>EH423708 Corp</v>
      </c>
      <c r="B65" t="str">
        <f ca="1"/>
        <v>Japan Government Twenty Year Bond</v>
      </c>
      <c r="C65" t="str">
        <f ca="1"/>
        <v>JGB</v>
      </c>
      <c r="D65" t="str">
        <f ca="1"/>
        <v>JP</v>
      </c>
      <c r="E65" t="str">
        <f ca="1"/>
        <v>JPY</v>
      </c>
      <c r="F65" t="str">
        <f ca="1"/>
        <v>20/06/2028</v>
      </c>
      <c r="G65" t="str">
        <f ca="1"/>
        <v>FIXED</v>
      </c>
      <c r="H65">
        <f ca="1"/>
        <v>2</v>
      </c>
      <c r="I65">
        <f ca="1"/>
        <v>2.4</v>
      </c>
      <c r="J65">
        <f ca="1"/>
        <v>1.218000000000002</v>
      </c>
      <c r="K65">
        <f ca="1"/>
        <v>1.2420000000000011</v>
      </c>
      <c r="L65">
        <f ca="1"/>
        <v>102.61499999999999</v>
      </c>
      <c r="M65">
        <f ca="1"/>
        <v>102.56</v>
      </c>
      <c r="N65" t="str">
        <f ca="1"/>
        <v>EH4237085</v>
      </c>
      <c r="O65" t="str">
        <f ca="1"/>
        <v>JP1201021860</v>
      </c>
      <c r="P65" t="str">
        <f ca="1"/>
        <v>A+</v>
      </c>
      <c r="Q65" s="3">
        <f ca="1"/>
        <v>39616</v>
      </c>
      <c r="R65" s="4">
        <f ca="1"/>
        <v>46193</v>
      </c>
      <c r="S65" s="4">
        <f ca="1"/>
        <v>2.2258726899383983</v>
      </c>
      <c r="T65">
        <f ca="1"/>
        <v>102.58750000000001</v>
      </c>
      <c r="U65">
        <f ca="1"/>
        <v>128</v>
      </c>
      <c r="V65">
        <f ca="1"/>
        <v>2</v>
      </c>
      <c r="W65">
        <f ca="1"/>
        <v>18</v>
      </c>
      <c r="X65">
        <f ca="1"/>
        <v>1.3186813186813187</v>
      </c>
      <c r="Y65">
        <f ca="1"/>
        <v>101.26881868131869</v>
      </c>
      <c r="Z65">
        <f ca="1"/>
        <v>1.2300000000000015</v>
      </c>
    </row>
    <row r="66" spans="1:26" x14ac:dyDescent="0.35">
      <c r="A66" t="str">
        <f ca="1"/>
        <v>EH482900 Corp</v>
      </c>
      <c r="B66" t="str">
        <f ca="1"/>
        <v>Japan Government Twenty Year Bond</v>
      </c>
      <c r="C66" t="str">
        <f ca="1"/>
        <v>JGB</v>
      </c>
      <c r="D66" t="str">
        <f ca="1"/>
        <v>JP</v>
      </c>
      <c r="E66" t="str">
        <f ca="1"/>
        <v>JPY</v>
      </c>
      <c r="F66" t="str">
        <f ca="1"/>
        <v>20/06/2028</v>
      </c>
      <c r="G66" t="str">
        <f ca="1"/>
        <v>FIXED</v>
      </c>
      <c r="H66">
        <f ca="1"/>
        <v>2</v>
      </c>
      <c r="I66">
        <f ca="1"/>
        <v>2.2999999999999998</v>
      </c>
      <c r="J66">
        <f ca="1"/>
        <v>1.2189999999999979</v>
      </c>
      <c r="K66">
        <f ca="1"/>
        <v>1.2419999999999962</v>
      </c>
      <c r="L66">
        <f ca="1"/>
        <v>102.39100000000001</v>
      </c>
      <c r="M66">
        <f ca="1"/>
        <v>102.339</v>
      </c>
      <c r="N66" t="str">
        <f ca="1"/>
        <v>EH4829006</v>
      </c>
      <c r="O66" t="str">
        <f ca="1"/>
        <v>JP1201031877</v>
      </c>
      <c r="P66" t="str">
        <f ca="1"/>
        <v>A+</v>
      </c>
      <c r="Q66" s="3">
        <f ca="1"/>
        <v>39653</v>
      </c>
      <c r="R66" s="4">
        <f ca="1"/>
        <v>46193</v>
      </c>
      <c r="S66" s="4">
        <f ca="1"/>
        <v>2.2258726899383983</v>
      </c>
      <c r="T66">
        <f ca="1"/>
        <v>102.36500000000001</v>
      </c>
      <c r="U66">
        <f ca="1"/>
        <v>129</v>
      </c>
      <c r="V66">
        <f ca="1"/>
        <v>2</v>
      </c>
      <c r="W66">
        <f ca="1"/>
        <v>18</v>
      </c>
      <c r="X66">
        <f ca="1"/>
        <v>1.2637362637362637</v>
      </c>
      <c r="Y66">
        <f ca="1"/>
        <v>101.10126373626375</v>
      </c>
      <c r="Z66">
        <f ca="1"/>
        <v>1.230499999999997</v>
      </c>
    </row>
    <row r="67" spans="1:26" x14ac:dyDescent="0.35">
      <c r="A67" t="str">
        <f ca="1"/>
        <v>EH528555 Corp</v>
      </c>
      <c r="B67" t="str">
        <f ca="1"/>
        <v>Japan Government Twenty Year Bond</v>
      </c>
      <c r="C67" t="str">
        <f ca="1"/>
        <v>JGB</v>
      </c>
      <c r="D67" t="str">
        <f ca="1"/>
        <v>JP</v>
      </c>
      <c r="E67" t="str">
        <f ca="1"/>
        <v>JPY</v>
      </c>
      <c r="F67" t="str">
        <f ca="1"/>
        <v>20/06/2028</v>
      </c>
      <c r="G67" t="str">
        <f ca="1"/>
        <v>FIXED</v>
      </c>
      <c r="H67">
        <f ca="1"/>
        <v>2</v>
      </c>
      <c r="I67">
        <f ca="1"/>
        <v>2.1</v>
      </c>
      <c r="J67">
        <f ca="1"/>
        <v>1.2239999999999986</v>
      </c>
      <c r="K67">
        <f ca="1"/>
        <v>1.2480000000000002</v>
      </c>
      <c r="L67">
        <f ca="1"/>
        <v>101.938</v>
      </c>
      <c r="M67">
        <f ca="1"/>
        <v>101.883</v>
      </c>
      <c r="N67" t="str">
        <f ca="1"/>
        <v>EH5285554</v>
      </c>
      <c r="O67" t="str">
        <f ca="1"/>
        <v>JP1201041884</v>
      </c>
      <c r="P67" t="str">
        <f ca="1"/>
        <v>A+</v>
      </c>
      <c r="Q67" s="3">
        <f ca="1"/>
        <v>39686</v>
      </c>
      <c r="R67" s="4">
        <f ca="1"/>
        <v>46193</v>
      </c>
      <c r="S67" s="4">
        <f ca="1"/>
        <v>2.2258726899383983</v>
      </c>
      <c r="T67">
        <f ca="1"/>
        <v>101.9105</v>
      </c>
      <c r="U67">
        <f ca="1"/>
        <v>130</v>
      </c>
      <c r="V67">
        <f ca="1"/>
        <v>2</v>
      </c>
      <c r="W67">
        <f ca="1"/>
        <v>18</v>
      </c>
      <c r="X67">
        <f ca="1"/>
        <v>1.153846153846154</v>
      </c>
      <c r="Y67">
        <f ca="1"/>
        <v>100.75665384615384</v>
      </c>
      <c r="Z67">
        <f ca="1"/>
        <v>1.2359999999999993</v>
      </c>
    </row>
    <row r="68" spans="1:26" x14ac:dyDescent="0.35">
      <c r="A68" t="str">
        <f ca="1"/>
        <v>ZI391344 Corp</v>
      </c>
      <c r="B68" t="str">
        <f ca="1"/>
        <v>Japan Government Five Year Bond</v>
      </c>
      <c r="C68" t="str">
        <f ca="1"/>
        <v>JGB</v>
      </c>
      <c r="D68" t="str">
        <f ca="1"/>
        <v>JP</v>
      </c>
      <c r="E68" t="str">
        <f ca="1"/>
        <v>JPY</v>
      </c>
      <c r="F68" t="str">
        <f ca="1"/>
        <v>20/06/2028</v>
      </c>
      <c r="G68" t="str">
        <f ca="1"/>
        <v>FIXED</v>
      </c>
      <c r="H68">
        <f ca="1"/>
        <v>2</v>
      </c>
      <c r="I68">
        <f ca="1"/>
        <v>0.2</v>
      </c>
      <c r="J68">
        <f ca="1"/>
        <v>1.2439999999999851</v>
      </c>
      <c r="K68">
        <f ca="1"/>
        <v>1.2689999999999895</v>
      </c>
      <c r="L68">
        <f ca="1"/>
        <v>97.691000000000003</v>
      </c>
      <c r="M68">
        <f ca="1"/>
        <v>97.637</v>
      </c>
      <c r="N68" t="str">
        <f ca="1"/>
        <v>ZI3913442</v>
      </c>
      <c r="O68" t="str">
        <f ca="1"/>
        <v>JP1051601P86</v>
      </c>
      <c r="P68" t="str">
        <f ca="1"/>
        <v>A+</v>
      </c>
      <c r="Q68" s="3">
        <f ca="1"/>
        <v>45146</v>
      </c>
      <c r="R68" s="4">
        <f ca="1"/>
        <v>46193</v>
      </c>
      <c r="S68" s="4">
        <f ca="1"/>
        <v>2.2258726899383983</v>
      </c>
      <c r="T68">
        <f ca="1"/>
        <v>97.664000000000001</v>
      </c>
      <c r="U68">
        <f ca="1"/>
        <v>299</v>
      </c>
      <c r="V68">
        <f ca="1"/>
        <v>2</v>
      </c>
      <c r="W68">
        <f ca="1"/>
        <v>3</v>
      </c>
      <c r="X68">
        <f ca="1"/>
        <v>0.1098901098901099</v>
      </c>
      <c r="Y68">
        <f ca="1"/>
        <v>97.554109890109885</v>
      </c>
      <c r="Z68">
        <f ca="1"/>
        <v>1.2564999999999873</v>
      </c>
    </row>
    <row r="69" spans="1:26" x14ac:dyDescent="0.35">
      <c r="A69" t="str">
        <f ca="1"/>
        <v>ZI861660 Corp</v>
      </c>
      <c r="B69" t="str">
        <f ca="1"/>
        <v>Japan Government Five Year Bond</v>
      </c>
      <c r="C69" t="str">
        <f ca="1"/>
        <v>JGB</v>
      </c>
      <c r="D69" t="str">
        <f ca="1"/>
        <v>JP</v>
      </c>
      <c r="E69" t="str">
        <f ca="1"/>
        <v>JPY</v>
      </c>
      <c r="F69" t="str">
        <f ca="1"/>
        <v>20/06/2028</v>
      </c>
      <c r="G69" t="str">
        <f ca="1"/>
        <v>FIXED</v>
      </c>
      <c r="H69">
        <f ca="1"/>
        <v>2</v>
      </c>
      <c r="I69">
        <f ca="1"/>
        <v>0.3</v>
      </c>
      <c r="J69">
        <f ca="1"/>
        <v>1.2420000000000044</v>
      </c>
      <c r="K69">
        <f ca="1"/>
        <v>1.2669999999999921</v>
      </c>
      <c r="L69">
        <f ca="1"/>
        <v>97.915999999999997</v>
      </c>
      <c r="M69">
        <f ca="1"/>
        <v>97.861999999999995</v>
      </c>
      <c r="N69" t="str">
        <f ca="1"/>
        <v>ZI8616602</v>
      </c>
      <c r="O69" t="str">
        <f ca="1"/>
        <v>JP1051611P92</v>
      </c>
      <c r="P69" t="str">
        <f ca="1"/>
        <v>A+</v>
      </c>
      <c r="Q69" s="3">
        <f ca="1"/>
        <v>45174</v>
      </c>
      <c r="R69" s="4">
        <f ca="1"/>
        <v>46193</v>
      </c>
      <c r="S69" s="4">
        <f ca="1"/>
        <v>2.2258726899383983</v>
      </c>
      <c r="T69">
        <f ca="1"/>
        <v>97.888999999999996</v>
      </c>
      <c r="U69">
        <f ca="1"/>
        <v>300</v>
      </c>
      <c r="V69">
        <f ca="1"/>
        <v>2</v>
      </c>
      <c r="W69">
        <f ca="1"/>
        <v>3</v>
      </c>
      <c r="X69">
        <f ca="1"/>
        <v>0.16483516483516483</v>
      </c>
      <c r="Y69">
        <f ca="1"/>
        <v>97.724164835164828</v>
      </c>
      <c r="Z69">
        <f ca="1"/>
        <v>1.2544999999999984</v>
      </c>
    </row>
    <row r="70" spans="1:26" x14ac:dyDescent="0.35">
      <c r="A70" t="str">
        <f ca="1"/>
        <v>ZJ741523 Corp</v>
      </c>
      <c r="B70" t="str">
        <f ca="1"/>
        <v>Japan Government Five Year Bond</v>
      </c>
      <c r="C70" t="str">
        <f ca="1"/>
        <v>JGB</v>
      </c>
      <c r="D70" t="str">
        <f ca="1"/>
        <v>JP</v>
      </c>
      <c r="E70" t="str">
        <f ca="1"/>
        <v>JPY</v>
      </c>
      <c r="F70" t="str">
        <f ca="1"/>
        <v>20/06/2028</v>
      </c>
      <c r="G70" t="str">
        <f ca="1"/>
        <v>FIXED</v>
      </c>
      <c r="H70">
        <f ca="1"/>
        <v>2</v>
      </c>
      <c r="I70">
        <f ca="1"/>
        <v>0.1</v>
      </c>
      <c r="J70">
        <f ca="1"/>
        <v>1.2499999999999907</v>
      </c>
      <c r="K70">
        <f ca="1"/>
        <v>1.2700000000000102</v>
      </c>
      <c r="L70">
        <f ca="1"/>
        <v>97.456999999999994</v>
      </c>
      <c r="M70">
        <f ca="1"/>
        <v>97.414000000000001</v>
      </c>
      <c r="N70" t="str">
        <f ca="1"/>
        <v>ZJ7415236</v>
      </c>
      <c r="O70" t="str">
        <f ca="1"/>
        <v>JP1051591P70</v>
      </c>
      <c r="P70" t="str">
        <f ca="1"/>
        <v>A+</v>
      </c>
      <c r="Q70" s="3">
        <f ca="1"/>
        <v>45111</v>
      </c>
      <c r="R70" s="4">
        <f ca="1"/>
        <v>46193</v>
      </c>
      <c r="S70" s="4">
        <f ca="1"/>
        <v>2.2258726899383983</v>
      </c>
      <c r="T70">
        <f ca="1"/>
        <v>97.43549999999999</v>
      </c>
      <c r="U70">
        <f ca="1"/>
        <v>303</v>
      </c>
      <c r="V70">
        <f ca="1"/>
        <v>2</v>
      </c>
      <c r="W70">
        <f ca="1"/>
        <v>3</v>
      </c>
      <c r="X70">
        <f ca="1"/>
        <v>5.4945054945054951E-2</v>
      </c>
      <c r="Y70">
        <f ca="1"/>
        <v>97.380554945054939</v>
      </c>
      <c r="Z70">
        <f ca="1"/>
        <v>1.2600000000000005</v>
      </c>
    </row>
    <row r="71" spans="1:26" x14ac:dyDescent="0.35">
      <c r="A71" t="str">
        <f ca="1"/>
        <v>AU788839 Corp</v>
      </c>
      <c r="B71" t="str">
        <f ca="1"/>
        <v>Japan Government Ten Year Bond</v>
      </c>
      <c r="C71" t="str">
        <f ca="1"/>
        <v>JGB</v>
      </c>
      <c r="D71" t="str">
        <f ca="1"/>
        <v>JP</v>
      </c>
      <c r="E71" t="str">
        <f ca="1"/>
        <v>JPY</v>
      </c>
      <c r="F71" t="str">
        <f ca="1"/>
        <v>20/09/2028</v>
      </c>
      <c r="G71" t="str">
        <f ca="1"/>
        <v>FIXED</v>
      </c>
      <c r="H71">
        <f ca="1"/>
        <v>2</v>
      </c>
      <c r="I71">
        <f ca="1"/>
        <v>0.1</v>
      </c>
      <c r="J71">
        <f ca="1"/>
        <v>1.271999999999962</v>
      </c>
      <c r="K71">
        <f ca="1"/>
        <v>1.2949999999999675</v>
      </c>
      <c r="L71">
        <f ca="1"/>
        <v>97.131</v>
      </c>
      <c r="M71">
        <f ca="1"/>
        <v>97.076999999999998</v>
      </c>
      <c r="N71" t="str">
        <f ca="1"/>
        <v>AU7888392</v>
      </c>
      <c r="O71" t="str">
        <f ca="1"/>
        <v>JP1103521JA8</v>
      </c>
      <c r="P71" t="str">
        <f ca="1"/>
        <v>A+</v>
      </c>
      <c r="Q71" s="3">
        <f ca="1"/>
        <v>43375</v>
      </c>
      <c r="R71" s="4">
        <f ca="1"/>
        <v>46101</v>
      </c>
      <c r="S71" s="4">
        <f ca="1"/>
        <v>2.4777549623545516</v>
      </c>
      <c r="T71">
        <f ca="1"/>
        <v>97.103999999999999</v>
      </c>
      <c r="U71">
        <f ca="1"/>
        <v>24</v>
      </c>
      <c r="V71">
        <f ca="1"/>
        <v>2</v>
      </c>
      <c r="W71">
        <f ca="1"/>
        <v>8</v>
      </c>
      <c r="X71">
        <f ca="1"/>
        <v>0.10494505494505496</v>
      </c>
      <c r="Y71">
        <f ca="1"/>
        <v>96.999054945054951</v>
      </c>
      <c r="Z71">
        <f ca="1"/>
        <v>1.2834999999999648</v>
      </c>
    </row>
    <row r="72" spans="1:26" x14ac:dyDescent="0.35">
      <c r="A72" t="str">
        <f ca="1"/>
        <v>EH562271 Corp</v>
      </c>
      <c r="B72" t="str">
        <f ca="1"/>
        <v>Japan Government Twenty Year Bond</v>
      </c>
      <c r="C72" t="str">
        <f ca="1"/>
        <v>JGB</v>
      </c>
      <c r="D72" t="str">
        <f ca="1"/>
        <v>JP</v>
      </c>
      <c r="E72" t="str">
        <f ca="1"/>
        <v>JPY</v>
      </c>
      <c r="F72" t="str">
        <f ca="1"/>
        <v>20/09/2028</v>
      </c>
      <c r="G72" t="str">
        <f ca="1"/>
        <v>FIXED</v>
      </c>
      <c r="H72">
        <f ca="1"/>
        <v>2</v>
      </c>
      <c r="I72">
        <f ca="1"/>
        <v>2.1</v>
      </c>
      <c r="J72">
        <f ca="1"/>
        <v>1.2479999999999967</v>
      </c>
      <c r="K72">
        <f ca="1"/>
        <v>1.2709999999999946</v>
      </c>
      <c r="L72">
        <f ca="1"/>
        <v>102.086</v>
      </c>
      <c r="M72">
        <f ca="1"/>
        <v>102.02800000000001</v>
      </c>
      <c r="N72" t="str">
        <f ca="1"/>
        <v>EH5622715</v>
      </c>
      <c r="O72" t="str">
        <f ca="1"/>
        <v>JP1201051891</v>
      </c>
      <c r="P72" t="str">
        <f ca="1"/>
        <v>A+</v>
      </c>
      <c r="Q72" s="3">
        <f ca="1"/>
        <v>39709</v>
      </c>
      <c r="R72" s="4">
        <f ca="1"/>
        <v>46101</v>
      </c>
      <c r="S72" s="4">
        <f ca="1"/>
        <v>2.4777549623545516</v>
      </c>
      <c r="T72">
        <f ca="1"/>
        <v>102.057</v>
      </c>
      <c r="U72">
        <f ca="1"/>
        <v>131</v>
      </c>
      <c r="V72">
        <f ca="1"/>
        <v>2</v>
      </c>
      <c r="W72">
        <f ca="1"/>
        <v>18</v>
      </c>
      <c r="X72">
        <f ca="1"/>
        <v>2.203846153846154</v>
      </c>
      <c r="Y72">
        <f ca="1"/>
        <v>99.853153846153845</v>
      </c>
      <c r="Z72">
        <f ca="1"/>
        <v>1.2594999999999956</v>
      </c>
    </row>
    <row r="73" spans="1:26" x14ac:dyDescent="0.35">
      <c r="A73" t="str">
        <f ca="1"/>
        <v>EH606623 Corp</v>
      </c>
      <c r="B73" t="str">
        <f ca="1"/>
        <v>Japan Government Twenty Year Bond</v>
      </c>
      <c r="C73" t="str">
        <f ca="1"/>
        <v>JGB</v>
      </c>
      <c r="D73" t="str">
        <f ca="1"/>
        <v>JP</v>
      </c>
      <c r="E73" t="str">
        <f ca="1"/>
        <v>JPY</v>
      </c>
      <c r="F73" t="str">
        <f ca="1"/>
        <v>20/09/2028</v>
      </c>
      <c r="G73" t="str">
        <f ca="1"/>
        <v>FIXED</v>
      </c>
      <c r="H73">
        <f ca="1"/>
        <v>2</v>
      </c>
      <c r="I73">
        <f ca="1"/>
        <v>2.2000000000000002</v>
      </c>
      <c r="J73">
        <f ca="1"/>
        <v>1.249999999999988</v>
      </c>
      <c r="K73">
        <f ca="1"/>
        <v>1.2749999999999946</v>
      </c>
      <c r="L73">
        <f ca="1"/>
        <v>102.32599999999999</v>
      </c>
      <c r="M73">
        <f ca="1"/>
        <v>102.26300000000001</v>
      </c>
      <c r="N73" t="str">
        <f ca="1"/>
        <v>EH6066235</v>
      </c>
      <c r="O73" t="str">
        <f ca="1"/>
        <v>JP12010618A8</v>
      </c>
      <c r="P73" t="str">
        <f ca="1"/>
        <v>A+</v>
      </c>
      <c r="Q73" s="3">
        <f ca="1"/>
        <v>39749</v>
      </c>
      <c r="R73" s="4">
        <f ca="1"/>
        <v>46101</v>
      </c>
      <c r="S73" s="4">
        <f ca="1"/>
        <v>2.4777549623545516</v>
      </c>
      <c r="T73">
        <f ca="1"/>
        <v>102.2945</v>
      </c>
      <c r="U73">
        <f ca="1"/>
        <v>133</v>
      </c>
      <c r="V73">
        <f ca="1"/>
        <v>2</v>
      </c>
      <c r="W73">
        <f ca="1"/>
        <v>18</v>
      </c>
      <c r="X73">
        <f ca="1"/>
        <v>2.308791208791209</v>
      </c>
      <c r="Y73">
        <f ca="1"/>
        <v>99.985708791208793</v>
      </c>
      <c r="Z73">
        <f ca="1"/>
        <v>1.2624999999999913</v>
      </c>
    </row>
    <row r="74" spans="1:26" x14ac:dyDescent="0.35">
      <c r="A74" t="str">
        <f ca="1"/>
        <v>ZG134466 Corp</v>
      </c>
      <c r="B74" t="str">
        <f ca="1"/>
        <v>Japan Government Five Year Bond</v>
      </c>
      <c r="C74" t="str">
        <f ca="1"/>
        <v>JGB</v>
      </c>
      <c r="D74" t="str">
        <f ca="1"/>
        <v>JP</v>
      </c>
      <c r="E74" t="str">
        <f ca="1"/>
        <v>JPY</v>
      </c>
      <c r="F74" t="str">
        <f ca="1"/>
        <v>20/09/2028</v>
      </c>
      <c r="G74" t="str">
        <f ca="1"/>
        <v>FIXED</v>
      </c>
      <c r="H74">
        <f ca="1"/>
        <v>2</v>
      </c>
      <c r="I74">
        <f ca="1"/>
        <v>0.4</v>
      </c>
      <c r="J74">
        <f ca="1"/>
        <v>1.2739999999999967</v>
      </c>
      <c r="K74">
        <f ca="1"/>
        <v>1.2979999999999976</v>
      </c>
      <c r="L74">
        <f ca="1"/>
        <v>97.861000000000004</v>
      </c>
      <c r="M74">
        <f ca="1"/>
        <v>97.802999999999997</v>
      </c>
      <c r="N74" t="str">
        <f ca="1"/>
        <v>ZG1344669</v>
      </c>
      <c r="O74" t="str">
        <f ca="1"/>
        <v>JP1051631PB2</v>
      </c>
      <c r="P74" t="str">
        <f ca="1"/>
        <v>A+</v>
      </c>
      <c r="Q74" s="3">
        <f ca="1"/>
        <v>45237</v>
      </c>
      <c r="R74" s="4">
        <f ca="1"/>
        <v>46101</v>
      </c>
      <c r="S74" s="4">
        <f ca="1"/>
        <v>2.4777549623545516</v>
      </c>
      <c r="T74">
        <f ca="1"/>
        <v>97.831999999999994</v>
      </c>
      <c r="U74">
        <f ca="1"/>
        <v>294</v>
      </c>
      <c r="V74">
        <f ca="1"/>
        <v>2</v>
      </c>
      <c r="W74">
        <f ca="1"/>
        <v>3</v>
      </c>
      <c r="X74">
        <f ca="1"/>
        <v>0.41978021978021984</v>
      </c>
      <c r="Y74">
        <f ca="1"/>
        <v>97.412219780219772</v>
      </c>
      <c r="Z74">
        <f ca="1"/>
        <v>1.2859999999999971</v>
      </c>
    </row>
    <row r="75" spans="1:26" x14ac:dyDescent="0.35">
      <c r="A75" t="str">
        <f ca="1"/>
        <v>ZH437639 Corp</v>
      </c>
      <c r="B75" t="str">
        <f ca="1"/>
        <v>Japan Government Five Year Bond</v>
      </c>
      <c r="C75" t="str">
        <f ca="1"/>
        <v>JGB</v>
      </c>
      <c r="D75" t="str">
        <f ca="1"/>
        <v>JP</v>
      </c>
      <c r="E75" t="str">
        <f ca="1"/>
        <v>JPY</v>
      </c>
      <c r="F75" t="str">
        <f ca="1"/>
        <v>20/09/2028</v>
      </c>
      <c r="G75" t="str">
        <f ca="1"/>
        <v>FIXED</v>
      </c>
      <c r="H75">
        <f ca="1"/>
        <v>2</v>
      </c>
      <c r="I75">
        <f ca="1"/>
        <v>0.3</v>
      </c>
      <c r="J75">
        <f ca="1"/>
        <v>1.2779999999999858</v>
      </c>
      <c r="K75">
        <f ca="1"/>
        <v>1.3009999999999848</v>
      </c>
      <c r="L75">
        <f ca="1"/>
        <v>97.605999999999995</v>
      </c>
      <c r="M75">
        <f ca="1"/>
        <v>97.551000000000002</v>
      </c>
      <c r="N75" t="str">
        <f ca="1"/>
        <v>ZH4376393</v>
      </c>
      <c r="O75" t="str">
        <f ca="1"/>
        <v>JP1051621PA5</v>
      </c>
      <c r="P75" t="str">
        <f ca="1"/>
        <v>A+</v>
      </c>
      <c r="Q75" s="3">
        <f ca="1"/>
        <v>45203</v>
      </c>
      <c r="R75" s="4">
        <f ca="1"/>
        <v>46101</v>
      </c>
      <c r="S75" s="4">
        <f ca="1"/>
        <v>2.4777549623545516</v>
      </c>
      <c r="T75">
        <f ca="1"/>
        <v>97.578499999999991</v>
      </c>
      <c r="U75">
        <f ca="1"/>
        <v>297</v>
      </c>
      <c r="V75">
        <f ca="1"/>
        <v>2</v>
      </c>
      <c r="W75">
        <f ca="1"/>
        <v>3</v>
      </c>
      <c r="X75">
        <f ca="1"/>
        <v>0.31483516483516483</v>
      </c>
      <c r="Y75">
        <f ca="1"/>
        <v>97.263664835164832</v>
      </c>
      <c r="Z75">
        <f ca="1"/>
        <v>1.2894999999999852</v>
      </c>
    </row>
    <row r="76" spans="1:26" x14ac:dyDescent="0.35">
      <c r="A76" t="str">
        <f ca="1"/>
        <v>AW566680 Corp</v>
      </c>
      <c r="B76" t="str">
        <f ca="1"/>
        <v>Japan Government Ten Year Bond</v>
      </c>
      <c r="C76" t="str">
        <f ca="1"/>
        <v>JGB</v>
      </c>
      <c r="D76" t="str">
        <f ca="1"/>
        <v>JP</v>
      </c>
      <c r="E76" t="str">
        <f ca="1"/>
        <v>JPY</v>
      </c>
      <c r="F76" t="str">
        <f ca="1"/>
        <v>20/12/2028</v>
      </c>
      <c r="G76" t="str">
        <f ca="1"/>
        <v>FIXED</v>
      </c>
      <c r="H76">
        <f ca="1"/>
        <v>2</v>
      </c>
      <c r="I76">
        <f ca="1"/>
        <v>0.1</v>
      </c>
      <c r="J76">
        <f ca="1"/>
        <v>1.3219999999999656</v>
      </c>
      <c r="K76">
        <f ca="1"/>
        <v>1.3439999999999634</v>
      </c>
      <c r="L76">
        <f ca="1"/>
        <v>96.727999999999994</v>
      </c>
      <c r="M76">
        <f ca="1"/>
        <v>96.671000000000006</v>
      </c>
      <c r="N76" t="str">
        <f ca="1"/>
        <v>AW5666804</v>
      </c>
      <c r="O76" t="str">
        <f ca="1"/>
        <v>JP1103531K10</v>
      </c>
      <c r="P76" t="str">
        <f ca="1"/>
        <v>A+</v>
      </c>
      <c r="Q76" s="3">
        <f ca="1"/>
        <v>43473</v>
      </c>
      <c r="R76" s="4">
        <f ca="1"/>
        <v>46193</v>
      </c>
      <c r="S76" s="4">
        <f ca="1"/>
        <v>2.7268993839835729</v>
      </c>
      <c r="T76">
        <f ca="1"/>
        <v>96.6995</v>
      </c>
      <c r="U76">
        <f ca="1"/>
        <v>27</v>
      </c>
      <c r="V76">
        <f ca="1"/>
        <v>2.5</v>
      </c>
      <c r="W76">
        <f ca="1"/>
        <v>7</v>
      </c>
      <c r="X76">
        <f ca="1"/>
        <v>5.4945054945054951E-2</v>
      </c>
      <c r="Y76">
        <f ca="1"/>
        <v>96.644554945054949</v>
      </c>
      <c r="Z76">
        <f ca="1"/>
        <v>1.3329999999999647</v>
      </c>
    </row>
    <row r="77" spans="1:26" x14ac:dyDescent="0.35">
      <c r="A77" t="str">
        <f ca="1"/>
        <v>EH660472 Corp</v>
      </c>
      <c r="B77" t="str">
        <f ca="1"/>
        <v>Japan Government Twenty Year Bond</v>
      </c>
      <c r="C77" t="str">
        <f ca="1"/>
        <v>JGB</v>
      </c>
      <c r="D77" t="str">
        <f ca="1"/>
        <v>JP</v>
      </c>
      <c r="E77" t="str">
        <f ca="1"/>
        <v>JPY</v>
      </c>
      <c r="F77" t="str">
        <f ca="1"/>
        <v>20/12/2028</v>
      </c>
      <c r="G77" t="str">
        <f ca="1"/>
        <v>FIXED</v>
      </c>
      <c r="H77">
        <f ca="1"/>
        <v>2</v>
      </c>
      <c r="I77">
        <f ca="1"/>
        <v>2.1</v>
      </c>
      <c r="J77">
        <f ca="1"/>
        <v>1.2940000000000011</v>
      </c>
      <c r="K77">
        <f ca="1"/>
        <v>1.3169999999999988</v>
      </c>
      <c r="L77">
        <f ca="1"/>
        <v>102.15900000000001</v>
      </c>
      <c r="M77">
        <f ca="1"/>
        <v>102.096</v>
      </c>
      <c r="N77" t="str">
        <f ca="1"/>
        <v>EH6604720</v>
      </c>
      <c r="O77" t="str">
        <f ca="1"/>
        <v>JP12010718C2</v>
      </c>
      <c r="P77" t="str">
        <f ca="1"/>
        <v>A+</v>
      </c>
      <c r="Q77" s="3">
        <f ca="1"/>
        <v>39798</v>
      </c>
      <c r="R77" s="4">
        <f ca="1"/>
        <v>46193</v>
      </c>
      <c r="S77" s="4">
        <f ca="1"/>
        <v>2.7268993839835729</v>
      </c>
      <c r="T77">
        <f ca="1"/>
        <v>102.1275</v>
      </c>
      <c r="U77">
        <f ca="1"/>
        <v>134</v>
      </c>
      <c r="V77">
        <f ca="1"/>
        <v>2.5</v>
      </c>
      <c r="W77">
        <f ca="1"/>
        <v>18</v>
      </c>
      <c r="X77">
        <f ca="1"/>
        <v>1.153846153846154</v>
      </c>
      <c r="Y77">
        <f ca="1"/>
        <v>100.97365384615384</v>
      </c>
      <c r="Z77">
        <f ca="1"/>
        <v>1.3054999999999999</v>
      </c>
    </row>
    <row r="78" spans="1:26" x14ac:dyDescent="0.35">
      <c r="A78" t="str">
        <f ca="1"/>
        <v>EH703406 Corp</v>
      </c>
      <c r="B78" t="str">
        <f ca="1"/>
        <v>Japan Government Twenty Year Bond</v>
      </c>
      <c r="C78" t="str">
        <f ca="1"/>
        <v>JGB</v>
      </c>
      <c r="D78" t="str">
        <f ca="1"/>
        <v>JP</v>
      </c>
      <c r="E78" t="str">
        <f ca="1"/>
        <v>JPY</v>
      </c>
      <c r="F78" t="str">
        <f ca="1"/>
        <v>20/12/2028</v>
      </c>
      <c r="G78" t="str">
        <f ca="1"/>
        <v>FIXED</v>
      </c>
      <c r="H78">
        <f ca="1"/>
        <v>2</v>
      </c>
      <c r="I78">
        <f ca="1"/>
        <v>1.9</v>
      </c>
      <c r="J78">
        <f ca="1"/>
        <v>1.2989999999999942</v>
      </c>
      <c r="K78">
        <f ca="1"/>
        <v>1.3220000000000049</v>
      </c>
      <c r="L78">
        <f ca="1"/>
        <v>101.60899999999999</v>
      </c>
      <c r="M78">
        <f ca="1"/>
        <v>101.547</v>
      </c>
      <c r="N78" t="str">
        <f ca="1"/>
        <v>EH7034067</v>
      </c>
      <c r="O78" t="str">
        <f ca="1"/>
        <v>JP1201081914</v>
      </c>
      <c r="P78" t="str">
        <f ca="1"/>
        <v>A+</v>
      </c>
      <c r="Q78" s="3">
        <f ca="1"/>
        <v>39840</v>
      </c>
      <c r="R78" s="4">
        <f ca="1"/>
        <v>46193</v>
      </c>
      <c r="S78" s="4">
        <f ca="1"/>
        <v>2.7268993839835729</v>
      </c>
      <c r="T78">
        <f ca="1"/>
        <v>101.578</v>
      </c>
      <c r="U78">
        <f ca="1"/>
        <v>135</v>
      </c>
      <c r="V78">
        <f ca="1"/>
        <v>2.5</v>
      </c>
      <c r="W78">
        <f ca="1"/>
        <v>17</v>
      </c>
      <c r="X78">
        <f ca="1"/>
        <v>1.043956043956044</v>
      </c>
      <c r="Y78">
        <f ca="1"/>
        <v>100.53404395604396</v>
      </c>
      <c r="Z78">
        <f ca="1"/>
        <v>1.3104999999999996</v>
      </c>
    </row>
    <row r="79" spans="1:26" x14ac:dyDescent="0.35">
      <c r="A79" t="str">
        <f ca="1"/>
        <v>ZD338443 Corp</v>
      </c>
      <c r="B79" t="str">
        <f ca="1"/>
        <v>Japan Government Five Year Bond</v>
      </c>
      <c r="C79" t="str">
        <f ca="1"/>
        <v>JGB</v>
      </c>
      <c r="D79" t="str">
        <f ca="1"/>
        <v>JP</v>
      </c>
      <c r="E79" t="str">
        <f ca="1"/>
        <v>JPY</v>
      </c>
      <c r="F79" t="str">
        <f ca="1"/>
        <v>20/12/2028</v>
      </c>
      <c r="G79" t="str">
        <f ca="1"/>
        <v>FIXED</v>
      </c>
      <c r="H79">
        <f ca="1"/>
        <v>2</v>
      </c>
      <c r="I79">
        <f ca="1"/>
        <v>0.3</v>
      </c>
      <c r="J79">
        <f ca="1"/>
        <v>1.3179999999999865</v>
      </c>
      <c r="K79">
        <f ca="1"/>
        <v>1.3409999999999833</v>
      </c>
      <c r="L79">
        <f ca="1"/>
        <v>97.274000000000001</v>
      </c>
      <c r="M79">
        <f ca="1"/>
        <v>97.213999999999999</v>
      </c>
      <c r="N79" t="str">
        <f ca="1"/>
        <v>ZD3384439</v>
      </c>
      <c r="O79" t="str">
        <f ca="1"/>
        <v>JP1470011Q24</v>
      </c>
      <c r="P79" t="str">
        <f ca="1"/>
        <v>A+</v>
      </c>
      <c r="Q79" s="3">
        <f ca="1"/>
        <v>45342</v>
      </c>
      <c r="R79" s="4">
        <f ca="1"/>
        <v>46193</v>
      </c>
      <c r="S79" s="4">
        <f ca="1"/>
        <v>2.7268993839835729</v>
      </c>
      <c r="T79">
        <f ca="1"/>
        <v>97.244</v>
      </c>
      <c r="U79">
        <f ca="1"/>
        <v>287</v>
      </c>
      <c r="V79">
        <f ca="1"/>
        <v>2.5</v>
      </c>
      <c r="W79">
        <f ca="1"/>
        <v>2</v>
      </c>
      <c r="X79">
        <f ca="1"/>
        <v>0.16483516483516483</v>
      </c>
      <c r="Y79">
        <f ca="1"/>
        <v>97.079164835164832</v>
      </c>
      <c r="Z79">
        <f ca="1"/>
        <v>1.3294999999999848</v>
      </c>
    </row>
    <row r="80" spans="1:26" x14ac:dyDescent="0.35">
      <c r="A80" t="str">
        <f ca="1"/>
        <v>ZD670307 Corp</v>
      </c>
      <c r="B80" t="str">
        <f ca="1"/>
        <v>Japan Government Five Year Bond</v>
      </c>
      <c r="C80" t="str">
        <f ca="1"/>
        <v>JGB</v>
      </c>
      <c r="D80" t="str">
        <f ca="1"/>
        <v>JP</v>
      </c>
      <c r="E80" t="str">
        <f ca="1"/>
        <v>JPY</v>
      </c>
      <c r="F80" t="str">
        <f ca="1"/>
        <v>20/12/2028</v>
      </c>
      <c r="G80" t="str">
        <f ca="1"/>
        <v>FIXED</v>
      </c>
      <c r="H80">
        <f ca="1"/>
        <v>2</v>
      </c>
      <c r="I80">
        <f ca="1"/>
        <v>0.4</v>
      </c>
      <c r="J80">
        <f ca="1"/>
        <v>1.3199999999999934</v>
      </c>
      <c r="K80">
        <f ca="1"/>
        <v>1.3419999999999899</v>
      </c>
      <c r="L80">
        <f ca="1"/>
        <v>97.536000000000001</v>
      </c>
      <c r="M80">
        <f ca="1"/>
        <v>97.478999999999999</v>
      </c>
      <c r="N80" t="str">
        <f ca="1"/>
        <v>ZD6703072</v>
      </c>
      <c r="O80" t="str">
        <f ca="1"/>
        <v>JP1051661Q33</v>
      </c>
      <c r="P80" t="str">
        <f ca="1"/>
        <v>A+</v>
      </c>
      <c r="Q80" s="3">
        <f ca="1"/>
        <v>45356</v>
      </c>
      <c r="R80" s="4">
        <f ca="1"/>
        <v>46193</v>
      </c>
      <c r="S80" s="4">
        <f ca="1"/>
        <v>2.7268993839835729</v>
      </c>
      <c r="T80">
        <f ca="1"/>
        <v>97.507499999999993</v>
      </c>
      <c r="U80">
        <f ca="1"/>
        <v>288</v>
      </c>
      <c r="V80">
        <f ca="1"/>
        <v>2.5</v>
      </c>
      <c r="W80">
        <f ca="1"/>
        <v>2</v>
      </c>
      <c r="X80">
        <f ca="1"/>
        <v>0.2197802197802198</v>
      </c>
      <c r="Y80">
        <f ca="1"/>
        <v>97.287719780219774</v>
      </c>
      <c r="Z80">
        <f ca="1"/>
        <v>1.3309999999999915</v>
      </c>
    </row>
    <row r="81" spans="1:26" x14ac:dyDescent="0.35">
      <c r="A81" t="str">
        <f ca="1"/>
        <v>ZF360535 Corp</v>
      </c>
      <c r="B81" t="str">
        <f ca="1"/>
        <v>Japan Government Five Year Bond</v>
      </c>
      <c r="C81" t="str">
        <f ca="1"/>
        <v>JGB</v>
      </c>
      <c r="D81" t="str">
        <f ca="1"/>
        <v>JP</v>
      </c>
      <c r="E81" t="str">
        <f ca="1"/>
        <v>JPY</v>
      </c>
      <c r="F81" t="str">
        <f ca="1"/>
        <v>20/12/2028</v>
      </c>
      <c r="G81" t="str">
        <f ca="1"/>
        <v>FIXED</v>
      </c>
      <c r="H81">
        <f ca="1"/>
        <v>2</v>
      </c>
      <c r="I81">
        <f ca="1"/>
        <v>0.2</v>
      </c>
      <c r="J81">
        <f ca="1"/>
        <v>1.3189999999999751</v>
      </c>
      <c r="K81">
        <f ca="1"/>
        <v>1.3389999999999702</v>
      </c>
      <c r="L81">
        <f ca="1"/>
        <v>97.004000000000005</v>
      </c>
      <c r="M81">
        <f ca="1"/>
        <v>96.951999999999998</v>
      </c>
      <c r="N81" t="str">
        <f ca="1"/>
        <v>ZF3605358</v>
      </c>
      <c r="O81" t="str">
        <f ca="1"/>
        <v>JP1051641Q12</v>
      </c>
      <c r="P81" t="str">
        <f ca="1"/>
        <v>A+</v>
      </c>
      <c r="Q81" s="3">
        <f ca="1"/>
        <v>45300</v>
      </c>
      <c r="R81" s="4">
        <f ca="1"/>
        <v>46193</v>
      </c>
      <c r="S81" s="4">
        <f ca="1"/>
        <v>2.7268993839835729</v>
      </c>
      <c r="T81">
        <f ca="1"/>
        <v>96.978000000000009</v>
      </c>
      <c r="U81">
        <f ca="1"/>
        <v>291</v>
      </c>
      <c r="V81">
        <f ca="1"/>
        <v>2.5</v>
      </c>
      <c r="W81">
        <f ca="1"/>
        <v>2</v>
      </c>
      <c r="X81">
        <f ca="1"/>
        <v>0.1098901098901099</v>
      </c>
      <c r="Y81">
        <f ca="1"/>
        <v>96.868109890109892</v>
      </c>
      <c r="Z81">
        <f ca="1"/>
        <v>1.3289999999999726</v>
      </c>
    </row>
    <row r="82" spans="1:26" x14ac:dyDescent="0.35">
      <c r="A82" t="str">
        <f ca="1"/>
        <v>ZF953600 Corp</v>
      </c>
      <c r="B82" t="str">
        <f ca="1"/>
        <v>Japan Government Five Year Bond</v>
      </c>
      <c r="C82" t="str">
        <f ca="1"/>
        <v>JGB</v>
      </c>
      <c r="D82" t="str">
        <f ca="1"/>
        <v>JP</v>
      </c>
      <c r="E82" t="str">
        <f ca="1"/>
        <v>JPY</v>
      </c>
      <c r="F82" t="str">
        <f ca="1"/>
        <v>20/12/2028</v>
      </c>
      <c r="G82" t="str">
        <f ca="1"/>
        <v>FIXED</v>
      </c>
      <c r="H82">
        <f ca="1"/>
        <v>2</v>
      </c>
      <c r="I82">
        <f ca="1"/>
        <v>0.3</v>
      </c>
      <c r="J82">
        <f ca="1"/>
        <v>1.3189999999999882</v>
      </c>
      <c r="K82">
        <f ca="1"/>
        <v>1.3399999999999825</v>
      </c>
      <c r="L82">
        <f ca="1"/>
        <v>97.271000000000001</v>
      </c>
      <c r="M82">
        <f ca="1"/>
        <v>97.216999999999999</v>
      </c>
      <c r="N82" t="str">
        <f ca="1"/>
        <v>ZF9536003</v>
      </c>
      <c r="O82" t="str">
        <f ca="1"/>
        <v>JP1051651Q27</v>
      </c>
      <c r="P82" t="str">
        <f ca="1"/>
        <v>A+</v>
      </c>
      <c r="Q82" s="3">
        <f ca="1"/>
        <v>45324</v>
      </c>
      <c r="R82" s="4">
        <f ca="1"/>
        <v>46193</v>
      </c>
      <c r="S82" s="4">
        <f ca="1"/>
        <v>2.7268993839835729</v>
      </c>
      <c r="T82">
        <f ca="1"/>
        <v>97.244</v>
      </c>
      <c r="U82">
        <f ca="1"/>
        <v>293</v>
      </c>
      <c r="V82">
        <f ca="1"/>
        <v>2.5</v>
      </c>
      <c r="W82">
        <f ca="1"/>
        <v>2</v>
      </c>
      <c r="X82">
        <f ca="1"/>
        <v>0.16483516483516483</v>
      </c>
      <c r="Y82">
        <f ca="1"/>
        <v>97.079164835164832</v>
      </c>
      <c r="Z82">
        <f ca="1"/>
        <v>1.3294999999999852</v>
      </c>
    </row>
    <row r="83" spans="1:26" x14ac:dyDescent="0.35">
      <c r="A83" t="str">
        <f ca="1"/>
        <v>AX991345 Corp</v>
      </c>
      <c r="B83" t="str">
        <f ca="1"/>
        <v>Japan Government Ten Year Bond</v>
      </c>
      <c r="C83" t="str">
        <f ca="1"/>
        <v>JGB</v>
      </c>
      <c r="D83" t="str">
        <f ca="1"/>
        <v>JP</v>
      </c>
      <c r="E83" t="str">
        <f ca="1"/>
        <v>JPY</v>
      </c>
      <c r="F83" t="str">
        <f ca="1"/>
        <v>20/03/2029</v>
      </c>
      <c r="G83" t="str">
        <f ca="1"/>
        <v>FIXED</v>
      </c>
      <c r="H83">
        <f ca="1"/>
        <v>2</v>
      </c>
      <c r="I83">
        <f ca="1"/>
        <v>0.1</v>
      </c>
      <c r="J83">
        <f ca="1"/>
        <v>1.3659999999997967</v>
      </c>
      <c r="K83">
        <f ca="1"/>
        <v>1.387999999999769</v>
      </c>
      <c r="L83">
        <f ca="1"/>
        <v>96.325000000000003</v>
      </c>
      <c r="M83">
        <f ca="1"/>
        <v>96.263999999999996</v>
      </c>
      <c r="N83" t="str">
        <f ca="1"/>
        <v>AX9913457</v>
      </c>
      <c r="O83" t="str">
        <f ca="1"/>
        <v>JP1103541K42</v>
      </c>
      <c r="P83" t="str">
        <f ca="1"/>
        <v>A+</v>
      </c>
      <c r="Q83" s="3">
        <f ca="1"/>
        <v>43557</v>
      </c>
      <c r="R83" s="4">
        <f ca="1"/>
        <v>46101</v>
      </c>
      <c r="S83" s="4">
        <f ca="1"/>
        <v>2.9733059548254621</v>
      </c>
      <c r="T83">
        <f ca="1"/>
        <v>96.294499999999999</v>
      </c>
      <c r="U83">
        <f ca="1"/>
        <v>30</v>
      </c>
      <c r="V83">
        <f ca="1"/>
        <v>2.5</v>
      </c>
      <c r="W83">
        <f ca="1"/>
        <v>7</v>
      </c>
      <c r="X83">
        <f ca="1"/>
        <v>0.10494505494505496</v>
      </c>
      <c r="Y83">
        <f ca="1"/>
        <v>96.189554945054951</v>
      </c>
      <c r="Z83">
        <f ca="1"/>
        <v>1.3769999999997828</v>
      </c>
    </row>
    <row r="84" spans="1:26" x14ac:dyDescent="0.35">
      <c r="A84" t="str">
        <f ca="1"/>
        <v>EH761125 Corp</v>
      </c>
      <c r="B84" t="str">
        <f ca="1"/>
        <v>Japan Government Twenty Year Bond</v>
      </c>
      <c r="C84" t="str">
        <f ca="1"/>
        <v>JGB</v>
      </c>
      <c r="D84" t="str">
        <f ca="1"/>
        <v>JP</v>
      </c>
      <c r="E84" t="str">
        <f ca="1"/>
        <v>JPY</v>
      </c>
      <c r="F84" t="str">
        <f ca="1"/>
        <v>20/03/2029</v>
      </c>
      <c r="G84" t="str">
        <f ca="1"/>
        <v>FIXED</v>
      </c>
      <c r="H84">
        <f ca="1"/>
        <v>2</v>
      </c>
      <c r="I84">
        <f ca="1"/>
        <v>1.9</v>
      </c>
      <c r="J84">
        <f ca="1"/>
        <v>1.3329999999999949</v>
      </c>
      <c r="K84">
        <f ca="1"/>
        <v>1.3549999999999971</v>
      </c>
      <c r="L84">
        <f ca="1"/>
        <v>101.64700000000001</v>
      </c>
      <c r="M84">
        <f ca="1"/>
        <v>101.58199999999999</v>
      </c>
      <c r="N84" t="str">
        <f ca="1"/>
        <v>EH7611252</v>
      </c>
      <c r="O84" t="str">
        <f ca="1"/>
        <v>JP1201091939</v>
      </c>
      <c r="P84" t="str">
        <f ca="1"/>
        <v>A+</v>
      </c>
      <c r="Q84" s="3">
        <f ca="1"/>
        <v>39889</v>
      </c>
      <c r="R84" s="4">
        <f ca="1"/>
        <v>46101</v>
      </c>
      <c r="S84" s="4">
        <f ca="1"/>
        <v>2.9733059548254621</v>
      </c>
      <c r="T84">
        <f ca="1"/>
        <v>101.61449999999999</v>
      </c>
      <c r="U84">
        <f ca="1"/>
        <v>136</v>
      </c>
      <c r="V84">
        <f ca="1"/>
        <v>2.5</v>
      </c>
      <c r="W84">
        <f ca="1"/>
        <v>17</v>
      </c>
      <c r="X84">
        <f ca="1"/>
        <v>1.993956043956044</v>
      </c>
      <c r="Y84">
        <f ca="1"/>
        <v>99.620543956043946</v>
      </c>
      <c r="Z84">
        <f ca="1"/>
        <v>1.3439999999999959</v>
      </c>
    </row>
    <row r="85" spans="1:26" x14ac:dyDescent="0.35">
      <c r="A85" t="str">
        <f ca="1"/>
        <v>EH799588 Corp</v>
      </c>
      <c r="B85" t="str">
        <f ca="1"/>
        <v>Japan Government Twenty Year Bond</v>
      </c>
      <c r="C85" t="str">
        <f ca="1"/>
        <v>JGB</v>
      </c>
      <c r="D85" t="str">
        <f ca="1"/>
        <v>JP</v>
      </c>
      <c r="E85" t="str">
        <f ca="1"/>
        <v>JPY</v>
      </c>
      <c r="F85" t="str">
        <f ca="1"/>
        <v>20/03/2029</v>
      </c>
      <c r="G85" t="str">
        <f ca="1"/>
        <v>FIXED</v>
      </c>
      <c r="H85">
        <f ca="1"/>
        <v>2</v>
      </c>
      <c r="I85">
        <f ca="1"/>
        <v>2.1</v>
      </c>
      <c r="J85">
        <f ca="1"/>
        <v>1.3289999999999951</v>
      </c>
      <c r="K85">
        <f ca="1"/>
        <v>1.3529999999999978</v>
      </c>
      <c r="L85">
        <f ca="1"/>
        <v>102.239</v>
      </c>
      <c r="M85">
        <f ca="1"/>
        <v>102.16800000000001</v>
      </c>
      <c r="N85" t="str">
        <f ca="1"/>
        <v>EH7995887</v>
      </c>
      <c r="O85" t="str">
        <f ca="1"/>
        <v>JP1201101944</v>
      </c>
      <c r="P85" t="str">
        <f ca="1"/>
        <v>A+</v>
      </c>
      <c r="Q85" s="3">
        <f ca="1"/>
        <v>39924</v>
      </c>
      <c r="R85" s="4">
        <f ca="1"/>
        <v>46101</v>
      </c>
      <c r="S85" s="4">
        <f ca="1"/>
        <v>2.9733059548254621</v>
      </c>
      <c r="T85">
        <f ca="1"/>
        <v>102.20350000000001</v>
      </c>
      <c r="U85">
        <f ca="1"/>
        <v>138</v>
      </c>
      <c r="V85">
        <f ca="1"/>
        <v>2.5</v>
      </c>
      <c r="W85">
        <f ca="1"/>
        <v>17</v>
      </c>
      <c r="X85">
        <f ca="1"/>
        <v>2.203846153846154</v>
      </c>
      <c r="Y85">
        <f ca="1"/>
        <v>99.999653846153848</v>
      </c>
      <c r="Z85">
        <f ca="1"/>
        <v>1.3409999999999964</v>
      </c>
    </row>
    <row r="86" spans="1:26" x14ac:dyDescent="0.35">
      <c r="A86" t="str">
        <f ca="1"/>
        <v>YX094761 Corp</v>
      </c>
      <c r="B86" t="str">
        <f ca="1"/>
        <v>Japan Government Five Year Bond</v>
      </c>
      <c r="C86" t="str">
        <f ca="1"/>
        <v>JGB</v>
      </c>
      <c r="D86" t="str">
        <f ca="1"/>
        <v>JP</v>
      </c>
      <c r="E86" t="str">
        <f ca="1"/>
        <v>JPY</v>
      </c>
      <c r="F86" t="str">
        <f ca="1"/>
        <v>20/03/2029</v>
      </c>
      <c r="G86" t="str">
        <f ca="1"/>
        <v>FIXED</v>
      </c>
      <c r="H86">
        <f ca="1"/>
        <v>2</v>
      </c>
      <c r="I86">
        <f ca="1"/>
        <v>0.6</v>
      </c>
      <c r="J86">
        <f ca="1"/>
        <v>1.3589999999999949</v>
      </c>
      <c r="K86">
        <f ca="1"/>
        <v>1.3799999999999946</v>
      </c>
      <c r="L86">
        <f ca="1"/>
        <v>97.796000000000006</v>
      </c>
      <c r="M86">
        <f ca="1"/>
        <v>97.736999999999995</v>
      </c>
      <c r="N86" t="str">
        <f ca="1"/>
        <v>YX0947615</v>
      </c>
      <c r="O86" t="str">
        <f ca="1"/>
        <v>JP1051681Q54</v>
      </c>
      <c r="P86" t="str">
        <f ca="1"/>
        <v>A+</v>
      </c>
      <c r="Q86" s="3">
        <f ca="1"/>
        <v>45419</v>
      </c>
      <c r="R86" s="4">
        <f ca="1"/>
        <v>46101</v>
      </c>
      <c r="S86" s="4">
        <f ca="1"/>
        <v>2.9733059548254621</v>
      </c>
      <c r="T86">
        <f ca="1"/>
        <v>97.766500000000008</v>
      </c>
      <c r="U86">
        <f ca="1"/>
        <v>275</v>
      </c>
      <c r="V86">
        <f ca="1"/>
        <v>2.5</v>
      </c>
      <c r="W86">
        <f ca="1"/>
        <v>2</v>
      </c>
      <c r="X86">
        <f ca="1"/>
        <v>0.62967032967032965</v>
      </c>
      <c r="Y86">
        <f ca="1"/>
        <v>97.136829670329675</v>
      </c>
      <c r="Z86">
        <f ca="1"/>
        <v>1.3694999999999946</v>
      </c>
    </row>
    <row r="87" spans="1:26" x14ac:dyDescent="0.35">
      <c r="A87" t="str">
        <f ca="1"/>
        <v>YX891742 Corp</v>
      </c>
      <c r="B87" t="str">
        <f ca="1"/>
        <v>Japan Government Five Year Bond</v>
      </c>
      <c r="C87" t="str">
        <f ca="1"/>
        <v>JGB</v>
      </c>
      <c r="D87" t="str">
        <f ca="1"/>
        <v>JP</v>
      </c>
      <c r="E87" t="str">
        <f ca="1"/>
        <v>JPY</v>
      </c>
      <c r="F87" t="str">
        <f ca="1"/>
        <v>20/03/2029</v>
      </c>
      <c r="G87" t="str">
        <f ca="1"/>
        <v>FIXED</v>
      </c>
      <c r="H87">
        <f ca="1"/>
        <v>2</v>
      </c>
      <c r="I87">
        <f ca="1"/>
        <v>0.5</v>
      </c>
      <c r="J87">
        <f ca="1"/>
        <v>1.3569999999999802</v>
      </c>
      <c r="K87">
        <f ca="1"/>
        <v>1.3779999999999786</v>
      </c>
      <c r="L87">
        <f ca="1"/>
        <v>97.512</v>
      </c>
      <c r="M87">
        <f ca="1"/>
        <v>97.451999999999998</v>
      </c>
      <c r="N87" t="str">
        <f ca="1"/>
        <v>YX8917420</v>
      </c>
      <c r="O87" t="str">
        <f ca="1"/>
        <v>JP1051691Q60</v>
      </c>
      <c r="P87" t="str">
        <f ca="1"/>
        <v>A+</v>
      </c>
      <c r="Q87" s="3">
        <f ca="1"/>
        <v>45456</v>
      </c>
      <c r="R87" s="4">
        <f ca="1"/>
        <v>46101</v>
      </c>
      <c r="S87" s="4">
        <f ca="1"/>
        <v>2.9733059548254621</v>
      </c>
      <c r="T87">
        <f ca="1"/>
        <v>97.481999999999999</v>
      </c>
      <c r="U87">
        <f ca="1"/>
        <v>279</v>
      </c>
      <c r="V87">
        <f ca="1"/>
        <v>2.5</v>
      </c>
      <c r="W87">
        <f ca="1"/>
        <v>2</v>
      </c>
      <c r="X87">
        <f ca="1"/>
        <v>0.52472527472527475</v>
      </c>
      <c r="Y87">
        <f ca="1"/>
        <v>96.957274725274729</v>
      </c>
      <c r="Z87">
        <f ca="1"/>
        <v>1.3674999999999793</v>
      </c>
    </row>
    <row r="88" spans="1:26" x14ac:dyDescent="0.35">
      <c r="A88" t="str">
        <f ca="1"/>
        <v>ZB309355 Corp</v>
      </c>
      <c r="B88" t="str">
        <f ca="1"/>
        <v>Japan Government Five Year Bond</v>
      </c>
      <c r="C88" t="str">
        <f ca="1"/>
        <v>JGB</v>
      </c>
      <c r="D88" t="str">
        <f ca="1"/>
        <v>JP</v>
      </c>
      <c r="E88" t="str">
        <f ca="1"/>
        <v>JPY</v>
      </c>
      <c r="F88" t="str">
        <f ca="1"/>
        <v>20/03/2029</v>
      </c>
      <c r="G88" t="str">
        <f ca="1"/>
        <v>FIXED</v>
      </c>
      <c r="H88">
        <f ca="1"/>
        <v>2</v>
      </c>
      <c r="I88">
        <f ca="1"/>
        <v>0.4</v>
      </c>
      <c r="J88">
        <f ca="1"/>
        <v>1.3629999999999627</v>
      </c>
      <c r="K88">
        <f ca="1"/>
        <v>1.3839999999999646</v>
      </c>
      <c r="L88">
        <f ca="1"/>
        <v>97.204999999999998</v>
      </c>
      <c r="M88">
        <f ca="1"/>
        <v>97.144999999999996</v>
      </c>
      <c r="N88" t="str">
        <f ca="1"/>
        <v>ZB3093554</v>
      </c>
      <c r="O88" t="str">
        <f ca="1"/>
        <v>JP1051671Q49</v>
      </c>
      <c r="P88" t="str">
        <f ca="1"/>
        <v>A+</v>
      </c>
      <c r="Q88" s="3">
        <f ca="1"/>
        <v>45384</v>
      </c>
      <c r="R88" s="4">
        <f ca="1"/>
        <v>46101</v>
      </c>
      <c r="S88" s="4">
        <f ca="1"/>
        <v>2.9733059548254621</v>
      </c>
      <c r="T88">
        <f ca="1"/>
        <v>97.174999999999997</v>
      </c>
      <c r="U88">
        <f ca="1"/>
        <v>283</v>
      </c>
      <c r="V88">
        <f ca="1"/>
        <v>2.5</v>
      </c>
      <c r="W88">
        <f ca="1"/>
        <v>2</v>
      </c>
      <c r="X88">
        <f ca="1"/>
        <v>0.41978021978021984</v>
      </c>
      <c r="Y88">
        <f ca="1"/>
        <v>96.755219780219775</v>
      </c>
      <c r="Z88">
        <f ca="1"/>
        <v>1.3734999999999635</v>
      </c>
    </row>
    <row r="89" spans="1:26" x14ac:dyDescent="0.35">
      <c r="A89" t="str">
        <f ca="1"/>
        <v>AZ459860 Corp</v>
      </c>
      <c r="B89" t="str">
        <f ca="1"/>
        <v>Japan Government Ten Year Bond</v>
      </c>
      <c r="C89" t="str">
        <f ca="1"/>
        <v>JGB</v>
      </c>
      <c r="D89" t="str">
        <f ca="1"/>
        <v>JP</v>
      </c>
      <c r="E89" t="str">
        <f ca="1"/>
        <v>JPY</v>
      </c>
      <c r="F89" t="str">
        <f ca="1"/>
        <v>20/06/2029</v>
      </c>
      <c r="G89" t="str">
        <f ca="1"/>
        <v>FIXED</v>
      </c>
      <c r="H89">
        <f ca="1"/>
        <v>2</v>
      </c>
      <c r="I89">
        <f ca="1"/>
        <v>0.1</v>
      </c>
      <c r="J89">
        <f ca="1"/>
        <v>1.4159999999997692</v>
      </c>
      <c r="K89">
        <f ca="1"/>
        <v>1.439999999999745</v>
      </c>
      <c r="L89">
        <f ca="1"/>
        <v>95.882000000000005</v>
      </c>
      <c r="M89">
        <f ca="1"/>
        <v>95.81</v>
      </c>
      <c r="N89" t="str">
        <f ca="1"/>
        <v>AZ4598605</v>
      </c>
      <c r="O89" t="str">
        <f ca="1"/>
        <v>JP1103551K72</v>
      </c>
      <c r="P89" t="str">
        <f ca="1"/>
        <v>A+</v>
      </c>
      <c r="Q89" s="3">
        <f ca="1"/>
        <v>43648</v>
      </c>
      <c r="R89" s="4">
        <f ca="1"/>
        <v>46193</v>
      </c>
      <c r="S89" s="4">
        <f ca="1"/>
        <v>3.2251882272416155</v>
      </c>
      <c r="T89">
        <f ca="1"/>
        <v>95.846000000000004</v>
      </c>
      <c r="U89">
        <f ca="1"/>
        <v>31</v>
      </c>
      <c r="V89">
        <f ca="1"/>
        <v>3</v>
      </c>
      <c r="W89">
        <f ca="1"/>
        <v>7</v>
      </c>
      <c r="X89">
        <f ca="1"/>
        <v>5.4945054945054951E-2</v>
      </c>
      <c r="Y89">
        <f ca="1"/>
        <v>95.791054945054952</v>
      </c>
      <c r="Z89">
        <f ca="1"/>
        <v>1.427999999999757</v>
      </c>
    </row>
    <row r="90" spans="1:26" x14ac:dyDescent="0.35">
      <c r="A90" t="str">
        <f ca="1"/>
        <v>EH871549 Corp</v>
      </c>
      <c r="B90" t="str">
        <f ca="1"/>
        <v>Japan Government Twenty Year Bond</v>
      </c>
      <c r="C90" t="str">
        <f ca="1"/>
        <v>JGB</v>
      </c>
      <c r="D90" t="str">
        <f ca="1"/>
        <v>JP</v>
      </c>
      <c r="E90" t="str">
        <f ca="1"/>
        <v>JPY</v>
      </c>
      <c r="F90" t="str">
        <f ca="1"/>
        <v>20/06/2029</v>
      </c>
      <c r="G90" t="str">
        <f ca="1"/>
        <v>FIXED</v>
      </c>
      <c r="H90">
        <f ca="1"/>
        <v>2</v>
      </c>
      <c r="I90">
        <f ca="1"/>
        <v>2.2000000000000002</v>
      </c>
      <c r="J90">
        <f ca="1"/>
        <v>1.3729999999999931</v>
      </c>
      <c r="K90">
        <f ca="1"/>
        <v>1.3969999999999927</v>
      </c>
      <c r="L90">
        <f ca="1"/>
        <v>102.59099999999999</v>
      </c>
      <c r="M90">
        <f ca="1"/>
        <v>102.514</v>
      </c>
      <c r="N90" t="str">
        <f ca="1"/>
        <v>EH8715490</v>
      </c>
      <c r="O90" t="str">
        <f ca="1"/>
        <v>JP1201111968</v>
      </c>
      <c r="P90" t="str">
        <f ca="1"/>
        <v>A+</v>
      </c>
      <c r="Q90" s="3">
        <f ca="1"/>
        <v>39981</v>
      </c>
      <c r="R90" s="4">
        <f ca="1"/>
        <v>46193</v>
      </c>
      <c r="S90" s="4">
        <f ca="1"/>
        <v>3.2251882272416155</v>
      </c>
      <c r="T90">
        <f ca="1"/>
        <v>102.55249999999999</v>
      </c>
      <c r="U90">
        <f ca="1"/>
        <v>140</v>
      </c>
      <c r="V90">
        <f ca="1"/>
        <v>3</v>
      </c>
      <c r="W90">
        <f ca="1"/>
        <v>17</v>
      </c>
      <c r="X90">
        <f ca="1"/>
        <v>1.2087912087912089</v>
      </c>
      <c r="Y90">
        <f ca="1"/>
        <v>101.34370879120878</v>
      </c>
      <c r="Z90">
        <f ca="1"/>
        <v>1.3849999999999929</v>
      </c>
    </row>
    <row r="91" spans="1:26" x14ac:dyDescent="0.35">
      <c r="A91" t="str">
        <f ca="1"/>
        <v>EH914171 Corp</v>
      </c>
      <c r="B91" t="str">
        <f ca="1"/>
        <v>Japan Government Twenty Year Bond</v>
      </c>
      <c r="C91" t="str">
        <f ca="1"/>
        <v>JGB</v>
      </c>
      <c r="D91" t="str">
        <f ca="1"/>
        <v>JP</v>
      </c>
      <c r="E91" t="str">
        <f ca="1"/>
        <v>JPY</v>
      </c>
      <c r="F91" t="str">
        <f ca="1"/>
        <v>20/06/2029</v>
      </c>
      <c r="G91" t="str">
        <f ca="1"/>
        <v>FIXED</v>
      </c>
      <c r="H91">
        <f ca="1"/>
        <v>2</v>
      </c>
      <c r="I91">
        <f ca="1"/>
        <v>2.1</v>
      </c>
      <c r="J91">
        <f ca="1"/>
        <v>1.3809999999999996</v>
      </c>
      <c r="K91">
        <f ca="1"/>
        <v>1.404999999999996</v>
      </c>
      <c r="L91">
        <f ca="1"/>
        <v>102.252</v>
      </c>
      <c r="M91">
        <f ca="1"/>
        <v>102.175</v>
      </c>
      <c r="N91" t="str">
        <f ca="1"/>
        <v>EH9141712</v>
      </c>
      <c r="O91" t="str">
        <f ca="1"/>
        <v>JP1201121975</v>
      </c>
      <c r="P91" t="str">
        <f ca="1"/>
        <v>A+</v>
      </c>
      <c r="Q91" s="3">
        <f ca="1"/>
        <v>40016</v>
      </c>
      <c r="R91" s="4">
        <f ca="1"/>
        <v>46193</v>
      </c>
      <c r="S91" s="4">
        <f ca="1"/>
        <v>3.2251882272416155</v>
      </c>
      <c r="T91">
        <f ca="1"/>
        <v>102.2135</v>
      </c>
      <c r="U91">
        <f ca="1"/>
        <v>141</v>
      </c>
      <c r="V91">
        <f ca="1"/>
        <v>3</v>
      </c>
      <c r="W91">
        <f ca="1"/>
        <v>17</v>
      </c>
      <c r="X91">
        <f ca="1"/>
        <v>1.153846153846154</v>
      </c>
      <c r="Y91">
        <f ca="1"/>
        <v>101.05965384615384</v>
      </c>
      <c r="Z91">
        <f ca="1"/>
        <v>1.3929999999999978</v>
      </c>
    </row>
    <row r="92" spans="1:26" x14ac:dyDescent="0.35">
      <c r="A92" t="str">
        <f ca="1"/>
        <v>YV146917 Corp</v>
      </c>
      <c r="B92" t="str">
        <f ca="1"/>
        <v>Japan Government Five Year Bond</v>
      </c>
      <c r="C92" t="str">
        <f ca="1"/>
        <v>JGB</v>
      </c>
      <c r="D92" t="str">
        <f ca="1"/>
        <v>JP</v>
      </c>
      <c r="E92" t="str">
        <f ca="1"/>
        <v>JPY</v>
      </c>
      <c r="F92" t="str">
        <f ca="1"/>
        <v>20/06/2029</v>
      </c>
      <c r="G92" t="str">
        <f ca="1"/>
        <v>FIXED</v>
      </c>
      <c r="H92">
        <f ca="1"/>
        <v>2</v>
      </c>
      <c r="I92">
        <f ca="1"/>
        <v>0.4</v>
      </c>
      <c r="J92">
        <f ca="1"/>
        <v>1.4129999999999545</v>
      </c>
      <c r="K92">
        <f ca="1"/>
        <v>1.432999999999951</v>
      </c>
      <c r="L92">
        <f ca="1"/>
        <v>96.83</v>
      </c>
      <c r="M92">
        <f ca="1"/>
        <v>96.769000000000005</v>
      </c>
      <c r="N92" t="str">
        <f ca="1"/>
        <v>YV1469175</v>
      </c>
      <c r="O92" t="str">
        <f ca="1"/>
        <v>JP1051711Q82</v>
      </c>
      <c r="P92" t="str">
        <f ca="1"/>
        <v>A+</v>
      </c>
      <c r="Q92" s="3">
        <f ca="1"/>
        <v>45511</v>
      </c>
      <c r="R92" s="4">
        <f ca="1"/>
        <v>46193</v>
      </c>
      <c r="S92" s="4">
        <f ca="1"/>
        <v>3.2251882272416155</v>
      </c>
      <c r="T92">
        <f ca="1"/>
        <v>96.799499999999995</v>
      </c>
      <c r="U92">
        <f ca="1"/>
        <v>265</v>
      </c>
      <c r="V92">
        <f ca="1"/>
        <v>3</v>
      </c>
      <c r="W92">
        <f ca="1"/>
        <v>2</v>
      </c>
      <c r="X92">
        <f ca="1"/>
        <v>0.2197802197802198</v>
      </c>
      <c r="Y92">
        <f ca="1"/>
        <v>96.579719780219776</v>
      </c>
      <c r="Z92">
        <f ca="1"/>
        <v>1.4229999999999527</v>
      </c>
    </row>
    <row r="93" spans="1:26" x14ac:dyDescent="0.35">
      <c r="A93" t="str">
        <f ca="1"/>
        <v>YV698156 Corp</v>
      </c>
      <c r="B93" t="str">
        <f ca="1"/>
        <v>Japan Government Five Year Bond</v>
      </c>
      <c r="C93" t="str">
        <f ca="1"/>
        <v>JGB</v>
      </c>
      <c r="D93" t="str">
        <f ca="1"/>
        <v>JP</v>
      </c>
      <c r="E93" t="str">
        <f ca="1"/>
        <v>JPY</v>
      </c>
      <c r="F93" t="str">
        <f ca="1"/>
        <v>20/06/2029</v>
      </c>
      <c r="G93" t="str">
        <f ca="1"/>
        <v>FIXED</v>
      </c>
      <c r="H93">
        <f ca="1"/>
        <v>2</v>
      </c>
      <c r="I93">
        <f ca="1"/>
        <v>0.5</v>
      </c>
      <c r="J93">
        <f ca="1"/>
        <v>1.4109999999999803</v>
      </c>
      <c r="K93">
        <f ca="1"/>
        <v>1.432999999999975</v>
      </c>
      <c r="L93">
        <f ca="1"/>
        <v>97.149000000000001</v>
      </c>
      <c r="M93">
        <f ca="1"/>
        <v>97.081999999999994</v>
      </c>
      <c r="N93" t="str">
        <f ca="1"/>
        <v>YV6981562</v>
      </c>
      <c r="O93" t="str">
        <f ca="1"/>
        <v>JP1051721Q98</v>
      </c>
      <c r="P93" t="str">
        <f ca="1"/>
        <v>A+</v>
      </c>
      <c r="Q93" s="3">
        <f ca="1"/>
        <v>45538</v>
      </c>
      <c r="R93" s="4">
        <f ca="1"/>
        <v>46193</v>
      </c>
      <c r="S93" s="4">
        <f ca="1"/>
        <v>3.2251882272416155</v>
      </c>
      <c r="T93">
        <f ca="1"/>
        <v>97.115499999999997</v>
      </c>
      <c r="U93">
        <f ca="1"/>
        <v>267</v>
      </c>
      <c r="V93">
        <f ca="1"/>
        <v>3</v>
      </c>
      <c r="W93">
        <f ca="1"/>
        <v>2</v>
      </c>
      <c r="X93">
        <f ca="1"/>
        <v>0.27472527472527475</v>
      </c>
      <c r="Y93">
        <f ca="1"/>
        <v>96.840774725274727</v>
      </c>
      <c r="Z93">
        <f ca="1"/>
        <v>1.4219999999999775</v>
      </c>
    </row>
    <row r="94" spans="1:26" x14ac:dyDescent="0.35">
      <c r="A94" t="str">
        <f ca="1"/>
        <v>YW286965 Corp</v>
      </c>
      <c r="B94" t="str">
        <f ca="1"/>
        <v>Japan Government Five Year Bond</v>
      </c>
      <c r="C94" t="str">
        <f ca="1"/>
        <v>JGB</v>
      </c>
      <c r="D94" t="str">
        <f ca="1"/>
        <v>JP</v>
      </c>
      <c r="E94" t="str">
        <f ca="1"/>
        <v>JPY</v>
      </c>
      <c r="F94" t="str">
        <f ca="1"/>
        <v>20/06/2029</v>
      </c>
      <c r="G94" t="str">
        <f ca="1"/>
        <v>FIXED</v>
      </c>
      <c r="H94">
        <f ca="1"/>
        <v>2</v>
      </c>
      <c r="I94">
        <f ca="1"/>
        <v>0.6</v>
      </c>
      <c r="J94">
        <f ca="1"/>
        <v>1.4069999999999812</v>
      </c>
      <c r="K94">
        <f ca="1"/>
        <v>1.4269999999999907</v>
      </c>
      <c r="L94">
        <f ca="1"/>
        <v>97.474000000000004</v>
      </c>
      <c r="M94">
        <f ca="1"/>
        <v>97.412999999999997</v>
      </c>
      <c r="N94" t="str">
        <f ca="1"/>
        <v>YW2869652</v>
      </c>
      <c r="O94" t="str">
        <f ca="1"/>
        <v>JP1051701Q76</v>
      </c>
      <c r="P94" t="str">
        <f ca="1"/>
        <v>A+</v>
      </c>
      <c r="Q94" s="3">
        <f ca="1"/>
        <v>45475</v>
      </c>
      <c r="R94" s="4">
        <f ca="1"/>
        <v>46193</v>
      </c>
      <c r="S94" s="4">
        <f ca="1"/>
        <v>3.2251882272416155</v>
      </c>
      <c r="T94">
        <f ca="1"/>
        <v>97.4435</v>
      </c>
      <c r="U94">
        <f ca="1"/>
        <v>271</v>
      </c>
      <c r="V94">
        <f ca="1"/>
        <v>3</v>
      </c>
      <c r="W94">
        <f ca="1"/>
        <v>2</v>
      </c>
      <c r="X94">
        <f ca="1"/>
        <v>0.32967032967032966</v>
      </c>
      <c r="Y94">
        <f ca="1"/>
        <v>97.113829670329665</v>
      </c>
      <c r="Z94">
        <f ca="1"/>
        <v>1.416999999999986</v>
      </c>
    </row>
    <row r="95" spans="1:26" x14ac:dyDescent="0.35">
      <c r="A95" t="str">
        <f ca="1"/>
        <v>YW503765 Corp</v>
      </c>
      <c r="B95" t="str">
        <f ca="1"/>
        <v>Japan Government Five Year Bond</v>
      </c>
      <c r="C95" t="str">
        <f ca="1"/>
        <v>JGB</v>
      </c>
      <c r="D95" t="str">
        <f ca="1"/>
        <v>JP</v>
      </c>
      <c r="E95" t="str">
        <f ca="1"/>
        <v>JPY</v>
      </c>
      <c r="F95" t="str">
        <f ca="1"/>
        <v>20/06/2029</v>
      </c>
      <c r="G95" t="str">
        <f ca="1"/>
        <v>FIXED</v>
      </c>
      <c r="H95">
        <f ca="1"/>
        <v>2</v>
      </c>
      <c r="I95">
        <f ca="1"/>
        <v>0.5</v>
      </c>
      <c r="J95">
        <f ca="1"/>
        <v>1.4149999999999832</v>
      </c>
      <c r="K95">
        <f ca="1"/>
        <v>1.4379999999999746</v>
      </c>
      <c r="L95">
        <f ca="1"/>
        <v>97.135999999999996</v>
      </c>
      <c r="M95">
        <f ca="1"/>
        <v>97.066999999999993</v>
      </c>
      <c r="N95" t="str">
        <f ca="1"/>
        <v>YW5037653</v>
      </c>
      <c r="O95" t="str">
        <f ca="1"/>
        <v>JP1470021Q71</v>
      </c>
      <c r="P95" t="str">
        <f ca="1"/>
        <v>A+</v>
      </c>
      <c r="Q95" s="3">
        <f ca="1"/>
        <v>45484</v>
      </c>
      <c r="R95" s="4">
        <f ca="1"/>
        <v>46193</v>
      </c>
      <c r="S95" s="4">
        <f ca="1"/>
        <v>3.2251882272416155</v>
      </c>
      <c r="T95">
        <f ca="1"/>
        <v>97.101499999999987</v>
      </c>
      <c r="U95">
        <f ca="1"/>
        <v>273</v>
      </c>
      <c r="V95">
        <f ca="1"/>
        <v>3</v>
      </c>
      <c r="W95">
        <f ca="1"/>
        <v>2</v>
      </c>
      <c r="X95">
        <f ca="1"/>
        <v>0.27472527472527475</v>
      </c>
      <c r="Y95">
        <f ca="1"/>
        <v>96.826774725274717</v>
      </c>
      <c r="Z95">
        <f ca="1"/>
        <v>1.426499999999979</v>
      </c>
    </row>
    <row r="96" spans="1:26" x14ac:dyDescent="0.35">
      <c r="A96" t="str">
        <f ca="1"/>
        <v>EC174534 Corp</v>
      </c>
      <c r="B96" t="str">
        <f ca="1"/>
        <v>Japan Government Thirty Year Bond</v>
      </c>
      <c r="C96" t="str">
        <f ca="1"/>
        <v>JGB</v>
      </c>
      <c r="D96" t="str">
        <f ca="1"/>
        <v>JP</v>
      </c>
      <c r="E96" t="str">
        <f ca="1"/>
        <v>JPY</v>
      </c>
      <c r="F96" t="str">
        <f ca="1"/>
        <v>20/09/2029</v>
      </c>
      <c r="G96" t="str">
        <f ca="1"/>
        <v>FIXED</v>
      </c>
      <c r="H96">
        <f ca="1"/>
        <v>2</v>
      </c>
      <c r="I96">
        <f ca="1"/>
        <v>2.8</v>
      </c>
      <c r="J96">
        <f ca="1"/>
        <v>1.4089999999996365</v>
      </c>
      <c r="K96">
        <f ca="1"/>
        <v>1.4339999999996769</v>
      </c>
      <c r="L96">
        <f ca="1"/>
        <v>104.672</v>
      </c>
      <c r="M96">
        <f ca="1"/>
        <v>104.584</v>
      </c>
      <c r="N96" t="str">
        <f ca="1"/>
        <v>EC1745347</v>
      </c>
      <c r="O96" t="str">
        <f ca="1"/>
        <v>JP1300011W09</v>
      </c>
      <c r="P96" t="str">
        <f ca="1"/>
        <v>A+</v>
      </c>
      <c r="Q96" s="3">
        <f ca="1"/>
        <v>36405</v>
      </c>
      <c r="R96" s="4">
        <f ca="1"/>
        <v>46101</v>
      </c>
      <c r="S96" s="4">
        <f ca="1"/>
        <v>3.4770704996577688</v>
      </c>
      <c r="T96">
        <f ca="1"/>
        <v>104.628</v>
      </c>
      <c r="U96">
        <f ca="1"/>
        <v>82</v>
      </c>
      <c r="V96">
        <f ca="1"/>
        <v>3</v>
      </c>
      <c r="W96">
        <f ca="1"/>
        <v>27</v>
      </c>
      <c r="X96">
        <f ca="1"/>
        <v>2.9384615384615382</v>
      </c>
      <c r="Y96">
        <f ca="1"/>
        <v>101.68953846153846</v>
      </c>
      <c r="Z96">
        <f ca="1"/>
        <v>1.4214999999996567</v>
      </c>
    </row>
    <row r="97" spans="1:26" x14ac:dyDescent="0.35">
      <c r="A97" t="str">
        <f ca="1"/>
        <v>EH975344 Corp</v>
      </c>
      <c r="B97" t="str">
        <f ca="1"/>
        <v>Japan Government Twenty Year Bond</v>
      </c>
      <c r="C97" t="str">
        <f ca="1"/>
        <v>JGB</v>
      </c>
      <c r="D97" t="str">
        <f ca="1"/>
        <v>JP</v>
      </c>
      <c r="E97" t="str">
        <f ca="1"/>
        <v>JPY</v>
      </c>
      <c r="F97" t="str">
        <f ca="1"/>
        <v>20/09/2029</v>
      </c>
      <c r="G97" t="str">
        <f ca="1"/>
        <v>FIXED</v>
      </c>
      <c r="H97">
        <f ca="1"/>
        <v>2</v>
      </c>
      <c r="I97">
        <f ca="1"/>
        <v>2.1</v>
      </c>
      <c r="J97">
        <f ca="1"/>
        <v>1.4179999999999928</v>
      </c>
      <c r="K97">
        <f ca="1"/>
        <v>1.4429999999999903</v>
      </c>
      <c r="L97">
        <f ca="1"/>
        <v>102.29</v>
      </c>
      <c r="M97">
        <f ca="1"/>
        <v>102.20399999999999</v>
      </c>
      <c r="N97" t="str">
        <f ca="1"/>
        <v>EH9753441</v>
      </c>
      <c r="O97" t="str">
        <f ca="1"/>
        <v>JP1201131990</v>
      </c>
      <c r="P97" t="str">
        <f ca="1"/>
        <v>A+</v>
      </c>
      <c r="Q97" s="3">
        <f ca="1"/>
        <v>40071</v>
      </c>
      <c r="R97" s="4">
        <f ca="1"/>
        <v>46101</v>
      </c>
      <c r="S97" s="4">
        <f ca="1"/>
        <v>3.4770704996577688</v>
      </c>
      <c r="T97">
        <f ca="1"/>
        <v>102.247</v>
      </c>
      <c r="U97">
        <f ca="1"/>
        <v>142</v>
      </c>
      <c r="V97">
        <f ca="1"/>
        <v>3</v>
      </c>
      <c r="W97">
        <f ca="1"/>
        <v>17</v>
      </c>
      <c r="X97">
        <f ca="1"/>
        <v>2.203846153846154</v>
      </c>
      <c r="Y97">
        <f ca="1"/>
        <v>100.04315384615384</v>
      </c>
      <c r="Z97">
        <f ca="1"/>
        <v>1.4304999999999914</v>
      </c>
    </row>
    <row r="98" spans="1:26" x14ac:dyDescent="0.35">
      <c r="A98" t="str">
        <f ca="1"/>
        <v>YT301966 Corp</v>
      </c>
      <c r="B98" t="str">
        <f ca="1"/>
        <v>Japan Government Five Year Bond</v>
      </c>
      <c r="C98" t="str">
        <f ca="1"/>
        <v>JGB</v>
      </c>
      <c r="D98" t="str">
        <f ca="1"/>
        <v>JP</v>
      </c>
      <c r="E98" t="str">
        <f ca="1"/>
        <v>JPY</v>
      </c>
      <c r="F98" t="str">
        <f ca="1"/>
        <v>20/09/2029</v>
      </c>
      <c r="G98" t="str">
        <f ca="1"/>
        <v>FIXED</v>
      </c>
      <c r="H98">
        <f ca="1"/>
        <v>2</v>
      </c>
      <c r="I98">
        <f ca="1"/>
        <v>0.7</v>
      </c>
      <c r="J98">
        <f ca="1"/>
        <v>1.453999999999982</v>
      </c>
      <c r="K98">
        <f ca="1"/>
        <v>1.4729999999999803</v>
      </c>
      <c r="L98">
        <f ca="1"/>
        <v>97.471000000000004</v>
      </c>
      <c r="M98">
        <f ca="1"/>
        <v>97.408000000000001</v>
      </c>
      <c r="N98" t="str">
        <f ca="1"/>
        <v>YT3019668</v>
      </c>
      <c r="O98" t="str">
        <f ca="1"/>
        <v>JP1051741QB7</v>
      </c>
      <c r="P98" t="str">
        <f ca="1"/>
        <v>A+</v>
      </c>
      <c r="Q98" s="3">
        <f ca="1"/>
        <v>45604</v>
      </c>
      <c r="R98" s="4">
        <f ca="1"/>
        <v>46101</v>
      </c>
      <c r="S98" s="4">
        <f ca="1"/>
        <v>3.4770704996577688</v>
      </c>
      <c r="T98">
        <f ca="1"/>
        <v>97.43950000000001</v>
      </c>
      <c r="U98">
        <f ca="1"/>
        <v>257</v>
      </c>
      <c r="V98">
        <f ca="1"/>
        <v>3</v>
      </c>
      <c r="W98">
        <f ca="1"/>
        <v>2</v>
      </c>
      <c r="X98">
        <f ca="1"/>
        <v>0.73461538461538456</v>
      </c>
      <c r="Y98">
        <f ca="1"/>
        <v>96.704884615384628</v>
      </c>
      <c r="Z98">
        <f ca="1"/>
        <v>1.4634999999999811</v>
      </c>
    </row>
    <row r="99" spans="1:26" x14ac:dyDescent="0.35">
      <c r="A99" t="str">
        <f ca="1"/>
        <v>YU433144 Corp</v>
      </c>
      <c r="B99" t="str">
        <f ca="1"/>
        <v>Japan Government Five Year Bond</v>
      </c>
      <c r="C99" t="str">
        <f ca="1"/>
        <v>JGB</v>
      </c>
      <c r="D99" t="str">
        <f ca="1"/>
        <v>JP</v>
      </c>
      <c r="E99" t="str">
        <f ca="1"/>
        <v>JPY</v>
      </c>
      <c r="F99" t="str">
        <f ca="1"/>
        <v>20/09/2029</v>
      </c>
      <c r="G99" t="str">
        <f ca="1"/>
        <v>FIXED</v>
      </c>
      <c r="H99">
        <f ca="1"/>
        <v>2</v>
      </c>
      <c r="I99">
        <f ca="1"/>
        <v>0.6</v>
      </c>
      <c r="J99">
        <f ca="1"/>
        <v>1.4539999999999584</v>
      </c>
      <c r="K99">
        <f ca="1"/>
        <v>1.4729999999999528</v>
      </c>
      <c r="L99">
        <f ca="1"/>
        <v>97.135000000000005</v>
      </c>
      <c r="M99">
        <f ca="1"/>
        <v>97.072999999999993</v>
      </c>
      <c r="N99" t="str">
        <f ca="1"/>
        <v>YU4331440</v>
      </c>
      <c r="O99" t="str">
        <f ca="1"/>
        <v>JP1051731QA0</v>
      </c>
      <c r="P99" t="str">
        <f ca="1"/>
        <v>A+</v>
      </c>
      <c r="Q99" s="3">
        <f ca="1"/>
        <v>45568</v>
      </c>
      <c r="R99" s="4">
        <f ca="1"/>
        <v>46101</v>
      </c>
      <c r="S99" s="4">
        <f ca="1"/>
        <v>3.4770704996577688</v>
      </c>
      <c r="T99">
        <f ca="1"/>
        <v>97.103999999999999</v>
      </c>
      <c r="U99">
        <f ca="1"/>
        <v>262</v>
      </c>
      <c r="V99">
        <f ca="1"/>
        <v>3</v>
      </c>
      <c r="W99">
        <f ca="1"/>
        <v>2</v>
      </c>
      <c r="X99">
        <f ca="1"/>
        <v>0.62967032967032965</v>
      </c>
      <c r="Y99">
        <f ca="1"/>
        <v>96.474329670329666</v>
      </c>
      <c r="Z99">
        <f ca="1"/>
        <v>1.4634999999999556</v>
      </c>
    </row>
    <row r="100" spans="1:26" x14ac:dyDescent="0.35">
      <c r="A100" t="str">
        <f ca="1"/>
        <v>ZR885925 Corp</v>
      </c>
      <c r="B100" t="str">
        <f ca="1"/>
        <v>Japan Government Ten Year Bond</v>
      </c>
      <c r="C100" t="str">
        <f ca="1"/>
        <v>JGB</v>
      </c>
      <c r="D100" t="str">
        <f ca="1"/>
        <v>JP</v>
      </c>
      <c r="E100" t="str">
        <f ca="1"/>
        <v>JPY</v>
      </c>
      <c r="F100" t="str">
        <f ca="1"/>
        <v>20/09/2029</v>
      </c>
      <c r="G100" t="str">
        <f ca="1"/>
        <v>FIXED</v>
      </c>
      <c r="H100">
        <f ca="1"/>
        <v>2</v>
      </c>
      <c r="I100">
        <f ca="1"/>
        <v>0.1</v>
      </c>
      <c r="J100">
        <f ca="1"/>
        <v>1.4599999999990589</v>
      </c>
      <c r="K100">
        <f ca="1"/>
        <v>1.4819999999989455</v>
      </c>
      <c r="L100">
        <f ca="1"/>
        <v>95.438999999999993</v>
      </c>
      <c r="M100">
        <f ca="1"/>
        <v>95.369</v>
      </c>
      <c r="N100" t="str">
        <f ca="1"/>
        <v>ZR8859251</v>
      </c>
      <c r="O100" t="str">
        <f ca="1"/>
        <v>JP1103561KA2</v>
      </c>
      <c r="P100" t="str">
        <f ca="1"/>
        <v>A+</v>
      </c>
      <c r="Q100" s="3">
        <f ca="1"/>
        <v>43739</v>
      </c>
      <c r="R100" s="4">
        <f ca="1"/>
        <v>46101</v>
      </c>
      <c r="S100" s="4">
        <f ca="1"/>
        <v>3.4770704996577688</v>
      </c>
      <c r="T100">
        <f ca="1"/>
        <v>95.403999999999996</v>
      </c>
      <c r="U100">
        <f ca="1"/>
        <v>323</v>
      </c>
      <c r="V100">
        <f ca="1"/>
        <v>3</v>
      </c>
      <c r="W100">
        <f ca="1"/>
        <v>7</v>
      </c>
      <c r="X100">
        <f ca="1"/>
        <v>0.10494505494505496</v>
      </c>
      <c r="Y100">
        <f ca="1"/>
        <v>95.299054945054948</v>
      </c>
      <c r="Z100">
        <f ca="1"/>
        <v>1.4709999999990022</v>
      </c>
    </row>
    <row r="101" spans="1:26" x14ac:dyDescent="0.35">
      <c r="A101" t="str">
        <f ca="1"/>
        <v>EI083545 Corp</v>
      </c>
      <c r="B101" t="str">
        <f ca="1"/>
        <v>Japan Government Twenty Year Bond</v>
      </c>
      <c r="C101" t="str">
        <f ca="1"/>
        <v>JGB</v>
      </c>
      <c r="D101" t="str">
        <f ca="1"/>
        <v>JP</v>
      </c>
      <c r="E101" t="str">
        <f ca="1"/>
        <v>JPY</v>
      </c>
      <c r="F101" t="str">
        <f ca="1"/>
        <v>20/12/2029</v>
      </c>
      <c r="G101" t="str">
        <f ca="1"/>
        <v>FIXED</v>
      </c>
      <c r="H101">
        <f ca="1"/>
        <v>2</v>
      </c>
      <c r="I101">
        <f ca="1"/>
        <v>2.1</v>
      </c>
      <c r="J101">
        <f ca="1"/>
        <v>1.4539999999999988</v>
      </c>
      <c r="K101">
        <f ca="1"/>
        <v>1.4779999999999944</v>
      </c>
      <c r="L101">
        <f ca="1"/>
        <v>102.31100000000001</v>
      </c>
      <c r="M101">
        <f ca="1"/>
        <v>102.224</v>
      </c>
      <c r="N101" t="str">
        <f ca="1"/>
        <v>EI0835450</v>
      </c>
      <c r="O101" t="str">
        <f ca="1"/>
        <v>JP12011419C6</v>
      </c>
      <c r="P101" t="str">
        <f ca="1"/>
        <v>A+</v>
      </c>
      <c r="Q101" s="3">
        <f ca="1"/>
        <v>40162</v>
      </c>
      <c r="R101" s="4">
        <f ca="1"/>
        <v>46193</v>
      </c>
      <c r="S101" s="4">
        <f ca="1"/>
        <v>3.7262149212867897</v>
      </c>
      <c r="T101">
        <f ca="1"/>
        <v>102.26750000000001</v>
      </c>
      <c r="U101">
        <f ca="1"/>
        <v>144</v>
      </c>
      <c r="V101">
        <f ca="1"/>
        <v>3.5</v>
      </c>
      <c r="W101">
        <f ca="1"/>
        <v>17</v>
      </c>
      <c r="X101">
        <f ca="1"/>
        <v>1.153846153846154</v>
      </c>
      <c r="Y101">
        <f ca="1"/>
        <v>101.11365384615385</v>
      </c>
      <c r="Z101">
        <f ca="1"/>
        <v>1.4659999999999966</v>
      </c>
    </row>
    <row r="102" spans="1:26" x14ac:dyDescent="0.35">
      <c r="A102" t="str">
        <f ca="1"/>
        <v>EI159052 Corp</v>
      </c>
      <c r="B102" t="str">
        <f ca="1"/>
        <v>Japan Government Twenty Year Bond</v>
      </c>
      <c r="C102" t="str">
        <f ca="1"/>
        <v>JGB</v>
      </c>
      <c r="D102" t="str">
        <f ca="1"/>
        <v>JP</v>
      </c>
      <c r="E102" t="str">
        <f ca="1"/>
        <v>JPY</v>
      </c>
      <c r="F102" t="str">
        <f ca="1"/>
        <v>20/12/2029</v>
      </c>
      <c r="G102" t="str">
        <f ca="1"/>
        <v>FIXED</v>
      </c>
      <c r="H102">
        <f ca="1"/>
        <v>2</v>
      </c>
      <c r="I102">
        <f ca="1"/>
        <v>2.2000000000000002</v>
      </c>
      <c r="J102">
        <f ca="1"/>
        <v>1.4509999999999901</v>
      </c>
      <c r="K102">
        <f ca="1"/>
        <v>1.4759999999999969</v>
      </c>
      <c r="L102">
        <f ca="1"/>
        <v>102.68</v>
      </c>
      <c r="M102">
        <f ca="1"/>
        <v>102.589</v>
      </c>
      <c r="N102" t="str">
        <f ca="1"/>
        <v>EI1590526</v>
      </c>
      <c r="O102" t="str">
        <f ca="1"/>
        <v>JP1201151A21</v>
      </c>
      <c r="P102" t="str">
        <f ca="1"/>
        <v>A+</v>
      </c>
      <c r="Q102" s="3">
        <f ca="1"/>
        <v>40232</v>
      </c>
      <c r="R102" s="4">
        <f ca="1"/>
        <v>46193</v>
      </c>
      <c r="S102" s="4">
        <f ca="1"/>
        <v>3.7262149212867897</v>
      </c>
      <c r="T102">
        <f ca="1"/>
        <v>102.6345</v>
      </c>
      <c r="U102">
        <f ca="1"/>
        <v>145</v>
      </c>
      <c r="V102">
        <f ca="1"/>
        <v>3.5</v>
      </c>
      <c r="W102">
        <f ca="1"/>
        <v>16</v>
      </c>
      <c r="X102">
        <f ca="1"/>
        <v>1.2087912087912089</v>
      </c>
      <c r="Y102">
        <f ca="1"/>
        <v>101.42570879120879</v>
      </c>
      <c r="Z102">
        <f ca="1"/>
        <v>1.4634999999999936</v>
      </c>
    </row>
    <row r="103" spans="1:26" x14ac:dyDescent="0.35">
      <c r="A103" t="str">
        <f ca="1"/>
        <v>YQ248343 Corp</v>
      </c>
      <c r="B103" t="str">
        <f ca="1"/>
        <v>Japan Government Five Year Bond</v>
      </c>
      <c r="C103" t="str">
        <f ca="1"/>
        <v>JGB</v>
      </c>
      <c r="D103" t="str">
        <f ca="1"/>
        <v>JP</v>
      </c>
      <c r="E103" t="str">
        <f ca="1"/>
        <v>JPY</v>
      </c>
      <c r="F103" t="str">
        <f ca="1"/>
        <v>20/12/2029</v>
      </c>
      <c r="G103" t="str">
        <f ca="1"/>
        <v>FIXED</v>
      </c>
      <c r="H103">
        <f ca="1"/>
        <v>2</v>
      </c>
      <c r="I103">
        <f ca="1"/>
        <v>1.1000000000000001</v>
      </c>
      <c r="J103">
        <f ca="1"/>
        <v>1.4839999999999998</v>
      </c>
      <c r="K103">
        <f ca="1"/>
        <v>1.5039999999999978</v>
      </c>
      <c r="L103">
        <f ca="1"/>
        <v>98.626999999999995</v>
      </c>
      <c r="M103">
        <f ca="1"/>
        <v>98.555999999999997</v>
      </c>
      <c r="N103" t="str">
        <f ca="1"/>
        <v>YQ2483432</v>
      </c>
      <c r="O103" t="str">
        <f ca="1"/>
        <v>JP1051771R39</v>
      </c>
      <c r="P103" t="str">
        <f ca="1"/>
        <v>A+</v>
      </c>
      <c r="Q103" s="3">
        <f ca="1"/>
        <v>45719</v>
      </c>
      <c r="R103" s="4">
        <f ca="1"/>
        <v>46193</v>
      </c>
      <c r="S103" s="4">
        <f ca="1"/>
        <v>3.7262149212867897</v>
      </c>
      <c r="T103">
        <f ca="1"/>
        <v>98.591499999999996</v>
      </c>
      <c r="U103">
        <f ca="1"/>
        <v>246</v>
      </c>
      <c r="V103">
        <f ca="1"/>
        <v>3.5</v>
      </c>
      <c r="W103">
        <f ca="1"/>
        <v>1</v>
      </c>
      <c r="X103">
        <f ca="1"/>
        <v>0.60439560439560447</v>
      </c>
      <c r="Y103">
        <f ca="1"/>
        <v>97.987104395604391</v>
      </c>
      <c r="Z103">
        <f ca="1"/>
        <v>1.4939999999999989</v>
      </c>
    </row>
    <row r="104" spans="1:26" x14ac:dyDescent="0.35">
      <c r="A104" t="str">
        <f ca="1"/>
        <v>YR543118 Corp</v>
      </c>
      <c r="B104" t="str">
        <f ca="1"/>
        <v>Japan Government Five Year Bond</v>
      </c>
      <c r="C104" t="str">
        <f ca="1"/>
        <v>JGB</v>
      </c>
      <c r="D104" t="str">
        <f ca="1"/>
        <v>JP</v>
      </c>
      <c r="E104" t="str">
        <f ca="1"/>
        <v>JPY</v>
      </c>
      <c r="F104" t="str">
        <f ca="1"/>
        <v>20/12/2029</v>
      </c>
      <c r="G104" t="str">
        <f ca="1"/>
        <v>FIXED</v>
      </c>
      <c r="H104">
        <f ca="1"/>
        <v>2</v>
      </c>
      <c r="I104">
        <f ca="1"/>
        <v>1</v>
      </c>
      <c r="J104">
        <f ca="1"/>
        <v>1.4819999999999955</v>
      </c>
      <c r="K104">
        <f ca="1"/>
        <v>1.5029999999999997</v>
      </c>
      <c r="L104">
        <f ca="1"/>
        <v>98.275999999999996</v>
      </c>
      <c r="M104">
        <f ca="1"/>
        <v>98.201999999999998</v>
      </c>
      <c r="N104" t="str">
        <f ca="1"/>
        <v>YR5431188</v>
      </c>
      <c r="O104" t="str">
        <f ca="1"/>
        <v>JP1051761R23</v>
      </c>
      <c r="P104" t="str">
        <f ca="1"/>
        <v>A+</v>
      </c>
      <c r="Q104" s="3">
        <f ca="1"/>
        <v>45695</v>
      </c>
      <c r="R104" s="4">
        <f ca="1"/>
        <v>46193</v>
      </c>
      <c r="S104" s="4">
        <f ca="1"/>
        <v>3.7262149212867897</v>
      </c>
      <c r="T104">
        <f ca="1"/>
        <v>98.239000000000004</v>
      </c>
      <c r="U104">
        <f ca="1"/>
        <v>250</v>
      </c>
      <c r="V104">
        <f ca="1"/>
        <v>3.5</v>
      </c>
      <c r="W104">
        <f ca="1"/>
        <v>1</v>
      </c>
      <c r="X104">
        <f ca="1"/>
        <v>0.5494505494505495</v>
      </c>
      <c r="Y104">
        <f ca="1"/>
        <v>97.68954945054945</v>
      </c>
      <c r="Z104">
        <f ca="1"/>
        <v>1.4924999999999975</v>
      </c>
    </row>
    <row r="105" spans="1:26" x14ac:dyDescent="0.35">
      <c r="A105" t="str">
        <f ca="1"/>
        <v>YS632004 Corp</v>
      </c>
      <c r="B105" t="str">
        <f ca="1"/>
        <v>Japan Government Five Year Bond</v>
      </c>
      <c r="C105" t="str">
        <f ca="1"/>
        <v>JGB</v>
      </c>
      <c r="D105" t="str">
        <f ca="1"/>
        <v>JP</v>
      </c>
      <c r="E105" t="str">
        <f ca="1"/>
        <v>JPY</v>
      </c>
      <c r="F105" t="str">
        <f ca="1"/>
        <v>20/12/2029</v>
      </c>
      <c r="G105" t="str">
        <f ca="1"/>
        <v>FIXED</v>
      </c>
      <c r="H105">
        <f ca="1"/>
        <v>2</v>
      </c>
      <c r="I105">
        <f ca="1"/>
        <v>0.9</v>
      </c>
      <c r="J105">
        <f ca="1"/>
        <v>1.4879999999999953</v>
      </c>
      <c r="K105">
        <f ca="1"/>
        <v>1.5079999999999951</v>
      </c>
      <c r="L105">
        <f ca="1"/>
        <v>97.897999999999996</v>
      </c>
      <c r="M105">
        <f ca="1"/>
        <v>97.828000000000003</v>
      </c>
      <c r="N105" t="str">
        <f ca="1"/>
        <v>YS6320040</v>
      </c>
      <c r="O105" t="str">
        <f ca="1"/>
        <v>JP1051751R17</v>
      </c>
      <c r="P105" t="str">
        <f ca="1"/>
        <v>A+</v>
      </c>
      <c r="Q105" s="3">
        <f ca="1"/>
        <v>45664</v>
      </c>
      <c r="R105" s="4">
        <f ca="1"/>
        <v>46193</v>
      </c>
      <c r="S105" s="4">
        <f ca="1"/>
        <v>3.7262149212867897</v>
      </c>
      <c r="T105">
        <f ca="1"/>
        <v>97.863</v>
      </c>
      <c r="U105">
        <f ca="1"/>
        <v>255</v>
      </c>
      <c r="V105">
        <f ca="1"/>
        <v>3.5</v>
      </c>
      <c r="W105">
        <f ca="1"/>
        <v>1</v>
      </c>
      <c r="X105">
        <f ca="1"/>
        <v>0.49450549450549458</v>
      </c>
      <c r="Y105">
        <f ca="1"/>
        <v>97.36849450549451</v>
      </c>
      <c r="Z105">
        <f ca="1"/>
        <v>1.4979999999999953</v>
      </c>
    </row>
    <row r="106" spans="1:26" x14ac:dyDescent="0.35">
      <c r="A106" t="str">
        <f ca="1"/>
        <v>ZP316570 Corp</v>
      </c>
      <c r="B106" t="str">
        <f ca="1"/>
        <v>Japan Government Ten Year Bond</v>
      </c>
      <c r="C106" t="str">
        <f ca="1"/>
        <v>JGB</v>
      </c>
      <c r="D106" t="str">
        <f ca="1"/>
        <v>JP</v>
      </c>
      <c r="E106" t="str">
        <f ca="1"/>
        <v>JPY</v>
      </c>
      <c r="F106" t="str">
        <f ca="1"/>
        <v>20/12/2029</v>
      </c>
      <c r="G106" t="str">
        <f ca="1"/>
        <v>FIXED</v>
      </c>
      <c r="H106">
        <f ca="1"/>
        <v>2</v>
      </c>
      <c r="I106">
        <f ca="1"/>
        <v>0.1</v>
      </c>
      <c r="J106">
        <f ca="1"/>
        <v>1.5069999999989467</v>
      </c>
      <c r="K106">
        <f ca="1"/>
        <v>1.5289999999988426</v>
      </c>
      <c r="L106">
        <f ca="1"/>
        <v>94.974000000000004</v>
      </c>
      <c r="M106">
        <f ca="1"/>
        <v>94.899000000000001</v>
      </c>
      <c r="N106" t="str">
        <f ca="1"/>
        <v>ZP3165708</v>
      </c>
      <c r="O106" t="str">
        <f ca="1"/>
        <v>JP1103571L10</v>
      </c>
      <c r="P106" t="str">
        <f ca="1"/>
        <v>A+</v>
      </c>
      <c r="Q106" s="3">
        <f ca="1"/>
        <v>43826</v>
      </c>
      <c r="R106" s="4">
        <f ca="1"/>
        <v>46193</v>
      </c>
      <c r="S106" s="4">
        <f ca="1"/>
        <v>3.7262149212867897</v>
      </c>
      <c r="T106">
        <f ca="1"/>
        <v>94.936499999999995</v>
      </c>
      <c r="U106">
        <f ca="1"/>
        <v>318</v>
      </c>
      <c r="V106">
        <f ca="1"/>
        <v>3.5</v>
      </c>
      <c r="W106">
        <f ca="1"/>
        <v>7</v>
      </c>
      <c r="X106">
        <f ca="1"/>
        <v>5.4945054945054951E-2</v>
      </c>
      <c r="Y106">
        <f ca="1"/>
        <v>94.881554945054944</v>
      </c>
      <c r="Z106">
        <f ca="1"/>
        <v>1.5179999999988947</v>
      </c>
    </row>
    <row r="107" spans="1:26" x14ac:dyDescent="0.35">
      <c r="A107" t="str">
        <f ca="1"/>
        <v>EC222031 Corp</v>
      </c>
      <c r="B107" t="str">
        <f ca="1"/>
        <v>Japan Government Thirty Year Bond</v>
      </c>
      <c r="C107" t="str">
        <f ca="1"/>
        <v>JGB</v>
      </c>
      <c r="D107" t="str">
        <f ca="1"/>
        <v>JP</v>
      </c>
      <c r="E107" t="str">
        <f ca="1"/>
        <v>JPY</v>
      </c>
      <c r="F107" t="str">
        <f ca="1"/>
        <v>20/02/2030</v>
      </c>
      <c r="G107" t="str">
        <f ca="1"/>
        <v>FIXED</v>
      </c>
      <c r="H107">
        <f ca="1"/>
        <v>2</v>
      </c>
      <c r="I107">
        <f ca="1"/>
        <v>2.4</v>
      </c>
      <c r="J107">
        <f ca="1"/>
        <v>1.4719999999999784</v>
      </c>
      <c r="K107">
        <f ca="1"/>
        <v>1.4959999999999769</v>
      </c>
      <c r="L107">
        <f ca="1"/>
        <v>103.46</v>
      </c>
      <c r="M107">
        <f ca="1"/>
        <v>103.367</v>
      </c>
      <c r="N107" t="str">
        <f ca="1"/>
        <v>EC2220316</v>
      </c>
      <c r="O107" t="str">
        <f ca="1"/>
        <v>JP1300021001</v>
      </c>
      <c r="P107" t="str">
        <f ca="1"/>
        <v>A+</v>
      </c>
      <c r="Q107" s="3">
        <f ca="1"/>
        <v>36559</v>
      </c>
      <c r="R107" s="4">
        <f ca="1"/>
        <v>46254</v>
      </c>
      <c r="S107" s="4">
        <f ca="1"/>
        <v>3.8959616700889801</v>
      </c>
      <c r="T107">
        <f ca="1"/>
        <v>103.4135</v>
      </c>
      <c r="U107">
        <f ca="1"/>
        <v>83</v>
      </c>
      <c r="V107">
        <f ca="1"/>
        <v>3.5</v>
      </c>
      <c r="W107">
        <f ca="1"/>
        <v>26</v>
      </c>
      <c r="X107">
        <f ca="1"/>
        <v>0.50109890109890109</v>
      </c>
      <c r="Y107">
        <f ca="1"/>
        <v>102.9124010989011</v>
      </c>
      <c r="Z107">
        <f ca="1"/>
        <v>1.4839999999999778</v>
      </c>
    </row>
    <row r="108" spans="1:26" x14ac:dyDescent="0.35">
      <c r="A108" t="str">
        <f ca="1"/>
        <v>BH527948 Corp</v>
      </c>
      <c r="B108" t="str">
        <f ca="1"/>
        <v>Japan Government Ten Year Bond</v>
      </c>
      <c r="C108" t="str">
        <f ca="1"/>
        <v>JGB</v>
      </c>
      <c r="D108" t="str">
        <f ca="1"/>
        <v>JP</v>
      </c>
      <c r="E108" t="str">
        <f ca="1"/>
        <v>JPY</v>
      </c>
      <c r="F108" t="str">
        <f ca="1"/>
        <v>20/03/2030</v>
      </c>
      <c r="G108" t="str">
        <f ca="1"/>
        <v>FIXED</v>
      </c>
      <c r="H108">
        <f ca="1"/>
        <v>2</v>
      </c>
      <c r="I108">
        <f ca="1"/>
        <v>0.1</v>
      </c>
      <c r="J108">
        <f ca="1"/>
        <v>1.5469999999964401</v>
      </c>
      <c r="K108">
        <f ca="1"/>
        <v>1.5669999999961144</v>
      </c>
      <c r="L108">
        <f ca="1"/>
        <v>94.521000000000001</v>
      </c>
      <c r="M108">
        <f ca="1"/>
        <v>94.448999999999998</v>
      </c>
      <c r="N108" t="str">
        <f ca="1"/>
        <v>BH5279485</v>
      </c>
      <c r="O108" t="str">
        <f ca="1"/>
        <v>JP1103581L42</v>
      </c>
      <c r="P108" t="str">
        <f ca="1"/>
        <v>A+</v>
      </c>
      <c r="Q108" s="3">
        <f ca="1"/>
        <v>43916</v>
      </c>
      <c r="R108" s="4">
        <f ca="1"/>
        <v>46101</v>
      </c>
      <c r="S108" s="4">
        <f ca="1"/>
        <v>3.9726214921286789</v>
      </c>
      <c r="T108">
        <f ca="1"/>
        <v>94.484999999999999</v>
      </c>
      <c r="U108">
        <f ca="1"/>
        <v>34</v>
      </c>
      <c r="V108">
        <f ca="1"/>
        <v>3.5</v>
      </c>
      <c r="W108">
        <f ca="1"/>
        <v>6</v>
      </c>
      <c r="X108">
        <f ca="1"/>
        <v>0.10494505494505496</v>
      </c>
      <c r="Y108">
        <f ca="1"/>
        <v>94.380054945054951</v>
      </c>
      <c r="Z108">
        <f ca="1"/>
        <v>1.5569999999962771</v>
      </c>
    </row>
    <row r="109" spans="1:26" x14ac:dyDescent="0.35">
      <c r="A109" t="str">
        <f ca="1"/>
        <v>EI190878 Corp</v>
      </c>
      <c r="B109" t="str">
        <f ca="1"/>
        <v>Japan Government Twenty Year Bond</v>
      </c>
      <c r="C109" t="str">
        <f ca="1"/>
        <v>JGB</v>
      </c>
      <c r="D109" t="str">
        <f ca="1"/>
        <v>JP</v>
      </c>
      <c r="E109" t="str">
        <f ca="1"/>
        <v>JPY</v>
      </c>
      <c r="F109" t="str">
        <f ca="1"/>
        <v>20/03/2030</v>
      </c>
      <c r="G109" t="str">
        <f ca="1"/>
        <v>FIXED</v>
      </c>
      <c r="H109">
        <f ca="1"/>
        <v>2</v>
      </c>
      <c r="I109">
        <f ca="1"/>
        <v>2.2000000000000002</v>
      </c>
      <c r="J109">
        <f ca="1"/>
        <v>1.4859999999999773</v>
      </c>
      <c r="K109">
        <f ca="1"/>
        <v>1.509999999999986</v>
      </c>
      <c r="L109">
        <f ca="1"/>
        <v>102.709</v>
      </c>
      <c r="M109">
        <f ca="1"/>
        <v>102.616</v>
      </c>
      <c r="N109" t="str">
        <f ca="1"/>
        <v>EI1908785</v>
      </c>
      <c r="O109" t="str">
        <f ca="1"/>
        <v>JP1201161A37</v>
      </c>
      <c r="P109" t="str">
        <f ca="1"/>
        <v>A+</v>
      </c>
      <c r="Q109" s="3">
        <f ca="1"/>
        <v>40253</v>
      </c>
      <c r="R109" s="4">
        <f ca="1"/>
        <v>46101</v>
      </c>
      <c r="S109" s="4">
        <f ca="1"/>
        <v>3.9726214921286789</v>
      </c>
      <c r="T109">
        <f ca="1"/>
        <v>102.66249999999999</v>
      </c>
      <c r="U109">
        <f ca="1"/>
        <v>147</v>
      </c>
      <c r="V109">
        <f ca="1"/>
        <v>3.5</v>
      </c>
      <c r="W109">
        <f ca="1"/>
        <v>16</v>
      </c>
      <c r="X109">
        <f ca="1"/>
        <v>2.308791208791209</v>
      </c>
      <c r="Y109">
        <f ca="1"/>
        <v>100.35370879120879</v>
      </c>
      <c r="Z109">
        <f ca="1"/>
        <v>1.4979999999999816</v>
      </c>
    </row>
    <row r="110" spans="1:26" x14ac:dyDescent="0.35">
      <c r="A110" t="str">
        <f ca="1"/>
        <v>EI232143 Corp</v>
      </c>
      <c r="B110" t="str">
        <f ca="1"/>
        <v>Japan Government Twenty Year Bond</v>
      </c>
      <c r="C110" t="str">
        <f ca="1"/>
        <v>JGB</v>
      </c>
      <c r="D110" t="str">
        <f ca="1"/>
        <v>JP</v>
      </c>
      <c r="E110" t="str">
        <f ca="1"/>
        <v>JPY</v>
      </c>
      <c r="F110" t="str">
        <f ca="1"/>
        <v>20/03/2030</v>
      </c>
      <c r="G110" t="str">
        <f ca="1"/>
        <v>FIXED</v>
      </c>
      <c r="H110">
        <f ca="1"/>
        <v>2</v>
      </c>
      <c r="I110">
        <f ca="1"/>
        <v>2.1</v>
      </c>
      <c r="J110">
        <f ca="1"/>
        <v>1.4909999999999926</v>
      </c>
      <c r="K110">
        <f ca="1"/>
        <v>1.5149999999999881</v>
      </c>
      <c r="L110">
        <f ca="1"/>
        <v>102.31</v>
      </c>
      <c r="M110">
        <f ca="1"/>
        <v>102.217</v>
      </c>
      <c r="N110" t="str">
        <f ca="1"/>
        <v>EI2321434</v>
      </c>
      <c r="O110" t="str">
        <f ca="1"/>
        <v>JP1201171A43</v>
      </c>
      <c r="P110" t="str">
        <f ca="1"/>
        <v>A+</v>
      </c>
      <c r="Q110" s="3">
        <f ca="1"/>
        <v>40290</v>
      </c>
      <c r="R110" s="4">
        <f ca="1"/>
        <v>46101</v>
      </c>
      <c r="S110" s="4">
        <f ca="1"/>
        <v>3.9726214921286789</v>
      </c>
      <c r="T110">
        <f ca="1"/>
        <v>102.26349999999999</v>
      </c>
      <c r="U110">
        <f ca="1"/>
        <v>148</v>
      </c>
      <c r="V110">
        <f ca="1"/>
        <v>3.5</v>
      </c>
      <c r="W110">
        <f ca="1"/>
        <v>16</v>
      </c>
      <c r="X110">
        <f ca="1"/>
        <v>2.203846153846154</v>
      </c>
      <c r="Y110">
        <f ca="1"/>
        <v>100.05965384615384</v>
      </c>
      <c r="Z110">
        <f ca="1"/>
        <v>1.5029999999999903</v>
      </c>
    </row>
    <row r="111" spans="1:26" x14ac:dyDescent="0.35">
      <c r="A111" t="str">
        <f ca="1"/>
        <v>YP408001 Corp</v>
      </c>
      <c r="B111" t="str">
        <f ca="1"/>
        <v>Japan Government Five Year Bond</v>
      </c>
      <c r="C111" t="str">
        <f ca="1"/>
        <v>JGB</v>
      </c>
      <c r="D111" t="str">
        <f ca="1"/>
        <v>JP</v>
      </c>
      <c r="E111" t="str">
        <f ca="1"/>
        <v>JPY</v>
      </c>
      <c r="F111" t="str">
        <f ca="1"/>
        <v>20/03/2030</v>
      </c>
      <c r="G111" t="str">
        <f ca="1"/>
        <v>FIXED</v>
      </c>
      <c r="H111">
        <f ca="1"/>
        <v>2</v>
      </c>
      <c r="I111">
        <f ca="1"/>
        <v>1</v>
      </c>
      <c r="J111">
        <f ca="1"/>
        <v>1.5189999999999966</v>
      </c>
      <c r="K111">
        <f ca="1"/>
        <v>1.5379999999999956</v>
      </c>
      <c r="L111">
        <f ca="1"/>
        <v>98.031999999999996</v>
      </c>
      <c r="M111">
        <f ca="1"/>
        <v>97.962000000000003</v>
      </c>
      <c r="N111" t="str">
        <f ca="1"/>
        <v>YP4080014</v>
      </c>
      <c r="O111" t="str">
        <f ca="1"/>
        <v>JP1051781R45</v>
      </c>
      <c r="P111" t="str">
        <f ca="1"/>
        <v>A+</v>
      </c>
      <c r="Q111" s="3">
        <f ca="1"/>
        <v>45750</v>
      </c>
      <c r="R111" s="4">
        <f ca="1"/>
        <v>46101</v>
      </c>
      <c r="S111" s="4">
        <f ca="1"/>
        <v>3.9726214921286789</v>
      </c>
      <c r="T111">
        <f ca="1"/>
        <v>97.997</v>
      </c>
      <c r="U111">
        <f ca="1"/>
        <v>243</v>
      </c>
      <c r="V111">
        <f ca="1"/>
        <v>3.5</v>
      </c>
      <c r="W111">
        <f ca="1"/>
        <v>1</v>
      </c>
      <c r="X111">
        <f ca="1"/>
        <v>1.0494505494505495</v>
      </c>
      <c r="Y111">
        <f ca="1"/>
        <v>96.947549450549445</v>
      </c>
      <c r="Z111">
        <f ca="1"/>
        <v>1.5284999999999962</v>
      </c>
    </row>
    <row r="112" spans="1:26" x14ac:dyDescent="0.35">
      <c r="A112" t="str">
        <f ca="1"/>
        <v>EC256531 Corp</v>
      </c>
      <c r="B112" t="str">
        <f ca="1"/>
        <v>Japan Government Thirty Year Bond</v>
      </c>
      <c r="C112" t="str">
        <f ca="1"/>
        <v>JGB</v>
      </c>
      <c r="D112" t="str">
        <f ca="1"/>
        <v>JP</v>
      </c>
      <c r="E112" t="str">
        <f ca="1"/>
        <v>JPY</v>
      </c>
      <c r="F112" t="str">
        <f ca="1"/>
        <v>20/05/2030</v>
      </c>
      <c r="G112" t="str">
        <f ca="1"/>
        <v>FIXED</v>
      </c>
      <c r="H112">
        <f ca="1"/>
        <v>2</v>
      </c>
      <c r="I112">
        <f ca="1"/>
        <v>2.2999999999999998</v>
      </c>
      <c r="J112">
        <f ca="1"/>
        <v>1.5059999999999718</v>
      </c>
      <c r="K112">
        <f ca="1"/>
        <v>1.5299999999999701</v>
      </c>
      <c r="L112">
        <f ca="1"/>
        <v>103.128</v>
      </c>
      <c r="M112">
        <f ca="1"/>
        <v>103.03100000000001</v>
      </c>
      <c r="N112" t="str">
        <f ca="1"/>
        <v>EC2565314</v>
      </c>
      <c r="O112" t="str">
        <f ca="1"/>
        <v>JP1300031000</v>
      </c>
      <c r="P112" t="str">
        <f ca="1"/>
        <v>A+</v>
      </c>
      <c r="Q112" s="3">
        <f ca="1"/>
        <v>36663</v>
      </c>
      <c r="R112" s="4">
        <f ca="1"/>
        <v>46162</v>
      </c>
      <c r="S112" s="4">
        <f ca="1"/>
        <v>4.1396303901437372</v>
      </c>
      <c r="T112">
        <f ca="1"/>
        <v>103.0795</v>
      </c>
      <c r="U112">
        <f ca="1"/>
        <v>84</v>
      </c>
      <c r="V112">
        <f ca="1"/>
        <v>4</v>
      </c>
      <c r="W112">
        <f ca="1"/>
        <v>26</v>
      </c>
      <c r="X112">
        <f ca="1"/>
        <v>1.6428571428571428</v>
      </c>
      <c r="Y112">
        <f ca="1"/>
        <v>101.43664285714286</v>
      </c>
      <c r="Z112">
        <f ca="1"/>
        <v>1.5179999999999709</v>
      </c>
    </row>
    <row r="113" spans="1:26" x14ac:dyDescent="0.35">
      <c r="A113" t="str">
        <f ca="1"/>
        <v>BK340998 Corp</v>
      </c>
      <c r="B113" t="str">
        <f ca="1"/>
        <v>Japan Government Ten Year Bond</v>
      </c>
      <c r="C113" t="str">
        <f ca="1"/>
        <v>JGB</v>
      </c>
      <c r="D113" t="str">
        <f ca="1"/>
        <v>JP</v>
      </c>
      <c r="E113" t="str">
        <f ca="1"/>
        <v>JPY</v>
      </c>
      <c r="F113" t="str">
        <f ca="1"/>
        <v>20/06/2030</v>
      </c>
      <c r="G113" t="str">
        <f ca="1"/>
        <v>FIXED</v>
      </c>
      <c r="H113">
        <f ca="1"/>
        <v>2</v>
      </c>
      <c r="I113">
        <f ca="1"/>
        <v>0.1</v>
      </c>
      <c r="J113">
        <f ca="1"/>
        <v>1.5799999999962568</v>
      </c>
      <c r="K113">
        <f ca="1"/>
        <v>1.602999999995868</v>
      </c>
      <c r="L113">
        <f ca="1"/>
        <v>94.073999999999998</v>
      </c>
      <c r="M113">
        <f ca="1"/>
        <v>93.988</v>
      </c>
      <c r="N113" t="str">
        <f ca="1"/>
        <v>BK3409988</v>
      </c>
      <c r="O113" t="str">
        <f ca="1"/>
        <v>JP1103591L73</v>
      </c>
      <c r="P113" t="str">
        <f ca="1"/>
        <v>A+</v>
      </c>
      <c r="Q113" s="3">
        <f ca="1"/>
        <v>44007</v>
      </c>
      <c r="R113" s="4">
        <f ca="1"/>
        <v>46193</v>
      </c>
      <c r="S113" s="4">
        <f ca="1"/>
        <v>4.2245037645448322</v>
      </c>
      <c r="T113">
        <f ca="1"/>
        <v>94.031000000000006</v>
      </c>
      <c r="U113">
        <f ca="1"/>
        <v>38</v>
      </c>
      <c r="V113">
        <f ca="1"/>
        <v>4</v>
      </c>
      <c r="W113">
        <f ca="1"/>
        <v>6</v>
      </c>
      <c r="X113">
        <f ca="1"/>
        <v>5.4945054945054951E-2</v>
      </c>
      <c r="Y113">
        <f ca="1"/>
        <v>93.976054945054955</v>
      </c>
      <c r="Z113">
        <f ca="1"/>
        <v>1.5914999999960624</v>
      </c>
    </row>
    <row r="114" spans="1:26" x14ac:dyDescent="0.35">
      <c r="A114" t="str">
        <f ca="1"/>
        <v>EI290341 Corp</v>
      </c>
      <c r="B114" t="str">
        <f ca="1"/>
        <v>Japan Government Twenty Year Bond</v>
      </c>
      <c r="C114" t="str">
        <f ca="1"/>
        <v>JGB</v>
      </c>
      <c r="D114" t="str">
        <f ca="1"/>
        <v>JP</v>
      </c>
      <c r="E114" t="str">
        <f ca="1"/>
        <v>JPY</v>
      </c>
      <c r="F114" t="str">
        <f ca="1"/>
        <v>20/06/2030</v>
      </c>
      <c r="G114" t="str">
        <f ca="1"/>
        <v>FIXED</v>
      </c>
      <c r="H114">
        <f ca="1"/>
        <v>2</v>
      </c>
      <c r="I114">
        <f ca="1"/>
        <v>2</v>
      </c>
      <c r="J114">
        <f ca="1"/>
        <v>1.5229999999999959</v>
      </c>
      <c r="K114">
        <f ca="1"/>
        <v>1.5469999999999999</v>
      </c>
      <c r="L114">
        <f ca="1"/>
        <v>101.914</v>
      </c>
      <c r="M114">
        <f ca="1"/>
        <v>101.816</v>
      </c>
      <c r="N114" t="str">
        <f ca="1"/>
        <v>EI2903413</v>
      </c>
      <c r="O114" t="str">
        <f ca="1"/>
        <v>JP1201181A66</v>
      </c>
      <c r="P114" t="str">
        <f ca="1"/>
        <v>A+</v>
      </c>
      <c r="Q114" s="3">
        <f ca="1"/>
        <v>40345</v>
      </c>
      <c r="R114" s="4">
        <f ca="1"/>
        <v>46193</v>
      </c>
      <c r="S114" s="4">
        <f ca="1"/>
        <v>4.2245037645448322</v>
      </c>
      <c r="T114">
        <f ca="1"/>
        <v>101.86500000000001</v>
      </c>
      <c r="U114">
        <f ca="1"/>
        <v>150</v>
      </c>
      <c r="V114">
        <f ca="1"/>
        <v>4</v>
      </c>
      <c r="W114">
        <f ca="1"/>
        <v>16</v>
      </c>
      <c r="X114">
        <f ca="1"/>
        <v>1.098901098901099</v>
      </c>
      <c r="Y114">
        <f ca="1"/>
        <v>100.76609890109891</v>
      </c>
      <c r="Z114">
        <f ca="1"/>
        <v>1.5349999999999979</v>
      </c>
    </row>
    <row r="115" spans="1:26" x14ac:dyDescent="0.35">
      <c r="A115" t="str">
        <f ca="1"/>
        <v>EI332542 Corp</v>
      </c>
      <c r="B115" t="str">
        <f ca="1"/>
        <v>Japan Government Twenty Year Bond</v>
      </c>
      <c r="C115" t="str">
        <f ca="1"/>
        <v>JGB</v>
      </c>
      <c r="D115" t="str">
        <f ca="1"/>
        <v>JP</v>
      </c>
      <c r="E115" t="str">
        <f ca="1"/>
        <v>JPY</v>
      </c>
      <c r="F115" t="str">
        <f ca="1"/>
        <v>20/06/2030</v>
      </c>
      <c r="G115" t="str">
        <f ca="1"/>
        <v>FIXED</v>
      </c>
      <c r="H115">
        <f ca="1"/>
        <v>2</v>
      </c>
      <c r="I115">
        <f ca="1"/>
        <v>1.8</v>
      </c>
      <c r="J115">
        <f ca="1"/>
        <v>1.5249999999999984</v>
      </c>
      <c r="K115">
        <f ca="1"/>
        <v>1.5489999999999975</v>
      </c>
      <c r="L115">
        <f ca="1"/>
        <v>101.10299999999999</v>
      </c>
      <c r="M115">
        <f ca="1"/>
        <v>101.006</v>
      </c>
      <c r="N115" t="str">
        <f ca="1"/>
        <v>EI3325426</v>
      </c>
      <c r="O115" t="str">
        <f ca="1"/>
        <v>JP1201191A72</v>
      </c>
      <c r="P115" t="str">
        <f ca="1"/>
        <v>A+</v>
      </c>
      <c r="Q115" s="3">
        <f ca="1"/>
        <v>40381</v>
      </c>
      <c r="R115" s="4">
        <f ca="1"/>
        <v>46193</v>
      </c>
      <c r="S115" s="4">
        <f ca="1"/>
        <v>4.2245037645448322</v>
      </c>
      <c r="T115">
        <f ca="1"/>
        <v>101.05449999999999</v>
      </c>
      <c r="U115">
        <f ca="1"/>
        <v>151</v>
      </c>
      <c r="V115">
        <f ca="1"/>
        <v>4</v>
      </c>
      <c r="W115">
        <f ca="1"/>
        <v>16</v>
      </c>
      <c r="X115">
        <f ca="1"/>
        <v>0.98901098901098916</v>
      </c>
      <c r="Y115">
        <f ca="1"/>
        <v>100.065489010989</v>
      </c>
      <c r="Z115">
        <f ca="1"/>
        <v>1.5369999999999979</v>
      </c>
    </row>
    <row r="116" spans="1:26" x14ac:dyDescent="0.35">
      <c r="A116" t="str">
        <f ca="1"/>
        <v>EI385485 Corp</v>
      </c>
      <c r="B116" t="str">
        <f ca="1"/>
        <v>Japan Government Twenty Year Bond</v>
      </c>
      <c r="C116" t="str">
        <f ca="1"/>
        <v>JGB</v>
      </c>
      <c r="D116" t="str">
        <f ca="1"/>
        <v>JP</v>
      </c>
      <c r="E116" t="str">
        <f ca="1"/>
        <v>JPY</v>
      </c>
      <c r="F116" t="str">
        <f ca="1"/>
        <v>20/06/2030</v>
      </c>
      <c r="G116" t="str">
        <f ca="1"/>
        <v>FIXED</v>
      </c>
      <c r="H116">
        <f ca="1"/>
        <v>2</v>
      </c>
      <c r="I116">
        <f ca="1"/>
        <v>1.6</v>
      </c>
      <c r="J116">
        <f ca="1"/>
        <v>1.5300000000054579</v>
      </c>
      <c r="K116">
        <f ca="1"/>
        <v>1.554000000001506</v>
      </c>
      <c r="L116">
        <f ca="1"/>
        <v>100.28</v>
      </c>
      <c r="M116">
        <f ca="1"/>
        <v>100.184</v>
      </c>
      <c r="N116" t="str">
        <f ca="1"/>
        <v>EI3854854</v>
      </c>
      <c r="O116" t="str">
        <f ca="1"/>
        <v>JP1201201A88</v>
      </c>
      <c r="P116" t="str">
        <f ca="1"/>
        <v>A+</v>
      </c>
      <c r="Q116" s="3">
        <f ca="1"/>
        <v>40414</v>
      </c>
      <c r="R116" s="4">
        <f ca="1"/>
        <v>46193</v>
      </c>
      <c r="S116" s="4">
        <f ca="1"/>
        <v>4.2245037645448322</v>
      </c>
      <c r="T116">
        <f ca="1"/>
        <v>100.232</v>
      </c>
      <c r="U116">
        <f ca="1"/>
        <v>152</v>
      </c>
      <c r="V116">
        <f ca="1"/>
        <v>4</v>
      </c>
      <c r="W116">
        <f ca="1"/>
        <v>16</v>
      </c>
      <c r="X116">
        <f ca="1"/>
        <v>0.87912087912087922</v>
      </c>
      <c r="Y116">
        <f ca="1"/>
        <v>99.352879120879123</v>
      </c>
      <c r="Z116">
        <f ca="1"/>
        <v>1.5420000000034819</v>
      </c>
    </row>
    <row r="117" spans="1:26" x14ac:dyDescent="0.35">
      <c r="A117" t="str">
        <f ca="1"/>
        <v>YK032880 Corp</v>
      </c>
      <c r="B117" t="str">
        <f ca="1"/>
        <v>Japan Government Five Year Bond</v>
      </c>
      <c r="C117" t="str">
        <f ca="1"/>
        <v>JGB</v>
      </c>
      <c r="D117" t="str">
        <f ca="1"/>
        <v>JP</v>
      </c>
      <c r="E117" t="str">
        <f ca="1"/>
        <v>JPY</v>
      </c>
      <c r="F117" t="str">
        <f ca="1"/>
        <v>20/06/2030</v>
      </c>
      <c r="G117" t="str">
        <f ca="1"/>
        <v>FIXED</v>
      </c>
      <c r="H117">
        <f ca="1"/>
        <v>2</v>
      </c>
      <c r="I117">
        <f ca="1"/>
        <v>1.1000000000000001</v>
      </c>
      <c r="J117">
        <f ca="1"/>
        <v>1.5490000000000022</v>
      </c>
      <c r="K117">
        <f ca="1"/>
        <v>1.5699999999999936</v>
      </c>
      <c r="L117">
        <f ca="1"/>
        <v>98.2</v>
      </c>
      <c r="M117">
        <f ca="1"/>
        <v>98.117000000000004</v>
      </c>
      <c r="N117" t="str">
        <f ca="1"/>
        <v>YK0328806</v>
      </c>
      <c r="O117" t="str">
        <f ca="1"/>
        <v>JP1051801R90</v>
      </c>
      <c r="P117" t="str">
        <f ca="1"/>
        <v>A+</v>
      </c>
      <c r="Q117" s="3">
        <f ca="1"/>
        <v>45903</v>
      </c>
      <c r="R117" s="4">
        <f ca="1"/>
        <v>46193</v>
      </c>
      <c r="S117" s="4">
        <f ca="1"/>
        <v>4.2245037645448322</v>
      </c>
      <c r="T117">
        <f ca="1"/>
        <v>98.158500000000004</v>
      </c>
      <c r="U117">
        <f ca="1"/>
        <v>227</v>
      </c>
      <c r="V117">
        <f ca="1"/>
        <v>4</v>
      </c>
      <c r="W117">
        <f ca="1"/>
        <v>1</v>
      </c>
      <c r="X117">
        <f ca="1"/>
        <v>0.60439560439560447</v>
      </c>
      <c r="Y117">
        <f ca="1"/>
        <v>97.554104395604398</v>
      </c>
      <c r="Z117">
        <f ca="1"/>
        <v>1.5594999999999979</v>
      </c>
    </row>
    <row r="118" spans="1:26" x14ac:dyDescent="0.35">
      <c r="A118" t="str">
        <f ca="1"/>
        <v>YM113944 Corp</v>
      </c>
      <c r="B118" t="str">
        <f ca="1"/>
        <v>Japan Government Five Year Bond</v>
      </c>
      <c r="C118" t="str">
        <f ca="1"/>
        <v>JGB</v>
      </c>
      <c r="D118" t="str">
        <f ca="1"/>
        <v>JP</v>
      </c>
      <c r="E118" t="str">
        <f ca="1"/>
        <v>JPY</v>
      </c>
      <c r="F118" t="str">
        <f ca="1"/>
        <v>20/06/2030</v>
      </c>
      <c r="G118" t="str">
        <f ca="1"/>
        <v>FIXED</v>
      </c>
      <c r="H118">
        <f ca="1"/>
        <v>2</v>
      </c>
      <c r="I118">
        <f ca="1"/>
        <v>1</v>
      </c>
      <c r="J118">
        <f ca="1"/>
        <v>1.5569999999999919</v>
      </c>
      <c r="K118">
        <f ca="1"/>
        <v>1.575999999999997</v>
      </c>
      <c r="L118">
        <f ca="1"/>
        <v>97.766999999999996</v>
      </c>
      <c r="M118">
        <f ca="1"/>
        <v>97.692999999999998</v>
      </c>
      <c r="N118" t="str">
        <f ca="1"/>
        <v>YM1139448</v>
      </c>
      <c r="O118" t="str">
        <f ca="1"/>
        <v>JP1051791R76</v>
      </c>
      <c r="P118" t="str">
        <f ca="1"/>
        <v>A+</v>
      </c>
      <c r="Q118" s="3">
        <f ca="1"/>
        <v>45839</v>
      </c>
      <c r="R118" s="4">
        <f ca="1"/>
        <v>46193</v>
      </c>
      <c r="S118" s="4">
        <f ca="1"/>
        <v>4.2245037645448322</v>
      </c>
      <c r="T118">
        <f ca="1"/>
        <v>97.72999999999999</v>
      </c>
      <c r="U118">
        <f ca="1"/>
        <v>233</v>
      </c>
      <c r="V118">
        <f ca="1"/>
        <v>4</v>
      </c>
      <c r="W118">
        <f ca="1"/>
        <v>1</v>
      </c>
      <c r="X118">
        <f ca="1"/>
        <v>0.5494505494505495</v>
      </c>
      <c r="Y118">
        <f ca="1"/>
        <v>97.180549450549435</v>
      </c>
      <c r="Z118">
        <f ca="1"/>
        <v>1.5664999999999945</v>
      </c>
    </row>
    <row r="119" spans="1:26" x14ac:dyDescent="0.35">
      <c r="A119" t="str">
        <f ca="1"/>
        <v>YM377386 Corp</v>
      </c>
      <c r="B119" t="str">
        <f ca="1"/>
        <v>Japan Government Five Year Bond</v>
      </c>
      <c r="C119" t="str">
        <f ca="1"/>
        <v>JGB</v>
      </c>
      <c r="D119" t="str">
        <f ca="1"/>
        <v>JP</v>
      </c>
      <c r="E119" t="str">
        <f ca="1"/>
        <v>JPY</v>
      </c>
      <c r="F119" t="str">
        <f ca="1"/>
        <v>20/06/2030</v>
      </c>
      <c r="G119" t="str">
        <f ca="1"/>
        <v>FIXED</v>
      </c>
      <c r="H119">
        <f ca="1"/>
        <v>2</v>
      </c>
      <c r="I119">
        <f ca="1"/>
        <v>1</v>
      </c>
      <c r="J119">
        <f ca="1"/>
        <v>1.5609999999999893</v>
      </c>
      <c r="K119">
        <f ca="1"/>
        <v>1.5809999999999922</v>
      </c>
      <c r="L119">
        <f ca="1"/>
        <v>97.751999999999995</v>
      </c>
      <c r="M119">
        <f ca="1"/>
        <v>97.673000000000002</v>
      </c>
      <c r="N119" t="str">
        <f ca="1"/>
        <v>YM3773863</v>
      </c>
      <c r="O119" t="str">
        <f ca="1"/>
        <v>JP1470031R78</v>
      </c>
      <c r="P119" t="str">
        <f ca="1"/>
        <v>A+</v>
      </c>
      <c r="Q119" s="3">
        <f ca="1"/>
        <v>45846</v>
      </c>
      <c r="R119" s="4">
        <f ca="1"/>
        <v>46193</v>
      </c>
      <c r="S119" s="4">
        <f ca="1"/>
        <v>4.2245037645448322</v>
      </c>
      <c r="T119">
        <f ca="1"/>
        <v>97.712500000000006</v>
      </c>
      <c r="U119">
        <f ca="1"/>
        <v>235</v>
      </c>
      <c r="V119">
        <f ca="1"/>
        <v>4</v>
      </c>
      <c r="W119">
        <f ca="1"/>
        <v>1</v>
      </c>
      <c r="X119">
        <f ca="1"/>
        <v>0.5494505494505495</v>
      </c>
      <c r="Y119">
        <f ca="1"/>
        <v>97.163049450549451</v>
      </c>
      <c r="Z119">
        <f ca="1"/>
        <v>1.5709999999999908</v>
      </c>
    </row>
    <row r="120" spans="1:26" x14ac:dyDescent="0.35">
      <c r="A120" t="str">
        <f ca="1"/>
        <v>DC209344 Corp</v>
      </c>
      <c r="B120" t="str">
        <f ca="1"/>
        <v>Japan Government Five Year Bond</v>
      </c>
      <c r="C120" t="str">
        <f ca="1"/>
        <v>JGB</v>
      </c>
      <c r="D120" t="str">
        <f ca="1"/>
        <v>JP</v>
      </c>
      <c r="E120" t="str">
        <f ca="1"/>
        <v>JPY</v>
      </c>
      <c r="F120" t="str">
        <f ca="1"/>
        <v>20/09/2030</v>
      </c>
      <c r="G120" t="str">
        <f ca="1"/>
        <v>FIXED</v>
      </c>
      <c r="H120">
        <f ca="1"/>
        <v>2</v>
      </c>
      <c r="I120">
        <f ca="1"/>
        <v>1.4</v>
      </c>
      <c r="J120">
        <f ca="1"/>
        <v>1.5649999998660922</v>
      </c>
      <c r="K120">
        <f ca="1"/>
        <v>1.5869999998003588</v>
      </c>
      <c r="L120">
        <f ca="1"/>
        <v>99.302000000000007</v>
      </c>
      <c r="M120">
        <f ca="1"/>
        <v>99.21</v>
      </c>
      <c r="N120" t="str">
        <f ca="1"/>
        <v>DC2093441</v>
      </c>
      <c r="O120" t="str">
        <f ca="1"/>
        <v>JP1051821RC3</v>
      </c>
      <c r="P120" t="str">
        <f ca="1"/>
        <v>A+</v>
      </c>
      <c r="Q120" s="3">
        <f ca="1"/>
        <v>45993</v>
      </c>
      <c r="R120" s="4">
        <f ca="1"/>
        <v>46101</v>
      </c>
      <c r="S120" s="4">
        <f ca="1"/>
        <v>4.476386036960986</v>
      </c>
      <c r="T120">
        <f ca="1"/>
        <v>99.256</v>
      </c>
      <c r="U120">
        <f ca="1"/>
        <v>77</v>
      </c>
      <c r="V120">
        <f ca="1"/>
        <v>4</v>
      </c>
      <c r="W120">
        <f ca="1"/>
        <v>1</v>
      </c>
      <c r="X120">
        <f ca="1"/>
        <v>1.4692307692307691</v>
      </c>
      <c r="Y120">
        <f ca="1"/>
        <v>97.786769230769238</v>
      </c>
      <c r="Z120">
        <f ca="1"/>
        <v>1.5759999998332255</v>
      </c>
    </row>
    <row r="121" spans="1:26" x14ac:dyDescent="0.35">
      <c r="A121" t="str">
        <f ca="1"/>
        <v>EI404063 Corp</v>
      </c>
      <c r="B121" t="str">
        <f ca="1"/>
        <v>Japan Government Twenty Year Bond</v>
      </c>
      <c r="C121" t="str">
        <f ca="1"/>
        <v>JGB</v>
      </c>
      <c r="D121" t="str">
        <f ca="1"/>
        <v>JP</v>
      </c>
      <c r="E121" t="str">
        <f ca="1"/>
        <v>JPY</v>
      </c>
      <c r="F121" t="str">
        <f ca="1"/>
        <v>20/09/2030</v>
      </c>
      <c r="G121" t="str">
        <f ca="1"/>
        <v>FIXED</v>
      </c>
      <c r="H121">
        <f ca="1"/>
        <v>2</v>
      </c>
      <c r="I121">
        <f ca="1"/>
        <v>1.9</v>
      </c>
      <c r="J121">
        <f ca="1"/>
        <v>1.5549999999999957</v>
      </c>
      <c r="K121">
        <f ca="1"/>
        <v>1.5780000000000034</v>
      </c>
      <c r="L121">
        <f ca="1"/>
        <v>101.458</v>
      </c>
      <c r="M121">
        <f ca="1"/>
        <v>101.36</v>
      </c>
      <c r="N121" t="str">
        <f ca="1"/>
        <v>EI4040636</v>
      </c>
      <c r="O121" t="str">
        <f ca="1"/>
        <v>JP1201211A94</v>
      </c>
      <c r="P121" t="str">
        <f ca="1"/>
        <v>A+</v>
      </c>
      <c r="Q121" s="3">
        <f ca="1"/>
        <v>40435</v>
      </c>
      <c r="R121" s="4">
        <f ca="1"/>
        <v>46101</v>
      </c>
      <c r="S121" s="4">
        <f ca="1"/>
        <v>4.476386036960986</v>
      </c>
      <c r="T121">
        <f ca="1"/>
        <v>101.40899999999999</v>
      </c>
      <c r="U121">
        <f ca="1"/>
        <v>154</v>
      </c>
      <c r="V121">
        <f ca="1"/>
        <v>4</v>
      </c>
      <c r="W121">
        <f ca="1"/>
        <v>16</v>
      </c>
      <c r="X121">
        <f ca="1"/>
        <v>1.993956043956044</v>
      </c>
      <c r="Y121">
        <f ca="1"/>
        <v>99.415043956043945</v>
      </c>
      <c r="Z121">
        <f ca="1"/>
        <v>1.5664999999999996</v>
      </c>
    </row>
    <row r="122" spans="1:26" x14ac:dyDescent="0.35">
      <c r="A122" t="str">
        <f ca="1"/>
        <v>EI444310 Corp</v>
      </c>
      <c r="B122" t="str">
        <f ca="1"/>
        <v>Japan Government Twenty Year Bond</v>
      </c>
      <c r="C122" t="str">
        <f ca="1"/>
        <v>JGB</v>
      </c>
      <c r="D122" t="str">
        <f ca="1"/>
        <v>JP</v>
      </c>
      <c r="E122" t="str">
        <f ca="1"/>
        <v>JPY</v>
      </c>
      <c r="F122" t="str">
        <f ca="1"/>
        <v>20/09/2030</v>
      </c>
      <c r="G122" t="str">
        <f ca="1"/>
        <v>FIXED</v>
      </c>
      <c r="H122">
        <f ca="1"/>
        <v>2</v>
      </c>
      <c r="I122">
        <f ca="1"/>
        <v>1.8</v>
      </c>
      <c r="J122">
        <f ca="1"/>
        <v>1.5589999999999995</v>
      </c>
      <c r="K122">
        <f ca="1"/>
        <v>1.5830000000000009</v>
      </c>
      <c r="L122">
        <f ca="1"/>
        <v>101.018</v>
      </c>
      <c r="M122">
        <f ca="1"/>
        <v>100.916</v>
      </c>
      <c r="N122" t="str">
        <f ca="1"/>
        <v>EI4443103</v>
      </c>
      <c r="O122" t="str">
        <f ca="1"/>
        <v>JP1201221AA5</v>
      </c>
      <c r="P122" t="str">
        <f ca="1"/>
        <v>A+</v>
      </c>
      <c r="Q122" s="3">
        <f ca="1"/>
        <v>40472</v>
      </c>
      <c r="R122" s="4">
        <f ca="1"/>
        <v>46101</v>
      </c>
      <c r="S122" s="4">
        <f ca="1"/>
        <v>4.476386036960986</v>
      </c>
      <c r="T122">
        <f ca="1"/>
        <v>100.967</v>
      </c>
      <c r="U122">
        <f ca="1"/>
        <v>155</v>
      </c>
      <c r="V122">
        <f ca="1"/>
        <v>4</v>
      </c>
      <c r="W122">
        <f ca="1"/>
        <v>16</v>
      </c>
      <c r="X122">
        <f ca="1"/>
        <v>1.8890109890109892</v>
      </c>
      <c r="Y122">
        <f ca="1"/>
        <v>99.077989010989015</v>
      </c>
      <c r="Z122">
        <f ca="1"/>
        <v>1.5710000000000002</v>
      </c>
    </row>
    <row r="123" spans="1:26" x14ac:dyDescent="0.35">
      <c r="A123" t="str">
        <f ca="1"/>
        <v>YK941325 Corp</v>
      </c>
      <c r="B123" t="str">
        <f ca="1"/>
        <v>Japan Government Five Year Bond</v>
      </c>
      <c r="C123" t="str">
        <f ca="1"/>
        <v>JGB</v>
      </c>
      <c r="D123" t="str">
        <f ca="1"/>
        <v>JP</v>
      </c>
      <c r="E123" t="str">
        <f ca="1"/>
        <v>JPY</v>
      </c>
      <c r="F123" t="str">
        <f ca="1"/>
        <v>20/09/2030</v>
      </c>
      <c r="G123" t="str">
        <f ca="1"/>
        <v>FIXED</v>
      </c>
      <c r="H123">
        <f ca="1"/>
        <v>2</v>
      </c>
      <c r="I123">
        <f ca="1"/>
        <v>1.3</v>
      </c>
      <c r="J123">
        <f ca="1"/>
        <v>1.5740000000000045</v>
      </c>
      <c r="K123">
        <f ca="1"/>
        <v>1.5960000000000052</v>
      </c>
      <c r="L123">
        <f ca="1"/>
        <v>98.841999999999999</v>
      </c>
      <c r="M123">
        <f ca="1"/>
        <v>98.75</v>
      </c>
      <c r="N123" t="str">
        <f ca="1"/>
        <v>YK9413252</v>
      </c>
      <c r="O123" t="str">
        <f ca="1"/>
        <v>JP1051811RA8</v>
      </c>
      <c r="P123" t="str">
        <f ca="1"/>
        <v>A+</v>
      </c>
      <c r="Q123" s="3">
        <f ca="1"/>
        <v>45932</v>
      </c>
      <c r="R123" s="4">
        <f ca="1"/>
        <v>46101</v>
      </c>
      <c r="S123" s="4">
        <f ca="1"/>
        <v>4.476386036960986</v>
      </c>
      <c r="T123">
        <f ca="1"/>
        <v>98.795999999999992</v>
      </c>
      <c r="U123">
        <f ca="1"/>
        <v>231</v>
      </c>
      <c r="V123">
        <f ca="1"/>
        <v>4</v>
      </c>
      <c r="W123">
        <f ca="1"/>
        <v>1</v>
      </c>
      <c r="X123">
        <f ca="1"/>
        <v>1.3642857142857143</v>
      </c>
      <c r="Y123">
        <f ca="1"/>
        <v>97.431714285714278</v>
      </c>
      <c r="Z123">
        <f ca="1"/>
        <v>1.5850000000000048</v>
      </c>
    </row>
    <row r="124" spans="1:26" x14ac:dyDescent="0.35">
      <c r="A124" t="str">
        <f ca="1"/>
        <v>ZO739535 Corp</v>
      </c>
      <c r="B124" t="str">
        <f ca="1"/>
        <v>Japan Government Ten Year Bond</v>
      </c>
      <c r="C124" t="str">
        <f ca="1"/>
        <v>JGB</v>
      </c>
      <c r="D124" t="str">
        <f ca="1"/>
        <v>JP</v>
      </c>
      <c r="E124" t="str">
        <f ca="1"/>
        <v>JPY</v>
      </c>
      <c r="F124" t="str">
        <f ca="1"/>
        <v>20/09/2030</v>
      </c>
      <c r="G124" t="str">
        <f ca="1"/>
        <v>FIXED</v>
      </c>
      <c r="H124">
        <f ca="1"/>
        <v>2</v>
      </c>
      <c r="I124">
        <f ca="1"/>
        <v>0.1</v>
      </c>
      <c r="J124">
        <f ca="1"/>
        <v>1.6079999999895414</v>
      </c>
      <c r="K124">
        <f ca="1"/>
        <v>1.6289999999885652</v>
      </c>
      <c r="L124">
        <f ca="1"/>
        <v>93.637</v>
      </c>
      <c r="M124">
        <f ca="1"/>
        <v>93.554000000000002</v>
      </c>
      <c r="N124" t="str">
        <f ca="1"/>
        <v>ZO7395353</v>
      </c>
      <c r="O124" t="str">
        <f ca="1"/>
        <v>JP1103601LA4</v>
      </c>
      <c r="P124" t="str">
        <f ca="1"/>
        <v>A+</v>
      </c>
      <c r="Q124" s="3">
        <f ca="1"/>
        <v>44098</v>
      </c>
      <c r="R124" s="4">
        <f ca="1"/>
        <v>46101</v>
      </c>
      <c r="S124" s="4">
        <f ca="1"/>
        <v>4.476386036960986</v>
      </c>
      <c r="T124">
        <f ca="1"/>
        <v>93.595500000000001</v>
      </c>
      <c r="U124">
        <f ca="1"/>
        <v>316</v>
      </c>
      <c r="V124">
        <f ca="1"/>
        <v>4</v>
      </c>
      <c r="W124">
        <f ca="1"/>
        <v>6</v>
      </c>
      <c r="X124">
        <f ca="1"/>
        <v>0.10494505494505496</v>
      </c>
      <c r="Y124">
        <f ca="1"/>
        <v>93.490554945054953</v>
      </c>
      <c r="Z124">
        <f ca="1"/>
        <v>1.6184999999890533</v>
      </c>
    </row>
    <row r="125" spans="1:26" x14ac:dyDescent="0.35">
      <c r="A125" t="str">
        <f ca="1"/>
        <v>EC306656 Corp</v>
      </c>
      <c r="B125" t="str">
        <f ca="1"/>
        <v>Japan Government Thirty Year Bond</v>
      </c>
      <c r="C125" t="str">
        <f ca="1"/>
        <v>JGB</v>
      </c>
      <c r="D125" t="str">
        <f ca="1"/>
        <v>JP</v>
      </c>
      <c r="E125" t="str">
        <f ca="1"/>
        <v>JPY</v>
      </c>
      <c r="F125" t="str">
        <f ca="1"/>
        <v>20/11/2030</v>
      </c>
      <c r="G125" t="str">
        <f ca="1"/>
        <v>FIXED</v>
      </c>
      <c r="H125">
        <f ca="1"/>
        <v>2</v>
      </c>
      <c r="I125">
        <f ca="1"/>
        <v>2.9</v>
      </c>
      <c r="J125">
        <f ca="1"/>
        <v>1.5499999999989809</v>
      </c>
      <c r="K125">
        <f ca="1"/>
        <v>1.5749999999990927</v>
      </c>
      <c r="L125">
        <f ca="1"/>
        <v>105.90600000000001</v>
      </c>
      <c r="M125">
        <f ca="1"/>
        <v>105.79</v>
      </c>
      <c r="N125" t="str">
        <f ca="1"/>
        <v>EC3066569</v>
      </c>
      <c r="O125" t="str">
        <f ca="1"/>
        <v>JP1300041009</v>
      </c>
      <c r="P125" t="str">
        <f ca="1"/>
        <v>A+</v>
      </c>
      <c r="Q125" s="3">
        <f ca="1"/>
        <v>36838</v>
      </c>
      <c r="R125" s="4">
        <f ca="1"/>
        <v>46162</v>
      </c>
      <c r="S125" s="4">
        <f ca="1"/>
        <v>4.6433949349760439</v>
      </c>
      <c r="T125">
        <f ca="1"/>
        <v>105.84800000000001</v>
      </c>
      <c r="U125">
        <f ca="1"/>
        <v>85</v>
      </c>
      <c r="V125">
        <f ca="1"/>
        <v>4.5</v>
      </c>
      <c r="W125">
        <f ca="1"/>
        <v>26</v>
      </c>
      <c r="X125">
        <f ca="1"/>
        <v>2.0714285714285716</v>
      </c>
      <c r="Y125">
        <f ca="1"/>
        <v>103.77657142857144</v>
      </c>
      <c r="Z125">
        <f ca="1"/>
        <v>1.5624999999990368</v>
      </c>
    </row>
    <row r="126" spans="1:26" x14ac:dyDescent="0.35">
      <c r="A126" t="str">
        <f ca="1"/>
        <v>BN361059 Corp</v>
      </c>
      <c r="B126" t="str">
        <f ca="1"/>
        <v>Japan Government Ten Year Bond</v>
      </c>
      <c r="C126" t="str">
        <f ca="1"/>
        <v>JGB</v>
      </c>
      <c r="D126" t="str">
        <f ca="1"/>
        <v>JP</v>
      </c>
      <c r="E126" t="str">
        <f ca="1"/>
        <v>JPY</v>
      </c>
      <c r="F126" t="str">
        <f ca="1"/>
        <v>20/12/2030</v>
      </c>
      <c r="G126" t="str">
        <f ca="1"/>
        <v>FIXED</v>
      </c>
      <c r="H126">
        <f ca="1"/>
        <v>2</v>
      </c>
      <c r="I126">
        <f ca="1"/>
        <v>0.1</v>
      </c>
      <c r="J126">
        <f ca="1"/>
        <v>1.6439999999887491</v>
      </c>
      <c r="K126">
        <f ca="1"/>
        <v>1.6649999999877207</v>
      </c>
      <c r="L126">
        <f ca="1"/>
        <v>93.162999999999997</v>
      </c>
      <c r="M126">
        <f ca="1"/>
        <v>93.076999999999998</v>
      </c>
      <c r="N126" t="str">
        <f ca="1"/>
        <v>BN3610597</v>
      </c>
      <c r="O126" t="str">
        <f ca="1"/>
        <v>JP1103611M11</v>
      </c>
      <c r="P126" t="str">
        <f ca="1"/>
        <v>NR</v>
      </c>
      <c r="Q126" s="3">
        <f ca="1"/>
        <v>44193</v>
      </c>
      <c r="R126" s="4">
        <f ca="1"/>
        <v>46193</v>
      </c>
      <c r="S126" s="4">
        <f ca="1"/>
        <v>4.7255304585900069</v>
      </c>
      <c r="T126">
        <f ca="1"/>
        <v>93.12</v>
      </c>
      <c r="U126">
        <f ca="1"/>
        <v>42</v>
      </c>
      <c r="V126">
        <f ca="1"/>
        <v>4.5</v>
      </c>
      <c r="W126">
        <f ca="1"/>
        <v>6</v>
      </c>
      <c r="X126">
        <f ca="1"/>
        <v>5.4945054945054951E-2</v>
      </c>
      <c r="Y126">
        <f ca="1"/>
        <v>93.065054945054953</v>
      </c>
      <c r="Z126">
        <f ca="1"/>
        <v>1.6544999999882348</v>
      </c>
    </row>
    <row r="127" spans="1:26" x14ac:dyDescent="0.35">
      <c r="A127" t="str">
        <f ca="1"/>
        <v>EI513049 Corp</v>
      </c>
      <c r="B127" t="str">
        <f ca="1"/>
        <v>Japan Government Twenty Year Bond</v>
      </c>
      <c r="C127" t="str">
        <f ca="1"/>
        <v>JGB</v>
      </c>
      <c r="D127" t="str">
        <f ca="1"/>
        <v>JP</v>
      </c>
      <c r="E127" t="str">
        <f ca="1"/>
        <v>JPY</v>
      </c>
      <c r="F127" t="str">
        <f ca="1"/>
        <v>20/12/2030</v>
      </c>
      <c r="G127" t="str">
        <f ca="1"/>
        <v>FIXED</v>
      </c>
      <c r="H127">
        <f ca="1"/>
        <v>2</v>
      </c>
      <c r="I127">
        <f ca="1"/>
        <v>2.1</v>
      </c>
      <c r="J127">
        <f ca="1"/>
        <v>1.5809999999999955</v>
      </c>
      <c r="K127">
        <f ca="1"/>
        <v>1.6069999999999982</v>
      </c>
      <c r="L127">
        <f ca="1"/>
        <v>102.304</v>
      </c>
      <c r="M127">
        <f ca="1"/>
        <v>102.18600000000001</v>
      </c>
      <c r="N127" t="str">
        <f ca="1"/>
        <v>EI5130493</v>
      </c>
      <c r="O127" t="str">
        <f ca="1"/>
        <v>JP1201231AC0</v>
      </c>
      <c r="P127" t="str">
        <f ca="1"/>
        <v>A+</v>
      </c>
      <c r="Q127" s="3">
        <f ca="1"/>
        <v>40526</v>
      </c>
      <c r="R127" s="4">
        <f ca="1"/>
        <v>46193</v>
      </c>
      <c r="S127" s="4">
        <f ca="1"/>
        <v>4.7255304585900069</v>
      </c>
      <c r="T127">
        <f ca="1"/>
        <v>102.245</v>
      </c>
      <c r="U127">
        <f ca="1"/>
        <v>156</v>
      </c>
      <c r="V127">
        <f ca="1"/>
        <v>4.5</v>
      </c>
      <c r="W127">
        <f ca="1"/>
        <v>16</v>
      </c>
      <c r="X127">
        <f ca="1"/>
        <v>1.153846153846154</v>
      </c>
      <c r="Y127">
        <f ca="1"/>
        <v>101.09115384615384</v>
      </c>
      <c r="Z127">
        <f ca="1"/>
        <v>1.5939999999999968</v>
      </c>
    </row>
    <row r="128" spans="1:26" x14ac:dyDescent="0.35">
      <c r="A128" t="str">
        <f ca="1"/>
        <v>EI587608 Corp</v>
      </c>
      <c r="B128" t="str">
        <f ca="1"/>
        <v>Japan Government Twenty Year Bond</v>
      </c>
      <c r="C128" t="str">
        <f ca="1"/>
        <v>JGB</v>
      </c>
      <c r="D128" t="str">
        <f ca="1"/>
        <v>JP</v>
      </c>
      <c r="E128" t="str">
        <f ca="1"/>
        <v>JPY</v>
      </c>
      <c r="F128" t="str">
        <f ca="1"/>
        <v>20/12/2030</v>
      </c>
      <c r="G128" t="str">
        <f ca="1"/>
        <v>FIXED</v>
      </c>
      <c r="H128">
        <f ca="1"/>
        <v>2</v>
      </c>
      <c r="I128">
        <f ca="1"/>
        <v>2</v>
      </c>
      <c r="J128">
        <f ca="1"/>
        <v>1.5779999999999985</v>
      </c>
      <c r="K128">
        <f ca="1"/>
        <v>1.6040000000000014</v>
      </c>
      <c r="L128">
        <f ca="1"/>
        <v>101.873</v>
      </c>
      <c r="M128">
        <f ca="1"/>
        <v>101.756</v>
      </c>
      <c r="N128" t="str">
        <f ca="1"/>
        <v>EI5876087</v>
      </c>
      <c r="O128" t="str">
        <f ca="1"/>
        <v>JP1201241B22</v>
      </c>
      <c r="P128" t="str">
        <f ca="1"/>
        <v>A+</v>
      </c>
      <c r="Q128" s="3">
        <f ca="1"/>
        <v>40596</v>
      </c>
      <c r="R128" s="4">
        <f ca="1"/>
        <v>46193</v>
      </c>
      <c r="S128" s="4">
        <f ca="1"/>
        <v>4.7255304585900069</v>
      </c>
      <c r="T128">
        <f ca="1"/>
        <v>101.81450000000001</v>
      </c>
      <c r="U128">
        <f ca="1"/>
        <v>157</v>
      </c>
      <c r="V128">
        <f ca="1"/>
        <v>4.5</v>
      </c>
      <c r="W128">
        <f ca="1"/>
        <v>15</v>
      </c>
      <c r="X128">
        <f ca="1"/>
        <v>1.098901098901099</v>
      </c>
      <c r="Y128">
        <f ca="1"/>
        <v>100.71559890109891</v>
      </c>
      <c r="Z128">
        <f ca="1"/>
        <v>1.591</v>
      </c>
    </row>
    <row r="129" spans="1:26" x14ac:dyDescent="0.35">
      <c r="A129" t="str">
        <f ca="1"/>
        <v>YI023856 Corp</v>
      </c>
      <c r="B129" t="str">
        <f ca="1"/>
        <v>Japan Government Five Year Bond</v>
      </c>
      <c r="C129" t="str">
        <f ca="1"/>
        <v>JGB</v>
      </c>
      <c r="D129" t="str">
        <f ca="1"/>
        <v>JP</v>
      </c>
      <c r="E129" t="str">
        <f ca="1"/>
        <v>JPY</v>
      </c>
      <c r="F129" t="str">
        <f ca="1"/>
        <v>20/12/2030</v>
      </c>
      <c r="G129" t="str">
        <f ca="1"/>
        <v>FIXED</v>
      </c>
      <c r="H129">
        <f ca="1"/>
        <v>2</v>
      </c>
      <c r="I129">
        <f ca="1"/>
        <v>1.6</v>
      </c>
      <c r="J129">
        <f ca="1"/>
        <v>1.6009999999200701</v>
      </c>
      <c r="K129">
        <f ca="1"/>
        <v>1.6239999999996815</v>
      </c>
      <c r="L129">
        <f ca="1"/>
        <v>99.995000000000005</v>
      </c>
      <c r="M129">
        <f ca="1"/>
        <v>99.893000000000001</v>
      </c>
      <c r="N129" t="str">
        <f ca="1"/>
        <v>YI0238562</v>
      </c>
      <c r="O129" t="str">
        <f ca="1"/>
        <v>JP1051831S10</v>
      </c>
      <c r="P129" t="str">
        <f ca="1"/>
        <v>A+</v>
      </c>
      <c r="Q129" s="3">
        <f ca="1"/>
        <v>46029</v>
      </c>
      <c r="R129" s="4">
        <f ca="1"/>
        <v>46193</v>
      </c>
      <c r="S129" s="4">
        <f ca="1"/>
        <v>4.7255304585900069</v>
      </c>
      <c r="T129">
        <f ca="1"/>
        <v>99.944000000000003</v>
      </c>
      <c r="U129">
        <f ca="1"/>
        <v>220</v>
      </c>
      <c r="V129">
        <f ca="1"/>
        <v>4.5</v>
      </c>
      <c r="W129">
        <f ca="1"/>
        <v>0</v>
      </c>
      <c r="X129">
        <f ca="1"/>
        <v>0.87912087912087922</v>
      </c>
      <c r="Y129">
        <f ca="1"/>
        <v>99.064879120879127</v>
      </c>
      <c r="Z129">
        <f ca="1"/>
        <v>1.6124999999598759</v>
      </c>
    </row>
    <row r="130" spans="1:26" x14ac:dyDescent="0.35">
      <c r="A130" t="str">
        <f ca="1"/>
        <v>YI394740 Corp</v>
      </c>
      <c r="B130" t="str">
        <f ca="1"/>
        <v>Japan Government Five Year Bond</v>
      </c>
      <c r="C130" t="str">
        <f ca="1"/>
        <v>JGB</v>
      </c>
      <c r="D130" t="str">
        <f ca="1"/>
        <v>JP</v>
      </c>
      <c r="E130" t="str">
        <f ca="1"/>
        <v>JPY</v>
      </c>
      <c r="F130" t="str">
        <f ca="1"/>
        <v>20/12/2030</v>
      </c>
      <c r="G130" t="str">
        <f ca="1"/>
        <v>FIXED</v>
      </c>
      <c r="H130">
        <f ca="1"/>
        <v>2</v>
      </c>
      <c r="I130">
        <f ca="1"/>
        <v>1.6</v>
      </c>
      <c r="J130">
        <f ca="1"/>
        <v>1.6020000000000068</v>
      </c>
      <c r="K130">
        <f ca="1"/>
        <v>1.6269999999995455</v>
      </c>
      <c r="L130">
        <f ca="1"/>
        <v>99.991</v>
      </c>
      <c r="M130">
        <f ca="1"/>
        <v>99.88</v>
      </c>
      <c r="N130" t="str">
        <f ca="1"/>
        <v>YI3947409</v>
      </c>
      <c r="O130" t="str">
        <f ca="1"/>
        <v>JP1470041S18</v>
      </c>
      <c r="P130" t="str">
        <f ca="1"/>
        <v>A+</v>
      </c>
      <c r="Q130" s="3">
        <f ca="1"/>
        <v>46041</v>
      </c>
      <c r="R130" s="4">
        <f ca="1"/>
        <v>46193</v>
      </c>
      <c r="S130" s="4">
        <f ca="1"/>
        <v>4.7255304585900069</v>
      </c>
      <c r="T130">
        <f ca="1"/>
        <v>99.93549999999999</v>
      </c>
      <c r="U130">
        <f ca="1"/>
        <v>222</v>
      </c>
      <c r="V130">
        <f ca="1"/>
        <v>4.5</v>
      </c>
      <c r="W130">
        <f ca="1"/>
        <v>0</v>
      </c>
      <c r="X130">
        <f ca="1"/>
        <v>0.87912087912087922</v>
      </c>
      <c r="Y130">
        <f ca="1"/>
        <v>99.056379120879114</v>
      </c>
      <c r="Z130">
        <f ca="1"/>
        <v>1.6144999999997762</v>
      </c>
    </row>
    <row r="131" spans="1:26" x14ac:dyDescent="0.35">
      <c r="A131" t="str">
        <f ca="1"/>
        <v>BO911343 Corp</v>
      </c>
      <c r="B131" t="str">
        <f ca="1"/>
        <v>Japan Government Ten Year Bond</v>
      </c>
      <c r="C131" t="str">
        <f ca="1"/>
        <v>JGB</v>
      </c>
      <c r="D131" t="str">
        <f ca="1"/>
        <v>JP</v>
      </c>
      <c r="E131" t="str">
        <f ca="1"/>
        <v>JPY</v>
      </c>
      <c r="F131" t="str">
        <f ca="1"/>
        <v>20/03/2031</v>
      </c>
      <c r="G131" t="str">
        <f ca="1"/>
        <v>FIXED</v>
      </c>
      <c r="H131">
        <f ca="1"/>
        <v>2</v>
      </c>
      <c r="I131">
        <f ca="1"/>
        <v>0.1</v>
      </c>
      <c r="J131">
        <f ca="1"/>
        <v>1.6779999999710236</v>
      </c>
      <c r="K131">
        <f ca="1"/>
        <v>1.6949999999689331</v>
      </c>
      <c r="L131">
        <f ca="1"/>
        <v>92.691000000000003</v>
      </c>
      <c r="M131">
        <f ca="1"/>
        <v>92.617999999999995</v>
      </c>
      <c r="N131" t="str">
        <f ca="1"/>
        <v>BO9113438</v>
      </c>
      <c r="O131" t="str">
        <f ca="1"/>
        <v>JP1103621M43</v>
      </c>
      <c r="P131" t="str">
        <f ca="1"/>
        <v>NR</v>
      </c>
      <c r="Q131" s="3">
        <f ca="1"/>
        <v>44280</v>
      </c>
      <c r="R131" s="4">
        <f ca="1"/>
        <v>46101</v>
      </c>
      <c r="S131" s="4">
        <f ca="1"/>
        <v>4.9719370294318956</v>
      </c>
      <c r="T131">
        <f ca="1"/>
        <v>92.654499999999999</v>
      </c>
      <c r="U131">
        <f ca="1"/>
        <v>45</v>
      </c>
      <c r="V131">
        <f ca="1"/>
        <v>4.5</v>
      </c>
      <c r="W131">
        <f ca="1"/>
        <v>5</v>
      </c>
      <c r="X131">
        <f ca="1"/>
        <v>0.10494505494505496</v>
      </c>
      <c r="Y131">
        <f ca="1"/>
        <v>92.54955494505495</v>
      </c>
      <c r="Z131">
        <f ca="1"/>
        <v>1.6864999999699783</v>
      </c>
    </row>
    <row r="132" spans="1:26" x14ac:dyDescent="0.35">
      <c r="A132" t="str">
        <f ca="1"/>
        <v>EI613256 Corp</v>
      </c>
      <c r="B132" t="str">
        <f ca="1"/>
        <v>Japan Government Twenty Year Bond</v>
      </c>
      <c r="C132" t="str">
        <f ca="1"/>
        <v>JGB</v>
      </c>
      <c r="D132" t="str">
        <f ca="1"/>
        <v>JP</v>
      </c>
      <c r="E132" t="str">
        <f ca="1"/>
        <v>JPY</v>
      </c>
      <c r="F132" t="str">
        <f ca="1"/>
        <v>20/03/2031</v>
      </c>
      <c r="G132" t="str">
        <f ca="1"/>
        <v>FIXED</v>
      </c>
      <c r="H132">
        <f ca="1"/>
        <v>2</v>
      </c>
      <c r="I132">
        <f ca="1"/>
        <v>2.2000000000000002</v>
      </c>
      <c r="J132">
        <f ca="1"/>
        <v>1.5959999999999797</v>
      </c>
      <c r="K132">
        <f ca="1"/>
        <v>1.6179999999999808</v>
      </c>
      <c r="L132">
        <f ca="1"/>
        <v>102.80800000000001</v>
      </c>
      <c r="M132">
        <f ca="1"/>
        <v>102.703</v>
      </c>
      <c r="N132" t="str">
        <f ca="1"/>
        <v>EI6132563</v>
      </c>
      <c r="O132" t="str">
        <f ca="1"/>
        <v>JP1201251B37</v>
      </c>
      <c r="P132" t="str">
        <f ca="1"/>
        <v>A+</v>
      </c>
      <c r="Q132" s="3">
        <f ca="1"/>
        <v>40618</v>
      </c>
      <c r="R132" s="4">
        <f ca="1"/>
        <v>46101</v>
      </c>
      <c r="S132" s="4">
        <f ca="1"/>
        <v>4.9719370294318956</v>
      </c>
      <c r="T132">
        <f ca="1"/>
        <v>102.75550000000001</v>
      </c>
      <c r="U132">
        <f ca="1"/>
        <v>159</v>
      </c>
      <c r="V132">
        <f ca="1"/>
        <v>4.5</v>
      </c>
      <c r="W132">
        <f ca="1"/>
        <v>15</v>
      </c>
      <c r="X132">
        <f ca="1"/>
        <v>2.308791208791209</v>
      </c>
      <c r="Y132">
        <f ca="1"/>
        <v>100.44670879120881</v>
      </c>
      <c r="Z132">
        <f ca="1"/>
        <v>1.6069999999999802</v>
      </c>
    </row>
    <row r="133" spans="1:26" x14ac:dyDescent="0.35">
      <c r="A133" t="str">
        <f ca="1"/>
        <v>EI653529 Corp</v>
      </c>
      <c r="B133" t="str">
        <f ca="1"/>
        <v>Japan Government Twenty Year Bond</v>
      </c>
      <c r="C133" t="str">
        <f ca="1"/>
        <v>JGB</v>
      </c>
      <c r="D133" t="str">
        <f ca="1"/>
        <v>JP</v>
      </c>
      <c r="E133" t="str">
        <f ca="1"/>
        <v>JPY</v>
      </c>
      <c r="F133" t="str">
        <f ca="1"/>
        <v>20/03/2031</v>
      </c>
      <c r="G133" t="str">
        <f ca="1"/>
        <v>FIXED</v>
      </c>
      <c r="H133">
        <f ca="1"/>
        <v>2</v>
      </c>
      <c r="I133">
        <f ca="1"/>
        <v>2</v>
      </c>
      <c r="J133">
        <f ca="1"/>
        <v>1.6040000000000001</v>
      </c>
      <c r="K133">
        <f ca="1"/>
        <v>1.626000000000005</v>
      </c>
      <c r="L133">
        <f ca="1"/>
        <v>101.84</v>
      </c>
      <c r="M133">
        <f ca="1"/>
        <v>101.736</v>
      </c>
      <c r="N133" t="str">
        <f ca="1"/>
        <v>EI6535294</v>
      </c>
      <c r="O133" t="str">
        <f ca="1"/>
        <v>JP1201261B43</v>
      </c>
      <c r="P133" t="str">
        <f ca="1"/>
        <v>A+</v>
      </c>
      <c r="Q133" s="3">
        <f ca="1"/>
        <v>40654</v>
      </c>
      <c r="R133" s="4">
        <f ca="1"/>
        <v>46101</v>
      </c>
      <c r="S133" s="4">
        <f ca="1"/>
        <v>4.9719370294318956</v>
      </c>
      <c r="T133">
        <f ca="1"/>
        <v>101.78800000000001</v>
      </c>
      <c r="U133">
        <f ca="1"/>
        <v>160</v>
      </c>
      <c r="V133">
        <f ca="1"/>
        <v>4.5</v>
      </c>
      <c r="W133">
        <f ca="1"/>
        <v>15</v>
      </c>
      <c r="X133">
        <f ca="1"/>
        <v>2.098901098901099</v>
      </c>
      <c r="Y133">
        <f ca="1"/>
        <v>99.689098901098916</v>
      </c>
      <c r="Z133">
        <f ca="1"/>
        <v>1.6150000000000024</v>
      </c>
    </row>
    <row r="134" spans="1:26" x14ac:dyDescent="0.35">
      <c r="A134" t="str">
        <f ca="1"/>
        <v>EI692405 Corp</v>
      </c>
      <c r="B134" t="str">
        <f ca="1"/>
        <v>Japan Government Twenty Year Bond</v>
      </c>
      <c r="C134" t="str">
        <f ca="1"/>
        <v>JGB</v>
      </c>
      <c r="D134" t="str">
        <f ca="1"/>
        <v>JP</v>
      </c>
      <c r="E134" t="str">
        <f ca="1"/>
        <v>JPY</v>
      </c>
      <c r="F134" t="str">
        <f ca="1"/>
        <v>20/03/2031</v>
      </c>
      <c r="G134" t="str">
        <f ca="1"/>
        <v>FIXED</v>
      </c>
      <c r="H134">
        <f ca="1"/>
        <v>2</v>
      </c>
      <c r="I134">
        <f ca="1"/>
        <v>1.9</v>
      </c>
      <c r="J134">
        <f ca="1"/>
        <v>1.609</v>
      </c>
      <c r="K134">
        <f ca="1"/>
        <v>1.6310000000000042</v>
      </c>
      <c r="L134">
        <f ca="1"/>
        <v>101.352</v>
      </c>
      <c r="M134">
        <f ca="1"/>
        <v>101.248</v>
      </c>
      <c r="N134" t="str">
        <f ca="1"/>
        <v>EI6924050</v>
      </c>
      <c r="O134" t="str">
        <f ca="1"/>
        <v>JP1201271B58</v>
      </c>
      <c r="P134" t="str">
        <f ca="1"/>
        <v>A+</v>
      </c>
      <c r="Q134" s="3">
        <f ca="1"/>
        <v>40689</v>
      </c>
      <c r="R134" s="4">
        <f ca="1"/>
        <v>46101</v>
      </c>
      <c r="S134" s="4">
        <f ca="1"/>
        <v>4.9719370294318956</v>
      </c>
      <c r="T134">
        <f ca="1"/>
        <v>101.30000000000001</v>
      </c>
      <c r="U134">
        <f ca="1"/>
        <v>162</v>
      </c>
      <c r="V134">
        <f ca="1"/>
        <v>4.5</v>
      </c>
      <c r="W134">
        <f ca="1"/>
        <v>15</v>
      </c>
      <c r="X134">
        <f ca="1"/>
        <v>1.993956043956044</v>
      </c>
      <c r="Y134">
        <f ca="1"/>
        <v>99.306043956043965</v>
      </c>
      <c r="Z134">
        <f ca="1"/>
        <v>1.6200000000000021</v>
      </c>
    </row>
    <row r="135" spans="1:26" x14ac:dyDescent="0.35">
      <c r="A135" t="str">
        <f ca="1"/>
        <v>EC387594 Corp</v>
      </c>
      <c r="B135" t="str">
        <f ca="1"/>
        <v>Japan Government Thirty Year Bond</v>
      </c>
      <c r="C135" t="str">
        <f ca="1"/>
        <v>JGB</v>
      </c>
      <c r="D135" t="str">
        <f ca="1"/>
        <v>JP</v>
      </c>
      <c r="E135" t="str">
        <f ca="1"/>
        <v>JPY</v>
      </c>
      <c r="F135" t="str">
        <f ca="1"/>
        <v>20/05/2031</v>
      </c>
      <c r="G135" t="str">
        <f ca="1"/>
        <v>FIXED</v>
      </c>
      <c r="H135">
        <f ca="1"/>
        <v>2</v>
      </c>
      <c r="I135">
        <f ca="1"/>
        <v>2.2000000000000002</v>
      </c>
      <c r="J135">
        <f ca="1"/>
        <v>1.619999999999981</v>
      </c>
      <c r="K135">
        <f ca="1"/>
        <v>1.6409999999999838</v>
      </c>
      <c r="L135">
        <f ca="1"/>
        <v>102.776</v>
      </c>
      <c r="M135">
        <f ca="1"/>
        <v>102.673</v>
      </c>
      <c r="N135" t="str">
        <f ca="1"/>
        <v>EC3875944</v>
      </c>
      <c r="O135" t="str">
        <f ca="1"/>
        <v>JP1300051156</v>
      </c>
      <c r="P135" t="str">
        <f ca="1"/>
        <v>A+</v>
      </c>
      <c r="Q135" s="3">
        <f ca="1"/>
        <v>37027</v>
      </c>
      <c r="R135" s="4">
        <f ca="1"/>
        <v>46162</v>
      </c>
      <c r="S135" s="4">
        <f ca="1"/>
        <v>5.1389459274469544</v>
      </c>
      <c r="T135">
        <f ca="1"/>
        <v>102.72450000000001</v>
      </c>
      <c r="U135">
        <f ca="1"/>
        <v>86</v>
      </c>
      <c r="V135">
        <f ca="1"/>
        <v>5</v>
      </c>
      <c r="W135">
        <f ca="1"/>
        <v>25</v>
      </c>
      <c r="X135">
        <f ca="1"/>
        <v>1.5714285714285716</v>
      </c>
      <c r="Y135">
        <f ca="1"/>
        <v>101.15307142857144</v>
      </c>
      <c r="Z135">
        <f ca="1"/>
        <v>1.6304999999999823</v>
      </c>
    </row>
    <row r="136" spans="1:26" x14ac:dyDescent="0.35">
      <c r="A136" t="str">
        <f ca="1"/>
        <v>BQ348089 Corp</v>
      </c>
      <c r="B136" t="str">
        <f ca="1"/>
        <v>Japan Government Ten Year Bond</v>
      </c>
      <c r="C136" t="str">
        <f ca="1"/>
        <v>JGB</v>
      </c>
      <c r="D136" t="str">
        <f ca="1"/>
        <v>JP</v>
      </c>
      <c r="E136" t="str">
        <f ca="1"/>
        <v>JPY</v>
      </c>
      <c r="F136" t="str">
        <f ca="1"/>
        <v>20/06/2031</v>
      </c>
      <c r="G136" t="str">
        <f ca="1"/>
        <v>FIXED</v>
      </c>
      <c r="H136">
        <f ca="1"/>
        <v>2</v>
      </c>
      <c r="I136">
        <f ca="1"/>
        <v>0.1</v>
      </c>
      <c r="J136">
        <f ca="1"/>
        <v>1.7099999999691318</v>
      </c>
      <c r="K136">
        <f ca="1"/>
        <v>1.7269999999669614</v>
      </c>
      <c r="L136">
        <f ca="1"/>
        <v>92.210999999999999</v>
      </c>
      <c r="M136">
        <f ca="1"/>
        <v>92.135000000000005</v>
      </c>
      <c r="N136" t="str">
        <f ca="1"/>
        <v>BQ3480895</v>
      </c>
      <c r="O136" t="str">
        <f ca="1"/>
        <v>JP1103631M74</v>
      </c>
      <c r="P136" t="str">
        <f ca="1"/>
        <v>NR</v>
      </c>
      <c r="Q136" s="3">
        <f ca="1"/>
        <v>44371</v>
      </c>
      <c r="R136" s="4">
        <f ca="1"/>
        <v>46193</v>
      </c>
      <c r="S136" s="4">
        <f ca="1"/>
        <v>5.2238193018480494</v>
      </c>
      <c r="T136">
        <f ca="1"/>
        <v>92.173000000000002</v>
      </c>
      <c r="U136">
        <f ca="1"/>
        <v>50</v>
      </c>
      <c r="V136">
        <f ca="1"/>
        <v>5</v>
      </c>
      <c r="W136">
        <f ca="1"/>
        <v>5</v>
      </c>
      <c r="X136">
        <f ca="1"/>
        <v>5.4945054945054951E-2</v>
      </c>
      <c r="Y136">
        <f ca="1"/>
        <v>92.118054945054951</v>
      </c>
      <c r="Z136">
        <f ca="1"/>
        <v>1.7184999999680466</v>
      </c>
    </row>
    <row r="137" spans="1:26" x14ac:dyDescent="0.35">
      <c r="A137" t="str">
        <f ca="1"/>
        <v>EI713861 Corp</v>
      </c>
      <c r="B137" t="str">
        <f ca="1"/>
        <v>Japan Government Twenty Year Bond</v>
      </c>
      <c r="C137" t="str">
        <f ca="1"/>
        <v>JGB</v>
      </c>
      <c r="D137" t="str">
        <f ca="1"/>
        <v>JP</v>
      </c>
      <c r="E137" t="str">
        <f ca="1"/>
        <v>JPY</v>
      </c>
      <c r="F137" t="str">
        <f ca="1"/>
        <v>20/06/2031</v>
      </c>
      <c r="G137" t="str">
        <f ca="1"/>
        <v>FIXED</v>
      </c>
      <c r="H137">
        <f ca="1"/>
        <v>2</v>
      </c>
      <c r="I137">
        <f ca="1"/>
        <v>1.9</v>
      </c>
      <c r="J137">
        <f ca="1"/>
        <v>1.6339999999999952</v>
      </c>
      <c r="K137">
        <f ca="1"/>
        <v>1.6539999999999966</v>
      </c>
      <c r="L137">
        <f ca="1"/>
        <v>101.291</v>
      </c>
      <c r="M137">
        <f ca="1"/>
        <v>101.193</v>
      </c>
      <c r="N137" t="str">
        <f ca="1"/>
        <v>EI7138619</v>
      </c>
      <c r="O137" t="str">
        <f ca="1"/>
        <v>JP1201281B64</v>
      </c>
      <c r="P137" t="str">
        <f ca="1"/>
        <v>A+</v>
      </c>
      <c r="Q137" s="3">
        <f ca="1"/>
        <v>40709</v>
      </c>
      <c r="R137" s="4">
        <f ca="1"/>
        <v>46193</v>
      </c>
      <c r="S137" s="4">
        <f ca="1"/>
        <v>5.2238193018480494</v>
      </c>
      <c r="T137">
        <f ca="1"/>
        <v>101.24199999999999</v>
      </c>
      <c r="U137">
        <f ca="1"/>
        <v>163</v>
      </c>
      <c r="V137">
        <f ca="1"/>
        <v>5</v>
      </c>
      <c r="W137">
        <f ca="1"/>
        <v>15</v>
      </c>
      <c r="X137">
        <f ca="1"/>
        <v>1.043956043956044</v>
      </c>
      <c r="Y137">
        <f ca="1"/>
        <v>100.19804395604395</v>
      </c>
      <c r="Z137">
        <f ca="1"/>
        <v>1.6439999999999959</v>
      </c>
    </row>
    <row r="138" spans="1:26" x14ac:dyDescent="0.35">
      <c r="A138" t="str">
        <f ca="1"/>
        <v>EI795310 Corp</v>
      </c>
      <c r="B138" t="str">
        <f ca="1"/>
        <v>Japan Government Twenty Year Bond</v>
      </c>
      <c r="C138" t="str">
        <f ca="1"/>
        <v>JGB</v>
      </c>
      <c r="D138" t="str">
        <f ca="1"/>
        <v>JP</v>
      </c>
      <c r="E138" t="str">
        <f ca="1"/>
        <v>JPY</v>
      </c>
      <c r="F138" t="str">
        <f ca="1"/>
        <v>20/06/2031</v>
      </c>
      <c r="G138" t="str">
        <f ca="1"/>
        <v>FIXED</v>
      </c>
      <c r="H138">
        <f ca="1"/>
        <v>2</v>
      </c>
      <c r="I138">
        <f ca="1"/>
        <v>1.8</v>
      </c>
      <c r="J138">
        <f ca="1"/>
        <v>1.6360000001607911</v>
      </c>
      <c r="K138">
        <f ca="1"/>
        <v>1.6560000001065585</v>
      </c>
      <c r="L138">
        <f ca="1"/>
        <v>100.79600000000001</v>
      </c>
      <c r="M138">
        <f ca="1"/>
        <v>100.69799999999999</v>
      </c>
      <c r="N138" t="str">
        <f ca="1"/>
        <v>EI7953108</v>
      </c>
      <c r="O138" t="str">
        <f ca="1"/>
        <v>JP1201291B88</v>
      </c>
      <c r="P138" t="str">
        <f ca="1"/>
        <v>A+</v>
      </c>
      <c r="Q138" s="3">
        <f ca="1"/>
        <v>40780</v>
      </c>
      <c r="R138" s="4">
        <f ca="1"/>
        <v>46193</v>
      </c>
      <c r="S138" s="4">
        <f ca="1"/>
        <v>5.2238193018480494</v>
      </c>
      <c r="T138">
        <f ca="1"/>
        <v>100.747</v>
      </c>
      <c r="U138">
        <f ca="1"/>
        <v>164</v>
      </c>
      <c r="V138">
        <f ca="1"/>
        <v>5</v>
      </c>
      <c r="W138">
        <f ca="1"/>
        <v>15</v>
      </c>
      <c r="X138">
        <f ca="1"/>
        <v>0.98901098901098916</v>
      </c>
      <c r="Y138">
        <f ca="1"/>
        <v>99.757989010989007</v>
      </c>
      <c r="Z138">
        <f ca="1"/>
        <v>1.6460000001336748</v>
      </c>
    </row>
    <row r="139" spans="1:26" x14ac:dyDescent="0.35">
      <c r="A139" t="str">
        <f ca="1"/>
        <v>BR788662 Corp</v>
      </c>
      <c r="B139" t="str">
        <f ca="1"/>
        <v>Japan Government Ten Year Bond</v>
      </c>
      <c r="C139" t="str">
        <f ca="1"/>
        <v>JGB</v>
      </c>
      <c r="D139" t="str">
        <f ca="1"/>
        <v>JP</v>
      </c>
      <c r="E139" t="str">
        <f ca="1"/>
        <v>JPY</v>
      </c>
      <c r="F139" t="str">
        <f ca="1"/>
        <v>20/09/2031</v>
      </c>
      <c r="G139" t="str">
        <f ca="1"/>
        <v>FIXED</v>
      </c>
      <c r="H139">
        <f ca="1"/>
        <v>2</v>
      </c>
      <c r="I139">
        <f ca="1"/>
        <v>0.1</v>
      </c>
      <c r="J139">
        <f ca="1"/>
        <v>1.7499999999255946</v>
      </c>
      <c r="K139">
        <f ca="1"/>
        <v>1.7649999999210819</v>
      </c>
      <c r="L139">
        <f ca="1"/>
        <v>91.686000000000007</v>
      </c>
      <c r="M139">
        <f ca="1"/>
        <v>91.616</v>
      </c>
      <c r="N139" t="str">
        <f ca="1"/>
        <v>BR7886624</v>
      </c>
      <c r="O139" t="str">
        <f ca="1"/>
        <v>JP1103641MA8</v>
      </c>
      <c r="P139" t="str">
        <f ca="1"/>
        <v>NR</v>
      </c>
      <c r="Q139" s="3">
        <f ca="1"/>
        <v>44467</v>
      </c>
      <c r="R139" s="4">
        <f ca="1"/>
        <v>46101</v>
      </c>
      <c r="S139" s="4">
        <f ca="1"/>
        <v>5.4757015742642023</v>
      </c>
      <c r="T139">
        <f ca="1"/>
        <v>91.65100000000001</v>
      </c>
      <c r="U139">
        <f ca="1"/>
        <v>54</v>
      </c>
      <c r="V139">
        <f ca="1"/>
        <v>5</v>
      </c>
      <c r="W139">
        <f ca="1"/>
        <v>5</v>
      </c>
      <c r="X139">
        <f ca="1"/>
        <v>0.10494505494505496</v>
      </c>
      <c r="Y139">
        <f ca="1"/>
        <v>91.546054945054962</v>
      </c>
      <c r="Z139">
        <f ca="1"/>
        <v>1.7574999999233383</v>
      </c>
    </row>
    <row r="140" spans="1:26" x14ac:dyDescent="0.35">
      <c r="A140" t="str">
        <f ca="1"/>
        <v>EI813196 Corp</v>
      </c>
      <c r="B140" t="str">
        <f ca="1"/>
        <v>Japan Government Twenty Year Bond</v>
      </c>
      <c r="C140" t="str">
        <f ca="1"/>
        <v>JGB</v>
      </c>
      <c r="D140" t="str">
        <f ca="1"/>
        <v>JP</v>
      </c>
      <c r="E140" t="str">
        <f ca="1"/>
        <v>JPY</v>
      </c>
      <c r="F140" t="str">
        <f ca="1"/>
        <v>20/09/2031</v>
      </c>
      <c r="G140" t="str">
        <f ca="1"/>
        <v>FIXED</v>
      </c>
      <c r="H140">
        <f ca="1"/>
        <v>2</v>
      </c>
      <c r="I140">
        <f ca="1"/>
        <v>1.8</v>
      </c>
      <c r="J140">
        <f ca="1"/>
        <v>1.6690000001149208</v>
      </c>
      <c r="K140">
        <f ca="1"/>
        <v>1.6880000000702426</v>
      </c>
      <c r="L140">
        <f ca="1"/>
        <v>100.66200000000001</v>
      </c>
      <c r="M140">
        <f ca="1"/>
        <v>100.566</v>
      </c>
      <c r="N140" t="str">
        <f ca="1"/>
        <v>EI8131969</v>
      </c>
      <c r="O140" t="str">
        <f ca="1"/>
        <v>JP1201301B94</v>
      </c>
      <c r="P140" t="str">
        <f ca="1"/>
        <v>A+</v>
      </c>
      <c r="Q140" s="3">
        <f ca="1"/>
        <v>40799</v>
      </c>
      <c r="R140" s="4">
        <f ca="1"/>
        <v>46101</v>
      </c>
      <c r="S140" s="4">
        <f ca="1"/>
        <v>5.4757015742642023</v>
      </c>
      <c r="T140">
        <f ca="1"/>
        <v>100.614</v>
      </c>
      <c r="U140">
        <f ca="1"/>
        <v>166</v>
      </c>
      <c r="V140">
        <f ca="1"/>
        <v>5</v>
      </c>
      <c r="W140">
        <f ca="1"/>
        <v>15</v>
      </c>
      <c r="X140">
        <f ca="1"/>
        <v>1.8890109890109892</v>
      </c>
      <c r="Y140">
        <f ca="1"/>
        <v>98.72498901098902</v>
      </c>
      <c r="Z140">
        <f ca="1"/>
        <v>1.6785000000925816</v>
      </c>
    </row>
    <row r="141" spans="1:26" x14ac:dyDescent="0.35">
      <c r="A141" t="str">
        <f ca="1"/>
        <v>EI886396 Corp</v>
      </c>
      <c r="B141" t="str">
        <f ca="1"/>
        <v>Japan Government Twenty Year Bond</v>
      </c>
      <c r="C141" t="str">
        <f ca="1"/>
        <v>JGB</v>
      </c>
      <c r="D141" t="str">
        <f ca="1"/>
        <v>JP</v>
      </c>
      <c r="E141" t="str">
        <f ca="1"/>
        <v>JPY</v>
      </c>
      <c r="F141" t="str">
        <f ca="1"/>
        <v>20/09/2031</v>
      </c>
      <c r="G141" t="str">
        <f ca="1"/>
        <v>FIXED</v>
      </c>
      <c r="H141">
        <f ca="1"/>
        <v>2</v>
      </c>
      <c r="I141">
        <f ca="1"/>
        <v>1.7</v>
      </c>
      <c r="J141">
        <f ca="1"/>
        <v>1.6720000000010271</v>
      </c>
      <c r="K141">
        <f ca="1"/>
        <v>1.6910000000000318</v>
      </c>
      <c r="L141">
        <f ca="1"/>
        <v>100.14100000000001</v>
      </c>
      <c r="M141">
        <f ca="1"/>
        <v>100.045</v>
      </c>
      <c r="N141" t="str">
        <f ca="1"/>
        <v>EI8863967</v>
      </c>
      <c r="O141" t="str">
        <f ca="1"/>
        <v>JP1201311BB0</v>
      </c>
      <c r="P141" t="str">
        <f ca="1"/>
        <v>A+</v>
      </c>
      <c r="Q141" s="3">
        <f ca="1"/>
        <v>40869</v>
      </c>
      <c r="R141" s="4">
        <f ca="1"/>
        <v>46101</v>
      </c>
      <c r="S141" s="4">
        <f ca="1"/>
        <v>5.4757015742642023</v>
      </c>
      <c r="T141">
        <f ca="1"/>
        <v>100.093</v>
      </c>
      <c r="U141">
        <f ca="1"/>
        <v>167</v>
      </c>
      <c r="V141">
        <f ca="1"/>
        <v>5</v>
      </c>
      <c r="W141">
        <f ca="1"/>
        <v>15</v>
      </c>
      <c r="X141">
        <f ca="1"/>
        <v>1.7840659340659342</v>
      </c>
      <c r="Y141">
        <f ca="1"/>
        <v>98.308934065934068</v>
      </c>
      <c r="Z141">
        <f ca="1"/>
        <v>1.6815000000005296</v>
      </c>
    </row>
    <row r="142" spans="1:26" x14ac:dyDescent="0.35">
      <c r="A142" t="str">
        <f ca="1"/>
        <v>EC474539 Corp</v>
      </c>
      <c r="B142" t="str">
        <f ca="1"/>
        <v>Japan Government Thirty Year Bond</v>
      </c>
      <c r="C142" t="str">
        <f ca="1"/>
        <v>JGB</v>
      </c>
      <c r="D142" t="str">
        <f ca="1"/>
        <v>JP</v>
      </c>
      <c r="E142" t="str">
        <f ca="1"/>
        <v>JPY</v>
      </c>
      <c r="F142" t="str">
        <f ca="1"/>
        <v>20/11/2031</v>
      </c>
      <c r="G142" t="str">
        <f ca="1"/>
        <v>FIXED</v>
      </c>
      <c r="H142">
        <f ca="1"/>
        <v>2</v>
      </c>
      <c r="I142">
        <f ca="1"/>
        <v>2.4</v>
      </c>
      <c r="J142">
        <f ca="1"/>
        <v>1.6619999999998913</v>
      </c>
      <c r="K142">
        <f ca="1"/>
        <v>1.6819999999999051</v>
      </c>
      <c r="L142">
        <f ca="1"/>
        <v>103.83799999999999</v>
      </c>
      <c r="M142">
        <f ca="1"/>
        <v>103.73</v>
      </c>
      <c r="N142" t="str">
        <f ca="1"/>
        <v>EC4745393</v>
      </c>
      <c r="O142" t="str">
        <f ca="1"/>
        <v>JP13000611B1</v>
      </c>
      <c r="P142" t="str">
        <f ca="1"/>
        <v>A+</v>
      </c>
      <c r="Q142" s="3">
        <f ca="1"/>
        <v>37203</v>
      </c>
      <c r="R142" s="4">
        <f ca="1"/>
        <v>46162</v>
      </c>
      <c r="S142" s="4">
        <f ca="1"/>
        <v>5.6427104722792611</v>
      </c>
      <c r="T142">
        <f ca="1"/>
        <v>103.78399999999999</v>
      </c>
      <c r="U142">
        <f ca="1"/>
        <v>87</v>
      </c>
      <c r="V142">
        <f ca="1"/>
        <v>5.5</v>
      </c>
      <c r="W142">
        <f ca="1"/>
        <v>25</v>
      </c>
      <c r="X142">
        <f ca="1"/>
        <v>1.7142857142857142</v>
      </c>
      <c r="Y142">
        <f ca="1"/>
        <v>102.06971428571428</v>
      </c>
      <c r="Z142">
        <f ca="1"/>
        <v>1.6719999999998982</v>
      </c>
    </row>
    <row r="143" spans="1:26" x14ac:dyDescent="0.35">
      <c r="A143" t="str">
        <f ca="1"/>
        <v>BT330618 Corp</v>
      </c>
      <c r="B143" t="str">
        <f ca="1"/>
        <v>Japan Government Ten Year Bond</v>
      </c>
      <c r="C143" t="str">
        <f ca="1"/>
        <v>JGB</v>
      </c>
      <c r="D143" t="str">
        <f ca="1"/>
        <v>JP</v>
      </c>
      <c r="E143" t="str">
        <f ca="1"/>
        <v>JPY</v>
      </c>
      <c r="F143" t="str">
        <f ca="1"/>
        <v>20/12/2031</v>
      </c>
      <c r="G143" t="str">
        <f ca="1"/>
        <v>FIXED</v>
      </c>
      <c r="H143">
        <f ca="1"/>
        <v>2</v>
      </c>
      <c r="I143">
        <f ca="1"/>
        <v>0.1</v>
      </c>
      <c r="J143">
        <f ca="1"/>
        <v>1.7749999999224804</v>
      </c>
      <c r="K143">
        <f ca="1"/>
        <v>1.7919999999172049</v>
      </c>
      <c r="L143">
        <f ca="1"/>
        <v>91.224999999999994</v>
      </c>
      <c r="M143">
        <f ca="1"/>
        <v>91.144000000000005</v>
      </c>
      <c r="N143" t="str">
        <f ca="1"/>
        <v>BT3306185</v>
      </c>
      <c r="O143" t="str">
        <f ca="1"/>
        <v>JP1103651N11</v>
      </c>
      <c r="P143" t="str">
        <f ca="1"/>
        <v>NR</v>
      </c>
      <c r="Q143" s="3">
        <f ca="1"/>
        <v>44558</v>
      </c>
      <c r="R143" s="4">
        <f ca="1"/>
        <v>46193</v>
      </c>
      <c r="S143" s="4">
        <f ca="1"/>
        <v>5.7248459958932241</v>
      </c>
      <c r="T143">
        <f ca="1"/>
        <v>91.1845</v>
      </c>
      <c r="U143">
        <f ca="1"/>
        <v>58</v>
      </c>
      <c r="V143">
        <f ca="1"/>
        <v>5.5</v>
      </c>
      <c r="W143">
        <f ca="1"/>
        <v>5</v>
      </c>
      <c r="X143">
        <f ca="1"/>
        <v>5.4945054945054951E-2</v>
      </c>
      <c r="Y143">
        <f ca="1"/>
        <v>91.129554945054949</v>
      </c>
      <c r="Z143">
        <f ca="1"/>
        <v>1.7834999999198426</v>
      </c>
    </row>
    <row r="144" spans="1:26" x14ac:dyDescent="0.35">
      <c r="A144" t="str">
        <f ca="1"/>
        <v>EI910474 Corp</v>
      </c>
      <c r="B144" t="str">
        <f ca="1"/>
        <v>Japan Government Twenty Year Bond</v>
      </c>
      <c r="C144" t="str">
        <f ca="1"/>
        <v>JGB</v>
      </c>
      <c r="D144" t="str">
        <f ca="1"/>
        <v>JP</v>
      </c>
      <c r="E144" t="str">
        <f ca="1"/>
        <v>JPY</v>
      </c>
      <c r="F144" t="str">
        <f ca="1"/>
        <v>20/12/2031</v>
      </c>
      <c r="G144" t="str">
        <f ca="1"/>
        <v>FIXED</v>
      </c>
      <c r="H144">
        <f ca="1"/>
        <v>2</v>
      </c>
      <c r="I144">
        <f ca="1"/>
        <v>1.7</v>
      </c>
      <c r="J144">
        <f ca="1"/>
        <v>1.7009999998887095</v>
      </c>
      <c r="K144">
        <f ca="1"/>
        <v>1.7199999999996438</v>
      </c>
      <c r="L144">
        <f ca="1"/>
        <v>99.994</v>
      </c>
      <c r="M144">
        <f ca="1"/>
        <v>99.894000000000005</v>
      </c>
      <c r="N144" t="str">
        <f ca="1"/>
        <v>EI9104742</v>
      </c>
      <c r="O144" t="str">
        <f ca="1"/>
        <v>JP1201321BC7</v>
      </c>
      <c r="P144" t="str">
        <f ca="1"/>
        <v>A+</v>
      </c>
      <c r="Q144" s="3">
        <f ca="1"/>
        <v>40892</v>
      </c>
      <c r="R144" s="4">
        <f ca="1"/>
        <v>46193</v>
      </c>
      <c r="S144" s="4">
        <f ca="1"/>
        <v>5.7248459958932241</v>
      </c>
      <c r="T144">
        <f ca="1"/>
        <v>99.944000000000003</v>
      </c>
      <c r="U144">
        <f ca="1"/>
        <v>168</v>
      </c>
      <c r="V144">
        <f ca="1"/>
        <v>5.5</v>
      </c>
      <c r="W144">
        <f ca="1"/>
        <v>15</v>
      </c>
      <c r="X144">
        <f ca="1"/>
        <v>0.93406593406593408</v>
      </c>
      <c r="Y144">
        <f ca="1"/>
        <v>99.009934065934075</v>
      </c>
      <c r="Z144">
        <f ca="1"/>
        <v>1.7104999999441768</v>
      </c>
    </row>
    <row r="145" spans="1:26" x14ac:dyDescent="0.35">
      <c r="A145" t="str">
        <f ca="1"/>
        <v>EJ001484 Corp</v>
      </c>
      <c r="B145" t="str">
        <f ca="1"/>
        <v>Japan Government Twenty Year Bond</v>
      </c>
      <c r="C145" t="str">
        <f ca="1"/>
        <v>JGB</v>
      </c>
      <c r="D145" t="str">
        <f ca="1"/>
        <v>JP</v>
      </c>
      <c r="E145" t="str">
        <f ca="1"/>
        <v>JPY</v>
      </c>
      <c r="F145" t="str">
        <f ca="1"/>
        <v>20/12/2031</v>
      </c>
      <c r="G145" t="str">
        <f ca="1"/>
        <v>FIXED</v>
      </c>
      <c r="H145">
        <f ca="1"/>
        <v>2</v>
      </c>
      <c r="I145">
        <f ca="1"/>
        <v>1.8</v>
      </c>
      <c r="J145">
        <f ca="1"/>
        <v>1.6960000000532316</v>
      </c>
      <c r="K145">
        <f ca="1"/>
        <v>1.7150000000284553</v>
      </c>
      <c r="L145">
        <f ca="1"/>
        <v>100.547</v>
      </c>
      <c r="M145">
        <f ca="1"/>
        <v>100.446</v>
      </c>
      <c r="N145" t="str">
        <f ca="1"/>
        <v>EJ0014849</v>
      </c>
      <c r="O145" t="str">
        <f ca="1"/>
        <v>JP1201331C14</v>
      </c>
      <c r="P145" t="str">
        <f ca="1"/>
        <v>A+</v>
      </c>
      <c r="Q145" s="3">
        <f ca="1"/>
        <v>40934</v>
      </c>
      <c r="R145" s="4">
        <f ca="1"/>
        <v>46193</v>
      </c>
      <c r="S145" s="4">
        <f ca="1"/>
        <v>5.7248459958932241</v>
      </c>
      <c r="T145">
        <f ca="1"/>
        <v>100.4965</v>
      </c>
      <c r="U145">
        <f ca="1"/>
        <v>169</v>
      </c>
      <c r="V145">
        <f ca="1"/>
        <v>5.5</v>
      </c>
      <c r="W145">
        <f ca="1"/>
        <v>14</v>
      </c>
      <c r="X145">
        <f ca="1"/>
        <v>0.98901098901098916</v>
      </c>
      <c r="Y145">
        <f ca="1"/>
        <v>99.507489010989005</v>
      </c>
      <c r="Z145">
        <f ca="1"/>
        <v>1.7055000000408436</v>
      </c>
    </row>
    <row r="146" spans="1:26" x14ac:dyDescent="0.35">
      <c r="A146" t="str">
        <f ca="1"/>
        <v>BV737650 Corp</v>
      </c>
      <c r="B146" t="str">
        <f ca="1"/>
        <v>Japan Government Ten Year Bond</v>
      </c>
      <c r="C146" t="str">
        <f ca="1"/>
        <v>JGB</v>
      </c>
      <c r="D146" t="str">
        <f ca="1"/>
        <v>JP</v>
      </c>
      <c r="E146" t="str">
        <f ca="1"/>
        <v>JPY</v>
      </c>
      <c r="F146" t="str">
        <f ca="1"/>
        <v>20/03/2032</v>
      </c>
      <c r="G146" t="str">
        <f ca="1"/>
        <v>FIXED</v>
      </c>
      <c r="H146">
        <f ca="1"/>
        <v>2</v>
      </c>
      <c r="I146">
        <f ca="1"/>
        <v>0.2</v>
      </c>
      <c r="J146">
        <f ca="1"/>
        <v>1.8069999998950457</v>
      </c>
      <c r="K146">
        <f ca="1"/>
        <v>1.8229999998880817</v>
      </c>
      <c r="L146">
        <f ca="1"/>
        <v>91.272000000000006</v>
      </c>
      <c r="M146">
        <f ca="1"/>
        <v>91.192999999999998</v>
      </c>
      <c r="N146" t="str">
        <f ca="1"/>
        <v>BV7376502</v>
      </c>
      <c r="O146" t="str">
        <f ca="1"/>
        <v>JP1103661N43</v>
      </c>
      <c r="P146" t="str">
        <f ca="1"/>
        <v>A+</v>
      </c>
      <c r="Q146" s="3">
        <f ca="1"/>
        <v>44649</v>
      </c>
      <c r="R146" s="4">
        <f ca="1"/>
        <v>46101</v>
      </c>
      <c r="S146" s="4">
        <f ca="1"/>
        <v>5.9739904175222449</v>
      </c>
      <c r="T146">
        <f ca="1"/>
        <v>91.232500000000002</v>
      </c>
      <c r="U146">
        <f ca="1"/>
        <v>62</v>
      </c>
      <c r="V146">
        <f ca="1"/>
        <v>5.5</v>
      </c>
      <c r="W146">
        <f ca="1"/>
        <v>4</v>
      </c>
      <c r="X146">
        <f ca="1"/>
        <v>0.20989010989010992</v>
      </c>
      <c r="Y146">
        <f ca="1"/>
        <v>91.022609890109891</v>
      </c>
      <c r="Z146">
        <f ca="1"/>
        <v>1.8149999998915636</v>
      </c>
    </row>
    <row r="147" spans="1:26" x14ac:dyDescent="0.35">
      <c r="A147" t="str">
        <f ca="1"/>
        <v>EJ096338 Corp</v>
      </c>
      <c r="B147" t="str">
        <f ca="1"/>
        <v>Japan Government Twenty Year Bond</v>
      </c>
      <c r="C147" t="str">
        <f ca="1"/>
        <v>JGB</v>
      </c>
      <c r="D147" t="str">
        <f ca="1"/>
        <v>JP</v>
      </c>
      <c r="E147" t="str">
        <f ca="1"/>
        <v>JPY</v>
      </c>
      <c r="F147" t="str">
        <f ca="1"/>
        <v>20/03/2032</v>
      </c>
      <c r="G147" t="str">
        <f ca="1"/>
        <v>FIXED</v>
      </c>
      <c r="H147">
        <f ca="1"/>
        <v>2</v>
      </c>
      <c r="I147">
        <f ca="1"/>
        <v>1.8</v>
      </c>
      <c r="J147">
        <f ca="1"/>
        <v>1.7230000000292964</v>
      </c>
      <c r="K147">
        <f ca="1"/>
        <v>1.7430000000116002</v>
      </c>
      <c r="L147">
        <f ca="1"/>
        <v>100.42</v>
      </c>
      <c r="M147">
        <f ca="1"/>
        <v>100.31</v>
      </c>
      <c r="N147" t="str">
        <f ca="1"/>
        <v>EJ0963383</v>
      </c>
      <c r="O147" t="str">
        <f ca="1"/>
        <v>JP1201341C38</v>
      </c>
      <c r="P147" t="str">
        <f ca="1"/>
        <v>A+</v>
      </c>
      <c r="Q147" s="3">
        <f ca="1"/>
        <v>40983</v>
      </c>
      <c r="R147" s="4">
        <f ca="1"/>
        <v>46101</v>
      </c>
      <c r="S147" s="4">
        <f ca="1"/>
        <v>5.9739904175222449</v>
      </c>
      <c r="T147">
        <f ca="1"/>
        <v>100.36500000000001</v>
      </c>
      <c r="U147">
        <f ca="1"/>
        <v>171</v>
      </c>
      <c r="V147">
        <f ca="1"/>
        <v>5.5</v>
      </c>
      <c r="W147">
        <f ca="1"/>
        <v>14</v>
      </c>
      <c r="X147">
        <f ca="1"/>
        <v>1.8890109890109892</v>
      </c>
      <c r="Y147">
        <f ca="1"/>
        <v>98.475989010989025</v>
      </c>
      <c r="Z147">
        <f ca="1"/>
        <v>1.7330000000204482</v>
      </c>
    </row>
    <row r="148" spans="1:26" x14ac:dyDescent="0.35">
      <c r="A148" t="str">
        <f ca="1"/>
        <v>EJ146116 Corp</v>
      </c>
      <c r="B148" t="str">
        <f ca="1"/>
        <v>Japan Government Twenty Year Bond</v>
      </c>
      <c r="C148" t="str">
        <f ca="1"/>
        <v>JGB</v>
      </c>
      <c r="D148" t="str">
        <f ca="1"/>
        <v>JP</v>
      </c>
      <c r="E148" t="str">
        <f ca="1"/>
        <v>JPY</v>
      </c>
      <c r="F148" t="str">
        <f ca="1"/>
        <v>20/03/2032</v>
      </c>
      <c r="G148" t="str">
        <f ca="1"/>
        <v>FIXED</v>
      </c>
      <c r="H148">
        <f ca="1"/>
        <v>2</v>
      </c>
      <c r="I148">
        <f ca="1"/>
        <v>1.7</v>
      </c>
      <c r="J148">
        <f ca="1"/>
        <v>1.7279999999986224</v>
      </c>
      <c r="K148">
        <f ca="1"/>
        <v>1.7479999999929201</v>
      </c>
      <c r="L148">
        <f ca="1"/>
        <v>99.846999999999994</v>
      </c>
      <c r="M148">
        <f ca="1"/>
        <v>99.738</v>
      </c>
      <c r="N148" t="str">
        <f ca="1"/>
        <v>EJ1461163</v>
      </c>
      <c r="O148" t="str">
        <f ca="1"/>
        <v>JP1201351C43</v>
      </c>
      <c r="P148" t="str">
        <f ca="1"/>
        <v>A+</v>
      </c>
      <c r="Q148" s="3">
        <f ca="1"/>
        <v>41023</v>
      </c>
      <c r="R148" s="4">
        <f ca="1"/>
        <v>46101</v>
      </c>
      <c r="S148" s="4">
        <f ca="1"/>
        <v>5.9739904175222449</v>
      </c>
      <c r="T148">
        <f ca="1"/>
        <v>99.79249999999999</v>
      </c>
      <c r="U148">
        <f ca="1"/>
        <v>172</v>
      </c>
      <c r="V148">
        <f ca="1"/>
        <v>5.5</v>
      </c>
      <c r="W148">
        <f ca="1"/>
        <v>14</v>
      </c>
      <c r="X148">
        <f ca="1"/>
        <v>1.7840659340659342</v>
      </c>
      <c r="Y148">
        <f ca="1"/>
        <v>98.008434065934054</v>
      </c>
      <c r="Z148">
        <f ca="1"/>
        <v>1.7379999999957714</v>
      </c>
    </row>
    <row r="149" spans="1:26" x14ac:dyDescent="0.35">
      <c r="A149" t="str">
        <f ca="1"/>
        <v>EJ213627 Corp</v>
      </c>
      <c r="B149" t="str">
        <f ca="1"/>
        <v>Japan Government Twenty Year Bond</v>
      </c>
      <c r="C149" t="str">
        <f ca="1"/>
        <v>JGB</v>
      </c>
      <c r="D149" t="str">
        <f ca="1"/>
        <v>JP</v>
      </c>
      <c r="E149" t="str">
        <f ca="1"/>
        <v>JPY</v>
      </c>
      <c r="F149" t="str">
        <f ca="1"/>
        <v>20/03/2032</v>
      </c>
      <c r="G149" t="str">
        <f ca="1"/>
        <v>FIXED</v>
      </c>
      <c r="H149">
        <f ca="1"/>
        <v>2</v>
      </c>
      <c r="I149">
        <f ca="1"/>
        <v>1.6</v>
      </c>
      <c r="J149">
        <f ca="1"/>
        <v>1.7309999998361589</v>
      </c>
      <c r="K149">
        <f ca="1"/>
        <v>1.7509999999999977</v>
      </c>
      <c r="L149">
        <f ca="1"/>
        <v>99.284999999999997</v>
      </c>
      <c r="M149">
        <f ca="1"/>
        <v>99.177000000000007</v>
      </c>
      <c r="N149" t="str">
        <f ca="1"/>
        <v>EJ2136277</v>
      </c>
      <c r="O149" t="str">
        <f ca="1"/>
        <v>JP1201361C58</v>
      </c>
      <c r="P149" t="str">
        <f ca="1"/>
        <v>A+</v>
      </c>
      <c r="Q149" s="3">
        <f ca="1"/>
        <v>41053</v>
      </c>
      <c r="R149" s="4">
        <f ca="1"/>
        <v>46101</v>
      </c>
      <c r="S149" s="4">
        <f ca="1"/>
        <v>5.9739904175222449</v>
      </c>
      <c r="T149">
        <f ca="1"/>
        <v>99.230999999999995</v>
      </c>
      <c r="U149">
        <f ca="1"/>
        <v>174</v>
      </c>
      <c r="V149">
        <f ca="1"/>
        <v>5.5</v>
      </c>
      <c r="W149">
        <f ca="1"/>
        <v>14</v>
      </c>
      <c r="X149">
        <f ca="1"/>
        <v>1.6791208791208794</v>
      </c>
      <c r="Y149">
        <f ca="1"/>
        <v>97.551879120879121</v>
      </c>
      <c r="Z149">
        <f ca="1"/>
        <v>1.7409999999180783</v>
      </c>
    </row>
    <row r="150" spans="1:26" x14ac:dyDescent="0.35">
      <c r="A150" t="str">
        <f ca="1"/>
        <v>EC565086 Corp</v>
      </c>
      <c r="B150" t="str">
        <f ca="1"/>
        <v>Japan Government Thirty Year Bond</v>
      </c>
      <c r="C150" t="str">
        <f ca="1"/>
        <v>JGB</v>
      </c>
      <c r="D150" t="str">
        <f ca="1"/>
        <v>JP</v>
      </c>
      <c r="E150" t="str">
        <f ca="1"/>
        <v>JPY</v>
      </c>
      <c r="F150" t="str">
        <f ca="1"/>
        <v>20/05/2032</v>
      </c>
      <c r="G150" t="str">
        <f ca="1"/>
        <v>FIXED</v>
      </c>
      <c r="H150">
        <f ca="1"/>
        <v>2</v>
      </c>
      <c r="I150">
        <f ca="1"/>
        <v>2.2999999999999998</v>
      </c>
      <c r="J150">
        <f ca="1"/>
        <v>1.720999999999951</v>
      </c>
      <c r="K150">
        <f ca="1"/>
        <v>1.740999999999965</v>
      </c>
      <c r="L150">
        <f ca="1"/>
        <v>103.238</v>
      </c>
      <c r="M150">
        <f ca="1"/>
        <v>103.123</v>
      </c>
      <c r="N150" t="str">
        <f ca="1"/>
        <v>EC5650865</v>
      </c>
      <c r="O150" t="str">
        <f ca="1"/>
        <v>JP1300071253</v>
      </c>
      <c r="P150" t="str">
        <f ca="1"/>
        <v>A+</v>
      </c>
      <c r="Q150" s="3">
        <f ca="1"/>
        <v>37391</v>
      </c>
      <c r="R150" s="4">
        <f ca="1"/>
        <v>46162</v>
      </c>
      <c r="S150" s="4">
        <f ca="1"/>
        <v>6.1409993155373028</v>
      </c>
      <c r="T150">
        <f ca="1"/>
        <v>103.18049999999999</v>
      </c>
      <c r="U150">
        <f ca="1"/>
        <v>88</v>
      </c>
      <c r="V150">
        <f ca="1"/>
        <v>6</v>
      </c>
      <c r="W150">
        <f ca="1"/>
        <v>24</v>
      </c>
      <c r="X150">
        <f ca="1"/>
        <v>1.6428571428571428</v>
      </c>
      <c r="Y150">
        <f ca="1"/>
        <v>101.53764285714286</v>
      </c>
      <c r="Z150">
        <f ca="1"/>
        <v>1.7309999999999581</v>
      </c>
    </row>
    <row r="151" spans="1:26" x14ac:dyDescent="0.35">
      <c r="A151" t="str">
        <f ca="1"/>
        <v>BX625748 Corp</v>
      </c>
      <c r="B151" t="str">
        <f ca="1"/>
        <v>Japan Government Ten Year Bond</v>
      </c>
      <c r="C151" t="str">
        <f ca="1"/>
        <v>JGB</v>
      </c>
      <c r="D151" t="str">
        <f ca="1"/>
        <v>JP</v>
      </c>
      <c r="E151" t="str">
        <f ca="1"/>
        <v>JPY</v>
      </c>
      <c r="F151" t="str">
        <f ca="1"/>
        <v>20/06/2032</v>
      </c>
      <c r="G151" t="str">
        <f ca="1"/>
        <v>FIXED</v>
      </c>
      <c r="H151">
        <f ca="1"/>
        <v>2</v>
      </c>
      <c r="I151">
        <f ca="1"/>
        <v>0.2</v>
      </c>
      <c r="J151">
        <f ca="1"/>
        <v>1.8349999998885898</v>
      </c>
      <c r="K151">
        <f ca="1"/>
        <v>1.8519999998808494</v>
      </c>
      <c r="L151">
        <f ca="1"/>
        <v>90.801000000000002</v>
      </c>
      <c r="M151">
        <f ca="1"/>
        <v>90.713999999999999</v>
      </c>
      <c r="N151" t="str">
        <f ca="1"/>
        <v>BX6257485</v>
      </c>
      <c r="O151" t="str">
        <f ca="1"/>
        <v>JP1103671N74</v>
      </c>
      <c r="P151" t="str">
        <f ca="1"/>
        <v>A+</v>
      </c>
      <c r="Q151" s="3">
        <f ca="1"/>
        <v>44740</v>
      </c>
      <c r="R151" s="4">
        <f ca="1"/>
        <v>46193</v>
      </c>
      <c r="S151" s="4">
        <f ca="1"/>
        <v>6.2258726899383987</v>
      </c>
      <c r="T151">
        <f ca="1"/>
        <v>90.757499999999993</v>
      </c>
      <c r="U151">
        <f ca="1"/>
        <v>68</v>
      </c>
      <c r="V151">
        <f ca="1"/>
        <v>6</v>
      </c>
      <c r="W151">
        <f ca="1"/>
        <v>4</v>
      </c>
      <c r="X151">
        <f ca="1"/>
        <v>0.1098901098901099</v>
      </c>
      <c r="Y151">
        <f ca="1"/>
        <v>90.647609890109877</v>
      </c>
      <c r="Z151">
        <f ca="1"/>
        <v>1.8434999998847195</v>
      </c>
    </row>
    <row r="152" spans="1:26" x14ac:dyDescent="0.35">
      <c r="A152" t="str">
        <f ca="1"/>
        <v>EJ239794 Corp</v>
      </c>
      <c r="B152" t="str">
        <f ca="1"/>
        <v>Japan Government Twenty Year Bond</v>
      </c>
      <c r="C152" t="str">
        <f ca="1"/>
        <v>JGB</v>
      </c>
      <c r="D152" t="str">
        <f ca="1"/>
        <v>JP</v>
      </c>
      <c r="E152" t="str">
        <f ca="1"/>
        <v>JPY</v>
      </c>
      <c r="F152" t="str">
        <f ca="1"/>
        <v>20/06/2032</v>
      </c>
      <c r="G152" t="str">
        <f ca="1"/>
        <v>FIXED</v>
      </c>
      <c r="H152">
        <f ca="1"/>
        <v>2</v>
      </c>
      <c r="I152">
        <f ca="1"/>
        <v>1.7</v>
      </c>
      <c r="J152">
        <f ca="1"/>
        <v>1.7539999999902207</v>
      </c>
      <c r="K152">
        <f ca="1"/>
        <v>1.7739999999742999</v>
      </c>
      <c r="L152">
        <f ca="1"/>
        <v>99.694000000000003</v>
      </c>
      <c r="M152">
        <f ca="1"/>
        <v>99.581999999999994</v>
      </c>
      <c r="N152" t="str">
        <f ca="1"/>
        <v>EJ2397945</v>
      </c>
      <c r="O152" t="str">
        <f ca="1"/>
        <v>JP1201371C64</v>
      </c>
      <c r="P152" t="str">
        <f ca="1"/>
        <v>A+</v>
      </c>
      <c r="Q152" s="3">
        <f ca="1"/>
        <v>41074</v>
      </c>
      <c r="R152" s="4">
        <f ca="1"/>
        <v>46193</v>
      </c>
      <c r="S152" s="4">
        <f ca="1"/>
        <v>6.2258726899383987</v>
      </c>
      <c r="T152">
        <f ca="1"/>
        <v>99.638000000000005</v>
      </c>
      <c r="U152">
        <f ca="1"/>
        <v>175</v>
      </c>
      <c r="V152">
        <f ca="1"/>
        <v>6</v>
      </c>
      <c r="W152">
        <f ca="1"/>
        <v>14</v>
      </c>
      <c r="X152">
        <f ca="1"/>
        <v>0.93406593406593408</v>
      </c>
      <c r="Y152">
        <f ca="1"/>
        <v>98.703934065934078</v>
      </c>
      <c r="Z152">
        <f ca="1"/>
        <v>1.7639999999822602</v>
      </c>
    </row>
    <row r="153" spans="1:26" x14ac:dyDescent="0.35">
      <c r="A153" t="str">
        <f ca="1"/>
        <v>EJ300145 Corp</v>
      </c>
      <c r="B153" t="str">
        <f ca="1"/>
        <v>Japan Government Twenty Year Bond</v>
      </c>
      <c r="C153" t="str">
        <f ca="1"/>
        <v>JGB</v>
      </c>
      <c r="D153" t="str">
        <f ca="1"/>
        <v>JP</v>
      </c>
      <c r="E153" t="str">
        <f ca="1"/>
        <v>JPY</v>
      </c>
      <c r="F153" t="str">
        <f ca="1"/>
        <v>20/06/2032</v>
      </c>
      <c r="G153" t="str">
        <f ca="1"/>
        <v>FIXED</v>
      </c>
      <c r="H153">
        <f ca="1"/>
        <v>2</v>
      </c>
      <c r="I153">
        <f ca="1"/>
        <v>1.5</v>
      </c>
      <c r="J153">
        <f ca="1"/>
        <v>1.7639999999999982</v>
      </c>
      <c r="K153">
        <f ca="1"/>
        <v>1.7829999999999988</v>
      </c>
      <c r="L153">
        <f ca="1"/>
        <v>98.507999999999996</v>
      </c>
      <c r="M153">
        <f ca="1"/>
        <v>98.403000000000006</v>
      </c>
      <c r="N153" t="str">
        <f ca="1"/>
        <v>EJ3001454</v>
      </c>
      <c r="O153" t="str">
        <f ca="1"/>
        <v>JP1201381C70</v>
      </c>
      <c r="P153" t="str">
        <f ca="1"/>
        <v>A+</v>
      </c>
      <c r="Q153" s="3">
        <f ca="1"/>
        <v>41116</v>
      </c>
      <c r="R153" s="4">
        <f ca="1"/>
        <v>46193</v>
      </c>
      <c r="S153" s="4">
        <f ca="1"/>
        <v>6.2258726899383987</v>
      </c>
      <c r="T153">
        <f ca="1"/>
        <v>98.455500000000001</v>
      </c>
      <c r="U153">
        <f ca="1"/>
        <v>176</v>
      </c>
      <c r="V153">
        <f ca="1"/>
        <v>6</v>
      </c>
      <c r="W153">
        <f ca="1"/>
        <v>14</v>
      </c>
      <c r="X153">
        <f ca="1"/>
        <v>0.82417582417582425</v>
      </c>
      <c r="Y153">
        <f ca="1"/>
        <v>97.631324175824176</v>
      </c>
      <c r="Z153">
        <f ca="1"/>
        <v>1.7734999999999985</v>
      </c>
    </row>
    <row r="154" spans="1:26" x14ac:dyDescent="0.35">
      <c r="A154" t="str">
        <f ca="1"/>
        <v>EJ336551 Corp</v>
      </c>
      <c r="B154" t="str">
        <f ca="1"/>
        <v>Japan Government Twenty Year Bond</v>
      </c>
      <c r="C154" t="str">
        <f ca="1"/>
        <v>JGB</v>
      </c>
      <c r="D154" t="str">
        <f ca="1"/>
        <v>JP</v>
      </c>
      <c r="E154" t="str">
        <f ca="1"/>
        <v>JPY</v>
      </c>
      <c r="F154" t="str">
        <f ca="1"/>
        <v>20/06/2032</v>
      </c>
      <c r="G154" t="str">
        <f ca="1"/>
        <v>FIXED</v>
      </c>
      <c r="H154">
        <f ca="1"/>
        <v>2</v>
      </c>
      <c r="I154">
        <f ca="1"/>
        <v>1.6</v>
      </c>
      <c r="J154">
        <f ca="1"/>
        <v>1.7570000000000034</v>
      </c>
      <c r="K154">
        <f ca="1"/>
        <v>1.7770000000000039</v>
      </c>
      <c r="L154">
        <f ca="1"/>
        <v>99.111999999999995</v>
      </c>
      <c r="M154">
        <f ca="1"/>
        <v>99</v>
      </c>
      <c r="N154" t="str">
        <f ca="1"/>
        <v>EJ3365511</v>
      </c>
      <c r="O154" t="str">
        <f ca="1"/>
        <v>JP1201391C86</v>
      </c>
      <c r="P154" t="str">
        <f ca="1"/>
        <v>A+</v>
      </c>
      <c r="Q154" s="3">
        <f ca="1"/>
        <v>41144</v>
      </c>
      <c r="R154" s="4">
        <f ca="1"/>
        <v>46193</v>
      </c>
      <c r="S154" s="4">
        <f ca="1"/>
        <v>6.2258726899383987</v>
      </c>
      <c r="T154">
        <f ca="1"/>
        <v>99.055999999999997</v>
      </c>
      <c r="U154">
        <f ca="1"/>
        <v>177</v>
      </c>
      <c r="V154">
        <f ca="1"/>
        <v>6</v>
      </c>
      <c r="W154">
        <f ca="1"/>
        <v>14</v>
      </c>
      <c r="X154">
        <f ca="1"/>
        <v>0.87912087912087922</v>
      </c>
      <c r="Y154">
        <f ca="1"/>
        <v>98.176879120879121</v>
      </c>
      <c r="Z154">
        <f ca="1"/>
        <v>1.7670000000000037</v>
      </c>
    </row>
    <row r="155" spans="1:26" x14ac:dyDescent="0.35">
      <c r="A155" t="str">
        <f ca="1"/>
        <v>BZ503564 Corp</v>
      </c>
      <c r="B155" t="str">
        <f ca="1"/>
        <v>Japan Government Ten Year Bond</v>
      </c>
      <c r="C155" t="str">
        <f ca="1"/>
        <v>JGB</v>
      </c>
      <c r="D155" t="str">
        <f ca="1"/>
        <v>JP</v>
      </c>
      <c r="E155" t="str">
        <f ca="1"/>
        <v>JPY</v>
      </c>
      <c r="F155" t="str">
        <f ca="1"/>
        <v>20/09/2032</v>
      </c>
      <c r="G155" t="str">
        <f ca="1"/>
        <v>FIXED</v>
      </c>
      <c r="H155">
        <f ca="1"/>
        <v>2</v>
      </c>
      <c r="I155">
        <f ca="1"/>
        <v>0.2</v>
      </c>
      <c r="J155">
        <f ca="1"/>
        <v>1.8649999999999975</v>
      </c>
      <c r="K155">
        <f ca="1"/>
        <v>1.8810000000000002</v>
      </c>
      <c r="L155">
        <f ca="1"/>
        <v>90.313000000000002</v>
      </c>
      <c r="M155">
        <f ca="1"/>
        <v>90.228999999999999</v>
      </c>
      <c r="N155" t="str">
        <f ca="1"/>
        <v>BZ5035648</v>
      </c>
      <c r="O155" t="str">
        <f ca="1"/>
        <v>JP1103681NA2</v>
      </c>
      <c r="P155" t="str">
        <f ca="1"/>
        <v>A+</v>
      </c>
      <c r="Q155" s="3">
        <f ca="1"/>
        <v>44831</v>
      </c>
      <c r="R155" s="4">
        <f ca="1"/>
        <v>46101</v>
      </c>
      <c r="S155" s="4">
        <f ca="1"/>
        <v>6.4777549623545516</v>
      </c>
      <c r="T155">
        <f ca="1"/>
        <v>90.271000000000001</v>
      </c>
      <c r="U155">
        <f ca="1"/>
        <v>72</v>
      </c>
      <c r="V155">
        <f ca="1"/>
        <v>6</v>
      </c>
      <c r="W155">
        <f ca="1"/>
        <v>4</v>
      </c>
      <c r="X155">
        <f ca="1"/>
        <v>0.20989010989010992</v>
      </c>
      <c r="Y155">
        <f ca="1"/>
        <v>90.06110989010989</v>
      </c>
      <c r="Z155">
        <f ca="1"/>
        <v>1.8729999999999989</v>
      </c>
    </row>
    <row r="156" spans="1:26" x14ac:dyDescent="0.35">
      <c r="A156" t="str">
        <f ca="1"/>
        <v>EJ363340 Corp</v>
      </c>
      <c r="B156" t="str">
        <f ca="1"/>
        <v>Japan Government Twenty Year Bond</v>
      </c>
      <c r="C156" t="str">
        <f ca="1"/>
        <v>JGB</v>
      </c>
      <c r="D156" t="str">
        <f ca="1"/>
        <v>JP</v>
      </c>
      <c r="E156" t="str">
        <f ca="1"/>
        <v>JPY</v>
      </c>
      <c r="F156" t="str">
        <f ca="1"/>
        <v>20/09/2032</v>
      </c>
      <c r="G156" t="str">
        <f ca="1"/>
        <v>FIXED</v>
      </c>
      <c r="H156">
        <f ca="1"/>
        <v>2</v>
      </c>
      <c r="I156">
        <f ca="1"/>
        <v>1.7</v>
      </c>
      <c r="J156">
        <f ca="1"/>
        <v>1.7769999999606663</v>
      </c>
      <c r="K156">
        <f ca="1"/>
        <v>1.7969999999196467</v>
      </c>
      <c r="L156">
        <f ca="1"/>
        <v>99.549000000000007</v>
      </c>
      <c r="M156">
        <f ca="1"/>
        <v>99.433000000000007</v>
      </c>
      <c r="N156" t="str">
        <f ca="1"/>
        <v>EJ3633405</v>
      </c>
      <c r="O156" t="str">
        <f ca="1"/>
        <v>JP1201401C92</v>
      </c>
      <c r="P156" t="str">
        <f ca="1"/>
        <v>A+</v>
      </c>
      <c r="Q156" s="3">
        <f ca="1"/>
        <v>41165</v>
      </c>
      <c r="R156" s="4">
        <f ca="1"/>
        <v>46101</v>
      </c>
      <c r="S156" s="4">
        <f ca="1"/>
        <v>6.4777549623545516</v>
      </c>
      <c r="T156">
        <f ca="1"/>
        <v>99.491000000000014</v>
      </c>
      <c r="U156">
        <f ca="1"/>
        <v>179</v>
      </c>
      <c r="V156">
        <f ca="1"/>
        <v>6</v>
      </c>
      <c r="W156">
        <f ca="1"/>
        <v>14</v>
      </c>
      <c r="X156">
        <f ca="1"/>
        <v>1.7840659340659342</v>
      </c>
      <c r="Y156">
        <f ca="1"/>
        <v>97.706934065934078</v>
      </c>
      <c r="Z156">
        <f ca="1"/>
        <v>1.7869999999401565</v>
      </c>
    </row>
    <row r="157" spans="1:26" x14ac:dyDescent="0.35">
      <c r="A157" t="str">
        <f ca="1"/>
        <v>EC748607 Corp</v>
      </c>
      <c r="B157" t="str">
        <f ca="1"/>
        <v>Japan Government Thirty Year Bond</v>
      </c>
      <c r="C157" t="str">
        <f ca="1"/>
        <v>JGB</v>
      </c>
      <c r="D157" t="str">
        <f ca="1"/>
        <v>JP</v>
      </c>
      <c r="E157" t="str">
        <f ca="1"/>
        <v>JPY</v>
      </c>
      <c r="F157" t="str">
        <f ca="1"/>
        <v>22/11/2032</v>
      </c>
      <c r="G157" t="str">
        <f ca="1"/>
        <v>FIXED</v>
      </c>
      <c r="H157">
        <f ca="1"/>
        <v>2</v>
      </c>
      <c r="I157">
        <f ca="1"/>
        <v>1.8</v>
      </c>
      <c r="J157">
        <f ca="1"/>
        <v>1.7920000000000378</v>
      </c>
      <c r="K157">
        <f ca="1"/>
        <v>1.8149999999997424</v>
      </c>
      <c r="L157">
        <f ca="1"/>
        <v>100.047</v>
      </c>
      <c r="M157">
        <f ca="1"/>
        <v>99.91</v>
      </c>
      <c r="N157" t="str">
        <f ca="1"/>
        <v>EC7486078</v>
      </c>
      <c r="O157" t="str">
        <f ca="1"/>
        <v>JP13000812B5</v>
      </c>
      <c r="P157" t="str">
        <f ca="1"/>
        <v>A+</v>
      </c>
      <c r="Q157" s="3">
        <f ca="1"/>
        <v>37572</v>
      </c>
      <c r="R157" s="4">
        <f ca="1"/>
        <v>46162</v>
      </c>
      <c r="S157" s="4">
        <f ca="1"/>
        <v>6.6502395619438737</v>
      </c>
      <c r="T157">
        <f ca="1"/>
        <v>99.978499999999997</v>
      </c>
      <c r="U157">
        <f ca="1"/>
        <v>89</v>
      </c>
      <c r="V157">
        <f ca="1"/>
        <v>6.5</v>
      </c>
      <c r="W157">
        <f ca="1"/>
        <v>24</v>
      </c>
      <c r="X157">
        <f ca="1"/>
        <v>1.2857142857142858</v>
      </c>
      <c r="Y157">
        <f ca="1"/>
        <v>98.692785714285705</v>
      </c>
      <c r="Z157">
        <f ca="1"/>
        <v>1.80349999999989</v>
      </c>
    </row>
    <row r="158" spans="1:26" x14ac:dyDescent="0.35">
      <c r="A158" t="str">
        <f ca="1"/>
        <v>EC820426 Corp</v>
      </c>
      <c r="B158" t="str">
        <f ca="1"/>
        <v>Japan Government Thirty Year Bond</v>
      </c>
      <c r="C158" t="str">
        <f ca="1"/>
        <v>JGB</v>
      </c>
      <c r="D158" t="str">
        <f ca="1"/>
        <v>JP</v>
      </c>
      <c r="E158" t="str">
        <f ca="1"/>
        <v>JPY</v>
      </c>
      <c r="F158" t="str">
        <f ca="1"/>
        <v>20/12/2032</v>
      </c>
      <c r="G158" t="str">
        <f ca="1"/>
        <v>FIXED</v>
      </c>
      <c r="H158">
        <f ca="1"/>
        <v>2</v>
      </c>
      <c r="I158">
        <f ca="1"/>
        <v>1.4</v>
      </c>
      <c r="J158">
        <f ca="1"/>
        <v>1.8169999999999809</v>
      </c>
      <c r="K158">
        <f ca="1"/>
        <v>1.8379999999999754</v>
      </c>
      <c r="L158">
        <f ca="1"/>
        <v>97.483999999999995</v>
      </c>
      <c r="M158">
        <f ca="1"/>
        <v>97.361000000000004</v>
      </c>
      <c r="N158" t="str">
        <f ca="1"/>
        <v>EC8204264</v>
      </c>
      <c r="O158" t="str">
        <f ca="1"/>
        <v>JP1300091319</v>
      </c>
      <c r="P158" t="str">
        <f ca="1"/>
        <v>A+</v>
      </c>
      <c r="Q158" s="3">
        <f ca="1"/>
        <v>37642</v>
      </c>
      <c r="R158" s="4">
        <f ca="1"/>
        <v>46193</v>
      </c>
      <c r="S158" s="4">
        <f ca="1"/>
        <v>6.7268993839835725</v>
      </c>
      <c r="T158">
        <f ca="1"/>
        <v>97.422499999999999</v>
      </c>
      <c r="U158">
        <f ca="1"/>
        <v>90</v>
      </c>
      <c r="V158">
        <f ca="1"/>
        <v>6.5</v>
      </c>
      <c r="W158">
        <f ca="1"/>
        <v>23</v>
      </c>
      <c r="X158">
        <f ca="1"/>
        <v>0.76923076923076927</v>
      </c>
      <c r="Y158">
        <f ca="1"/>
        <v>96.653269230769226</v>
      </c>
      <c r="Z158">
        <f ca="1"/>
        <v>1.8274999999999781</v>
      </c>
    </row>
    <row r="159" spans="1:26" x14ac:dyDescent="0.35">
      <c r="A159" t="str">
        <f ca="1"/>
        <v>EJ488345 Corp</v>
      </c>
      <c r="B159" t="str">
        <f ca="1"/>
        <v>Japan Government Twenty Year Bond</v>
      </c>
      <c r="C159" t="str">
        <f ca="1"/>
        <v>JGB</v>
      </c>
      <c r="D159" t="str">
        <f ca="1"/>
        <v>JP</v>
      </c>
      <c r="E159" t="str">
        <f ca="1"/>
        <v>JPY</v>
      </c>
      <c r="F159" t="str">
        <f ca="1"/>
        <v>20/12/2032</v>
      </c>
      <c r="G159" t="str">
        <f ca="1"/>
        <v>FIXED</v>
      </c>
      <c r="H159">
        <f ca="1"/>
        <v>2</v>
      </c>
      <c r="I159">
        <f ca="1"/>
        <v>1.7</v>
      </c>
      <c r="J159">
        <f ca="1"/>
        <v>1.8029999999067505</v>
      </c>
      <c r="K159">
        <f ca="1"/>
        <v>1.823999999833767</v>
      </c>
      <c r="L159">
        <f ca="1"/>
        <v>99.378</v>
      </c>
      <c r="M159">
        <f ca="1"/>
        <v>99.251999999999995</v>
      </c>
      <c r="N159" t="str">
        <f ca="1"/>
        <v>EJ4883454</v>
      </c>
      <c r="O159" t="str">
        <f ca="1"/>
        <v>JP1201411CC4</v>
      </c>
      <c r="P159" t="str">
        <f ca="1"/>
        <v>A+</v>
      </c>
      <c r="Q159" s="3">
        <f ca="1"/>
        <v>41261</v>
      </c>
      <c r="R159" s="4">
        <f ca="1"/>
        <v>46193</v>
      </c>
      <c r="S159" s="4">
        <f ca="1"/>
        <v>6.7268993839835725</v>
      </c>
      <c r="T159">
        <f ca="1"/>
        <v>99.314999999999998</v>
      </c>
      <c r="U159">
        <f ca="1"/>
        <v>180</v>
      </c>
      <c r="V159">
        <f ca="1"/>
        <v>6.5</v>
      </c>
      <c r="W159">
        <f ca="1"/>
        <v>14</v>
      </c>
      <c r="X159">
        <f ca="1"/>
        <v>0.93406593406593408</v>
      </c>
      <c r="Y159">
        <f ca="1"/>
        <v>98.380934065934071</v>
      </c>
      <c r="Z159">
        <f ca="1"/>
        <v>1.8134999998702588</v>
      </c>
    </row>
    <row r="160" spans="1:26" x14ac:dyDescent="0.35">
      <c r="A160" t="str">
        <f ca="1"/>
        <v>EJ565915 Corp</v>
      </c>
      <c r="B160" t="str">
        <f ca="1"/>
        <v>Japan Government Twenty Year Bond</v>
      </c>
      <c r="C160" t="str">
        <f ca="1"/>
        <v>JGB</v>
      </c>
      <c r="D160" t="str">
        <f ca="1"/>
        <v>JP</v>
      </c>
      <c r="E160" t="str">
        <f ca="1"/>
        <v>JPY</v>
      </c>
      <c r="F160" t="str">
        <f ca="1"/>
        <v>20/12/2032</v>
      </c>
      <c r="G160" t="str">
        <f ca="1"/>
        <v>FIXED</v>
      </c>
      <c r="H160">
        <f ca="1"/>
        <v>2</v>
      </c>
      <c r="I160">
        <f ca="1"/>
        <v>1.8</v>
      </c>
      <c r="J160">
        <f ca="1"/>
        <v>1.7940000000000182</v>
      </c>
      <c r="K160">
        <f ca="1"/>
        <v>1.8149999999997457</v>
      </c>
      <c r="L160">
        <f ca="1"/>
        <v>100.036</v>
      </c>
      <c r="M160">
        <f ca="1"/>
        <v>99.909000000000006</v>
      </c>
      <c r="N160" t="str">
        <f ca="1"/>
        <v>EJ5659150</v>
      </c>
      <c r="O160" t="str">
        <f ca="1"/>
        <v>JP1201421D22</v>
      </c>
      <c r="P160" t="str">
        <f ca="1"/>
        <v>A+</v>
      </c>
      <c r="Q160" s="3">
        <f ca="1"/>
        <v>41326</v>
      </c>
      <c r="R160" s="4">
        <f ca="1"/>
        <v>46193</v>
      </c>
      <c r="S160" s="4">
        <f ca="1"/>
        <v>6.7268993839835725</v>
      </c>
      <c r="T160">
        <f ca="1"/>
        <v>99.972499999999997</v>
      </c>
      <c r="U160">
        <f ca="1"/>
        <v>181</v>
      </c>
      <c r="V160">
        <f ca="1"/>
        <v>6.5</v>
      </c>
      <c r="W160">
        <f ca="1"/>
        <v>13</v>
      </c>
      <c r="X160">
        <f ca="1"/>
        <v>0.98901098901098916</v>
      </c>
      <c r="Y160">
        <f ca="1"/>
        <v>98.983489010989004</v>
      </c>
      <c r="Z160">
        <f ca="1"/>
        <v>1.8044999999998819</v>
      </c>
    </row>
    <row r="161" spans="1:26" x14ac:dyDescent="0.35">
      <c r="A161" t="str">
        <f ca="1"/>
        <v>ZM259327 Corp</v>
      </c>
      <c r="B161" t="str">
        <f ca="1"/>
        <v>Japan Government Ten Year Bond</v>
      </c>
      <c r="C161" t="str">
        <f ca="1"/>
        <v>JGB</v>
      </c>
      <c r="D161" t="str">
        <f ca="1"/>
        <v>JP</v>
      </c>
      <c r="E161" t="str">
        <f ca="1"/>
        <v>JPY</v>
      </c>
      <c r="F161" t="str">
        <f ca="1"/>
        <v>20/12/2032</v>
      </c>
      <c r="G161" t="str">
        <f ca="1"/>
        <v>FIXED</v>
      </c>
      <c r="H161">
        <f ca="1"/>
        <v>2</v>
      </c>
      <c r="I161">
        <f ca="1"/>
        <v>0.5</v>
      </c>
      <c r="J161">
        <f ca="1"/>
        <v>1.8729999999519316</v>
      </c>
      <c r="K161">
        <f ca="1"/>
        <v>1.8899999999480253</v>
      </c>
      <c r="L161">
        <f ca="1"/>
        <v>91.745000000000005</v>
      </c>
      <c r="M161">
        <f ca="1"/>
        <v>91.650999999999996</v>
      </c>
      <c r="N161" t="str">
        <f ca="1"/>
        <v>ZM2593279</v>
      </c>
      <c r="O161" t="str">
        <f ca="1"/>
        <v>JP1103691P11</v>
      </c>
      <c r="P161" t="str">
        <f ca="1"/>
        <v>A+</v>
      </c>
      <c r="Q161" s="3">
        <f ca="1"/>
        <v>44923</v>
      </c>
      <c r="R161" s="4">
        <f ca="1"/>
        <v>46193</v>
      </c>
      <c r="S161" s="4">
        <f ca="1"/>
        <v>6.7268993839835725</v>
      </c>
      <c r="T161">
        <f ca="1"/>
        <v>91.698000000000008</v>
      </c>
      <c r="U161">
        <f ca="1"/>
        <v>312</v>
      </c>
      <c r="V161">
        <f ca="1"/>
        <v>6.5</v>
      </c>
      <c r="W161">
        <f ca="1"/>
        <v>4</v>
      </c>
      <c r="X161">
        <f ca="1"/>
        <v>0.27472527472527475</v>
      </c>
      <c r="Y161">
        <f ca="1"/>
        <v>91.423274725274737</v>
      </c>
      <c r="Z161">
        <f ca="1"/>
        <v>1.8814999999499784</v>
      </c>
    </row>
    <row r="162" spans="1:26" x14ac:dyDescent="0.35">
      <c r="A162" t="str">
        <f ca="1"/>
        <v>EC974778 Corp</v>
      </c>
      <c r="B162" t="str">
        <f ca="1"/>
        <v>Japan Government Thirty Year Bond</v>
      </c>
      <c r="C162" t="str">
        <f ca="1"/>
        <v>JGB</v>
      </c>
      <c r="D162" t="str">
        <f ca="1"/>
        <v>JP</v>
      </c>
      <c r="E162" t="str">
        <f ca="1"/>
        <v>JPY</v>
      </c>
      <c r="F162" t="str">
        <f ca="1"/>
        <v>20/03/2033</v>
      </c>
      <c r="G162" t="str">
        <f ca="1"/>
        <v>FIXED</v>
      </c>
      <c r="H162">
        <f ca="1"/>
        <v>2</v>
      </c>
      <c r="I162">
        <f ca="1"/>
        <v>1.1000000000000001</v>
      </c>
      <c r="J162">
        <f ca="1"/>
        <v>1.8589999999987075</v>
      </c>
      <c r="K162">
        <f ca="1"/>
        <v>1.8789999999984954</v>
      </c>
      <c r="L162">
        <f ca="1"/>
        <v>95.284999999999997</v>
      </c>
      <c r="M162">
        <f ca="1"/>
        <v>95.167000000000002</v>
      </c>
      <c r="N162" t="str">
        <f ca="1"/>
        <v>EC9747782</v>
      </c>
      <c r="O162" t="str">
        <f ca="1"/>
        <v>JP1300101357</v>
      </c>
      <c r="P162" t="str">
        <f ca="1"/>
        <v>A+</v>
      </c>
      <c r="Q162" s="3">
        <f ca="1"/>
        <v>37761</v>
      </c>
      <c r="R162" s="4">
        <f ca="1"/>
        <v>46101</v>
      </c>
      <c r="S162" s="4">
        <f ca="1"/>
        <v>6.9733059548254621</v>
      </c>
      <c r="T162">
        <f ca="1"/>
        <v>95.225999999999999</v>
      </c>
      <c r="U162">
        <f ca="1"/>
        <v>91</v>
      </c>
      <c r="V162">
        <f ca="1"/>
        <v>6.5</v>
      </c>
      <c r="W162">
        <f ca="1"/>
        <v>23</v>
      </c>
      <c r="X162">
        <f ca="1"/>
        <v>1.1543956043956045</v>
      </c>
      <c r="Y162">
        <f ca="1"/>
        <v>94.071604395604396</v>
      </c>
      <c r="Z162">
        <f ca="1"/>
        <v>1.8689999999986013</v>
      </c>
    </row>
    <row r="163" spans="1:26" x14ac:dyDescent="0.35">
      <c r="A163" t="str">
        <f ca="1"/>
        <v>EJ593960 Corp</v>
      </c>
      <c r="B163" t="str">
        <f ca="1"/>
        <v>Japan Government Twenty Year Bond</v>
      </c>
      <c r="C163" t="str">
        <f ca="1"/>
        <v>JGB</v>
      </c>
      <c r="D163" t="str">
        <f ca="1"/>
        <v>JP</v>
      </c>
      <c r="E163" t="str">
        <f ca="1"/>
        <v>JPY</v>
      </c>
      <c r="F163" t="str">
        <f ca="1"/>
        <v>20/03/2033</v>
      </c>
      <c r="G163" t="str">
        <f ca="1"/>
        <v>FIXED</v>
      </c>
      <c r="H163">
        <f ca="1"/>
        <v>2</v>
      </c>
      <c r="I163">
        <f ca="1"/>
        <v>1.6</v>
      </c>
      <c r="J163">
        <f ca="1"/>
        <v>1.8289999999999977</v>
      </c>
      <c r="K163">
        <f ca="1"/>
        <v>1.8489999999999955</v>
      </c>
      <c r="L163">
        <f ca="1"/>
        <v>98.573999999999998</v>
      </c>
      <c r="M163">
        <f ca="1"/>
        <v>98.451999999999998</v>
      </c>
      <c r="N163" t="str">
        <f ca="1"/>
        <v>EJ5939602</v>
      </c>
      <c r="O163" t="str">
        <f ca="1"/>
        <v>JP1201431D38</v>
      </c>
      <c r="P163" t="str">
        <f ca="1"/>
        <v>A+</v>
      </c>
      <c r="Q163" s="3">
        <f ca="1"/>
        <v>41347</v>
      </c>
      <c r="R163" s="4">
        <f ca="1"/>
        <v>46101</v>
      </c>
      <c r="S163" s="4">
        <f ca="1"/>
        <v>6.9733059548254621</v>
      </c>
      <c r="T163">
        <f ca="1"/>
        <v>98.513000000000005</v>
      </c>
      <c r="U163">
        <f ca="1"/>
        <v>183</v>
      </c>
      <c r="V163">
        <f ca="1"/>
        <v>6.5</v>
      </c>
      <c r="W163">
        <f ca="1"/>
        <v>13</v>
      </c>
      <c r="X163">
        <f ca="1"/>
        <v>1.6791208791208794</v>
      </c>
      <c r="Y163">
        <f ca="1"/>
        <v>96.833879120879132</v>
      </c>
      <c r="Z163">
        <f ca="1"/>
        <v>1.8389999999999966</v>
      </c>
    </row>
    <row r="164" spans="1:26" x14ac:dyDescent="0.35">
      <c r="A164" t="str">
        <f ca="1"/>
        <v>EJ643211 Corp</v>
      </c>
      <c r="B164" t="str">
        <f ca="1"/>
        <v>Japan Government Twenty Year Bond</v>
      </c>
      <c r="C164" t="str">
        <f ca="1"/>
        <v>JGB</v>
      </c>
      <c r="D164" t="str">
        <f ca="1"/>
        <v>JP</v>
      </c>
      <c r="E164" t="str">
        <f ca="1"/>
        <v>JPY</v>
      </c>
      <c r="F164" t="str">
        <f ca="1"/>
        <v>20/03/2033</v>
      </c>
      <c r="G164" t="str">
        <f ca="1"/>
        <v>FIXED</v>
      </c>
      <c r="H164">
        <f ca="1"/>
        <v>2</v>
      </c>
      <c r="I164">
        <f ca="1"/>
        <v>1.5</v>
      </c>
      <c r="J164">
        <f ca="1"/>
        <v>1.836999999999992</v>
      </c>
      <c r="K164">
        <f ca="1"/>
        <v>1.8579999999999846</v>
      </c>
      <c r="L164">
        <f ca="1"/>
        <v>97.903000000000006</v>
      </c>
      <c r="M164">
        <f ca="1"/>
        <v>97.775999999999996</v>
      </c>
      <c r="N164" t="str">
        <f ca="1"/>
        <v>EJ6432110</v>
      </c>
      <c r="O164" t="str">
        <f ca="1"/>
        <v>JP1201441D44</v>
      </c>
      <c r="P164" t="str">
        <f ca="1"/>
        <v>A+</v>
      </c>
      <c r="Q164" s="3">
        <f ca="1"/>
        <v>41382</v>
      </c>
      <c r="R164" s="4">
        <f ca="1"/>
        <v>46101</v>
      </c>
      <c r="S164" s="4">
        <f ca="1"/>
        <v>6.9733059548254621</v>
      </c>
      <c r="T164">
        <f ca="1"/>
        <v>97.839500000000001</v>
      </c>
      <c r="U164">
        <f ca="1"/>
        <v>184</v>
      </c>
      <c r="V164">
        <f ca="1"/>
        <v>6.5</v>
      </c>
      <c r="W164">
        <f ca="1"/>
        <v>13</v>
      </c>
      <c r="X164">
        <f ca="1"/>
        <v>1.5741758241758244</v>
      </c>
      <c r="Y164">
        <f ca="1"/>
        <v>96.265324175824176</v>
      </c>
      <c r="Z164">
        <f ca="1"/>
        <v>1.8474999999999882</v>
      </c>
    </row>
    <row r="165" spans="1:26" x14ac:dyDescent="0.35">
      <c r="A165" t="str">
        <f ca="1"/>
        <v>ZK039857 Corp</v>
      </c>
      <c r="B165" t="str">
        <f ca="1"/>
        <v>Japan Government Ten Year Bond</v>
      </c>
      <c r="C165" t="str">
        <f ca="1"/>
        <v>JGB</v>
      </c>
      <c r="D165" t="str">
        <f ca="1"/>
        <v>JP</v>
      </c>
      <c r="E165" t="str">
        <f ca="1"/>
        <v>JPY</v>
      </c>
      <c r="F165" t="str">
        <f ca="1"/>
        <v>20/03/2033</v>
      </c>
      <c r="G165" t="str">
        <f ca="1"/>
        <v>FIXED</v>
      </c>
      <c r="H165">
        <f ca="1"/>
        <v>2</v>
      </c>
      <c r="I165">
        <f ca="1"/>
        <v>0.5</v>
      </c>
      <c r="J165">
        <f ca="1"/>
        <v>1.8969999999084206</v>
      </c>
      <c r="K165">
        <f ca="1"/>
        <v>1.9149999999006515</v>
      </c>
      <c r="L165">
        <f ca="1"/>
        <v>91.343000000000004</v>
      </c>
      <c r="M165">
        <f ca="1"/>
        <v>91.241</v>
      </c>
      <c r="N165" t="str">
        <f ca="1"/>
        <v>ZK0398576</v>
      </c>
      <c r="O165" t="str">
        <f ca="1"/>
        <v>JP1103701P43</v>
      </c>
      <c r="P165" t="str">
        <f ca="1"/>
        <v>A+</v>
      </c>
      <c r="Q165" s="3">
        <f ca="1"/>
        <v>45013</v>
      </c>
      <c r="R165" s="4">
        <f ca="1"/>
        <v>46101</v>
      </c>
      <c r="S165" s="4">
        <f ca="1"/>
        <v>6.9733059548254621</v>
      </c>
      <c r="T165">
        <f ca="1"/>
        <v>91.292000000000002</v>
      </c>
      <c r="U165">
        <f ca="1"/>
        <v>305</v>
      </c>
      <c r="V165">
        <f ca="1"/>
        <v>6.5</v>
      </c>
      <c r="W165">
        <f ca="1"/>
        <v>3</v>
      </c>
      <c r="X165">
        <f ca="1"/>
        <v>0.52472527472527475</v>
      </c>
      <c r="Y165">
        <f ca="1"/>
        <v>90.767274725274731</v>
      </c>
      <c r="Z165">
        <f ca="1"/>
        <v>1.9059999999045361</v>
      </c>
    </row>
    <row r="166" spans="1:26" x14ac:dyDescent="0.35">
      <c r="A166" t="str">
        <f ca="1"/>
        <v>ED067043 Corp</v>
      </c>
      <c r="B166" t="str">
        <f ca="1"/>
        <v>Japan Government Thirty Year Bond</v>
      </c>
      <c r="C166" t="str">
        <f ca="1"/>
        <v>JGB</v>
      </c>
      <c r="D166" t="str">
        <f ca="1"/>
        <v>JP</v>
      </c>
      <c r="E166" t="str">
        <f ca="1"/>
        <v>JPY</v>
      </c>
      <c r="F166" t="str">
        <f ca="1"/>
        <v>20/06/2033</v>
      </c>
      <c r="G166" t="str">
        <f ca="1"/>
        <v>FIXED</v>
      </c>
      <c r="H166">
        <f ca="1"/>
        <v>2</v>
      </c>
      <c r="I166">
        <f ca="1"/>
        <v>1.7</v>
      </c>
      <c r="J166">
        <f ca="1"/>
        <v>1.8549999999999973</v>
      </c>
      <c r="K166">
        <f ca="1"/>
        <v>1.8769999999999982</v>
      </c>
      <c r="L166">
        <f ca="1"/>
        <v>99.006</v>
      </c>
      <c r="M166">
        <f ca="1"/>
        <v>98.867000000000004</v>
      </c>
      <c r="N166" t="str">
        <f ca="1"/>
        <v>ED0670437</v>
      </c>
      <c r="O166" t="str">
        <f ca="1"/>
        <v>JP1300111372</v>
      </c>
      <c r="P166" t="str">
        <f ca="1"/>
        <v>A+</v>
      </c>
      <c r="Q166" s="3">
        <f ca="1"/>
        <v>37826</v>
      </c>
      <c r="R166" s="4">
        <f ca="1"/>
        <v>46193</v>
      </c>
      <c r="S166" s="4">
        <f ca="1"/>
        <v>7.225188227241615</v>
      </c>
      <c r="T166">
        <f ca="1"/>
        <v>98.936499999999995</v>
      </c>
      <c r="U166">
        <f ca="1"/>
        <v>92</v>
      </c>
      <c r="V166">
        <f ca="1"/>
        <v>7</v>
      </c>
      <c r="W166">
        <f ca="1"/>
        <v>23</v>
      </c>
      <c r="X166">
        <f ca="1"/>
        <v>0.93406593406593408</v>
      </c>
      <c r="Y166">
        <f ca="1"/>
        <v>98.002434065934068</v>
      </c>
      <c r="Z166">
        <f ca="1"/>
        <v>1.8659999999999979</v>
      </c>
    </row>
    <row r="167" spans="1:26" x14ac:dyDescent="0.35">
      <c r="A167" t="str">
        <f ca="1"/>
        <v>EJ724840 Corp</v>
      </c>
      <c r="B167" t="str">
        <f ca="1"/>
        <v>Japan Government Twenty Year Bond</v>
      </c>
      <c r="C167" t="str">
        <f ca="1"/>
        <v>JGB</v>
      </c>
      <c r="D167" t="str">
        <f ca="1"/>
        <v>JP</v>
      </c>
      <c r="E167" t="str">
        <f ca="1"/>
        <v>JPY</v>
      </c>
      <c r="F167" t="str">
        <f ca="1"/>
        <v>20/06/2033</v>
      </c>
      <c r="G167" t="str">
        <f ca="1"/>
        <v>FIXED</v>
      </c>
      <c r="H167">
        <f ca="1"/>
        <v>2</v>
      </c>
      <c r="I167">
        <f ca="1"/>
        <v>1.7</v>
      </c>
      <c r="J167">
        <f ca="1"/>
        <v>1.8559999999999985</v>
      </c>
      <c r="K167">
        <f ca="1"/>
        <v>1.8769999999999982</v>
      </c>
      <c r="L167">
        <f ca="1"/>
        <v>99</v>
      </c>
      <c r="M167">
        <f ca="1"/>
        <v>98.867000000000004</v>
      </c>
      <c r="N167" t="str">
        <f ca="1"/>
        <v>EJ7248408</v>
      </c>
      <c r="O167" t="str">
        <f ca="1"/>
        <v>JP1201451D66</v>
      </c>
      <c r="P167" t="str">
        <f ca="1"/>
        <v>A+</v>
      </c>
      <c r="Q167" s="3">
        <f ca="1"/>
        <v>41443</v>
      </c>
      <c r="R167" s="4">
        <f ca="1"/>
        <v>46193</v>
      </c>
      <c r="S167" s="4">
        <f ca="1"/>
        <v>7.225188227241615</v>
      </c>
      <c r="T167">
        <f ca="1"/>
        <v>98.933500000000009</v>
      </c>
      <c r="U167">
        <f ca="1"/>
        <v>187</v>
      </c>
      <c r="V167">
        <f ca="1"/>
        <v>7</v>
      </c>
      <c r="W167">
        <f ca="1"/>
        <v>13</v>
      </c>
      <c r="X167">
        <f ca="1"/>
        <v>0.93406593406593408</v>
      </c>
      <c r="Y167">
        <f ca="1"/>
        <v>97.999434065934082</v>
      </c>
      <c r="Z167">
        <f ca="1"/>
        <v>1.8664999999999985</v>
      </c>
    </row>
    <row r="168" spans="1:26" x14ac:dyDescent="0.35">
      <c r="A168" t="str">
        <f ca="1"/>
        <v>ZJ604342 Corp</v>
      </c>
      <c r="B168" t="str">
        <f ca="1"/>
        <v>Japan Government Ten Year Bond</v>
      </c>
      <c r="C168" t="str">
        <f ca="1"/>
        <v>JGB</v>
      </c>
      <c r="D168" t="str">
        <f ca="1"/>
        <v>JP</v>
      </c>
      <c r="E168" t="str">
        <f ca="1"/>
        <v>JPY</v>
      </c>
      <c r="F168" t="str">
        <f ca="1"/>
        <v>20/06/2033</v>
      </c>
      <c r="G168" t="str">
        <f ca="1"/>
        <v>FIXED</v>
      </c>
      <c r="H168">
        <f ca="1"/>
        <v>2</v>
      </c>
      <c r="I168">
        <f ca="1"/>
        <v>0.4</v>
      </c>
      <c r="J168">
        <f ca="1"/>
        <v>1.9430000000000005</v>
      </c>
      <c r="K168">
        <f ca="1"/>
        <v>1.9609999999999994</v>
      </c>
      <c r="L168">
        <f ca="1"/>
        <v>90.165999999999997</v>
      </c>
      <c r="M168">
        <f ca="1"/>
        <v>90.061999999999998</v>
      </c>
      <c r="N168" t="str">
        <f ca="1"/>
        <v>ZJ6043427</v>
      </c>
      <c r="O168" t="str">
        <f ca="1"/>
        <v>JP1103711P74</v>
      </c>
      <c r="P168" t="str">
        <f ca="1"/>
        <v>A+</v>
      </c>
      <c r="Q168" s="3">
        <f ca="1"/>
        <v>45104</v>
      </c>
      <c r="R168" s="4">
        <f ca="1"/>
        <v>46193</v>
      </c>
      <c r="S168" s="4">
        <f ca="1"/>
        <v>7.225188227241615</v>
      </c>
      <c r="T168">
        <f ca="1"/>
        <v>90.114000000000004</v>
      </c>
      <c r="U168">
        <f ca="1"/>
        <v>301</v>
      </c>
      <c r="V168">
        <f ca="1"/>
        <v>7</v>
      </c>
      <c r="W168">
        <f ca="1"/>
        <v>3</v>
      </c>
      <c r="X168">
        <f ca="1"/>
        <v>0.2197802197802198</v>
      </c>
      <c r="Y168">
        <f ca="1"/>
        <v>89.894219780219785</v>
      </c>
      <c r="Z168">
        <f ca="1"/>
        <v>1.952</v>
      </c>
    </row>
    <row r="169" spans="1:26" x14ac:dyDescent="0.35">
      <c r="A169" t="str">
        <f ca="1"/>
        <v>ED216135 Corp</v>
      </c>
      <c r="B169" t="str">
        <f ca="1"/>
        <v>Japan Government Thirty Year Bond</v>
      </c>
      <c r="C169" t="str">
        <f ca="1"/>
        <v>JGB</v>
      </c>
      <c r="D169" t="str">
        <f ca="1"/>
        <v>JP</v>
      </c>
      <c r="E169" t="str">
        <f ca="1"/>
        <v>JPY</v>
      </c>
      <c r="F169" t="str">
        <f ca="1"/>
        <v>20/09/2033</v>
      </c>
      <c r="G169" t="str">
        <f ca="1"/>
        <v>FIXED</v>
      </c>
      <c r="H169">
        <f ca="1"/>
        <v>2</v>
      </c>
      <c r="I169">
        <f ca="1"/>
        <v>2.1</v>
      </c>
      <c r="J169">
        <f ca="1"/>
        <v>1.8649999999999949</v>
      </c>
      <c r="K169">
        <f ca="1"/>
        <v>1.886999999999996</v>
      </c>
      <c r="L169">
        <f ca="1"/>
        <v>101.55</v>
      </c>
      <c r="M169">
        <f ca="1"/>
        <v>101.40300000000001</v>
      </c>
      <c r="N169" t="str">
        <f ca="1"/>
        <v>ED2161351</v>
      </c>
      <c r="O169" t="str">
        <f ca="1"/>
        <v>JP13001213B5</v>
      </c>
      <c r="P169" t="str">
        <f ca="1"/>
        <v>A+</v>
      </c>
      <c r="Q169" s="3">
        <f ca="1"/>
        <v>37938</v>
      </c>
      <c r="R169" s="4">
        <f ca="1"/>
        <v>46101</v>
      </c>
      <c r="S169" s="4">
        <f ca="1"/>
        <v>7.4770704996577688</v>
      </c>
      <c r="T169">
        <f ca="1"/>
        <v>101.4765</v>
      </c>
      <c r="U169">
        <f ca="1"/>
        <v>93</v>
      </c>
      <c r="V169">
        <f ca="1"/>
        <v>7</v>
      </c>
      <c r="W169">
        <f ca="1"/>
        <v>23</v>
      </c>
      <c r="X169">
        <f ca="1"/>
        <v>2.203846153846154</v>
      </c>
      <c r="Y169">
        <f ca="1"/>
        <v>99.272653846153844</v>
      </c>
      <c r="Z169">
        <f ca="1"/>
        <v>1.8759999999999954</v>
      </c>
    </row>
    <row r="170" spans="1:26" x14ac:dyDescent="0.35">
      <c r="A170" t="str">
        <f ca="1"/>
        <v>EJ843439 Corp</v>
      </c>
      <c r="B170" t="str">
        <f ca="1"/>
        <v>Japan Government Twenty Year Bond</v>
      </c>
      <c r="C170" t="str">
        <f ca="1"/>
        <v>JGB</v>
      </c>
      <c r="D170" t="str">
        <f ca="1"/>
        <v>JP</v>
      </c>
      <c r="E170" t="str">
        <f ca="1"/>
        <v>JPY</v>
      </c>
      <c r="F170" t="str">
        <f ca="1"/>
        <v>20/09/2033</v>
      </c>
      <c r="G170" t="str">
        <f ca="1"/>
        <v>FIXED</v>
      </c>
      <c r="H170">
        <f ca="1"/>
        <v>2</v>
      </c>
      <c r="I170">
        <f ca="1"/>
        <v>1.7</v>
      </c>
      <c r="J170">
        <f ca="1"/>
        <v>1.8919999999999997</v>
      </c>
      <c r="K170">
        <f ca="1"/>
        <v>1.9129999999999965</v>
      </c>
      <c r="L170">
        <f ca="1"/>
        <v>98.734999999999999</v>
      </c>
      <c r="M170">
        <f ca="1"/>
        <v>98.597999999999999</v>
      </c>
      <c r="N170" t="str">
        <f ca="1"/>
        <v>EJ8434395</v>
      </c>
      <c r="O170" t="str">
        <f ca="1"/>
        <v>JP1201461D98</v>
      </c>
      <c r="P170" t="str">
        <f ca="1"/>
        <v>A+</v>
      </c>
      <c r="Q170" s="3">
        <f ca="1"/>
        <v>41535</v>
      </c>
      <c r="R170" s="4">
        <f ca="1"/>
        <v>46101</v>
      </c>
      <c r="S170" s="4">
        <f ca="1"/>
        <v>7.4770704996577688</v>
      </c>
      <c r="T170">
        <f ca="1"/>
        <v>98.666499999999999</v>
      </c>
      <c r="U170">
        <f ca="1"/>
        <v>189</v>
      </c>
      <c r="V170">
        <f ca="1"/>
        <v>7</v>
      </c>
      <c r="W170">
        <f ca="1"/>
        <v>13</v>
      </c>
      <c r="X170">
        <f ca="1"/>
        <v>1.7840659340659342</v>
      </c>
      <c r="Y170">
        <f ca="1"/>
        <v>96.882434065934063</v>
      </c>
      <c r="Z170">
        <f ca="1"/>
        <v>1.9024999999999981</v>
      </c>
    </row>
    <row r="171" spans="1:26" x14ac:dyDescent="0.35">
      <c r="A171" t="str">
        <f ca="1"/>
        <v>ZH264747 Corp</v>
      </c>
      <c r="B171" t="str">
        <f ca="1"/>
        <v>Japan Government Ten Year Bond</v>
      </c>
      <c r="C171" t="str">
        <f ca="1"/>
        <v>JGB</v>
      </c>
      <c r="D171" t="str">
        <f ca="1"/>
        <v>JP</v>
      </c>
      <c r="E171" t="str">
        <f ca="1"/>
        <v>JPY</v>
      </c>
      <c r="F171" t="str">
        <f ca="1"/>
        <v>20/09/2033</v>
      </c>
      <c r="G171" t="str">
        <f ca="1"/>
        <v>FIXED</v>
      </c>
      <c r="H171">
        <f ca="1"/>
        <v>2</v>
      </c>
      <c r="I171">
        <f ca="1"/>
        <v>0.8</v>
      </c>
      <c r="J171">
        <f ca="1"/>
        <v>1.9519999999680215</v>
      </c>
      <c r="K171">
        <f ca="1"/>
        <v>1.9689999999649797</v>
      </c>
      <c r="L171">
        <f ca="1"/>
        <v>92.44</v>
      </c>
      <c r="M171">
        <f ca="1"/>
        <v>92.337000000000003</v>
      </c>
      <c r="N171" t="str">
        <f ca="1"/>
        <v>ZH2647472</v>
      </c>
      <c r="O171" t="str">
        <f ca="1"/>
        <v>JP1103721PA1</v>
      </c>
      <c r="P171" t="str">
        <f ca="1"/>
        <v>A+</v>
      </c>
      <c r="Q171" s="3">
        <f ca="1"/>
        <v>45195</v>
      </c>
      <c r="R171" s="4">
        <f ca="1"/>
        <v>46101</v>
      </c>
      <c r="S171" s="4">
        <f ca="1"/>
        <v>7.4770704996577688</v>
      </c>
      <c r="T171">
        <f ca="1"/>
        <v>92.388499999999993</v>
      </c>
      <c r="U171">
        <f ca="1"/>
        <v>295</v>
      </c>
      <c r="V171">
        <f ca="1"/>
        <v>7</v>
      </c>
      <c r="W171">
        <f ca="1"/>
        <v>3</v>
      </c>
      <c r="X171">
        <f ca="1"/>
        <v>0.83956043956043969</v>
      </c>
      <c r="Y171">
        <f ca="1"/>
        <v>91.54893956043955</v>
      </c>
      <c r="Z171">
        <f ca="1"/>
        <v>1.9604999999665007</v>
      </c>
    </row>
    <row r="172" spans="1:26" x14ac:dyDescent="0.35">
      <c r="A172" t="str">
        <f ca="1"/>
        <v>ED335706 Corp</v>
      </c>
      <c r="B172" t="str">
        <f ca="1"/>
        <v>Japan Government Thirty Year Bond</v>
      </c>
      <c r="C172" t="str">
        <f ca="1"/>
        <v>JGB</v>
      </c>
      <c r="D172" t="str">
        <f ca="1"/>
        <v>JP</v>
      </c>
      <c r="E172" t="str">
        <f ca="1"/>
        <v>JPY</v>
      </c>
      <c r="F172" t="str">
        <f ca="1"/>
        <v>20/12/2033</v>
      </c>
      <c r="G172" t="str">
        <f ca="1"/>
        <v>FIXED</v>
      </c>
      <c r="H172">
        <f ca="1"/>
        <v>2</v>
      </c>
      <c r="I172">
        <f ca="1"/>
        <v>2</v>
      </c>
      <c r="J172">
        <f ca="1"/>
        <v>1.9070000000946985</v>
      </c>
      <c r="K172">
        <f ca="1"/>
        <v>1.9270000000448051</v>
      </c>
      <c r="L172">
        <f ca="1"/>
        <v>100.629</v>
      </c>
      <c r="M172">
        <f ca="1"/>
        <v>100.49299999999999</v>
      </c>
      <c r="N172" t="str">
        <f ca="1"/>
        <v>ED3357065</v>
      </c>
      <c r="O172" t="str">
        <f ca="1"/>
        <v>JP1300131420</v>
      </c>
      <c r="P172" t="str">
        <f ca="1"/>
        <v>A+</v>
      </c>
      <c r="Q172" s="3">
        <f ca="1"/>
        <v>38041</v>
      </c>
      <c r="R172" s="4">
        <f ca="1"/>
        <v>46193</v>
      </c>
      <c r="S172" s="4">
        <f ca="1"/>
        <v>7.7262149212867897</v>
      </c>
      <c r="T172">
        <f ca="1"/>
        <v>100.56100000000001</v>
      </c>
      <c r="U172">
        <f ca="1"/>
        <v>94</v>
      </c>
      <c r="V172">
        <f ca="1"/>
        <v>7.5</v>
      </c>
      <c r="W172">
        <f ca="1"/>
        <v>22</v>
      </c>
      <c r="X172">
        <f ca="1"/>
        <v>1.098901098901099</v>
      </c>
      <c r="Y172">
        <f ca="1"/>
        <v>99.462098901098912</v>
      </c>
      <c r="Z172">
        <f ca="1"/>
        <v>1.9170000000697518</v>
      </c>
    </row>
    <row r="173" spans="1:26" x14ac:dyDescent="0.35">
      <c r="A173" t="str">
        <f ca="1"/>
        <v>EJ994396 Corp</v>
      </c>
      <c r="B173" t="str">
        <f ca="1"/>
        <v>Japan Government Twenty Year Bond</v>
      </c>
      <c r="C173" t="str">
        <f ca="1"/>
        <v>JGB</v>
      </c>
      <c r="D173" t="str">
        <f ca="1"/>
        <v>JP</v>
      </c>
      <c r="E173" t="str">
        <f ca="1"/>
        <v>JPY</v>
      </c>
      <c r="F173" t="str">
        <f ca="1"/>
        <v>20/12/2033</v>
      </c>
      <c r="G173" t="str">
        <f ca="1"/>
        <v>FIXED</v>
      </c>
      <c r="H173">
        <f ca="1"/>
        <v>2</v>
      </c>
      <c r="I173">
        <f ca="1"/>
        <v>1.6</v>
      </c>
      <c r="J173">
        <f ca="1"/>
        <v>1.9319999999999895</v>
      </c>
      <c r="K173">
        <f ca="1"/>
        <v>1.9519999999999889</v>
      </c>
      <c r="L173">
        <f ca="1"/>
        <v>97.754999999999995</v>
      </c>
      <c r="M173">
        <f ca="1"/>
        <v>97.623000000000005</v>
      </c>
      <c r="N173" t="str">
        <f ca="1"/>
        <v>EJ9943964</v>
      </c>
      <c r="O173" t="str">
        <f ca="1"/>
        <v>JP1201471DC6</v>
      </c>
      <c r="P173" t="str">
        <f ca="1"/>
        <v>A+</v>
      </c>
      <c r="Q173" s="3">
        <f ca="1"/>
        <v>41625</v>
      </c>
      <c r="R173" s="4">
        <f ca="1"/>
        <v>46193</v>
      </c>
      <c r="S173" s="4">
        <f ca="1"/>
        <v>7.7262149212867897</v>
      </c>
      <c r="T173">
        <f ca="1"/>
        <v>97.688999999999993</v>
      </c>
      <c r="U173">
        <f ca="1"/>
        <v>191</v>
      </c>
      <c r="V173">
        <f ca="1"/>
        <v>7.5</v>
      </c>
      <c r="W173">
        <f ca="1"/>
        <v>13</v>
      </c>
      <c r="X173">
        <f ca="1"/>
        <v>0.87912087912087922</v>
      </c>
      <c r="Y173">
        <f ca="1"/>
        <v>96.809879120879117</v>
      </c>
      <c r="Z173">
        <f ca="1"/>
        <v>1.9419999999999891</v>
      </c>
    </row>
    <row r="174" spans="1:26" x14ac:dyDescent="0.35">
      <c r="A174" t="str">
        <f ca="1"/>
        <v>ZD039327 Corp</v>
      </c>
      <c r="B174" t="str">
        <f ca="1"/>
        <v>Japan Government Ten Year Bond</v>
      </c>
      <c r="C174" t="str">
        <f ca="1"/>
        <v>JGB</v>
      </c>
      <c r="D174" t="str">
        <f ca="1"/>
        <v>JP</v>
      </c>
      <c r="E174" t="str">
        <f ca="1"/>
        <v>JPY</v>
      </c>
      <c r="F174" t="str">
        <f ca="1"/>
        <v>20/12/2033</v>
      </c>
      <c r="G174" t="str">
        <f ca="1"/>
        <v>FIXED</v>
      </c>
      <c r="H174">
        <f ca="1"/>
        <v>2</v>
      </c>
      <c r="I174">
        <f ca="1"/>
        <v>0.7</v>
      </c>
      <c r="J174">
        <f ca="1"/>
        <v>2.0299999999179619</v>
      </c>
      <c r="K174">
        <f ca="1"/>
        <v>2.066999999902456</v>
      </c>
      <c r="L174">
        <f ca="1"/>
        <v>91.067999999999998</v>
      </c>
      <c r="M174">
        <f ca="1"/>
        <v>90.841999999999999</v>
      </c>
      <c r="N174" t="str">
        <f ca="1"/>
        <v>ZD0393276</v>
      </c>
      <c r="O174" t="str">
        <f ca="1"/>
        <v>JP1480011Q23</v>
      </c>
      <c r="P174" t="str">
        <f ca="1"/>
        <v>A+</v>
      </c>
      <c r="Q174" s="3">
        <f ca="1"/>
        <v>45329</v>
      </c>
      <c r="R174" s="4">
        <f ca="1"/>
        <v>46193</v>
      </c>
      <c r="S174" s="4">
        <f ca="1"/>
        <v>7.7262149212867897</v>
      </c>
      <c r="T174">
        <f ca="1"/>
        <v>90.954999999999998</v>
      </c>
      <c r="U174">
        <f ca="1"/>
        <v>286</v>
      </c>
      <c r="V174">
        <f ca="1"/>
        <v>7.5</v>
      </c>
      <c r="W174">
        <f ca="1"/>
        <v>2</v>
      </c>
      <c r="X174">
        <f ca="1"/>
        <v>0.38461538461538464</v>
      </c>
      <c r="Y174">
        <f ca="1"/>
        <v>90.570384615384611</v>
      </c>
      <c r="Z174">
        <f ca="1"/>
        <v>2.0484999999102089</v>
      </c>
    </row>
    <row r="175" spans="1:26" x14ac:dyDescent="0.35">
      <c r="A175" t="str">
        <f ca="1"/>
        <v>ZF266659 Corp</v>
      </c>
      <c r="B175" t="str">
        <f ca="1"/>
        <v>Japan Government Ten Year Bond</v>
      </c>
      <c r="C175" t="str">
        <f ca="1"/>
        <v>JGB</v>
      </c>
      <c r="D175" t="str">
        <f ca="1"/>
        <v>JP</v>
      </c>
      <c r="E175" t="str">
        <f ca="1"/>
        <v>JPY</v>
      </c>
      <c r="F175" t="str">
        <f ca="1"/>
        <v>20/12/2033</v>
      </c>
      <c r="G175" t="str">
        <f ca="1"/>
        <v>FIXED</v>
      </c>
      <c r="H175">
        <f ca="1"/>
        <v>2</v>
      </c>
      <c r="I175">
        <f ca="1"/>
        <v>0.6</v>
      </c>
      <c r="J175">
        <f ca="1"/>
        <v>2.0049999998719392</v>
      </c>
      <c r="K175">
        <f ca="1"/>
        <v>2.020999999862394</v>
      </c>
      <c r="L175">
        <f ca="1"/>
        <v>90.549000000000007</v>
      </c>
      <c r="M175">
        <f ca="1"/>
        <v>90.450999999999993</v>
      </c>
      <c r="N175" t="str">
        <f ca="1"/>
        <v>ZF2666591</v>
      </c>
      <c r="O175" t="str">
        <f ca="1"/>
        <v>JP1103731Q12</v>
      </c>
      <c r="P175" t="str">
        <f ca="1"/>
        <v>A+</v>
      </c>
      <c r="Q175" s="3">
        <f ca="1"/>
        <v>45288</v>
      </c>
      <c r="R175" s="4">
        <f ca="1"/>
        <v>46193</v>
      </c>
      <c r="S175" s="4">
        <f ca="1"/>
        <v>7.7262149212867897</v>
      </c>
      <c r="T175">
        <f ca="1"/>
        <v>90.5</v>
      </c>
      <c r="U175">
        <f ca="1"/>
        <v>289</v>
      </c>
      <c r="V175">
        <f ca="1"/>
        <v>7.5</v>
      </c>
      <c r="W175">
        <f ca="1"/>
        <v>3</v>
      </c>
      <c r="X175">
        <f ca="1"/>
        <v>0.32967032967032966</v>
      </c>
      <c r="Y175">
        <f ca="1"/>
        <v>90.170329670329664</v>
      </c>
      <c r="Z175">
        <f ca="1"/>
        <v>2.0129999998671666</v>
      </c>
    </row>
    <row r="176" spans="1:26" x14ac:dyDescent="0.35">
      <c r="A176" t="str">
        <f ca="1"/>
        <v>ED424001 Corp</v>
      </c>
      <c r="B176" t="str">
        <f ca="1"/>
        <v>Japan Government Thirty Year Bond</v>
      </c>
      <c r="C176" t="str">
        <f ca="1"/>
        <v>JGB</v>
      </c>
      <c r="D176" t="str">
        <f ca="1"/>
        <v>JP</v>
      </c>
      <c r="E176" t="str">
        <f ca="1"/>
        <v>JPY</v>
      </c>
      <c r="F176" t="str">
        <f ca="1"/>
        <v>20/03/2034</v>
      </c>
      <c r="G176" t="str">
        <f ca="1"/>
        <v>FIXED</v>
      </c>
      <c r="H176">
        <f ca="1"/>
        <v>2</v>
      </c>
      <c r="I176">
        <f ca="1"/>
        <v>2.4</v>
      </c>
      <c r="J176">
        <f ca="1"/>
        <v>1.9149999999999221</v>
      </c>
      <c r="K176">
        <f ca="1"/>
        <v>1.9359999999999393</v>
      </c>
      <c r="L176">
        <f ca="1"/>
        <v>103.372</v>
      </c>
      <c r="M176">
        <f ca="1"/>
        <v>103.221</v>
      </c>
      <c r="N176" t="str">
        <f ca="1"/>
        <v>ED4240013</v>
      </c>
      <c r="O176" t="str">
        <f ca="1"/>
        <v>JP1300141445</v>
      </c>
      <c r="P176" t="str">
        <f ca="1"/>
        <v>A+</v>
      </c>
      <c r="Q176" s="3">
        <f ca="1"/>
        <v>38092</v>
      </c>
      <c r="R176" s="4">
        <f ca="1"/>
        <v>46101</v>
      </c>
      <c r="S176" s="4">
        <f ca="1"/>
        <v>7.9726214921286793</v>
      </c>
      <c r="T176">
        <f ca="1"/>
        <v>103.29650000000001</v>
      </c>
      <c r="U176">
        <f ca="1"/>
        <v>95</v>
      </c>
      <c r="V176">
        <f ca="1"/>
        <v>7.5</v>
      </c>
      <c r="W176">
        <f ca="1"/>
        <v>22</v>
      </c>
      <c r="X176">
        <f ca="1"/>
        <v>2.5186813186813186</v>
      </c>
      <c r="Y176">
        <f ca="1"/>
        <v>100.77781868131869</v>
      </c>
      <c r="Z176">
        <f ca="1"/>
        <v>1.9254999999999307</v>
      </c>
    </row>
    <row r="177" spans="1:26" x14ac:dyDescent="0.35">
      <c r="A177" t="str">
        <f ca="1"/>
        <v>EK134061 Corp</v>
      </c>
      <c r="B177" t="str">
        <f ca="1"/>
        <v>Japan Government Twenty Year Bond</v>
      </c>
      <c r="C177" t="str">
        <f ca="1"/>
        <v>JGB</v>
      </c>
      <c r="D177" t="str">
        <f ca="1"/>
        <v>JP</v>
      </c>
      <c r="E177" t="str">
        <f ca="1"/>
        <v>JPY</v>
      </c>
      <c r="F177" t="str">
        <f ca="1"/>
        <v>20/03/2034</v>
      </c>
      <c r="G177" t="str">
        <f ca="1"/>
        <v>FIXED</v>
      </c>
      <c r="H177">
        <f ca="1"/>
        <v>2</v>
      </c>
      <c r="I177">
        <f ca="1"/>
        <v>1.5</v>
      </c>
      <c r="J177">
        <f ca="1"/>
        <v>1.9759999999998656</v>
      </c>
      <c r="K177">
        <f ca="1"/>
        <v>1.9949999999998327</v>
      </c>
      <c r="L177">
        <f ca="1"/>
        <v>96.703999999999994</v>
      </c>
      <c r="M177">
        <f ca="1"/>
        <v>96.575999999999993</v>
      </c>
      <c r="N177" t="str">
        <f ca="1"/>
        <v>EK1340612</v>
      </c>
      <c r="O177" t="str">
        <f ca="1"/>
        <v>JP1201481E36</v>
      </c>
      <c r="P177" t="str">
        <f ca="1"/>
        <v>A+</v>
      </c>
      <c r="Q177" s="3">
        <f ca="1"/>
        <v>41716</v>
      </c>
      <c r="R177" s="4">
        <f ca="1"/>
        <v>46101</v>
      </c>
      <c r="S177" s="4">
        <f ca="1"/>
        <v>7.9726214921286793</v>
      </c>
      <c r="T177">
        <f ca="1"/>
        <v>96.639999999999986</v>
      </c>
      <c r="U177">
        <f ca="1"/>
        <v>193</v>
      </c>
      <c r="V177">
        <f ca="1"/>
        <v>7.5</v>
      </c>
      <c r="W177">
        <f ca="1"/>
        <v>12</v>
      </c>
      <c r="X177">
        <f ca="1"/>
        <v>1.5741758241758244</v>
      </c>
      <c r="Y177">
        <f ca="1"/>
        <v>95.065824175824162</v>
      </c>
      <c r="Z177">
        <f ca="1"/>
        <v>1.9854999999998491</v>
      </c>
    </row>
    <row r="178" spans="1:26" x14ac:dyDescent="0.35">
      <c r="A178" t="str">
        <f ca="1"/>
        <v>YX384834 Corp</v>
      </c>
      <c r="B178" t="str">
        <f ca="1"/>
        <v>Japan Government Ten Year Bond</v>
      </c>
      <c r="C178" t="str">
        <f ca="1"/>
        <v>JGB</v>
      </c>
      <c r="D178" t="str">
        <f ca="1"/>
        <v>JP</v>
      </c>
      <c r="E178" t="str">
        <f ca="1"/>
        <v>JPY</v>
      </c>
      <c r="F178" t="str">
        <f ca="1"/>
        <v>20/03/2034</v>
      </c>
      <c r="G178" t="str">
        <f ca="1"/>
        <v>FIXED</v>
      </c>
      <c r="H178">
        <f ca="1"/>
        <v>2</v>
      </c>
      <c r="I178">
        <f ca="1"/>
        <v>1</v>
      </c>
      <c r="J178">
        <f ca="1"/>
        <v>2.0269999999807209</v>
      </c>
      <c r="K178">
        <f ca="1"/>
        <v>2.0729999999747895</v>
      </c>
      <c r="L178">
        <f ca="1"/>
        <v>92.912999999999997</v>
      </c>
      <c r="M178">
        <f ca="1"/>
        <v>92.619</v>
      </c>
      <c r="N178" t="str">
        <f ca="1"/>
        <v>YX3848349</v>
      </c>
      <c r="O178" t="str">
        <f ca="1"/>
        <v>JP1480021Q54</v>
      </c>
      <c r="P178" t="str">
        <f ca="1"/>
        <v>A+</v>
      </c>
      <c r="Q178" s="3">
        <f ca="1"/>
        <v>45433</v>
      </c>
      <c r="R178" s="4">
        <f ca="1"/>
        <v>46101</v>
      </c>
      <c r="S178" s="4">
        <f ca="1"/>
        <v>7.9726214921286793</v>
      </c>
      <c r="T178">
        <f ca="1"/>
        <v>92.765999999999991</v>
      </c>
      <c r="U178">
        <f ca="1"/>
        <v>277</v>
      </c>
      <c r="V178">
        <f ca="1"/>
        <v>7.5</v>
      </c>
      <c r="W178">
        <f ca="1"/>
        <v>2</v>
      </c>
      <c r="X178">
        <f ca="1"/>
        <v>1.0494505494505495</v>
      </c>
      <c r="Y178">
        <f ca="1"/>
        <v>91.716549450549437</v>
      </c>
      <c r="Z178">
        <f ca="1"/>
        <v>2.0499999999777554</v>
      </c>
    </row>
    <row r="179" spans="1:26" x14ac:dyDescent="0.35">
      <c r="A179" t="str">
        <f ca="1"/>
        <v>ZB141254 Corp</v>
      </c>
      <c r="B179" t="str">
        <f ca="1"/>
        <v>Japan Government Ten Year Bond</v>
      </c>
      <c r="C179" t="str">
        <f ca="1"/>
        <v>JGB</v>
      </c>
      <c r="D179" t="str">
        <f ca="1"/>
        <v>JP</v>
      </c>
      <c r="E179" t="str">
        <f ca="1"/>
        <v>JPY</v>
      </c>
      <c r="F179" t="str">
        <f ca="1"/>
        <v>20/03/2034</v>
      </c>
      <c r="G179" t="str">
        <f ca="1"/>
        <v>FIXED</v>
      </c>
      <c r="H179">
        <f ca="1"/>
        <v>2</v>
      </c>
      <c r="I179">
        <f ca="1"/>
        <v>0.8</v>
      </c>
      <c r="J179">
        <f ca="1"/>
        <v>2.0279999999292815</v>
      </c>
      <c r="K179">
        <f ca="1"/>
        <v>2.0449999999229505</v>
      </c>
      <c r="L179">
        <f ca="1"/>
        <v>91.527000000000001</v>
      </c>
      <c r="M179">
        <f ca="1"/>
        <v>91.42</v>
      </c>
      <c r="N179" t="str">
        <f ca="1"/>
        <v>ZB1412541</v>
      </c>
      <c r="O179" t="str">
        <f ca="1"/>
        <v>JP1103741Q44</v>
      </c>
      <c r="P179" t="str">
        <f ca="1"/>
        <v>A+</v>
      </c>
      <c r="Q179" s="3">
        <f ca="1"/>
        <v>45377</v>
      </c>
      <c r="R179" s="4">
        <f ca="1"/>
        <v>46101</v>
      </c>
      <c r="S179" s="4">
        <f ca="1"/>
        <v>7.9726214921286793</v>
      </c>
      <c r="T179">
        <f ca="1"/>
        <v>91.473500000000001</v>
      </c>
      <c r="U179">
        <f ca="1"/>
        <v>281</v>
      </c>
      <c r="V179">
        <f ca="1"/>
        <v>7.5</v>
      </c>
      <c r="W179">
        <f ca="1"/>
        <v>2</v>
      </c>
      <c r="X179">
        <f ca="1"/>
        <v>0.83956043956043969</v>
      </c>
      <c r="Y179">
        <f ca="1"/>
        <v>90.633939560439558</v>
      </c>
      <c r="Z179">
        <f ca="1"/>
        <v>2.0364999999261162</v>
      </c>
    </row>
    <row r="180" spans="1:26" x14ac:dyDescent="0.35">
      <c r="A180" t="str">
        <f ca="1"/>
        <v>ED580618 Corp</v>
      </c>
      <c r="B180" t="str">
        <f ca="1"/>
        <v>Japan Government Thirty Year Bond</v>
      </c>
      <c r="C180" t="str">
        <f ca="1"/>
        <v>JGB</v>
      </c>
      <c r="D180" t="str">
        <f ca="1"/>
        <v>JP</v>
      </c>
      <c r="E180" t="str">
        <f ca="1"/>
        <v>JPY</v>
      </c>
      <c r="F180" t="str">
        <f ca="1"/>
        <v>20/06/2034</v>
      </c>
      <c r="G180" t="str">
        <f ca="1"/>
        <v>FIXED</v>
      </c>
      <c r="H180">
        <f ca="1"/>
        <v>2</v>
      </c>
      <c r="I180">
        <f ca="1"/>
        <v>2.5</v>
      </c>
      <c r="J180">
        <f ca="1"/>
        <v>1.9409999999998593</v>
      </c>
      <c r="K180">
        <f ca="1"/>
        <v>1.9629999999998904</v>
      </c>
      <c r="L180">
        <f ca="1"/>
        <v>103.985</v>
      </c>
      <c r="M180">
        <f ca="1"/>
        <v>103.822</v>
      </c>
      <c r="N180" t="str">
        <f ca="1"/>
        <v>ED5806184</v>
      </c>
      <c r="O180" t="str">
        <f ca="1"/>
        <v>JP1300151485</v>
      </c>
      <c r="P180" t="str">
        <f ca="1"/>
        <v>A+</v>
      </c>
      <c r="Q180" s="3">
        <f ca="1"/>
        <v>38216</v>
      </c>
      <c r="R180" s="4">
        <f ca="1"/>
        <v>46193</v>
      </c>
      <c r="S180" s="4">
        <f ca="1"/>
        <v>8.2245037645448331</v>
      </c>
      <c r="T180">
        <f ca="1"/>
        <v>103.90350000000001</v>
      </c>
      <c r="U180">
        <f ca="1"/>
        <v>96</v>
      </c>
      <c r="V180">
        <f ca="1"/>
        <v>8</v>
      </c>
      <c r="W180">
        <f ca="1"/>
        <v>22</v>
      </c>
      <c r="X180">
        <f ca="1"/>
        <v>1.3736263736263736</v>
      </c>
      <c r="Y180">
        <f ca="1"/>
        <v>102.52987362637363</v>
      </c>
      <c r="Z180">
        <f ca="1"/>
        <v>1.9519999999998747</v>
      </c>
    </row>
    <row r="181" spans="1:26" x14ac:dyDescent="0.35">
      <c r="A181" t="str">
        <f ca="1"/>
        <v>EK339021 Corp</v>
      </c>
      <c r="B181" t="str">
        <f ca="1"/>
        <v>Japan Government Twenty Year Bond</v>
      </c>
      <c r="C181" t="str">
        <f ca="1"/>
        <v>JGB</v>
      </c>
      <c r="D181" t="str">
        <f ca="1"/>
        <v>JP</v>
      </c>
      <c r="E181" t="str">
        <f ca="1"/>
        <v>JPY</v>
      </c>
      <c r="F181" t="str">
        <f ca="1"/>
        <v>20/06/2034</v>
      </c>
      <c r="G181" t="str">
        <f ca="1"/>
        <v>FIXED</v>
      </c>
      <c r="H181">
        <f ca="1"/>
        <v>2</v>
      </c>
      <c r="I181">
        <f ca="1"/>
        <v>1.5</v>
      </c>
      <c r="J181">
        <f ca="1"/>
        <v>2.0109999999998114</v>
      </c>
      <c r="K181">
        <f ca="1"/>
        <v>2.0319999999997624</v>
      </c>
      <c r="L181">
        <f ca="1"/>
        <v>96.375</v>
      </c>
      <c r="M181">
        <f ca="1"/>
        <v>96.230999999999995</v>
      </c>
      <c r="N181" t="str">
        <f ca="1"/>
        <v>EK3390219</v>
      </c>
      <c r="O181" t="str">
        <f ca="1"/>
        <v>JP1201491E67</v>
      </c>
      <c r="P181" t="str">
        <f ca="1"/>
        <v>A+</v>
      </c>
      <c r="Q181" s="3">
        <f ca="1"/>
        <v>41807</v>
      </c>
      <c r="R181" s="4">
        <f ca="1"/>
        <v>46193</v>
      </c>
      <c r="S181" s="4">
        <f ca="1"/>
        <v>8.2245037645448331</v>
      </c>
      <c r="T181">
        <f ca="1"/>
        <v>96.302999999999997</v>
      </c>
      <c r="U181">
        <f ca="1"/>
        <v>196</v>
      </c>
      <c r="V181">
        <f ca="1"/>
        <v>8</v>
      </c>
      <c r="W181">
        <f ca="1"/>
        <v>12</v>
      </c>
      <c r="X181">
        <f ca="1"/>
        <v>0.82417582417582425</v>
      </c>
      <c r="Y181">
        <f ca="1"/>
        <v>95.478824175824172</v>
      </c>
      <c r="Z181">
        <f ca="1"/>
        <v>2.0214999999997869</v>
      </c>
    </row>
    <row r="182" spans="1:26" x14ac:dyDescent="0.35">
      <c r="A182" t="str">
        <f ca="1"/>
        <v>YW129328 Corp</v>
      </c>
      <c r="B182" t="str">
        <f ca="1"/>
        <v>Japan Government Ten Year Bond</v>
      </c>
      <c r="C182" t="str">
        <f ca="1"/>
        <v>JGB</v>
      </c>
      <c r="D182" t="str">
        <f ca="1"/>
        <v>JP</v>
      </c>
      <c r="E182" t="str">
        <f ca="1"/>
        <v>JPY</v>
      </c>
      <c r="F182" t="str">
        <f ca="1"/>
        <v>20/06/2034</v>
      </c>
      <c r="G182" t="str">
        <f ca="1"/>
        <v>FIXED</v>
      </c>
      <c r="H182">
        <f ca="1"/>
        <v>2</v>
      </c>
      <c r="I182">
        <f ca="1"/>
        <v>1.1000000000000001</v>
      </c>
      <c r="J182">
        <f ca="1"/>
        <v>2.0449999999900084</v>
      </c>
      <c r="K182">
        <f ca="1"/>
        <v>2.0609999999889457</v>
      </c>
      <c r="L182">
        <f ca="1"/>
        <v>93.311999999999998</v>
      </c>
      <c r="M182">
        <f ca="1"/>
        <v>93.206999999999994</v>
      </c>
      <c r="N182" t="str">
        <f ca="1"/>
        <v>YW1293284</v>
      </c>
      <c r="O182" t="str">
        <f ca="1"/>
        <v>JP1103751Q74</v>
      </c>
      <c r="P182" t="str">
        <f ca="1"/>
        <v>A+</v>
      </c>
      <c r="Q182" s="3">
        <f ca="1"/>
        <v>45468</v>
      </c>
      <c r="R182" s="4">
        <f ca="1"/>
        <v>46193</v>
      </c>
      <c r="S182" s="4">
        <f ca="1"/>
        <v>8.2245037645448331</v>
      </c>
      <c r="T182">
        <f ca="1"/>
        <v>93.259500000000003</v>
      </c>
      <c r="U182">
        <f ca="1"/>
        <v>269</v>
      </c>
      <c r="V182">
        <f ca="1"/>
        <v>8</v>
      </c>
      <c r="W182">
        <f ca="1"/>
        <v>2</v>
      </c>
      <c r="X182">
        <f ca="1"/>
        <v>0.60439560439560447</v>
      </c>
      <c r="Y182">
        <f ca="1"/>
        <v>92.655104395604397</v>
      </c>
      <c r="Z182">
        <f ca="1"/>
        <v>2.0529999999894768</v>
      </c>
    </row>
    <row r="183" spans="1:26" x14ac:dyDescent="0.35">
      <c r="A183" t="str">
        <f ca="1"/>
        <v>ED659106 Corp</v>
      </c>
      <c r="B183" t="str">
        <f ca="1"/>
        <v>Japan Government Thirty Year Bond</v>
      </c>
      <c r="C183" t="str">
        <f ca="1"/>
        <v>JGB</v>
      </c>
      <c r="D183" t="str">
        <f ca="1"/>
        <v>JP</v>
      </c>
      <c r="E183" t="str">
        <f ca="1"/>
        <v>JPY</v>
      </c>
      <c r="F183" t="str">
        <f ca="1"/>
        <v>20/09/2034</v>
      </c>
      <c r="G183" t="str">
        <f ca="1"/>
        <v>FIXED</v>
      </c>
      <c r="H183">
        <f ca="1"/>
        <v>2</v>
      </c>
      <c r="I183">
        <f ca="1"/>
        <v>2.5</v>
      </c>
      <c r="J183">
        <f ca="1"/>
        <v>1.9709999999998487</v>
      </c>
      <c r="K183">
        <f ca="1"/>
        <v>1.9909999999998795</v>
      </c>
      <c r="L183">
        <f ca="1"/>
        <v>103.861</v>
      </c>
      <c r="M183">
        <f ca="1"/>
        <v>103.709</v>
      </c>
      <c r="N183" t="str">
        <f ca="1"/>
        <v>ED6591066</v>
      </c>
      <c r="O183" t="str">
        <f ca="1"/>
        <v>JP13001614A6</v>
      </c>
      <c r="P183" t="str">
        <f ca="1"/>
        <v>A+</v>
      </c>
      <c r="Q183" s="3">
        <f ca="1"/>
        <v>38279</v>
      </c>
      <c r="R183" s="4">
        <f ca="1"/>
        <v>46101</v>
      </c>
      <c r="S183" s="4">
        <f ca="1"/>
        <v>8.4763860369609851</v>
      </c>
      <c r="T183">
        <f ca="1"/>
        <v>103.785</v>
      </c>
      <c r="U183">
        <f ca="1"/>
        <v>97</v>
      </c>
      <c r="V183">
        <f ca="1"/>
        <v>8</v>
      </c>
      <c r="W183">
        <f ca="1"/>
        <v>22</v>
      </c>
      <c r="X183">
        <f ca="1"/>
        <v>2.6236263736263736</v>
      </c>
      <c r="Y183">
        <f ca="1"/>
        <v>101.16137362637362</v>
      </c>
      <c r="Z183">
        <f ca="1"/>
        <v>1.980999999999864</v>
      </c>
    </row>
    <row r="184" spans="1:26" x14ac:dyDescent="0.35">
      <c r="A184" t="str">
        <f ca="1"/>
        <v>EK499681 Corp</v>
      </c>
      <c r="B184" t="str">
        <f ca="1"/>
        <v>Japan Government Twenty Year Bond</v>
      </c>
      <c r="C184" t="str">
        <f ca="1"/>
        <v>JGB</v>
      </c>
      <c r="D184" t="str">
        <f ca="1"/>
        <v>JP</v>
      </c>
      <c r="E184" t="str">
        <f ca="1"/>
        <v>JPY</v>
      </c>
      <c r="F184" t="str">
        <f ca="1"/>
        <v>20/09/2034</v>
      </c>
      <c r="G184" t="str">
        <f ca="1"/>
        <v>FIXED</v>
      </c>
      <c r="H184">
        <f ca="1"/>
        <v>2</v>
      </c>
      <c r="I184">
        <f ca="1"/>
        <v>1.4</v>
      </c>
      <c r="J184">
        <f ca="1"/>
        <v>2.0509999999987669</v>
      </c>
      <c r="K184">
        <f ca="1"/>
        <v>2.0719999999985168</v>
      </c>
      <c r="L184">
        <f ca="1"/>
        <v>95.275000000000006</v>
      </c>
      <c r="M184">
        <f ca="1"/>
        <v>95.13</v>
      </c>
      <c r="N184" t="str">
        <f ca="1"/>
        <v>EK4996816</v>
      </c>
      <c r="O184" t="str">
        <f ca="1"/>
        <v>JP1201501E99</v>
      </c>
      <c r="P184" t="str">
        <f ca="1"/>
        <v>A+</v>
      </c>
      <c r="Q184" s="3">
        <f ca="1"/>
        <v>41899</v>
      </c>
      <c r="R184" s="4">
        <f ca="1"/>
        <v>46101</v>
      </c>
      <c r="S184" s="4">
        <f ca="1"/>
        <v>8.4763860369609851</v>
      </c>
      <c r="T184">
        <f ca="1"/>
        <v>95.202500000000001</v>
      </c>
      <c r="U184">
        <f ca="1"/>
        <v>198</v>
      </c>
      <c r="V184">
        <f ca="1"/>
        <v>8</v>
      </c>
      <c r="W184">
        <f ca="1"/>
        <v>12</v>
      </c>
      <c r="X184">
        <f ca="1"/>
        <v>1.4692307692307691</v>
      </c>
      <c r="Y184">
        <f ca="1"/>
        <v>93.733269230769238</v>
      </c>
      <c r="Z184">
        <f ca="1"/>
        <v>2.0614999999986416</v>
      </c>
    </row>
    <row r="185" spans="1:26" x14ac:dyDescent="0.35">
      <c r="A185" t="str">
        <f ca="1"/>
        <v>YU269893 Corp</v>
      </c>
      <c r="B185" t="str">
        <f ca="1"/>
        <v>Japan Government Ten Year Bond</v>
      </c>
      <c r="C185" t="str">
        <f ca="1"/>
        <v>JGB</v>
      </c>
      <c r="D185" t="str">
        <f ca="1"/>
        <v>JP</v>
      </c>
      <c r="E185" t="str">
        <f ca="1"/>
        <v>JPY</v>
      </c>
      <c r="F185" t="str">
        <f ca="1"/>
        <v>20/09/2034</v>
      </c>
      <c r="G185" t="str">
        <f ca="1"/>
        <v>FIXED</v>
      </c>
      <c r="H185">
        <f ca="1"/>
        <v>2</v>
      </c>
      <c r="I185">
        <f ca="1"/>
        <v>0.9</v>
      </c>
      <c r="J185">
        <f ca="1"/>
        <v>2.0939999999227852</v>
      </c>
      <c r="K185">
        <f ca="1"/>
        <v>2.1099999999161341</v>
      </c>
      <c r="L185">
        <f ca="1"/>
        <v>91.361999999999995</v>
      </c>
      <c r="M185">
        <f ca="1"/>
        <v>91.256</v>
      </c>
      <c r="N185" t="str">
        <f ca="1"/>
        <v>YU2698931</v>
      </c>
      <c r="O185" t="str">
        <f ca="1"/>
        <v>JP1103761QA5</v>
      </c>
      <c r="P185" t="str">
        <f ca="1"/>
        <v>A+</v>
      </c>
      <c r="Q185" s="3">
        <f ca="1"/>
        <v>45561</v>
      </c>
      <c r="R185" s="4">
        <f ca="1"/>
        <v>46101</v>
      </c>
      <c r="S185" s="4">
        <f ca="1"/>
        <v>8.4763860369609851</v>
      </c>
      <c r="T185">
        <f ca="1"/>
        <v>91.308999999999997</v>
      </c>
      <c r="U185">
        <f ca="1"/>
        <v>260</v>
      </c>
      <c r="V185">
        <f ca="1"/>
        <v>8</v>
      </c>
      <c r="W185">
        <f ca="1"/>
        <v>2</v>
      </c>
      <c r="X185">
        <f ca="1"/>
        <v>0.94450549450549459</v>
      </c>
      <c r="Y185">
        <f ca="1"/>
        <v>90.364494505494505</v>
      </c>
      <c r="Z185">
        <f ca="1"/>
        <v>2.1019999999194594</v>
      </c>
    </row>
    <row r="186" spans="1:26" x14ac:dyDescent="0.35">
      <c r="A186" t="str">
        <f ca="1"/>
        <v>ED819390 Corp</v>
      </c>
      <c r="B186" t="str">
        <f ca="1"/>
        <v>Japan Government Thirty Year Bond</v>
      </c>
      <c r="C186" t="str">
        <f ca="1"/>
        <v>JGB</v>
      </c>
      <c r="D186" t="str">
        <f ca="1"/>
        <v>JP</v>
      </c>
      <c r="E186" t="str">
        <f ca="1"/>
        <v>JPY</v>
      </c>
      <c r="F186" t="str">
        <f ca="1"/>
        <v>20/12/2034</v>
      </c>
      <c r="G186" t="str">
        <f ca="1"/>
        <v>FIXED</v>
      </c>
      <c r="H186">
        <f ca="1"/>
        <v>2</v>
      </c>
      <c r="I186">
        <f ca="1"/>
        <v>2.4</v>
      </c>
      <c r="J186">
        <f ca="1"/>
        <v>2.0079999999999734</v>
      </c>
      <c r="K186">
        <f ca="1"/>
        <v>2.0299999999999794</v>
      </c>
      <c r="L186">
        <f ca="1"/>
        <v>102.92400000000001</v>
      </c>
      <c r="M186">
        <f ca="1"/>
        <v>102.755</v>
      </c>
      <c r="N186" t="str">
        <f ca="1"/>
        <v>ED8193903</v>
      </c>
      <c r="O186" t="str">
        <f ca="1"/>
        <v>JP1300171525</v>
      </c>
      <c r="P186" t="str">
        <f ca="1"/>
        <v>A+</v>
      </c>
      <c r="Q186" s="3">
        <f ca="1"/>
        <v>38398</v>
      </c>
      <c r="R186" s="4">
        <f ca="1"/>
        <v>46193</v>
      </c>
      <c r="S186" s="4">
        <f ca="1"/>
        <v>8.725530458590006</v>
      </c>
      <c r="T186">
        <f ca="1"/>
        <v>102.8395</v>
      </c>
      <c r="U186">
        <f ca="1"/>
        <v>98</v>
      </c>
      <c r="V186">
        <f ca="1"/>
        <v>8.5</v>
      </c>
      <c r="W186">
        <f ca="1"/>
        <v>21</v>
      </c>
      <c r="X186">
        <f ca="1"/>
        <v>1.3186813186813187</v>
      </c>
      <c r="Y186">
        <f ca="1"/>
        <v>101.52081868131869</v>
      </c>
      <c r="Z186">
        <f ca="1"/>
        <v>2.0189999999999761</v>
      </c>
    </row>
    <row r="187" spans="1:26" x14ac:dyDescent="0.35">
      <c r="A187" t="str">
        <f ca="1"/>
        <v>EK666093 Corp</v>
      </c>
      <c r="B187" t="str">
        <f ca="1"/>
        <v>Japan Government Twenty Year Bond</v>
      </c>
      <c r="C187" t="str">
        <f ca="1"/>
        <v>JGB</v>
      </c>
      <c r="D187" t="str">
        <f ca="1"/>
        <v>JP</v>
      </c>
      <c r="E187" t="str">
        <f ca="1"/>
        <v>JPY</v>
      </c>
      <c r="F187" t="str">
        <f ca="1"/>
        <v>20/12/2034</v>
      </c>
      <c r="G187" t="str">
        <f ca="1"/>
        <v>FIXED</v>
      </c>
      <c r="H187">
        <f ca="1"/>
        <v>2</v>
      </c>
      <c r="I187">
        <f ca="1"/>
        <v>1.2</v>
      </c>
      <c r="J187">
        <f ca="1"/>
        <v>2.1019999999902792</v>
      </c>
      <c r="K187">
        <f ca="1"/>
        <v>2.1219999999889114</v>
      </c>
      <c r="L187">
        <f ca="1"/>
        <v>93.316999999999993</v>
      </c>
      <c r="M187">
        <f ca="1"/>
        <v>93.179000000000002</v>
      </c>
      <c r="N187" t="str">
        <f ca="1"/>
        <v>EK6660931</v>
      </c>
      <c r="O187" t="str">
        <f ca="1"/>
        <v>JP1201511EC7</v>
      </c>
      <c r="P187" t="str">
        <f ca="1"/>
        <v>A+</v>
      </c>
      <c r="Q187" s="3">
        <f ca="1"/>
        <v>41991</v>
      </c>
      <c r="R187" s="4">
        <f ca="1"/>
        <v>46193</v>
      </c>
      <c r="S187" s="4">
        <f ca="1"/>
        <v>8.725530458590006</v>
      </c>
      <c r="T187">
        <f ca="1"/>
        <v>93.24799999999999</v>
      </c>
      <c r="U187">
        <f ca="1"/>
        <v>200</v>
      </c>
      <c r="V187">
        <f ca="1"/>
        <v>8.5</v>
      </c>
      <c r="W187">
        <f ca="1"/>
        <v>12</v>
      </c>
      <c r="X187">
        <f ca="1"/>
        <v>0.65934065934065933</v>
      </c>
      <c r="Y187">
        <f ca="1"/>
        <v>92.588659340659333</v>
      </c>
      <c r="Z187">
        <f ca="1"/>
        <v>2.1119999999895951</v>
      </c>
    </row>
    <row r="188" spans="1:26" x14ac:dyDescent="0.35">
      <c r="A188" t="str">
        <f ca="1"/>
        <v>YS443328 Corp</v>
      </c>
      <c r="B188" t="str">
        <f ca="1"/>
        <v>Japan Government Ten Year Bond</v>
      </c>
      <c r="C188" t="str">
        <f ca="1"/>
        <v>JGB</v>
      </c>
      <c r="D188" t="str">
        <f ca="1"/>
        <v>JP</v>
      </c>
      <c r="E188" t="str">
        <f ca="1"/>
        <v>JPY</v>
      </c>
      <c r="F188" t="str">
        <f ca="1"/>
        <v>20/12/2034</v>
      </c>
      <c r="G188" t="str">
        <f ca="1"/>
        <v>FIXED</v>
      </c>
      <c r="H188">
        <f ca="1"/>
        <v>2</v>
      </c>
      <c r="I188">
        <f ca="1"/>
        <v>1.2</v>
      </c>
      <c r="J188">
        <f ca="1"/>
        <v>2.1069999999899505</v>
      </c>
      <c r="K188">
        <f ca="1"/>
        <v>2.1209999999889826</v>
      </c>
      <c r="L188">
        <f ca="1"/>
        <v>93.281999999999996</v>
      </c>
      <c r="M188">
        <f ca="1"/>
        <v>93.186000000000007</v>
      </c>
      <c r="N188" t="str">
        <f ca="1"/>
        <v>YS4433282</v>
      </c>
      <c r="O188" t="str">
        <f ca="1"/>
        <v>JP1103771R12</v>
      </c>
      <c r="P188" t="str">
        <f ca="1"/>
        <v>A+</v>
      </c>
      <c r="Q188" s="3">
        <f ca="1"/>
        <v>45653</v>
      </c>
      <c r="R188" s="4">
        <f ca="1"/>
        <v>46193</v>
      </c>
      <c r="S188" s="4">
        <f ca="1"/>
        <v>8.725530458590006</v>
      </c>
      <c r="T188">
        <f ca="1"/>
        <v>93.234000000000009</v>
      </c>
      <c r="U188">
        <f ca="1"/>
        <v>253</v>
      </c>
      <c r="V188">
        <f ca="1"/>
        <v>8.5</v>
      </c>
      <c r="W188">
        <f ca="1"/>
        <v>2</v>
      </c>
      <c r="X188">
        <f ca="1"/>
        <v>0.65934065934065933</v>
      </c>
      <c r="Y188">
        <f ca="1"/>
        <v>92.574659340659352</v>
      </c>
      <c r="Z188">
        <f ca="1"/>
        <v>2.1139999999894665</v>
      </c>
    </row>
    <row r="189" spans="1:26" x14ac:dyDescent="0.35">
      <c r="A189" t="str">
        <f ca="1"/>
        <v>ED903474 Corp</v>
      </c>
      <c r="B189" t="str">
        <f ca="1"/>
        <v>Japan Government Thirty Year Bond</v>
      </c>
      <c r="C189" t="str">
        <f ca="1"/>
        <v>JGB</v>
      </c>
      <c r="D189" t="str">
        <f ca="1"/>
        <v>JP</v>
      </c>
      <c r="E189" t="str">
        <f ca="1"/>
        <v>JPY</v>
      </c>
      <c r="F189" t="str">
        <f ca="1"/>
        <v>20/03/2035</v>
      </c>
      <c r="G189" t="str">
        <f ca="1"/>
        <v>FIXED</v>
      </c>
      <c r="H189">
        <f ca="1"/>
        <v>2</v>
      </c>
      <c r="I189">
        <f ca="1"/>
        <v>2.2999999999999998</v>
      </c>
      <c r="J189">
        <f ca="1"/>
        <v>2.0449999999999933</v>
      </c>
      <c r="K189">
        <f ca="1"/>
        <v>2.0659999999999963</v>
      </c>
      <c r="L189">
        <f ca="1"/>
        <v>101.94199999999999</v>
      </c>
      <c r="M189">
        <f ca="1"/>
        <v>101.779</v>
      </c>
      <c r="N189" t="str">
        <f ca="1"/>
        <v>ED9034742</v>
      </c>
      <c r="O189" t="str">
        <f ca="1"/>
        <v>JP1300181540</v>
      </c>
      <c r="P189" t="str">
        <f ca="1"/>
        <v>A+</v>
      </c>
      <c r="Q189" s="3">
        <f ca="1"/>
        <v>38456</v>
      </c>
      <c r="R189" s="4">
        <f ca="1"/>
        <v>46101</v>
      </c>
      <c r="S189" s="4">
        <f ca="1"/>
        <v>8.9719370294318956</v>
      </c>
      <c r="T189">
        <f ca="1"/>
        <v>101.8605</v>
      </c>
      <c r="U189">
        <f ca="1"/>
        <v>99</v>
      </c>
      <c r="V189">
        <f ca="1"/>
        <v>8.5</v>
      </c>
      <c r="W189">
        <f ca="1"/>
        <v>21</v>
      </c>
      <c r="X189">
        <f ca="1"/>
        <v>2.4137362637362636</v>
      </c>
      <c r="Y189">
        <f ca="1"/>
        <v>99.446763736263733</v>
      </c>
      <c r="Z189">
        <f ca="1"/>
        <v>2.055499999999995</v>
      </c>
    </row>
    <row r="190" spans="1:26" x14ac:dyDescent="0.35">
      <c r="A190" t="str">
        <f ca="1"/>
        <v>EK813746 Corp</v>
      </c>
      <c r="B190" t="str">
        <f ca="1"/>
        <v>Japan Government Twenty Year Bond</v>
      </c>
      <c r="C190" t="str">
        <f ca="1"/>
        <v>JGB</v>
      </c>
      <c r="D190" t="str">
        <f ca="1"/>
        <v>JP</v>
      </c>
      <c r="E190" t="str">
        <f ca="1"/>
        <v>JPY</v>
      </c>
      <c r="F190" t="str">
        <f ca="1"/>
        <v>20/03/2035</v>
      </c>
      <c r="G190" t="str">
        <f ca="1"/>
        <v>FIXED</v>
      </c>
      <c r="H190">
        <f ca="1"/>
        <v>2</v>
      </c>
      <c r="I190">
        <f ca="1"/>
        <v>1.2</v>
      </c>
      <c r="J190">
        <f ca="1"/>
        <v>2.1329999999825939</v>
      </c>
      <c r="K190">
        <f ca="1"/>
        <v>2.1529999999802247</v>
      </c>
      <c r="L190">
        <f ca="1"/>
        <v>92.94</v>
      </c>
      <c r="M190">
        <f ca="1"/>
        <v>92.8</v>
      </c>
      <c r="N190" t="str">
        <f ca="1"/>
        <v>EK8137466</v>
      </c>
      <c r="O190" t="str">
        <f ca="1"/>
        <v>JP1201521F37</v>
      </c>
      <c r="P190" t="str">
        <f ca="1"/>
        <v>A+</v>
      </c>
      <c r="Q190" s="3">
        <f ca="1"/>
        <v>42081</v>
      </c>
      <c r="R190" s="4">
        <f ca="1"/>
        <v>46101</v>
      </c>
      <c r="S190" s="4">
        <f ca="1"/>
        <v>8.9719370294318956</v>
      </c>
      <c r="T190">
        <f ca="1"/>
        <v>92.87</v>
      </c>
      <c r="U190">
        <f ca="1"/>
        <v>202</v>
      </c>
      <c r="V190">
        <f ca="1"/>
        <v>8.5</v>
      </c>
      <c r="W190">
        <f ca="1"/>
        <v>11</v>
      </c>
      <c r="X190">
        <f ca="1"/>
        <v>1.2593406593406593</v>
      </c>
      <c r="Y190">
        <f ca="1"/>
        <v>91.610659340659339</v>
      </c>
      <c r="Z190">
        <f ca="1"/>
        <v>2.1429999999814093</v>
      </c>
    </row>
    <row r="191" spans="1:26" x14ac:dyDescent="0.35">
      <c r="A191" t="str">
        <f ca="1"/>
        <v>YQ993424 Corp</v>
      </c>
      <c r="B191" t="str">
        <f ca="1"/>
        <v>Japan Government Ten Year Bond</v>
      </c>
      <c r="C191" t="str">
        <f ca="1"/>
        <v>JGB</v>
      </c>
      <c r="D191" t="str">
        <f ca="1"/>
        <v>JP</v>
      </c>
      <c r="E191" t="str">
        <f ca="1"/>
        <v>JPY</v>
      </c>
      <c r="F191" t="str">
        <f ca="1"/>
        <v>20/03/2035</v>
      </c>
      <c r="G191" t="str">
        <f ca="1"/>
        <v>FIXED</v>
      </c>
      <c r="H191">
        <f ca="1"/>
        <v>2</v>
      </c>
      <c r="I191">
        <f ca="1"/>
        <v>1.4</v>
      </c>
      <c r="J191">
        <f ca="1"/>
        <v>2.1249999999968354</v>
      </c>
      <c r="K191">
        <f ca="1"/>
        <v>2.137999999996484</v>
      </c>
      <c r="L191">
        <f ca="1"/>
        <v>94.510999999999996</v>
      </c>
      <c r="M191">
        <f ca="1"/>
        <v>94.418000000000006</v>
      </c>
      <c r="N191" t="str">
        <f ca="1"/>
        <v>YQ9934247</v>
      </c>
      <c r="O191" t="str">
        <f ca="1"/>
        <v>JP1103781R44</v>
      </c>
      <c r="P191" t="str">
        <f ca="1"/>
        <v>A+</v>
      </c>
      <c r="Q191" s="3">
        <f ca="1"/>
        <v>45743</v>
      </c>
      <c r="R191" s="4">
        <f ca="1"/>
        <v>46101</v>
      </c>
      <c r="S191" s="4">
        <f ca="1"/>
        <v>8.9719370294318956</v>
      </c>
      <c r="T191">
        <f ca="1"/>
        <v>94.464500000000001</v>
      </c>
      <c r="U191">
        <f ca="1"/>
        <v>248</v>
      </c>
      <c r="V191">
        <f ca="1"/>
        <v>8.5</v>
      </c>
      <c r="W191">
        <f ca="1"/>
        <v>1</v>
      </c>
      <c r="X191">
        <f ca="1"/>
        <v>1.4692307692307691</v>
      </c>
      <c r="Y191">
        <f ca="1"/>
        <v>92.995269230769239</v>
      </c>
      <c r="Z191">
        <f ca="1"/>
        <v>2.1314999999966595</v>
      </c>
    </row>
    <row r="192" spans="1:26" x14ac:dyDescent="0.35">
      <c r="A192" t="str">
        <f ca="1"/>
        <v>EF021292 Corp</v>
      </c>
      <c r="B192" t="str">
        <f ca="1"/>
        <v>Japan Government Thirty Year Bond</v>
      </c>
      <c r="C192" t="str">
        <f ca="1"/>
        <v>JGB</v>
      </c>
      <c r="D192" t="str">
        <f ca="1"/>
        <v>JP</v>
      </c>
      <c r="E192" t="str">
        <f ca="1"/>
        <v>JPY</v>
      </c>
      <c r="F192" t="str">
        <f ca="1"/>
        <v>20/06/2035</v>
      </c>
      <c r="G192" t="str">
        <f ca="1"/>
        <v>FIXED</v>
      </c>
      <c r="H192">
        <f ca="1"/>
        <v>2</v>
      </c>
      <c r="I192">
        <f ca="1"/>
        <v>2.2999999999999998</v>
      </c>
      <c r="J192">
        <f ca="1"/>
        <v>2.0779999999999985</v>
      </c>
      <c r="K192">
        <f ca="1"/>
        <v>2.097999999999995</v>
      </c>
      <c r="L192">
        <f ca="1"/>
        <v>101.726</v>
      </c>
      <c r="M192">
        <f ca="1"/>
        <v>101.568</v>
      </c>
      <c r="N192" t="str">
        <f ca="1"/>
        <v>EF0212920</v>
      </c>
      <c r="O192" t="str">
        <f ca="1"/>
        <v>JP1300191572</v>
      </c>
      <c r="P192" t="str">
        <f ca="1"/>
        <v>A+</v>
      </c>
      <c r="Q192" s="3">
        <f ca="1"/>
        <v>38547</v>
      </c>
      <c r="R192" s="4">
        <f ca="1"/>
        <v>46193</v>
      </c>
      <c r="S192" s="4">
        <f ca="1"/>
        <v>9.2238193018480494</v>
      </c>
      <c r="T192">
        <f ca="1"/>
        <v>101.64699999999999</v>
      </c>
      <c r="U192">
        <f ca="1"/>
        <v>100</v>
      </c>
      <c r="V192">
        <f ca="1"/>
        <v>9</v>
      </c>
      <c r="W192">
        <f ca="1"/>
        <v>21</v>
      </c>
      <c r="X192">
        <f ca="1"/>
        <v>1.2637362637362637</v>
      </c>
      <c r="Y192">
        <f ca="1"/>
        <v>100.38326373626373</v>
      </c>
      <c r="Z192">
        <f ca="1"/>
        <v>2.0879999999999965</v>
      </c>
    </row>
    <row r="193" spans="1:26" x14ac:dyDescent="0.35">
      <c r="A193" t="str">
        <f ca="1"/>
        <v>EK972288 Corp</v>
      </c>
      <c r="B193" t="str">
        <f ca="1"/>
        <v>Japan Government Twenty Year Bond</v>
      </c>
      <c r="C193" t="str">
        <f ca="1"/>
        <v>JGB</v>
      </c>
      <c r="D193" t="str">
        <f ca="1"/>
        <v>JP</v>
      </c>
      <c r="E193" t="str">
        <f ca="1"/>
        <v>JPY</v>
      </c>
      <c r="F193" t="str">
        <f ca="1"/>
        <v>20/06/2035</v>
      </c>
      <c r="G193" t="str">
        <f ca="1"/>
        <v>FIXED</v>
      </c>
      <c r="H193">
        <f ca="1"/>
        <v>2</v>
      </c>
      <c r="I193">
        <f ca="1"/>
        <v>1.3</v>
      </c>
      <c r="J193">
        <f ca="1"/>
        <v>2.160999999990822</v>
      </c>
      <c r="K193">
        <f ca="1"/>
        <v>2.1809999999894765</v>
      </c>
      <c r="L193">
        <f ca="1"/>
        <v>93.347999999999999</v>
      </c>
      <c r="M193">
        <f ca="1"/>
        <v>93.203999999999994</v>
      </c>
      <c r="N193" t="str">
        <f ca="1"/>
        <v>EK9722886</v>
      </c>
      <c r="O193" t="str">
        <f ca="1"/>
        <v>JP1201531F68</v>
      </c>
      <c r="P193" t="str">
        <f ca="1"/>
        <v>A+</v>
      </c>
      <c r="Q193" s="3">
        <f ca="1"/>
        <v>42166</v>
      </c>
      <c r="R193" s="4">
        <f ca="1"/>
        <v>46193</v>
      </c>
      <c r="S193" s="4">
        <f ca="1"/>
        <v>9.2238193018480494</v>
      </c>
      <c r="T193">
        <f ca="1"/>
        <v>93.275999999999996</v>
      </c>
      <c r="U193">
        <f ca="1"/>
        <v>205</v>
      </c>
      <c r="V193">
        <f ca="1"/>
        <v>9</v>
      </c>
      <c r="W193">
        <f ca="1"/>
        <v>11</v>
      </c>
      <c r="X193">
        <f ca="1"/>
        <v>0.71428571428571441</v>
      </c>
      <c r="Y193">
        <f ca="1"/>
        <v>92.561714285714288</v>
      </c>
      <c r="Z193">
        <f ca="1"/>
        <v>2.1709999999901495</v>
      </c>
    </row>
    <row r="194" spans="1:26" x14ac:dyDescent="0.35">
      <c r="A194" t="str">
        <f ca="1"/>
        <v>YN917177 Corp</v>
      </c>
      <c r="B194" t="str">
        <f ca="1"/>
        <v>Japan Government Ten Year Bond</v>
      </c>
      <c r="C194" t="str">
        <f ca="1"/>
        <v>JGB</v>
      </c>
      <c r="D194" t="str">
        <f ca="1"/>
        <v>JP</v>
      </c>
      <c r="E194" t="str">
        <f ca="1"/>
        <v>JPY</v>
      </c>
      <c r="F194" t="str">
        <f ca="1"/>
        <v>20/06/2035</v>
      </c>
      <c r="G194" t="str">
        <f ca="1"/>
        <v>FIXED</v>
      </c>
      <c r="H194">
        <f ca="1"/>
        <v>2</v>
      </c>
      <c r="I194">
        <f ca="1"/>
        <v>1.5</v>
      </c>
      <c r="J194">
        <f ca="1"/>
        <v>2.1469999999986022</v>
      </c>
      <c r="K194">
        <f ca="1"/>
        <v>2.161999999998407</v>
      </c>
      <c r="L194">
        <f ca="1"/>
        <v>94.995999999999995</v>
      </c>
      <c r="M194">
        <f ca="1"/>
        <v>94.885999999999996</v>
      </c>
      <c r="N194" t="str">
        <f ca="1"/>
        <v>YN9171771</v>
      </c>
      <c r="O194" t="str">
        <f ca="1"/>
        <v>JP1103791R75</v>
      </c>
      <c r="P194" t="str">
        <f ca="1"/>
        <v>A+</v>
      </c>
      <c r="Q194" s="3">
        <f ca="1"/>
        <v>45832</v>
      </c>
      <c r="R194" s="4">
        <f ca="1"/>
        <v>46193</v>
      </c>
      <c r="S194" s="4">
        <f ca="1"/>
        <v>9.2238193018480494</v>
      </c>
      <c r="T194">
        <f ca="1"/>
        <v>94.941000000000003</v>
      </c>
      <c r="U194">
        <f ca="1"/>
        <v>239</v>
      </c>
      <c r="V194">
        <f ca="1"/>
        <v>9</v>
      </c>
      <c r="W194">
        <f ca="1"/>
        <v>1</v>
      </c>
      <c r="X194">
        <f ca="1"/>
        <v>0.82417582417582425</v>
      </c>
      <c r="Y194">
        <f ca="1"/>
        <v>94.116824175824178</v>
      </c>
      <c r="Z194">
        <f ca="1"/>
        <v>2.1544999999985048</v>
      </c>
    </row>
    <row r="195" spans="1:26" x14ac:dyDescent="0.35">
      <c r="A195" t="str">
        <f ca="1"/>
        <v>EF138652 Corp</v>
      </c>
      <c r="B195" t="str">
        <f ca="1"/>
        <v>Japan Government Thirty Year Bond</v>
      </c>
      <c r="C195" t="str">
        <f ca="1"/>
        <v>JGB</v>
      </c>
      <c r="D195" t="str">
        <f ca="1"/>
        <v>JP</v>
      </c>
      <c r="E195" t="str">
        <f ca="1"/>
        <v>JPY</v>
      </c>
      <c r="F195" t="str">
        <f ca="1"/>
        <v>20/09/2035</v>
      </c>
      <c r="G195" t="str">
        <f ca="1"/>
        <v>FIXED</v>
      </c>
      <c r="H195">
        <f ca="1"/>
        <v>2</v>
      </c>
      <c r="I195">
        <f ca="1"/>
        <v>2.5</v>
      </c>
      <c r="J195">
        <f ca="1"/>
        <v>2.0909999999999402</v>
      </c>
      <c r="K195">
        <f ca="1"/>
        <v>2.111999999999957</v>
      </c>
      <c r="L195">
        <f ca="1"/>
        <v>103.248</v>
      </c>
      <c r="M195">
        <f ca="1"/>
        <v>103.077</v>
      </c>
      <c r="N195" t="str">
        <f ca="1"/>
        <v>EF1386525</v>
      </c>
      <c r="O195" t="str">
        <f ca="1"/>
        <v>JP13002015A5</v>
      </c>
      <c r="P195" t="str">
        <f ca="1"/>
        <v>A+</v>
      </c>
      <c r="Q195" s="3">
        <f ca="1"/>
        <v>38643</v>
      </c>
      <c r="R195" s="4">
        <f ca="1"/>
        <v>46101</v>
      </c>
      <c r="S195" s="4">
        <f ca="1"/>
        <v>9.4757015742642032</v>
      </c>
      <c r="T195">
        <f ca="1"/>
        <v>103.16249999999999</v>
      </c>
      <c r="U195">
        <f ca="1"/>
        <v>101</v>
      </c>
      <c r="V195">
        <f ca="1"/>
        <v>9</v>
      </c>
      <c r="W195">
        <f ca="1"/>
        <v>21</v>
      </c>
      <c r="X195">
        <f ca="1"/>
        <v>2.6236263736263736</v>
      </c>
      <c r="Y195">
        <f ca="1"/>
        <v>100.53887362637361</v>
      </c>
      <c r="Z195">
        <f ca="1"/>
        <v>2.1014999999999486</v>
      </c>
    </row>
    <row r="196" spans="1:26" x14ac:dyDescent="0.35">
      <c r="A196" t="str">
        <f ca="1"/>
        <v>UV890292 Corp</v>
      </c>
      <c r="B196" t="str">
        <f ca="1"/>
        <v>Japan Government Twenty Year Bond</v>
      </c>
      <c r="C196" t="str">
        <f ca="1"/>
        <v>JGB</v>
      </c>
      <c r="D196" t="str">
        <f ca="1"/>
        <v>JP</v>
      </c>
      <c r="E196" t="str">
        <f ca="1"/>
        <v>JPY</v>
      </c>
      <c r="F196" t="str">
        <f ca="1"/>
        <v>20/09/2035</v>
      </c>
      <c r="G196" t="str">
        <f ca="1"/>
        <v>FIXED</v>
      </c>
      <c r="H196">
        <f ca="1"/>
        <v>2</v>
      </c>
      <c r="I196">
        <f ca="1"/>
        <v>1.2</v>
      </c>
      <c r="J196">
        <f ca="1"/>
        <v>2.203999999963365</v>
      </c>
      <c r="K196">
        <f ca="1"/>
        <v>2.2249999999584733</v>
      </c>
      <c r="L196">
        <f ca="1"/>
        <v>92.094999999999999</v>
      </c>
      <c r="M196">
        <f ca="1"/>
        <v>91.942999999999998</v>
      </c>
      <c r="N196" t="str">
        <f ca="1"/>
        <v>UV8902925</v>
      </c>
      <c r="O196" t="str">
        <f ca="1"/>
        <v>JP1201541F90</v>
      </c>
      <c r="P196" t="str">
        <f ca="1"/>
        <v>A+</v>
      </c>
      <c r="Q196" s="3">
        <f ca="1"/>
        <v>42263</v>
      </c>
      <c r="R196" s="4">
        <f ca="1"/>
        <v>46101</v>
      </c>
      <c r="S196" s="4">
        <f ca="1"/>
        <v>9.4757015742642032</v>
      </c>
      <c r="T196">
        <f ca="1"/>
        <v>92.019000000000005</v>
      </c>
      <c r="U196">
        <f ca="1"/>
        <v>219</v>
      </c>
      <c r="V196">
        <f ca="1"/>
        <v>9</v>
      </c>
      <c r="W196">
        <f ca="1"/>
        <v>11</v>
      </c>
      <c r="X196">
        <f ca="1"/>
        <v>1.2593406593406593</v>
      </c>
      <c r="Y196">
        <f ca="1"/>
        <v>90.75965934065934</v>
      </c>
      <c r="Z196">
        <f ca="1"/>
        <v>2.2144999999609194</v>
      </c>
    </row>
    <row r="197" spans="1:26" x14ac:dyDescent="0.35">
      <c r="A197" t="str">
        <f ca="1"/>
        <v>YJ408080 Corp</v>
      </c>
      <c r="B197" t="str">
        <f ca="1"/>
        <v>Japan Government Ten Year Bond</v>
      </c>
      <c r="C197" t="str">
        <f ca="1"/>
        <v>JGB</v>
      </c>
      <c r="D197" t="str">
        <f ca="1"/>
        <v>JP</v>
      </c>
      <c r="E197" t="str">
        <f ca="1"/>
        <v>JPY</v>
      </c>
      <c r="F197" t="str">
        <f ca="1"/>
        <v>20/09/2035</v>
      </c>
      <c r="G197" t="str">
        <f ca="1"/>
        <v>FIXED</v>
      </c>
      <c r="H197">
        <f ca="1"/>
        <v>2</v>
      </c>
      <c r="I197">
        <f ca="1"/>
        <v>1.6</v>
      </c>
      <c r="J197">
        <f ca="1"/>
        <v>2.1259999999994537</v>
      </c>
      <c r="K197">
        <f ca="1"/>
        <v>2.150999999999291</v>
      </c>
      <c r="L197">
        <f ca="1"/>
        <v>95.832999999999998</v>
      </c>
      <c r="M197">
        <f ca="1"/>
        <v>95.643000000000001</v>
      </c>
      <c r="N197" t="str">
        <f ca="1"/>
        <v>YJ4080802</v>
      </c>
      <c r="O197" t="str">
        <f ca="1"/>
        <v>JP1480031RA4</v>
      </c>
      <c r="P197" t="str">
        <f ca="1"/>
        <v>A+</v>
      </c>
      <c r="Q197" s="3">
        <f ca="1"/>
        <v>45944</v>
      </c>
      <c r="R197" s="4">
        <f ca="1"/>
        <v>46101</v>
      </c>
      <c r="S197" s="4">
        <f ca="1"/>
        <v>9.4757015742642032</v>
      </c>
      <c r="T197">
        <f ca="1"/>
        <v>95.738</v>
      </c>
      <c r="U197">
        <f ca="1"/>
        <v>225</v>
      </c>
      <c r="V197">
        <f ca="1"/>
        <v>9</v>
      </c>
      <c r="W197">
        <f ca="1"/>
        <v>1</v>
      </c>
      <c r="X197">
        <f ca="1"/>
        <v>1.6791208791208794</v>
      </c>
      <c r="Y197">
        <f ca="1"/>
        <v>94.058879120879126</v>
      </c>
      <c r="Z197">
        <f ca="1"/>
        <v>2.1384999999993726</v>
      </c>
    </row>
    <row r="198" spans="1:26" x14ac:dyDescent="0.35">
      <c r="A198" t="str">
        <f ca="1"/>
        <v>YK650334 Corp</v>
      </c>
      <c r="B198" t="str">
        <f ca="1"/>
        <v>Japan Government Ten Year Bond</v>
      </c>
      <c r="C198" t="str">
        <f ca="1"/>
        <v>JGB</v>
      </c>
      <c r="D198" t="str">
        <f ca="1"/>
        <v>JP</v>
      </c>
      <c r="E198" t="str">
        <f ca="1"/>
        <v>JPY</v>
      </c>
      <c r="F198" t="str">
        <f ca="1"/>
        <v>20/09/2035</v>
      </c>
      <c r="G198" t="str">
        <f ca="1"/>
        <v>FIXED</v>
      </c>
      <c r="H198">
        <f ca="1"/>
        <v>2</v>
      </c>
      <c r="I198">
        <f ca="1"/>
        <v>1.7</v>
      </c>
      <c r="J198">
        <f ca="1"/>
        <v>2.1609999999997638</v>
      </c>
      <c r="K198">
        <f ca="1"/>
        <v>2.1789999999997112</v>
      </c>
      <c r="L198">
        <f ca="1"/>
        <v>96.358000000000004</v>
      </c>
      <c r="M198">
        <f ca="1"/>
        <v>96.221000000000004</v>
      </c>
      <c r="N198" t="str">
        <f ca="1"/>
        <v>YK6503345</v>
      </c>
      <c r="O198" t="str">
        <f ca="1"/>
        <v>JP1103801RA7</v>
      </c>
      <c r="P198" t="str">
        <f ca="1"/>
        <v>A+</v>
      </c>
      <c r="Q198" s="3">
        <f ca="1"/>
        <v>45925</v>
      </c>
      <c r="R198" s="4">
        <f ca="1"/>
        <v>46101</v>
      </c>
      <c r="S198" s="4">
        <f ca="1"/>
        <v>9.4757015742642032</v>
      </c>
      <c r="T198">
        <f ca="1"/>
        <v>96.289500000000004</v>
      </c>
      <c r="U198">
        <f ca="1"/>
        <v>229</v>
      </c>
      <c r="V198">
        <f ca="1"/>
        <v>9</v>
      </c>
      <c r="W198">
        <f ca="1"/>
        <v>1</v>
      </c>
      <c r="X198">
        <f ca="1"/>
        <v>1.7840659340659342</v>
      </c>
      <c r="Y198">
        <f ca="1"/>
        <v>94.505434065934068</v>
      </c>
      <c r="Z198">
        <f ca="1"/>
        <v>2.1699999999997375</v>
      </c>
    </row>
    <row r="199" spans="1:26" x14ac:dyDescent="0.35">
      <c r="A199" t="str">
        <f ca="1"/>
        <v>DC746693 Corp</v>
      </c>
      <c r="B199" t="str">
        <f ca="1"/>
        <v>Japan Government Ten Year Bond</v>
      </c>
      <c r="C199" t="str">
        <f ca="1"/>
        <v>JGB</v>
      </c>
      <c r="D199" t="str">
        <f ca="1"/>
        <v>JP</v>
      </c>
      <c r="E199" t="str">
        <f ca="1"/>
        <v>JPY</v>
      </c>
      <c r="F199" t="str">
        <f ca="1"/>
        <v>20/12/2035</v>
      </c>
      <c r="G199" t="str">
        <f ca="1"/>
        <v>FIXED</v>
      </c>
      <c r="H199">
        <f ca="1"/>
        <v>2</v>
      </c>
      <c r="I199">
        <f ca="1"/>
        <v>2.1</v>
      </c>
      <c r="J199">
        <f ca="1"/>
        <v>2.1609999999509681</v>
      </c>
      <c r="K199">
        <f ca="1"/>
        <v>2.1799999998873618</v>
      </c>
      <c r="L199">
        <f ca="1"/>
        <v>99.507000000000005</v>
      </c>
      <c r="M199">
        <f ca="1"/>
        <v>99.355000000000004</v>
      </c>
      <c r="N199" t="str">
        <f ca="1"/>
        <v>DC7466931</v>
      </c>
      <c r="O199" t="str">
        <f ca="1"/>
        <v>JP1103811S13</v>
      </c>
      <c r="P199" t="str">
        <f ca="1"/>
        <v>A+</v>
      </c>
      <c r="Q199" s="3">
        <f ca="1"/>
        <v>46017</v>
      </c>
      <c r="R199" s="4">
        <f ca="1"/>
        <v>46193</v>
      </c>
      <c r="S199" s="4">
        <f ca="1"/>
        <v>9.7248459958932241</v>
      </c>
      <c r="T199">
        <f ca="1"/>
        <v>99.431000000000012</v>
      </c>
      <c r="U199">
        <f ca="1"/>
        <v>79</v>
      </c>
      <c r="V199">
        <f ca="1"/>
        <v>9.5</v>
      </c>
      <c r="W199">
        <f ca="1"/>
        <v>1</v>
      </c>
      <c r="X199">
        <f ca="1"/>
        <v>1.153846153846154</v>
      </c>
      <c r="Y199">
        <f ca="1"/>
        <v>98.277153846153851</v>
      </c>
      <c r="Z199">
        <f ca="1"/>
        <v>2.1704999999191648</v>
      </c>
    </row>
    <row r="200" spans="1:26" x14ac:dyDescent="0.35">
      <c r="A200" t="str">
        <f ca="1"/>
        <v>EF250218 Corp</v>
      </c>
      <c r="B200" t="str">
        <f ca="1"/>
        <v>Japan Government Thirty Year Bond</v>
      </c>
      <c r="C200" t="str">
        <f ca="1"/>
        <v>JGB</v>
      </c>
      <c r="D200" t="str">
        <f ca="1"/>
        <v>JP</v>
      </c>
      <c r="E200" t="str">
        <f ca="1"/>
        <v>JPY</v>
      </c>
      <c r="F200" t="str">
        <f ca="1"/>
        <v>20/12/2035</v>
      </c>
      <c r="G200" t="str">
        <f ca="1"/>
        <v>FIXED</v>
      </c>
      <c r="H200">
        <f ca="1"/>
        <v>2</v>
      </c>
      <c r="I200">
        <f ca="1"/>
        <v>2.2999999999999998</v>
      </c>
      <c r="J200">
        <f ca="1"/>
        <v>2.1469999999999989</v>
      </c>
      <c r="K200">
        <f ca="1"/>
        <v>2.1670000000000011</v>
      </c>
      <c r="L200">
        <f ca="1"/>
        <v>101.236</v>
      </c>
      <c r="M200">
        <f ca="1"/>
        <v>101.072</v>
      </c>
      <c r="N200" t="str">
        <f ca="1"/>
        <v>EF2502187</v>
      </c>
      <c r="O200" t="str">
        <f ca="1"/>
        <v>JP1300211610</v>
      </c>
      <c r="P200" t="str">
        <f ca="1"/>
        <v>A+</v>
      </c>
      <c r="Q200" s="3">
        <f ca="1"/>
        <v>38736</v>
      </c>
      <c r="R200" s="4">
        <f ca="1"/>
        <v>46193</v>
      </c>
      <c r="S200" s="4">
        <f ca="1"/>
        <v>9.7248459958932241</v>
      </c>
      <c r="T200">
        <f ca="1"/>
        <v>101.154</v>
      </c>
      <c r="U200">
        <f ca="1"/>
        <v>102</v>
      </c>
      <c r="V200">
        <f ca="1"/>
        <v>9.5</v>
      </c>
      <c r="W200">
        <f ca="1"/>
        <v>20</v>
      </c>
      <c r="X200">
        <f ca="1"/>
        <v>1.2637362637362637</v>
      </c>
      <c r="Y200">
        <f ca="1"/>
        <v>99.890263736263734</v>
      </c>
      <c r="Z200">
        <f ca="1"/>
        <v>2.157</v>
      </c>
    </row>
    <row r="201" spans="1:26" x14ac:dyDescent="0.35">
      <c r="A201" t="str">
        <f ca="1"/>
        <v>JV336866 Corp</v>
      </c>
      <c r="B201" t="str">
        <f ca="1"/>
        <v>Japan Government Twenty Year Bond</v>
      </c>
      <c r="C201" t="str">
        <f ca="1"/>
        <v>JGB</v>
      </c>
      <c r="D201" t="str">
        <f ca="1"/>
        <v>JP</v>
      </c>
      <c r="E201" t="str">
        <f ca="1"/>
        <v>JPY</v>
      </c>
      <c r="F201" t="str">
        <f ca="1"/>
        <v>20/12/2035</v>
      </c>
      <c r="G201" t="str">
        <f ca="1"/>
        <v>FIXED</v>
      </c>
      <c r="H201">
        <f ca="1"/>
        <v>2</v>
      </c>
      <c r="I201">
        <f ca="1"/>
        <v>1</v>
      </c>
      <c r="J201">
        <f ca="1"/>
        <v>2.2659999999999996</v>
      </c>
      <c r="K201">
        <f ca="1"/>
        <v>2.286</v>
      </c>
      <c r="L201">
        <f ca="1"/>
        <v>89.867999999999995</v>
      </c>
      <c r="M201">
        <f ca="1"/>
        <v>89.724999999999994</v>
      </c>
      <c r="N201" t="str">
        <f ca="1"/>
        <v>JV3368661</v>
      </c>
      <c r="O201" t="str">
        <f ca="1"/>
        <v>JP1201551FC0</v>
      </c>
      <c r="P201" t="str">
        <f ca="1"/>
        <v>A+</v>
      </c>
      <c r="Q201" s="3">
        <f ca="1"/>
        <v>42355</v>
      </c>
      <c r="R201" s="4">
        <f ca="1"/>
        <v>46193</v>
      </c>
      <c r="S201" s="4">
        <f ca="1"/>
        <v>9.7248459958932241</v>
      </c>
      <c r="T201">
        <f ca="1"/>
        <v>89.796499999999995</v>
      </c>
      <c r="U201">
        <f ca="1"/>
        <v>210</v>
      </c>
      <c r="V201">
        <f ca="1"/>
        <v>9.5</v>
      </c>
      <c r="W201">
        <f ca="1"/>
        <v>11</v>
      </c>
      <c r="X201">
        <f ca="1"/>
        <v>0.5494505494505495</v>
      </c>
      <c r="Y201">
        <f ca="1"/>
        <v>89.24704945054944</v>
      </c>
      <c r="Z201">
        <f ca="1"/>
        <v>2.2759999999999998</v>
      </c>
    </row>
    <row r="202" spans="1:26" x14ac:dyDescent="0.35">
      <c r="A202" t="str">
        <f ca="1"/>
        <v>EF371144 Corp</v>
      </c>
      <c r="B202" t="str">
        <f ca="1"/>
        <v>Japan Government Thirty Year Bond</v>
      </c>
      <c r="C202" t="str">
        <f ca="1"/>
        <v>JGB</v>
      </c>
      <c r="D202" t="str">
        <f ca="1"/>
        <v>JP</v>
      </c>
      <c r="E202" t="str">
        <f ca="1"/>
        <v>JPY</v>
      </c>
      <c r="F202" t="str">
        <f ca="1"/>
        <v>20/03/2036</v>
      </c>
      <c r="G202" t="str">
        <f ca="1"/>
        <v>FIXED</v>
      </c>
      <c r="H202">
        <f ca="1"/>
        <v>2</v>
      </c>
      <c r="I202">
        <f ca="1"/>
        <v>2.5</v>
      </c>
      <c r="J202">
        <f ca="1"/>
        <v>2.1529999999999725</v>
      </c>
      <c r="K202">
        <f ca="1"/>
        <v>2.1769999999999805</v>
      </c>
      <c r="L202">
        <f ca="1"/>
        <v>102.86</v>
      </c>
      <c r="M202">
        <f ca="1"/>
        <v>102.657</v>
      </c>
      <c r="N202" t="str">
        <f ca="1"/>
        <v>EF3711449</v>
      </c>
      <c r="O202" t="str">
        <f ca="1"/>
        <v>JP1300221643</v>
      </c>
      <c r="P202" t="str">
        <f ca="1"/>
        <v>A+</v>
      </c>
      <c r="Q202" s="3">
        <f ca="1"/>
        <v>38825</v>
      </c>
      <c r="R202" s="4">
        <f ca="1"/>
        <v>46101</v>
      </c>
      <c r="S202" s="4">
        <f ca="1"/>
        <v>9.9739904175222449</v>
      </c>
      <c r="T202">
        <f ca="1"/>
        <v>102.7585</v>
      </c>
      <c r="U202">
        <f ca="1"/>
        <v>104</v>
      </c>
      <c r="V202">
        <f ca="1"/>
        <v>9.5</v>
      </c>
      <c r="W202">
        <f ca="1"/>
        <v>20</v>
      </c>
      <c r="X202">
        <f ca="1"/>
        <v>2.6236263736263736</v>
      </c>
      <c r="Y202">
        <f ca="1"/>
        <v>100.13487362637362</v>
      </c>
      <c r="Z202">
        <f ca="1"/>
        <v>2.1649999999999765</v>
      </c>
    </row>
    <row r="203" spans="1:26" x14ac:dyDescent="0.35">
      <c r="A203" t="str">
        <f ca="1"/>
        <v>JK501604 Corp</v>
      </c>
      <c r="B203" t="str">
        <f ca="1"/>
        <v>Japan Government Twenty Year Bond</v>
      </c>
      <c r="C203" t="str">
        <f ca="1"/>
        <v>JGB</v>
      </c>
      <c r="D203" t="str">
        <f ca="1"/>
        <v>JP</v>
      </c>
      <c r="E203" t="str">
        <f ca="1"/>
        <v>JPY</v>
      </c>
      <c r="F203" t="str">
        <f ca="1"/>
        <v>20/03/2036</v>
      </c>
      <c r="G203" t="str">
        <f ca="1"/>
        <v>FIXED</v>
      </c>
      <c r="H203">
        <f ca="1"/>
        <v>2</v>
      </c>
      <c r="I203">
        <f ca="1"/>
        <v>0.4</v>
      </c>
      <c r="J203">
        <f ca="1"/>
        <v>2.3739999999999815</v>
      </c>
      <c r="K203">
        <f ca="1"/>
        <v>2.3979999999999784</v>
      </c>
      <c r="L203">
        <f ca="1"/>
        <v>84.018000000000001</v>
      </c>
      <c r="M203">
        <f ca="1"/>
        <v>83.855999999999995</v>
      </c>
      <c r="N203" t="str">
        <f ca="1"/>
        <v>JK5016049</v>
      </c>
      <c r="O203" t="str">
        <f ca="1"/>
        <v>JP1201561G37</v>
      </c>
      <c r="P203" t="str">
        <f ca="1"/>
        <v>A+</v>
      </c>
      <c r="Q203" s="3">
        <f ca="1"/>
        <v>42446</v>
      </c>
      <c r="R203" s="4">
        <f ca="1"/>
        <v>46101</v>
      </c>
      <c r="S203" s="4">
        <f ca="1"/>
        <v>9.9739904175222449</v>
      </c>
      <c r="T203">
        <f ca="1"/>
        <v>83.936999999999998</v>
      </c>
      <c r="U203">
        <f ca="1"/>
        <v>208</v>
      </c>
      <c r="V203">
        <f ca="1"/>
        <v>9.5</v>
      </c>
      <c r="W203">
        <f ca="1"/>
        <v>10</v>
      </c>
      <c r="X203">
        <f ca="1"/>
        <v>0.41978021978021984</v>
      </c>
      <c r="Y203">
        <f ca="1"/>
        <v>83.517219780219776</v>
      </c>
      <c r="Z203">
        <f ca="1"/>
        <v>2.3859999999999797</v>
      </c>
    </row>
    <row r="204" spans="1:26" x14ac:dyDescent="0.35">
      <c r="A204" t="str">
        <f ca="1"/>
        <v>EF559765 Corp</v>
      </c>
      <c r="B204" t="str">
        <f ca="1"/>
        <v>Japan Government Thirty Year Bond</v>
      </c>
      <c r="C204" t="str">
        <f ca="1"/>
        <v>JGB</v>
      </c>
      <c r="D204" t="str">
        <f ca="1"/>
        <v>JP</v>
      </c>
      <c r="E204" t="str">
        <f ca="1"/>
        <v>JPY</v>
      </c>
      <c r="F204" t="str">
        <f ca="1"/>
        <v>20/06/2036</v>
      </c>
      <c r="G204" t="str">
        <f ca="1"/>
        <v>FIXED</v>
      </c>
      <c r="H204">
        <f ca="1"/>
        <v>2</v>
      </c>
      <c r="I204">
        <f ca="1"/>
        <v>2.5</v>
      </c>
      <c r="J204">
        <f ca="1"/>
        <v>2.1879999999999842</v>
      </c>
      <c r="K204">
        <f ca="1"/>
        <v>2.2129999999999908</v>
      </c>
      <c r="L204">
        <f ca="1"/>
        <v>102.617</v>
      </c>
      <c r="M204">
        <f ca="1"/>
        <v>102.402</v>
      </c>
      <c r="N204" t="str">
        <f ca="1"/>
        <v>EF5597655</v>
      </c>
      <c r="O204" t="str">
        <f ca="1"/>
        <v>JP1300231675</v>
      </c>
      <c r="P204" t="str">
        <f ca="1"/>
        <v>A+</v>
      </c>
      <c r="Q204" s="3">
        <f ca="1"/>
        <v>38911</v>
      </c>
      <c r="R204" s="4">
        <f ca="1"/>
        <v>46193</v>
      </c>
      <c r="S204" s="4">
        <f ca="1"/>
        <v>10.225872689938399</v>
      </c>
      <c r="T204">
        <f ca="1"/>
        <v>102.5095</v>
      </c>
      <c r="U204">
        <f ca="1"/>
        <v>108</v>
      </c>
      <c r="V204">
        <f ca="1"/>
        <v>10</v>
      </c>
      <c r="W204">
        <f ca="1"/>
        <v>20</v>
      </c>
      <c r="X204">
        <f ca="1"/>
        <v>1.3736263736263736</v>
      </c>
      <c r="Y204">
        <f ca="1"/>
        <v>101.13587362637362</v>
      </c>
      <c r="Z204">
        <f ca="1"/>
        <v>2.2004999999999875</v>
      </c>
    </row>
    <row r="205" spans="1:26" x14ac:dyDescent="0.35">
      <c r="A205" t="str">
        <f ca="1"/>
        <v>LW545302 Corp</v>
      </c>
      <c r="B205" t="str">
        <f ca="1"/>
        <v>Japan Government Twenty Year Bond</v>
      </c>
      <c r="C205" t="str">
        <f ca="1"/>
        <v>JGB</v>
      </c>
      <c r="D205" t="str">
        <f ca="1"/>
        <v>JP</v>
      </c>
      <c r="E205" t="str">
        <f ca="1"/>
        <v>JPY</v>
      </c>
      <c r="F205" t="str">
        <f ca="1"/>
        <v>20/06/2036</v>
      </c>
      <c r="G205" t="str">
        <f ca="1"/>
        <v>FIXED</v>
      </c>
      <c r="H205">
        <f ca="1"/>
        <v>2</v>
      </c>
      <c r="I205">
        <f ca="1"/>
        <v>0.2</v>
      </c>
      <c r="J205">
        <f ca="1"/>
        <v>2.4399999999998894</v>
      </c>
      <c r="K205">
        <f ca="1"/>
        <v>2.464999999999876</v>
      </c>
      <c r="L205">
        <f ca="1"/>
        <v>81.599000000000004</v>
      </c>
      <c r="M205">
        <f ca="1"/>
        <v>81.430999999999997</v>
      </c>
      <c r="N205" t="str">
        <f ca="1"/>
        <v>LW5453029</v>
      </c>
      <c r="O205" t="str">
        <f ca="1"/>
        <v>JP1201571G68</v>
      </c>
      <c r="P205" t="str">
        <f ca="1"/>
        <v>A+</v>
      </c>
      <c r="Q205" s="3">
        <f ca="1"/>
        <v>42544</v>
      </c>
      <c r="R205" s="4">
        <f ca="1"/>
        <v>46193</v>
      </c>
      <c r="S205" s="4">
        <f ca="1"/>
        <v>10.225872689938399</v>
      </c>
      <c r="T205">
        <f ca="1"/>
        <v>81.515000000000001</v>
      </c>
      <c r="U205">
        <f ca="1"/>
        <v>214</v>
      </c>
      <c r="V205">
        <f ca="1"/>
        <v>10</v>
      </c>
      <c r="W205">
        <f ca="1"/>
        <v>10</v>
      </c>
      <c r="X205">
        <f ca="1"/>
        <v>0.1098901098901099</v>
      </c>
      <c r="Y205">
        <f ca="1"/>
        <v>81.405109890109884</v>
      </c>
      <c r="Z205">
        <f ca="1"/>
        <v>2.4524999999998824</v>
      </c>
    </row>
    <row r="206" spans="1:26" x14ac:dyDescent="0.35">
      <c r="A206" t="str">
        <f ca="1"/>
        <v>EF778508 Corp</v>
      </c>
      <c r="B206" t="str">
        <f ca="1"/>
        <v>Japan Government Thirty Year Bond</v>
      </c>
      <c r="C206" t="str">
        <f ca="1"/>
        <v>JGB</v>
      </c>
      <c r="D206" t="str">
        <f ca="1"/>
        <v>JP</v>
      </c>
      <c r="E206" t="str">
        <f ca="1"/>
        <v>JPY</v>
      </c>
      <c r="F206" t="str">
        <f ca="1"/>
        <v>20/09/2036</v>
      </c>
      <c r="G206" t="str">
        <f ca="1"/>
        <v>FIXED</v>
      </c>
      <c r="H206">
        <f ca="1"/>
        <v>2</v>
      </c>
      <c r="I206">
        <f ca="1"/>
        <v>2.5</v>
      </c>
      <c r="J206">
        <f ca="1"/>
        <v>2.215999999999986</v>
      </c>
      <c r="K206">
        <f ca="1"/>
        <v>2.2409999999999921</v>
      </c>
      <c r="L206">
        <f ca="1"/>
        <v>102.423</v>
      </c>
      <c r="M206">
        <f ca="1"/>
        <v>102.205</v>
      </c>
      <c r="N206" t="str">
        <f ca="1"/>
        <v>EF7785084</v>
      </c>
      <c r="O206" t="str">
        <f ca="1"/>
        <v>JP13002416A5</v>
      </c>
      <c r="P206" t="str">
        <f ca="1"/>
        <v>A+</v>
      </c>
      <c r="Q206" s="3">
        <f ca="1"/>
        <v>39007</v>
      </c>
      <c r="R206" s="4">
        <f ca="1"/>
        <v>46101</v>
      </c>
      <c r="S206" s="4">
        <f ca="1"/>
        <v>10.477754962354553</v>
      </c>
      <c r="T206">
        <f ca="1"/>
        <v>102.31399999999999</v>
      </c>
      <c r="U206">
        <f ca="1"/>
        <v>111</v>
      </c>
      <c r="V206">
        <f ca="1"/>
        <v>10</v>
      </c>
      <c r="W206">
        <f ca="1"/>
        <v>20</v>
      </c>
      <c r="X206">
        <f ca="1"/>
        <v>2.6236263736263736</v>
      </c>
      <c r="Y206">
        <f ca="1"/>
        <v>99.690373626373614</v>
      </c>
      <c r="Z206">
        <f ca="1"/>
        <v>2.2284999999999888</v>
      </c>
    </row>
    <row r="207" spans="1:26" x14ac:dyDescent="0.35">
      <c r="A207" t="str">
        <f ca="1"/>
        <v>QZ541542 Corp</v>
      </c>
      <c r="B207" t="str">
        <f ca="1"/>
        <v>Japan Government Twenty Year Bond</v>
      </c>
      <c r="C207" t="str">
        <f ca="1"/>
        <v>JGB</v>
      </c>
      <c r="D207" t="str">
        <f ca="1"/>
        <v>JP</v>
      </c>
      <c r="E207" t="str">
        <f ca="1"/>
        <v>JPY</v>
      </c>
      <c r="F207" t="str">
        <f ca="1"/>
        <v>20/09/2036</v>
      </c>
      <c r="G207" t="str">
        <f ca="1"/>
        <v>FIXED</v>
      </c>
      <c r="H207">
        <f ca="1"/>
        <v>2</v>
      </c>
      <c r="I207">
        <f ca="1"/>
        <v>0.5</v>
      </c>
      <c r="J207">
        <f ca="1"/>
        <v>2.4439999999999777</v>
      </c>
      <c r="K207">
        <f ca="1"/>
        <v>2.4689999999999737</v>
      </c>
      <c r="L207">
        <f ca="1"/>
        <v>83.724000000000004</v>
      </c>
      <c r="M207">
        <f ca="1"/>
        <v>83.549000000000007</v>
      </c>
      <c r="N207" t="str">
        <f ca="1"/>
        <v>QZ5415422</v>
      </c>
      <c r="O207" t="str">
        <f ca="1"/>
        <v>JP1201581G90</v>
      </c>
      <c r="P207" t="str">
        <f ca="1"/>
        <v>A+</v>
      </c>
      <c r="Q207" s="3">
        <f ca="1"/>
        <v>42626</v>
      </c>
      <c r="R207" s="4">
        <f ca="1"/>
        <v>46101</v>
      </c>
      <c r="S207" s="4">
        <f ca="1"/>
        <v>10.477754962354553</v>
      </c>
      <c r="T207">
        <f ca="1"/>
        <v>83.636500000000012</v>
      </c>
      <c r="U207">
        <f ca="1"/>
        <v>217</v>
      </c>
      <c r="V207">
        <f ca="1"/>
        <v>10</v>
      </c>
      <c r="W207">
        <f ca="1"/>
        <v>10</v>
      </c>
      <c r="X207">
        <f ca="1"/>
        <v>0.52472527472527475</v>
      </c>
      <c r="Y207">
        <f ca="1"/>
        <v>83.111774725274742</v>
      </c>
      <c r="Z207">
        <f ca="1"/>
        <v>2.4564999999999757</v>
      </c>
    </row>
    <row r="208" spans="1:26" x14ac:dyDescent="0.35">
      <c r="A208" t="str">
        <f ca="1"/>
        <v>AL797512 Corp</v>
      </c>
      <c r="B208" t="str">
        <f ca="1"/>
        <v>Japan Government Twenty Year Bond</v>
      </c>
      <c r="C208" t="str">
        <f ca="1"/>
        <v>JGB</v>
      </c>
      <c r="D208" t="str">
        <f ca="1"/>
        <v>JP</v>
      </c>
      <c r="E208" t="str">
        <f ca="1"/>
        <v>JPY</v>
      </c>
      <c r="F208" t="str">
        <f ca="1"/>
        <v>20/12/2036</v>
      </c>
      <c r="G208" t="str">
        <f ca="1"/>
        <v>FIXED</v>
      </c>
      <c r="H208">
        <f ca="1"/>
        <v>2</v>
      </c>
      <c r="I208">
        <f ca="1"/>
        <v>0.6</v>
      </c>
      <c r="J208">
        <f ca="1"/>
        <v>2.4689999999999892</v>
      </c>
      <c r="K208">
        <f ca="1"/>
        <v>2.4929999999999848</v>
      </c>
      <c r="L208">
        <f ca="1"/>
        <v>84.091999999999999</v>
      </c>
      <c r="M208">
        <f ca="1"/>
        <v>83.921000000000006</v>
      </c>
      <c r="N208" t="str">
        <f ca="1"/>
        <v>AL7975124</v>
      </c>
      <c r="O208" t="str">
        <f ca="1"/>
        <v>JP1201591GC4</v>
      </c>
      <c r="P208" t="str">
        <f ca="1"/>
        <v>A+</v>
      </c>
      <c r="Q208" s="3">
        <f ca="1"/>
        <v>42719</v>
      </c>
      <c r="R208" s="4">
        <f ca="1"/>
        <v>46193</v>
      </c>
      <c r="S208" s="4">
        <f ca="1"/>
        <v>10.726899383983573</v>
      </c>
      <c r="T208">
        <f ca="1"/>
        <v>84.006500000000003</v>
      </c>
      <c r="U208">
        <f ca="1"/>
        <v>3</v>
      </c>
      <c r="V208">
        <f ca="1"/>
        <v>10.5</v>
      </c>
      <c r="W208">
        <f ca="1"/>
        <v>10</v>
      </c>
      <c r="X208">
        <f ca="1"/>
        <v>0.32967032967032966</v>
      </c>
      <c r="Y208">
        <f ca="1"/>
        <v>83.676829670329667</v>
      </c>
      <c r="Z208">
        <f ca="1"/>
        <v>2.480999999999987</v>
      </c>
    </row>
    <row r="209" spans="1:26" x14ac:dyDescent="0.35">
      <c r="A209" t="str">
        <f ca="1"/>
        <v>EG125261 Corp</v>
      </c>
      <c r="B209" t="str">
        <f ca="1"/>
        <v>Japan Government Thirty Year Bond</v>
      </c>
      <c r="C209" t="str">
        <f ca="1"/>
        <v>JGB</v>
      </c>
      <c r="D209" t="str">
        <f ca="1"/>
        <v>JP</v>
      </c>
      <c r="E209" t="str">
        <f ca="1"/>
        <v>JPY</v>
      </c>
      <c r="F209" t="str">
        <f ca="1"/>
        <v>20/12/2036</v>
      </c>
      <c r="G209" t="str">
        <f ca="1"/>
        <v>FIXED</v>
      </c>
      <c r="H209">
        <f ca="1"/>
        <v>2</v>
      </c>
      <c r="I209">
        <f ca="1"/>
        <v>2.2999999999999998</v>
      </c>
      <c r="J209">
        <f ca="1"/>
        <v>2.2720000000053959</v>
      </c>
      <c r="K209">
        <f ca="1"/>
        <v>2.2950000000000301</v>
      </c>
      <c r="L209">
        <f ca="1"/>
        <v>100.242</v>
      </c>
      <c r="M209">
        <f ca="1"/>
        <v>100.04300000000001</v>
      </c>
      <c r="N209" t="str">
        <f ca="1"/>
        <v>EG1252618</v>
      </c>
      <c r="O209" t="str">
        <f ca="1"/>
        <v>JP1300251715</v>
      </c>
      <c r="P209" t="str">
        <f ca="1"/>
        <v>A+</v>
      </c>
      <c r="Q209" s="3">
        <f ca="1"/>
        <v>39100</v>
      </c>
      <c r="R209" s="4">
        <f ca="1"/>
        <v>46193</v>
      </c>
      <c r="S209" s="4">
        <f ca="1"/>
        <v>10.726899383983573</v>
      </c>
      <c r="T209">
        <f ca="1"/>
        <v>100.14250000000001</v>
      </c>
      <c r="U209">
        <f ca="1"/>
        <v>114</v>
      </c>
      <c r="V209">
        <f ca="1"/>
        <v>10.5</v>
      </c>
      <c r="W209">
        <f ca="1"/>
        <v>19</v>
      </c>
      <c r="X209">
        <f ca="1"/>
        <v>1.2637362637362637</v>
      </c>
      <c r="Y209">
        <f ca="1"/>
        <v>98.87876373626375</v>
      </c>
      <c r="Z209">
        <f ca="1"/>
        <v>2.283500000002713</v>
      </c>
    </row>
    <row r="210" spans="1:26" x14ac:dyDescent="0.35">
      <c r="A210" t="str">
        <f ca="1"/>
        <v>AM850328 Corp</v>
      </c>
      <c r="B210" t="str">
        <f ca="1"/>
        <v>Japan Government Twenty Year Bond</v>
      </c>
      <c r="C210" t="str">
        <f ca="1"/>
        <v>JGB</v>
      </c>
      <c r="D210" t="str">
        <f ca="1"/>
        <v>JP</v>
      </c>
      <c r="E210" t="str">
        <f ca="1"/>
        <v>JPY</v>
      </c>
      <c r="F210" t="str">
        <f ca="1"/>
        <v>20/03/2037</v>
      </c>
      <c r="G210" t="str">
        <f ca="1"/>
        <v>FIXED</v>
      </c>
      <c r="H210">
        <f ca="1"/>
        <v>2</v>
      </c>
      <c r="I210">
        <f ca="1"/>
        <v>0.7</v>
      </c>
      <c r="J210">
        <f ca="1"/>
        <v>2.4899999999999944</v>
      </c>
      <c r="K210">
        <f ca="1"/>
        <v>2.5159999999999885</v>
      </c>
      <c r="L210">
        <f ca="1"/>
        <v>84.519000000000005</v>
      </c>
      <c r="M210">
        <f ca="1"/>
        <v>84.328999999999994</v>
      </c>
      <c r="N210" t="str">
        <f ca="1"/>
        <v>AM8503287</v>
      </c>
      <c r="O210" t="str">
        <f ca="1"/>
        <v>JP1201601H38</v>
      </c>
      <c r="P210" t="str">
        <f ca="1"/>
        <v>A+</v>
      </c>
      <c r="Q210" s="3">
        <f ca="1"/>
        <v>42808</v>
      </c>
      <c r="R210" s="4">
        <f ca="1"/>
        <v>46101</v>
      </c>
      <c r="S210" s="4">
        <f ca="1"/>
        <v>10.973305954825461</v>
      </c>
      <c r="T210">
        <f ca="1"/>
        <v>84.424000000000007</v>
      </c>
      <c r="U210">
        <f ca="1"/>
        <v>6</v>
      </c>
      <c r="V210">
        <f ca="1"/>
        <v>10.5</v>
      </c>
      <c r="W210">
        <f ca="1"/>
        <v>9</v>
      </c>
      <c r="X210">
        <f ca="1"/>
        <v>0.73461538461538456</v>
      </c>
      <c r="Y210">
        <f ca="1"/>
        <v>83.689384615384625</v>
      </c>
      <c r="Z210">
        <f ca="1"/>
        <v>2.5029999999999912</v>
      </c>
    </row>
    <row r="211" spans="1:26" x14ac:dyDescent="0.35">
      <c r="A211" t="str">
        <f ca="1"/>
        <v>EG375737 Corp</v>
      </c>
      <c r="B211" t="str">
        <f ca="1"/>
        <v>Japan Government Thirty Year Bond</v>
      </c>
      <c r="C211" t="str">
        <f ca="1"/>
        <v>JGB</v>
      </c>
      <c r="D211" t="str">
        <f ca="1"/>
        <v>JP</v>
      </c>
      <c r="E211" t="str">
        <f ca="1"/>
        <v>JPY</v>
      </c>
      <c r="F211" t="str">
        <f ca="1"/>
        <v>20/03/2037</v>
      </c>
      <c r="G211" t="str">
        <f ca="1"/>
        <v>FIXED</v>
      </c>
      <c r="H211">
        <f ca="1"/>
        <v>2</v>
      </c>
      <c r="I211">
        <f ca="1"/>
        <v>2.4</v>
      </c>
      <c r="J211">
        <f ca="1"/>
        <v>2.2869999999999973</v>
      </c>
      <c r="K211">
        <f ca="1"/>
        <v>2.3109999999999995</v>
      </c>
      <c r="L211">
        <f ca="1"/>
        <v>100.994</v>
      </c>
      <c r="M211">
        <f ca="1"/>
        <v>100.78100000000001</v>
      </c>
      <c r="N211" t="str">
        <f ca="1"/>
        <v>EG3757374</v>
      </c>
      <c r="O211" t="str">
        <f ca="1"/>
        <v>JP1300261748</v>
      </c>
      <c r="P211" t="str">
        <f ca="1"/>
        <v>A+</v>
      </c>
      <c r="Q211" s="3">
        <f ca="1"/>
        <v>39189</v>
      </c>
      <c r="R211" s="4">
        <f ca="1"/>
        <v>46101</v>
      </c>
      <c r="S211" s="4">
        <f ca="1"/>
        <v>10.973305954825461</v>
      </c>
      <c r="T211">
        <f ca="1"/>
        <v>100.8875</v>
      </c>
      <c r="U211">
        <f ca="1"/>
        <v>116</v>
      </c>
      <c r="V211">
        <f ca="1"/>
        <v>10.5</v>
      </c>
      <c r="W211">
        <f ca="1"/>
        <v>19</v>
      </c>
      <c r="X211">
        <f ca="1"/>
        <v>2.5186813186813186</v>
      </c>
      <c r="Y211">
        <f ca="1"/>
        <v>98.368818681318686</v>
      </c>
      <c r="Z211">
        <f ca="1"/>
        <v>2.2989999999999986</v>
      </c>
    </row>
    <row r="212" spans="1:26" x14ac:dyDescent="0.35">
      <c r="A212" t="str">
        <f ca="1"/>
        <v>AN958432 Corp</v>
      </c>
      <c r="B212" t="str">
        <f ca="1"/>
        <v>Japan Government Twenty Year Bond</v>
      </c>
      <c r="C212" t="str">
        <f ca="1"/>
        <v>JGB</v>
      </c>
      <c r="D212" t="str">
        <f ca="1"/>
        <v>JP</v>
      </c>
      <c r="E212" t="str">
        <f ca="1"/>
        <v>JPY</v>
      </c>
      <c r="F212" t="str">
        <f ca="1"/>
        <v>20/06/2037</v>
      </c>
      <c r="G212" t="str">
        <f ca="1"/>
        <v>FIXED</v>
      </c>
      <c r="H212">
        <f ca="1"/>
        <v>2</v>
      </c>
      <c r="I212">
        <f ca="1"/>
        <v>0.6</v>
      </c>
      <c r="J212">
        <f ca="1"/>
        <v>2.5509999999999731</v>
      </c>
      <c r="K212">
        <f ca="1"/>
        <v>2.5759999999999668</v>
      </c>
      <c r="L212">
        <f ca="1"/>
        <v>82.917000000000002</v>
      </c>
      <c r="M212">
        <f ca="1"/>
        <v>82.736000000000004</v>
      </c>
      <c r="N212" t="str">
        <f ca="1"/>
        <v>AN9584326</v>
      </c>
      <c r="O212" t="str">
        <f ca="1"/>
        <v>JP1201611H69</v>
      </c>
      <c r="P212" t="str">
        <f ca="1"/>
        <v>A+</v>
      </c>
      <c r="Q212" s="3">
        <f ca="1"/>
        <v>42899</v>
      </c>
      <c r="R212" s="4">
        <f ca="1"/>
        <v>46193</v>
      </c>
      <c r="S212" s="4">
        <f ca="1"/>
        <v>11.225188227241615</v>
      </c>
      <c r="T212">
        <f ca="1"/>
        <v>82.82650000000001</v>
      </c>
      <c r="U212">
        <f ca="1"/>
        <v>10</v>
      </c>
      <c r="V212">
        <f ca="1"/>
        <v>11</v>
      </c>
      <c r="W212">
        <f ca="1"/>
        <v>9</v>
      </c>
      <c r="X212">
        <f ca="1"/>
        <v>0.32967032967032966</v>
      </c>
      <c r="Y212">
        <f ca="1"/>
        <v>82.496829670329674</v>
      </c>
      <c r="Z212">
        <f ca="1"/>
        <v>2.5634999999999701</v>
      </c>
    </row>
    <row r="213" spans="1:26" x14ac:dyDescent="0.35">
      <c r="A213" t="str">
        <f ca="1"/>
        <v>AP155275 Corp</v>
      </c>
      <c r="B213" t="str">
        <f ca="1"/>
        <v>Japan Government Twenty Year Bond</v>
      </c>
      <c r="C213" t="str">
        <f ca="1"/>
        <v>JGB</v>
      </c>
      <c r="D213" t="str">
        <f ca="1"/>
        <v>JP</v>
      </c>
      <c r="E213" t="str">
        <f ca="1"/>
        <v>JPY</v>
      </c>
      <c r="F213" t="str">
        <f ca="1"/>
        <v>20/09/2037</v>
      </c>
      <c r="G213" t="str">
        <f ca="1"/>
        <v>FIXED</v>
      </c>
      <c r="H213">
        <f ca="1"/>
        <v>2</v>
      </c>
      <c r="I213">
        <f ca="1"/>
        <v>0.6</v>
      </c>
      <c r="J213">
        <f ca="1"/>
        <v>2.5839999999999463</v>
      </c>
      <c r="K213">
        <f ca="1"/>
        <v>2.6099999999999395</v>
      </c>
      <c r="L213">
        <f ca="1"/>
        <v>82.38</v>
      </c>
      <c r="M213">
        <f ca="1"/>
        <v>82.19</v>
      </c>
      <c r="N213" t="str">
        <f ca="1"/>
        <v>AP1552755</v>
      </c>
      <c r="O213" t="str">
        <f ca="1"/>
        <v>JP1201621H91</v>
      </c>
      <c r="P213" t="str">
        <f ca="1"/>
        <v>A+</v>
      </c>
      <c r="Q213" s="3">
        <f ca="1"/>
        <v>42992</v>
      </c>
      <c r="R213" s="4">
        <f ca="1"/>
        <v>46101</v>
      </c>
      <c r="S213" s="4">
        <f ca="1"/>
        <v>11.477070499657769</v>
      </c>
      <c r="T213">
        <f ca="1"/>
        <v>82.284999999999997</v>
      </c>
      <c r="U213">
        <f ca="1"/>
        <v>13</v>
      </c>
      <c r="V213">
        <f ca="1"/>
        <v>11</v>
      </c>
      <c r="W213">
        <f ca="1"/>
        <v>9</v>
      </c>
      <c r="X213">
        <f ca="1"/>
        <v>0.62967032967032965</v>
      </c>
      <c r="Y213">
        <f ca="1"/>
        <v>81.655329670329664</v>
      </c>
      <c r="Z213">
        <f ca="1"/>
        <v>2.5969999999999427</v>
      </c>
    </row>
    <row r="214" spans="1:26" x14ac:dyDescent="0.35">
      <c r="A214" t="str">
        <f ca="1"/>
        <v>EG938408 Corp</v>
      </c>
      <c r="B214" t="str">
        <f ca="1"/>
        <v>Japan Government Thirty Year Bond</v>
      </c>
      <c r="C214" t="str">
        <f ca="1"/>
        <v>JGB</v>
      </c>
      <c r="D214" t="str">
        <f ca="1"/>
        <v>JP</v>
      </c>
      <c r="E214" t="str">
        <f ca="1"/>
        <v>JPY</v>
      </c>
      <c r="F214" t="str">
        <f ca="1"/>
        <v>20/09/2037</v>
      </c>
      <c r="G214" t="str">
        <f ca="1"/>
        <v>FIXED</v>
      </c>
      <c r="H214">
        <f ca="1"/>
        <v>2</v>
      </c>
      <c r="I214">
        <f ca="1"/>
        <v>2.5</v>
      </c>
      <c r="J214">
        <f ca="1"/>
        <v>2.3410000000000006</v>
      </c>
      <c r="K214">
        <f ca="1"/>
        <v>2.3670000000000013</v>
      </c>
      <c r="L214">
        <f ca="1"/>
        <v>101.443</v>
      </c>
      <c r="M214">
        <f ca="1"/>
        <v>101.20399999999999</v>
      </c>
      <c r="N214" t="str">
        <f ca="1"/>
        <v>EG9384082</v>
      </c>
      <c r="O214" t="str">
        <f ca="1"/>
        <v>JP13002717A6</v>
      </c>
      <c r="P214" t="str">
        <f ca="1"/>
        <v>A+</v>
      </c>
      <c r="Q214" s="3">
        <f ca="1"/>
        <v>39371</v>
      </c>
      <c r="R214" s="4">
        <f ca="1"/>
        <v>46101</v>
      </c>
      <c r="S214" s="4">
        <f ca="1"/>
        <v>11.477070499657769</v>
      </c>
      <c r="T214">
        <f ca="1"/>
        <v>101.3235</v>
      </c>
      <c r="U214">
        <f ca="1"/>
        <v>122</v>
      </c>
      <c r="V214">
        <f ca="1"/>
        <v>11</v>
      </c>
      <c r="W214">
        <f ca="1"/>
        <v>19</v>
      </c>
      <c r="X214">
        <f ca="1"/>
        <v>2.6236263736263736</v>
      </c>
      <c r="Y214">
        <f ca="1"/>
        <v>98.699873626373616</v>
      </c>
      <c r="Z214">
        <f ca="1"/>
        <v>2.354000000000001</v>
      </c>
    </row>
    <row r="215" spans="1:26" x14ac:dyDescent="0.35">
      <c r="A215" t="str">
        <f ca="1"/>
        <v>AQ417830 Corp</v>
      </c>
      <c r="B215" t="str">
        <f ca="1"/>
        <v>Japan Government Twenty Year Bond</v>
      </c>
      <c r="C215" t="str">
        <f ca="1"/>
        <v>JGB</v>
      </c>
      <c r="D215" t="str">
        <f ca="1"/>
        <v>JP</v>
      </c>
      <c r="E215" t="str">
        <f ca="1"/>
        <v>JPY</v>
      </c>
      <c r="F215" t="str">
        <f ca="1"/>
        <v>20/12/2037</v>
      </c>
      <c r="G215" t="str">
        <f ca="1"/>
        <v>FIXED</v>
      </c>
      <c r="H215">
        <f ca="1"/>
        <v>2</v>
      </c>
      <c r="I215">
        <f ca="1"/>
        <v>0.6</v>
      </c>
      <c r="J215">
        <f ca="1"/>
        <v>2.6309999999999301</v>
      </c>
      <c r="K215">
        <f ca="1"/>
        <v>2.6549999999999248</v>
      </c>
      <c r="L215">
        <f ca="1"/>
        <v>81.741</v>
      </c>
      <c r="M215">
        <f ca="1"/>
        <v>81.564999999999998</v>
      </c>
      <c r="N215" t="str">
        <f ca="1"/>
        <v>AQ4178309</v>
      </c>
      <c r="O215" t="str">
        <f ca="1"/>
        <v>JP1201631HC6</v>
      </c>
      <c r="P215" t="str">
        <f ca="1"/>
        <v>A+</v>
      </c>
      <c r="Q215" s="3">
        <f ca="1"/>
        <v>43083</v>
      </c>
      <c r="R215" s="4">
        <f ca="1"/>
        <v>46193</v>
      </c>
      <c r="S215" s="4">
        <f ca="1"/>
        <v>11.72621492128679</v>
      </c>
      <c r="T215">
        <f ca="1"/>
        <v>81.652999999999992</v>
      </c>
      <c r="U215">
        <f ca="1"/>
        <v>16</v>
      </c>
      <c r="V215">
        <f ca="1"/>
        <v>11.5</v>
      </c>
      <c r="W215">
        <f ca="1"/>
        <v>9</v>
      </c>
      <c r="X215">
        <f ca="1"/>
        <v>0.32967032967032966</v>
      </c>
      <c r="Y215">
        <f ca="1"/>
        <v>81.323329670329656</v>
      </c>
      <c r="Z215">
        <f ca="1"/>
        <v>2.6429999999999274</v>
      </c>
    </row>
    <row r="216" spans="1:26" x14ac:dyDescent="0.35">
      <c r="A216" t="str">
        <f ca="1"/>
        <v>AR775109 Corp</v>
      </c>
      <c r="B216" t="str">
        <f ca="1"/>
        <v>Japan Government Twenty Year Bond</v>
      </c>
      <c r="C216" t="str">
        <f ca="1"/>
        <v>JGB</v>
      </c>
      <c r="D216" t="str">
        <f ca="1"/>
        <v>JP</v>
      </c>
      <c r="E216" t="str">
        <f ca="1"/>
        <v>JPY</v>
      </c>
      <c r="F216" t="str">
        <f ca="1"/>
        <v>20/03/2038</v>
      </c>
      <c r="G216" t="str">
        <f ca="1"/>
        <v>FIXED</v>
      </c>
      <c r="H216">
        <f ca="1"/>
        <v>2</v>
      </c>
      <c r="I216">
        <f ca="1"/>
        <v>0.5</v>
      </c>
      <c r="J216">
        <f ca="1"/>
        <v>2.6879999999997048</v>
      </c>
      <c r="K216">
        <f ca="1"/>
        <v>2.7129999999996688</v>
      </c>
      <c r="L216">
        <f ca="1"/>
        <v>80.12</v>
      </c>
      <c r="M216">
        <f ca="1"/>
        <v>79.938000000000002</v>
      </c>
      <c r="N216" t="str">
        <f ca="1"/>
        <v>AR7751092</v>
      </c>
      <c r="O216" t="str">
        <f ca="1"/>
        <v>JP1201641J38</v>
      </c>
      <c r="P216" t="str">
        <f ca="1"/>
        <v>A+</v>
      </c>
      <c r="Q216" s="3">
        <f ca="1"/>
        <v>43174</v>
      </c>
      <c r="R216" s="4">
        <f ca="1"/>
        <v>46101</v>
      </c>
      <c r="S216" s="4">
        <f ca="1"/>
        <v>11.972621492128679</v>
      </c>
      <c r="T216">
        <f ca="1"/>
        <v>80.028999999999996</v>
      </c>
      <c r="U216">
        <f ca="1"/>
        <v>19</v>
      </c>
      <c r="V216">
        <f ca="1"/>
        <v>11.5</v>
      </c>
      <c r="W216">
        <f ca="1"/>
        <v>8</v>
      </c>
      <c r="X216">
        <f ca="1"/>
        <v>0.52472527472527475</v>
      </c>
      <c r="Y216">
        <f ca="1"/>
        <v>79.504274725274726</v>
      </c>
      <c r="Z216">
        <f ca="1"/>
        <v>2.7004999999996868</v>
      </c>
    </row>
    <row r="217" spans="1:26" x14ac:dyDescent="0.35">
      <c r="A217" t="str">
        <f ca="1"/>
        <v>EH314693 Corp</v>
      </c>
      <c r="B217" t="str">
        <f ca="1"/>
        <v>Japan Government Thirty Year Bond</v>
      </c>
      <c r="C217" t="str">
        <f ca="1"/>
        <v>JGB</v>
      </c>
      <c r="D217" t="str">
        <f ca="1"/>
        <v>JP</v>
      </c>
      <c r="E217" t="str">
        <f ca="1"/>
        <v>JPY</v>
      </c>
      <c r="F217" t="str">
        <f ca="1"/>
        <v>20/03/2038</v>
      </c>
      <c r="G217" t="str">
        <f ca="1"/>
        <v>FIXED</v>
      </c>
      <c r="H217">
        <f ca="1"/>
        <v>2</v>
      </c>
      <c r="I217">
        <f ca="1"/>
        <v>2.5</v>
      </c>
      <c r="J217">
        <f ca="1"/>
        <v>2.4029999999999996</v>
      </c>
      <c r="K217">
        <f ca="1"/>
        <v>2.4290000000000007</v>
      </c>
      <c r="L217">
        <f ca="1"/>
        <v>100.904</v>
      </c>
      <c r="M217">
        <f ca="1"/>
        <v>100.66</v>
      </c>
      <c r="N217" t="str">
        <f ca="1"/>
        <v>EH3146931</v>
      </c>
      <c r="O217" t="str">
        <f ca="1"/>
        <v>JP1300281845</v>
      </c>
      <c r="P217" t="str">
        <f ca="1"/>
        <v>A+</v>
      </c>
      <c r="Q217" s="3">
        <f ca="1"/>
        <v>39553</v>
      </c>
      <c r="R217" s="4">
        <f ca="1"/>
        <v>46101</v>
      </c>
      <c r="S217" s="4">
        <f ca="1"/>
        <v>11.972621492128679</v>
      </c>
      <c r="T217">
        <f ca="1"/>
        <v>100.782</v>
      </c>
      <c r="U217">
        <f ca="1"/>
        <v>126</v>
      </c>
      <c r="V217">
        <f ca="1"/>
        <v>11.5</v>
      </c>
      <c r="W217">
        <f ca="1"/>
        <v>18</v>
      </c>
      <c r="X217">
        <f ca="1"/>
        <v>2.6236263736263736</v>
      </c>
      <c r="Y217">
        <f ca="1"/>
        <v>98.158373626373617</v>
      </c>
      <c r="Z217">
        <f ca="1"/>
        <v>2.4160000000000004</v>
      </c>
    </row>
    <row r="218" spans="1:26" x14ac:dyDescent="0.35">
      <c r="A218" t="str">
        <f ca="1"/>
        <v>AT578853 Corp</v>
      </c>
      <c r="B218" t="str">
        <f ca="1"/>
        <v>Japan Government Twenty Year Bond</v>
      </c>
      <c r="C218" t="str">
        <f ca="1"/>
        <v>JGB</v>
      </c>
      <c r="D218" t="str">
        <f ca="1"/>
        <v>JP</v>
      </c>
      <c r="E218" t="str">
        <f ca="1"/>
        <v>JPY</v>
      </c>
      <c r="F218" t="str">
        <f ca="1"/>
        <v>20/06/2038</v>
      </c>
      <c r="G218" t="str">
        <f ca="1"/>
        <v>FIXED</v>
      </c>
      <c r="H218">
        <f ca="1"/>
        <v>2</v>
      </c>
      <c r="I218">
        <f ca="1"/>
        <v>0.5</v>
      </c>
      <c r="J218">
        <f ca="1"/>
        <v>2.7289999999996502</v>
      </c>
      <c r="K218">
        <f ca="1"/>
        <v>2.7549999999996064</v>
      </c>
      <c r="L218">
        <f ca="1"/>
        <v>79.504999999999995</v>
      </c>
      <c r="M218">
        <f ca="1"/>
        <v>79.316000000000003</v>
      </c>
      <c r="N218" t="str">
        <f ca="1"/>
        <v>AT5788530</v>
      </c>
      <c r="O218" t="str">
        <f ca="1"/>
        <v>JP1201651J76</v>
      </c>
      <c r="P218" t="str">
        <f ca="1"/>
        <v>A+</v>
      </c>
      <c r="Q218" s="3">
        <f ca="1"/>
        <v>43293</v>
      </c>
      <c r="R218" s="4">
        <f ca="1"/>
        <v>46193</v>
      </c>
      <c r="S218" s="4">
        <f ca="1"/>
        <v>12.224503764544833</v>
      </c>
      <c r="T218">
        <f ca="1"/>
        <v>79.410499999999999</v>
      </c>
      <c r="U218">
        <f ca="1"/>
        <v>23</v>
      </c>
      <c r="V218">
        <f ca="1"/>
        <v>12</v>
      </c>
      <c r="W218">
        <f ca="1"/>
        <v>8</v>
      </c>
      <c r="X218">
        <f ca="1"/>
        <v>0.27472527472527475</v>
      </c>
      <c r="Y218">
        <f ca="1"/>
        <v>79.135774725274729</v>
      </c>
      <c r="Z218">
        <f ca="1"/>
        <v>2.7419999999996283</v>
      </c>
    </row>
    <row r="219" spans="1:26" x14ac:dyDescent="0.35">
      <c r="A219" t="str">
        <f ca="1"/>
        <v>AV122750 Corp</v>
      </c>
      <c r="B219" t="str">
        <f ca="1"/>
        <v>Japan Government Twenty Year Bond</v>
      </c>
      <c r="C219" t="str">
        <f ca="1"/>
        <v>JGB</v>
      </c>
      <c r="D219" t="str">
        <f ca="1"/>
        <v>JP</v>
      </c>
      <c r="E219" t="str">
        <f ca="1"/>
        <v>JPY</v>
      </c>
      <c r="F219" t="str">
        <f ca="1"/>
        <v>20/09/2038</v>
      </c>
      <c r="G219" t="str">
        <f ca="1"/>
        <v>FIXED</v>
      </c>
      <c r="H219">
        <f ca="1"/>
        <v>2</v>
      </c>
      <c r="I219">
        <f ca="1"/>
        <v>0.7</v>
      </c>
      <c r="J219">
        <f ca="1"/>
        <v>2.737999999999873</v>
      </c>
      <c r="K219">
        <f ca="1"/>
        <v>2.7629999999998556</v>
      </c>
      <c r="L219">
        <f ca="1"/>
        <v>80.991</v>
      </c>
      <c r="M219">
        <f ca="1"/>
        <v>80.802000000000007</v>
      </c>
      <c r="N219" t="str">
        <f ca="1"/>
        <v>AV1227504</v>
      </c>
      <c r="O219" t="str">
        <f ca="1"/>
        <v>JP1201661JA3</v>
      </c>
      <c r="P219" t="str">
        <f ca="1"/>
        <v>A+</v>
      </c>
      <c r="Q219" s="3">
        <f ca="1"/>
        <v>43391</v>
      </c>
      <c r="R219" s="4">
        <f ca="1"/>
        <v>46101</v>
      </c>
      <c r="S219" s="4">
        <f ca="1"/>
        <v>12.476386036960985</v>
      </c>
      <c r="T219">
        <f ca="1"/>
        <v>80.896500000000003</v>
      </c>
      <c r="U219">
        <f ca="1"/>
        <v>26</v>
      </c>
      <c r="V219">
        <f ca="1"/>
        <v>12</v>
      </c>
      <c r="W219">
        <f ca="1"/>
        <v>8</v>
      </c>
      <c r="X219">
        <f ca="1"/>
        <v>0.73461538461538456</v>
      </c>
      <c r="Y219">
        <f ca="1"/>
        <v>80.161884615384622</v>
      </c>
      <c r="Z219">
        <f ca="1"/>
        <v>2.7504999999998643</v>
      </c>
    </row>
    <row r="220" spans="1:26" x14ac:dyDescent="0.35">
      <c r="A220" t="str">
        <f ca="1"/>
        <v>EH598545 Corp</v>
      </c>
      <c r="B220" t="str">
        <f ca="1"/>
        <v>Japan Government Thirty Year Bond</v>
      </c>
      <c r="C220" t="str">
        <f ca="1"/>
        <v>JGB</v>
      </c>
      <c r="D220" t="str">
        <f ca="1"/>
        <v>JP</v>
      </c>
      <c r="E220" t="str">
        <f ca="1"/>
        <v>JPY</v>
      </c>
      <c r="F220" t="str">
        <f ca="1"/>
        <v>20/09/2038</v>
      </c>
      <c r="G220" t="str">
        <f ca="1"/>
        <v>FIXED</v>
      </c>
      <c r="H220">
        <f ca="1"/>
        <v>2</v>
      </c>
      <c r="I220">
        <f ca="1"/>
        <v>2.4</v>
      </c>
      <c r="J220">
        <f ca="1"/>
        <v>2.4790000000000028</v>
      </c>
      <c r="K220">
        <f ca="1"/>
        <v>2.504999999999999</v>
      </c>
      <c r="L220">
        <f ca="1"/>
        <v>99.244</v>
      </c>
      <c r="M220">
        <f ca="1"/>
        <v>98.998000000000005</v>
      </c>
      <c r="N220" t="str">
        <f ca="1"/>
        <v>EH5985450</v>
      </c>
      <c r="O220" t="str">
        <f ca="1"/>
        <v>JP13002918A0</v>
      </c>
      <c r="P220" t="str">
        <f ca="1"/>
        <v>A+</v>
      </c>
      <c r="Q220" s="3">
        <f ca="1"/>
        <v>39742</v>
      </c>
      <c r="R220" s="4">
        <f ca="1"/>
        <v>46101</v>
      </c>
      <c r="S220" s="4">
        <f ca="1"/>
        <v>12.476386036960985</v>
      </c>
      <c r="T220">
        <f ca="1"/>
        <v>99.121000000000009</v>
      </c>
      <c r="U220">
        <f ca="1"/>
        <v>132</v>
      </c>
      <c r="V220">
        <f ca="1"/>
        <v>12</v>
      </c>
      <c r="W220">
        <f ca="1"/>
        <v>18</v>
      </c>
      <c r="X220">
        <f ca="1"/>
        <v>2.5186813186813186</v>
      </c>
      <c r="Y220">
        <f ca="1"/>
        <v>96.602318681318692</v>
      </c>
      <c r="Z220">
        <f ca="1"/>
        <v>2.4920000000000009</v>
      </c>
    </row>
    <row r="221" spans="1:26" x14ac:dyDescent="0.35">
      <c r="A221" t="str">
        <f ca="1"/>
        <v>AW892884 Corp</v>
      </c>
      <c r="B221" t="str">
        <f ca="1"/>
        <v>Japan Government Twenty Year Bond</v>
      </c>
      <c r="C221" t="str">
        <f ca="1"/>
        <v>JGB</v>
      </c>
      <c r="D221" t="str">
        <f ca="1"/>
        <v>JP</v>
      </c>
      <c r="E221" t="str">
        <f ca="1"/>
        <v>JPY</v>
      </c>
      <c r="F221" t="str">
        <f ca="1"/>
        <v>20/12/2038</v>
      </c>
      <c r="G221" t="str">
        <f ca="1"/>
        <v>FIXED</v>
      </c>
      <c r="H221">
        <f ca="1"/>
        <v>2</v>
      </c>
      <c r="I221">
        <f ca="1"/>
        <v>0.5</v>
      </c>
      <c r="J221">
        <f ca="1"/>
        <v>2.811999999999228</v>
      </c>
      <c r="K221">
        <f ca="1"/>
        <v>2.8369999999991373</v>
      </c>
      <c r="L221">
        <f ca="1"/>
        <v>78.269000000000005</v>
      </c>
      <c r="M221">
        <f ca="1"/>
        <v>78.085999999999999</v>
      </c>
      <c r="N221" t="str">
        <f ca="1"/>
        <v>AW8928847</v>
      </c>
      <c r="O221" t="str">
        <f ca="1"/>
        <v>JP1201671K12</v>
      </c>
      <c r="P221" t="str">
        <f ca="1"/>
        <v>A+</v>
      </c>
      <c r="Q221" s="3">
        <f ca="1"/>
        <v>43489</v>
      </c>
      <c r="R221" s="4">
        <f ca="1"/>
        <v>46193</v>
      </c>
      <c r="S221" s="4">
        <f ca="1"/>
        <v>12.725530458590006</v>
      </c>
      <c r="T221">
        <f ca="1"/>
        <v>78.177500000000009</v>
      </c>
      <c r="U221">
        <f ca="1"/>
        <v>29</v>
      </c>
      <c r="V221">
        <f ca="1"/>
        <v>12.5</v>
      </c>
      <c r="W221">
        <f ca="1"/>
        <v>7</v>
      </c>
      <c r="X221">
        <f ca="1"/>
        <v>0.27472527472527475</v>
      </c>
      <c r="Y221">
        <f ca="1"/>
        <v>77.902774725274739</v>
      </c>
      <c r="Z221">
        <f ca="1"/>
        <v>2.8244999999991824</v>
      </c>
    </row>
    <row r="222" spans="1:26" x14ac:dyDescent="0.35">
      <c r="A222" t="str">
        <f ca="1"/>
        <v>EH791118 Corp</v>
      </c>
      <c r="B222" t="str">
        <f ca="1"/>
        <v>Japan Government Thirty Year Bond</v>
      </c>
      <c r="C222" t="str">
        <f ca="1"/>
        <v>JGB</v>
      </c>
      <c r="D222" t="str">
        <f ca="1"/>
        <v>JP</v>
      </c>
      <c r="E222" t="str">
        <f ca="1"/>
        <v>JPY</v>
      </c>
      <c r="F222" t="str">
        <f ca="1"/>
        <v>20/03/2039</v>
      </c>
      <c r="G222" t="str">
        <f ca="1"/>
        <v>FIXED</v>
      </c>
      <c r="H222">
        <f ca="1"/>
        <v>2</v>
      </c>
      <c r="I222">
        <f ca="1"/>
        <v>2.2999999999999998</v>
      </c>
      <c r="J222">
        <f ca="1"/>
        <v>2.5519999999999796</v>
      </c>
      <c r="K222">
        <f ca="1"/>
        <v>2.5789999999999669</v>
      </c>
      <c r="L222">
        <f ca="1"/>
        <v>97.536000000000001</v>
      </c>
      <c r="M222">
        <f ca="1"/>
        <v>97.28</v>
      </c>
      <c r="N222" t="str">
        <f ca="1"/>
        <v>EH7911181</v>
      </c>
      <c r="O222" t="str">
        <f ca="1"/>
        <v>JP1300301940</v>
      </c>
      <c r="P222" t="str">
        <f ca="1"/>
        <v>A+</v>
      </c>
      <c r="Q222" s="3">
        <f ca="1"/>
        <v>39917</v>
      </c>
      <c r="R222" s="4">
        <f ca="1"/>
        <v>46101</v>
      </c>
      <c r="S222" s="4">
        <f ca="1"/>
        <v>12.971937029431896</v>
      </c>
      <c r="T222">
        <f ca="1"/>
        <v>97.408000000000001</v>
      </c>
      <c r="U222">
        <f ca="1"/>
        <v>137</v>
      </c>
      <c r="V222">
        <f ca="1"/>
        <v>12.5</v>
      </c>
      <c r="W222">
        <f ca="1"/>
        <v>17</v>
      </c>
      <c r="X222">
        <f ca="1"/>
        <v>2.4137362637362636</v>
      </c>
      <c r="Y222">
        <f ca="1"/>
        <v>94.994263736263733</v>
      </c>
      <c r="Z222">
        <f ca="1"/>
        <v>2.5654999999999735</v>
      </c>
    </row>
    <row r="223" spans="1:26" x14ac:dyDescent="0.35">
      <c r="A223" t="str">
        <f ca="1"/>
        <v>ZS214186 Corp</v>
      </c>
      <c r="B223" t="str">
        <f ca="1"/>
        <v>Japan Government Twenty Year Bond</v>
      </c>
      <c r="C223" t="str">
        <f ca="1"/>
        <v>JGB</v>
      </c>
      <c r="D223" t="str">
        <f ca="1"/>
        <v>JP</v>
      </c>
      <c r="E223" t="str">
        <f ca="1"/>
        <v>JPY</v>
      </c>
      <c r="F223" t="str">
        <f ca="1"/>
        <v>20/03/2039</v>
      </c>
      <c r="G223" t="str">
        <f ca="1"/>
        <v>FIXED</v>
      </c>
      <c r="H223">
        <f ca="1"/>
        <v>2</v>
      </c>
      <c r="I223">
        <f ca="1"/>
        <v>0.4</v>
      </c>
      <c r="J223">
        <f ca="1"/>
        <v>2.8679999999969943</v>
      </c>
      <c r="K223">
        <f ca="1"/>
        <v>2.8949999999966343</v>
      </c>
      <c r="L223">
        <f ca="1"/>
        <v>76.599999999999994</v>
      </c>
      <c r="M223">
        <f ca="1"/>
        <v>76.405000000000001</v>
      </c>
      <c r="N223" t="str">
        <f ca="1"/>
        <v>ZS2141860</v>
      </c>
      <c r="O223" t="str">
        <f ca="1"/>
        <v>JP1201681K44</v>
      </c>
      <c r="P223" t="str">
        <f ca="1"/>
        <v>A+</v>
      </c>
      <c r="Q223" s="3">
        <f ca="1"/>
        <v>43571</v>
      </c>
      <c r="R223" s="4">
        <f ca="1"/>
        <v>46101</v>
      </c>
      <c r="S223" s="4">
        <f ca="1"/>
        <v>12.971937029431896</v>
      </c>
      <c r="T223">
        <f ca="1"/>
        <v>76.502499999999998</v>
      </c>
      <c r="U223">
        <f ca="1"/>
        <v>325</v>
      </c>
      <c r="V223">
        <f ca="1"/>
        <v>12.5</v>
      </c>
      <c r="W223">
        <f ca="1"/>
        <v>7</v>
      </c>
      <c r="X223">
        <f ca="1"/>
        <v>0.41978021978021984</v>
      </c>
      <c r="Y223">
        <f ca="1"/>
        <v>76.082719780219776</v>
      </c>
      <c r="Z223">
        <f ca="1"/>
        <v>2.8814999999968141</v>
      </c>
    </row>
    <row r="224" spans="1:26" x14ac:dyDescent="0.35">
      <c r="A224" t="str">
        <f ca="1"/>
        <v>AZ694472 Corp</v>
      </c>
      <c r="B224" t="str">
        <f ca="1"/>
        <v>Japan Government Twenty Year Bond</v>
      </c>
      <c r="C224" t="str">
        <f ca="1"/>
        <v>JGB</v>
      </c>
      <c r="D224" t="str">
        <f ca="1"/>
        <v>JP</v>
      </c>
      <c r="E224" t="str">
        <f ca="1"/>
        <v>JPY</v>
      </c>
      <c r="F224" t="str">
        <f ca="1"/>
        <v>20/06/2039</v>
      </c>
      <c r="G224" t="str">
        <f ca="1"/>
        <v>FIXED</v>
      </c>
      <c r="H224">
        <f ca="1"/>
        <v>2</v>
      </c>
      <c r="I224">
        <f ca="1"/>
        <v>0.3</v>
      </c>
      <c r="J224">
        <f ca="1"/>
        <v>2.9409999999920133</v>
      </c>
      <c r="K224">
        <f ca="1"/>
        <v>2.965999999991189</v>
      </c>
      <c r="L224">
        <f ca="1"/>
        <v>74.786000000000001</v>
      </c>
      <c r="M224">
        <f ca="1"/>
        <v>74.608000000000004</v>
      </c>
      <c r="N224" t="str">
        <f ca="1"/>
        <v>AZ6944724</v>
      </c>
      <c r="O224" t="str">
        <f ca="1"/>
        <v>JP1201691K75</v>
      </c>
      <c r="P224" t="str">
        <f ca="1"/>
        <v>A+</v>
      </c>
      <c r="Q224" s="3">
        <f ca="1"/>
        <v>43663</v>
      </c>
      <c r="R224" s="4">
        <f ca="1"/>
        <v>46193</v>
      </c>
      <c r="S224" s="4">
        <f ca="1"/>
        <v>13.223819301848049</v>
      </c>
      <c r="T224">
        <f ca="1"/>
        <v>74.697000000000003</v>
      </c>
      <c r="U224">
        <f ca="1"/>
        <v>33</v>
      </c>
      <c r="V224">
        <f ca="1"/>
        <v>13</v>
      </c>
      <c r="W224">
        <f ca="1"/>
        <v>7</v>
      </c>
      <c r="X224">
        <f ca="1"/>
        <v>0.16483516483516483</v>
      </c>
      <c r="Y224">
        <f ca="1"/>
        <v>74.532164835164835</v>
      </c>
      <c r="Z224">
        <f ca="1"/>
        <v>2.9534999999916014</v>
      </c>
    </row>
    <row r="225" spans="1:26" x14ac:dyDescent="0.35">
      <c r="A225" t="str">
        <f ca="1"/>
        <v>EI004805 Corp</v>
      </c>
      <c r="B225" t="str">
        <f ca="1"/>
        <v>Japan Government Thirty Year Bond</v>
      </c>
      <c r="C225" t="str">
        <f ca="1"/>
        <v>JGB</v>
      </c>
      <c r="D225" t="str">
        <f ca="1"/>
        <v>JP</v>
      </c>
      <c r="E225" t="str">
        <f ca="1"/>
        <v>JPY</v>
      </c>
      <c r="F225" t="str">
        <f ca="1"/>
        <v>20/09/2039</v>
      </c>
      <c r="G225" t="str">
        <f ca="1"/>
        <v>FIXED</v>
      </c>
      <c r="H225">
        <f ca="1"/>
        <v>2</v>
      </c>
      <c r="I225">
        <f ca="1"/>
        <v>2.2000000000000002</v>
      </c>
      <c r="J225">
        <f ca="1"/>
        <v>2.6299999999995434</v>
      </c>
      <c r="K225">
        <f ca="1"/>
        <v>2.656999999999361</v>
      </c>
      <c r="L225">
        <f ca="1"/>
        <v>95.709000000000003</v>
      </c>
      <c r="M225">
        <f ca="1"/>
        <v>95.451999999999998</v>
      </c>
      <c r="N225" t="str">
        <f ca="1"/>
        <v>EI0048054</v>
      </c>
      <c r="O225" t="str">
        <f ca="1"/>
        <v>JP13003119A4</v>
      </c>
      <c r="P225" t="str">
        <f ca="1"/>
        <v>A+</v>
      </c>
      <c r="Q225" s="3">
        <f ca="1"/>
        <v>40094</v>
      </c>
      <c r="R225" s="4">
        <f ca="1"/>
        <v>46101</v>
      </c>
      <c r="S225" s="4">
        <f ca="1"/>
        <v>13.475701574264203</v>
      </c>
      <c r="T225">
        <f ca="1"/>
        <v>95.580500000000001</v>
      </c>
      <c r="U225">
        <f ca="1"/>
        <v>143</v>
      </c>
      <c r="V225">
        <f ca="1"/>
        <v>13</v>
      </c>
      <c r="W225">
        <f ca="1"/>
        <v>17</v>
      </c>
      <c r="X225">
        <f ca="1"/>
        <v>2.308791208791209</v>
      </c>
      <c r="Y225">
        <f ca="1"/>
        <v>93.271708791208795</v>
      </c>
      <c r="Z225">
        <f ca="1"/>
        <v>2.6434999999994524</v>
      </c>
    </row>
    <row r="226" spans="1:26" x14ac:dyDescent="0.35">
      <c r="A226" t="str">
        <f ca="1"/>
        <v>ZQ278992 Corp</v>
      </c>
      <c r="B226" t="str">
        <f ca="1"/>
        <v>Japan Government Twenty Year Bond</v>
      </c>
      <c r="C226" t="str">
        <f ca="1"/>
        <v>JGB</v>
      </c>
      <c r="D226" t="str">
        <f ca="1"/>
        <v>JP</v>
      </c>
      <c r="E226" t="str">
        <f ca="1"/>
        <v>JPY</v>
      </c>
      <c r="F226" t="str">
        <f ca="1"/>
        <v>20/09/2039</v>
      </c>
      <c r="G226" t="str">
        <f ca="1"/>
        <v>FIXED</v>
      </c>
      <c r="H226">
        <f ca="1"/>
        <v>2</v>
      </c>
      <c r="I226">
        <f ca="1"/>
        <v>0.3</v>
      </c>
      <c r="J226">
        <f ca="1"/>
        <v>2.9849999999859871</v>
      </c>
      <c r="K226">
        <f ca="1"/>
        <v>3.0109999999845116</v>
      </c>
      <c r="L226">
        <f ca="1"/>
        <v>74.128</v>
      </c>
      <c r="M226">
        <f ca="1"/>
        <v>73.942999999999998</v>
      </c>
      <c r="N226" t="str">
        <f ca="1"/>
        <v>ZQ2789928</v>
      </c>
      <c r="O226" t="str">
        <f ca="1"/>
        <v>JP1201701KA5</v>
      </c>
      <c r="P226" t="str">
        <f ca="1"/>
        <v>A+</v>
      </c>
      <c r="Q226" s="3">
        <f ca="1"/>
        <v>43762</v>
      </c>
      <c r="R226" s="4">
        <f ca="1"/>
        <v>46101</v>
      </c>
      <c r="S226" s="4">
        <f ca="1"/>
        <v>13.475701574264203</v>
      </c>
      <c r="T226">
        <f ca="1"/>
        <v>74.035499999999999</v>
      </c>
      <c r="U226">
        <f ca="1"/>
        <v>322</v>
      </c>
      <c r="V226">
        <f ca="1"/>
        <v>13</v>
      </c>
      <c r="W226">
        <f ca="1"/>
        <v>7</v>
      </c>
      <c r="X226">
        <f ca="1"/>
        <v>0.31483516483516483</v>
      </c>
      <c r="Y226">
        <f ca="1"/>
        <v>73.72066483516484</v>
      </c>
      <c r="Z226">
        <f ca="1"/>
        <v>2.9979999999852494</v>
      </c>
    </row>
    <row r="227" spans="1:26" x14ac:dyDescent="0.35">
      <c r="A227" t="str">
        <f ca="1"/>
        <v>ZP562354 Corp</v>
      </c>
      <c r="B227" t="str">
        <f ca="1"/>
        <v>Japan Government Twenty Year Bond</v>
      </c>
      <c r="C227" t="str">
        <f ca="1"/>
        <v>JGB</v>
      </c>
      <c r="D227" t="str">
        <f ca="1"/>
        <v>JP</v>
      </c>
      <c r="E227" t="str">
        <f ca="1"/>
        <v>JPY</v>
      </c>
      <c r="F227" t="str">
        <f ca="1"/>
        <v>20/12/2039</v>
      </c>
      <c r="G227" t="str">
        <f ca="1"/>
        <v>FIXED</v>
      </c>
      <c r="H227">
        <f ca="1"/>
        <v>2</v>
      </c>
      <c r="I227">
        <f ca="1"/>
        <v>0.3</v>
      </c>
      <c r="J227">
        <f ca="1"/>
        <v>3.0269999999836164</v>
      </c>
      <c r="K227">
        <f ca="1"/>
        <v>3.0529999999819166</v>
      </c>
      <c r="L227">
        <f ca="1"/>
        <v>73.489000000000004</v>
      </c>
      <c r="M227">
        <f ca="1"/>
        <v>73.302999999999997</v>
      </c>
      <c r="N227" t="str">
        <f ca="1"/>
        <v>ZP5623548</v>
      </c>
      <c r="O227" t="str">
        <f ca="1"/>
        <v>JP1201711L13</v>
      </c>
      <c r="P227" t="str">
        <f ca="1"/>
        <v>A+</v>
      </c>
      <c r="Q227" s="3">
        <f ca="1"/>
        <v>43840</v>
      </c>
      <c r="R227" s="4">
        <f ca="1"/>
        <v>46193</v>
      </c>
      <c r="S227" s="4">
        <f ca="1"/>
        <v>13.724845995893224</v>
      </c>
      <c r="T227">
        <f ca="1"/>
        <v>73.396000000000001</v>
      </c>
      <c r="U227">
        <f ca="1"/>
        <v>320</v>
      </c>
      <c r="V227">
        <f ca="1"/>
        <v>13.5</v>
      </c>
      <c r="W227">
        <f ca="1"/>
        <v>6</v>
      </c>
      <c r="X227">
        <f ca="1"/>
        <v>0.16483516483516483</v>
      </c>
      <c r="Y227">
        <f ca="1"/>
        <v>73.231164835164833</v>
      </c>
      <c r="Z227">
        <f ca="1"/>
        <v>3.0399999999827667</v>
      </c>
    </row>
    <row r="228" spans="1:26" x14ac:dyDescent="0.35">
      <c r="A228" t="str">
        <f ca="1"/>
        <v>BI018471 Corp</v>
      </c>
      <c r="B228" t="str">
        <f ca="1"/>
        <v>Japan Government Twenty Year Bond</v>
      </c>
      <c r="C228" t="str">
        <f ca="1"/>
        <v>JGB</v>
      </c>
      <c r="D228" t="str">
        <f ca="1"/>
        <v>JP</v>
      </c>
      <c r="E228" t="str">
        <f ca="1"/>
        <v>JPY</v>
      </c>
      <c r="F228" t="str">
        <f ca="1"/>
        <v>20/03/2040</v>
      </c>
      <c r="G228" t="str">
        <f ca="1"/>
        <v>FIXED</v>
      </c>
      <c r="H228">
        <f ca="1"/>
        <v>2</v>
      </c>
      <c r="I228">
        <f ca="1"/>
        <v>0.4</v>
      </c>
      <c r="J228">
        <f ca="1"/>
        <v>3.0449999999871498</v>
      </c>
      <c r="K228">
        <f ca="1"/>
        <v>3.070999999985784</v>
      </c>
      <c r="L228">
        <f ca="1"/>
        <v>74.009</v>
      </c>
      <c r="M228">
        <f ca="1"/>
        <v>73.819999999999993</v>
      </c>
      <c r="N228" t="str">
        <f ca="1"/>
        <v>BI0184712</v>
      </c>
      <c r="O228" t="str">
        <f ca="1"/>
        <v>JP1201721L45</v>
      </c>
      <c r="P228" t="str">
        <f ca="1"/>
        <v>A+</v>
      </c>
      <c r="Q228" s="3">
        <f ca="1"/>
        <v>43935</v>
      </c>
      <c r="R228" s="4">
        <f ca="1"/>
        <v>46101</v>
      </c>
      <c r="S228" s="4">
        <f ca="1"/>
        <v>13.973990417522245</v>
      </c>
      <c r="T228">
        <f ca="1"/>
        <v>73.914500000000004</v>
      </c>
      <c r="U228">
        <f ca="1"/>
        <v>36</v>
      </c>
      <c r="V228">
        <f ca="1"/>
        <v>13.5</v>
      </c>
      <c r="W228">
        <f ca="1"/>
        <v>6</v>
      </c>
      <c r="X228">
        <f ca="1"/>
        <v>0.41978021978021984</v>
      </c>
      <c r="Y228">
        <f ca="1"/>
        <v>73.494719780219782</v>
      </c>
      <c r="Z228">
        <f ca="1"/>
        <v>3.0579999999864667</v>
      </c>
    </row>
    <row r="229" spans="1:26" x14ac:dyDescent="0.35">
      <c r="A229" t="str">
        <f ca="1"/>
        <v>EI181923 Corp</v>
      </c>
      <c r="B229" t="str">
        <f ca="1"/>
        <v>Japan Government Thirty Year Bond</v>
      </c>
      <c r="C229" t="str">
        <f ca="1"/>
        <v>JGB</v>
      </c>
      <c r="D229" t="str">
        <f ca="1"/>
        <v>JP</v>
      </c>
      <c r="E229" t="str">
        <f ca="1"/>
        <v>JPY</v>
      </c>
      <c r="F229" t="str">
        <f ca="1"/>
        <v>20/03/2040</v>
      </c>
      <c r="G229" t="str">
        <f ca="1"/>
        <v>FIXED</v>
      </c>
      <c r="H229">
        <f ca="1"/>
        <v>2</v>
      </c>
      <c r="I229">
        <f ca="1"/>
        <v>2.2999999999999998</v>
      </c>
      <c r="J229">
        <f ca="1"/>
        <v>2.6679999999997985</v>
      </c>
      <c r="K229">
        <f ca="1"/>
        <v>2.6919999999997208</v>
      </c>
      <c r="L229">
        <f ca="1"/>
        <v>96.244</v>
      </c>
      <c r="M229">
        <f ca="1"/>
        <v>96.009</v>
      </c>
      <c r="N229" t="str">
        <f ca="1"/>
        <v>EI1819230</v>
      </c>
      <c r="O229" t="str">
        <f ca="1"/>
        <v>JP1300321A34</v>
      </c>
      <c r="P229" t="str">
        <f ca="1"/>
        <v>A+</v>
      </c>
      <c r="Q229" s="3">
        <f ca="1"/>
        <v>40246</v>
      </c>
      <c r="R229" s="4">
        <f ca="1"/>
        <v>46101</v>
      </c>
      <c r="S229" s="4">
        <f ca="1"/>
        <v>13.973990417522245</v>
      </c>
      <c r="T229">
        <f ca="1"/>
        <v>96.126499999999993</v>
      </c>
      <c r="U229">
        <f ca="1"/>
        <v>146</v>
      </c>
      <c r="V229">
        <f ca="1"/>
        <v>13.5</v>
      </c>
      <c r="W229">
        <f ca="1"/>
        <v>16</v>
      </c>
      <c r="X229">
        <f ca="1"/>
        <v>2.4137362637362636</v>
      </c>
      <c r="Y229">
        <f ca="1"/>
        <v>93.712763736263724</v>
      </c>
      <c r="Z229">
        <f ca="1"/>
        <v>2.6799999999997599</v>
      </c>
    </row>
    <row r="230" spans="1:26" x14ac:dyDescent="0.35">
      <c r="A230" t="str">
        <f ca="1"/>
        <v>BK594564 Corp</v>
      </c>
      <c r="B230" t="str">
        <f ca="1"/>
        <v>Japan Government Twenty Year Bond</v>
      </c>
      <c r="C230" t="str">
        <f ca="1"/>
        <v>JGB</v>
      </c>
      <c r="D230" t="str">
        <f ca="1"/>
        <v>JP</v>
      </c>
      <c r="E230" t="str">
        <f ca="1"/>
        <v>JPY</v>
      </c>
      <c r="F230" t="str">
        <f ca="1"/>
        <v>20/06/2040</v>
      </c>
      <c r="G230" t="str">
        <f ca="1"/>
        <v>FIXED</v>
      </c>
      <c r="H230">
        <f ca="1"/>
        <v>2</v>
      </c>
      <c r="I230">
        <f ca="1"/>
        <v>0.4</v>
      </c>
      <c r="J230">
        <f ca="1"/>
        <v>3.0809999999853628</v>
      </c>
      <c r="K230">
        <f ca="1"/>
        <v>3.1049999999839488</v>
      </c>
      <c r="L230">
        <f ca="1"/>
        <v>73.42</v>
      </c>
      <c r="M230">
        <f ca="1"/>
        <v>73.245999999999995</v>
      </c>
      <c r="N230" t="str">
        <f ca="1"/>
        <v>BK5945641</v>
      </c>
      <c r="O230" t="str">
        <f ca="1"/>
        <v>JP1201731L76</v>
      </c>
      <c r="P230" t="str">
        <f ca="1"/>
        <v>A+</v>
      </c>
      <c r="Q230" s="3">
        <f ca="1"/>
        <v>44026</v>
      </c>
      <c r="R230" s="4">
        <f ca="1"/>
        <v>46193</v>
      </c>
      <c r="S230" s="4">
        <f ca="1"/>
        <v>14.225872689938399</v>
      </c>
      <c r="T230">
        <f ca="1"/>
        <v>73.332999999999998</v>
      </c>
      <c r="U230">
        <f ca="1"/>
        <v>40</v>
      </c>
      <c r="V230">
        <f ca="1"/>
        <v>14</v>
      </c>
      <c r="W230">
        <f ca="1"/>
        <v>6</v>
      </c>
      <c r="X230">
        <f ca="1"/>
        <v>0.2197802197802198</v>
      </c>
      <c r="Y230">
        <f ca="1"/>
        <v>73.113219780219779</v>
      </c>
      <c r="Z230">
        <f ca="1"/>
        <v>3.0929999999846558</v>
      </c>
    </row>
    <row r="231" spans="1:26" x14ac:dyDescent="0.35">
      <c r="A231" t="str">
        <f ca="1"/>
        <v>BM027946 Corp</v>
      </c>
      <c r="B231" t="str">
        <f ca="1"/>
        <v>Japan Government Twenty Year Bond</v>
      </c>
      <c r="C231" t="str">
        <f ca="1"/>
        <v>JGB</v>
      </c>
      <c r="D231" t="str">
        <f ca="1"/>
        <v>JP</v>
      </c>
      <c r="E231" t="str">
        <f ca="1"/>
        <v>JPY</v>
      </c>
      <c r="F231" t="str">
        <f ca="1"/>
        <v>20/09/2040</v>
      </c>
      <c r="G231" t="str">
        <f ca="1"/>
        <v>FIXED</v>
      </c>
      <c r="H231">
        <f ca="1"/>
        <v>2</v>
      </c>
      <c r="I231">
        <f ca="1"/>
        <v>0.4</v>
      </c>
      <c r="J231">
        <f ca="1"/>
        <v>3.1179999999760488</v>
      </c>
      <c r="K231">
        <f ca="1"/>
        <v>3.143999999973583</v>
      </c>
      <c r="L231">
        <f ca="1"/>
        <v>72.825000000000003</v>
      </c>
      <c r="M231">
        <f ca="1"/>
        <v>72.637</v>
      </c>
      <c r="N231" t="str">
        <f ca="1"/>
        <v>BM0279463</v>
      </c>
      <c r="O231" t="str">
        <f ca="1"/>
        <v>JP1201741LA9</v>
      </c>
      <c r="P231" t="str">
        <f ca="1"/>
        <v>NR</v>
      </c>
      <c r="Q231" s="3">
        <f ca="1"/>
        <v>44117</v>
      </c>
      <c r="R231" s="4">
        <f ca="1"/>
        <v>46101</v>
      </c>
      <c r="S231" s="4">
        <f ca="1"/>
        <v>14.477754962354553</v>
      </c>
      <c r="T231">
        <f ca="1"/>
        <v>72.730999999999995</v>
      </c>
      <c r="U231">
        <f ca="1"/>
        <v>41</v>
      </c>
      <c r="V231">
        <f ca="1"/>
        <v>14</v>
      </c>
      <c r="W231">
        <f ca="1"/>
        <v>6</v>
      </c>
      <c r="X231">
        <f ca="1"/>
        <v>0.41978021978021984</v>
      </c>
      <c r="Y231">
        <f ca="1"/>
        <v>72.311219780219773</v>
      </c>
      <c r="Z231">
        <f ca="1"/>
        <v>3.1309999999748159</v>
      </c>
    </row>
    <row r="232" spans="1:26" x14ac:dyDescent="0.35">
      <c r="A232" t="str">
        <f ca="1"/>
        <v>EI399537 Corp</v>
      </c>
      <c r="B232" t="str">
        <f ca="1"/>
        <v>Japan Government Thirty Year Bond</v>
      </c>
      <c r="C232" t="str">
        <f ca="1"/>
        <v>JGB</v>
      </c>
      <c r="D232" t="str">
        <f ca="1"/>
        <v>JP</v>
      </c>
      <c r="E232" t="str">
        <f ca="1"/>
        <v>JPY</v>
      </c>
      <c r="F232" t="str">
        <f ca="1"/>
        <v>20/09/2040</v>
      </c>
      <c r="G232" t="str">
        <f ca="1"/>
        <v>FIXED</v>
      </c>
      <c r="H232">
        <f ca="1"/>
        <v>2</v>
      </c>
      <c r="I232">
        <f ca="1"/>
        <v>2</v>
      </c>
      <c r="J232">
        <f ca="1"/>
        <v>2.7749999999780859</v>
      </c>
      <c r="K232">
        <f ca="1"/>
        <v>2.7989999999738706</v>
      </c>
      <c r="L232">
        <f ca="1"/>
        <v>91.975999999999999</v>
      </c>
      <c r="M232">
        <f ca="1"/>
        <v>91.748000000000005</v>
      </c>
      <c r="N232" t="str">
        <f ca="1"/>
        <v>EI3995376</v>
      </c>
      <c r="O232" t="str">
        <f ca="1"/>
        <v>JP1300331A99</v>
      </c>
      <c r="P232" t="str">
        <f ca="1"/>
        <v>A+</v>
      </c>
      <c r="Q232" s="3">
        <f ca="1"/>
        <v>40429</v>
      </c>
      <c r="R232" s="4">
        <f ca="1"/>
        <v>46101</v>
      </c>
      <c r="S232" s="4">
        <f ca="1"/>
        <v>14.477754962354553</v>
      </c>
      <c r="T232">
        <f ca="1"/>
        <v>91.861999999999995</v>
      </c>
      <c r="U232">
        <f ca="1"/>
        <v>153</v>
      </c>
      <c r="V232">
        <f ca="1"/>
        <v>14</v>
      </c>
      <c r="W232">
        <f ca="1"/>
        <v>16</v>
      </c>
      <c r="X232">
        <f ca="1"/>
        <v>2.098901098901099</v>
      </c>
      <c r="Y232">
        <f ca="1"/>
        <v>89.7630989010989</v>
      </c>
      <c r="Z232">
        <f ca="1"/>
        <v>2.7869999999759782</v>
      </c>
    </row>
    <row r="233" spans="1:26" x14ac:dyDescent="0.35">
      <c r="A233" t="str">
        <f ca="1"/>
        <v>BN612844 Corp</v>
      </c>
      <c r="B233" t="str">
        <f ca="1"/>
        <v>Japan Government Twenty Year Bond</v>
      </c>
      <c r="C233" t="str">
        <f ca="1"/>
        <v>JGB</v>
      </c>
      <c r="D233" t="str">
        <f ca="1"/>
        <v>JP</v>
      </c>
      <c r="E233" t="str">
        <f ca="1"/>
        <v>JPY</v>
      </c>
      <c r="F233" t="str">
        <f ca="1"/>
        <v>20/12/2040</v>
      </c>
      <c r="G233" t="str">
        <f ca="1"/>
        <v>FIXED</v>
      </c>
      <c r="H233">
        <f ca="1"/>
        <v>2</v>
      </c>
      <c r="I233">
        <f ca="1"/>
        <v>0.5</v>
      </c>
      <c r="J233">
        <f ca="1"/>
        <v>3.1339999999873869</v>
      </c>
      <c r="K233">
        <f ca="1"/>
        <v>3.1589999999860976</v>
      </c>
      <c r="L233">
        <f ca="1"/>
        <v>73.399000000000001</v>
      </c>
      <c r="M233">
        <f ca="1"/>
        <v>73.213999999999999</v>
      </c>
      <c r="N233" t="str">
        <f ca="1"/>
        <v>BN6128449</v>
      </c>
      <c r="O233" t="str">
        <f ca="1"/>
        <v>JP1201751M13</v>
      </c>
      <c r="P233" t="str">
        <f ca="1"/>
        <v>NR</v>
      </c>
      <c r="Q233" s="3">
        <f ca="1"/>
        <v>44208</v>
      </c>
      <c r="R233" s="4">
        <f ca="1"/>
        <v>46193</v>
      </c>
      <c r="S233" s="4">
        <f ca="1"/>
        <v>14.726899383983573</v>
      </c>
      <c r="T233">
        <f ca="1"/>
        <v>73.3065</v>
      </c>
      <c r="U233">
        <f ca="1"/>
        <v>44</v>
      </c>
      <c r="V233">
        <f ca="1"/>
        <v>14.5</v>
      </c>
      <c r="W233">
        <f ca="1"/>
        <v>5</v>
      </c>
      <c r="X233">
        <f ca="1"/>
        <v>0.27472527472527475</v>
      </c>
      <c r="Y233">
        <f ca="1"/>
        <v>73.03177472527473</v>
      </c>
      <c r="Z233">
        <f ca="1"/>
        <v>3.1464999999867422</v>
      </c>
    </row>
    <row r="234" spans="1:26" x14ac:dyDescent="0.35">
      <c r="A234" t="str">
        <f ca="1"/>
        <v>BP172580 Corp</v>
      </c>
      <c r="B234" t="str">
        <f ca="1"/>
        <v>Japan Government Twenty Year Bond</v>
      </c>
      <c r="C234" t="str">
        <f ca="1"/>
        <v>JGB</v>
      </c>
      <c r="D234" t="str">
        <f ca="1"/>
        <v>JP</v>
      </c>
      <c r="E234" t="str">
        <f ca="1"/>
        <v>JPY</v>
      </c>
      <c r="F234" t="str">
        <f ca="1"/>
        <v>20/03/2041</v>
      </c>
      <c r="G234" t="str">
        <f ca="1"/>
        <v>FIXED</v>
      </c>
      <c r="H234">
        <f ca="1"/>
        <v>2</v>
      </c>
      <c r="I234">
        <f ca="1"/>
        <v>0.5</v>
      </c>
      <c r="J234">
        <f ca="1"/>
        <v>3.1779999999791415</v>
      </c>
      <c r="K234">
        <f ca="1"/>
        <v>3.2019999999771418</v>
      </c>
      <c r="L234">
        <f ca="1"/>
        <v>72.77</v>
      </c>
      <c r="M234">
        <f ca="1"/>
        <v>72.593000000000004</v>
      </c>
      <c r="N234" t="str">
        <f ca="1"/>
        <v>BP1725806</v>
      </c>
      <c r="O234" t="str">
        <f ca="1"/>
        <v>JP1201761M45</v>
      </c>
      <c r="P234" t="str">
        <f ca="1"/>
        <v>NR</v>
      </c>
      <c r="Q234" s="3">
        <f ca="1"/>
        <v>44299</v>
      </c>
      <c r="R234" s="4">
        <f ca="1"/>
        <v>46101</v>
      </c>
      <c r="S234" s="4">
        <f ca="1"/>
        <v>14.973305954825461</v>
      </c>
      <c r="T234">
        <f ca="1"/>
        <v>72.6815</v>
      </c>
      <c r="U234">
        <f ca="1"/>
        <v>48</v>
      </c>
      <c r="V234">
        <f ca="1"/>
        <v>14.5</v>
      </c>
      <c r="W234">
        <f ca="1"/>
        <v>5</v>
      </c>
      <c r="X234">
        <f ca="1"/>
        <v>0.52472527472527475</v>
      </c>
      <c r="Y234">
        <f ca="1"/>
        <v>72.15677472527473</v>
      </c>
      <c r="Z234">
        <f ca="1"/>
        <v>3.1899999999781414</v>
      </c>
    </row>
    <row r="235" spans="1:26" x14ac:dyDescent="0.35">
      <c r="A235" t="str">
        <f ca="1"/>
        <v>EI603757 Corp</v>
      </c>
      <c r="B235" t="str">
        <f ca="1"/>
        <v>Japan Government Thirty Year Bond</v>
      </c>
      <c r="C235" t="str">
        <f ca="1"/>
        <v>JGB</v>
      </c>
      <c r="D235" t="str">
        <f ca="1"/>
        <v>JP</v>
      </c>
      <c r="E235" t="str">
        <f ca="1"/>
        <v>JPY</v>
      </c>
      <c r="F235" t="str">
        <f ca="1"/>
        <v>20/03/2041</v>
      </c>
      <c r="G235" t="str">
        <f ca="1"/>
        <v>FIXED</v>
      </c>
      <c r="H235">
        <f ca="1"/>
        <v>2</v>
      </c>
      <c r="I235">
        <f ca="1"/>
        <v>2.2000000000000002</v>
      </c>
      <c r="J235">
        <f ca="1"/>
        <v>2.7969999999957325</v>
      </c>
      <c r="K235">
        <f ca="1"/>
        <v>2.8219999999946275</v>
      </c>
      <c r="L235">
        <f ca="1"/>
        <v>93.685000000000002</v>
      </c>
      <c r="M235">
        <f ca="1"/>
        <v>93.438000000000002</v>
      </c>
      <c r="N235" t="str">
        <f ca="1"/>
        <v>EI6037572</v>
      </c>
      <c r="O235" t="str">
        <f ca="1"/>
        <v>JP1300341B39</v>
      </c>
      <c r="P235" t="str">
        <f ca="1"/>
        <v>A+</v>
      </c>
      <c r="Q235" s="3">
        <f ca="1"/>
        <v>40610</v>
      </c>
      <c r="R235" s="4">
        <f ca="1"/>
        <v>46101</v>
      </c>
      <c r="S235" s="4">
        <f ca="1"/>
        <v>14.973305954825461</v>
      </c>
      <c r="T235">
        <f ca="1"/>
        <v>93.561499999999995</v>
      </c>
      <c r="U235">
        <f ca="1"/>
        <v>158</v>
      </c>
      <c r="V235">
        <f ca="1"/>
        <v>14.5</v>
      </c>
      <c r="W235">
        <f ca="1"/>
        <v>15</v>
      </c>
      <c r="X235">
        <f ca="1"/>
        <v>2.308791208791209</v>
      </c>
      <c r="Y235">
        <f ca="1"/>
        <v>91.252708791208789</v>
      </c>
      <c r="Z235">
        <f ca="1"/>
        <v>2.8094999999951797</v>
      </c>
    </row>
    <row r="236" spans="1:26" x14ac:dyDescent="0.35">
      <c r="A236" t="str">
        <f ca="1"/>
        <v>BQ516777 Corp</v>
      </c>
      <c r="B236" t="str">
        <f ca="1"/>
        <v>Japan Government Twenty Year Bond</v>
      </c>
      <c r="C236" t="str">
        <f ca="1"/>
        <v>JGB</v>
      </c>
      <c r="D236" t="str">
        <f ca="1"/>
        <v>JP</v>
      </c>
      <c r="E236" t="str">
        <f ca="1"/>
        <v>JPY</v>
      </c>
      <c r="F236" t="str">
        <f ca="1"/>
        <v>20/06/2041</v>
      </c>
      <c r="G236" t="str">
        <f ca="1"/>
        <v>FIXED</v>
      </c>
      <c r="H236">
        <f ca="1"/>
        <v>2</v>
      </c>
      <c r="I236">
        <f ca="1"/>
        <v>0.4</v>
      </c>
      <c r="J236">
        <f ca="1"/>
        <v>3.2449999999473009</v>
      </c>
      <c r="K236">
        <f ca="1"/>
        <v>3.2689999999425496</v>
      </c>
      <c r="L236">
        <f ca="1"/>
        <v>70.944999999999993</v>
      </c>
      <c r="M236">
        <f ca="1"/>
        <v>70.772000000000006</v>
      </c>
      <c r="N236" t="str">
        <f ca="1"/>
        <v>BQ5167771</v>
      </c>
      <c r="O236" t="str">
        <f ca="1"/>
        <v>JP1201771M76</v>
      </c>
      <c r="P236" t="str">
        <f ca="1"/>
        <v>NR</v>
      </c>
      <c r="Q236" s="3">
        <f ca="1"/>
        <v>44383</v>
      </c>
      <c r="R236" s="4">
        <f ca="1"/>
        <v>46193</v>
      </c>
      <c r="S236" s="4">
        <f ca="1"/>
        <v>15.225188227241615</v>
      </c>
      <c r="T236">
        <f ca="1"/>
        <v>70.858499999999992</v>
      </c>
      <c r="U236">
        <f ca="1"/>
        <v>53</v>
      </c>
      <c r="V236">
        <f ca="1"/>
        <v>15</v>
      </c>
      <c r="W236">
        <f ca="1"/>
        <v>5</v>
      </c>
      <c r="X236">
        <f ca="1"/>
        <v>0.2197802197802198</v>
      </c>
      <c r="Y236">
        <f ca="1"/>
        <v>70.638719780219773</v>
      </c>
      <c r="Z236">
        <f ca="1"/>
        <v>3.2569999999449255</v>
      </c>
    </row>
    <row r="237" spans="1:26" x14ac:dyDescent="0.35">
      <c r="A237" t="str">
        <f ca="1"/>
        <v>BS028901 Corp</v>
      </c>
      <c r="B237" t="str">
        <f ca="1"/>
        <v>Japan Government Twenty Year Bond</v>
      </c>
      <c r="C237" t="str">
        <f ca="1"/>
        <v>JGB</v>
      </c>
      <c r="D237" t="str">
        <f ca="1"/>
        <v>JP</v>
      </c>
      <c r="E237" t="str">
        <f ca="1"/>
        <v>JPY</v>
      </c>
      <c r="F237" t="str">
        <f ca="1"/>
        <v>20/09/2041</v>
      </c>
      <c r="G237" t="str">
        <f ca="1"/>
        <v>FIXED</v>
      </c>
      <c r="H237">
        <f ca="1"/>
        <v>2</v>
      </c>
      <c r="I237">
        <f ca="1"/>
        <v>0.5</v>
      </c>
      <c r="J237">
        <f ca="1"/>
        <v>3.2559999999620595</v>
      </c>
      <c r="K237">
        <f ca="1"/>
        <v>3.2829999999580868</v>
      </c>
      <c r="L237">
        <f ca="1"/>
        <v>71.578000000000003</v>
      </c>
      <c r="M237">
        <f ca="1"/>
        <v>71.379000000000005</v>
      </c>
      <c r="N237" t="str">
        <f ca="1"/>
        <v>BS0289014</v>
      </c>
      <c r="O237" t="str">
        <f ca="1"/>
        <v>JP1201781MA3</v>
      </c>
      <c r="P237" t="str">
        <f ca="1"/>
        <v>NR</v>
      </c>
      <c r="Q237" s="3">
        <f ca="1"/>
        <v>44481</v>
      </c>
      <c r="R237" s="4">
        <f ca="1"/>
        <v>46101</v>
      </c>
      <c r="S237" s="4">
        <f ca="1"/>
        <v>15.477070499657769</v>
      </c>
      <c r="T237">
        <f ca="1"/>
        <v>71.478499999999997</v>
      </c>
      <c r="U237">
        <f ca="1"/>
        <v>57</v>
      </c>
      <c r="V237">
        <f ca="1"/>
        <v>15</v>
      </c>
      <c r="W237">
        <f ca="1"/>
        <v>5</v>
      </c>
      <c r="X237">
        <f ca="1"/>
        <v>0.52472527472527475</v>
      </c>
      <c r="Y237">
        <f ca="1"/>
        <v>70.953774725274727</v>
      </c>
      <c r="Z237">
        <f ca="1"/>
        <v>3.2694999999600731</v>
      </c>
    </row>
    <row r="238" spans="1:26" x14ac:dyDescent="0.35">
      <c r="A238" t="str">
        <f ca="1"/>
        <v>EI805566 Corp</v>
      </c>
      <c r="B238" t="str">
        <f ca="1"/>
        <v>Japan Government Thirty Year Bond</v>
      </c>
      <c r="C238" t="str">
        <f ca="1"/>
        <v>JGB</v>
      </c>
      <c r="D238" t="str">
        <f ca="1"/>
        <v>JP</v>
      </c>
      <c r="E238" t="str">
        <f ca="1"/>
        <v>JPY</v>
      </c>
      <c r="F238" t="str">
        <f ca="1"/>
        <v>20/09/2041</v>
      </c>
      <c r="G238" t="str">
        <f ca="1"/>
        <v>FIXED</v>
      </c>
      <c r="H238">
        <f ca="1"/>
        <v>2</v>
      </c>
      <c r="I238">
        <f ca="1"/>
        <v>2</v>
      </c>
      <c r="J238">
        <f ca="1"/>
        <v>2.8789999999410631</v>
      </c>
      <c r="K238">
        <f ca="1"/>
        <v>2.9059999999297133</v>
      </c>
      <c r="L238">
        <f ca="1"/>
        <v>90.567999999999998</v>
      </c>
      <c r="M238">
        <f ca="1"/>
        <v>90.305999999999997</v>
      </c>
      <c r="N238" t="str">
        <f ca="1"/>
        <v>EI8055663</v>
      </c>
      <c r="O238" t="str">
        <f ca="1"/>
        <v>JP1300351B93</v>
      </c>
      <c r="P238" t="str">
        <f ca="1"/>
        <v>A+</v>
      </c>
      <c r="Q238" s="3">
        <f ca="1"/>
        <v>40792</v>
      </c>
      <c r="R238" s="4">
        <f ca="1"/>
        <v>46101</v>
      </c>
      <c r="S238" s="4">
        <f ca="1"/>
        <v>15.477070499657769</v>
      </c>
      <c r="T238">
        <f ca="1"/>
        <v>90.436999999999998</v>
      </c>
      <c r="U238">
        <f ca="1"/>
        <v>165</v>
      </c>
      <c r="V238">
        <f ca="1"/>
        <v>15</v>
      </c>
      <c r="W238">
        <f ca="1"/>
        <v>15</v>
      </c>
      <c r="X238">
        <f ca="1"/>
        <v>2.098901098901099</v>
      </c>
      <c r="Y238">
        <f ca="1"/>
        <v>88.338098901098903</v>
      </c>
      <c r="Z238">
        <f ca="1"/>
        <v>2.8924999999353882</v>
      </c>
    </row>
    <row r="239" spans="1:26" x14ac:dyDescent="0.35">
      <c r="A239" t="str">
        <f ca="1"/>
        <v>BT530456 Corp</v>
      </c>
      <c r="B239" t="str">
        <f ca="1"/>
        <v>Japan Government Twenty Year Bond</v>
      </c>
      <c r="C239" t="str">
        <f ca="1"/>
        <v>JGB</v>
      </c>
      <c r="D239" t="str">
        <f ca="1"/>
        <v>JP</v>
      </c>
      <c r="E239" t="str">
        <f ca="1"/>
        <v>JPY</v>
      </c>
      <c r="F239" t="str">
        <f ca="1"/>
        <v>20/12/2041</v>
      </c>
      <c r="G239" t="str">
        <f ca="1"/>
        <v>FIXED</v>
      </c>
      <c r="H239">
        <f ca="1"/>
        <v>2</v>
      </c>
      <c r="I239">
        <f ca="1"/>
        <v>0.5</v>
      </c>
      <c r="J239">
        <f ca="1"/>
        <v>3.2939999999568705</v>
      </c>
      <c r="K239">
        <f ca="1"/>
        <v>3.318999999952756</v>
      </c>
      <c r="L239">
        <f ca="1"/>
        <v>70.995000000000005</v>
      </c>
      <c r="M239">
        <f ca="1"/>
        <v>70.811000000000007</v>
      </c>
      <c r="N239" t="str">
        <f ca="1"/>
        <v>BT5304568</v>
      </c>
      <c r="O239" t="str">
        <f ca="1"/>
        <v>JP1201791N14</v>
      </c>
      <c r="P239" t="str">
        <f ca="1"/>
        <v>NR</v>
      </c>
      <c r="Q239" s="3">
        <f ca="1"/>
        <v>44568</v>
      </c>
      <c r="R239" s="4">
        <f ca="1"/>
        <v>46193</v>
      </c>
      <c r="S239" s="4">
        <f ca="1"/>
        <v>15.72621492128679</v>
      </c>
      <c r="T239">
        <f ca="1"/>
        <v>70.903000000000006</v>
      </c>
      <c r="U239">
        <f ca="1"/>
        <v>61</v>
      </c>
      <c r="V239">
        <f ca="1"/>
        <v>15.5</v>
      </c>
      <c r="W239">
        <f ca="1"/>
        <v>4</v>
      </c>
      <c r="X239">
        <f ca="1"/>
        <v>0.27472527472527475</v>
      </c>
      <c r="Y239">
        <f ca="1"/>
        <v>70.628274725274736</v>
      </c>
      <c r="Z239">
        <f ca="1"/>
        <v>3.3064999999548133</v>
      </c>
    </row>
    <row r="240" spans="1:26" x14ac:dyDescent="0.35">
      <c r="A240" t="str">
        <f ca="1"/>
        <v>BV949862 Corp</v>
      </c>
      <c r="B240" t="str">
        <f ca="1"/>
        <v>Japan Government Twenty Year Bond</v>
      </c>
      <c r="C240" t="str">
        <f ca="1"/>
        <v>JGB</v>
      </c>
      <c r="D240" t="str">
        <f ca="1"/>
        <v>JP</v>
      </c>
      <c r="E240" t="str">
        <f ca="1"/>
        <v>JPY</v>
      </c>
      <c r="F240" t="str">
        <f ca="1"/>
        <v>20/03/2042</v>
      </c>
      <c r="G240" t="str">
        <f ca="1"/>
        <v>FIXED</v>
      </c>
      <c r="H240">
        <f ca="1"/>
        <v>2</v>
      </c>
      <c r="I240">
        <f ca="1"/>
        <v>0.8</v>
      </c>
      <c r="J240">
        <f ca="1"/>
        <v>3.2279999999946742</v>
      </c>
      <c r="K240">
        <f ca="1"/>
        <v>3.2529999999940884</v>
      </c>
      <c r="L240">
        <f ca="1"/>
        <v>74.358999999999995</v>
      </c>
      <c r="M240">
        <f ca="1"/>
        <v>74.162999999999997</v>
      </c>
      <c r="N240" t="str">
        <f ca="1"/>
        <v>BV9498627</v>
      </c>
      <c r="O240" t="str">
        <f ca="1"/>
        <v>JP1201801N46</v>
      </c>
      <c r="P240" t="str">
        <f ca="1"/>
        <v>A+</v>
      </c>
      <c r="Q240" s="3">
        <f ca="1"/>
        <v>44658</v>
      </c>
      <c r="R240" s="4">
        <f ca="1"/>
        <v>46101</v>
      </c>
      <c r="S240" s="4">
        <f ca="1"/>
        <v>15.972621492128679</v>
      </c>
      <c r="T240">
        <f ca="1"/>
        <v>74.260999999999996</v>
      </c>
      <c r="U240">
        <f ca="1"/>
        <v>65</v>
      </c>
      <c r="V240">
        <f ca="1"/>
        <v>15.5</v>
      </c>
      <c r="W240">
        <f ca="1"/>
        <v>4</v>
      </c>
      <c r="X240">
        <f ca="1"/>
        <v>0.83956043956043969</v>
      </c>
      <c r="Y240">
        <f ca="1"/>
        <v>73.421439560439552</v>
      </c>
      <c r="Z240">
        <f ca="1"/>
        <v>3.2404999999943813</v>
      </c>
    </row>
    <row r="241" spans="1:26" x14ac:dyDescent="0.35">
      <c r="A241" t="str">
        <f ca="1"/>
        <v>EJ053825 Corp</v>
      </c>
      <c r="B241" t="str">
        <f ca="1"/>
        <v>Japan Government Thirty Year Bond</v>
      </c>
      <c r="C241" t="str">
        <f ca="1"/>
        <v>JGB</v>
      </c>
      <c r="D241" t="str">
        <f ca="1"/>
        <v>JP</v>
      </c>
      <c r="E241" t="str">
        <f ca="1"/>
        <v>JPY</v>
      </c>
      <c r="F241" t="str">
        <f ca="1"/>
        <v>20/03/2042</v>
      </c>
      <c r="G241" t="str">
        <f ca="1"/>
        <v>FIXED</v>
      </c>
      <c r="H241">
        <f ca="1"/>
        <v>2</v>
      </c>
      <c r="I241">
        <f ca="1"/>
        <v>2</v>
      </c>
      <c r="J241">
        <f ca="1"/>
        <v>2.933999999905331</v>
      </c>
      <c r="K241">
        <f ca="1"/>
        <v>2.9610000000000003</v>
      </c>
      <c r="L241">
        <f ca="1"/>
        <v>89.82</v>
      </c>
      <c r="M241">
        <f ca="1"/>
        <v>89.557000000000002</v>
      </c>
      <c r="N241" t="str">
        <f ca="1"/>
        <v>EJ0538250</v>
      </c>
      <c r="O241" t="str">
        <f ca="1"/>
        <v>JP1300361C33</v>
      </c>
      <c r="P241" t="str">
        <f ca="1"/>
        <v>A+</v>
      </c>
      <c r="Q241" s="3">
        <f ca="1"/>
        <v>40974</v>
      </c>
      <c r="R241" s="4">
        <f ca="1"/>
        <v>46101</v>
      </c>
      <c r="S241" s="4">
        <f ca="1"/>
        <v>15.972621492128679</v>
      </c>
      <c r="T241">
        <f ca="1"/>
        <v>89.688500000000005</v>
      </c>
      <c r="U241">
        <f ca="1"/>
        <v>170</v>
      </c>
      <c r="V241">
        <f ca="1"/>
        <v>15.5</v>
      </c>
      <c r="W241">
        <f ca="1"/>
        <v>14</v>
      </c>
      <c r="X241">
        <f ca="1"/>
        <v>2.098901098901099</v>
      </c>
      <c r="Y241">
        <f ca="1"/>
        <v>87.58959890109891</v>
      </c>
      <c r="Z241">
        <f ca="1"/>
        <v>2.9474999999526657</v>
      </c>
    </row>
    <row r="242" spans="1:26" x14ac:dyDescent="0.35">
      <c r="A242" t="str">
        <f ca="1"/>
        <v>BX863121 Corp</v>
      </c>
      <c r="B242" t="str">
        <f ca="1"/>
        <v>Japan Government Twenty Year Bond</v>
      </c>
      <c r="C242" t="str">
        <f ca="1"/>
        <v>JGB</v>
      </c>
      <c r="D242" t="str">
        <f ca="1"/>
        <v>JP</v>
      </c>
      <c r="E242" t="str">
        <f ca="1"/>
        <v>JPY</v>
      </c>
      <c r="F242" t="str">
        <f ca="1"/>
        <v>20/06/2042</v>
      </c>
      <c r="G242" t="str">
        <f ca="1"/>
        <v>FIXED</v>
      </c>
      <c r="H242">
        <f ca="1"/>
        <v>2</v>
      </c>
      <c r="I242">
        <f ca="1"/>
        <v>0.9</v>
      </c>
      <c r="J242">
        <f ca="1"/>
        <v>3.2309999999975059</v>
      </c>
      <c r="K242">
        <f ca="1"/>
        <v>3.2559999999972229</v>
      </c>
      <c r="L242">
        <f ca="1"/>
        <v>75.138000000000005</v>
      </c>
      <c r="M242">
        <f ca="1"/>
        <v>74.938000000000002</v>
      </c>
      <c r="N242" t="str">
        <f ca="1"/>
        <v>BX8631216</v>
      </c>
      <c r="O242" t="str">
        <f ca="1"/>
        <v>JP1201811N77</v>
      </c>
      <c r="P242" t="str">
        <f ca="1"/>
        <v>A+</v>
      </c>
      <c r="Q242" s="3">
        <f ca="1"/>
        <v>44749</v>
      </c>
      <c r="R242" s="4">
        <f ca="1"/>
        <v>46193</v>
      </c>
      <c r="S242" s="4">
        <f ca="1"/>
        <v>16.224503764544831</v>
      </c>
      <c r="T242">
        <f ca="1"/>
        <v>75.038000000000011</v>
      </c>
      <c r="U242">
        <f ca="1"/>
        <v>71</v>
      </c>
      <c r="V242">
        <f ca="1"/>
        <v>16</v>
      </c>
      <c r="W242">
        <f ca="1"/>
        <v>4</v>
      </c>
      <c r="X242">
        <f ca="1"/>
        <v>0.49450549450549458</v>
      </c>
      <c r="Y242">
        <f ca="1"/>
        <v>74.543494505494522</v>
      </c>
      <c r="Z242">
        <f ca="1"/>
        <v>3.2434999999973644</v>
      </c>
    </row>
    <row r="243" spans="1:26" x14ac:dyDescent="0.35">
      <c r="A243" t="str">
        <f ca="1"/>
        <v>BZ802616 Corp</v>
      </c>
      <c r="B243" t="str">
        <f ca="1"/>
        <v>Japan Government Twenty Year Bond</v>
      </c>
      <c r="C243" t="str">
        <f ca="1"/>
        <v>JGB</v>
      </c>
      <c r="D243" t="str">
        <f ca="1"/>
        <v>JP</v>
      </c>
      <c r="E243" t="str">
        <f ca="1"/>
        <v>JPY</v>
      </c>
      <c r="F243" t="str">
        <f ca="1"/>
        <v>20/09/2042</v>
      </c>
      <c r="G243" t="str">
        <f ca="1"/>
        <v>FIXED</v>
      </c>
      <c r="H243">
        <f ca="1"/>
        <v>2</v>
      </c>
      <c r="I243">
        <f ca="1"/>
        <v>1.1000000000000001</v>
      </c>
      <c r="J243">
        <f ca="1"/>
        <v>3.2059999999993622</v>
      </c>
      <c r="K243">
        <f ca="1"/>
        <v>3.2309999999992822</v>
      </c>
      <c r="L243">
        <f ca="1"/>
        <v>77.248999999999995</v>
      </c>
      <c r="M243">
        <f ca="1"/>
        <v>77.040999999999997</v>
      </c>
      <c r="N243" t="str">
        <f ca="1"/>
        <v>BZ8026164</v>
      </c>
      <c r="O243" t="str">
        <f ca="1"/>
        <v>JP1201821NA5</v>
      </c>
      <c r="P243" t="str">
        <f ca="1"/>
        <v>A+</v>
      </c>
      <c r="Q243" s="3">
        <f ca="1"/>
        <v>44845</v>
      </c>
      <c r="R243" s="4">
        <f ca="1"/>
        <v>46101</v>
      </c>
      <c r="S243" s="4">
        <f ca="1"/>
        <v>16.476386036960985</v>
      </c>
      <c r="T243">
        <f ca="1"/>
        <v>77.144999999999996</v>
      </c>
      <c r="U243">
        <f ca="1"/>
        <v>75</v>
      </c>
      <c r="V243">
        <f ca="1"/>
        <v>16</v>
      </c>
      <c r="W243">
        <f ca="1"/>
        <v>4</v>
      </c>
      <c r="X243">
        <f ca="1"/>
        <v>1.1543956043956045</v>
      </c>
      <c r="Y243">
        <f ca="1"/>
        <v>75.990604395604393</v>
      </c>
      <c r="Z243">
        <f ca="1"/>
        <v>3.218499999999322</v>
      </c>
    </row>
    <row r="244" spans="1:26" x14ac:dyDescent="0.35">
      <c r="A244" t="str">
        <f ca="1"/>
        <v>EJ353672 Corp</v>
      </c>
      <c r="B244" t="str">
        <f ca="1"/>
        <v>Japan Government Thirty Year Bond</v>
      </c>
      <c r="C244" t="str">
        <f ca="1"/>
        <v>JGB</v>
      </c>
      <c r="D244" t="str">
        <f ca="1"/>
        <v>JP</v>
      </c>
      <c r="E244" t="str">
        <f ca="1"/>
        <v>JPY</v>
      </c>
      <c r="F244" t="str">
        <f ca="1"/>
        <v>20/09/2042</v>
      </c>
      <c r="G244" t="str">
        <f ca="1"/>
        <v>FIXED</v>
      </c>
      <c r="H244">
        <f ca="1"/>
        <v>2</v>
      </c>
      <c r="I244">
        <f ca="1"/>
        <v>1.9</v>
      </c>
      <c r="J244">
        <f ca="1"/>
        <v>3.0040000000000009</v>
      </c>
      <c r="K244">
        <f ca="1"/>
        <v>3.0329999999999973</v>
      </c>
      <c r="L244">
        <f ca="1"/>
        <v>87.807000000000002</v>
      </c>
      <c r="M244">
        <f ca="1"/>
        <v>87.527000000000001</v>
      </c>
      <c r="N244" t="str">
        <f ca="1"/>
        <v>EJ3536723</v>
      </c>
      <c r="O244" t="str">
        <f ca="1"/>
        <v>JP1300371C98</v>
      </c>
      <c r="P244" t="str">
        <f ca="1"/>
        <v>A+</v>
      </c>
      <c r="Q244" s="3">
        <f ca="1"/>
        <v>41158</v>
      </c>
      <c r="R244" s="4">
        <f ca="1"/>
        <v>46101</v>
      </c>
      <c r="S244" s="4">
        <f ca="1"/>
        <v>16.476386036960985</v>
      </c>
      <c r="T244">
        <f ca="1"/>
        <v>87.667000000000002</v>
      </c>
      <c r="U244">
        <f ca="1"/>
        <v>178</v>
      </c>
      <c r="V244">
        <f ca="1"/>
        <v>16</v>
      </c>
      <c r="W244">
        <f ca="1"/>
        <v>14</v>
      </c>
      <c r="X244">
        <f ca="1"/>
        <v>1.993956043956044</v>
      </c>
      <c r="Y244">
        <f ca="1"/>
        <v>85.673043956043955</v>
      </c>
      <c r="Z244">
        <f ca="1"/>
        <v>3.0184999999999991</v>
      </c>
    </row>
    <row r="245" spans="1:26" x14ac:dyDescent="0.35">
      <c r="A245" t="str">
        <f ca="1"/>
        <v>ZM541259 Corp</v>
      </c>
      <c r="B245" t="str">
        <f ca="1"/>
        <v>Japan Government Twenty Year Bond</v>
      </c>
      <c r="C245" t="str">
        <f ca="1"/>
        <v>JGB</v>
      </c>
      <c r="D245" t="str">
        <f ca="1"/>
        <v>JP</v>
      </c>
      <c r="E245" t="str">
        <f ca="1"/>
        <v>JPY</v>
      </c>
      <c r="F245" t="str">
        <f ca="1"/>
        <v>20/12/2042</v>
      </c>
      <c r="G245" t="str">
        <f ca="1"/>
        <v>FIXED</v>
      </c>
      <c r="H245">
        <f ca="1"/>
        <v>2</v>
      </c>
      <c r="I245">
        <f ca="1"/>
        <v>1.4</v>
      </c>
      <c r="J245">
        <f ca="1"/>
        <v>3.1589999999999576</v>
      </c>
      <c r="K245">
        <f ca="1"/>
        <v>3.1829999999999532</v>
      </c>
      <c r="L245">
        <f ca="1"/>
        <v>80.712000000000003</v>
      </c>
      <c r="M245">
        <f ca="1"/>
        <v>80.501000000000005</v>
      </c>
      <c r="N245" t="str">
        <f ca="1"/>
        <v>ZM5412592</v>
      </c>
      <c r="O245" t="str">
        <f ca="1"/>
        <v>JP1201831P14</v>
      </c>
      <c r="P245" t="str">
        <f ca="1"/>
        <v>A+</v>
      </c>
      <c r="Q245" s="3">
        <f ca="1"/>
        <v>44938</v>
      </c>
      <c r="R245" s="4">
        <f ca="1"/>
        <v>46193</v>
      </c>
      <c r="S245" s="4">
        <f ca="1"/>
        <v>16.725530458590008</v>
      </c>
      <c r="T245">
        <f ca="1"/>
        <v>80.606500000000011</v>
      </c>
      <c r="U245">
        <f ca="1"/>
        <v>315</v>
      </c>
      <c r="V245">
        <f ca="1"/>
        <v>16.5</v>
      </c>
      <c r="W245">
        <f ca="1"/>
        <v>3</v>
      </c>
      <c r="X245">
        <f ca="1"/>
        <v>0.76923076923076927</v>
      </c>
      <c r="Y245">
        <f ca="1"/>
        <v>79.837269230769238</v>
      </c>
      <c r="Z245">
        <f ca="1"/>
        <v>3.1709999999999554</v>
      </c>
    </row>
    <row r="246" spans="1:26" x14ac:dyDescent="0.35">
      <c r="A246" t="str">
        <f ca="1"/>
        <v>EJ586107 Corp</v>
      </c>
      <c r="B246" t="str">
        <f ca="1"/>
        <v>Japan Government Thirty Year Bond</v>
      </c>
      <c r="C246" t="str">
        <f ca="1"/>
        <v>JGB</v>
      </c>
      <c r="D246" t="str">
        <f ca="1"/>
        <v>JP</v>
      </c>
      <c r="E246" t="str">
        <f ca="1"/>
        <v>JPY</v>
      </c>
      <c r="F246" t="str">
        <f ca="1"/>
        <v>20/03/2043</v>
      </c>
      <c r="G246" t="str">
        <f ca="1"/>
        <v>FIXED</v>
      </c>
      <c r="H246">
        <f ca="1"/>
        <v>2</v>
      </c>
      <c r="I246">
        <f ca="1"/>
        <v>1.8</v>
      </c>
      <c r="J246">
        <f ca="1"/>
        <v>3.0719999999999987</v>
      </c>
      <c r="K246">
        <f ca="1"/>
        <v>3.0990000000000011</v>
      </c>
      <c r="L246">
        <f ca="1"/>
        <v>85.781999999999996</v>
      </c>
      <c r="M246">
        <f ca="1"/>
        <v>85.524000000000001</v>
      </c>
      <c r="N246" t="str">
        <f ca="1"/>
        <v>EJ5861079</v>
      </c>
      <c r="O246" t="str">
        <f ca="1"/>
        <v>JP1300381D38</v>
      </c>
      <c r="P246" t="str">
        <f ca="1"/>
        <v>A+</v>
      </c>
      <c r="Q246" s="3">
        <f ca="1"/>
        <v>41341</v>
      </c>
      <c r="R246" s="4">
        <f ca="1"/>
        <v>46101</v>
      </c>
      <c r="S246" s="4">
        <f ca="1"/>
        <v>16.971937029431896</v>
      </c>
      <c r="T246">
        <f ca="1"/>
        <v>85.652999999999992</v>
      </c>
      <c r="U246">
        <f ca="1"/>
        <v>182</v>
      </c>
      <c r="V246">
        <f ca="1"/>
        <v>16.5</v>
      </c>
      <c r="W246">
        <f ca="1"/>
        <v>13</v>
      </c>
      <c r="X246">
        <f ca="1"/>
        <v>1.8890109890109892</v>
      </c>
      <c r="Y246">
        <f ca="1"/>
        <v>83.763989010989008</v>
      </c>
      <c r="Z246">
        <f ca="1"/>
        <v>3.0854999999999997</v>
      </c>
    </row>
    <row r="247" spans="1:26" x14ac:dyDescent="0.35">
      <c r="A247" t="str">
        <f ca="1"/>
        <v>ZK305900 Corp</v>
      </c>
      <c r="B247" t="str">
        <f ca="1"/>
        <v>Japan Government Twenty Year Bond</v>
      </c>
      <c r="C247" t="str">
        <f ca="1"/>
        <v>JGB</v>
      </c>
      <c r="D247" t="str">
        <f ca="1"/>
        <v>JP</v>
      </c>
      <c r="E247" t="str">
        <f ca="1"/>
        <v>JPY</v>
      </c>
      <c r="F247" t="str">
        <f ca="1"/>
        <v>20/03/2043</v>
      </c>
      <c r="G247" t="str">
        <f ca="1"/>
        <v>FIXED</v>
      </c>
      <c r="H247">
        <f ca="1"/>
        <v>2</v>
      </c>
      <c r="I247">
        <f ca="1"/>
        <v>1.1000000000000001</v>
      </c>
      <c r="J247">
        <f ca="1"/>
        <v>3.2639999999989486</v>
      </c>
      <c r="K247">
        <f ca="1"/>
        <v>3.2879999999988274</v>
      </c>
      <c r="L247">
        <f ca="1"/>
        <v>76.319999999999993</v>
      </c>
      <c r="M247">
        <f ca="1"/>
        <v>76.12</v>
      </c>
      <c r="N247" t="str">
        <f ca="1"/>
        <v>ZK3059001</v>
      </c>
      <c r="O247" t="str">
        <f ca="1"/>
        <v>JP1201841P46</v>
      </c>
      <c r="P247" t="str">
        <f ca="1"/>
        <v>A+</v>
      </c>
      <c r="Q247" s="3">
        <f ca="1"/>
        <v>45029</v>
      </c>
      <c r="R247" s="4">
        <f ca="1"/>
        <v>46101</v>
      </c>
      <c r="S247" s="4">
        <f ca="1"/>
        <v>16.971937029431896</v>
      </c>
      <c r="T247">
        <f ca="1"/>
        <v>76.22</v>
      </c>
      <c r="U247">
        <f ca="1"/>
        <v>308</v>
      </c>
      <c r="V247">
        <f ca="1"/>
        <v>16.5</v>
      </c>
      <c r="W247">
        <f ca="1"/>
        <v>3</v>
      </c>
      <c r="X247">
        <f ca="1"/>
        <v>1.1543956043956045</v>
      </c>
      <c r="Y247">
        <f ca="1"/>
        <v>75.065604395604396</v>
      </c>
      <c r="Z247">
        <f ca="1"/>
        <v>3.2759999999988878</v>
      </c>
    </row>
    <row r="248" spans="1:26" x14ac:dyDescent="0.35">
      <c r="A248" t="str">
        <f ca="1"/>
        <v>EJ709977 Corp</v>
      </c>
      <c r="B248" t="str">
        <f ca="1"/>
        <v>Japan Government Thirty Year Bond</v>
      </c>
      <c r="C248" t="str">
        <f ca="1"/>
        <v>JGB</v>
      </c>
      <c r="D248" t="str">
        <f ca="1"/>
        <v>JP</v>
      </c>
      <c r="E248" t="str">
        <f ca="1"/>
        <v>JPY</v>
      </c>
      <c r="F248" t="str">
        <f ca="1"/>
        <v>20/06/2043</v>
      </c>
      <c r="G248" t="str">
        <f ca="1"/>
        <v>FIXED</v>
      </c>
      <c r="H248">
        <f ca="1"/>
        <v>2</v>
      </c>
      <c r="I248">
        <f ca="1"/>
        <v>1.9</v>
      </c>
      <c r="J248">
        <f ca="1"/>
        <v>3.0710000000000011</v>
      </c>
      <c r="K248">
        <f ca="1"/>
        <v>3.0980000000000008</v>
      </c>
      <c r="L248">
        <f ca="1"/>
        <v>86.783000000000001</v>
      </c>
      <c r="M248">
        <f ca="1"/>
        <v>86.519000000000005</v>
      </c>
      <c r="N248" t="str">
        <f ca="1"/>
        <v>EJ7099777</v>
      </c>
      <c r="O248" t="str">
        <f ca="1"/>
        <v>JP1300391D69</v>
      </c>
      <c r="P248" t="str">
        <f ca="1"/>
        <v>A+</v>
      </c>
      <c r="Q248" s="3">
        <f ca="1"/>
        <v>41431</v>
      </c>
      <c r="R248" s="4">
        <f ca="1"/>
        <v>46193</v>
      </c>
      <c r="S248" s="4">
        <f ca="1"/>
        <v>17.223819301848049</v>
      </c>
      <c r="T248">
        <f ca="1"/>
        <v>86.65100000000001</v>
      </c>
      <c r="U248">
        <f ca="1"/>
        <v>186</v>
      </c>
      <c r="V248">
        <f ca="1"/>
        <v>17</v>
      </c>
      <c r="W248">
        <f ca="1"/>
        <v>13</v>
      </c>
      <c r="X248">
        <f ca="1"/>
        <v>1.043956043956044</v>
      </c>
      <c r="Y248">
        <f ca="1"/>
        <v>85.607043956043967</v>
      </c>
      <c r="Z248">
        <f ca="1"/>
        <v>3.0845000000000011</v>
      </c>
    </row>
    <row r="249" spans="1:26" x14ac:dyDescent="0.35">
      <c r="A249" t="str">
        <f ca="1"/>
        <v>ZJ786530 Corp</v>
      </c>
      <c r="B249" t="str">
        <f ca="1"/>
        <v>Japan Government Twenty Year Bond</v>
      </c>
      <c r="C249" t="str">
        <f ca="1"/>
        <v>JGB</v>
      </c>
      <c r="D249" t="str">
        <f ca="1"/>
        <v>JP</v>
      </c>
      <c r="E249" t="str">
        <f ca="1"/>
        <v>JPY</v>
      </c>
      <c r="F249" t="str">
        <f ca="1"/>
        <v>20/06/2043</v>
      </c>
      <c r="G249" t="str">
        <f ca="1"/>
        <v>FIXED</v>
      </c>
      <c r="H249">
        <f ca="1"/>
        <v>2</v>
      </c>
      <c r="I249">
        <f ca="1"/>
        <v>1.1000000000000001</v>
      </c>
      <c r="J249">
        <f ca="1"/>
        <v>3.292999999998846</v>
      </c>
      <c r="K249">
        <f ca="1"/>
        <v>3.3169999999987105</v>
      </c>
      <c r="L249">
        <f ca="1"/>
        <v>75.852999999999994</v>
      </c>
      <c r="M249">
        <f ca="1"/>
        <v>75.653000000000006</v>
      </c>
      <c r="N249" t="str">
        <f ca="1"/>
        <v>ZJ7865307</v>
      </c>
      <c r="O249" t="str">
        <f ca="1"/>
        <v>JP1201851P76</v>
      </c>
      <c r="P249" t="str">
        <f ca="1"/>
        <v>A+</v>
      </c>
      <c r="Q249" s="3">
        <f ca="1"/>
        <v>45113</v>
      </c>
      <c r="R249" s="4">
        <f ca="1"/>
        <v>46193</v>
      </c>
      <c r="S249" s="4">
        <f ca="1"/>
        <v>17.223819301848049</v>
      </c>
      <c r="T249">
        <f ca="1"/>
        <v>75.753</v>
      </c>
      <c r="U249">
        <f ca="1"/>
        <v>304</v>
      </c>
      <c r="V249">
        <f ca="1"/>
        <v>17</v>
      </c>
      <c r="W249">
        <f ca="1"/>
        <v>3</v>
      </c>
      <c r="X249">
        <f ca="1"/>
        <v>0.60439560439560447</v>
      </c>
      <c r="Y249">
        <f ca="1"/>
        <v>75.148604395604394</v>
      </c>
      <c r="Z249">
        <f ca="1"/>
        <v>3.3049999999987785</v>
      </c>
    </row>
    <row r="250" spans="1:26" x14ac:dyDescent="0.35">
      <c r="A250" t="str">
        <f ca="1"/>
        <v>EJ827169 Corp</v>
      </c>
      <c r="B250" t="str">
        <f ca="1"/>
        <v>Japan Government Thirty Year Bond</v>
      </c>
      <c r="C250" t="str">
        <f ca="1"/>
        <v>JGB</v>
      </c>
      <c r="D250" t="str">
        <f ca="1"/>
        <v>JP</v>
      </c>
      <c r="E250" t="str">
        <f ca="1"/>
        <v>JPY</v>
      </c>
      <c r="F250" t="str">
        <f ca="1"/>
        <v>20/09/2043</v>
      </c>
      <c r="G250" t="str">
        <f ca="1"/>
        <v>FIXED</v>
      </c>
      <c r="H250">
        <f ca="1"/>
        <v>2</v>
      </c>
      <c r="I250">
        <f ca="1"/>
        <v>1.8</v>
      </c>
      <c r="J250">
        <f ca="1"/>
        <v>3.1300000000000026</v>
      </c>
      <c r="K250">
        <f ca="1"/>
        <v>3.1580000000000004</v>
      </c>
      <c r="L250">
        <f ca="1"/>
        <v>84.947000000000003</v>
      </c>
      <c r="M250">
        <f ca="1"/>
        <v>84.679000000000002</v>
      </c>
      <c r="N250" t="str">
        <f ca="1"/>
        <v>EJ8271698</v>
      </c>
      <c r="O250" t="str">
        <f ca="1"/>
        <v>JP1300401D91</v>
      </c>
      <c r="P250" t="str">
        <f ca="1"/>
        <v>A+</v>
      </c>
      <c r="Q250" s="3">
        <f ca="1"/>
        <v>41527</v>
      </c>
      <c r="R250" s="4">
        <f ca="1"/>
        <v>46101</v>
      </c>
      <c r="S250" s="4">
        <f ca="1"/>
        <v>17.475701574264203</v>
      </c>
      <c r="T250">
        <f ca="1"/>
        <v>84.813000000000002</v>
      </c>
      <c r="U250">
        <f ca="1"/>
        <v>188</v>
      </c>
      <c r="V250">
        <f ca="1"/>
        <v>17</v>
      </c>
      <c r="W250">
        <f ca="1"/>
        <v>13</v>
      </c>
      <c r="X250">
        <f ca="1"/>
        <v>1.8890109890109892</v>
      </c>
      <c r="Y250">
        <f ca="1"/>
        <v>82.923989010989018</v>
      </c>
      <c r="Z250">
        <f ca="1"/>
        <v>3.1440000000000015</v>
      </c>
    </row>
    <row r="251" spans="1:26" x14ac:dyDescent="0.35">
      <c r="A251" t="str">
        <f ca="1"/>
        <v>ZH548728 Corp</v>
      </c>
      <c r="B251" t="str">
        <f ca="1"/>
        <v>Japan Government Twenty Year Bond</v>
      </c>
      <c r="C251" t="str">
        <f ca="1"/>
        <v>JGB</v>
      </c>
      <c r="D251" t="str">
        <f ca="1"/>
        <v>JP</v>
      </c>
      <c r="E251" t="str">
        <f ca="1"/>
        <v>JPY</v>
      </c>
      <c r="F251" t="str">
        <f ca="1"/>
        <v>20/09/2043</v>
      </c>
      <c r="G251" t="str">
        <f ca="1"/>
        <v>FIXED</v>
      </c>
      <c r="H251">
        <f ca="1"/>
        <v>2</v>
      </c>
      <c r="I251">
        <f ca="1"/>
        <v>1.5</v>
      </c>
      <c r="J251">
        <f ca="1"/>
        <v>3.2019999999999653</v>
      </c>
      <c r="K251">
        <f ca="1"/>
        <v>3.2279999999999598</v>
      </c>
      <c r="L251">
        <f ca="1"/>
        <v>80.893000000000001</v>
      </c>
      <c r="M251">
        <f ca="1"/>
        <v>80.656999999999996</v>
      </c>
      <c r="N251" t="str">
        <f ca="1"/>
        <v>ZH5487280</v>
      </c>
      <c r="O251" t="str">
        <f ca="1"/>
        <v>JP1201861PA6</v>
      </c>
      <c r="P251" t="str">
        <f ca="1"/>
        <v>A+</v>
      </c>
      <c r="Q251" s="3">
        <f ca="1"/>
        <v>45209</v>
      </c>
      <c r="R251" s="4">
        <f ca="1"/>
        <v>46101</v>
      </c>
      <c r="S251" s="4">
        <f ca="1"/>
        <v>17.475701574264203</v>
      </c>
      <c r="T251">
        <f ca="1"/>
        <v>80.775000000000006</v>
      </c>
      <c r="U251">
        <f ca="1"/>
        <v>298</v>
      </c>
      <c r="V251">
        <f ca="1"/>
        <v>17</v>
      </c>
      <c r="W251">
        <f ca="1"/>
        <v>3</v>
      </c>
      <c r="X251">
        <f ca="1"/>
        <v>1.5741758241758244</v>
      </c>
      <c r="Y251">
        <f ca="1"/>
        <v>79.200824175824181</v>
      </c>
      <c r="Z251">
        <f ca="1"/>
        <v>3.2149999999999626</v>
      </c>
    </row>
    <row r="252" spans="1:26" x14ac:dyDescent="0.35">
      <c r="A252" t="str">
        <f ca="1"/>
        <v>EJ983025 Corp</v>
      </c>
      <c r="B252" t="str">
        <f ca="1"/>
        <v>Japan Government Thirty Year Bond</v>
      </c>
      <c r="C252" t="str">
        <f ca="1"/>
        <v>JGB</v>
      </c>
      <c r="D252" t="str">
        <f ca="1"/>
        <v>JP</v>
      </c>
      <c r="E252" t="str">
        <f ca="1"/>
        <v>JPY</v>
      </c>
      <c r="F252" t="str">
        <f ca="1"/>
        <v>20/12/2043</v>
      </c>
      <c r="G252" t="str">
        <f ca="1"/>
        <v>FIXED</v>
      </c>
      <c r="H252">
        <f ca="1"/>
        <v>2</v>
      </c>
      <c r="I252">
        <f ca="1"/>
        <v>1.7</v>
      </c>
      <c r="J252">
        <f ca="1"/>
        <v>3.1779999999999964</v>
      </c>
      <c r="K252">
        <f ca="1"/>
        <v>3.2039999999999931</v>
      </c>
      <c r="L252">
        <f ca="1"/>
        <v>83.210999999999999</v>
      </c>
      <c r="M252">
        <f ca="1"/>
        <v>82.965999999999994</v>
      </c>
      <c r="N252" t="str">
        <f ca="1"/>
        <v>EJ9830252</v>
      </c>
      <c r="O252" t="str">
        <f ca="1"/>
        <v>JP1300411DC2</v>
      </c>
      <c r="P252" t="str">
        <f ca="1"/>
        <v>A+</v>
      </c>
      <c r="Q252" s="3">
        <f ca="1"/>
        <v>41618</v>
      </c>
      <c r="R252" s="4">
        <f ca="1"/>
        <v>46193</v>
      </c>
      <c r="S252" s="4">
        <f ca="1"/>
        <v>17.724845995893222</v>
      </c>
      <c r="T252">
        <f ca="1"/>
        <v>83.088499999999996</v>
      </c>
      <c r="U252">
        <f ca="1"/>
        <v>190</v>
      </c>
      <c r="V252">
        <f ca="1"/>
        <v>17.5</v>
      </c>
      <c r="W252">
        <f ca="1"/>
        <v>13</v>
      </c>
      <c r="X252">
        <f ca="1"/>
        <v>0.93406593406593408</v>
      </c>
      <c r="Y252">
        <f ca="1"/>
        <v>82.154434065934069</v>
      </c>
      <c r="Z252">
        <f ca="1"/>
        <v>3.1909999999999945</v>
      </c>
    </row>
    <row r="253" spans="1:26" x14ac:dyDescent="0.35">
      <c r="A253" t="str">
        <f ca="1"/>
        <v>ZF423028 Corp</v>
      </c>
      <c r="B253" t="str">
        <f ca="1"/>
        <v>Japan Government Twenty Year Bond</v>
      </c>
      <c r="C253" t="str">
        <f ca="1"/>
        <v>JGB</v>
      </c>
      <c r="D253" t="str">
        <f ca="1"/>
        <v>JP</v>
      </c>
      <c r="E253" t="str">
        <f ca="1"/>
        <v>JPY</v>
      </c>
      <c r="F253" t="str">
        <f ca="1"/>
        <v>20/12/2043</v>
      </c>
      <c r="G253" t="str">
        <f ca="1"/>
        <v>FIXED</v>
      </c>
      <c r="H253">
        <f ca="1"/>
        <v>2</v>
      </c>
      <c r="I253">
        <f ca="1"/>
        <v>1.3</v>
      </c>
      <c r="J253">
        <f ca="1"/>
        <v>3.2859999999997211</v>
      </c>
      <c r="K253">
        <f ca="1"/>
        <v>3.3109999999996833</v>
      </c>
      <c r="L253">
        <f ca="1"/>
        <v>77.713999999999999</v>
      </c>
      <c r="M253">
        <f ca="1"/>
        <v>77.497</v>
      </c>
      <c r="N253" t="str">
        <f ca="1"/>
        <v>ZF4230289</v>
      </c>
      <c r="O253" t="str">
        <f ca="1"/>
        <v>JP1201871Q14</v>
      </c>
      <c r="P253" t="str">
        <f ca="1"/>
        <v>A+</v>
      </c>
      <c r="Q253" s="3">
        <f ca="1"/>
        <v>45302</v>
      </c>
      <c r="R253" s="4">
        <f ca="1"/>
        <v>46193</v>
      </c>
      <c r="S253" s="4">
        <f ca="1"/>
        <v>17.724845995893222</v>
      </c>
      <c r="T253">
        <f ca="1"/>
        <v>77.605500000000006</v>
      </c>
      <c r="U253">
        <f ca="1"/>
        <v>292</v>
      </c>
      <c r="V253">
        <f ca="1"/>
        <v>17.5</v>
      </c>
      <c r="W253">
        <f ca="1"/>
        <v>2</v>
      </c>
      <c r="X253">
        <f ca="1"/>
        <v>0.71428571428571441</v>
      </c>
      <c r="Y253">
        <f ca="1"/>
        <v>76.891214285714298</v>
      </c>
      <c r="Z253">
        <f ca="1"/>
        <v>3.2984999999997022</v>
      </c>
    </row>
    <row r="254" spans="1:26" x14ac:dyDescent="0.35">
      <c r="A254" t="str">
        <f ca="1"/>
        <v>EK112323 Corp</v>
      </c>
      <c r="B254" t="str">
        <f ca="1"/>
        <v>Japan Government Thirty Year Bond</v>
      </c>
      <c r="C254" t="str">
        <f ca="1"/>
        <v>JGB</v>
      </c>
      <c r="D254" t="str">
        <f ca="1"/>
        <v>JP</v>
      </c>
      <c r="E254" t="str">
        <f ca="1"/>
        <v>JPY</v>
      </c>
      <c r="F254" t="str">
        <f ca="1"/>
        <v>20/03/2044</v>
      </c>
      <c r="G254" t="str">
        <f ca="1"/>
        <v>FIXED</v>
      </c>
      <c r="H254">
        <f ca="1"/>
        <v>2</v>
      </c>
      <c r="I254">
        <f ca="1"/>
        <v>1.7</v>
      </c>
      <c r="J254">
        <f ca="1"/>
        <v>3.2059999999999951</v>
      </c>
      <c r="K254">
        <f ca="1"/>
        <v>3.2339999999999907</v>
      </c>
      <c r="L254">
        <f ca="1"/>
        <v>82.798000000000002</v>
      </c>
      <c r="M254">
        <f ca="1"/>
        <v>82.534000000000006</v>
      </c>
      <c r="N254" t="str">
        <f ca="1"/>
        <v>EK1123232</v>
      </c>
      <c r="O254" t="str">
        <f ca="1"/>
        <v>JP1300421E39</v>
      </c>
      <c r="P254" t="str">
        <f ca="1"/>
        <v>A+</v>
      </c>
      <c r="Q254" s="3">
        <f ca="1"/>
        <v>41704</v>
      </c>
      <c r="R254" s="4">
        <f ca="1"/>
        <v>46101</v>
      </c>
      <c r="S254" s="4">
        <f ca="1"/>
        <v>17.973990417522245</v>
      </c>
      <c r="T254">
        <f ca="1"/>
        <v>82.665999999999997</v>
      </c>
      <c r="U254">
        <f ca="1"/>
        <v>192</v>
      </c>
      <c r="V254">
        <f ca="1"/>
        <v>17.5</v>
      </c>
      <c r="W254">
        <f ca="1"/>
        <v>12</v>
      </c>
      <c r="X254">
        <f ca="1"/>
        <v>1.7840659340659342</v>
      </c>
      <c r="Y254">
        <f ca="1"/>
        <v>80.881934065934061</v>
      </c>
      <c r="Z254">
        <f ca="1"/>
        <v>3.2199999999999926</v>
      </c>
    </row>
    <row r="255" spans="1:26" x14ac:dyDescent="0.35">
      <c r="A255" t="str">
        <f ca="1"/>
        <v>ZB372665 Corp</v>
      </c>
      <c r="B255" t="str">
        <f ca="1"/>
        <v>Japan Government Twenty Year Bond</v>
      </c>
      <c r="C255" t="str">
        <f ca="1"/>
        <v>JGB</v>
      </c>
      <c r="D255" t="str">
        <f ca="1"/>
        <v>JP</v>
      </c>
      <c r="E255" t="str">
        <f ca="1"/>
        <v>JPY</v>
      </c>
      <c r="F255" t="str">
        <f ca="1"/>
        <v>20/03/2044</v>
      </c>
      <c r="G255" t="str">
        <f ca="1"/>
        <v>FIXED</v>
      </c>
      <c r="H255">
        <f ca="1"/>
        <v>2</v>
      </c>
      <c r="I255">
        <f ca="1"/>
        <v>1.6</v>
      </c>
      <c r="J255">
        <f ca="1"/>
        <v>3.234999999999979</v>
      </c>
      <c r="K255">
        <f ca="1"/>
        <v>3.2589999999999755</v>
      </c>
      <c r="L255">
        <f ca="1"/>
        <v>81.385999999999996</v>
      </c>
      <c r="M255">
        <f ca="1"/>
        <v>81.164000000000001</v>
      </c>
      <c r="N255" t="str">
        <f ca="1"/>
        <v>ZB3726658</v>
      </c>
      <c r="O255" t="str">
        <f ca="1"/>
        <v>JP1201881Q46</v>
      </c>
      <c r="P255" t="str">
        <f ca="1"/>
        <v>A+</v>
      </c>
      <c r="Q255" s="3">
        <f ca="1"/>
        <v>45386</v>
      </c>
      <c r="R255" s="4">
        <f ca="1"/>
        <v>46101</v>
      </c>
      <c r="S255" s="4">
        <f ca="1"/>
        <v>17.973990417522245</v>
      </c>
      <c r="T255">
        <f ca="1"/>
        <v>81.275000000000006</v>
      </c>
      <c r="U255">
        <f ca="1"/>
        <v>284</v>
      </c>
      <c r="V255">
        <f ca="1"/>
        <v>17.5</v>
      </c>
      <c r="W255">
        <f ca="1"/>
        <v>2</v>
      </c>
      <c r="X255">
        <f ca="1"/>
        <v>1.6791208791208794</v>
      </c>
      <c r="Y255">
        <f ca="1"/>
        <v>79.595879120879133</v>
      </c>
      <c r="Z255">
        <f ca="1"/>
        <v>3.2469999999999772</v>
      </c>
    </row>
    <row r="256" spans="1:26" x14ac:dyDescent="0.35">
      <c r="A256" t="str">
        <f ca="1"/>
        <v>EK317779 Corp</v>
      </c>
      <c r="B256" t="str">
        <f ca="1"/>
        <v>Japan Government Thirty Year Bond</v>
      </c>
      <c r="C256" t="str">
        <f ca="1"/>
        <v>JGB</v>
      </c>
      <c r="D256" t="str">
        <f ca="1"/>
        <v>JP</v>
      </c>
      <c r="E256" t="str">
        <f ca="1"/>
        <v>JPY</v>
      </c>
      <c r="F256" t="str">
        <f ca="1"/>
        <v>20/06/2044</v>
      </c>
      <c r="G256" t="str">
        <f ca="1"/>
        <v>FIXED</v>
      </c>
      <c r="H256">
        <f ca="1"/>
        <v>2</v>
      </c>
      <c r="I256">
        <f ca="1"/>
        <v>1.7</v>
      </c>
      <c r="J256">
        <f ca="1"/>
        <v>3.2309999999999941</v>
      </c>
      <c r="K256">
        <f ca="1"/>
        <v>3.2599999999999896</v>
      </c>
      <c r="L256">
        <f ca="1"/>
        <v>82.408000000000001</v>
      </c>
      <c r="M256">
        <f ca="1"/>
        <v>82.135000000000005</v>
      </c>
      <c r="N256" t="str">
        <f ca="1"/>
        <v>EK3177798</v>
      </c>
      <c r="O256" t="str">
        <f ca="1"/>
        <v>JP1300431E60</v>
      </c>
      <c r="P256" t="str">
        <f ca="1"/>
        <v>A+</v>
      </c>
      <c r="Q256" s="3">
        <f ca="1"/>
        <v>41795</v>
      </c>
      <c r="R256" s="4">
        <f ca="1"/>
        <v>46193</v>
      </c>
      <c r="S256" s="4">
        <f ca="1"/>
        <v>18.225872689938399</v>
      </c>
      <c r="T256">
        <f ca="1"/>
        <v>82.271500000000003</v>
      </c>
      <c r="U256">
        <f ca="1"/>
        <v>195</v>
      </c>
      <c r="V256">
        <f ca="1"/>
        <v>18</v>
      </c>
      <c r="W256">
        <f ca="1"/>
        <v>12</v>
      </c>
      <c r="X256">
        <f ca="1"/>
        <v>0.93406593406593408</v>
      </c>
      <c r="Y256">
        <f ca="1"/>
        <v>81.337434065934076</v>
      </c>
      <c r="Z256">
        <f ca="1"/>
        <v>3.2454999999999918</v>
      </c>
    </row>
    <row r="257" spans="1:26" x14ac:dyDescent="0.35">
      <c r="A257" t="str">
        <f ca="1"/>
        <v>YW348675 Corp</v>
      </c>
      <c r="B257" t="str">
        <f ca="1"/>
        <v>Japan Government Twenty Year Bond</v>
      </c>
      <c r="C257" t="str">
        <f ca="1"/>
        <v>JGB</v>
      </c>
      <c r="D257" t="str">
        <f ca="1"/>
        <v>JP</v>
      </c>
      <c r="E257" t="str">
        <f ca="1"/>
        <v>JPY</v>
      </c>
      <c r="F257" t="str">
        <f ca="1"/>
        <v>20/06/2044</v>
      </c>
      <c r="G257" t="str">
        <f ca="1"/>
        <v>FIXED</v>
      </c>
      <c r="H257">
        <f ca="1"/>
        <v>2</v>
      </c>
      <c r="I257">
        <f ca="1"/>
        <v>1.9</v>
      </c>
      <c r="J257">
        <f ca="1"/>
        <v>3.1830000000000007</v>
      </c>
      <c r="K257">
        <f ca="1"/>
        <v>3.2069999999999981</v>
      </c>
      <c r="L257">
        <f ca="1"/>
        <v>85.176000000000002</v>
      </c>
      <c r="M257">
        <f ca="1"/>
        <v>84.941000000000003</v>
      </c>
      <c r="N257" t="str">
        <f ca="1"/>
        <v>YW3486753</v>
      </c>
      <c r="O257" t="str">
        <f ca="1"/>
        <v>JP1201891Q77</v>
      </c>
      <c r="P257" t="str">
        <f ca="1"/>
        <v>A+</v>
      </c>
      <c r="Q257" s="3">
        <f ca="1"/>
        <v>45477</v>
      </c>
      <c r="R257" s="4">
        <f ca="1"/>
        <v>46193</v>
      </c>
      <c r="S257" s="4">
        <f ca="1"/>
        <v>18.225872689938399</v>
      </c>
      <c r="T257">
        <f ca="1"/>
        <v>85.058500000000009</v>
      </c>
      <c r="U257">
        <f ca="1"/>
        <v>272</v>
      </c>
      <c r="V257">
        <f ca="1"/>
        <v>18</v>
      </c>
      <c r="W257">
        <f ca="1"/>
        <v>2</v>
      </c>
      <c r="X257">
        <f ca="1"/>
        <v>1.043956043956044</v>
      </c>
      <c r="Y257">
        <f ca="1"/>
        <v>84.014543956043966</v>
      </c>
      <c r="Z257">
        <f ca="1"/>
        <v>3.1949999999999994</v>
      </c>
    </row>
    <row r="258" spans="1:26" x14ac:dyDescent="0.35">
      <c r="A258" t="str">
        <f ca="1"/>
        <v>EK482639 Corp</v>
      </c>
      <c r="B258" t="str">
        <f ca="1"/>
        <v>Japan Government Thirty Year Bond</v>
      </c>
      <c r="C258" t="str">
        <f ca="1"/>
        <v>JGB</v>
      </c>
      <c r="D258" t="str">
        <f ca="1"/>
        <v>JP</v>
      </c>
      <c r="E258" t="str">
        <f ca="1"/>
        <v>JPY</v>
      </c>
      <c r="F258" t="str">
        <f ca="1"/>
        <v>20/09/2044</v>
      </c>
      <c r="G258" t="str">
        <f ca="1"/>
        <v>FIXED</v>
      </c>
      <c r="H258">
        <f ca="1"/>
        <v>2</v>
      </c>
      <c r="I258">
        <f ca="1"/>
        <v>1.7</v>
      </c>
      <c r="J258">
        <f ca="1"/>
        <v>3.2519999999999891</v>
      </c>
      <c r="K258">
        <f ca="1"/>
        <v>3.2799999999999878</v>
      </c>
      <c r="L258">
        <f ca="1"/>
        <v>82.057000000000002</v>
      </c>
      <c r="M258">
        <f ca="1"/>
        <v>81.792000000000002</v>
      </c>
      <c r="N258" t="str">
        <f ca="1"/>
        <v>EK4826393</v>
      </c>
      <c r="O258" t="str">
        <f ca="1"/>
        <v>JP1300441E92</v>
      </c>
      <c r="P258" t="str">
        <f ca="1"/>
        <v>A+</v>
      </c>
      <c r="Q258" s="3">
        <f ca="1"/>
        <v>41891</v>
      </c>
      <c r="R258" s="4">
        <f ca="1"/>
        <v>46101</v>
      </c>
      <c r="S258" s="4">
        <f ca="1"/>
        <v>18.477754962354553</v>
      </c>
      <c r="T258">
        <f ca="1"/>
        <v>81.924499999999995</v>
      </c>
      <c r="U258">
        <f ca="1"/>
        <v>197</v>
      </c>
      <c r="V258">
        <f ca="1"/>
        <v>18</v>
      </c>
      <c r="W258">
        <f ca="1"/>
        <v>12</v>
      </c>
      <c r="X258">
        <f ca="1"/>
        <v>1.7840659340659342</v>
      </c>
      <c r="Y258">
        <f ca="1"/>
        <v>80.140434065934059</v>
      </c>
      <c r="Z258">
        <f ca="1"/>
        <v>3.2659999999999885</v>
      </c>
    </row>
    <row r="259" spans="1:26" x14ac:dyDescent="0.35">
      <c r="A259" t="str">
        <f ca="1"/>
        <v>YU740781 Corp</v>
      </c>
      <c r="B259" t="str">
        <f ca="1"/>
        <v>Japan Government Twenty Year Bond</v>
      </c>
      <c r="C259" t="str">
        <f ca="1"/>
        <v>JGB</v>
      </c>
      <c r="D259" t="str">
        <f ca="1"/>
        <v>JP</v>
      </c>
      <c r="E259" t="str">
        <f ca="1"/>
        <v>JPY</v>
      </c>
      <c r="F259" t="str">
        <f ca="1"/>
        <v>20/09/2044</v>
      </c>
      <c r="G259" t="str">
        <f ca="1"/>
        <v>FIXED</v>
      </c>
      <c r="H259">
        <f ca="1"/>
        <v>2</v>
      </c>
      <c r="I259">
        <f ca="1"/>
        <v>1.8</v>
      </c>
      <c r="J259">
        <f ca="1"/>
        <v>3.2319999999999975</v>
      </c>
      <c r="K259">
        <f ca="1"/>
        <v>3.2559999999999971</v>
      </c>
      <c r="L259">
        <f ca="1"/>
        <v>83.406000000000006</v>
      </c>
      <c r="M259">
        <f ca="1"/>
        <v>83.174999999999997</v>
      </c>
      <c r="N259" t="str">
        <f ca="1"/>
        <v>YU7407817</v>
      </c>
      <c r="O259" t="str">
        <f ca="1"/>
        <v>JP1201901QA8</v>
      </c>
      <c r="P259" t="str">
        <f ca="1"/>
        <v>A+</v>
      </c>
      <c r="Q259" s="3">
        <f ca="1"/>
        <v>45582</v>
      </c>
      <c r="R259" s="4">
        <f ca="1"/>
        <v>46101</v>
      </c>
      <c r="S259" s="4">
        <f ca="1"/>
        <v>18.477754962354553</v>
      </c>
      <c r="T259">
        <f ca="1"/>
        <v>83.290500000000009</v>
      </c>
      <c r="U259">
        <f ca="1"/>
        <v>263</v>
      </c>
      <c r="V259">
        <f ca="1"/>
        <v>18</v>
      </c>
      <c r="W259">
        <f ca="1"/>
        <v>2</v>
      </c>
      <c r="X259">
        <f ca="1"/>
        <v>1.8890109890109892</v>
      </c>
      <c r="Y259">
        <f ca="1"/>
        <v>81.401489010989025</v>
      </c>
      <c r="Z259">
        <f ca="1"/>
        <v>3.2439999999999971</v>
      </c>
    </row>
    <row r="260" spans="1:26" x14ac:dyDescent="0.35">
      <c r="A260" t="str">
        <f ca="1"/>
        <v>EK650156 Corp</v>
      </c>
      <c r="B260" t="str">
        <f ca="1"/>
        <v>Japan Government Thirty Year Bond</v>
      </c>
      <c r="C260" t="str">
        <f ca="1"/>
        <v>JGB</v>
      </c>
      <c r="D260" t="str">
        <f ca="1"/>
        <v>JP</v>
      </c>
      <c r="E260" t="str">
        <f ca="1"/>
        <v>JPY</v>
      </c>
      <c r="F260" t="str">
        <f ca="1"/>
        <v>20/12/2044</v>
      </c>
      <c r="G260" t="str">
        <f ca="1"/>
        <v>FIXED</v>
      </c>
      <c r="H260">
        <f ca="1"/>
        <v>2</v>
      </c>
      <c r="I260">
        <f ca="1"/>
        <v>1.5</v>
      </c>
      <c r="J260">
        <f ca="1"/>
        <v>3.3429999999998983</v>
      </c>
      <c r="K260">
        <f ca="1"/>
        <v>3.3679999999998835</v>
      </c>
      <c r="L260">
        <f ca="1"/>
        <v>78.739999999999995</v>
      </c>
      <c r="M260">
        <f ca="1"/>
        <v>78.513999999999996</v>
      </c>
      <c r="N260" t="str">
        <f ca="1"/>
        <v>EK6501564</v>
      </c>
      <c r="O260" t="str">
        <f ca="1"/>
        <v>JP1300451EC6</v>
      </c>
      <c r="P260" t="str">
        <f ca="1"/>
        <v>A+</v>
      </c>
      <c r="Q260" s="3">
        <f ca="1"/>
        <v>41982</v>
      </c>
      <c r="R260" s="4">
        <f ca="1"/>
        <v>46193</v>
      </c>
      <c r="S260" s="4">
        <f ca="1"/>
        <v>18.726899383983572</v>
      </c>
      <c r="T260">
        <f ca="1"/>
        <v>78.626999999999995</v>
      </c>
      <c r="U260">
        <f ca="1"/>
        <v>199</v>
      </c>
      <c r="V260">
        <f ca="1"/>
        <v>18.5</v>
      </c>
      <c r="W260">
        <f ca="1"/>
        <v>12</v>
      </c>
      <c r="X260">
        <f ca="1"/>
        <v>0.82417582417582425</v>
      </c>
      <c r="Y260">
        <f ca="1"/>
        <v>77.802824175824171</v>
      </c>
      <c r="Z260">
        <f ca="1"/>
        <v>3.3554999999998909</v>
      </c>
    </row>
    <row r="261" spans="1:26" x14ac:dyDescent="0.35">
      <c r="A261" t="str">
        <f ca="1"/>
        <v>YS702880 Corp</v>
      </c>
      <c r="B261" t="str">
        <f ca="1"/>
        <v>Japan Government Twenty Year Bond</v>
      </c>
      <c r="C261" t="str">
        <f ca="1"/>
        <v>JGB</v>
      </c>
      <c r="D261" t="str">
        <f ca="1"/>
        <v>JP</v>
      </c>
      <c r="E261" t="str">
        <f ca="1"/>
        <v>JPY</v>
      </c>
      <c r="F261" t="str">
        <f ca="1"/>
        <v>20/12/2044</v>
      </c>
      <c r="G261" t="str">
        <f ca="1"/>
        <v>FIXED</v>
      </c>
      <c r="H261">
        <f ca="1"/>
        <v>2</v>
      </c>
      <c r="I261">
        <f ca="1"/>
        <v>2</v>
      </c>
      <c r="J261">
        <f ca="1"/>
        <v>3.2049999999999992</v>
      </c>
      <c r="K261">
        <f ca="1"/>
        <v>3.2289999999999988</v>
      </c>
      <c r="L261">
        <f ca="1"/>
        <v>85.875</v>
      </c>
      <c r="M261">
        <f ca="1"/>
        <v>85.634</v>
      </c>
      <c r="N261" t="str">
        <f ca="1"/>
        <v>YS7028808</v>
      </c>
      <c r="O261" t="str">
        <f ca="1"/>
        <v>JP1201911R15</v>
      </c>
      <c r="P261" t="str">
        <f ca="1"/>
        <v>A+</v>
      </c>
      <c r="Q261" s="3">
        <f ca="1"/>
        <v>45666</v>
      </c>
      <c r="R261" s="4">
        <f ca="1"/>
        <v>46193</v>
      </c>
      <c r="S261" s="4">
        <f ca="1"/>
        <v>18.726899383983572</v>
      </c>
      <c r="T261">
        <f ca="1"/>
        <v>85.754500000000007</v>
      </c>
      <c r="U261">
        <f ca="1"/>
        <v>256</v>
      </c>
      <c r="V261">
        <f ca="1"/>
        <v>18.5</v>
      </c>
      <c r="W261">
        <f ca="1"/>
        <v>1</v>
      </c>
      <c r="X261">
        <f ca="1"/>
        <v>1.098901098901099</v>
      </c>
      <c r="Y261">
        <f ca="1"/>
        <v>84.655598901098912</v>
      </c>
      <c r="Z261">
        <f ca="1"/>
        <v>3.2169999999999987</v>
      </c>
    </row>
    <row r="262" spans="1:26" x14ac:dyDescent="0.35">
      <c r="A262" t="str">
        <f ca="1"/>
        <v>EK789693 Corp</v>
      </c>
      <c r="B262" t="str">
        <f ca="1"/>
        <v>Japan Government Thirty Year Bond</v>
      </c>
      <c r="C262" t="str">
        <f ca="1"/>
        <v>JGB</v>
      </c>
      <c r="D262" t="str">
        <f ca="1"/>
        <v>JP</v>
      </c>
      <c r="E262" t="str">
        <f ca="1"/>
        <v>JPY</v>
      </c>
      <c r="F262" t="str">
        <f ca="1"/>
        <v>20/03/2045</v>
      </c>
      <c r="G262" t="str">
        <f ca="1"/>
        <v>FIXED</v>
      </c>
      <c r="H262">
        <f ca="1"/>
        <v>2</v>
      </c>
      <c r="I262">
        <f ca="1"/>
        <v>1.5</v>
      </c>
      <c r="J262">
        <f ca="1"/>
        <v>3.3679999999998524</v>
      </c>
      <c r="K262">
        <f ca="1"/>
        <v>3.3949999999998313</v>
      </c>
      <c r="L262">
        <f ca="1"/>
        <v>78.341999999999999</v>
      </c>
      <c r="M262">
        <f ca="1"/>
        <v>78.096999999999994</v>
      </c>
      <c r="N262" t="str">
        <f ca="1"/>
        <v>EK7896930</v>
      </c>
      <c r="O262" t="str">
        <f ca="1"/>
        <v>JP1300461F39</v>
      </c>
      <c r="P262" t="str">
        <f ca="1"/>
        <v>A+</v>
      </c>
      <c r="Q262" s="3">
        <f ca="1"/>
        <v>42068</v>
      </c>
      <c r="R262" s="4">
        <f ca="1"/>
        <v>46101</v>
      </c>
      <c r="S262" s="4">
        <f ca="1"/>
        <v>18.973305954825463</v>
      </c>
      <c r="T262">
        <f ca="1"/>
        <v>78.219499999999996</v>
      </c>
      <c r="U262">
        <f ca="1"/>
        <v>201</v>
      </c>
      <c r="V262">
        <f ca="1"/>
        <v>18.5</v>
      </c>
      <c r="W262">
        <f ca="1"/>
        <v>11</v>
      </c>
      <c r="X262">
        <f ca="1"/>
        <v>1.5741758241758244</v>
      </c>
      <c r="Y262">
        <f ca="1"/>
        <v>76.645324175824172</v>
      </c>
      <c r="Z262">
        <f ca="1"/>
        <v>3.3814999999998419</v>
      </c>
    </row>
    <row r="263" spans="1:26" x14ac:dyDescent="0.35">
      <c r="A263" t="str">
        <f ca="1"/>
        <v>YP620021 Corp</v>
      </c>
      <c r="B263" t="str">
        <f ca="1"/>
        <v>Japan Government Twenty Year Bond</v>
      </c>
      <c r="C263" t="str">
        <f ca="1"/>
        <v>JGB</v>
      </c>
      <c r="D263" t="str">
        <f ca="1"/>
        <v>JP</v>
      </c>
      <c r="E263" t="str">
        <f ca="1"/>
        <v>JPY</v>
      </c>
      <c r="F263" t="str">
        <f ca="1"/>
        <v>20/03/2045</v>
      </c>
      <c r="G263" t="str">
        <f ca="1"/>
        <v>FIXED</v>
      </c>
      <c r="H263">
        <f ca="1"/>
        <v>2</v>
      </c>
      <c r="I263">
        <f ca="1"/>
        <v>2.4</v>
      </c>
      <c r="J263">
        <f ca="1"/>
        <v>3.1269999999791045</v>
      </c>
      <c r="K263">
        <f ca="1"/>
        <v>3.150999999974903</v>
      </c>
      <c r="L263">
        <f ca="1"/>
        <v>91.328000000000003</v>
      </c>
      <c r="M263">
        <f ca="1"/>
        <v>91.067999999999998</v>
      </c>
      <c r="N263" t="str">
        <f ca="1"/>
        <v>YP6200214</v>
      </c>
      <c r="O263" t="str">
        <f ca="1"/>
        <v>JP1201921R47</v>
      </c>
      <c r="P263" t="str">
        <f ca="1"/>
        <v>A+</v>
      </c>
      <c r="Q263" s="3">
        <f ca="1"/>
        <v>45755</v>
      </c>
      <c r="R263" s="4">
        <f ca="1"/>
        <v>46101</v>
      </c>
      <c r="S263" s="4">
        <f ca="1"/>
        <v>18.973305954825463</v>
      </c>
      <c r="T263">
        <f ca="1"/>
        <v>91.198000000000008</v>
      </c>
      <c r="U263">
        <f ca="1"/>
        <v>244</v>
      </c>
      <c r="V263">
        <f ca="1"/>
        <v>18.5</v>
      </c>
      <c r="W263">
        <f ca="1"/>
        <v>1</v>
      </c>
      <c r="X263">
        <f ca="1"/>
        <v>2.5186813186813186</v>
      </c>
      <c r="Y263">
        <f ca="1"/>
        <v>88.679318681318691</v>
      </c>
      <c r="Z263">
        <f ca="1"/>
        <v>3.1389999999770035</v>
      </c>
    </row>
    <row r="264" spans="1:26" x14ac:dyDescent="0.35">
      <c r="A264" t="str">
        <f ca="1"/>
        <v>EK957539 Corp</v>
      </c>
      <c r="B264" t="str">
        <f ca="1"/>
        <v>Japan Government Thirty Year Bond</v>
      </c>
      <c r="C264" t="str">
        <f ca="1"/>
        <v>JGB</v>
      </c>
      <c r="D264" t="str">
        <f ca="1"/>
        <v>JP</v>
      </c>
      <c r="E264" t="str">
        <f ca="1"/>
        <v>JPY</v>
      </c>
      <c r="F264" t="str">
        <f ca="1"/>
        <v>20/06/2045</v>
      </c>
      <c r="G264" t="str">
        <f ca="1"/>
        <v>FIXED</v>
      </c>
      <c r="H264">
        <f ca="1"/>
        <v>2</v>
      </c>
      <c r="I264">
        <f ca="1"/>
        <v>1.6</v>
      </c>
      <c r="J264">
        <f ca="1"/>
        <v>3.3629999999999427</v>
      </c>
      <c r="K264">
        <f ca="1"/>
        <v>3.3899999999999357</v>
      </c>
      <c r="L264">
        <f ca="1"/>
        <v>79.382999999999996</v>
      </c>
      <c r="M264">
        <f ca="1"/>
        <v>79.132999999999996</v>
      </c>
      <c r="N264" t="str">
        <f ca="1"/>
        <v>EK9575391</v>
      </c>
      <c r="O264" t="str">
        <f ca="1"/>
        <v>JP1300471F60</v>
      </c>
      <c r="P264" t="str">
        <f ca="1"/>
        <v>A+</v>
      </c>
      <c r="Q264" s="3">
        <f ca="1"/>
        <v>42159</v>
      </c>
      <c r="R264" s="4">
        <f ca="1"/>
        <v>46193</v>
      </c>
      <c r="S264" s="4">
        <f ca="1"/>
        <v>19.225188227241617</v>
      </c>
      <c r="T264">
        <f ca="1"/>
        <v>79.257999999999996</v>
      </c>
      <c r="U264">
        <f ca="1"/>
        <v>204</v>
      </c>
      <c r="V264">
        <f ca="1"/>
        <v>19</v>
      </c>
      <c r="W264">
        <f ca="1"/>
        <v>11</v>
      </c>
      <c r="X264">
        <f ca="1"/>
        <v>0.87912087912087922</v>
      </c>
      <c r="Y264">
        <f ca="1"/>
        <v>78.37887912087912</v>
      </c>
      <c r="Z264">
        <f ca="1"/>
        <v>3.3764999999999392</v>
      </c>
    </row>
    <row r="265" spans="1:26" x14ac:dyDescent="0.35">
      <c r="A265" t="str">
        <f ca="1"/>
        <v>YM201672 Corp</v>
      </c>
      <c r="B265" t="str">
        <f ca="1"/>
        <v>Japan Government Twenty Year Bond</v>
      </c>
      <c r="C265" t="str">
        <f ca="1"/>
        <v>JGB</v>
      </c>
      <c r="D265" t="str">
        <f ca="1"/>
        <v>JP</v>
      </c>
      <c r="E265" t="str">
        <f ca="1"/>
        <v>JPY</v>
      </c>
      <c r="F265" t="str">
        <f ca="1"/>
        <v>20/06/2045</v>
      </c>
      <c r="G265" t="str">
        <f ca="1"/>
        <v>FIXED</v>
      </c>
      <c r="H265">
        <f ca="1"/>
        <v>2</v>
      </c>
      <c r="I265">
        <f ca="1"/>
        <v>2.5</v>
      </c>
      <c r="J265">
        <f ca="1"/>
        <v>3.1209999999930313</v>
      </c>
      <c r="K265">
        <f ca="1"/>
        <v>3.1429999999915448</v>
      </c>
      <c r="L265">
        <f ca="1"/>
        <v>92.525999999999996</v>
      </c>
      <c r="M265">
        <f ca="1"/>
        <v>92.281999999999996</v>
      </c>
      <c r="N265" t="str">
        <f ca="1"/>
        <v>YM2016728</v>
      </c>
      <c r="O265" t="str">
        <f ca="1"/>
        <v>JP1201931R78</v>
      </c>
      <c r="P265" t="str">
        <f ca="1"/>
        <v>A+</v>
      </c>
      <c r="Q265" s="3">
        <f ca="1"/>
        <v>45841</v>
      </c>
      <c r="R265" s="4">
        <f ca="1"/>
        <v>46193</v>
      </c>
      <c r="S265" s="4">
        <f ca="1"/>
        <v>19.225188227241617</v>
      </c>
      <c r="T265">
        <f ca="1"/>
        <v>92.403999999999996</v>
      </c>
      <c r="U265">
        <f ca="1"/>
        <v>234</v>
      </c>
      <c r="V265">
        <f ca="1"/>
        <v>19</v>
      </c>
      <c r="W265">
        <f ca="1"/>
        <v>1</v>
      </c>
      <c r="X265">
        <f ca="1"/>
        <v>1.3736263736263736</v>
      </c>
      <c r="Y265">
        <f ca="1"/>
        <v>91.030373626373617</v>
      </c>
      <c r="Z265">
        <f ca="1"/>
        <v>3.1319999999922881</v>
      </c>
    </row>
    <row r="266" spans="1:26" x14ac:dyDescent="0.35">
      <c r="A266" t="str">
        <f ca="1"/>
        <v>UV814279 Corp</v>
      </c>
      <c r="B266" t="str">
        <f ca="1"/>
        <v>Japan Government Thirty Year Bond</v>
      </c>
      <c r="C266" t="str">
        <f ca="1"/>
        <v>JGB</v>
      </c>
      <c r="D266" t="str">
        <f ca="1"/>
        <v>JP</v>
      </c>
      <c r="E266" t="str">
        <f ca="1"/>
        <v>JPY</v>
      </c>
      <c r="F266" t="str">
        <f ca="1"/>
        <v>20/09/2045</v>
      </c>
      <c r="G266" t="str">
        <f ca="1"/>
        <v>FIXED</v>
      </c>
      <c r="H266">
        <f ca="1"/>
        <v>2</v>
      </c>
      <c r="I266">
        <f ca="1"/>
        <v>1.4</v>
      </c>
      <c r="J266">
        <f ca="1"/>
        <v>3.4499999999993993</v>
      </c>
      <c r="K266">
        <f ca="1"/>
        <v>3.4779999999993154</v>
      </c>
      <c r="L266">
        <f ca="1"/>
        <v>76.082999999999998</v>
      </c>
      <c r="M266">
        <f ca="1"/>
        <v>75.834999999999994</v>
      </c>
      <c r="N266" t="str">
        <f ca="1"/>
        <v>UV8142795</v>
      </c>
      <c r="O266" t="str">
        <f ca="1"/>
        <v>JP1300481F92</v>
      </c>
      <c r="P266" t="str">
        <f ca="1"/>
        <v>A+</v>
      </c>
      <c r="Q266" s="3">
        <f ca="1"/>
        <v>42255</v>
      </c>
      <c r="R266" s="4">
        <f ca="1"/>
        <v>46101</v>
      </c>
      <c r="S266" s="4">
        <f ca="1"/>
        <v>19.477070499657767</v>
      </c>
      <c r="T266">
        <f ca="1"/>
        <v>75.959000000000003</v>
      </c>
      <c r="U266">
        <f ca="1"/>
        <v>218</v>
      </c>
      <c r="V266">
        <f ca="1"/>
        <v>19</v>
      </c>
      <c r="W266">
        <f ca="1"/>
        <v>11</v>
      </c>
      <c r="X266">
        <f ca="1"/>
        <v>1.4692307692307691</v>
      </c>
      <c r="Y266">
        <f ca="1"/>
        <v>74.489769230769241</v>
      </c>
      <c r="Z266">
        <f ca="1"/>
        <v>3.4639999999993574</v>
      </c>
    </row>
    <row r="267" spans="1:26" x14ac:dyDescent="0.35">
      <c r="A267" t="str">
        <f ca="1"/>
        <v>YJ177433 Corp</v>
      </c>
      <c r="B267" t="str">
        <f ca="1"/>
        <v>Japan Government Twenty Year Bond</v>
      </c>
      <c r="C267" t="str">
        <f ca="1"/>
        <v>JGB</v>
      </c>
      <c r="D267" t="str">
        <f ca="1"/>
        <v>JP</v>
      </c>
      <c r="E267" t="str">
        <f ca="1"/>
        <v>JPY</v>
      </c>
      <c r="F267" t="str">
        <f ca="1"/>
        <v>20/09/2045</v>
      </c>
      <c r="G267" t="str">
        <f ca="1"/>
        <v>FIXED</v>
      </c>
      <c r="H267">
        <f ca="1"/>
        <v>2</v>
      </c>
      <c r="I267">
        <f ca="1"/>
        <v>2.7</v>
      </c>
      <c r="J267">
        <f ca="1"/>
        <v>3.0909999999995401</v>
      </c>
      <c r="K267">
        <f ca="1"/>
        <v>3.1179999999993404</v>
      </c>
      <c r="L267">
        <f ca="1"/>
        <v>95.238</v>
      </c>
      <c r="M267">
        <f ca="1"/>
        <v>94.926000000000002</v>
      </c>
      <c r="N267" t="str">
        <f ca="1"/>
        <v>YJ1774332</v>
      </c>
      <c r="O267" t="str">
        <f ca="1"/>
        <v>JP1201941RA2</v>
      </c>
      <c r="P267" t="str">
        <f ca="1"/>
        <v>A+</v>
      </c>
      <c r="Q267" s="3">
        <f ca="1"/>
        <v>45938</v>
      </c>
      <c r="R267" s="4">
        <f ca="1"/>
        <v>46101</v>
      </c>
      <c r="S267" s="4">
        <f ca="1"/>
        <v>19.477070499657767</v>
      </c>
      <c r="T267">
        <f ca="1"/>
        <v>95.081999999999994</v>
      </c>
      <c r="U267">
        <f ca="1"/>
        <v>224</v>
      </c>
      <c r="V267">
        <f ca="1"/>
        <v>19</v>
      </c>
      <c r="W267">
        <f ca="1"/>
        <v>1</v>
      </c>
      <c r="X267">
        <f ca="1"/>
        <v>2.8335164835164837</v>
      </c>
      <c r="Y267">
        <f ca="1"/>
        <v>92.248483516483503</v>
      </c>
      <c r="Z267">
        <f ca="1"/>
        <v>3.1044999999994403</v>
      </c>
    </row>
    <row r="268" spans="1:26" x14ac:dyDescent="0.35">
      <c r="A268" t="str">
        <f ca="1"/>
        <v>JV207518 Corp</v>
      </c>
      <c r="B268" t="str">
        <f ca="1"/>
        <v>Japan Government Thirty Year Bond</v>
      </c>
      <c r="C268" t="str">
        <f ca="1"/>
        <v>JGB</v>
      </c>
      <c r="D268" t="str">
        <f ca="1"/>
        <v>JP</v>
      </c>
      <c r="E268" t="str">
        <f ca="1"/>
        <v>JPY</v>
      </c>
      <c r="F268" t="str">
        <f ca="1"/>
        <v>20/12/2045</v>
      </c>
      <c r="G268" t="str">
        <f ca="1"/>
        <v>FIXED</v>
      </c>
      <c r="H268">
        <f ca="1"/>
        <v>2</v>
      </c>
      <c r="I268">
        <f ca="1"/>
        <v>1.4</v>
      </c>
      <c r="J268">
        <f ca="1"/>
        <v>3.4799999999993383</v>
      </c>
      <c r="K268">
        <f ca="1"/>
        <v>3.5079999999992468</v>
      </c>
      <c r="L268">
        <f ca="1"/>
        <v>75.634</v>
      </c>
      <c r="M268">
        <f ca="1"/>
        <v>75.387</v>
      </c>
      <c r="N268" t="str">
        <f ca="1"/>
        <v>JV2075184</v>
      </c>
      <c r="O268" t="str">
        <f ca="1"/>
        <v>JP1300491FC9</v>
      </c>
      <c r="P268" t="str">
        <f ca="1"/>
        <v>A+</v>
      </c>
      <c r="Q268" s="3">
        <f ca="1"/>
        <v>42346</v>
      </c>
      <c r="R268" s="4">
        <f ca="1"/>
        <v>46193</v>
      </c>
      <c r="S268" s="4">
        <f ca="1"/>
        <v>19.72621492128679</v>
      </c>
      <c r="T268">
        <f ca="1"/>
        <v>75.510500000000008</v>
      </c>
      <c r="U268">
        <f ca="1"/>
        <v>209</v>
      </c>
      <c r="V268">
        <f ca="1"/>
        <v>19.5</v>
      </c>
      <c r="W268">
        <f ca="1"/>
        <v>11</v>
      </c>
      <c r="X268">
        <f ca="1"/>
        <v>0.76923076923076927</v>
      </c>
      <c r="Y268">
        <f ca="1"/>
        <v>74.741269230769234</v>
      </c>
      <c r="Z268">
        <f ca="1"/>
        <v>3.4939999999992928</v>
      </c>
    </row>
    <row r="269" spans="1:26" x14ac:dyDescent="0.35">
      <c r="A269" t="str">
        <f ca="1"/>
        <v>YI189082 Corp</v>
      </c>
      <c r="B269" t="str">
        <f ca="1"/>
        <v>Japan Government Twenty Year Bond</v>
      </c>
      <c r="C269" t="str">
        <f ca="1"/>
        <v>JGB</v>
      </c>
      <c r="D269" t="str">
        <f ca="1"/>
        <v>JP</v>
      </c>
      <c r="E269" t="str">
        <f ca="1"/>
        <v>JPY</v>
      </c>
      <c r="F269" t="str">
        <f ca="1"/>
        <v>20/12/2045</v>
      </c>
      <c r="G269" t="str">
        <f ca="1"/>
        <v>FIXED</v>
      </c>
      <c r="H269">
        <f ca="1"/>
        <v>2</v>
      </c>
      <c r="I269">
        <f ca="1"/>
        <v>3.2</v>
      </c>
      <c r="J269">
        <f ca="1"/>
        <v>3.012999999999995</v>
      </c>
      <c r="K269">
        <f ca="1"/>
        <v>3.0419999999999976</v>
      </c>
      <c r="L269">
        <f ca="1"/>
        <v>102.31699999999999</v>
      </c>
      <c r="M269">
        <f ca="1"/>
        <v>101.95</v>
      </c>
      <c r="N269" t="str">
        <f ca="1"/>
        <v>YI1890825</v>
      </c>
      <c r="O269" t="str">
        <f ca="1"/>
        <v>JP1201951S15</v>
      </c>
      <c r="P269" t="str">
        <f ca="1"/>
        <v>A+</v>
      </c>
      <c r="Q269" s="3">
        <f ca="1"/>
        <v>46035</v>
      </c>
      <c r="R269" s="4">
        <f ca="1"/>
        <v>46193</v>
      </c>
      <c r="S269" s="4">
        <f ca="1"/>
        <v>19.72621492128679</v>
      </c>
      <c r="T269">
        <f ca="1"/>
        <v>102.1335</v>
      </c>
      <c r="U269">
        <f ca="1"/>
        <v>221</v>
      </c>
      <c r="V269">
        <f ca="1"/>
        <v>19.5</v>
      </c>
      <c r="W269">
        <f ca="1"/>
        <v>0</v>
      </c>
      <c r="X269">
        <f ca="1"/>
        <v>1.7582417582417584</v>
      </c>
      <c r="Y269">
        <f ca="1"/>
        <v>100.37525824175825</v>
      </c>
      <c r="Z269">
        <f ca="1"/>
        <v>3.0274999999999963</v>
      </c>
    </row>
    <row r="270" spans="1:26" x14ac:dyDescent="0.35">
      <c r="A270" t="str">
        <f ca="1"/>
        <v>JK380578 Corp</v>
      </c>
      <c r="B270" t="str">
        <f ca="1"/>
        <v>Japan Government Thirty Year Bond</v>
      </c>
      <c r="C270" t="str">
        <f ca="1"/>
        <v>JGB</v>
      </c>
      <c r="D270" t="str">
        <f ca="1"/>
        <v>JP</v>
      </c>
      <c r="E270" t="str">
        <f ca="1"/>
        <v>JPY</v>
      </c>
      <c r="F270" t="str">
        <f ca="1"/>
        <v>20/03/2046</v>
      </c>
      <c r="G270" t="str">
        <f ca="1"/>
        <v>FIXED</v>
      </c>
      <c r="H270">
        <f ca="1"/>
        <v>2</v>
      </c>
      <c r="I270">
        <f ca="1"/>
        <v>0.8</v>
      </c>
      <c r="J270">
        <f ca="1"/>
        <v>3.7409999999999992</v>
      </c>
      <c r="K270">
        <f ca="1"/>
        <v>3.7779999999999987</v>
      </c>
      <c r="L270">
        <f ca="1"/>
        <v>66.331999999999994</v>
      </c>
      <c r="M270">
        <f ca="1"/>
        <v>66.052999999999997</v>
      </c>
      <c r="N270" t="str">
        <f ca="1"/>
        <v>JK3805781</v>
      </c>
      <c r="O270" t="str">
        <f ca="1"/>
        <v>JP1300501G30</v>
      </c>
      <c r="P270" t="str">
        <f ca="1"/>
        <v>A+</v>
      </c>
      <c r="Q270" s="3">
        <f ca="1"/>
        <v>42437</v>
      </c>
      <c r="R270" s="4">
        <f ca="1"/>
        <v>46101</v>
      </c>
      <c r="S270" s="4">
        <f ca="1"/>
        <v>19.972621492128678</v>
      </c>
      <c r="T270">
        <f ca="1"/>
        <v>66.192499999999995</v>
      </c>
      <c r="U270">
        <f ca="1"/>
        <v>207</v>
      </c>
      <c r="V270">
        <f ca="1"/>
        <v>19.5</v>
      </c>
      <c r="W270">
        <f ca="1"/>
        <v>10</v>
      </c>
      <c r="X270">
        <f ca="1"/>
        <v>0.83956043956043969</v>
      </c>
      <c r="Y270">
        <f ca="1"/>
        <v>65.352939560439552</v>
      </c>
      <c r="Z270">
        <f ca="1"/>
        <v>3.7594999999999992</v>
      </c>
    </row>
    <row r="271" spans="1:26" x14ac:dyDescent="0.35">
      <c r="A271" t="str">
        <f ca="1"/>
        <v>LW361469 Corp</v>
      </c>
      <c r="B271" t="str">
        <f ca="1"/>
        <v>Japan Government Thirty Year Bond</v>
      </c>
      <c r="C271" t="str">
        <f ca="1"/>
        <v>JGB</v>
      </c>
      <c r="D271" t="str">
        <f ca="1"/>
        <v>JP</v>
      </c>
      <c r="E271" t="str">
        <f ca="1"/>
        <v>JPY</v>
      </c>
      <c r="F271" t="str">
        <f ca="1"/>
        <v>20/06/2046</v>
      </c>
      <c r="G271" t="str">
        <f ca="1"/>
        <v>FIXED</v>
      </c>
      <c r="H271">
        <f ca="1"/>
        <v>2</v>
      </c>
      <c r="I271">
        <f ca="1"/>
        <v>0.3</v>
      </c>
      <c r="J271">
        <f ca="1"/>
        <v>4.0339999999999367</v>
      </c>
      <c r="K271">
        <f ca="1"/>
        <v>4.0719999999999255</v>
      </c>
      <c r="L271">
        <f ca="1"/>
        <v>58.354999999999997</v>
      </c>
      <c r="M271">
        <f ca="1"/>
        <v>58.109000000000002</v>
      </c>
      <c r="N271" t="str">
        <f ca="1"/>
        <v>LW3614697</v>
      </c>
      <c r="O271" t="str">
        <f ca="1"/>
        <v>JP1300511G61</v>
      </c>
      <c r="P271" t="str">
        <f ca="1"/>
        <v>A+</v>
      </c>
      <c r="Q271" s="3">
        <f ca="1"/>
        <v>42528</v>
      </c>
      <c r="R271" s="4">
        <f ca="1"/>
        <v>46193</v>
      </c>
      <c r="S271" s="4">
        <f ca="1"/>
        <v>20.224503764544831</v>
      </c>
      <c r="T271">
        <f ca="1"/>
        <v>58.231999999999999</v>
      </c>
      <c r="U271">
        <f ca="1"/>
        <v>213</v>
      </c>
      <c r="V271">
        <f ca="1"/>
        <v>20</v>
      </c>
      <c r="W271">
        <f ca="1"/>
        <v>10</v>
      </c>
      <c r="X271">
        <f ca="1"/>
        <v>0.16483516483516483</v>
      </c>
      <c r="Y271">
        <f ca="1"/>
        <v>58.067164835164832</v>
      </c>
      <c r="Z271">
        <f ca="1"/>
        <v>4.0529999999999315</v>
      </c>
    </row>
    <row r="272" spans="1:26" x14ac:dyDescent="0.35">
      <c r="A272" t="str">
        <f ca="1"/>
        <v>QZ467563 Corp</v>
      </c>
      <c r="B272" t="str">
        <f ca="1"/>
        <v>Japan Government Thirty Year Bond</v>
      </c>
      <c r="C272" t="str">
        <f ca="1"/>
        <v>JGB</v>
      </c>
      <c r="D272" t="str">
        <f ca="1"/>
        <v>JP</v>
      </c>
      <c r="E272" t="str">
        <f ca="1"/>
        <v>JPY</v>
      </c>
      <c r="F272" t="str">
        <f ca="1"/>
        <v>20/09/2046</v>
      </c>
      <c r="G272" t="str">
        <f ca="1"/>
        <v>FIXED</v>
      </c>
      <c r="H272">
        <f ca="1"/>
        <v>2</v>
      </c>
      <c r="I272">
        <f ca="1"/>
        <v>0.5</v>
      </c>
      <c r="J272">
        <f ca="1"/>
        <v>3.9559999999999942</v>
      </c>
      <c r="K272">
        <f ca="1"/>
        <v>3.992999999999991</v>
      </c>
      <c r="L272">
        <f ca="1"/>
        <v>60.850999999999999</v>
      </c>
      <c r="M272">
        <f ca="1"/>
        <v>60.597000000000001</v>
      </c>
      <c r="N272" t="str">
        <f ca="1"/>
        <v>QZ4675638</v>
      </c>
      <c r="O272" t="str">
        <f ca="1"/>
        <v>JP1300521G93</v>
      </c>
      <c r="P272" t="str">
        <f ca="1"/>
        <v>A+</v>
      </c>
      <c r="Q272" s="3">
        <f ca="1"/>
        <v>42619</v>
      </c>
      <c r="R272" s="4">
        <f ca="1"/>
        <v>46101</v>
      </c>
      <c r="S272" s="4">
        <f ca="1"/>
        <v>20.476386036960985</v>
      </c>
      <c r="T272">
        <f ca="1"/>
        <v>60.724000000000004</v>
      </c>
      <c r="U272">
        <f ca="1"/>
        <v>216</v>
      </c>
      <c r="V272">
        <f ca="1"/>
        <v>20</v>
      </c>
      <c r="W272">
        <f ca="1"/>
        <v>10</v>
      </c>
      <c r="X272">
        <f ca="1"/>
        <v>0.52472527472527475</v>
      </c>
      <c r="Y272">
        <f ca="1"/>
        <v>60.199274725274726</v>
      </c>
      <c r="Z272">
        <f ca="1"/>
        <v>3.9744999999999928</v>
      </c>
    </row>
    <row r="273" spans="1:26" x14ac:dyDescent="0.35">
      <c r="A273" t="str">
        <f ca="1"/>
        <v>AL662876 Corp</v>
      </c>
      <c r="B273" t="str">
        <f ca="1"/>
        <v>Japan Government Thirty Year Bond</v>
      </c>
      <c r="C273" t="str">
        <f ca="1"/>
        <v>JGB</v>
      </c>
      <c r="D273" t="str">
        <f ca="1"/>
        <v>JP</v>
      </c>
      <c r="E273" t="str">
        <f ca="1"/>
        <v>JPY</v>
      </c>
      <c r="F273" t="str">
        <f ca="1"/>
        <v>20/12/2046</v>
      </c>
      <c r="G273" t="str">
        <f ca="1"/>
        <v>FIXED</v>
      </c>
      <c r="H273">
        <f ca="1"/>
        <v>2</v>
      </c>
      <c r="I273">
        <f ca="1"/>
        <v>0.6</v>
      </c>
      <c r="J273">
        <f ca="1"/>
        <v>3.9399999999999977</v>
      </c>
      <c r="K273">
        <f ca="1"/>
        <v>3.9749999999999974</v>
      </c>
      <c r="L273">
        <f ca="1"/>
        <v>61.843000000000004</v>
      </c>
      <c r="M273">
        <f ca="1"/>
        <v>61.597000000000001</v>
      </c>
      <c r="N273" t="str">
        <f ca="1"/>
        <v>AL6628765</v>
      </c>
      <c r="O273" t="str">
        <f ca="1"/>
        <v>JP1300531GC0</v>
      </c>
      <c r="P273" t="str">
        <f ca="1"/>
        <v>A+</v>
      </c>
      <c r="Q273" s="3">
        <f ca="1"/>
        <v>42712</v>
      </c>
      <c r="R273" s="4">
        <f ca="1"/>
        <v>46193</v>
      </c>
      <c r="S273" s="4">
        <f ca="1"/>
        <v>20.725530458590008</v>
      </c>
      <c r="T273">
        <f ca="1"/>
        <v>61.72</v>
      </c>
      <c r="U273">
        <f ca="1"/>
        <v>2</v>
      </c>
      <c r="V273">
        <f ca="1"/>
        <v>20.5</v>
      </c>
      <c r="W273">
        <f ca="1"/>
        <v>10</v>
      </c>
      <c r="X273">
        <f ca="1"/>
        <v>0.32967032967032966</v>
      </c>
      <c r="Y273">
        <f ca="1"/>
        <v>61.39032967032967</v>
      </c>
      <c r="Z273">
        <f ca="1"/>
        <v>3.9574999999999978</v>
      </c>
    </row>
    <row r="274" spans="1:26" x14ac:dyDescent="0.35">
      <c r="A274" t="str">
        <f ca="1"/>
        <v>AM766737 Corp</v>
      </c>
      <c r="B274" t="str">
        <f ca="1"/>
        <v>Japan Government Thirty Year Bond</v>
      </c>
      <c r="C274" t="str">
        <f ca="1"/>
        <v>JGB</v>
      </c>
      <c r="D274" t="str">
        <f ca="1"/>
        <v>JP</v>
      </c>
      <c r="E274" t="str">
        <f ca="1"/>
        <v>JPY</v>
      </c>
      <c r="F274" t="str">
        <f ca="1"/>
        <v>20/03/2047</v>
      </c>
      <c r="G274" t="str">
        <f ca="1"/>
        <v>FIXED</v>
      </c>
      <c r="H274">
        <f ca="1"/>
        <v>2</v>
      </c>
      <c r="I274">
        <f ca="1"/>
        <v>0.8</v>
      </c>
      <c r="J274">
        <f ca="1"/>
        <v>3.862000000000001</v>
      </c>
      <c r="K274">
        <f ca="1"/>
        <v>3.9009999999999998</v>
      </c>
      <c r="L274">
        <f ca="1"/>
        <v>64.472999999999999</v>
      </c>
      <c r="M274">
        <f ca="1"/>
        <v>64.183000000000007</v>
      </c>
      <c r="N274" t="str">
        <f ca="1"/>
        <v>AM7667372</v>
      </c>
      <c r="O274" t="str">
        <f ca="1"/>
        <v>JP1300541H31</v>
      </c>
      <c r="P274" t="str">
        <f ca="1"/>
        <v>A+</v>
      </c>
      <c r="Q274" s="3">
        <f ca="1"/>
        <v>42801</v>
      </c>
      <c r="R274" s="4">
        <f ca="1"/>
        <v>46101</v>
      </c>
      <c r="S274" s="4">
        <f ca="1"/>
        <v>20.971937029431896</v>
      </c>
      <c r="T274">
        <f ca="1"/>
        <v>64.328000000000003</v>
      </c>
      <c r="U274">
        <f ca="1"/>
        <v>5</v>
      </c>
      <c r="V274">
        <f ca="1"/>
        <v>20.5</v>
      </c>
      <c r="W274">
        <f ca="1"/>
        <v>9</v>
      </c>
      <c r="X274">
        <f ca="1"/>
        <v>0.83956043956043969</v>
      </c>
      <c r="Y274">
        <f ca="1"/>
        <v>63.488439560439566</v>
      </c>
      <c r="Z274">
        <f ca="1"/>
        <v>3.8815000000000004</v>
      </c>
    </row>
    <row r="275" spans="1:26" x14ac:dyDescent="0.35">
      <c r="A275" t="str">
        <f ca="1"/>
        <v>AN861997 Corp</v>
      </c>
      <c r="B275" t="str">
        <f ca="1"/>
        <v>Japan Government Thirty Year Bond</v>
      </c>
      <c r="C275" t="str">
        <f ca="1"/>
        <v>JGB</v>
      </c>
      <c r="D275" t="str">
        <f ca="1"/>
        <v>JP</v>
      </c>
      <c r="E275" t="str">
        <f ca="1"/>
        <v>JPY</v>
      </c>
      <c r="F275" t="str">
        <f ca="1"/>
        <v>20/06/2047</v>
      </c>
      <c r="G275" t="str">
        <f ca="1"/>
        <v>FIXED</v>
      </c>
      <c r="H275">
        <f ca="1"/>
        <v>2</v>
      </c>
      <c r="I275">
        <f ca="1"/>
        <v>0.8</v>
      </c>
      <c r="J275">
        <f ca="1"/>
        <v>3.8949999999999991</v>
      </c>
      <c r="K275">
        <f ca="1"/>
        <v>3.9339999999999997</v>
      </c>
      <c r="L275">
        <f ca="1"/>
        <v>63.993000000000002</v>
      </c>
      <c r="M275">
        <f ca="1"/>
        <v>63.704000000000001</v>
      </c>
      <c r="N275" t="str">
        <f ca="1"/>
        <v>AN8619974</v>
      </c>
      <c r="O275" t="str">
        <f ca="1"/>
        <v>JP1300551H61</v>
      </c>
      <c r="P275" t="str">
        <f ca="1"/>
        <v>A+</v>
      </c>
      <c r="Q275" s="3">
        <f ca="1"/>
        <v>42892</v>
      </c>
      <c r="R275" s="4">
        <f ca="1"/>
        <v>46193</v>
      </c>
      <c r="S275" s="4">
        <f ca="1"/>
        <v>21.223819301848049</v>
      </c>
      <c r="T275">
        <f ca="1"/>
        <v>63.848500000000001</v>
      </c>
      <c r="U275">
        <f ca="1"/>
        <v>9</v>
      </c>
      <c r="V275">
        <f ca="1"/>
        <v>21</v>
      </c>
      <c r="W275">
        <f ca="1"/>
        <v>9</v>
      </c>
      <c r="X275">
        <f ca="1"/>
        <v>0.43956043956043961</v>
      </c>
      <c r="Y275">
        <f ca="1"/>
        <v>63.408939560439563</v>
      </c>
      <c r="Z275">
        <f ca="1"/>
        <v>3.9144999999999994</v>
      </c>
    </row>
    <row r="276" spans="1:26" x14ac:dyDescent="0.35">
      <c r="A276" t="str">
        <f ca="1"/>
        <v>AP059339 Corp</v>
      </c>
      <c r="B276" t="str">
        <f ca="1"/>
        <v>Japan Government Thirty Year Bond</v>
      </c>
      <c r="C276" t="str">
        <f ca="1"/>
        <v>JGB</v>
      </c>
      <c r="D276" t="str">
        <f ca="1"/>
        <v>JP</v>
      </c>
      <c r="E276" t="str">
        <f ca="1"/>
        <v>JPY</v>
      </c>
      <c r="F276" t="str">
        <f ca="1"/>
        <v>20/09/2047</v>
      </c>
      <c r="G276" t="str">
        <f ca="1"/>
        <v>FIXED</v>
      </c>
      <c r="H276">
        <f ca="1"/>
        <v>2</v>
      </c>
      <c r="I276">
        <f ca="1"/>
        <v>0.8</v>
      </c>
      <c r="J276">
        <f ca="1"/>
        <v>3.9269999999999987</v>
      </c>
      <c r="K276">
        <f ca="1"/>
        <v>3.9640000000000004</v>
      </c>
      <c r="L276">
        <f ca="1"/>
        <v>63.523000000000003</v>
      </c>
      <c r="M276">
        <f ca="1"/>
        <v>63.25</v>
      </c>
      <c r="N276" t="str">
        <f ca="1"/>
        <v>AP0593396</v>
      </c>
      <c r="O276" t="str">
        <f ca="1"/>
        <v>JP1300561H93</v>
      </c>
      <c r="P276" t="str">
        <f ca="1"/>
        <v>A+</v>
      </c>
      <c r="Q276" s="3">
        <f ca="1"/>
        <v>42985</v>
      </c>
      <c r="R276" s="4">
        <f ca="1"/>
        <v>46101</v>
      </c>
      <c r="S276" s="4">
        <f ca="1"/>
        <v>21.475701574264203</v>
      </c>
      <c r="T276">
        <f ca="1"/>
        <v>63.386499999999998</v>
      </c>
      <c r="U276">
        <f ca="1"/>
        <v>12</v>
      </c>
      <c r="V276">
        <f ca="1"/>
        <v>21</v>
      </c>
      <c r="W276">
        <f ca="1"/>
        <v>9</v>
      </c>
      <c r="X276">
        <f ca="1"/>
        <v>0.83956043956043969</v>
      </c>
      <c r="Y276">
        <f ca="1"/>
        <v>62.546939560439561</v>
      </c>
      <c r="Z276">
        <f ca="1"/>
        <v>3.9454999999999996</v>
      </c>
    </row>
    <row r="277" spans="1:26" x14ac:dyDescent="0.35">
      <c r="A277" t="str">
        <f ca="1"/>
        <v>AQ340832 Corp</v>
      </c>
      <c r="B277" t="str">
        <f ca="1"/>
        <v>Japan Government Thirty Year Bond</v>
      </c>
      <c r="C277" t="str">
        <f ca="1"/>
        <v>JGB</v>
      </c>
      <c r="D277" t="str">
        <f ca="1"/>
        <v>JP</v>
      </c>
      <c r="E277" t="str">
        <f ca="1"/>
        <v>JPY</v>
      </c>
      <c r="F277" t="str">
        <f ca="1"/>
        <v>20/12/2047</v>
      </c>
      <c r="G277" t="str">
        <f ca="1"/>
        <v>FIXED</v>
      </c>
      <c r="H277">
        <f ca="1"/>
        <v>2</v>
      </c>
      <c r="I277">
        <f ca="1"/>
        <v>0.8</v>
      </c>
      <c r="J277">
        <f ca="1"/>
        <v>3.9580000000000002</v>
      </c>
      <c r="K277">
        <f ca="1"/>
        <v>3.9970000000000003</v>
      </c>
      <c r="L277">
        <f ca="1"/>
        <v>63.064999999999998</v>
      </c>
      <c r="M277">
        <f ca="1"/>
        <v>62.779000000000003</v>
      </c>
      <c r="N277" t="str">
        <f ca="1"/>
        <v>AQ3408327</v>
      </c>
      <c r="O277" t="str">
        <f ca="1"/>
        <v>JP1300571HC4</v>
      </c>
      <c r="P277" t="str">
        <f ca="1"/>
        <v>A+</v>
      </c>
      <c r="Q277" s="3">
        <f ca="1"/>
        <v>43076</v>
      </c>
      <c r="R277" s="4">
        <f ca="1"/>
        <v>46193</v>
      </c>
      <c r="S277" s="4">
        <f ca="1"/>
        <v>21.724845995893222</v>
      </c>
      <c r="T277">
        <f ca="1"/>
        <v>62.921999999999997</v>
      </c>
      <c r="U277">
        <f ca="1"/>
        <v>15</v>
      </c>
      <c r="V277">
        <f ca="1"/>
        <v>21.5</v>
      </c>
      <c r="W277">
        <f ca="1"/>
        <v>9</v>
      </c>
      <c r="X277">
        <f ca="1"/>
        <v>0.43956043956043961</v>
      </c>
      <c r="Y277">
        <f ca="1"/>
        <v>62.482439560439559</v>
      </c>
      <c r="Z277">
        <f ca="1"/>
        <v>3.9775</v>
      </c>
    </row>
    <row r="278" spans="1:26" x14ac:dyDescent="0.35">
      <c r="A278" t="str">
        <f ca="1"/>
        <v>AR620065 Corp</v>
      </c>
      <c r="B278" t="str">
        <f ca="1"/>
        <v>Japan Government Thirty Year Bond</v>
      </c>
      <c r="C278" t="str">
        <f ca="1"/>
        <v>JGB</v>
      </c>
      <c r="D278" t="str">
        <f ca="1"/>
        <v>JP</v>
      </c>
      <c r="E278" t="str">
        <f ca="1"/>
        <v>JPY</v>
      </c>
      <c r="F278" t="str">
        <f ca="1"/>
        <v>20/03/2048</v>
      </c>
      <c r="G278" t="str">
        <f ca="1"/>
        <v>FIXED</v>
      </c>
      <c r="H278">
        <f ca="1"/>
        <v>2</v>
      </c>
      <c r="I278">
        <f ca="1"/>
        <v>0.8</v>
      </c>
      <c r="J278">
        <f ca="1"/>
        <v>3.9919999999999982</v>
      </c>
      <c r="K278">
        <f ca="1"/>
        <v>4.0280000000000005</v>
      </c>
      <c r="L278">
        <f ca="1"/>
        <v>62.591000000000001</v>
      </c>
      <c r="M278">
        <f ca="1"/>
        <v>62.329000000000001</v>
      </c>
      <c r="N278" t="str">
        <f ca="1"/>
        <v>AR6200653</v>
      </c>
      <c r="O278" t="str">
        <f ca="1"/>
        <v>JP1300581J30</v>
      </c>
      <c r="P278" t="str">
        <f ca="1"/>
        <v>A+</v>
      </c>
      <c r="Q278" s="3">
        <f ca="1"/>
        <v>43165</v>
      </c>
      <c r="R278" s="4">
        <f ca="1"/>
        <v>46101</v>
      </c>
      <c r="S278" s="4">
        <f ca="1"/>
        <v>21.973990417522245</v>
      </c>
      <c r="T278">
        <f ca="1"/>
        <v>62.46</v>
      </c>
      <c r="U278">
        <f ca="1"/>
        <v>18</v>
      </c>
      <c r="V278">
        <f ca="1"/>
        <v>21.5</v>
      </c>
      <c r="W278">
        <f ca="1"/>
        <v>8</v>
      </c>
      <c r="X278">
        <f ca="1"/>
        <v>0.83956043956043969</v>
      </c>
      <c r="Y278">
        <f ca="1"/>
        <v>61.620439560439564</v>
      </c>
      <c r="Z278">
        <f ca="1"/>
        <v>4.01</v>
      </c>
    </row>
    <row r="279" spans="1:26" x14ac:dyDescent="0.35">
      <c r="A279" t="str">
        <f ca="1"/>
        <v>EG883955 Corp</v>
      </c>
      <c r="B279" t="str">
        <f ca="1"/>
        <v>Japan Government Forty Year Bond</v>
      </c>
      <c r="C279" t="str">
        <f ca="1"/>
        <v>JGB</v>
      </c>
      <c r="D279" t="str">
        <f ca="1"/>
        <v>JP</v>
      </c>
      <c r="E279" t="str">
        <f ca="1"/>
        <v>JPY</v>
      </c>
      <c r="F279" t="str">
        <f ca="1"/>
        <v>20/03/2048</v>
      </c>
      <c r="G279" t="str">
        <f ca="1"/>
        <v>FIXED</v>
      </c>
      <c r="H279">
        <f ca="1"/>
        <v>2</v>
      </c>
      <c r="I279">
        <f ca="1"/>
        <v>2.4</v>
      </c>
      <c r="J279">
        <f ca="1"/>
        <v>3.3559999999999999</v>
      </c>
      <c r="K279">
        <f ca="1"/>
        <v>3.4009999999999998</v>
      </c>
      <c r="L279">
        <f ca="1"/>
        <v>87.894000000000005</v>
      </c>
      <c r="M279">
        <f ca="1"/>
        <v>87.396000000000001</v>
      </c>
      <c r="N279" t="str">
        <f ca="1"/>
        <v>EG8839557</v>
      </c>
      <c r="O279" t="str">
        <f ca="1"/>
        <v>JP14000117B7</v>
      </c>
      <c r="P279" t="str">
        <f ca="1"/>
        <v>A+</v>
      </c>
      <c r="Q279" s="3">
        <f ca="1"/>
        <v>39392</v>
      </c>
      <c r="R279" s="4">
        <f ca="1"/>
        <v>46101</v>
      </c>
      <c r="S279" s="4">
        <f ca="1"/>
        <v>21.973990417522245</v>
      </c>
      <c r="T279">
        <f ca="1"/>
        <v>87.64500000000001</v>
      </c>
      <c r="U279">
        <f ca="1"/>
        <v>121</v>
      </c>
      <c r="V279">
        <f ca="1"/>
        <v>21.5</v>
      </c>
      <c r="W279">
        <f ca="1"/>
        <v>19</v>
      </c>
      <c r="X279">
        <f ca="1"/>
        <v>2.5186813186813186</v>
      </c>
      <c r="Y279">
        <f ca="1"/>
        <v>85.126318681318693</v>
      </c>
      <c r="Z279">
        <f ca="1"/>
        <v>3.3784999999999998</v>
      </c>
    </row>
    <row r="280" spans="1:26" x14ac:dyDescent="0.35">
      <c r="A280" t="str">
        <f ca="1"/>
        <v>AT476518 Corp</v>
      </c>
      <c r="B280" t="str">
        <f ca="1"/>
        <v>Japan Government Thirty Year Bond</v>
      </c>
      <c r="C280" t="str">
        <f ca="1"/>
        <v>JGB</v>
      </c>
      <c r="D280" t="str">
        <f ca="1"/>
        <v>JP</v>
      </c>
      <c r="E280" t="str">
        <f ca="1"/>
        <v>JPY</v>
      </c>
      <c r="F280" t="str">
        <f ca="1"/>
        <v>20/06/2048</v>
      </c>
      <c r="G280" t="str">
        <f ca="1"/>
        <v>FIXED</v>
      </c>
      <c r="H280">
        <f ca="1"/>
        <v>2</v>
      </c>
      <c r="I280">
        <f ca="1"/>
        <v>0.7</v>
      </c>
      <c r="J280">
        <f ca="1"/>
        <v>4.0789999999999953</v>
      </c>
      <c r="K280">
        <f ca="1"/>
        <v>4.1149999999999967</v>
      </c>
      <c r="L280">
        <f ca="1"/>
        <v>60.564999999999998</v>
      </c>
      <c r="M280">
        <f ca="1"/>
        <v>60.311</v>
      </c>
      <c r="N280" t="str">
        <f ca="1"/>
        <v>AT4765182</v>
      </c>
      <c r="O280" t="str">
        <f ca="1"/>
        <v>JP1300591J79</v>
      </c>
      <c r="P280" t="str">
        <f ca="1"/>
        <v>A+</v>
      </c>
      <c r="Q280" s="3">
        <f ca="1"/>
        <v>43286</v>
      </c>
      <c r="R280" s="4">
        <f ca="1"/>
        <v>46193</v>
      </c>
      <c r="S280" s="4">
        <f ca="1"/>
        <v>22.225872689938399</v>
      </c>
      <c r="T280">
        <f ca="1"/>
        <v>60.438000000000002</v>
      </c>
      <c r="U280">
        <f ca="1"/>
        <v>22</v>
      </c>
      <c r="V280">
        <f ca="1"/>
        <v>22</v>
      </c>
      <c r="W280">
        <f ca="1"/>
        <v>8</v>
      </c>
      <c r="X280">
        <f ca="1"/>
        <v>0.38461538461538464</v>
      </c>
      <c r="Y280">
        <f ca="1"/>
        <v>60.053384615384616</v>
      </c>
      <c r="Z280">
        <f ca="1"/>
        <v>4.096999999999996</v>
      </c>
    </row>
    <row r="281" spans="1:26" x14ac:dyDescent="0.35">
      <c r="A281" t="str">
        <f ca="1"/>
        <v>AU951286 Corp</v>
      </c>
      <c r="B281" t="str">
        <f ca="1"/>
        <v>Japan Government Thirty Year Bond</v>
      </c>
      <c r="C281" t="str">
        <f ca="1"/>
        <v>JGB</v>
      </c>
      <c r="D281" t="str">
        <f ca="1"/>
        <v>JP</v>
      </c>
      <c r="E281" t="str">
        <f ca="1"/>
        <v>JPY</v>
      </c>
      <c r="F281" t="str">
        <f ca="1"/>
        <v>20/09/2048</v>
      </c>
      <c r="G281" t="str">
        <f ca="1"/>
        <v>FIXED</v>
      </c>
      <c r="H281">
        <f ca="1"/>
        <v>2</v>
      </c>
      <c r="I281">
        <f ca="1"/>
        <v>0.9</v>
      </c>
      <c r="J281">
        <f ca="1"/>
        <v>3.9990000000000006</v>
      </c>
      <c r="K281">
        <f ca="1"/>
        <v>4.0340000000000007</v>
      </c>
      <c r="L281">
        <f ca="1"/>
        <v>63.274000000000001</v>
      </c>
      <c r="M281">
        <f ca="1"/>
        <v>63.012999999999998</v>
      </c>
      <c r="N281" t="str">
        <f ca="1"/>
        <v>AU9512867</v>
      </c>
      <c r="O281" t="str">
        <f ca="1"/>
        <v>JP1300601JA9</v>
      </c>
      <c r="P281" t="str">
        <f ca="1"/>
        <v>A+</v>
      </c>
      <c r="Q281" s="3">
        <f ca="1"/>
        <v>43384</v>
      </c>
      <c r="R281" s="4">
        <f ca="1"/>
        <v>46101</v>
      </c>
      <c r="S281" s="4">
        <f ca="1"/>
        <v>22.477754962354553</v>
      </c>
      <c r="T281">
        <f ca="1"/>
        <v>63.143500000000003</v>
      </c>
      <c r="U281">
        <f ca="1"/>
        <v>25</v>
      </c>
      <c r="V281">
        <f ca="1"/>
        <v>22</v>
      </c>
      <c r="W281">
        <f ca="1"/>
        <v>8</v>
      </c>
      <c r="X281">
        <f ca="1"/>
        <v>0.94450549450549459</v>
      </c>
      <c r="Y281">
        <f ca="1"/>
        <v>62.198994505494511</v>
      </c>
      <c r="Z281">
        <f ca="1"/>
        <v>4.0165000000000006</v>
      </c>
    </row>
    <row r="282" spans="1:26" x14ac:dyDescent="0.35">
      <c r="A282" t="str">
        <f ca="1"/>
        <v>AW634174 Corp</v>
      </c>
      <c r="B282" t="str">
        <f ca="1"/>
        <v>Japan Government Thirty Year Bond</v>
      </c>
      <c r="C282" t="str">
        <f ca="1"/>
        <v>JGB</v>
      </c>
      <c r="D282" t="str">
        <f ca="1"/>
        <v>JP</v>
      </c>
      <c r="E282" t="str">
        <f ca="1"/>
        <v>JPY</v>
      </c>
      <c r="F282" t="str">
        <f ca="1"/>
        <v>20/12/2048</v>
      </c>
      <c r="G282" t="str">
        <f ca="1"/>
        <v>FIXED</v>
      </c>
      <c r="H282">
        <f ca="1"/>
        <v>2</v>
      </c>
      <c r="I282">
        <f ca="1"/>
        <v>0.7</v>
      </c>
      <c r="J282">
        <f ca="1"/>
        <v>4.1459999999999937</v>
      </c>
      <c r="K282">
        <f ca="1"/>
        <v>4.1819999999999951</v>
      </c>
      <c r="L282">
        <f ca="1"/>
        <v>59.633000000000003</v>
      </c>
      <c r="M282">
        <f ca="1"/>
        <v>59.381999999999998</v>
      </c>
      <c r="N282" t="str">
        <f ca="1"/>
        <v>AW6341746</v>
      </c>
      <c r="O282" t="str">
        <f ca="1"/>
        <v>JP1300611K15</v>
      </c>
      <c r="P282" t="str">
        <f ca="1"/>
        <v>A+</v>
      </c>
      <c r="Q282" s="3">
        <f ca="1"/>
        <v>43475</v>
      </c>
      <c r="R282" s="4">
        <f ca="1"/>
        <v>46193</v>
      </c>
      <c r="S282" s="4">
        <f ca="1"/>
        <v>22.726899383983572</v>
      </c>
      <c r="T282">
        <f ca="1"/>
        <v>59.5075</v>
      </c>
      <c r="U282">
        <f ca="1"/>
        <v>28</v>
      </c>
      <c r="V282">
        <f ca="1"/>
        <v>22.5</v>
      </c>
      <c r="W282">
        <f ca="1"/>
        <v>7</v>
      </c>
      <c r="X282">
        <f ca="1"/>
        <v>0.38461538461538464</v>
      </c>
      <c r="Y282">
        <f ca="1"/>
        <v>59.122884615384613</v>
      </c>
      <c r="Z282">
        <f ca="1"/>
        <v>4.1639999999999944</v>
      </c>
    </row>
    <row r="283" spans="1:26" x14ac:dyDescent="0.35">
      <c r="A283" t="str">
        <f ca="1"/>
        <v>EH829698 Corp</v>
      </c>
      <c r="B283" t="str">
        <f ca="1"/>
        <v>Japan Government Forty Year Bond</v>
      </c>
      <c r="C283" t="str">
        <f ca="1"/>
        <v>JGB</v>
      </c>
      <c r="D283" t="str">
        <f ca="1"/>
        <v>JP</v>
      </c>
      <c r="E283" t="str">
        <f ca="1"/>
        <v>JPY</v>
      </c>
      <c r="F283" t="str">
        <f ca="1"/>
        <v>20/03/2049</v>
      </c>
      <c r="G283" t="str">
        <f ca="1"/>
        <v>FIXED</v>
      </c>
      <c r="H283">
        <f ca="1"/>
        <v>2</v>
      </c>
      <c r="I283">
        <f ca="1"/>
        <v>2.2000000000000002</v>
      </c>
      <c r="J283">
        <f ca="1"/>
        <v>3.4869999999999983</v>
      </c>
      <c r="K283">
        <f ca="1"/>
        <v>3.5340000000000003</v>
      </c>
      <c r="L283">
        <f ca="1"/>
        <v>83.563999999999993</v>
      </c>
      <c r="M283">
        <f ca="1"/>
        <v>83.066000000000003</v>
      </c>
      <c r="N283" t="str">
        <f ca="1"/>
        <v>EH8296988</v>
      </c>
      <c r="O283" t="str">
        <f ca="1"/>
        <v>JP1400021950</v>
      </c>
      <c r="P283" t="str">
        <f ca="1"/>
        <v>A+</v>
      </c>
      <c r="Q283" s="3">
        <f ca="1"/>
        <v>39947</v>
      </c>
      <c r="R283" s="4">
        <f ca="1"/>
        <v>46101</v>
      </c>
      <c r="S283" s="4">
        <f ca="1"/>
        <v>22.973305954825463</v>
      </c>
      <c r="T283">
        <f ca="1"/>
        <v>83.314999999999998</v>
      </c>
      <c r="U283">
        <f ca="1"/>
        <v>139</v>
      </c>
      <c r="V283">
        <f ca="1"/>
        <v>22.5</v>
      </c>
      <c r="W283">
        <f ca="1"/>
        <v>17</v>
      </c>
      <c r="X283">
        <f ca="1"/>
        <v>2.308791208791209</v>
      </c>
      <c r="Y283">
        <f ca="1"/>
        <v>81.006208791208792</v>
      </c>
      <c r="Z283">
        <f ca="1"/>
        <v>3.5104999999999995</v>
      </c>
    </row>
    <row r="284" spans="1:26" x14ac:dyDescent="0.35">
      <c r="A284" t="str">
        <f ca="1"/>
        <v>ZS052604 Corp</v>
      </c>
      <c r="B284" t="str">
        <f ca="1"/>
        <v>Japan Government Thirty Year Bond</v>
      </c>
      <c r="C284" t="str">
        <f ca="1"/>
        <v>JGB</v>
      </c>
      <c r="D284" t="str">
        <f ca="1"/>
        <v>JP</v>
      </c>
      <c r="E284" t="str">
        <f ca="1"/>
        <v>JPY</v>
      </c>
      <c r="F284" t="str">
        <f ca="1"/>
        <v>20/03/2049</v>
      </c>
      <c r="G284" t="str">
        <f ca="1"/>
        <v>FIXED</v>
      </c>
      <c r="H284">
        <f ca="1"/>
        <v>2</v>
      </c>
      <c r="I284">
        <f ca="1"/>
        <v>0.5</v>
      </c>
      <c r="J284">
        <f ca="1"/>
        <v>4.3169999999998607</v>
      </c>
      <c r="K284">
        <f ca="1"/>
        <v>4.3539999999998393</v>
      </c>
      <c r="L284">
        <f ca="1"/>
        <v>55.927</v>
      </c>
      <c r="M284">
        <f ca="1"/>
        <v>55.689</v>
      </c>
      <c r="N284" t="str">
        <f ca="1"/>
        <v>ZS0526047</v>
      </c>
      <c r="O284" t="str">
        <f ca="1"/>
        <v>JP1300621K47</v>
      </c>
      <c r="P284" t="str">
        <f ca="1"/>
        <v>A+</v>
      </c>
      <c r="Q284" s="3">
        <f ca="1"/>
        <v>43559</v>
      </c>
      <c r="R284" s="4">
        <f ca="1"/>
        <v>46101</v>
      </c>
      <c r="S284" s="4">
        <f ca="1"/>
        <v>22.973305954825463</v>
      </c>
      <c r="T284">
        <f ca="1"/>
        <v>55.808</v>
      </c>
      <c r="U284">
        <f ca="1"/>
        <v>324</v>
      </c>
      <c r="V284">
        <f ca="1"/>
        <v>22.5</v>
      </c>
      <c r="W284">
        <f ca="1"/>
        <v>7</v>
      </c>
      <c r="X284">
        <f ca="1"/>
        <v>0.52472527472527475</v>
      </c>
      <c r="Y284">
        <f ca="1"/>
        <v>55.283274725274723</v>
      </c>
      <c r="Z284">
        <f ca="1"/>
        <v>4.3354999999998505</v>
      </c>
    </row>
    <row r="285" spans="1:26" x14ac:dyDescent="0.35">
      <c r="A285" t="str">
        <f ca="1"/>
        <v>AZ527231 Corp</v>
      </c>
      <c r="B285" t="str">
        <f ca="1"/>
        <v>Japan Government Thirty Year Bond</v>
      </c>
      <c r="C285" t="str">
        <f ca="1"/>
        <v>JGB</v>
      </c>
      <c r="D285" t="str">
        <f ca="1"/>
        <v>JP</v>
      </c>
      <c r="E285" t="str">
        <f ca="1"/>
        <v>JPY</v>
      </c>
      <c r="F285" t="str">
        <f ca="1"/>
        <v>20/06/2049</v>
      </c>
      <c r="G285" t="str">
        <f ca="1"/>
        <v>FIXED</v>
      </c>
      <c r="H285">
        <f ca="1"/>
        <v>2</v>
      </c>
      <c r="I285">
        <f ca="1"/>
        <v>0.4</v>
      </c>
      <c r="J285">
        <f ca="1"/>
        <v>4.4309999999993606</v>
      </c>
      <c r="K285">
        <f ca="1"/>
        <v>4.4689999999992649</v>
      </c>
      <c r="L285">
        <f ca="1"/>
        <v>53.813000000000002</v>
      </c>
      <c r="M285">
        <f ca="1"/>
        <v>53.58</v>
      </c>
      <c r="N285" t="str">
        <f ca="1"/>
        <v>AZ5272317</v>
      </c>
      <c r="O285" t="str">
        <f ca="1"/>
        <v>JP1300631K78</v>
      </c>
      <c r="P285" t="str">
        <f ca="1"/>
        <v>A+</v>
      </c>
      <c r="Q285" s="3">
        <f ca="1"/>
        <v>43650</v>
      </c>
      <c r="R285" s="4">
        <f ca="1"/>
        <v>46193</v>
      </c>
      <c r="S285" s="4">
        <f ca="1"/>
        <v>23.225188227241617</v>
      </c>
      <c r="T285">
        <f ca="1"/>
        <v>53.6965</v>
      </c>
      <c r="U285">
        <f ca="1"/>
        <v>32</v>
      </c>
      <c r="V285">
        <f ca="1"/>
        <v>23</v>
      </c>
      <c r="W285">
        <f ca="1"/>
        <v>7</v>
      </c>
      <c r="X285">
        <f ca="1"/>
        <v>0.2197802197802198</v>
      </c>
      <c r="Y285">
        <f ca="1"/>
        <v>53.476719780219781</v>
      </c>
      <c r="Z285">
        <f ca="1"/>
        <v>4.4499999999993127</v>
      </c>
    </row>
    <row r="286" spans="1:26" x14ac:dyDescent="0.35">
      <c r="A286" t="str">
        <f ca="1"/>
        <v>ZQ061592 Corp</v>
      </c>
      <c r="B286" t="str">
        <f ca="1"/>
        <v>Japan Government Thirty Year Bond</v>
      </c>
      <c r="C286" t="str">
        <f ca="1"/>
        <v>JGB</v>
      </c>
      <c r="D286" t="str">
        <f ca="1"/>
        <v>JP</v>
      </c>
      <c r="E286" t="str">
        <f ca="1"/>
        <v>JPY</v>
      </c>
      <c r="F286" t="str">
        <f ca="1"/>
        <v>20/09/2049</v>
      </c>
      <c r="G286" t="str">
        <f ca="1"/>
        <v>FIXED</v>
      </c>
      <c r="H286">
        <f ca="1"/>
        <v>2</v>
      </c>
      <c r="I286">
        <f ca="1"/>
        <v>0.4</v>
      </c>
      <c r="J286">
        <f ca="1"/>
        <v>4.475999999999023</v>
      </c>
      <c r="K286">
        <f ca="1"/>
        <v>4.5149999999988726</v>
      </c>
      <c r="L286">
        <f ca="1"/>
        <v>53.292000000000002</v>
      </c>
      <c r="M286">
        <f ca="1"/>
        <v>53.055</v>
      </c>
      <c r="N286" t="str">
        <f ca="1"/>
        <v>ZQ0615927</v>
      </c>
      <c r="O286" t="str">
        <f ca="1"/>
        <v>JP1300641KA3</v>
      </c>
      <c r="P286" t="str">
        <f ca="1"/>
        <v>A+</v>
      </c>
      <c r="Q286" s="3">
        <f ca="1"/>
        <v>43748</v>
      </c>
      <c r="R286" s="4">
        <f ca="1"/>
        <v>46101</v>
      </c>
      <c r="S286" s="4">
        <f ca="1"/>
        <v>23.477070499657767</v>
      </c>
      <c r="T286">
        <f ca="1"/>
        <v>53.173500000000004</v>
      </c>
      <c r="U286">
        <f ca="1"/>
        <v>321</v>
      </c>
      <c r="V286">
        <f ca="1"/>
        <v>23</v>
      </c>
      <c r="W286">
        <f ca="1"/>
        <v>7</v>
      </c>
      <c r="X286">
        <f ca="1"/>
        <v>0.41978021978021984</v>
      </c>
      <c r="Y286">
        <f ca="1"/>
        <v>52.753719780219782</v>
      </c>
      <c r="Z286">
        <f ca="1"/>
        <v>4.4954999999989482</v>
      </c>
    </row>
    <row r="287" spans="1:26" x14ac:dyDescent="0.35">
      <c r="A287" t="str">
        <f ca="1"/>
        <v>ZP387400 Corp</v>
      </c>
      <c r="B287" t="str">
        <f ca="1"/>
        <v>Japan Government Thirty Year Bond</v>
      </c>
      <c r="C287" t="str">
        <f ca="1"/>
        <v>JGB</v>
      </c>
      <c r="D287" t="str">
        <f ca="1"/>
        <v>JP</v>
      </c>
      <c r="E287" t="str">
        <f ca="1"/>
        <v>JPY</v>
      </c>
      <c r="F287" t="str">
        <f ca="1"/>
        <v>20/12/2049</v>
      </c>
      <c r="G287" t="str">
        <f ca="1"/>
        <v>FIXED</v>
      </c>
      <c r="H287">
        <f ca="1"/>
        <v>2</v>
      </c>
      <c r="I287">
        <f ca="1"/>
        <v>0.4</v>
      </c>
      <c r="J287">
        <f ca="1"/>
        <v>4.5229999999988379</v>
      </c>
      <c r="K287">
        <f ca="1"/>
        <v>4.5589999999986786</v>
      </c>
      <c r="L287">
        <f ca="1"/>
        <v>52.765999999999998</v>
      </c>
      <c r="M287">
        <f ca="1"/>
        <v>52.55</v>
      </c>
      <c r="N287" t="str">
        <f ca="1"/>
        <v>ZP3874002</v>
      </c>
      <c r="O287" t="str">
        <f ca="1"/>
        <v>JP1300651L15</v>
      </c>
      <c r="P287" t="str">
        <f ca="1"/>
        <v>A+</v>
      </c>
      <c r="Q287" s="3">
        <f ca="1"/>
        <v>43826</v>
      </c>
      <c r="R287" s="4">
        <f ca="1"/>
        <v>46193</v>
      </c>
      <c r="S287" s="4">
        <f ca="1"/>
        <v>23.72621492128679</v>
      </c>
      <c r="T287">
        <f ca="1"/>
        <v>52.658000000000001</v>
      </c>
      <c r="U287">
        <f ca="1"/>
        <v>319</v>
      </c>
      <c r="V287">
        <f ca="1"/>
        <v>23.5</v>
      </c>
      <c r="W287">
        <f ca="1"/>
        <v>7</v>
      </c>
      <c r="X287">
        <f ca="1"/>
        <v>0.2197802197802198</v>
      </c>
      <c r="Y287">
        <f ca="1"/>
        <v>52.438219780219782</v>
      </c>
      <c r="Z287">
        <f ca="1"/>
        <v>4.5409999999987587</v>
      </c>
    </row>
    <row r="288" spans="1:26" x14ac:dyDescent="0.35">
      <c r="A288" t="str">
        <f ca="1"/>
        <v>BH620692 Corp</v>
      </c>
      <c r="B288" t="str">
        <f ca="1"/>
        <v>Japan Government Thirty Year Bond</v>
      </c>
      <c r="C288" t="str">
        <f ca="1"/>
        <v>JGB</v>
      </c>
      <c r="D288" t="str">
        <f ca="1"/>
        <v>JP</v>
      </c>
      <c r="E288" t="str">
        <f ca="1"/>
        <v>JPY</v>
      </c>
      <c r="F288" t="str">
        <f ca="1"/>
        <v>20/03/2050</v>
      </c>
      <c r="G288" t="str">
        <f ca="1"/>
        <v>FIXED</v>
      </c>
      <c r="H288">
        <f ca="1"/>
        <v>2</v>
      </c>
      <c r="I288">
        <f ca="1"/>
        <v>0.4</v>
      </c>
      <c r="J288">
        <f ca="1"/>
        <v>4.5589999999982993</v>
      </c>
      <c r="K288">
        <f ca="1"/>
        <v>4.5979999999980539</v>
      </c>
      <c r="L288">
        <f ca="1"/>
        <v>52.314999999999998</v>
      </c>
      <c r="M288">
        <f ca="1"/>
        <v>52.082000000000001</v>
      </c>
      <c r="N288" t="str">
        <f ca="1"/>
        <v>BH6206925</v>
      </c>
      <c r="O288" t="str">
        <f ca="1"/>
        <v>JP1300661L47</v>
      </c>
      <c r="P288" t="str">
        <f ca="1"/>
        <v>A+</v>
      </c>
      <c r="Q288" s="3">
        <f ca="1"/>
        <v>43921</v>
      </c>
      <c r="R288" s="4">
        <f ca="1"/>
        <v>46101</v>
      </c>
      <c r="S288" s="4">
        <f ca="1"/>
        <v>23.972621492128678</v>
      </c>
      <c r="T288">
        <f ca="1"/>
        <v>52.198499999999996</v>
      </c>
      <c r="U288">
        <f ca="1"/>
        <v>35</v>
      </c>
      <c r="V288">
        <f ca="1"/>
        <v>23.5</v>
      </c>
      <c r="W288">
        <f ca="1"/>
        <v>6</v>
      </c>
      <c r="X288">
        <f ca="1"/>
        <v>0.41978021978021984</v>
      </c>
      <c r="Y288">
        <f ca="1"/>
        <v>51.778719780219774</v>
      </c>
      <c r="Z288">
        <f ca="1"/>
        <v>4.5784999999981766</v>
      </c>
    </row>
    <row r="289" spans="1:26" x14ac:dyDescent="0.35">
      <c r="A289" t="str">
        <f ca="1"/>
        <v>EI252407 Corp</v>
      </c>
      <c r="B289" t="str">
        <f ca="1"/>
        <v>Japan Government Forty Year Bond</v>
      </c>
      <c r="C289" t="str">
        <f ca="1"/>
        <v>JGB</v>
      </c>
      <c r="D289" t="str">
        <f ca="1"/>
        <v>JP</v>
      </c>
      <c r="E289" t="str">
        <f ca="1"/>
        <v>JPY</v>
      </c>
      <c r="F289" t="str">
        <f ca="1"/>
        <v>20/03/2050</v>
      </c>
      <c r="G289" t="str">
        <f ca="1"/>
        <v>FIXED</v>
      </c>
      <c r="H289">
        <f ca="1"/>
        <v>2</v>
      </c>
      <c r="I289">
        <f ca="1"/>
        <v>2.2000000000000002</v>
      </c>
      <c r="J289">
        <f ca="1"/>
        <v>3.5829999999999975</v>
      </c>
      <c r="K289">
        <f ca="1"/>
        <v>3.6259999999999963</v>
      </c>
      <c r="L289">
        <f ca="1"/>
        <v>82.144999999999996</v>
      </c>
      <c r="M289">
        <f ca="1"/>
        <v>81.691000000000003</v>
      </c>
      <c r="N289" t="str">
        <f ca="1"/>
        <v>EI2524078</v>
      </c>
      <c r="O289" t="str">
        <f ca="1"/>
        <v>JP1400031A58</v>
      </c>
      <c r="P289" t="str">
        <f ca="1"/>
        <v>A+</v>
      </c>
      <c r="Q289" s="3">
        <f ca="1"/>
        <v>40311</v>
      </c>
      <c r="R289" s="4">
        <f ca="1"/>
        <v>46101</v>
      </c>
      <c r="S289" s="4">
        <f ca="1"/>
        <v>23.972621492128678</v>
      </c>
      <c r="T289">
        <f ca="1"/>
        <v>81.918000000000006</v>
      </c>
      <c r="U289">
        <f ca="1"/>
        <v>149</v>
      </c>
      <c r="V289">
        <f ca="1"/>
        <v>23.5</v>
      </c>
      <c r="W289">
        <f ca="1"/>
        <v>16</v>
      </c>
      <c r="X289">
        <f ca="1"/>
        <v>2.308791208791209</v>
      </c>
      <c r="Y289">
        <f ca="1"/>
        <v>79.6092087912088</v>
      </c>
      <c r="Z289">
        <f ca="1"/>
        <v>3.6044999999999972</v>
      </c>
    </row>
    <row r="290" spans="1:26" x14ac:dyDescent="0.35">
      <c r="A290" t="str">
        <f ca="1"/>
        <v>BK411989 Corp</v>
      </c>
      <c r="B290" t="str">
        <f ca="1"/>
        <v>Japan Government Thirty Year Bond</v>
      </c>
      <c r="C290" t="str">
        <f ca="1"/>
        <v>JGB</v>
      </c>
      <c r="D290" t="str">
        <f ca="1"/>
        <v>JP</v>
      </c>
      <c r="E290" t="str">
        <f ca="1"/>
        <v>JPY</v>
      </c>
      <c r="F290" t="str">
        <f ca="1"/>
        <v>20/06/2050</v>
      </c>
      <c r="G290" t="str">
        <f ca="1"/>
        <v>FIXED</v>
      </c>
      <c r="H290">
        <f ca="1"/>
        <v>2</v>
      </c>
      <c r="I290">
        <f ca="1"/>
        <v>0.6</v>
      </c>
      <c r="J290">
        <f ca="1"/>
        <v>4.4519999999998765</v>
      </c>
      <c r="K290">
        <f ca="1"/>
        <v>4.4909999999998576</v>
      </c>
      <c r="L290">
        <f ca="1"/>
        <v>55.061</v>
      </c>
      <c r="M290">
        <f ca="1"/>
        <v>54.811</v>
      </c>
      <c r="N290" t="str">
        <f ca="1"/>
        <v>BK4119891</v>
      </c>
      <c r="O290" t="str">
        <f ca="1"/>
        <v>JP1300671L78</v>
      </c>
      <c r="P290" t="str">
        <f ca="1"/>
        <v>A+</v>
      </c>
      <c r="Q290" s="3">
        <f ca="1"/>
        <v>44012</v>
      </c>
      <c r="R290" s="4">
        <f ca="1"/>
        <v>46193</v>
      </c>
      <c r="S290" s="4">
        <f ca="1"/>
        <v>24.224503764544831</v>
      </c>
      <c r="T290">
        <f ca="1"/>
        <v>54.936</v>
      </c>
      <c r="U290">
        <f ca="1"/>
        <v>39</v>
      </c>
      <c r="V290">
        <f ca="1"/>
        <v>24</v>
      </c>
      <c r="W290">
        <f ca="1"/>
        <v>6</v>
      </c>
      <c r="X290">
        <f ca="1"/>
        <v>0.32967032967032966</v>
      </c>
      <c r="Y290">
        <f ca="1"/>
        <v>54.606329670329671</v>
      </c>
      <c r="Z290">
        <f ca="1"/>
        <v>4.4714999999998675</v>
      </c>
    </row>
    <row r="291" spans="1:26" x14ac:dyDescent="0.35">
      <c r="A291" t="str">
        <f ca="1"/>
        <v>ZO808012 Corp</v>
      </c>
      <c r="B291" t="str">
        <f ca="1"/>
        <v>Japan Government Thirty Year Bond</v>
      </c>
      <c r="C291" t="str">
        <f ca="1"/>
        <v>JGB</v>
      </c>
      <c r="D291" t="str">
        <f ca="1"/>
        <v>JP</v>
      </c>
      <c r="E291" t="str">
        <f ca="1"/>
        <v>JPY</v>
      </c>
      <c r="F291" t="str">
        <f ca="1"/>
        <v>20/09/2050</v>
      </c>
      <c r="G291" t="str">
        <f ca="1"/>
        <v>FIXED</v>
      </c>
      <c r="H291">
        <f ca="1"/>
        <v>2</v>
      </c>
      <c r="I291">
        <f ca="1"/>
        <v>0.6</v>
      </c>
      <c r="J291">
        <f ca="1"/>
        <v>4.497999999999811</v>
      </c>
      <c r="K291">
        <f ca="1"/>
        <v>4.5419999999997751</v>
      </c>
      <c r="L291">
        <f ca="1"/>
        <v>54.542999999999999</v>
      </c>
      <c r="M291">
        <f ca="1"/>
        <v>54.265000000000001</v>
      </c>
      <c r="N291" t="str">
        <f ca="1"/>
        <v>ZO8080129</v>
      </c>
      <c r="O291" t="str">
        <f ca="1"/>
        <v>JP1300681LA7</v>
      </c>
      <c r="P291" t="str">
        <f ca="1"/>
        <v>NR</v>
      </c>
      <c r="Q291" s="3">
        <f ca="1"/>
        <v>44103</v>
      </c>
      <c r="R291" s="4">
        <f ca="1"/>
        <v>46101</v>
      </c>
      <c r="S291" s="4">
        <f ca="1"/>
        <v>24.476386036960985</v>
      </c>
      <c r="T291">
        <f ca="1"/>
        <v>54.403999999999996</v>
      </c>
      <c r="U291">
        <f ca="1"/>
        <v>317</v>
      </c>
      <c r="V291">
        <f ca="1"/>
        <v>24</v>
      </c>
      <c r="W291">
        <f ca="1"/>
        <v>6</v>
      </c>
      <c r="X291">
        <f ca="1"/>
        <v>0.62967032967032965</v>
      </c>
      <c r="Y291">
        <f ca="1"/>
        <v>53.774329670329664</v>
      </c>
      <c r="Z291">
        <f ca="1"/>
        <v>4.5199999999997935</v>
      </c>
    </row>
    <row r="292" spans="1:26" x14ac:dyDescent="0.35">
      <c r="A292" t="str">
        <f ca="1"/>
        <v>BN417655 Corp</v>
      </c>
      <c r="B292" t="str">
        <f ca="1"/>
        <v>Japan Government Thirty Year Bond</v>
      </c>
      <c r="C292" t="str">
        <f ca="1"/>
        <v>JGB</v>
      </c>
      <c r="D292" t="str">
        <f ca="1"/>
        <v>JP</v>
      </c>
      <c r="E292" t="str">
        <f ca="1"/>
        <v>JPY</v>
      </c>
      <c r="F292" t="str">
        <f ca="1"/>
        <v>20/12/2050</v>
      </c>
      <c r="G292" t="str">
        <f ca="1"/>
        <v>FIXED</v>
      </c>
      <c r="H292">
        <f ca="1"/>
        <v>2</v>
      </c>
      <c r="I292">
        <f ca="1"/>
        <v>0.7</v>
      </c>
      <c r="J292">
        <f ca="1"/>
        <v>4.4649999999999475</v>
      </c>
      <c r="K292">
        <f ca="1"/>
        <v>4.5039999999999356</v>
      </c>
      <c r="L292">
        <f ca="1"/>
        <v>55.712000000000003</v>
      </c>
      <c r="M292">
        <f ca="1"/>
        <v>55.457999999999998</v>
      </c>
      <c r="N292" t="str">
        <f ca="1"/>
        <v>BN4176556</v>
      </c>
      <c r="O292" t="str">
        <f ca="1"/>
        <v>JP1300691M16</v>
      </c>
      <c r="P292" t="str">
        <f ca="1"/>
        <v>NR</v>
      </c>
      <c r="Q292" s="3">
        <f ca="1"/>
        <v>44193</v>
      </c>
      <c r="R292" s="4">
        <f ca="1"/>
        <v>46193</v>
      </c>
      <c r="S292" s="4">
        <f ca="1"/>
        <v>24.725530458590008</v>
      </c>
      <c r="T292">
        <f ca="1"/>
        <v>55.585000000000001</v>
      </c>
      <c r="U292">
        <f ca="1"/>
        <v>43</v>
      </c>
      <c r="V292">
        <f ca="1"/>
        <v>24.5</v>
      </c>
      <c r="W292">
        <f ca="1"/>
        <v>6</v>
      </c>
      <c r="X292">
        <f ca="1"/>
        <v>0.38461538461538464</v>
      </c>
      <c r="Y292">
        <f ca="1"/>
        <v>55.200384615384614</v>
      </c>
      <c r="Z292">
        <f ca="1"/>
        <v>4.484499999999942</v>
      </c>
    </row>
    <row r="293" spans="1:26" x14ac:dyDescent="0.35">
      <c r="A293" t="str">
        <f ca="1"/>
        <v>BO941870 Corp</v>
      </c>
      <c r="B293" t="str">
        <f ca="1"/>
        <v>Japan Government Thirty Year Bond</v>
      </c>
      <c r="C293" t="str">
        <f ca="1"/>
        <v>JGB</v>
      </c>
      <c r="D293" t="str">
        <f ca="1"/>
        <v>JP</v>
      </c>
      <c r="E293" t="str">
        <f ca="1"/>
        <v>JPY</v>
      </c>
      <c r="F293" t="str">
        <f ca="1"/>
        <v>20/03/2051</v>
      </c>
      <c r="G293" t="str">
        <f ca="1"/>
        <v>FIXED</v>
      </c>
      <c r="H293">
        <f ca="1"/>
        <v>2</v>
      </c>
      <c r="I293">
        <f ca="1"/>
        <v>0.7</v>
      </c>
      <c r="J293">
        <f ca="1"/>
        <v>4.5059999999999212</v>
      </c>
      <c r="K293">
        <f ca="1"/>
        <v>4.5449999999999093</v>
      </c>
      <c r="L293">
        <f ca="1"/>
        <v>55.235999999999997</v>
      </c>
      <c r="M293">
        <f ca="1"/>
        <v>54.984000000000002</v>
      </c>
      <c r="N293" t="str">
        <f ca="1"/>
        <v>BO9418704</v>
      </c>
      <c r="O293" t="str">
        <f ca="1"/>
        <v>JP1300701M48</v>
      </c>
      <c r="P293" t="str">
        <f ca="1"/>
        <v>NR</v>
      </c>
      <c r="Q293" s="3">
        <f ca="1"/>
        <v>44285</v>
      </c>
      <c r="R293" s="4">
        <f ca="1"/>
        <v>46101</v>
      </c>
      <c r="S293" s="4">
        <f ca="1"/>
        <v>24.971937029431896</v>
      </c>
      <c r="T293">
        <f ca="1"/>
        <v>55.11</v>
      </c>
      <c r="U293">
        <f ca="1"/>
        <v>46</v>
      </c>
      <c r="V293">
        <f ca="1"/>
        <v>24.5</v>
      </c>
      <c r="W293">
        <f ca="1"/>
        <v>5</v>
      </c>
      <c r="X293">
        <f ca="1"/>
        <v>0.73461538461538456</v>
      </c>
      <c r="Y293">
        <f ca="1"/>
        <v>54.375384615384618</v>
      </c>
      <c r="Z293">
        <f ca="1"/>
        <v>4.5254999999999157</v>
      </c>
    </row>
    <row r="294" spans="1:26" x14ac:dyDescent="0.35">
      <c r="A294" t="str">
        <f ca="1"/>
        <v>EI681422 Corp</v>
      </c>
      <c r="B294" t="str">
        <f ca="1"/>
        <v>Japan Government Forty Year Bond</v>
      </c>
      <c r="C294" t="str">
        <f ca="1"/>
        <v>JGB</v>
      </c>
      <c r="D294" t="str">
        <f ca="1"/>
        <v>JP</v>
      </c>
      <c r="E294" t="str">
        <f ca="1"/>
        <v>JPY</v>
      </c>
      <c r="F294" t="str">
        <f ca="1"/>
        <v>20/03/2051</v>
      </c>
      <c r="G294" t="str">
        <f ca="1"/>
        <v>FIXED</v>
      </c>
      <c r="H294">
        <f ca="1"/>
        <v>2</v>
      </c>
      <c r="I294">
        <f ca="1"/>
        <v>2.2000000000000002</v>
      </c>
      <c r="J294">
        <f ca="1"/>
        <v>3.6889999999999934</v>
      </c>
      <c r="K294">
        <f ca="1"/>
        <v>3.7249999999999925</v>
      </c>
      <c r="L294">
        <f ca="1"/>
        <v>80.625</v>
      </c>
      <c r="M294">
        <f ca="1"/>
        <v>80.248999999999995</v>
      </c>
      <c r="N294" t="str">
        <f ca="1"/>
        <v>EI6814228</v>
      </c>
      <c r="O294" t="str">
        <f ca="1"/>
        <v>JP1400041B55</v>
      </c>
      <c r="P294" t="str">
        <f ca="1"/>
        <v>A+</v>
      </c>
      <c r="Q294" s="3">
        <f ca="1"/>
        <v>40680</v>
      </c>
      <c r="R294" s="4">
        <f ca="1"/>
        <v>46101</v>
      </c>
      <c r="S294" s="4">
        <f ca="1"/>
        <v>24.971937029431896</v>
      </c>
      <c r="T294">
        <f ca="1"/>
        <v>80.436999999999998</v>
      </c>
      <c r="U294">
        <f ca="1"/>
        <v>161</v>
      </c>
      <c r="V294">
        <f ca="1"/>
        <v>24.5</v>
      </c>
      <c r="W294">
        <f ca="1"/>
        <v>15</v>
      </c>
      <c r="X294">
        <f ca="1"/>
        <v>2.308791208791209</v>
      </c>
      <c r="Y294">
        <f ca="1"/>
        <v>78.128208791208792</v>
      </c>
      <c r="Z294">
        <f ca="1"/>
        <v>3.7069999999999927</v>
      </c>
    </row>
    <row r="295" spans="1:26" x14ac:dyDescent="0.35">
      <c r="A295" t="str">
        <f ca="1"/>
        <v>BQ405120 Corp</v>
      </c>
      <c r="B295" t="str">
        <f ca="1"/>
        <v>Japan Government Thirty Year Bond</v>
      </c>
      <c r="C295" t="str">
        <f ca="1"/>
        <v>JGB</v>
      </c>
      <c r="D295" t="str">
        <f ca="1"/>
        <v>JP</v>
      </c>
      <c r="E295" t="str">
        <f ca="1"/>
        <v>JPY</v>
      </c>
      <c r="F295" t="str">
        <f ca="1"/>
        <v>20/06/2051</v>
      </c>
      <c r="G295" t="str">
        <f ca="1"/>
        <v>FIXED</v>
      </c>
      <c r="H295">
        <f ca="1"/>
        <v>2</v>
      </c>
      <c r="I295">
        <f ca="1"/>
        <v>0.7</v>
      </c>
      <c r="J295">
        <f ca="1"/>
        <v>4.5459999999999114</v>
      </c>
      <c r="K295">
        <f ca="1"/>
        <v>4.5859999999998937</v>
      </c>
      <c r="L295">
        <f ca="1"/>
        <v>54.765999999999998</v>
      </c>
      <c r="M295">
        <f ca="1"/>
        <v>54.51</v>
      </c>
      <c r="N295" t="str">
        <f ca="1"/>
        <v>BQ4051208</v>
      </c>
      <c r="O295" t="str">
        <f ca="1"/>
        <v>JP1300711M79</v>
      </c>
      <c r="P295" t="str">
        <f ca="1"/>
        <v>NR</v>
      </c>
      <c r="Q295" s="3">
        <f ca="1"/>
        <v>44376</v>
      </c>
      <c r="R295" s="4">
        <f ca="1"/>
        <v>46193</v>
      </c>
      <c r="S295" s="4">
        <f ca="1"/>
        <v>25.223819301848049</v>
      </c>
      <c r="T295">
        <f ca="1"/>
        <v>54.637999999999998</v>
      </c>
      <c r="U295">
        <f ca="1"/>
        <v>51</v>
      </c>
      <c r="V295">
        <f ca="1"/>
        <v>25</v>
      </c>
      <c r="W295">
        <f ca="1"/>
        <v>5</v>
      </c>
      <c r="X295">
        <f ca="1"/>
        <v>0.38461538461538464</v>
      </c>
      <c r="Y295">
        <f ca="1"/>
        <v>54.253384615384611</v>
      </c>
      <c r="Z295">
        <f ca="1"/>
        <v>4.565999999999903</v>
      </c>
    </row>
    <row r="296" spans="1:26" x14ac:dyDescent="0.35">
      <c r="A296" t="str">
        <f ca="1"/>
        <v>BR921605 Corp</v>
      </c>
      <c r="B296" t="str">
        <f ca="1"/>
        <v>Japan Government Thirty Year Bond</v>
      </c>
      <c r="C296" t="str">
        <f ca="1"/>
        <v>JGB</v>
      </c>
      <c r="D296" t="str">
        <f ca="1"/>
        <v>JP</v>
      </c>
      <c r="E296" t="str">
        <f ca="1"/>
        <v>JPY</v>
      </c>
      <c r="F296" t="str">
        <f ca="1"/>
        <v>20/09/2051</v>
      </c>
      <c r="G296" t="str">
        <f ca="1"/>
        <v>FIXED</v>
      </c>
      <c r="H296">
        <f ca="1"/>
        <v>2</v>
      </c>
      <c r="I296">
        <f ca="1"/>
        <v>0.7</v>
      </c>
      <c r="J296">
        <f ca="1"/>
        <v>4.5909999999998679</v>
      </c>
      <c r="K296">
        <f ca="1"/>
        <v>4.6299999999998454</v>
      </c>
      <c r="L296">
        <f ca="1"/>
        <v>54.268999999999998</v>
      </c>
      <c r="M296">
        <f ca="1"/>
        <v>54.021999999999998</v>
      </c>
      <c r="N296" t="str">
        <f ca="1"/>
        <v>BR9216051</v>
      </c>
      <c r="O296" t="str">
        <f ca="1"/>
        <v>JP1300721MA9</v>
      </c>
      <c r="P296" t="str">
        <f ca="1"/>
        <v>NR</v>
      </c>
      <c r="Q296" s="3">
        <f ca="1"/>
        <v>44474</v>
      </c>
      <c r="R296" s="4">
        <f ca="1"/>
        <v>46101</v>
      </c>
      <c r="S296" s="4">
        <f ca="1"/>
        <v>25.475701574264203</v>
      </c>
      <c r="T296">
        <f ca="1"/>
        <v>54.145499999999998</v>
      </c>
      <c r="U296">
        <f ca="1"/>
        <v>55</v>
      </c>
      <c r="V296">
        <f ca="1"/>
        <v>25</v>
      </c>
      <c r="W296">
        <f ca="1"/>
        <v>5</v>
      </c>
      <c r="X296">
        <f ca="1"/>
        <v>0.73461538461538456</v>
      </c>
      <c r="Y296">
        <f ca="1"/>
        <v>53.410884615384617</v>
      </c>
      <c r="Z296">
        <f ca="1"/>
        <v>4.6104999999998562</v>
      </c>
    </row>
    <row r="297" spans="1:26" x14ac:dyDescent="0.35">
      <c r="A297" t="str">
        <f ca="1"/>
        <v>BT386064 Corp</v>
      </c>
      <c r="B297" t="str">
        <f ca="1"/>
        <v>Japan Government Thirty Year Bond</v>
      </c>
      <c r="C297" t="str">
        <f ca="1"/>
        <v>JGB</v>
      </c>
      <c r="D297" t="str">
        <f ca="1"/>
        <v>JP</v>
      </c>
      <c r="E297" t="str">
        <f ca="1"/>
        <v>JPY</v>
      </c>
      <c r="F297" t="str">
        <f ca="1"/>
        <v>20/12/2051</v>
      </c>
      <c r="G297" t="str">
        <f ca="1"/>
        <v>FIXED</v>
      </c>
      <c r="H297">
        <f ca="1"/>
        <v>2</v>
      </c>
      <c r="I297">
        <f ca="1"/>
        <v>0.7</v>
      </c>
      <c r="J297">
        <f ca="1"/>
        <v>4.6349999999998452</v>
      </c>
      <c r="K297">
        <f ca="1"/>
        <v>4.6739999999998236</v>
      </c>
      <c r="L297">
        <f ca="1"/>
        <v>53.784999999999997</v>
      </c>
      <c r="M297">
        <f ca="1"/>
        <v>53.54</v>
      </c>
      <c r="N297" t="str">
        <f ca="1"/>
        <v>BT3860645</v>
      </c>
      <c r="O297" t="str">
        <f ca="1"/>
        <v>JP1300731N17</v>
      </c>
      <c r="P297" t="str">
        <f ca="1"/>
        <v>NR</v>
      </c>
      <c r="Q297" s="3">
        <f ca="1"/>
        <v>44558</v>
      </c>
      <c r="R297" s="4">
        <f ca="1"/>
        <v>46193</v>
      </c>
      <c r="S297" s="4">
        <f ca="1"/>
        <v>25.724845995893222</v>
      </c>
      <c r="T297">
        <f ca="1"/>
        <v>53.662499999999994</v>
      </c>
      <c r="U297">
        <f ca="1"/>
        <v>59</v>
      </c>
      <c r="V297">
        <f ca="1"/>
        <v>25.5</v>
      </c>
      <c r="W297">
        <f ca="1"/>
        <v>5</v>
      </c>
      <c r="X297">
        <f ca="1"/>
        <v>0.38461538461538464</v>
      </c>
      <c r="Y297">
        <f ca="1"/>
        <v>53.277884615384608</v>
      </c>
      <c r="Z297">
        <f ca="1"/>
        <v>4.6544999999998344</v>
      </c>
    </row>
    <row r="298" spans="1:26" x14ac:dyDescent="0.35">
      <c r="A298" t="str">
        <f ca="1"/>
        <v>BV801821 Corp</v>
      </c>
      <c r="B298" t="str">
        <f ca="1"/>
        <v>Japan Government Thirty Year Bond</v>
      </c>
      <c r="C298" t="str">
        <f ca="1"/>
        <v>JGB</v>
      </c>
      <c r="D298" t="str">
        <f ca="1"/>
        <v>JP</v>
      </c>
      <c r="E298" t="str">
        <f ca="1"/>
        <v>JPY</v>
      </c>
      <c r="F298" t="str">
        <f ca="1"/>
        <v>20/03/2052</v>
      </c>
      <c r="G298" t="str">
        <f ca="1"/>
        <v>FIXED</v>
      </c>
      <c r="H298">
        <f ca="1"/>
        <v>2</v>
      </c>
      <c r="I298">
        <f ca="1"/>
        <v>1</v>
      </c>
      <c r="J298">
        <f ca="1"/>
        <v>4.4219999999999979</v>
      </c>
      <c r="K298">
        <f ca="1"/>
        <v>4.4599999999999973</v>
      </c>
      <c r="L298">
        <f ca="1"/>
        <v>58.595999999999997</v>
      </c>
      <c r="M298">
        <f ca="1"/>
        <v>58.326999999999998</v>
      </c>
      <c r="N298" t="str">
        <f ca="1"/>
        <v>BV8018210</v>
      </c>
      <c r="O298" t="str">
        <f ca="1"/>
        <v>JP1300741N49</v>
      </c>
      <c r="P298" t="str">
        <f ca="1"/>
        <v>A+</v>
      </c>
      <c r="Q298" s="3">
        <f ca="1"/>
        <v>44651</v>
      </c>
      <c r="R298" s="4">
        <f ca="1"/>
        <v>46101</v>
      </c>
      <c r="S298" s="4">
        <f ca="1"/>
        <v>25.973990417522245</v>
      </c>
      <c r="T298">
        <f ca="1"/>
        <v>58.461500000000001</v>
      </c>
      <c r="U298">
        <f ca="1"/>
        <v>63</v>
      </c>
      <c r="V298">
        <f ca="1"/>
        <v>25.5</v>
      </c>
      <c r="W298">
        <f ca="1"/>
        <v>4</v>
      </c>
      <c r="X298">
        <f ca="1"/>
        <v>1.0494505494505495</v>
      </c>
      <c r="Y298">
        <f ca="1"/>
        <v>57.412049450549453</v>
      </c>
      <c r="Z298">
        <f ca="1"/>
        <v>4.4409999999999972</v>
      </c>
    </row>
    <row r="299" spans="1:26" x14ac:dyDescent="0.35">
      <c r="A299" t="str">
        <f ca="1"/>
        <v>EJ198645 Corp</v>
      </c>
      <c r="B299" t="str">
        <f ca="1"/>
        <v>Japan Government Forty Year Bond</v>
      </c>
      <c r="C299" t="str">
        <f ca="1"/>
        <v>JGB</v>
      </c>
      <c r="D299" t="str">
        <f ca="1"/>
        <v>JP</v>
      </c>
      <c r="E299" t="str">
        <f ca="1"/>
        <v>JPY</v>
      </c>
      <c r="F299" t="str">
        <f ca="1"/>
        <v>20/03/2052</v>
      </c>
      <c r="G299" t="str">
        <f ca="1"/>
        <v>FIXED</v>
      </c>
      <c r="H299">
        <f ca="1"/>
        <v>2</v>
      </c>
      <c r="I299">
        <f ca="1"/>
        <v>2</v>
      </c>
      <c r="J299">
        <f ca="1"/>
        <v>3.8589999999998814</v>
      </c>
      <c r="K299">
        <f ca="1"/>
        <v>3.9069999999998486</v>
      </c>
      <c r="L299">
        <f ca="1"/>
        <v>75.863</v>
      </c>
      <c r="M299">
        <f ca="1"/>
        <v>75.393000000000001</v>
      </c>
      <c r="N299" t="str">
        <f ca="1"/>
        <v>EJ1986458</v>
      </c>
      <c r="O299" t="str">
        <f ca="1"/>
        <v>JP1400051C51</v>
      </c>
      <c r="P299" t="str">
        <f ca="1"/>
        <v>A+</v>
      </c>
      <c r="Q299" s="3">
        <f ca="1"/>
        <v>41044</v>
      </c>
      <c r="R299" s="4">
        <f ca="1"/>
        <v>46101</v>
      </c>
      <c r="S299" s="4">
        <f ca="1"/>
        <v>25.973990417522245</v>
      </c>
      <c r="T299">
        <f ca="1"/>
        <v>75.628</v>
      </c>
      <c r="U299">
        <f ca="1"/>
        <v>173</v>
      </c>
      <c r="V299">
        <f ca="1"/>
        <v>25.5</v>
      </c>
      <c r="W299">
        <f ca="1"/>
        <v>14</v>
      </c>
      <c r="X299">
        <f ca="1"/>
        <v>2.098901098901099</v>
      </c>
      <c r="Y299">
        <f ca="1"/>
        <v>73.529098901098905</v>
      </c>
      <c r="Z299">
        <f ca="1"/>
        <v>3.882999999999865</v>
      </c>
    </row>
    <row r="300" spans="1:26" x14ac:dyDescent="0.35">
      <c r="A300" t="str">
        <f ca="1"/>
        <v>BX715025 Corp</v>
      </c>
      <c r="B300" t="str">
        <f ca="1"/>
        <v>Japan Government Thirty Year Bond</v>
      </c>
      <c r="C300" t="str">
        <f ca="1"/>
        <v>JGB</v>
      </c>
      <c r="D300" t="str">
        <f ca="1"/>
        <v>JP</v>
      </c>
      <c r="E300" t="str">
        <f ca="1"/>
        <v>JPY</v>
      </c>
      <c r="F300" t="str">
        <f ca="1"/>
        <v>20/06/2052</v>
      </c>
      <c r="G300" t="str">
        <f ca="1"/>
        <v>FIXED</v>
      </c>
      <c r="H300">
        <f ca="1"/>
        <v>2</v>
      </c>
      <c r="I300">
        <f ca="1"/>
        <v>1.3</v>
      </c>
      <c r="J300">
        <f ca="1"/>
        <v>4.2389999999999981</v>
      </c>
      <c r="K300">
        <f ca="1"/>
        <v>4.2769999999999992</v>
      </c>
      <c r="L300">
        <f ca="1"/>
        <v>63.468000000000004</v>
      </c>
      <c r="M300">
        <f ca="1"/>
        <v>63.168999999999997</v>
      </c>
      <c r="N300" t="str">
        <f ca="1"/>
        <v>BX7150259</v>
      </c>
      <c r="O300" t="str">
        <f ca="1"/>
        <v>JP1300751N79</v>
      </c>
      <c r="P300" t="str">
        <f ca="1"/>
        <v>A+</v>
      </c>
      <c r="Q300" s="3">
        <f ca="1"/>
        <v>44742</v>
      </c>
      <c r="R300" s="4">
        <f ca="1"/>
        <v>46193</v>
      </c>
      <c r="S300" s="4">
        <f ca="1"/>
        <v>26.225872689938399</v>
      </c>
      <c r="T300">
        <f ca="1"/>
        <v>63.3185</v>
      </c>
      <c r="U300">
        <f ca="1"/>
        <v>69</v>
      </c>
      <c r="V300">
        <f ca="1"/>
        <v>26</v>
      </c>
      <c r="W300">
        <f ca="1"/>
        <v>4</v>
      </c>
      <c r="X300">
        <f ca="1"/>
        <v>0.71428571428571441</v>
      </c>
      <c r="Y300">
        <f ca="1"/>
        <v>62.604214285714285</v>
      </c>
      <c r="Z300">
        <f ca="1"/>
        <v>4.2579999999999991</v>
      </c>
    </row>
    <row r="301" spans="1:26" x14ac:dyDescent="0.35">
      <c r="A301" t="str">
        <f ca="1"/>
        <v>BZ687913 Corp</v>
      </c>
      <c r="B301" t="str">
        <f ca="1"/>
        <v>Japan Government Thirty Year Bond</v>
      </c>
      <c r="C301" t="str">
        <f ca="1"/>
        <v>JGB</v>
      </c>
      <c r="D301" t="str">
        <f ca="1"/>
        <v>JP</v>
      </c>
      <c r="E301" t="str">
        <f ca="1"/>
        <v>JPY</v>
      </c>
      <c r="F301" t="str">
        <f ca="1"/>
        <v>20/09/2052</v>
      </c>
      <c r="G301" t="str">
        <f ca="1"/>
        <v>FIXED</v>
      </c>
      <c r="H301">
        <f ca="1"/>
        <v>2</v>
      </c>
      <c r="I301">
        <f ca="1"/>
        <v>1.4</v>
      </c>
      <c r="J301">
        <f ca="1"/>
        <v>4.1819999999388786</v>
      </c>
      <c r="K301">
        <f ca="1"/>
        <v>4.222999999929792</v>
      </c>
      <c r="L301">
        <f ca="1"/>
        <v>65.013999999999996</v>
      </c>
      <c r="M301">
        <f ca="1"/>
        <v>64.680999999999997</v>
      </c>
      <c r="N301" t="str">
        <f ca="1"/>
        <v>BZ6879135</v>
      </c>
      <c r="O301" t="str">
        <f ca="1"/>
        <v>JP1300761NA3</v>
      </c>
      <c r="P301" t="str">
        <f ca="1"/>
        <v>A+</v>
      </c>
      <c r="Q301" s="3">
        <f ca="1"/>
        <v>44839</v>
      </c>
      <c r="R301" s="4">
        <f ca="1"/>
        <v>46101</v>
      </c>
      <c r="S301" s="4">
        <f ca="1"/>
        <v>26.477754962354553</v>
      </c>
      <c r="T301">
        <f ca="1"/>
        <v>64.847499999999997</v>
      </c>
      <c r="U301">
        <f ca="1"/>
        <v>73</v>
      </c>
      <c r="V301">
        <f ca="1"/>
        <v>26</v>
      </c>
      <c r="W301">
        <f ca="1"/>
        <v>4</v>
      </c>
      <c r="X301">
        <f ca="1"/>
        <v>1.4692307692307691</v>
      </c>
      <c r="Y301">
        <f ca="1"/>
        <v>63.378269230769227</v>
      </c>
      <c r="Z301">
        <f ca="1"/>
        <v>4.2024999999343358</v>
      </c>
    </row>
    <row r="302" spans="1:26" x14ac:dyDescent="0.35">
      <c r="A302" t="str">
        <f ca="1"/>
        <v>ZM378379 Corp</v>
      </c>
      <c r="B302" t="str">
        <f ca="1"/>
        <v>Japan Government Thirty Year Bond</v>
      </c>
      <c r="C302" t="str">
        <f ca="1"/>
        <v>JGB</v>
      </c>
      <c r="D302" t="str">
        <f ca="1"/>
        <v>JP</v>
      </c>
      <c r="E302" t="str">
        <f ca="1"/>
        <v>JPY</v>
      </c>
      <c r="F302" t="str">
        <f ca="1"/>
        <v>20/12/2052</v>
      </c>
      <c r="G302" t="str">
        <f ca="1"/>
        <v>FIXED</v>
      </c>
      <c r="H302">
        <f ca="1"/>
        <v>2</v>
      </c>
      <c r="I302">
        <f ca="1"/>
        <v>1.6</v>
      </c>
      <c r="J302">
        <f ca="1"/>
        <v>4.0829999999912303</v>
      </c>
      <c r="K302">
        <f ca="1"/>
        <v>4.1239999999897492</v>
      </c>
      <c r="L302">
        <f ca="1"/>
        <v>68.239000000000004</v>
      </c>
      <c r="M302">
        <f ca="1"/>
        <v>67.882999999999996</v>
      </c>
      <c r="N302" t="str">
        <f ca="1"/>
        <v>ZM3783796</v>
      </c>
      <c r="O302" t="str">
        <f ca="1"/>
        <v>JP1300771P16</v>
      </c>
      <c r="P302" t="str">
        <f ca="1"/>
        <v>A+</v>
      </c>
      <c r="Q302" s="3">
        <f ca="1"/>
        <v>44930</v>
      </c>
      <c r="R302" s="4">
        <f ca="1"/>
        <v>46193</v>
      </c>
      <c r="S302" s="4">
        <f ca="1"/>
        <v>26.726899383983572</v>
      </c>
      <c r="T302">
        <f ca="1"/>
        <v>68.061000000000007</v>
      </c>
      <c r="U302">
        <f ca="1"/>
        <v>313</v>
      </c>
      <c r="V302">
        <f ca="1"/>
        <v>26.5</v>
      </c>
      <c r="W302">
        <f ca="1"/>
        <v>3</v>
      </c>
      <c r="X302">
        <f ca="1"/>
        <v>0.87912087912087922</v>
      </c>
      <c r="Y302">
        <f ca="1"/>
        <v>67.181879120879131</v>
      </c>
      <c r="Z302">
        <f ca="1"/>
        <v>4.1034999999904898</v>
      </c>
    </row>
    <row r="303" spans="1:26" x14ac:dyDescent="0.35">
      <c r="A303" t="str">
        <f ca="1"/>
        <v>EJ687610 Corp</v>
      </c>
      <c r="B303" t="str">
        <f ca="1"/>
        <v>Japan Government Forty Year Bond</v>
      </c>
      <c r="C303" t="str">
        <f ca="1"/>
        <v>JGB</v>
      </c>
      <c r="D303" t="str">
        <f ca="1"/>
        <v>JP</v>
      </c>
      <c r="E303" t="str">
        <f ca="1"/>
        <v>JPY</v>
      </c>
      <c r="F303" t="str">
        <f ca="1"/>
        <v>20/03/2053</v>
      </c>
      <c r="G303" t="str">
        <f ca="1"/>
        <v>FIXED</v>
      </c>
      <c r="H303">
        <f ca="1"/>
        <v>2</v>
      </c>
      <c r="I303">
        <f ca="1"/>
        <v>1.9</v>
      </c>
      <c r="J303">
        <f ca="1"/>
        <v>3.9379999999995308</v>
      </c>
      <c r="K303">
        <f ca="1"/>
        <v>3.9839999999994191</v>
      </c>
      <c r="L303">
        <f ca="1"/>
        <v>73.319999999999993</v>
      </c>
      <c r="M303">
        <f ca="1"/>
        <v>72.881</v>
      </c>
      <c r="N303" t="str">
        <f ca="1"/>
        <v>EJ6876100</v>
      </c>
      <c r="O303" t="str">
        <f ca="1"/>
        <v>JP1400061D58</v>
      </c>
      <c r="P303" t="str">
        <f ca="1"/>
        <v>A+</v>
      </c>
      <c r="Q303" s="3">
        <f ca="1"/>
        <v>41415</v>
      </c>
      <c r="R303" s="4">
        <f ca="1"/>
        <v>46101</v>
      </c>
      <c r="S303" s="4">
        <f ca="1"/>
        <v>26.973305954825463</v>
      </c>
      <c r="T303">
        <f ca="1"/>
        <v>73.100499999999997</v>
      </c>
      <c r="U303">
        <f ca="1"/>
        <v>185</v>
      </c>
      <c r="V303">
        <f ca="1"/>
        <v>26.5</v>
      </c>
      <c r="W303">
        <f ca="1"/>
        <v>13</v>
      </c>
      <c r="X303">
        <f ca="1"/>
        <v>1.993956043956044</v>
      </c>
      <c r="Y303">
        <f ca="1"/>
        <v>71.10654395604395</v>
      </c>
      <c r="Z303">
        <f ca="1"/>
        <v>3.9609999999994749</v>
      </c>
    </row>
    <row r="304" spans="1:26" x14ac:dyDescent="0.35">
      <c r="A304" t="str">
        <f ca="1"/>
        <v>ZK098518 Corp</v>
      </c>
      <c r="B304" t="str">
        <f ca="1"/>
        <v>Japan Government Thirty Year Bond</v>
      </c>
      <c r="C304" t="str">
        <f ca="1"/>
        <v>JGB</v>
      </c>
      <c r="D304" t="str">
        <f ca="1"/>
        <v>JP</v>
      </c>
      <c r="E304" t="str">
        <f ca="1"/>
        <v>JPY</v>
      </c>
      <c r="F304" t="str">
        <f ca="1"/>
        <v>20/03/2053</v>
      </c>
      <c r="G304" t="str">
        <f ca="1"/>
        <v>FIXED</v>
      </c>
      <c r="H304">
        <f ca="1"/>
        <v>2</v>
      </c>
      <c r="I304">
        <f ca="1"/>
        <v>1.4</v>
      </c>
      <c r="J304">
        <f ca="1"/>
        <v>4.2039999999284943</v>
      </c>
      <c r="K304">
        <f ca="1"/>
        <v>4.2399999999193447</v>
      </c>
      <c r="L304">
        <f ca="1"/>
        <v>64.527000000000001</v>
      </c>
      <c r="M304">
        <f ca="1"/>
        <v>64.233999999999995</v>
      </c>
      <c r="N304" t="str">
        <f ca="1"/>
        <v>ZK0985182</v>
      </c>
      <c r="O304" t="str">
        <f ca="1"/>
        <v>JP1300781P48</v>
      </c>
      <c r="P304" t="str">
        <f ca="1"/>
        <v>A+</v>
      </c>
      <c r="Q304" s="3">
        <f ca="1"/>
        <v>45015</v>
      </c>
      <c r="R304" s="4">
        <f ca="1"/>
        <v>46101</v>
      </c>
      <c r="S304" s="4">
        <f ca="1"/>
        <v>26.973305954825463</v>
      </c>
      <c r="T304">
        <f ca="1"/>
        <v>64.380499999999998</v>
      </c>
      <c r="U304">
        <f ca="1"/>
        <v>306</v>
      </c>
      <c r="V304">
        <f ca="1"/>
        <v>26.5</v>
      </c>
      <c r="W304">
        <f ca="1"/>
        <v>3</v>
      </c>
      <c r="X304">
        <f ca="1"/>
        <v>1.4692307692307691</v>
      </c>
      <c r="Y304">
        <f ca="1"/>
        <v>62.911269230769228</v>
      </c>
      <c r="Z304">
        <f ca="1"/>
        <v>4.2219999999239199</v>
      </c>
    </row>
    <row r="305" spans="1:26" x14ac:dyDescent="0.35">
      <c r="A305" t="str">
        <f ca="1"/>
        <v>ZJ658086 Corp</v>
      </c>
      <c r="B305" t="str">
        <f ca="1"/>
        <v>Japan Government Thirty Year Bond</v>
      </c>
      <c r="C305" t="str">
        <f ca="1"/>
        <v>JGB</v>
      </c>
      <c r="D305" t="str">
        <f ca="1"/>
        <v>JP</v>
      </c>
      <c r="E305" t="str">
        <f ca="1"/>
        <v>JPY</v>
      </c>
      <c r="F305" t="str">
        <f ca="1"/>
        <v>20/06/2053</v>
      </c>
      <c r="G305" t="str">
        <f ca="1"/>
        <v>FIXED</v>
      </c>
      <c r="H305">
        <f ca="1"/>
        <v>2</v>
      </c>
      <c r="I305">
        <f ca="1"/>
        <v>1.2</v>
      </c>
      <c r="J305">
        <f ca="1"/>
        <v>4.3379999999999992</v>
      </c>
      <c r="K305">
        <f ca="1"/>
        <v>4.3750000000000009</v>
      </c>
      <c r="L305">
        <f ca="1"/>
        <v>60.796999999999997</v>
      </c>
      <c r="M305">
        <f ca="1"/>
        <v>60.517000000000003</v>
      </c>
      <c r="N305" t="str">
        <f ca="1"/>
        <v>ZJ6580865</v>
      </c>
      <c r="O305" t="str">
        <f ca="1"/>
        <v>JP1300791P79</v>
      </c>
      <c r="P305" t="str">
        <f ca="1"/>
        <v>A+</v>
      </c>
      <c r="Q305" s="3">
        <f ca="1"/>
        <v>45106</v>
      </c>
      <c r="R305" s="4">
        <f ca="1"/>
        <v>46193</v>
      </c>
      <c r="S305" s="4">
        <f ca="1"/>
        <v>27.225188227241617</v>
      </c>
      <c r="T305">
        <f ca="1"/>
        <v>60.656999999999996</v>
      </c>
      <c r="U305">
        <f ca="1"/>
        <v>302</v>
      </c>
      <c r="V305">
        <f ca="1"/>
        <v>27</v>
      </c>
      <c r="W305">
        <f ca="1"/>
        <v>3</v>
      </c>
      <c r="X305">
        <f ca="1"/>
        <v>0.65934065934065933</v>
      </c>
      <c r="Y305">
        <f ca="1"/>
        <v>59.997659340659339</v>
      </c>
      <c r="Z305">
        <f ca="1"/>
        <v>4.3565000000000005</v>
      </c>
    </row>
    <row r="306" spans="1:26" x14ac:dyDescent="0.35">
      <c r="A306" t="str">
        <f ca="1"/>
        <v>ZH320472 Corp</v>
      </c>
      <c r="B306" t="str">
        <f ca="1"/>
        <v>Japan Government Thirty Year Bond</v>
      </c>
      <c r="C306" t="str">
        <f ca="1"/>
        <v>JGB</v>
      </c>
      <c r="D306" t="str">
        <f ca="1"/>
        <v>JP</v>
      </c>
      <c r="E306" t="str">
        <f ca="1"/>
        <v>JPY</v>
      </c>
      <c r="F306" t="str">
        <f ca="1"/>
        <v>20/09/2053</v>
      </c>
      <c r="G306" t="str">
        <f ca="1"/>
        <v>FIXED</v>
      </c>
      <c r="H306">
        <f ca="1"/>
        <v>2</v>
      </c>
      <c r="I306">
        <f ca="1"/>
        <v>1.8</v>
      </c>
      <c r="J306">
        <f ca="1"/>
        <v>4.0019999999984677</v>
      </c>
      <c r="K306">
        <f ca="1"/>
        <v>4.0349999999982389</v>
      </c>
      <c r="L306">
        <f ca="1"/>
        <v>71.158000000000001</v>
      </c>
      <c r="M306">
        <f ca="1"/>
        <v>70.852000000000004</v>
      </c>
      <c r="N306" t="str">
        <f ca="1"/>
        <v>ZH3204729</v>
      </c>
      <c r="O306" t="str">
        <f ca="1"/>
        <v>JP1300801PA2</v>
      </c>
      <c r="P306" t="str">
        <f ca="1"/>
        <v>A+</v>
      </c>
      <c r="Q306" s="3">
        <f ca="1"/>
        <v>45197</v>
      </c>
      <c r="R306" s="4">
        <f ca="1"/>
        <v>46101</v>
      </c>
      <c r="S306" s="4">
        <f ca="1"/>
        <v>27.477070499657767</v>
      </c>
      <c r="T306">
        <f ca="1"/>
        <v>71.004999999999995</v>
      </c>
      <c r="U306">
        <f ca="1"/>
        <v>296</v>
      </c>
      <c r="V306">
        <f ca="1"/>
        <v>27</v>
      </c>
      <c r="W306">
        <f ca="1"/>
        <v>3</v>
      </c>
      <c r="X306">
        <f ca="1"/>
        <v>1.8890109890109892</v>
      </c>
      <c r="Y306">
        <f ca="1"/>
        <v>69.115989010989011</v>
      </c>
      <c r="Z306">
        <f ca="1"/>
        <v>4.0184999999983528</v>
      </c>
    </row>
    <row r="307" spans="1:26" x14ac:dyDescent="0.35">
      <c r="A307" t="str">
        <f ca="1"/>
        <v>ZF317568 Corp</v>
      </c>
      <c r="B307" t="str">
        <f ca="1"/>
        <v>Japan Government Thirty Year Bond</v>
      </c>
      <c r="C307" t="str">
        <f ca="1"/>
        <v>JGB</v>
      </c>
      <c r="D307" t="str">
        <f ca="1"/>
        <v>JP</v>
      </c>
      <c r="E307" t="str">
        <f ca="1"/>
        <v>JPY</v>
      </c>
      <c r="F307" t="str">
        <f ca="1"/>
        <v>20/12/2053</v>
      </c>
      <c r="G307" t="str">
        <f ca="1"/>
        <v>FIXED</v>
      </c>
      <c r="H307">
        <f ca="1"/>
        <v>2</v>
      </c>
      <c r="I307">
        <f ca="1"/>
        <v>1.6</v>
      </c>
      <c r="J307">
        <f ca="1"/>
        <v>4.0989999999891928</v>
      </c>
      <c r="K307">
        <f ca="1"/>
        <v>4.1379999999874881</v>
      </c>
      <c r="L307">
        <f ca="1"/>
        <v>67.542000000000002</v>
      </c>
      <c r="M307">
        <f ca="1"/>
        <v>67.201999999999998</v>
      </c>
      <c r="N307" t="str">
        <f ca="1"/>
        <v>ZF3175683</v>
      </c>
      <c r="O307" t="str">
        <f ca="1"/>
        <v>JP1300811Q17</v>
      </c>
      <c r="P307" t="str">
        <f ca="1"/>
        <v>A+</v>
      </c>
      <c r="Q307" s="3">
        <f ca="1"/>
        <v>45296</v>
      </c>
      <c r="R307" s="4">
        <f ca="1"/>
        <v>46193</v>
      </c>
      <c r="S307" s="4">
        <f ca="1"/>
        <v>27.72621492128679</v>
      </c>
      <c r="T307">
        <f ca="1"/>
        <v>67.372</v>
      </c>
      <c r="U307">
        <f ca="1"/>
        <v>290</v>
      </c>
      <c r="V307">
        <f ca="1"/>
        <v>27.5</v>
      </c>
      <c r="W307">
        <f ca="1"/>
        <v>2</v>
      </c>
      <c r="X307">
        <f ca="1"/>
        <v>0.87912087912087922</v>
      </c>
      <c r="Y307">
        <f ca="1"/>
        <v>66.492879120879124</v>
      </c>
      <c r="Z307">
        <f ca="1"/>
        <v>4.1184999999883409</v>
      </c>
    </row>
    <row r="308" spans="1:26" x14ac:dyDescent="0.35">
      <c r="A308" t="str">
        <f ca="1"/>
        <v>EK299024 Corp</v>
      </c>
      <c r="B308" t="str">
        <f ca="1"/>
        <v>Japan Government Forty Year Bond</v>
      </c>
      <c r="C308" t="str">
        <f ca="1"/>
        <v>JGB</v>
      </c>
      <c r="D308" t="str">
        <f ca="1"/>
        <v>JP</v>
      </c>
      <c r="E308" t="str">
        <f ca="1"/>
        <v>JPY</v>
      </c>
      <c r="F308" t="str">
        <f ca="1"/>
        <v>20/03/2054</v>
      </c>
      <c r="G308" t="str">
        <f ca="1"/>
        <v>FIXED</v>
      </c>
      <c r="H308">
        <f ca="1"/>
        <v>2</v>
      </c>
      <c r="I308">
        <f ca="1"/>
        <v>1.7</v>
      </c>
      <c r="J308">
        <f ca="1"/>
        <v>4.0059999999962272</v>
      </c>
      <c r="K308">
        <f ca="1"/>
        <v>4.054999999995399</v>
      </c>
      <c r="L308">
        <f ca="1"/>
        <v>69.555999999999997</v>
      </c>
      <c r="M308">
        <f ca="1"/>
        <v>69.108999999999995</v>
      </c>
      <c r="N308" t="str">
        <f ca="1"/>
        <v>EK2990241</v>
      </c>
      <c r="O308" t="str">
        <f ca="1"/>
        <v>JP1400071E55</v>
      </c>
      <c r="P308" t="str">
        <f ca="1"/>
        <v>A+</v>
      </c>
      <c r="Q308" s="3">
        <f ca="1"/>
        <v>41786</v>
      </c>
      <c r="R308" s="4">
        <f ca="1"/>
        <v>46101</v>
      </c>
      <c r="S308" s="4">
        <f ca="1"/>
        <v>27.972621492128678</v>
      </c>
      <c r="T308">
        <f ca="1"/>
        <v>69.332499999999996</v>
      </c>
      <c r="U308">
        <f ca="1"/>
        <v>194</v>
      </c>
      <c r="V308">
        <f ca="1"/>
        <v>27.5</v>
      </c>
      <c r="W308">
        <f ca="1"/>
        <v>12</v>
      </c>
      <c r="X308">
        <f ca="1"/>
        <v>1.7840659340659342</v>
      </c>
      <c r="Y308">
        <f ca="1"/>
        <v>67.54843406593406</v>
      </c>
      <c r="Z308">
        <f ca="1"/>
        <v>4.0304999999958131</v>
      </c>
    </row>
    <row r="309" spans="1:26" x14ac:dyDescent="0.35">
      <c r="A309" t="str">
        <f ca="1"/>
        <v>ZB197472 Corp</v>
      </c>
      <c r="B309" t="str">
        <f ca="1"/>
        <v>Japan Government Thirty Year Bond</v>
      </c>
      <c r="C309" t="str">
        <f ca="1"/>
        <v>JGB</v>
      </c>
      <c r="D309" t="str">
        <f ca="1"/>
        <v>JP</v>
      </c>
      <c r="E309" t="str">
        <f ca="1"/>
        <v>JPY</v>
      </c>
      <c r="F309" t="str">
        <f ca="1"/>
        <v>20/03/2054</v>
      </c>
      <c r="G309" t="str">
        <f ca="1"/>
        <v>FIXED</v>
      </c>
      <c r="H309">
        <f ca="1"/>
        <v>2</v>
      </c>
      <c r="I309">
        <f ca="1"/>
        <v>1.8</v>
      </c>
      <c r="J309">
        <f ca="1"/>
        <v>3.9999999999983826</v>
      </c>
      <c r="K309">
        <f ca="1"/>
        <v>4.0389999999980901</v>
      </c>
      <c r="L309">
        <f ca="1"/>
        <v>70.932000000000002</v>
      </c>
      <c r="M309">
        <f ca="1"/>
        <v>70.569000000000003</v>
      </c>
      <c r="N309" t="str">
        <f ca="1"/>
        <v>ZB1974722</v>
      </c>
      <c r="O309" t="str">
        <f ca="1"/>
        <v>JP1300821Q49</v>
      </c>
      <c r="P309" t="str">
        <f ca="1"/>
        <v>A+</v>
      </c>
      <c r="Q309" s="3">
        <f ca="1"/>
        <v>45379</v>
      </c>
      <c r="R309" s="4">
        <f ca="1"/>
        <v>46101</v>
      </c>
      <c r="S309" s="4">
        <f ca="1"/>
        <v>27.972621492128678</v>
      </c>
      <c r="T309">
        <f ca="1"/>
        <v>70.750500000000002</v>
      </c>
      <c r="U309">
        <f ca="1"/>
        <v>282</v>
      </c>
      <c r="V309">
        <f ca="1"/>
        <v>27.5</v>
      </c>
      <c r="W309">
        <f ca="1"/>
        <v>2</v>
      </c>
      <c r="X309">
        <f ca="1"/>
        <v>1.8890109890109892</v>
      </c>
      <c r="Y309">
        <f ca="1"/>
        <v>68.861489010989018</v>
      </c>
      <c r="Z309">
        <f ca="1"/>
        <v>4.0194999999982368</v>
      </c>
    </row>
    <row r="310" spans="1:26" x14ac:dyDescent="0.35">
      <c r="A310" t="str">
        <f ca="1"/>
        <v>YW192607 Corp</v>
      </c>
      <c r="B310" t="str">
        <f ca="1"/>
        <v>Japan Government Thirty Year Bond</v>
      </c>
      <c r="C310" t="str">
        <f ca="1"/>
        <v>JGB</v>
      </c>
      <c r="D310" t="str">
        <f ca="1"/>
        <v>JP</v>
      </c>
      <c r="E310" t="str">
        <f ca="1"/>
        <v>JPY</v>
      </c>
      <c r="F310" t="str">
        <f ca="1"/>
        <v>20/06/2054</v>
      </c>
      <c r="G310" t="str">
        <f ca="1"/>
        <v>FIXED</v>
      </c>
      <c r="H310">
        <f ca="1"/>
        <v>2</v>
      </c>
      <c r="I310">
        <f ca="1"/>
        <v>2.2000000000000002</v>
      </c>
      <c r="J310">
        <f ca="1"/>
        <v>3.8249999999999789</v>
      </c>
      <c r="K310">
        <f ca="1"/>
        <v>3.8619999999999775</v>
      </c>
      <c r="L310">
        <f ca="1"/>
        <v>77.926000000000002</v>
      </c>
      <c r="M310">
        <f ca="1"/>
        <v>77.536000000000001</v>
      </c>
      <c r="N310" t="str">
        <f ca="1"/>
        <v>YW1926073</v>
      </c>
      <c r="O310" t="str">
        <f ca="1"/>
        <v>JP1300831Q70</v>
      </c>
      <c r="P310" t="str">
        <f ca="1"/>
        <v>A+</v>
      </c>
      <c r="Q310" s="3">
        <f ca="1"/>
        <v>45470</v>
      </c>
      <c r="R310" s="4">
        <f ca="1"/>
        <v>46193</v>
      </c>
      <c r="S310" s="4">
        <f ca="1"/>
        <v>28.224503764544831</v>
      </c>
      <c r="T310">
        <f ca="1"/>
        <v>77.730999999999995</v>
      </c>
      <c r="U310">
        <f ca="1"/>
        <v>270</v>
      </c>
      <c r="V310">
        <f ca="1"/>
        <v>28</v>
      </c>
      <c r="W310">
        <f ca="1"/>
        <v>2</v>
      </c>
      <c r="X310">
        <f ca="1"/>
        <v>1.2087912087912089</v>
      </c>
      <c r="Y310">
        <f ca="1"/>
        <v>76.522208791208783</v>
      </c>
      <c r="Z310">
        <f ca="1"/>
        <v>3.8434999999999784</v>
      </c>
    </row>
    <row r="311" spans="1:26" x14ac:dyDescent="0.35">
      <c r="A311" t="str">
        <f ca="1"/>
        <v>YU369993 Corp</v>
      </c>
      <c r="B311" t="str">
        <f ca="1"/>
        <v>Japan Government Thirty Year Bond</v>
      </c>
      <c r="C311" t="str">
        <f ca="1"/>
        <v>JGB</v>
      </c>
      <c r="D311" t="str">
        <f ca="1"/>
        <v>JP</v>
      </c>
      <c r="E311" t="str">
        <f ca="1"/>
        <v>JPY</v>
      </c>
      <c r="F311" t="str">
        <f ca="1"/>
        <v>20/09/2054</v>
      </c>
      <c r="G311" t="str">
        <f ca="1"/>
        <v>FIXED</v>
      </c>
      <c r="H311">
        <f ca="1"/>
        <v>2</v>
      </c>
      <c r="I311">
        <f ca="1"/>
        <v>2.1</v>
      </c>
      <c r="J311">
        <f ca="1"/>
        <v>3.8659999999999322</v>
      </c>
      <c r="K311">
        <f ca="1"/>
        <v>3.901999999999918</v>
      </c>
      <c r="L311">
        <f ca="1"/>
        <v>76.043000000000006</v>
      </c>
      <c r="M311">
        <f ca="1"/>
        <v>75.673000000000002</v>
      </c>
      <c r="N311" t="str">
        <f ca="1"/>
        <v>YU3699938</v>
      </c>
      <c r="O311" t="str">
        <f ca="1"/>
        <v>JP1300841QA6</v>
      </c>
      <c r="P311" t="str">
        <f ca="1"/>
        <v>A+</v>
      </c>
      <c r="Q311" s="3">
        <f ca="1"/>
        <v>45566</v>
      </c>
      <c r="R311" s="4">
        <f ca="1"/>
        <v>46101</v>
      </c>
      <c r="S311" s="4">
        <f ca="1"/>
        <v>28.476386036960985</v>
      </c>
      <c r="T311">
        <f ca="1"/>
        <v>75.858000000000004</v>
      </c>
      <c r="U311">
        <f ca="1"/>
        <v>261</v>
      </c>
      <c r="V311">
        <f ca="1"/>
        <v>28</v>
      </c>
      <c r="W311">
        <f ca="1"/>
        <v>2</v>
      </c>
      <c r="X311">
        <f ca="1"/>
        <v>2.203846153846154</v>
      </c>
      <c r="Y311">
        <f ca="1"/>
        <v>73.654153846153847</v>
      </c>
      <c r="Z311">
        <f ca="1"/>
        <v>3.8839999999999248</v>
      </c>
    </row>
    <row r="312" spans="1:26" x14ac:dyDescent="0.35">
      <c r="A312" t="str">
        <f ca="1"/>
        <v>YS522463 Corp</v>
      </c>
      <c r="B312" t="str">
        <f ca="1"/>
        <v>Japan Government Thirty Year Bond</v>
      </c>
      <c r="C312" t="str">
        <f ca="1"/>
        <v>JGB</v>
      </c>
      <c r="D312" t="str">
        <f ca="1"/>
        <v>JP</v>
      </c>
      <c r="E312" t="str">
        <f ca="1"/>
        <v>JPY</v>
      </c>
      <c r="F312" t="str">
        <f ca="1"/>
        <v>20/12/2054</v>
      </c>
      <c r="G312" t="str">
        <f ca="1"/>
        <v>FIXED</v>
      </c>
      <c r="H312">
        <f ca="1"/>
        <v>2</v>
      </c>
      <c r="I312">
        <f ca="1"/>
        <v>2.2999999999999998</v>
      </c>
      <c r="J312">
        <f ca="1"/>
        <v>3.7789999999999955</v>
      </c>
      <c r="K312">
        <f ca="1"/>
        <v>3.8219999999999921</v>
      </c>
      <c r="L312">
        <f ca="1"/>
        <v>79.611000000000004</v>
      </c>
      <c r="M312">
        <f ca="1"/>
        <v>79.141999999999996</v>
      </c>
      <c r="N312" t="str">
        <f ca="1"/>
        <v>YS5224631</v>
      </c>
      <c r="O312" t="str">
        <f ca="1"/>
        <v>JP1300851R17</v>
      </c>
      <c r="P312" t="str">
        <f ca="1"/>
        <v>A+</v>
      </c>
      <c r="Q312" s="3">
        <f ca="1"/>
        <v>45653</v>
      </c>
      <c r="R312" s="4">
        <f ca="1"/>
        <v>46193</v>
      </c>
      <c r="S312" s="4">
        <f ca="1"/>
        <v>28.725530458590008</v>
      </c>
      <c r="T312">
        <f ca="1"/>
        <v>79.376499999999993</v>
      </c>
      <c r="U312">
        <f ca="1"/>
        <v>254</v>
      </c>
      <c r="V312">
        <f ca="1"/>
        <v>28.5</v>
      </c>
      <c r="W312">
        <f ca="1"/>
        <v>2</v>
      </c>
      <c r="X312">
        <f ca="1"/>
        <v>1.2637362637362637</v>
      </c>
      <c r="Y312">
        <f ca="1"/>
        <v>78.11276373626373</v>
      </c>
      <c r="Z312">
        <f ca="1"/>
        <v>3.8004999999999938</v>
      </c>
    </row>
    <row r="313" spans="1:26" x14ac:dyDescent="0.35">
      <c r="A313" t="str">
        <f ca="1"/>
        <v>EK877977 Corp</v>
      </c>
      <c r="B313" t="str">
        <f ca="1"/>
        <v>Japan Government Forty Year Bond</v>
      </c>
      <c r="C313" t="str">
        <f ca="1"/>
        <v>JGB</v>
      </c>
      <c r="D313" t="str">
        <f ca="1"/>
        <v>JP</v>
      </c>
      <c r="E313" t="str">
        <f ca="1"/>
        <v>JPY</v>
      </c>
      <c r="F313" t="str">
        <f ca="1"/>
        <v>20/03/2055</v>
      </c>
      <c r="G313" t="str">
        <f ca="1"/>
        <v>FIXED</v>
      </c>
      <c r="H313">
        <f ca="1"/>
        <v>2</v>
      </c>
      <c r="I313">
        <f ca="1"/>
        <v>1.4</v>
      </c>
      <c r="J313">
        <f ca="1"/>
        <v>4.2079999999026914</v>
      </c>
      <c r="K313">
        <f ca="1"/>
        <v>4.2519999998875218</v>
      </c>
      <c r="L313">
        <f ca="1"/>
        <v>63.311</v>
      </c>
      <c r="M313">
        <f ca="1"/>
        <v>62.948999999999998</v>
      </c>
      <c r="N313" t="str">
        <f ca="1"/>
        <v>EK8779770</v>
      </c>
      <c r="O313" t="str">
        <f ca="1"/>
        <v>JP1400081F45</v>
      </c>
      <c r="P313" t="str">
        <f ca="1"/>
        <v>A+</v>
      </c>
      <c r="Q313" s="3">
        <f ca="1"/>
        <v>42117</v>
      </c>
      <c r="R313" s="4">
        <f ca="1"/>
        <v>46101</v>
      </c>
      <c r="S313" s="4">
        <f ca="1"/>
        <v>28.971937029431896</v>
      </c>
      <c r="T313">
        <f ca="1"/>
        <v>63.129999999999995</v>
      </c>
      <c r="U313">
        <f ca="1"/>
        <v>203</v>
      </c>
      <c r="V313">
        <f ca="1"/>
        <v>28.5</v>
      </c>
      <c r="W313">
        <f ca="1"/>
        <v>11</v>
      </c>
      <c r="X313">
        <f ca="1"/>
        <v>1.4692307692307691</v>
      </c>
      <c r="Y313">
        <f ca="1"/>
        <v>61.660769230769226</v>
      </c>
      <c r="Z313">
        <f ca="1"/>
        <v>4.2299999998951066</v>
      </c>
    </row>
    <row r="314" spans="1:26" x14ac:dyDescent="0.35">
      <c r="A314" t="str">
        <f ca="1"/>
        <v>YP285159 Corp</v>
      </c>
      <c r="B314" t="str">
        <f ca="1"/>
        <v>Japan Government Thirty Year Bond</v>
      </c>
      <c r="C314" t="str">
        <f ca="1"/>
        <v>JGB</v>
      </c>
      <c r="D314" t="str">
        <f ca="1"/>
        <v>JP</v>
      </c>
      <c r="E314" t="str">
        <f ca="1"/>
        <v>JPY</v>
      </c>
      <c r="F314" t="str">
        <f ca="1"/>
        <v>20/03/2055</v>
      </c>
      <c r="G314" t="str">
        <f ca="1"/>
        <v>FIXED</v>
      </c>
      <c r="H314">
        <f ca="1"/>
        <v>2</v>
      </c>
      <c r="I314">
        <f ca="1"/>
        <v>2.4</v>
      </c>
      <c r="J314">
        <f ca="1"/>
        <v>3.7409999999999979</v>
      </c>
      <c r="K314">
        <f ca="1"/>
        <v>3.774999999999999</v>
      </c>
      <c r="L314">
        <f ca="1"/>
        <v>81.34</v>
      </c>
      <c r="M314">
        <f ca="1"/>
        <v>80.956999999999994</v>
      </c>
      <c r="N314" t="str">
        <f ca="1"/>
        <v>YP2851598</v>
      </c>
      <c r="O314" t="str">
        <f ca="1"/>
        <v>JP1300861R49</v>
      </c>
      <c r="P314" t="str">
        <f ca="1"/>
        <v>A+</v>
      </c>
      <c r="Q314" s="3">
        <f ca="1"/>
        <v>45748</v>
      </c>
      <c r="R314" s="4">
        <f ca="1"/>
        <v>46101</v>
      </c>
      <c r="S314" s="4">
        <f ca="1"/>
        <v>28.971937029431896</v>
      </c>
      <c r="T314">
        <f ca="1"/>
        <v>81.148499999999999</v>
      </c>
      <c r="U314">
        <f ca="1"/>
        <v>242</v>
      </c>
      <c r="V314">
        <f ca="1"/>
        <v>28.5</v>
      </c>
      <c r="W314">
        <f ca="1"/>
        <v>1</v>
      </c>
      <c r="X314">
        <f ca="1"/>
        <v>2.5186813186813186</v>
      </c>
      <c r="Y314">
        <f ca="1"/>
        <v>78.629818681318682</v>
      </c>
      <c r="Z314">
        <f ca="1"/>
        <v>3.7579999999999982</v>
      </c>
    </row>
    <row r="315" spans="1:26" x14ac:dyDescent="0.35">
      <c r="A315" t="str">
        <f ca="1"/>
        <v>YN990658 Corp</v>
      </c>
      <c r="B315" t="str">
        <f ca="1"/>
        <v>Japan Government Thirty Year Bond</v>
      </c>
      <c r="C315" t="str">
        <f ca="1"/>
        <v>JGB</v>
      </c>
      <c r="D315" t="str">
        <f ca="1"/>
        <v>JP</v>
      </c>
      <c r="E315" t="str">
        <f ca="1"/>
        <v>JPY</v>
      </c>
      <c r="F315" t="str">
        <f ca="1"/>
        <v>20/06/2055</v>
      </c>
      <c r="G315" t="str">
        <f ca="1"/>
        <v>FIXED</v>
      </c>
      <c r="H315">
        <f ca="1"/>
        <v>2</v>
      </c>
      <c r="I315">
        <f ca="1"/>
        <v>2.8</v>
      </c>
      <c r="J315">
        <f ca="1"/>
        <v>3.5839999999653753</v>
      </c>
      <c r="K315">
        <f ca="1"/>
        <v>3.6189999999559701</v>
      </c>
      <c r="L315">
        <f ca="1"/>
        <v>88.8</v>
      </c>
      <c r="M315">
        <f ca="1"/>
        <v>88.358000000000004</v>
      </c>
      <c r="N315" t="str">
        <f ca="1"/>
        <v>YN9906580</v>
      </c>
      <c r="O315" t="str">
        <f ca="1"/>
        <v>JP1300871R70</v>
      </c>
      <c r="P315" t="str">
        <f ca="1"/>
        <v>A+</v>
      </c>
      <c r="Q315" s="3">
        <f ca="1"/>
        <v>45834</v>
      </c>
      <c r="R315" s="4">
        <f ca="1"/>
        <v>46193</v>
      </c>
      <c r="S315" s="4">
        <f ca="1"/>
        <v>29.223819301848049</v>
      </c>
      <c r="T315">
        <f ca="1"/>
        <v>88.579000000000008</v>
      </c>
      <c r="U315">
        <f ca="1"/>
        <v>240</v>
      </c>
      <c r="V315">
        <f ca="1"/>
        <v>29</v>
      </c>
      <c r="W315">
        <f ca="1"/>
        <v>1</v>
      </c>
      <c r="X315">
        <f ca="1"/>
        <v>1.5384615384615385</v>
      </c>
      <c r="Y315">
        <f ca="1"/>
        <v>87.040538461538475</v>
      </c>
      <c r="Z315">
        <f ca="1"/>
        <v>3.6014999999606729</v>
      </c>
    </row>
    <row r="316" spans="1:26" x14ac:dyDescent="0.35">
      <c r="A316" t="str">
        <f ca="1"/>
        <v>YK837626 Corp</v>
      </c>
      <c r="B316" t="str">
        <f ca="1"/>
        <v>Japan Government Thirty Year Bond</v>
      </c>
      <c r="C316" t="str">
        <f ca="1"/>
        <v>JGB</v>
      </c>
      <c r="D316" t="str">
        <f ca="1"/>
        <v>JP</v>
      </c>
      <c r="E316" t="str">
        <f ca="1"/>
        <v>JPY</v>
      </c>
      <c r="F316" t="str">
        <f ca="1"/>
        <v>20/09/2055</v>
      </c>
      <c r="G316" t="str">
        <f ca="1"/>
        <v>FIXED</v>
      </c>
      <c r="H316">
        <f ca="1"/>
        <v>2</v>
      </c>
      <c r="I316">
        <f ca="1"/>
        <v>3.2</v>
      </c>
      <c r="J316">
        <f ca="1"/>
        <v>3.4569999999999528</v>
      </c>
      <c r="K316">
        <f ca="1"/>
        <v>3.4999999999998987</v>
      </c>
      <c r="L316">
        <f ca="1"/>
        <v>96.244</v>
      </c>
      <c r="M316">
        <f ca="1"/>
        <v>95.643000000000001</v>
      </c>
      <c r="N316" t="str">
        <f ca="1"/>
        <v>YK8376260</v>
      </c>
      <c r="O316" t="str">
        <f ca="1"/>
        <v>JP1300881RA0</v>
      </c>
      <c r="P316" t="str">
        <f ca="1"/>
        <v>A+</v>
      </c>
      <c r="Q316" s="3">
        <f ca="1"/>
        <v>45930</v>
      </c>
      <c r="R316" s="4">
        <f ca="1"/>
        <v>46101</v>
      </c>
      <c r="S316" s="4">
        <f ca="1"/>
        <v>29.475701574264203</v>
      </c>
      <c r="T316">
        <f ca="1"/>
        <v>95.9435</v>
      </c>
      <c r="U316">
        <f ca="1"/>
        <v>230</v>
      </c>
      <c r="V316">
        <f ca="1"/>
        <v>29</v>
      </c>
      <c r="W316">
        <f ca="1"/>
        <v>1</v>
      </c>
      <c r="X316">
        <f ca="1"/>
        <v>3.3582417582417587</v>
      </c>
      <c r="Y316">
        <f ca="1"/>
        <v>92.58525824175824</v>
      </c>
      <c r="Z316">
        <f ca="1"/>
        <v>3.4784999999999258</v>
      </c>
    </row>
    <row r="317" spans="1:26" x14ac:dyDescent="0.35">
      <c r="A317" t="str">
        <f ca="1"/>
        <v>DC841111 Corp</v>
      </c>
      <c r="B317" t="str">
        <f ca="1"/>
        <v>Japan Government Thirty Year Bond</v>
      </c>
      <c r="C317" t="str">
        <f ca="1"/>
        <v>JGB</v>
      </c>
      <c r="D317" t="str">
        <f ca="1"/>
        <v>JP</v>
      </c>
      <c r="E317" t="str">
        <f ca="1"/>
        <v>JPY</v>
      </c>
      <c r="F317" t="str">
        <f ca="1"/>
        <v>20/12/2055</v>
      </c>
      <c r="G317" t="str">
        <f ca="1"/>
        <v>FIXED</v>
      </c>
      <c r="H317">
        <f ca="1"/>
        <v>2</v>
      </c>
      <c r="I317">
        <f ca="1"/>
        <v>3.4</v>
      </c>
      <c r="J317">
        <f ca="1"/>
        <v>3.4019999999999953</v>
      </c>
      <c r="K317">
        <f ca="1"/>
        <v>3.4399999999657389</v>
      </c>
      <c r="L317">
        <f ca="1"/>
        <v>99.97</v>
      </c>
      <c r="M317">
        <f ca="1"/>
        <v>99.411000000000001</v>
      </c>
      <c r="N317" t="str">
        <f ca="1"/>
        <v>DC8411118</v>
      </c>
      <c r="O317" t="str">
        <f ca="1"/>
        <v>JP1300891S18</v>
      </c>
      <c r="P317" t="str">
        <f ca="1"/>
        <v>A+</v>
      </c>
      <c r="Q317" s="3">
        <f ca="1"/>
        <v>46017</v>
      </c>
      <c r="R317" s="4">
        <f ca="1"/>
        <v>46193</v>
      </c>
      <c r="S317" s="4">
        <f ca="1"/>
        <v>29.724845995893222</v>
      </c>
      <c r="T317">
        <f ca="1"/>
        <v>99.6905</v>
      </c>
      <c r="U317">
        <f ca="1"/>
        <v>80</v>
      </c>
      <c r="V317">
        <f ca="1"/>
        <v>29.5</v>
      </c>
      <c r="W317">
        <f ca="1"/>
        <v>1</v>
      </c>
      <c r="X317">
        <f ca="1"/>
        <v>1.8681318681318682</v>
      </c>
      <c r="Y317">
        <f ca="1"/>
        <v>97.822368131868132</v>
      </c>
      <c r="Z317">
        <f ca="1"/>
        <v>3.4209999999828673</v>
      </c>
    </row>
    <row r="318" spans="1:26" x14ac:dyDescent="0.35">
      <c r="A318" t="str">
        <f ca="1"/>
        <v>LW239433 Corp</v>
      </c>
      <c r="B318" t="str">
        <f ca="1"/>
        <v>Japan Government Forty Year Bond</v>
      </c>
      <c r="C318" t="str">
        <f ca="1"/>
        <v>JGB</v>
      </c>
      <c r="D318" t="str">
        <f ca="1"/>
        <v>JP</v>
      </c>
      <c r="E318" t="str">
        <f ca="1"/>
        <v>JPY</v>
      </c>
      <c r="F318" t="str">
        <f ca="1"/>
        <v>20/03/2056</v>
      </c>
      <c r="G318" t="str">
        <f ca="1"/>
        <v>FIXED</v>
      </c>
      <c r="H318">
        <f ca="1"/>
        <v>2</v>
      </c>
      <c r="I318">
        <f ca="1"/>
        <v>0.4</v>
      </c>
      <c r="J318">
        <f ca="1"/>
        <v>5.1529999998726126</v>
      </c>
      <c r="K318">
        <f ca="1"/>
        <v>5.2119999998502644</v>
      </c>
      <c r="L318">
        <f ca="1"/>
        <v>43.975999999999999</v>
      </c>
      <c r="M318">
        <f ca="1"/>
        <v>43.671999999999997</v>
      </c>
      <c r="N318" t="str">
        <f ca="1"/>
        <v>LW2394333</v>
      </c>
      <c r="O318" t="str">
        <f ca="1"/>
        <v>JP1400091G59</v>
      </c>
      <c r="P318" t="str">
        <f ca="1"/>
        <v>A+</v>
      </c>
      <c r="Q318" s="3">
        <f ca="1"/>
        <v>42516</v>
      </c>
      <c r="R318" s="4">
        <f ca="1"/>
        <v>46101</v>
      </c>
      <c r="S318" s="4">
        <f ca="1"/>
        <v>29.973990417522245</v>
      </c>
      <c r="T318">
        <f ca="1"/>
        <v>43.823999999999998</v>
      </c>
      <c r="U318">
        <f ca="1"/>
        <v>211</v>
      </c>
      <c r="V318">
        <f ca="1"/>
        <v>29.5</v>
      </c>
      <c r="W318">
        <f ca="1"/>
        <v>10</v>
      </c>
      <c r="X318">
        <f ca="1"/>
        <v>0.41978021978021984</v>
      </c>
      <c r="Y318">
        <f ca="1"/>
        <v>43.404219780219776</v>
      </c>
      <c r="Z318">
        <f ca="1"/>
        <v>5.1824999998614381</v>
      </c>
    </row>
    <row r="319" spans="1:26" x14ac:dyDescent="0.35">
      <c r="A319" t="str">
        <f ca="1"/>
        <v>AN751153 Corp</v>
      </c>
      <c r="B319" t="str">
        <f ca="1"/>
        <v>Japan Government Forty Year Bond</v>
      </c>
      <c r="C319" t="str">
        <f ca="1"/>
        <v>JGB</v>
      </c>
      <c r="D319" t="str">
        <f ca="1"/>
        <v>JP</v>
      </c>
      <c r="E319" t="str">
        <f ca="1"/>
        <v>JPY</v>
      </c>
      <c r="F319" t="str">
        <f ca="1"/>
        <v>20/03/2057</v>
      </c>
      <c r="G319" t="str">
        <f ca="1"/>
        <v>FIXED</v>
      </c>
      <c r="H319">
        <f ca="1"/>
        <v>2</v>
      </c>
      <c r="I319">
        <f ca="1"/>
        <v>0.9</v>
      </c>
      <c r="J319">
        <f ca="1"/>
        <v>4.6299999999999137</v>
      </c>
      <c r="K319">
        <f ca="1"/>
        <v>4.689999999999892</v>
      </c>
      <c r="L319">
        <f ca="1"/>
        <v>52.505000000000003</v>
      </c>
      <c r="M319">
        <f ca="1"/>
        <v>52.106999999999999</v>
      </c>
      <c r="N319" t="str">
        <f ca="1"/>
        <v>AN7511537</v>
      </c>
      <c r="O319" t="str">
        <f ca="1"/>
        <v>JP1400101H56</v>
      </c>
      <c r="P319" t="str">
        <f ca="1"/>
        <v>A+</v>
      </c>
      <c r="Q319" s="3">
        <f ca="1"/>
        <v>42880</v>
      </c>
      <c r="R319" s="4">
        <f ca="1"/>
        <v>46101</v>
      </c>
      <c r="S319" s="4">
        <f ca="1"/>
        <v>30.973305954825463</v>
      </c>
      <c r="T319">
        <f ca="1"/>
        <v>52.305999999999997</v>
      </c>
      <c r="U319">
        <f ca="1"/>
        <v>7</v>
      </c>
      <c r="V319">
        <f ca="1"/>
        <v>30.5</v>
      </c>
      <c r="W319">
        <f ca="1"/>
        <v>9</v>
      </c>
      <c r="X319">
        <f ca="1"/>
        <v>0.94450549450549459</v>
      </c>
      <c r="Y319">
        <f ca="1"/>
        <v>51.361494505494505</v>
      </c>
      <c r="Z319">
        <f ca="1"/>
        <v>4.6599999999999024</v>
      </c>
    </row>
    <row r="320" spans="1:26" x14ac:dyDescent="0.35">
      <c r="A320" t="str">
        <f ca="1"/>
        <v>AS843222 Corp</v>
      </c>
      <c r="B320" t="str">
        <f ca="1"/>
        <v>Japan Government Forty Year Bond</v>
      </c>
      <c r="C320" t="str">
        <f ca="1"/>
        <v>JGB</v>
      </c>
      <c r="D320" t="str">
        <f ca="1"/>
        <v>JP</v>
      </c>
      <c r="E320" t="str">
        <f ca="1"/>
        <v>JPY</v>
      </c>
      <c r="F320" t="str">
        <f ca="1"/>
        <v>20/03/2058</v>
      </c>
      <c r="G320" t="str">
        <f ca="1"/>
        <v>FIXED</v>
      </c>
      <c r="H320">
        <f ca="1"/>
        <v>2</v>
      </c>
      <c r="I320">
        <f ca="1"/>
        <v>0.8</v>
      </c>
      <c r="J320">
        <f ca="1"/>
        <v>4.7749999999993795</v>
      </c>
      <c r="K320">
        <f ca="1"/>
        <v>4.8359999999992374</v>
      </c>
      <c r="L320">
        <f ca="1"/>
        <v>49.668999999999997</v>
      </c>
      <c r="M320">
        <f ca="1"/>
        <v>49.289000000000001</v>
      </c>
      <c r="N320" t="str">
        <f ca="1"/>
        <v>AS8432229</v>
      </c>
      <c r="O320" t="str">
        <f ca="1"/>
        <v>JP1400111J52</v>
      </c>
      <c r="P320" t="str">
        <f ca="1"/>
        <v>A+</v>
      </c>
      <c r="Q320" s="3">
        <f ca="1"/>
        <v>43249</v>
      </c>
      <c r="R320" s="4">
        <f ca="1"/>
        <v>46101</v>
      </c>
      <c r="S320" s="4">
        <f ca="1"/>
        <v>31.972621492128678</v>
      </c>
      <c r="T320">
        <f ca="1"/>
        <v>49.478999999999999</v>
      </c>
      <c r="U320">
        <f ca="1"/>
        <v>20</v>
      </c>
      <c r="V320">
        <f ca="1"/>
        <v>31.5</v>
      </c>
      <c r="W320">
        <f ca="1"/>
        <v>8</v>
      </c>
      <c r="X320">
        <f ca="1"/>
        <v>0.83956043956043969</v>
      </c>
      <c r="Y320">
        <f ca="1"/>
        <v>48.639439560439563</v>
      </c>
      <c r="Z320">
        <f ca="1"/>
        <v>4.8054999999993084</v>
      </c>
    </row>
    <row r="321" spans="1:26" x14ac:dyDescent="0.35">
      <c r="A321" t="str">
        <f ca="1"/>
        <v>ZS877644 Corp</v>
      </c>
      <c r="B321" t="str">
        <f ca="1"/>
        <v>Japan Government Forty Year Bond</v>
      </c>
      <c r="C321" t="str">
        <f ca="1"/>
        <v>JGB</v>
      </c>
      <c r="D321" t="str">
        <f ca="1"/>
        <v>JP</v>
      </c>
      <c r="E321" t="str">
        <f ca="1"/>
        <v>JPY</v>
      </c>
      <c r="F321" t="str">
        <f ca="1"/>
        <v>20/03/2059</v>
      </c>
      <c r="G321" t="str">
        <f ca="1"/>
        <v>FIXED</v>
      </c>
      <c r="H321">
        <f ca="1"/>
        <v>2</v>
      </c>
      <c r="I321">
        <f ca="1"/>
        <v>0.5</v>
      </c>
      <c r="J321">
        <f ca="1"/>
        <v>5.2119999998883095</v>
      </c>
      <c r="K321">
        <f ca="1"/>
        <v>5.280999999865454</v>
      </c>
      <c r="L321">
        <f ca="1"/>
        <v>42.817</v>
      </c>
      <c r="M321">
        <f ca="1"/>
        <v>42.462000000000003</v>
      </c>
      <c r="N321" t="str">
        <f ca="1"/>
        <v>ZS8776446</v>
      </c>
      <c r="O321" t="str">
        <f ca="1"/>
        <v>JP1400121K57</v>
      </c>
      <c r="P321" t="str">
        <f ca="1"/>
        <v>A+</v>
      </c>
      <c r="Q321" s="3">
        <f ca="1"/>
        <v>43613</v>
      </c>
      <c r="R321" s="4">
        <f ca="1"/>
        <v>46101</v>
      </c>
      <c r="S321" s="4">
        <f ca="1"/>
        <v>32.971937029431899</v>
      </c>
      <c r="T321">
        <f ca="1"/>
        <v>42.639499999999998</v>
      </c>
      <c r="U321">
        <f ca="1"/>
        <v>326</v>
      </c>
      <c r="V321">
        <f ca="1"/>
        <v>32.5</v>
      </c>
      <c r="W321">
        <f ca="1"/>
        <v>7</v>
      </c>
      <c r="X321">
        <f ca="1"/>
        <v>0.52472527472527475</v>
      </c>
      <c r="Y321">
        <f ca="1"/>
        <v>42.114774725274721</v>
      </c>
      <c r="Z321">
        <f ca="1"/>
        <v>5.2464999998768818</v>
      </c>
    </row>
    <row r="322" spans="1:26" x14ac:dyDescent="0.35">
      <c r="A322" t="str">
        <f ca="1"/>
        <v>BJ706274 Corp</v>
      </c>
      <c r="B322" t="str">
        <f ca="1"/>
        <v>Japan Government Forty Year Bond</v>
      </c>
      <c r="C322" t="str">
        <f ca="1"/>
        <v>JGB</v>
      </c>
      <c r="D322" t="str">
        <f ca="1"/>
        <v>JP</v>
      </c>
      <c r="E322" t="str">
        <f ca="1"/>
        <v>JPY</v>
      </c>
      <c r="F322" t="str">
        <f ca="1"/>
        <v>20/03/2060</v>
      </c>
      <c r="G322" t="str">
        <f ca="1"/>
        <v>FIXED</v>
      </c>
      <c r="H322">
        <f ca="1"/>
        <v>2</v>
      </c>
      <c r="I322">
        <f ca="1"/>
        <v>0.5</v>
      </c>
      <c r="J322">
        <f ca="1"/>
        <v>5.1569999998758682</v>
      </c>
      <c r="K322">
        <f ca="1"/>
        <v>5.2689999998321353</v>
      </c>
      <c r="L322">
        <f ca="1"/>
        <v>42.478999999999999</v>
      </c>
      <c r="M322">
        <f ca="1"/>
        <v>41.9</v>
      </c>
      <c r="N322" t="str">
        <f ca="1"/>
        <v>BJ7062745</v>
      </c>
      <c r="O322" t="str">
        <f ca="1"/>
        <v>JP1400131L54</v>
      </c>
      <c r="P322" t="str">
        <f ca="1"/>
        <v>NR</v>
      </c>
      <c r="Q322" s="3">
        <f ca="1"/>
        <v>43970</v>
      </c>
      <c r="R322" s="4">
        <f ca="1"/>
        <v>46101</v>
      </c>
      <c r="S322" s="4">
        <f ca="1"/>
        <v>33.973990417522245</v>
      </c>
      <c r="T322">
        <f ca="1"/>
        <v>42.189499999999995</v>
      </c>
      <c r="U322">
        <f ca="1"/>
        <v>37</v>
      </c>
      <c r="V322">
        <f ca="1"/>
        <v>33.5</v>
      </c>
      <c r="W322">
        <f ca="1"/>
        <v>6</v>
      </c>
      <c r="X322">
        <f ca="1"/>
        <v>0.52472527472527475</v>
      </c>
      <c r="Y322">
        <f ca="1"/>
        <v>41.664774725274718</v>
      </c>
      <c r="Z322">
        <f ca="1"/>
        <v>5.2129999998540022</v>
      </c>
    </row>
    <row r="323" spans="1:26" x14ac:dyDescent="0.35">
      <c r="A323" t="str">
        <f ca="1"/>
        <v>BP809355 Corp</v>
      </c>
      <c r="B323" t="str">
        <f ca="1"/>
        <v>Japan Government Forty Year Bond</v>
      </c>
      <c r="C323" t="str">
        <f ca="1"/>
        <v>JGB</v>
      </c>
      <c r="D323" t="str">
        <f ca="1"/>
        <v>JP</v>
      </c>
      <c r="E323" t="str">
        <f ca="1"/>
        <v>JPY</v>
      </c>
      <c r="F323" t="str">
        <f ca="1"/>
        <v>20/03/2061</v>
      </c>
      <c r="G323" t="str">
        <f ca="1"/>
        <v>FIXED</v>
      </c>
      <c r="H323">
        <f ca="1"/>
        <v>2</v>
      </c>
      <c r="I323">
        <f ca="1"/>
        <v>0.7</v>
      </c>
      <c r="J323">
        <f ca="1"/>
        <v>5.0169999999910688</v>
      </c>
      <c r="K323">
        <f ca="1"/>
        <v>5.0759999999893406</v>
      </c>
      <c r="L323">
        <f ca="1"/>
        <v>45.161999999999999</v>
      </c>
      <c r="M323">
        <f ca="1"/>
        <v>44.826000000000001</v>
      </c>
      <c r="N323" t="str">
        <f ca="1"/>
        <v>BP8093554</v>
      </c>
      <c r="O323" t="str">
        <f ca="1"/>
        <v>JP1400141M51</v>
      </c>
      <c r="P323" t="str">
        <f ca="1"/>
        <v>A+</v>
      </c>
      <c r="Q323" s="3">
        <f ca="1"/>
        <v>44336</v>
      </c>
      <c r="R323" s="4">
        <f ca="1"/>
        <v>46101</v>
      </c>
      <c r="S323" s="4">
        <f ca="1"/>
        <v>34.973305954825463</v>
      </c>
      <c r="T323">
        <f ca="1"/>
        <v>44.994</v>
      </c>
      <c r="U323">
        <f ca="1"/>
        <v>49</v>
      </c>
      <c r="V323">
        <f ca="1"/>
        <v>34.5</v>
      </c>
      <c r="W323">
        <f ca="1"/>
        <v>5</v>
      </c>
      <c r="X323">
        <f ca="1"/>
        <v>0.73461538461538456</v>
      </c>
      <c r="Y323">
        <f ca="1"/>
        <v>44.259384615384619</v>
      </c>
      <c r="Z323">
        <f ca="1"/>
        <v>5.0464999999902052</v>
      </c>
    </row>
    <row r="324" spans="1:26" x14ac:dyDescent="0.35">
      <c r="A324" t="str">
        <f ca="1"/>
        <v>BW843591 Corp</v>
      </c>
      <c r="B324" t="str">
        <f ca="1"/>
        <v>Japan Government Forty Year Bond</v>
      </c>
      <c r="C324" t="str">
        <f ca="1"/>
        <v>JGB</v>
      </c>
      <c r="D324" t="str">
        <f ca="1"/>
        <v>JP</v>
      </c>
      <c r="E324" t="str">
        <f ca="1"/>
        <v>JPY</v>
      </c>
      <c r="F324" t="str">
        <f ca="1"/>
        <v>20/03/2062</v>
      </c>
      <c r="G324" t="str">
        <f ca="1"/>
        <v>FIXED</v>
      </c>
      <c r="H324">
        <f ca="1"/>
        <v>2</v>
      </c>
      <c r="I324">
        <f ca="1"/>
        <v>1</v>
      </c>
      <c r="J324">
        <f ca="1"/>
        <v>4.7289999999998997</v>
      </c>
      <c r="K324">
        <f ca="1"/>
        <v>4.795999999999875</v>
      </c>
      <c r="L324">
        <f ca="1"/>
        <v>50.313000000000002</v>
      </c>
      <c r="M324">
        <f ca="1"/>
        <v>49.868000000000002</v>
      </c>
      <c r="N324" t="str">
        <f ca="1"/>
        <v>BW8435917</v>
      </c>
      <c r="O324" t="str">
        <f ca="1"/>
        <v>JP1400151N57</v>
      </c>
      <c r="P324" t="str">
        <f ca="1"/>
        <v>A+</v>
      </c>
      <c r="Q324" s="3">
        <f ca="1"/>
        <v>44700</v>
      </c>
      <c r="R324" s="4">
        <f ca="1"/>
        <v>46101</v>
      </c>
      <c r="S324" s="4">
        <f ca="1"/>
        <v>35.972621492128681</v>
      </c>
      <c r="T324">
        <f ca="1"/>
        <v>50.090500000000006</v>
      </c>
      <c r="U324">
        <f ca="1"/>
        <v>66</v>
      </c>
      <c r="V324">
        <f ca="1"/>
        <v>35.5</v>
      </c>
      <c r="W324">
        <f ca="1"/>
        <v>4</v>
      </c>
      <c r="X324">
        <f ca="1"/>
        <v>1.0494505494505495</v>
      </c>
      <c r="Y324">
        <f ca="1"/>
        <v>49.041049450549458</v>
      </c>
      <c r="Z324">
        <f ca="1"/>
        <v>4.7624999999998874</v>
      </c>
    </row>
    <row r="325" spans="1:26" x14ac:dyDescent="0.35">
      <c r="A325" t="str">
        <f ca="1"/>
        <v>ZK786267 Corp</v>
      </c>
      <c r="B325" t="str">
        <f ca="1"/>
        <v>Japan Government Forty Year Bond</v>
      </c>
      <c r="C325" t="str">
        <f ca="1"/>
        <v>JGB</v>
      </c>
      <c r="D325" t="str">
        <f ca="1"/>
        <v>JP</v>
      </c>
      <c r="E325" t="str">
        <f ca="1"/>
        <v>JPY</v>
      </c>
      <c r="F325" t="str">
        <f ca="1"/>
        <v>20/03/2063</v>
      </c>
      <c r="G325" t="str">
        <f ca="1"/>
        <v>FIXED</v>
      </c>
      <c r="H325">
        <f ca="1"/>
        <v>2</v>
      </c>
      <c r="I325">
        <f ca="1"/>
        <v>1.3</v>
      </c>
      <c r="J325">
        <f ca="1"/>
        <v>4.5439999999999987</v>
      </c>
      <c r="K325">
        <f ca="1"/>
        <v>4.5969999999999995</v>
      </c>
      <c r="L325">
        <f ca="1"/>
        <v>55.223999999999997</v>
      </c>
      <c r="M325">
        <f ca="1"/>
        <v>54.823</v>
      </c>
      <c r="N325" t="str">
        <f ca="1"/>
        <v>ZK7862673</v>
      </c>
      <c r="O325" t="str">
        <f ca="1"/>
        <v>JP1400161P53</v>
      </c>
      <c r="P325" t="str">
        <f ca="1"/>
        <v>A+</v>
      </c>
      <c r="Q325" s="3">
        <f ca="1"/>
        <v>45064</v>
      </c>
      <c r="R325" s="4">
        <f ca="1"/>
        <v>46101</v>
      </c>
      <c r="S325" s="4">
        <f ca="1"/>
        <v>36.971937029431899</v>
      </c>
      <c r="T325">
        <f ca="1"/>
        <v>55.023499999999999</v>
      </c>
      <c r="U325">
        <f ca="1"/>
        <v>310</v>
      </c>
      <c r="V325">
        <f ca="1"/>
        <v>36.5</v>
      </c>
      <c r="W325">
        <f ca="1"/>
        <v>3</v>
      </c>
      <c r="X325">
        <f ca="1"/>
        <v>1.3642857142857143</v>
      </c>
      <c r="Y325">
        <f ca="1"/>
        <v>53.659214285714285</v>
      </c>
      <c r="Z325">
        <f ca="1"/>
        <v>4.5704999999999991</v>
      </c>
    </row>
    <row r="326" spans="1:26" x14ac:dyDescent="0.35">
      <c r="A326" t="str">
        <f ca="1"/>
        <v>YX270525 Corp</v>
      </c>
      <c r="B326" t="str">
        <f ca="1"/>
        <v>Japan Government Forty Year Bond</v>
      </c>
      <c r="C326" t="str">
        <f ca="1"/>
        <v>JGB</v>
      </c>
      <c r="D326" t="str">
        <f ca="1"/>
        <v>JP</v>
      </c>
      <c r="E326" t="str">
        <f ca="1"/>
        <v>JPY</v>
      </c>
      <c r="F326" t="str">
        <f ca="1"/>
        <v>20/03/2064</v>
      </c>
      <c r="G326" t="str">
        <f ca="1"/>
        <v>FIXED</v>
      </c>
      <c r="H326">
        <f ca="1"/>
        <v>2</v>
      </c>
      <c r="I326">
        <f ca="1"/>
        <v>2.2000000000000002</v>
      </c>
      <c r="J326">
        <f ca="1"/>
        <v>4.0209999999998933</v>
      </c>
      <c r="K326">
        <f ca="1"/>
        <v>4.0719999999998615</v>
      </c>
      <c r="L326">
        <f ca="1"/>
        <v>72.62</v>
      </c>
      <c r="M326">
        <f ca="1"/>
        <v>72.067999999999998</v>
      </c>
      <c r="N326" t="str">
        <f ca="1"/>
        <v>YX2705250</v>
      </c>
      <c r="O326" t="str">
        <f ca="1"/>
        <v>JP1400171Q50</v>
      </c>
      <c r="P326" t="str">
        <f ca="1"/>
        <v>A+</v>
      </c>
      <c r="Q326" s="3">
        <f ca="1"/>
        <v>45427</v>
      </c>
      <c r="R326" s="4">
        <f ca="1"/>
        <v>46101</v>
      </c>
      <c r="S326" s="4">
        <f ca="1"/>
        <v>37.973990417522245</v>
      </c>
      <c r="T326">
        <f ca="1"/>
        <v>72.343999999999994</v>
      </c>
      <c r="U326">
        <f ca="1"/>
        <v>276</v>
      </c>
      <c r="V326">
        <f ca="1"/>
        <v>37.5</v>
      </c>
      <c r="W326">
        <f ca="1"/>
        <v>2</v>
      </c>
      <c r="X326">
        <f ca="1"/>
        <v>2.308791208791209</v>
      </c>
      <c r="Y326">
        <f ca="1"/>
        <v>70.035208791208788</v>
      </c>
      <c r="Z326">
        <f ca="1"/>
        <v>4.0464999999998774</v>
      </c>
    </row>
    <row r="327" spans="1:26" x14ac:dyDescent="0.35">
      <c r="A327" t="str">
        <f ca="1"/>
        <v>YO939740 Corp</v>
      </c>
      <c r="B327" t="str">
        <f ca="1"/>
        <v>Japan Government Forty Year Bond</v>
      </c>
      <c r="C327" t="str">
        <f ca="1"/>
        <v>JGB</v>
      </c>
      <c r="D327" t="str">
        <f ca="1"/>
        <v>JP</v>
      </c>
      <c r="E327" t="str">
        <f ca="1"/>
        <v>JPY</v>
      </c>
      <c r="F327" t="str">
        <f ca="1"/>
        <v>20/03/2065</v>
      </c>
      <c r="G327" t="str">
        <f ca="1"/>
        <v>FIXED</v>
      </c>
      <c r="H327">
        <f ca="1"/>
        <v>2</v>
      </c>
      <c r="I327">
        <f ca="1"/>
        <v>3.1</v>
      </c>
      <c r="J327">
        <f ca="1"/>
        <v>3.6109999999976354</v>
      </c>
      <c r="K327">
        <f ca="1"/>
        <v>3.6689999999958354</v>
      </c>
      <c r="L327">
        <f ca="1"/>
        <v>91.721999999999994</v>
      </c>
      <c r="M327">
        <f ca="1"/>
        <v>90.869</v>
      </c>
      <c r="N327" t="str">
        <f ca="1"/>
        <v>YO9397408</v>
      </c>
      <c r="O327" t="str">
        <f ca="1"/>
        <v>JP1400181R57</v>
      </c>
      <c r="P327" t="str">
        <f ca="1"/>
        <v>A+</v>
      </c>
      <c r="Q327" s="3">
        <f ca="1"/>
        <v>45798</v>
      </c>
      <c r="R327" s="4">
        <f ca="1"/>
        <v>46101</v>
      </c>
      <c r="S327" s="4">
        <f ca="1"/>
        <v>38.973305954825463</v>
      </c>
      <c r="T327">
        <f ca="1"/>
        <v>91.295500000000004</v>
      </c>
      <c r="U327">
        <f ca="1"/>
        <v>241</v>
      </c>
      <c r="V327">
        <f ca="1"/>
        <v>38.5</v>
      </c>
      <c r="W327">
        <f ca="1"/>
        <v>1</v>
      </c>
      <c r="X327">
        <f ca="1"/>
        <v>3.2532967032967037</v>
      </c>
      <c r="Y327">
        <f ca="1"/>
        <v>88.042203296703306</v>
      </c>
      <c r="Z327">
        <f ca="1"/>
        <v>3.6399999999967356</v>
      </c>
    </row>
  </sheetData>
  <conditionalFormatting sqref="Q1:Q1048576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913B-E187-4B78-8BB6-3930FADA91C1}">
  <dimension ref="A1:AA69"/>
  <sheetViews>
    <sheetView zoomScale="21" zoomScaleNormal="100" workbookViewId="0">
      <selection activeCell="CR59" sqref="CR59"/>
    </sheetView>
  </sheetViews>
  <sheetFormatPr defaultRowHeight="13.15" x14ac:dyDescent="0.4"/>
  <cols>
    <col min="20" max="20" width="9.1328125" style="45"/>
  </cols>
  <sheetData>
    <row r="1" spans="1:27" x14ac:dyDescent="0.4">
      <c r="A1" t="s">
        <v>0</v>
      </c>
      <c r="B1" t="str" cm="1">
        <f t="array" aca="1" ref="B1:AA1" ca="1">_xlfn.ANCHORARRAY(SORT!A1)</f>
        <v>Instrument</v>
      </c>
      <c r="C1" t="str">
        <f ca="1"/>
        <v>Name</v>
      </c>
      <c r="D1" t="str">
        <f ca="1"/>
        <v>Ticker</v>
      </c>
      <c r="E1" t="str">
        <f ca="1"/>
        <v>Country/Region</v>
      </c>
      <c r="F1" t="str">
        <f ca="1"/>
        <v>Currency</v>
      </c>
      <c r="G1" t="str">
        <f ca="1"/>
        <v>Maturity</v>
      </c>
      <c r="H1" t="str">
        <f ca="1"/>
        <v>Coupon Type</v>
      </c>
      <c r="I1" t="str">
        <f ca="1"/>
        <v>Coupon Frequency</v>
      </c>
      <c r="J1" t="str">
        <f ca="1"/>
        <v>Coupon</v>
      </c>
      <c r="K1" t="str">
        <f ca="1"/>
        <v>Ask Yield to Maturity</v>
      </c>
      <c r="L1" t="str">
        <f ca="1"/>
        <v>Bid Yield to Maturity</v>
      </c>
      <c r="M1" t="str">
        <f ca="1"/>
        <v>Ask Price</v>
      </c>
      <c r="N1" t="str">
        <f ca="1"/>
        <v>Bid Price</v>
      </c>
      <c r="O1" t="str">
        <f ca="1"/>
        <v>Identifier</v>
      </c>
      <c r="P1" t="str">
        <f ca="1"/>
        <v>ISIN</v>
      </c>
      <c r="Q1" t="str">
        <f ca="1"/>
        <v>Bloomberg Composite Rating</v>
      </c>
      <c r="R1" t="str">
        <f ca="1"/>
        <v>Announce</v>
      </c>
      <c r="S1" t="str">
        <f ca="1"/>
        <v>Next Coupon Settle Date</v>
      </c>
      <c r="T1" s="44" t="str">
        <f ca="1"/>
        <v>Time</v>
      </c>
      <c r="U1" t="str">
        <f ca="1"/>
        <v>AVG price</v>
      </c>
      <c r="V1" t="str">
        <f ca="1"/>
        <v>id</v>
      </c>
      <c r="W1" t="str">
        <f ca="1"/>
        <v>TIMEish</v>
      </c>
      <c r="X1" t="str">
        <f ca="1"/>
        <v>years ago</v>
      </c>
      <c r="Y1" t="str">
        <f ca="1"/>
        <v>Accrued Interest</v>
      </c>
      <c r="Z1" t="str">
        <f ca="1"/>
        <v>Clean price</v>
      </c>
      <c r="AA1" t="str">
        <f ca="1"/>
        <v>AVG yield</v>
      </c>
    </row>
    <row r="2" spans="1:27" x14ac:dyDescent="0.4">
      <c r="A2">
        <v>251</v>
      </c>
      <c r="B2" t="str" cm="1">
        <f t="array" aca="1" ref="B2:AA2" ca="1">_xlfn.XLOOKUP(A2,SORT!$U$2:$U$327,_xlfn.ANCHORARRAY(SORT!$A$2),,0)</f>
        <v>YR907955 Corp</v>
      </c>
      <c r="C2" t="str">
        <f ca="1"/>
        <v>Japan Government Two Year Bond</v>
      </c>
      <c r="D2" t="str">
        <f ca="1"/>
        <v>JGB</v>
      </c>
      <c r="E2" t="str">
        <f ca="1"/>
        <v>JP</v>
      </c>
      <c r="F2" t="str">
        <f ca="1"/>
        <v>JPY</v>
      </c>
      <c r="G2" t="str">
        <f ca="1"/>
        <v>01/03/2027</v>
      </c>
      <c r="H2" t="str">
        <f ca="1"/>
        <v>FIXED</v>
      </c>
      <c r="I2">
        <f ca="1"/>
        <v>2</v>
      </c>
      <c r="J2">
        <f ca="1"/>
        <v>0.8</v>
      </c>
      <c r="K2">
        <f ca="1"/>
        <v>0.97599999965068007</v>
      </c>
      <c r="L2">
        <f ca="1"/>
        <v>0.99899999955023644</v>
      </c>
      <c r="M2">
        <f ca="1"/>
        <v>99.83</v>
      </c>
      <c r="N2">
        <f ca="1"/>
        <v>99.808000000000007</v>
      </c>
      <c r="O2" t="str">
        <f ca="1"/>
        <v>YR9079553</v>
      </c>
      <c r="P2" t="str">
        <f ca="1"/>
        <v>JP1024701R31</v>
      </c>
      <c r="Q2" t="str">
        <f ca="1"/>
        <v>A+</v>
      </c>
      <c r="R2">
        <f ca="1"/>
        <v>45708</v>
      </c>
      <c r="S2">
        <f ca="1"/>
        <v>46266</v>
      </c>
      <c r="T2" s="45">
        <f ca="1"/>
        <v>0.91991786447638602</v>
      </c>
      <c r="U2">
        <f ca="1"/>
        <v>99.819000000000003</v>
      </c>
      <c r="V2">
        <f ca="1"/>
        <v>251</v>
      </c>
      <c r="W2">
        <f ca="1"/>
        <v>0.5</v>
      </c>
      <c r="X2">
        <f ca="1"/>
        <v>1</v>
      </c>
      <c r="Y2">
        <f ca="1"/>
        <v>0.12747252747252746</v>
      </c>
      <c r="Z2">
        <f ca="1"/>
        <v>99.691527472527468</v>
      </c>
      <c r="AA2">
        <f ca="1"/>
        <v>0.98749999960045831</v>
      </c>
    </row>
    <row r="3" spans="1:27" x14ac:dyDescent="0.4">
      <c r="A3">
        <v>232</v>
      </c>
      <c r="B3" t="str" cm="1">
        <f t="array" aca="1" ref="B3:AA3" ca="1">_xlfn.XLOOKUP(A3,SORT!$U$2:$U$327,_xlfn.ANCHORARRAY(SORT!$A$2),,0)</f>
        <v>YL701515 Corp</v>
      </c>
      <c r="C3" t="str">
        <f ca="1"/>
        <v>Japan Government Two Year Bond</v>
      </c>
      <c r="D3" t="str">
        <f ca="1"/>
        <v>JGB</v>
      </c>
      <c r="E3" t="str">
        <f ca="1"/>
        <v>JP</v>
      </c>
      <c r="F3" t="str">
        <f ca="1"/>
        <v>JPY</v>
      </c>
      <c r="G3" t="str">
        <f ca="1"/>
        <v>01/09/2027</v>
      </c>
      <c r="H3" t="str">
        <f ca="1"/>
        <v>FIXED</v>
      </c>
      <c r="I3">
        <f ca="1"/>
        <v>2</v>
      </c>
      <c r="J3">
        <f ca="1"/>
        <v>0.9</v>
      </c>
      <c r="K3">
        <f ca="1"/>
        <v>1.1319999999994508</v>
      </c>
      <c r="L3">
        <f ca="1"/>
        <v>1.1509999999993004</v>
      </c>
      <c r="M3">
        <f ca="1"/>
        <v>99.662999999999997</v>
      </c>
      <c r="N3">
        <f ca="1"/>
        <v>99.635999999999996</v>
      </c>
      <c r="O3" t="str">
        <f ca="1"/>
        <v>YL7015156</v>
      </c>
      <c r="P3" t="str">
        <f ca="1"/>
        <v>JP1024761R95</v>
      </c>
      <c r="Q3" t="str">
        <f ca="1"/>
        <v>A+</v>
      </c>
      <c r="R3">
        <f ca="1"/>
        <v>45890</v>
      </c>
      <c r="S3">
        <f ca="1"/>
        <v>46266</v>
      </c>
      <c r="T3" s="45">
        <f ca="1"/>
        <v>1.4236824093086926</v>
      </c>
      <c r="U3">
        <f ca="1"/>
        <v>99.649499999999989</v>
      </c>
      <c r="V3">
        <f ca="1"/>
        <v>232</v>
      </c>
      <c r="W3">
        <f ca="1"/>
        <v>1</v>
      </c>
      <c r="X3">
        <f ca="1"/>
        <v>1</v>
      </c>
      <c r="Y3">
        <f ca="1"/>
        <v>0.1434065934065934</v>
      </c>
      <c r="Z3">
        <f ca="1"/>
        <v>99.506093406593394</v>
      </c>
      <c r="AA3">
        <f ca="1"/>
        <v>1.1414999999993756</v>
      </c>
    </row>
    <row r="4" spans="1:27" x14ac:dyDescent="0.4">
      <c r="A4">
        <v>17</v>
      </c>
      <c r="B4" t="str" cm="1">
        <f t="array" aca="1" ref="B4:AA4" ca="1">_xlfn.XLOOKUP(A4,SORT!$U$2:$U$327,_xlfn.ANCHORARRAY(SORT!$A$2),,0)</f>
        <v>AR545005 Corp</v>
      </c>
      <c r="C4" t="str">
        <f ca="1"/>
        <v>Japan Government Ten Year Bond</v>
      </c>
      <c r="D4" t="str">
        <f ca="1"/>
        <v>JGB</v>
      </c>
      <c r="E4" t="str">
        <f ca="1"/>
        <v>JP</v>
      </c>
      <c r="F4" t="str">
        <f ca="1"/>
        <v>JPY</v>
      </c>
      <c r="G4" t="str">
        <f ca="1"/>
        <v>20/03/2028</v>
      </c>
      <c r="H4" t="str">
        <f ca="1"/>
        <v>FIXED</v>
      </c>
      <c r="I4">
        <f ca="1"/>
        <v>2</v>
      </c>
      <c r="J4">
        <f ca="1"/>
        <v>0.1</v>
      </c>
      <c r="K4">
        <f ca="1"/>
        <v>1.2129999999999999</v>
      </c>
      <c r="L4">
        <f ca="1"/>
        <v>1.2359999999999975</v>
      </c>
      <c r="M4">
        <f ca="1"/>
        <v>97.802999999999997</v>
      </c>
      <c r="N4">
        <f ca="1"/>
        <v>97.759</v>
      </c>
      <c r="O4" t="str">
        <f ca="1"/>
        <v>AR5450051</v>
      </c>
      <c r="P4" t="str">
        <f ca="1"/>
        <v>JP1103501J35</v>
      </c>
      <c r="Q4" t="str">
        <f ca="1"/>
        <v>A+</v>
      </c>
      <c r="R4">
        <f ca="1"/>
        <v>43160</v>
      </c>
      <c r="S4">
        <f ca="1"/>
        <v>46101</v>
      </c>
      <c r="T4" s="45">
        <f ca="1"/>
        <v>1.9739904175222451</v>
      </c>
      <c r="U4">
        <f ca="1"/>
        <v>97.781000000000006</v>
      </c>
      <c r="V4">
        <f ca="1"/>
        <v>17</v>
      </c>
      <c r="W4">
        <f ca="1"/>
        <v>1.5</v>
      </c>
      <c r="X4">
        <f ca="1"/>
        <v>8</v>
      </c>
      <c r="Y4">
        <f ca="1"/>
        <v>0.10494505494505496</v>
      </c>
      <c r="Z4">
        <f ca="1"/>
        <v>97.676054945054958</v>
      </c>
      <c r="AA4">
        <f ca="1"/>
        <v>1.2244999999999986</v>
      </c>
    </row>
    <row r="5" spans="1:27" x14ac:dyDescent="0.4">
      <c r="A5">
        <v>21</v>
      </c>
      <c r="B5" t="str" cm="1">
        <f t="array" aca="1" ref="B5:AA5" ca="1">_xlfn.XLOOKUP(A5,SORT!$U$2:$U$327,_xlfn.ANCHORARRAY(SORT!$A$2),,0)</f>
        <v>AT427280 Corp</v>
      </c>
      <c r="C5" t="str">
        <f ca="1"/>
        <v>Japan Government Ten Year Bond</v>
      </c>
      <c r="D5" t="str">
        <f ca="1"/>
        <v>JGB</v>
      </c>
      <c r="E5" t="str">
        <f ca="1"/>
        <v>JP</v>
      </c>
      <c r="F5" t="str">
        <f ca="1"/>
        <v>JPY</v>
      </c>
      <c r="G5" t="str">
        <f ca="1"/>
        <v>20/06/2028</v>
      </c>
      <c r="H5" t="str">
        <f ca="1"/>
        <v>FIXED</v>
      </c>
      <c r="I5">
        <f ca="1"/>
        <v>2</v>
      </c>
      <c r="J5">
        <f ca="1"/>
        <v>0.1</v>
      </c>
      <c r="K5">
        <f ca="1"/>
        <v>1.2409999999999946</v>
      </c>
      <c r="L5">
        <f ca="1"/>
        <v>1.2620000000000002</v>
      </c>
      <c r="M5">
        <f ca="1"/>
        <v>97.475999999999999</v>
      </c>
      <c r="N5">
        <f ca="1"/>
        <v>97.430999999999997</v>
      </c>
      <c r="O5" t="str">
        <f ca="1"/>
        <v>AT4272809</v>
      </c>
      <c r="P5" t="str">
        <f ca="1"/>
        <v>JP1103511J74</v>
      </c>
      <c r="Q5" t="str">
        <f ca="1"/>
        <v>A+</v>
      </c>
      <c r="R5">
        <f ca="1"/>
        <v>43284</v>
      </c>
      <c r="S5">
        <f ca="1"/>
        <v>46193</v>
      </c>
      <c r="T5" s="45">
        <f ca="1"/>
        <v>2.2258726899383983</v>
      </c>
      <c r="U5">
        <f ca="1"/>
        <v>97.453499999999991</v>
      </c>
      <c r="V5">
        <f ca="1"/>
        <v>21</v>
      </c>
      <c r="W5">
        <f ca="1"/>
        <v>2</v>
      </c>
      <c r="X5">
        <f ca="1"/>
        <v>8</v>
      </c>
      <c r="Y5">
        <f ca="1"/>
        <v>5.4945054945054951E-2</v>
      </c>
      <c r="Z5">
        <f ca="1"/>
        <v>97.39855494505494</v>
      </c>
      <c r="AA5">
        <f ca="1"/>
        <v>1.2514999999999974</v>
      </c>
    </row>
    <row r="6" spans="1:27" x14ac:dyDescent="0.4">
      <c r="A6">
        <v>27</v>
      </c>
      <c r="B6" t="str" cm="1">
        <f t="array" aca="1" ref="B6:AA6" ca="1">_xlfn.XLOOKUP(A6,SORT!$U$2:$U$327,_xlfn.ANCHORARRAY(SORT!$A$2),,0)</f>
        <v>AW566680 Corp</v>
      </c>
      <c r="C6" t="str">
        <f ca="1"/>
        <v>Japan Government Ten Year Bond</v>
      </c>
      <c r="D6" t="str">
        <f ca="1"/>
        <v>JGB</v>
      </c>
      <c r="E6" t="str">
        <f ca="1"/>
        <v>JP</v>
      </c>
      <c r="F6" t="str">
        <f ca="1"/>
        <v>JPY</v>
      </c>
      <c r="G6" t="str">
        <f ca="1"/>
        <v>20/12/2028</v>
      </c>
      <c r="H6" t="str">
        <f ca="1"/>
        <v>FIXED</v>
      </c>
      <c r="I6">
        <f ca="1"/>
        <v>2</v>
      </c>
      <c r="J6">
        <f ca="1"/>
        <v>0.1</v>
      </c>
      <c r="K6">
        <f ca="1"/>
        <v>1.3219999999999656</v>
      </c>
      <c r="L6">
        <f ca="1"/>
        <v>1.3439999999999634</v>
      </c>
      <c r="M6">
        <f ca="1"/>
        <v>96.727999999999994</v>
      </c>
      <c r="N6">
        <f ca="1"/>
        <v>96.671000000000006</v>
      </c>
      <c r="O6" t="str">
        <f ca="1"/>
        <v>AW5666804</v>
      </c>
      <c r="P6" t="str">
        <f ca="1"/>
        <v>JP1103531K10</v>
      </c>
      <c r="Q6" t="str">
        <f ca="1"/>
        <v>A+</v>
      </c>
      <c r="R6">
        <f ca="1"/>
        <v>43473</v>
      </c>
      <c r="S6">
        <f ca="1"/>
        <v>46193</v>
      </c>
      <c r="T6" s="45">
        <f ca="1"/>
        <v>2.7268993839835729</v>
      </c>
      <c r="U6">
        <f ca="1"/>
        <v>96.6995</v>
      </c>
      <c r="V6">
        <f ca="1"/>
        <v>27</v>
      </c>
      <c r="W6">
        <f ca="1"/>
        <v>2.5</v>
      </c>
      <c r="X6">
        <f ca="1"/>
        <v>7</v>
      </c>
      <c r="Y6">
        <f ca="1"/>
        <v>5.4945054945054951E-2</v>
      </c>
      <c r="Z6">
        <f ca="1"/>
        <v>96.644554945054949</v>
      </c>
      <c r="AA6">
        <f ca="1"/>
        <v>1.3329999999999647</v>
      </c>
    </row>
    <row r="7" spans="1:27" x14ac:dyDescent="0.4">
      <c r="A7">
        <v>31</v>
      </c>
      <c r="B7" t="str" cm="1">
        <f t="array" aca="1" ref="B7:AA7" ca="1">_xlfn.XLOOKUP(A7,SORT!$U$2:$U$327,_xlfn.ANCHORARRAY(SORT!$A$2),,0)</f>
        <v>AZ459860 Corp</v>
      </c>
      <c r="C7" t="str">
        <f ca="1"/>
        <v>Japan Government Ten Year Bond</v>
      </c>
      <c r="D7" t="str">
        <f ca="1"/>
        <v>JGB</v>
      </c>
      <c r="E7" t="str">
        <f ca="1"/>
        <v>JP</v>
      </c>
      <c r="F7" t="str">
        <f ca="1"/>
        <v>JPY</v>
      </c>
      <c r="G7" t="str">
        <f ca="1"/>
        <v>20/06/2029</v>
      </c>
      <c r="H7" t="str">
        <f ca="1"/>
        <v>FIXED</v>
      </c>
      <c r="I7">
        <f ca="1"/>
        <v>2</v>
      </c>
      <c r="J7">
        <f ca="1"/>
        <v>0.1</v>
      </c>
      <c r="K7">
        <f ca="1"/>
        <v>1.4159999999997692</v>
      </c>
      <c r="L7">
        <f ca="1"/>
        <v>1.439999999999745</v>
      </c>
      <c r="M7">
        <f ca="1"/>
        <v>95.882000000000005</v>
      </c>
      <c r="N7">
        <f ca="1"/>
        <v>95.81</v>
      </c>
      <c r="O7" t="str">
        <f ca="1"/>
        <v>AZ4598605</v>
      </c>
      <c r="P7" t="str">
        <f ca="1"/>
        <v>JP1103551K72</v>
      </c>
      <c r="Q7" t="str">
        <f ca="1"/>
        <v>A+</v>
      </c>
      <c r="R7">
        <f ca="1"/>
        <v>43648</v>
      </c>
      <c r="S7">
        <f ca="1"/>
        <v>46193</v>
      </c>
      <c r="T7" s="45">
        <f ca="1"/>
        <v>3.2251882272416155</v>
      </c>
      <c r="U7">
        <f ca="1"/>
        <v>95.846000000000004</v>
      </c>
      <c r="V7">
        <f ca="1"/>
        <v>31</v>
      </c>
      <c r="W7">
        <f ca="1"/>
        <v>3</v>
      </c>
      <c r="X7">
        <f ca="1"/>
        <v>7</v>
      </c>
      <c r="Y7">
        <f ca="1"/>
        <v>5.4945054945054951E-2</v>
      </c>
      <c r="Z7">
        <f ca="1"/>
        <v>95.791054945054952</v>
      </c>
      <c r="AA7">
        <f ca="1"/>
        <v>1.427999999999757</v>
      </c>
    </row>
    <row r="8" spans="1:27" x14ac:dyDescent="0.4">
      <c r="A8">
        <v>323</v>
      </c>
      <c r="B8" t="str" cm="1">
        <f t="array" aca="1" ref="B8:AA8" ca="1">_xlfn.XLOOKUP(A8,SORT!$U$2:$U$327,_xlfn.ANCHORARRAY(SORT!$A$2),,0)</f>
        <v>ZR885925 Corp</v>
      </c>
      <c r="C8" t="str">
        <f ca="1"/>
        <v>Japan Government Ten Year Bond</v>
      </c>
      <c r="D8" t="str">
        <f ca="1"/>
        <v>JGB</v>
      </c>
      <c r="E8" t="str">
        <f ca="1"/>
        <v>JP</v>
      </c>
      <c r="F8" t="str">
        <f ca="1"/>
        <v>JPY</v>
      </c>
      <c r="G8" t="str">
        <f ca="1"/>
        <v>20/09/2029</v>
      </c>
      <c r="H8" t="str">
        <f ca="1"/>
        <v>FIXED</v>
      </c>
      <c r="I8">
        <f ca="1"/>
        <v>2</v>
      </c>
      <c r="J8">
        <f ca="1"/>
        <v>0.1</v>
      </c>
      <c r="K8">
        <f ca="1"/>
        <v>1.4599999999990589</v>
      </c>
      <c r="L8">
        <f ca="1"/>
        <v>1.4819999999989455</v>
      </c>
      <c r="M8">
        <f ca="1"/>
        <v>95.438999999999993</v>
      </c>
      <c r="N8">
        <f ca="1"/>
        <v>95.369</v>
      </c>
      <c r="O8" t="str">
        <f ca="1"/>
        <v>ZR8859251</v>
      </c>
      <c r="P8" t="str">
        <f ca="1"/>
        <v>JP1103561KA2</v>
      </c>
      <c r="Q8" t="str">
        <f ca="1"/>
        <v>A+</v>
      </c>
      <c r="R8">
        <f ca="1"/>
        <v>43739</v>
      </c>
      <c r="S8">
        <f ca="1"/>
        <v>46101</v>
      </c>
      <c r="T8" s="45">
        <f ca="1"/>
        <v>3.4770704996577688</v>
      </c>
      <c r="U8">
        <f ca="1"/>
        <v>95.403999999999996</v>
      </c>
      <c r="V8">
        <f ca="1"/>
        <v>323</v>
      </c>
      <c r="W8">
        <f ca="1"/>
        <v>3</v>
      </c>
      <c r="X8">
        <f ca="1"/>
        <v>7</v>
      </c>
      <c r="Y8">
        <f ca="1"/>
        <v>0.10494505494505496</v>
      </c>
      <c r="Z8">
        <f ca="1"/>
        <v>95.299054945054948</v>
      </c>
      <c r="AA8">
        <f ca="1"/>
        <v>1.4709999999990022</v>
      </c>
    </row>
    <row r="9" spans="1:27" x14ac:dyDescent="0.4">
      <c r="A9">
        <v>38</v>
      </c>
      <c r="B9" t="str" cm="1">
        <f t="array" aca="1" ref="B9:AA9" ca="1">_xlfn.XLOOKUP(A9,SORT!$U$2:$U$327,_xlfn.ANCHORARRAY(SORT!$A$2),,0)</f>
        <v>BK340998 Corp</v>
      </c>
      <c r="C9" t="str">
        <f ca="1"/>
        <v>Japan Government Ten Year Bond</v>
      </c>
      <c r="D9" t="str">
        <f ca="1"/>
        <v>JGB</v>
      </c>
      <c r="E9" t="str">
        <f ca="1"/>
        <v>JP</v>
      </c>
      <c r="F9" t="str">
        <f ca="1"/>
        <v>JPY</v>
      </c>
      <c r="G9" t="str">
        <f ca="1"/>
        <v>20/06/2030</v>
      </c>
      <c r="H9" t="str">
        <f ca="1"/>
        <v>FIXED</v>
      </c>
      <c r="I9">
        <f ca="1"/>
        <v>2</v>
      </c>
      <c r="J9">
        <f ca="1"/>
        <v>0.1</v>
      </c>
      <c r="K9">
        <f ca="1"/>
        <v>1.5799999999962568</v>
      </c>
      <c r="L9">
        <f ca="1"/>
        <v>1.602999999995868</v>
      </c>
      <c r="M9">
        <f ca="1"/>
        <v>94.073999999999998</v>
      </c>
      <c r="N9">
        <f ca="1"/>
        <v>93.988</v>
      </c>
      <c r="O9" t="str">
        <f ca="1"/>
        <v>BK3409988</v>
      </c>
      <c r="P9" t="str">
        <f ca="1"/>
        <v>JP1103591L73</v>
      </c>
      <c r="Q9" t="str">
        <f ca="1"/>
        <v>A+</v>
      </c>
      <c r="R9">
        <f ca="1"/>
        <v>44007</v>
      </c>
      <c r="S9">
        <f ca="1"/>
        <v>46193</v>
      </c>
      <c r="T9" s="45">
        <f ca="1"/>
        <v>4.2245037645448322</v>
      </c>
      <c r="U9">
        <f ca="1"/>
        <v>94.031000000000006</v>
      </c>
      <c r="V9">
        <f ca="1"/>
        <v>38</v>
      </c>
      <c r="W9">
        <f ca="1"/>
        <v>4</v>
      </c>
      <c r="X9">
        <f ca="1"/>
        <v>6</v>
      </c>
      <c r="Y9">
        <f ca="1"/>
        <v>5.4945054945054951E-2</v>
      </c>
      <c r="Z9">
        <f ca="1"/>
        <v>93.976054945054955</v>
      </c>
      <c r="AA9">
        <f ca="1"/>
        <v>1.5914999999960624</v>
      </c>
    </row>
    <row r="10" spans="1:27" x14ac:dyDescent="0.4">
      <c r="A10">
        <v>42</v>
      </c>
      <c r="B10" t="str" cm="1">
        <f t="array" aca="1" ref="B10:AA10" ca="1">_xlfn.XLOOKUP(A10,SORT!$U$2:$U$327,_xlfn.ANCHORARRAY(SORT!$A$2),,0)</f>
        <v>BN361059 Corp</v>
      </c>
      <c r="C10" t="str">
        <f ca="1"/>
        <v>Japan Government Ten Year Bond</v>
      </c>
      <c r="D10" t="str">
        <f ca="1"/>
        <v>JGB</v>
      </c>
      <c r="E10" t="str">
        <f ca="1"/>
        <v>JP</v>
      </c>
      <c r="F10" t="str">
        <f ca="1"/>
        <v>JPY</v>
      </c>
      <c r="G10" t="str">
        <f ca="1"/>
        <v>20/12/2030</v>
      </c>
      <c r="H10" t="str">
        <f ca="1"/>
        <v>FIXED</v>
      </c>
      <c r="I10">
        <f ca="1"/>
        <v>2</v>
      </c>
      <c r="J10">
        <f ca="1"/>
        <v>0.1</v>
      </c>
      <c r="K10">
        <f ca="1"/>
        <v>1.6439999999887491</v>
      </c>
      <c r="L10">
        <f ca="1"/>
        <v>1.6649999999877207</v>
      </c>
      <c r="M10">
        <f ca="1"/>
        <v>93.162999999999997</v>
      </c>
      <c r="N10">
        <f ca="1"/>
        <v>93.076999999999998</v>
      </c>
      <c r="O10" t="str">
        <f ca="1"/>
        <v>BN3610597</v>
      </c>
      <c r="P10" t="str">
        <f ca="1"/>
        <v>JP1103611M11</v>
      </c>
      <c r="Q10" t="str">
        <f ca="1"/>
        <v>NR</v>
      </c>
      <c r="R10">
        <f ca="1"/>
        <v>44193</v>
      </c>
      <c r="S10">
        <f ca="1"/>
        <v>46193</v>
      </c>
      <c r="T10" s="45">
        <f ca="1"/>
        <v>4.7255304585900069</v>
      </c>
      <c r="U10">
        <f ca="1"/>
        <v>93.12</v>
      </c>
      <c r="V10">
        <f ca="1"/>
        <v>42</v>
      </c>
      <c r="W10">
        <f ca="1"/>
        <v>4.5</v>
      </c>
      <c r="X10">
        <f ca="1"/>
        <v>6</v>
      </c>
      <c r="Y10">
        <f ca="1"/>
        <v>5.4945054945054951E-2</v>
      </c>
      <c r="Z10">
        <f ca="1"/>
        <v>93.065054945054953</v>
      </c>
      <c r="AA10">
        <f ca="1"/>
        <v>1.6544999999882348</v>
      </c>
    </row>
    <row r="11" spans="1:27" x14ac:dyDescent="0.4">
      <c r="A11">
        <v>50</v>
      </c>
      <c r="B11" t="str" cm="1">
        <f t="array" aca="1" ref="B11:AA11" ca="1">_xlfn.XLOOKUP(A11,SORT!$U$2:$U$327,_xlfn.ANCHORARRAY(SORT!$A$2),,0)</f>
        <v>BQ348089 Corp</v>
      </c>
      <c r="C11" t="str">
        <f ca="1"/>
        <v>Japan Government Ten Year Bond</v>
      </c>
      <c r="D11" t="str">
        <f ca="1"/>
        <v>JGB</v>
      </c>
      <c r="E11" t="str">
        <f ca="1"/>
        <v>JP</v>
      </c>
      <c r="F11" t="str">
        <f ca="1"/>
        <v>JPY</v>
      </c>
      <c r="G11" t="str">
        <f ca="1"/>
        <v>20/06/2031</v>
      </c>
      <c r="H11" t="str">
        <f ca="1"/>
        <v>FIXED</v>
      </c>
      <c r="I11">
        <f ca="1"/>
        <v>2</v>
      </c>
      <c r="J11">
        <f ca="1"/>
        <v>0.1</v>
      </c>
      <c r="K11">
        <f ca="1"/>
        <v>1.7099999999691318</v>
      </c>
      <c r="L11">
        <f ca="1"/>
        <v>1.7269999999669614</v>
      </c>
      <c r="M11">
        <f ca="1"/>
        <v>92.210999999999999</v>
      </c>
      <c r="N11">
        <f ca="1"/>
        <v>92.135000000000005</v>
      </c>
      <c r="O11" t="str">
        <f ca="1"/>
        <v>BQ3480895</v>
      </c>
      <c r="P11" t="str">
        <f ca="1"/>
        <v>JP1103631M74</v>
      </c>
      <c r="Q11" t="str">
        <f ca="1"/>
        <v>NR</v>
      </c>
      <c r="R11">
        <f ca="1"/>
        <v>44371</v>
      </c>
      <c r="S11">
        <f ca="1"/>
        <v>46193</v>
      </c>
      <c r="T11" s="45">
        <f ca="1"/>
        <v>5.2238193018480494</v>
      </c>
      <c r="U11">
        <f ca="1"/>
        <v>92.173000000000002</v>
      </c>
      <c r="V11">
        <f ca="1"/>
        <v>50</v>
      </c>
      <c r="W11">
        <f ca="1"/>
        <v>5</v>
      </c>
      <c r="X11">
        <f ca="1"/>
        <v>5</v>
      </c>
      <c r="Y11">
        <f ca="1"/>
        <v>5.4945054945054951E-2</v>
      </c>
      <c r="Z11">
        <f ca="1"/>
        <v>92.118054945054951</v>
      </c>
      <c r="AA11">
        <f ca="1"/>
        <v>1.7184999999680466</v>
      </c>
    </row>
    <row r="12" spans="1:27" x14ac:dyDescent="0.4">
      <c r="A12">
        <v>58</v>
      </c>
      <c r="B12" t="str" cm="1">
        <f t="array" aca="1" ref="B12:AA12" ca="1">_xlfn.XLOOKUP(A12,SORT!$U$2:$U$327,_xlfn.ANCHORARRAY(SORT!$A$2),,0)</f>
        <v>BT330618 Corp</v>
      </c>
      <c r="C12" t="str">
        <f ca="1"/>
        <v>Japan Government Ten Year Bond</v>
      </c>
      <c r="D12" t="str">
        <f ca="1"/>
        <v>JGB</v>
      </c>
      <c r="E12" t="str">
        <f ca="1"/>
        <v>JP</v>
      </c>
      <c r="F12" t="str">
        <f ca="1"/>
        <v>JPY</v>
      </c>
      <c r="G12" t="str">
        <f ca="1"/>
        <v>20/12/2031</v>
      </c>
      <c r="H12" t="str">
        <f ca="1"/>
        <v>FIXED</v>
      </c>
      <c r="I12">
        <f ca="1"/>
        <v>2</v>
      </c>
      <c r="J12">
        <f ca="1"/>
        <v>0.1</v>
      </c>
      <c r="K12">
        <f ca="1"/>
        <v>1.7749999999224804</v>
      </c>
      <c r="L12">
        <f ca="1"/>
        <v>1.7919999999172049</v>
      </c>
      <c r="M12">
        <f ca="1"/>
        <v>91.224999999999994</v>
      </c>
      <c r="N12">
        <f ca="1"/>
        <v>91.144000000000005</v>
      </c>
      <c r="O12" t="str">
        <f ca="1"/>
        <v>BT3306185</v>
      </c>
      <c r="P12" t="str">
        <f ca="1"/>
        <v>JP1103651N11</v>
      </c>
      <c r="Q12" t="str">
        <f ca="1"/>
        <v>NR</v>
      </c>
      <c r="R12">
        <f ca="1"/>
        <v>44558</v>
      </c>
      <c r="S12">
        <f ca="1"/>
        <v>46193</v>
      </c>
      <c r="T12" s="45">
        <f ca="1"/>
        <v>5.7248459958932241</v>
      </c>
      <c r="U12">
        <f ca="1"/>
        <v>91.1845</v>
      </c>
      <c r="V12">
        <f ca="1"/>
        <v>58</v>
      </c>
      <c r="W12">
        <f ca="1"/>
        <v>5.5</v>
      </c>
      <c r="X12">
        <f ca="1"/>
        <v>5</v>
      </c>
      <c r="Y12">
        <f ca="1"/>
        <v>5.4945054945054951E-2</v>
      </c>
      <c r="Z12">
        <f ca="1"/>
        <v>91.129554945054949</v>
      </c>
      <c r="AA12">
        <f ca="1"/>
        <v>1.7834999999198426</v>
      </c>
    </row>
    <row r="13" spans="1:27" x14ac:dyDescent="0.4">
      <c r="A13">
        <v>68</v>
      </c>
      <c r="B13" t="str" cm="1">
        <f t="array" aca="1" ref="B13:AA13" ca="1">_xlfn.XLOOKUP(A13,SORT!$U$2:$U$327,_xlfn.ANCHORARRAY(SORT!$A$2),,0)</f>
        <v>BX625748 Corp</v>
      </c>
      <c r="C13" t="str">
        <f ca="1"/>
        <v>Japan Government Ten Year Bond</v>
      </c>
      <c r="D13" t="str">
        <f ca="1"/>
        <v>JGB</v>
      </c>
      <c r="E13" t="str">
        <f ca="1"/>
        <v>JP</v>
      </c>
      <c r="F13" t="str">
        <f ca="1"/>
        <v>JPY</v>
      </c>
      <c r="G13" t="str">
        <f ca="1"/>
        <v>20/06/2032</v>
      </c>
      <c r="H13" t="str">
        <f ca="1"/>
        <v>FIXED</v>
      </c>
      <c r="I13">
        <f ca="1"/>
        <v>2</v>
      </c>
      <c r="J13">
        <f ca="1"/>
        <v>0.2</v>
      </c>
      <c r="K13">
        <f ca="1"/>
        <v>1.8349999998885898</v>
      </c>
      <c r="L13">
        <f ca="1"/>
        <v>1.8519999998808494</v>
      </c>
      <c r="M13">
        <f ca="1"/>
        <v>90.801000000000002</v>
      </c>
      <c r="N13">
        <f ca="1"/>
        <v>90.713999999999999</v>
      </c>
      <c r="O13" t="str">
        <f ca="1"/>
        <v>BX6257485</v>
      </c>
      <c r="P13" t="str">
        <f ca="1"/>
        <v>JP1103671N74</v>
      </c>
      <c r="Q13" t="str">
        <f ca="1"/>
        <v>A+</v>
      </c>
      <c r="R13">
        <f ca="1"/>
        <v>44740</v>
      </c>
      <c r="S13">
        <f ca="1"/>
        <v>46193</v>
      </c>
      <c r="T13" s="45">
        <f ca="1"/>
        <v>6.2258726899383987</v>
      </c>
      <c r="U13">
        <f ca="1"/>
        <v>90.757499999999993</v>
      </c>
      <c r="V13">
        <f ca="1"/>
        <v>68</v>
      </c>
      <c r="W13">
        <f ca="1"/>
        <v>6</v>
      </c>
      <c r="X13">
        <f ca="1"/>
        <v>4</v>
      </c>
      <c r="Y13">
        <f ca="1"/>
        <v>0.1098901098901099</v>
      </c>
      <c r="Z13">
        <f ca="1"/>
        <v>90.647609890109877</v>
      </c>
      <c r="AA13">
        <f ca="1"/>
        <v>1.8434999998847195</v>
      </c>
    </row>
    <row r="14" spans="1:27" x14ac:dyDescent="0.4">
      <c r="A14">
        <v>312</v>
      </c>
      <c r="B14" t="str" cm="1">
        <f t="array" aca="1" ref="B14:AA14" ca="1">_xlfn.XLOOKUP(A14,SORT!$U$2:$U$327,_xlfn.ANCHORARRAY(SORT!$A$2),,0)</f>
        <v>ZM259327 Corp</v>
      </c>
      <c r="C14" t="str">
        <f ca="1"/>
        <v>Japan Government Ten Year Bond</v>
      </c>
      <c r="D14" t="str">
        <f ca="1"/>
        <v>JGB</v>
      </c>
      <c r="E14" t="str">
        <f ca="1"/>
        <v>JP</v>
      </c>
      <c r="F14" t="str">
        <f ca="1"/>
        <v>JPY</v>
      </c>
      <c r="G14" t="str">
        <f ca="1"/>
        <v>20/12/2032</v>
      </c>
      <c r="H14" t="str">
        <f ca="1"/>
        <v>FIXED</v>
      </c>
      <c r="I14">
        <f ca="1"/>
        <v>2</v>
      </c>
      <c r="J14">
        <f ca="1"/>
        <v>0.5</v>
      </c>
      <c r="K14">
        <f ca="1"/>
        <v>1.8729999999519316</v>
      </c>
      <c r="L14">
        <f ca="1"/>
        <v>1.8899999999480253</v>
      </c>
      <c r="M14">
        <f ca="1"/>
        <v>91.745000000000005</v>
      </c>
      <c r="N14">
        <f ca="1"/>
        <v>91.650999999999996</v>
      </c>
      <c r="O14" t="str">
        <f ca="1"/>
        <v>ZM2593279</v>
      </c>
      <c r="P14" t="str">
        <f ca="1"/>
        <v>JP1103691P11</v>
      </c>
      <c r="Q14" t="str">
        <f ca="1"/>
        <v>A+</v>
      </c>
      <c r="R14">
        <f ca="1"/>
        <v>44923</v>
      </c>
      <c r="S14">
        <f ca="1"/>
        <v>46193</v>
      </c>
      <c r="T14" s="45">
        <f ca="1"/>
        <v>6.7268993839835725</v>
      </c>
      <c r="U14">
        <f ca="1"/>
        <v>91.698000000000008</v>
      </c>
      <c r="V14">
        <f ca="1"/>
        <v>312</v>
      </c>
      <c r="W14">
        <f ca="1"/>
        <v>6.5</v>
      </c>
      <c r="X14">
        <f ca="1"/>
        <v>4</v>
      </c>
      <c r="Y14">
        <f ca="1"/>
        <v>0.27472527472527475</v>
      </c>
      <c r="Z14">
        <f ca="1"/>
        <v>91.423274725274737</v>
      </c>
      <c r="AA14">
        <f ca="1"/>
        <v>1.8814999999499784</v>
      </c>
    </row>
    <row r="15" spans="1:27" x14ac:dyDescent="0.4">
      <c r="A15">
        <v>289</v>
      </c>
      <c r="B15" t="str" cm="1">
        <f t="array" aca="1" ref="B15:AA15" ca="1">_xlfn.XLOOKUP(A15,SORT!$U$2:$U$327,_xlfn.ANCHORARRAY(SORT!$A$2),,0)</f>
        <v>ZF266659 Corp</v>
      </c>
      <c r="C15" t="str">
        <f ca="1"/>
        <v>Japan Government Ten Year Bond</v>
      </c>
      <c r="D15" t="str">
        <f ca="1"/>
        <v>JGB</v>
      </c>
      <c r="E15" t="str">
        <f ca="1"/>
        <v>JP</v>
      </c>
      <c r="F15" t="str">
        <f ca="1"/>
        <v>JPY</v>
      </c>
      <c r="G15" t="str">
        <f ca="1"/>
        <v>20/12/2033</v>
      </c>
      <c r="H15" t="str">
        <f ca="1"/>
        <v>FIXED</v>
      </c>
      <c r="I15">
        <f ca="1"/>
        <v>2</v>
      </c>
      <c r="J15">
        <f ca="1"/>
        <v>0.6</v>
      </c>
      <c r="K15">
        <f ca="1"/>
        <v>2.0049999998719392</v>
      </c>
      <c r="L15">
        <f ca="1"/>
        <v>2.020999999862394</v>
      </c>
      <c r="M15">
        <f ca="1"/>
        <v>90.549000000000007</v>
      </c>
      <c r="N15">
        <f ca="1"/>
        <v>90.450999999999993</v>
      </c>
      <c r="O15" t="str">
        <f ca="1"/>
        <v>ZF2666591</v>
      </c>
      <c r="P15" t="str">
        <f ca="1"/>
        <v>JP1103731Q12</v>
      </c>
      <c r="Q15" t="str">
        <f ca="1"/>
        <v>A+</v>
      </c>
      <c r="R15">
        <f ca="1"/>
        <v>45288</v>
      </c>
      <c r="S15">
        <f ca="1"/>
        <v>46193</v>
      </c>
      <c r="T15" s="45">
        <f ca="1"/>
        <v>7.7262149212867897</v>
      </c>
      <c r="U15">
        <f ca="1"/>
        <v>90.5</v>
      </c>
      <c r="V15">
        <f ca="1"/>
        <v>289</v>
      </c>
      <c r="W15">
        <f ca="1"/>
        <v>7.5</v>
      </c>
      <c r="X15">
        <f ca="1"/>
        <v>3</v>
      </c>
      <c r="Y15">
        <f ca="1"/>
        <v>0.32967032967032966</v>
      </c>
      <c r="Z15">
        <f ca="1"/>
        <v>90.170329670329664</v>
      </c>
      <c r="AA15">
        <f ca="1"/>
        <v>2.0129999998671666</v>
      </c>
    </row>
    <row r="16" spans="1:27" x14ac:dyDescent="0.4">
      <c r="A16">
        <v>281</v>
      </c>
      <c r="B16" t="str" cm="1">
        <f t="array" aca="1" ref="B16:AA16" ca="1">_xlfn.XLOOKUP(A16,SORT!$U$2:$U$327,_xlfn.ANCHORARRAY(SORT!$A$2),,0)</f>
        <v>ZB141254 Corp</v>
      </c>
      <c r="C16" t="str">
        <f ca="1"/>
        <v>Japan Government Ten Year Bond</v>
      </c>
      <c r="D16" t="str">
        <f ca="1"/>
        <v>JGB</v>
      </c>
      <c r="E16" t="str">
        <f ca="1"/>
        <v>JP</v>
      </c>
      <c r="F16" t="str">
        <f ca="1"/>
        <v>JPY</v>
      </c>
      <c r="G16" t="str">
        <f ca="1"/>
        <v>20/03/2034</v>
      </c>
      <c r="H16" t="str">
        <f ca="1"/>
        <v>FIXED</v>
      </c>
      <c r="I16">
        <f ca="1"/>
        <v>2</v>
      </c>
      <c r="J16">
        <f ca="1"/>
        <v>0.8</v>
      </c>
      <c r="K16">
        <f ca="1"/>
        <v>2.0279999999292815</v>
      </c>
      <c r="L16">
        <f ca="1"/>
        <v>2.0449999999229505</v>
      </c>
      <c r="M16">
        <f ca="1"/>
        <v>91.527000000000001</v>
      </c>
      <c r="N16">
        <f ca="1"/>
        <v>91.42</v>
      </c>
      <c r="O16" t="str">
        <f ca="1"/>
        <v>ZB1412541</v>
      </c>
      <c r="P16" t="str">
        <f ca="1"/>
        <v>JP1103741Q44</v>
      </c>
      <c r="Q16" t="str">
        <f ca="1"/>
        <v>A+</v>
      </c>
      <c r="R16">
        <f ca="1"/>
        <v>45377</v>
      </c>
      <c r="S16">
        <f ca="1"/>
        <v>46101</v>
      </c>
      <c r="T16" s="45">
        <f ca="1"/>
        <v>7.9726214921286793</v>
      </c>
      <c r="U16">
        <f ca="1"/>
        <v>91.473500000000001</v>
      </c>
      <c r="V16">
        <f ca="1"/>
        <v>281</v>
      </c>
      <c r="W16">
        <f ca="1"/>
        <v>7.5</v>
      </c>
      <c r="X16">
        <f ca="1"/>
        <v>2</v>
      </c>
      <c r="Y16">
        <f ca="1"/>
        <v>0.83956043956043969</v>
      </c>
      <c r="Z16">
        <f ca="1"/>
        <v>90.633939560439558</v>
      </c>
      <c r="AA16">
        <f ca="1"/>
        <v>2.0364999999261162</v>
      </c>
    </row>
    <row r="17" spans="1:27" x14ac:dyDescent="0.4">
      <c r="A17">
        <v>260</v>
      </c>
      <c r="B17" t="str" cm="1">
        <f t="array" aca="1" ref="B17:AA17" ca="1">_xlfn.XLOOKUP(A17,SORT!$U$2:$U$327,_xlfn.ANCHORARRAY(SORT!$A$2),,0)</f>
        <v>YU269893 Corp</v>
      </c>
      <c r="C17" t="str">
        <f ca="1"/>
        <v>Japan Government Ten Year Bond</v>
      </c>
      <c r="D17" t="str">
        <f ca="1"/>
        <v>JGB</v>
      </c>
      <c r="E17" t="str">
        <f ca="1"/>
        <v>JP</v>
      </c>
      <c r="F17" t="str">
        <f ca="1"/>
        <v>JPY</v>
      </c>
      <c r="G17" t="str">
        <f ca="1"/>
        <v>20/09/2034</v>
      </c>
      <c r="H17" t="str">
        <f ca="1"/>
        <v>FIXED</v>
      </c>
      <c r="I17">
        <f ca="1"/>
        <v>2</v>
      </c>
      <c r="J17">
        <f ca="1"/>
        <v>0.9</v>
      </c>
      <c r="K17">
        <f ca="1"/>
        <v>2.0939999999227852</v>
      </c>
      <c r="L17">
        <f ca="1"/>
        <v>2.1099999999161341</v>
      </c>
      <c r="M17">
        <f ca="1"/>
        <v>91.361999999999995</v>
      </c>
      <c r="N17">
        <f ca="1"/>
        <v>91.256</v>
      </c>
      <c r="O17" t="str">
        <f ca="1"/>
        <v>YU2698931</v>
      </c>
      <c r="P17" t="str">
        <f ca="1"/>
        <v>JP1103761QA5</v>
      </c>
      <c r="Q17" t="str">
        <f ca="1"/>
        <v>A+</v>
      </c>
      <c r="R17">
        <f ca="1"/>
        <v>45561</v>
      </c>
      <c r="S17">
        <f ca="1"/>
        <v>46101</v>
      </c>
      <c r="T17" s="45">
        <f ca="1"/>
        <v>8.4763860369609851</v>
      </c>
      <c r="U17">
        <f ca="1"/>
        <v>91.308999999999997</v>
      </c>
      <c r="V17">
        <f ca="1"/>
        <v>260</v>
      </c>
      <c r="W17">
        <f ca="1"/>
        <v>8</v>
      </c>
      <c r="X17">
        <f ca="1"/>
        <v>2</v>
      </c>
      <c r="Y17">
        <f ca="1"/>
        <v>0.94450549450549459</v>
      </c>
      <c r="Z17">
        <f ca="1"/>
        <v>90.364494505494505</v>
      </c>
      <c r="AA17">
        <f ca="1"/>
        <v>2.1019999999194594</v>
      </c>
    </row>
    <row r="18" spans="1:27" x14ac:dyDescent="0.4">
      <c r="A18" s="46">
        <v>202</v>
      </c>
      <c r="B18" t="str" cm="1">
        <f t="array" aca="1" ref="B18:AA18" ca="1">_xlfn.XLOOKUP(A18,SORT!$U$2:$U$327,_xlfn.ANCHORARRAY(SORT!$A$2),,0)</f>
        <v>EK813746 Corp</v>
      </c>
      <c r="C18" t="str">
        <f ca="1"/>
        <v>Japan Government Twenty Year Bond</v>
      </c>
      <c r="D18" t="str">
        <f ca="1"/>
        <v>JGB</v>
      </c>
      <c r="E18" t="str">
        <f ca="1"/>
        <v>JP</v>
      </c>
      <c r="F18" t="str">
        <f ca="1"/>
        <v>JPY</v>
      </c>
      <c r="G18" t="str">
        <f ca="1"/>
        <v>20/03/2035</v>
      </c>
      <c r="H18" t="str">
        <f ca="1"/>
        <v>FIXED</v>
      </c>
      <c r="I18">
        <f ca="1"/>
        <v>2</v>
      </c>
      <c r="J18">
        <f ca="1"/>
        <v>1.2</v>
      </c>
      <c r="K18">
        <f ca="1"/>
        <v>2.1329999999825939</v>
      </c>
      <c r="L18">
        <f ca="1"/>
        <v>2.1529999999802247</v>
      </c>
      <c r="M18">
        <f ca="1"/>
        <v>92.94</v>
      </c>
      <c r="N18">
        <f ca="1"/>
        <v>92.8</v>
      </c>
      <c r="O18" t="str">
        <f ca="1"/>
        <v>EK8137466</v>
      </c>
      <c r="P18" t="str">
        <f ca="1"/>
        <v>JP1201521F37</v>
      </c>
      <c r="Q18" t="str">
        <f ca="1"/>
        <v>A+</v>
      </c>
      <c r="R18">
        <f ca="1"/>
        <v>42081</v>
      </c>
      <c r="S18">
        <f ca="1"/>
        <v>46101</v>
      </c>
      <c r="T18" s="45">
        <f ca="1"/>
        <v>8.9719370294318956</v>
      </c>
      <c r="U18">
        <f ca="1"/>
        <v>92.87</v>
      </c>
      <c r="V18">
        <f ca="1"/>
        <v>202</v>
      </c>
      <c r="W18">
        <f ca="1"/>
        <v>8.5</v>
      </c>
      <c r="X18">
        <f ca="1"/>
        <v>11</v>
      </c>
      <c r="Y18">
        <f ca="1"/>
        <v>1.2593406593406593</v>
      </c>
      <c r="Z18">
        <f ca="1"/>
        <v>91.610659340659339</v>
      </c>
      <c r="AA18">
        <f ca="1"/>
        <v>2.1429999999814093</v>
      </c>
    </row>
    <row r="19" spans="1:27" x14ac:dyDescent="0.4">
      <c r="A19">
        <v>100</v>
      </c>
      <c r="B19" t="str" cm="1">
        <f t="array" aca="1" ref="B19:AA19" ca="1">_xlfn.XLOOKUP(A19,SORT!$U$2:$U$327,_xlfn.ANCHORARRAY(SORT!$A$2),,0)</f>
        <v>EF021292 Corp</v>
      </c>
      <c r="C19" t="str">
        <f ca="1"/>
        <v>Japan Government Thirty Year Bond</v>
      </c>
      <c r="D19" t="str">
        <f ca="1"/>
        <v>JGB</v>
      </c>
      <c r="E19" t="str">
        <f ca="1"/>
        <v>JP</v>
      </c>
      <c r="F19" t="str">
        <f ca="1"/>
        <v>JPY</v>
      </c>
      <c r="G19" t="str">
        <f ca="1"/>
        <v>20/06/2035</v>
      </c>
      <c r="H19" t="str">
        <f ca="1"/>
        <v>FIXED</v>
      </c>
      <c r="I19">
        <f ca="1"/>
        <v>2</v>
      </c>
      <c r="J19">
        <f ca="1"/>
        <v>2.2999999999999998</v>
      </c>
      <c r="K19">
        <f ca="1"/>
        <v>2.0779999999999985</v>
      </c>
      <c r="L19">
        <f ca="1"/>
        <v>2.097999999999995</v>
      </c>
      <c r="M19">
        <f ca="1"/>
        <v>101.726</v>
      </c>
      <c r="N19">
        <f ca="1"/>
        <v>101.568</v>
      </c>
      <c r="O19" t="str">
        <f ca="1"/>
        <v>EF0212920</v>
      </c>
      <c r="P19" t="str">
        <f ca="1"/>
        <v>JP1300191572</v>
      </c>
      <c r="Q19" t="str">
        <f ca="1"/>
        <v>A+</v>
      </c>
      <c r="R19">
        <f ca="1"/>
        <v>38547</v>
      </c>
      <c r="S19">
        <f ca="1"/>
        <v>46193</v>
      </c>
      <c r="T19" s="45">
        <f ca="1"/>
        <v>9.2238193018480494</v>
      </c>
      <c r="U19">
        <f ca="1"/>
        <v>101.64699999999999</v>
      </c>
      <c r="V19">
        <f ca="1"/>
        <v>100</v>
      </c>
      <c r="W19">
        <f ca="1"/>
        <v>9</v>
      </c>
      <c r="X19">
        <f ca="1"/>
        <v>21</v>
      </c>
      <c r="Y19">
        <f ca="1"/>
        <v>1.2637362637362637</v>
      </c>
      <c r="Z19">
        <f ca="1"/>
        <v>100.38326373626373</v>
      </c>
      <c r="AA19">
        <f ca="1"/>
        <v>2.0879999999999965</v>
      </c>
    </row>
    <row r="20" spans="1:27" x14ac:dyDescent="0.4">
      <c r="A20">
        <v>79</v>
      </c>
      <c r="B20" t="str" cm="1">
        <f t="array" aca="1" ref="B20:AA20" ca="1">_xlfn.XLOOKUP(A20,SORT!$U$2:$U$327,_xlfn.ANCHORARRAY(SORT!$A$2),,0)</f>
        <v>DC746693 Corp</v>
      </c>
      <c r="C20" t="str">
        <f ca="1"/>
        <v>Japan Government Ten Year Bond</v>
      </c>
      <c r="D20" t="str">
        <f ca="1"/>
        <v>JGB</v>
      </c>
      <c r="E20" t="str">
        <f ca="1"/>
        <v>JP</v>
      </c>
      <c r="F20" t="str">
        <f ca="1"/>
        <v>JPY</v>
      </c>
      <c r="G20" t="str">
        <f ca="1"/>
        <v>20/12/2035</v>
      </c>
      <c r="H20" t="str">
        <f ca="1"/>
        <v>FIXED</v>
      </c>
      <c r="I20">
        <f ca="1"/>
        <v>2</v>
      </c>
      <c r="J20">
        <f ca="1"/>
        <v>2.1</v>
      </c>
      <c r="K20">
        <f ca="1"/>
        <v>2.1609999999509681</v>
      </c>
      <c r="L20">
        <f ca="1"/>
        <v>2.1799999998873618</v>
      </c>
      <c r="M20">
        <f ca="1"/>
        <v>99.507000000000005</v>
      </c>
      <c r="N20">
        <f ca="1"/>
        <v>99.355000000000004</v>
      </c>
      <c r="O20" t="str">
        <f ca="1"/>
        <v>DC7466931</v>
      </c>
      <c r="P20" t="str">
        <f ca="1"/>
        <v>JP1103811S13</v>
      </c>
      <c r="Q20" t="str">
        <f ca="1"/>
        <v>A+</v>
      </c>
      <c r="R20">
        <f ca="1"/>
        <v>46017</v>
      </c>
      <c r="S20">
        <f ca="1"/>
        <v>46193</v>
      </c>
      <c r="T20" s="45">
        <f ca="1"/>
        <v>9.7248459958932241</v>
      </c>
      <c r="U20">
        <f ca="1"/>
        <v>99.431000000000012</v>
      </c>
      <c r="V20">
        <f ca="1"/>
        <v>79</v>
      </c>
      <c r="W20">
        <f ca="1"/>
        <v>9.5</v>
      </c>
      <c r="X20">
        <f ca="1"/>
        <v>1</v>
      </c>
      <c r="Y20">
        <f ca="1"/>
        <v>1.153846153846154</v>
      </c>
      <c r="Z20">
        <f ca="1"/>
        <v>98.277153846153851</v>
      </c>
      <c r="AA20">
        <f ca="1"/>
        <v>2.1704999999191648</v>
      </c>
    </row>
    <row r="21" spans="1:27" x14ac:dyDescent="0.4">
      <c r="A21">
        <v>108</v>
      </c>
      <c r="B21" t="str" cm="1">
        <f t="array" aca="1" ref="B21:AA21" ca="1">_xlfn.XLOOKUP(A21,SORT!$U$2:$U$327,_xlfn.ANCHORARRAY(SORT!$A$2),,0)</f>
        <v>EF559765 Corp</v>
      </c>
      <c r="C21" t="str">
        <f ca="1"/>
        <v>Japan Government Thirty Year Bond</v>
      </c>
      <c r="D21" t="str">
        <f ca="1"/>
        <v>JGB</v>
      </c>
      <c r="E21" t="str">
        <f ca="1"/>
        <v>JP</v>
      </c>
      <c r="F21" t="str">
        <f ca="1"/>
        <v>JPY</v>
      </c>
      <c r="G21" t="str">
        <f ca="1"/>
        <v>20/06/2036</v>
      </c>
      <c r="H21" t="str">
        <f ca="1"/>
        <v>FIXED</v>
      </c>
      <c r="I21">
        <f ca="1"/>
        <v>2</v>
      </c>
      <c r="J21">
        <f ca="1"/>
        <v>2.5</v>
      </c>
      <c r="K21">
        <f ca="1"/>
        <v>2.1879999999999842</v>
      </c>
      <c r="L21">
        <f ca="1"/>
        <v>2.2129999999999908</v>
      </c>
      <c r="M21">
        <f ca="1"/>
        <v>102.617</v>
      </c>
      <c r="N21">
        <f ca="1"/>
        <v>102.402</v>
      </c>
      <c r="O21" t="str">
        <f ca="1"/>
        <v>EF5597655</v>
      </c>
      <c r="P21" t="str">
        <f ca="1"/>
        <v>JP1300231675</v>
      </c>
      <c r="Q21" t="str">
        <f ca="1"/>
        <v>A+</v>
      </c>
      <c r="R21">
        <f ca="1"/>
        <v>38911</v>
      </c>
      <c r="S21">
        <f ca="1"/>
        <v>46193</v>
      </c>
      <c r="T21" s="45">
        <f ca="1"/>
        <v>10.225872689938399</v>
      </c>
      <c r="U21">
        <f ca="1"/>
        <v>102.5095</v>
      </c>
      <c r="V21">
        <f ca="1"/>
        <v>108</v>
      </c>
      <c r="W21">
        <f ca="1"/>
        <v>10</v>
      </c>
      <c r="X21">
        <f ca="1"/>
        <v>20</v>
      </c>
      <c r="Y21">
        <f ca="1"/>
        <v>1.3736263736263736</v>
      </c>
      <c r="Z21">
        <f ca="1"/>
        <v>101.13587362637362</v>
      </c>
      <c r="AA21">
        <f ca="1"/>
        <v>2.2004999999999875</v>
      </c>
    </row>
    <row r="22" spans="1:27" x14ac:dyDescent="0.4">
      <c r="A22">
        <v>3</v>
      </c>
      <c r="B22" t="str" cm="1">
        <f t="array" aca="1" ref="B22:AA22" ca="1">_xlfn.XLOOKUP(A22,SORT!$U$2:$U$327,_xlfn.ANCHORARRAY(SORT!$A$2),,0)</f>
        <v>AL797512 Corp</v>
      </c>
      <c r="C22" t="str">
        <f ca="1"/>
        <v>Japan Government Twenty Year Bond</v>
      </c>
      <c r="D22" t="str">
        <f ca="1"/>
        <v>JGB</v>
      </c>
      <c r="E22" t="str">
        <f ca="1"/>
        <v>JP</v>
      </c>
      <c r="F22" t="str">
        <f ca="1"/>
        <v>JPY</v>
      </c>
      <c r="G22" t="str">
        <f ca="1"/>
        <v>20/12/2036</v>
      </c>
      <c r="H22" t="str">
        <f ca="1"/>
        <v>FIXED</v>
      </c>
      <c r="I22">
        <f ca="1"/>
        <v>2</v>
      </c>
      <c r="J22">
        <f ca="1"/>
        <v>0.6</v>
      </c>
      <c r="K22">
        <f ca="1"/>
        <v>2.4689999999999892</v>
      </c>
      <c r="L22">
        <f ca="1"/>
        <v>2.4929999999999848</v>
      </c>
      <c r="M22">
        <f ca="1"/>
        <v>84.091999999999999</v>
      </c>
      <c r="N22">
        <f ca="1"/>
        <v>83.921000000000006</v>
      </c>
      <c r="O22" t="str">
        <f ca="1"/>
        <v>AL7975124</v>
      </c>
      <c r="P22" t="str">
        <f ca="1"/>
        <v>JP1201591GC4</v>
      </c>
      <c r="Q22" t="str">
        <f ca="1"/>
        <v>A+</v>
      </c>
      <c r="R22">
        <f ca="1"/>
        <v>42719</v>
      </c>
      <c r="S22">
        <f ca="1"/>
        <v>46193</v>
      </c>
      <c r="T22" s="45">
        <f ca="1"/>
        <v>10.726899383983573</v>
      </c>
      <c r="U22">
        <f ca="1"/>
        <v>84.006500000000003</v>
      </c>
      <c r="V22">
        <f ca="1"/>
        <v>3</v>
      </c>
      <c r="W22">
        <f ca="1"/>
        <v>10.5</v>
      </c>
      <c r="X22">
        <f ca="1"/>
        <v>10</v>
      </c>
      <c r="Y22">
        <f ca="1"/>
        <v>0.32967032967032966</v>
      </c>
      <c r="Z22">
        <f ca="1"/>
        <v>83.676829670329667</v>
      </c>
      <c r="AA22">
        <f ca="1"/>
        <v>2.480999999999987</v>
      </c>
    </row>
    <row r="23" spans="1:27" x14ac:dyDescent="0.4">
      <c r="A23">
        <v>10</v>
      </c>
      <c r="B23" t="str" cm="1">
        <f t="array" aca="1" ref="B23:AA23" ca="1">_xlfn.XLOOKUP(A23,SORT!$U$2:$U$327,_xlfn.ANCHORARRAY(SORT!$A$2),,0)</f>
        <v>AN958432 Corp</v>
      </c>
      <c r="C23" t="str">
        <f ca="1"/>
        <v>Japan Government Twenty Year Bond</v>
      </c>
      <c r="D23" t="str">
        <f ca="1"/>
        <v>JGB</v>
      </c>
      <c r="E23" t="str">
        <f ca="1"/>
        <v>JP</v>
      </c>
      <c r="F23" t="str">
        <f ca="1"/>
        <v>JPY</v>
      </c>
      <c r="G23" t="str">
        <f ca="1"/>
        <v>20/06/2037</v>
      </c>
      <c r="H23" t="str">
        <f ca="1"/>
        <v>FIXED</v>
      </c>
      <c r="I23">
        <f ca="1"/>
        <v>2</v>
      </c>
      <c r="J23">
        <f ca="1"/>
        <v>0.6</v>
      </c>
      <c r="K23">
        <f ca="1"/>
        <v>2.5509999999999731</v>
      </c>
      <c r="L23">
        <f ca="1"/>
        <v>2.5759999999999668</v>
      </c>
      <c r="M23">
        <f ca="1"/>
        <v>82.917000000000002</v>
      </c>
      <c r="N23">
        <f ca="1"/>
        <v>82.736000000000004</v>
      </c>
      <c r="O23" t="str">
        <f ca="1"/>
        <v>AN9584326</v>
      </c>
      <c r="P23" t="str">
        <f ca="1"/>
        <v>JP1201611H69</v>
      </c>
      <c r="Q23" t="str">
        <f ca="1"/>
        <v>A+</v>
      </c>
      <c r="R23">
        <f ca="1"/>
        <v>42899</v>
      </c>
      <c r="S23">
        <f ca="1"/>
        <v>46193</v>
      </c>
      <c r="T23" s="45">
        <f ca="1"/>
        <v>11.225188227241615</v>
      </c>
      <c r="U23">
        <f ca="1"/>
        <v>82.82650000000001</v>
      </c>
      <c r="V23">
        <f ca="1"/>
        <v>10</v>
      </c>
      <c r="W23">
        <f ca="1"/>
        <v>11</v>
      </c>
      <c r="X23">
        <f ca="1"/>
        <v>9</v>
      </c>
      <c r="Y23">
        <f ca="1"/>
        <v>0.32967032967032966</v>
      </c>
      <c r="Z23">
        <f ca="1"/>
        <v>82.496829670329674</v>
      </c>
      <c r="AA23">
        <f ca="1"/>
        <v>2.5634999999999701</v>
      </c>
    </row>
    <row r="24" spans="1:27" x14ac:dyDescent="0.4">
      <c r="A24">
        <v>16</v>
      </c>
      <c r="B24" t="str" cm="1">
        <f t="array" aca="1" ref="B24:AA24" ca="1">_xlfn.XLOOKUP(A24,SORT!$U$2:$U$327,_xlfn.ANCHORARRAY(SORT!$A$2),,0)</f>
        <v>AQ417830 Corp</v>
      </c>
      <c r="C24" t="str">
        <f ca="1"/>
        <v>Japan Government Twenty Year Bond</v>
      </c>
      <c r="D24" t="str">
        <f ca="1"/>
        <v>JGB</v>
      </c>
      <c r="E24" t="str">
        <f ca="1"/>
        <v>JP</v>
      </c>
      <c r="F24" t="str">
        <f ca="1"/>
        <v>JPY</v>
      </c>
      <c r="G24" t="str">
        <f ca="1"/>
        <v>20/12/2037</v>
      </c>
      <c r="H24" t="str">
        <f ca="1"/>
        <v>FIXED</v>
      </c>
      <c r="I24">
        <f ca="1"/>
        <v>2</v>
      </c>
      <c r="J24">
        <f ca="1"/>
        <v>0.6</v>
      </c>
      <c r="K24">
        <f ca="1"/>
        <v>2.6309999999999301</v>
      </c>
      <c r="L24">
        <f ca="1"/>
        <v>2.6549999999999248</v>
      </c>
      <c r="M24">
        <f ca="1"/>
        <v>81.741</v>
      </c>
      <c r="N24">
        <f ca="1"/>
        <v>81.564999999999998</v>
      </c>
      <c r="O24" t="str">
        <f ca="1"/>
        <v>AQ4178309</v>
      </c>
      <c r="P24" t="str">
        <f ca="1"/>
        <v>JP1201631HC6</v>
      </c>
      <c r="Q24" t="str">
        <f ca="1"/>
        <v>A+</v>
      </c>
      <c r="R24">
        <f ca="1"/>
        <v>43083</v>
      </c>
      <c r="S24">
        <f ca="1"/>
        <v>46193</v>
      </c>
      <c r="T24" s="45">
        <f ca="1"/>
        <v>11.72621492128679</v>
      </c>
      <c r="U24">
        <f ca="1"/>
        <v>81.652999999999992</v>
      </c>
      <c r="V24">
        <f ca="1"/>
        <v>16</v>
      </c>
      <c r="W24">
        <f ca="1"/>
        <v>11.5</v>
      </c>
      <c r="X24">
        <f ca="1"/>
        <v>9</v>
      </c>
      <c r="Y24">
        <f ca="1"/>
        <v>0.32967032967032966</v>
      </c>
      <c r="Z24">
        <f ca="1"/>
        <v>81.323329670329656</v>
      </c>
      <c r="AA24">
        <f ca="1"/>
        <v>2.6429999999999274</v>
      </c>
    </row>
    <row r="25" spans="1:27" x14ac:dyDescent="0.4">
      <c r="A25">
        <v>23</v>
      </c>
      <c r="B25" t="str" cm="1">
        <f t="array" aca="1" ref="B25:AA25" ca="1">_xlfn.XLOOKUP(A25,SORT!$U$2:$U$327,_xlfn.ANCHORARRAY(SORT!$A$2),,0)</f>
        <v>AT578853 Corp</v>
      </c>
      <c r="C25" t="str">
        <f ca="1"/>
        <v>Japan Government Twenty Year Bond</v>
      </c>
      <c r="D25" t="str">
        <f ca="1"/>
        <v>JGB</v>
      </c>
      <c r="E25" t="str">
        <f ca="1"/>
        <v>JP</v>
      </c>
      <c r="F25" t="str">
        <f ca="1"/>
        <v>JPY</v>
      </c>
      <c r="G25" t="str">
        <f ca="1"/>
        <v>20/06/2038</v>
      </c>
      <c r="H25" t="str">
        <f ca="1"/>
        <v>FIXED</v>
      </c>
      <c r="I25">
        <f ca="1"/>
        <v>2</v>
      </c>
      <c r="J25">
        <f ca="1"/>
        <v>0.5</v>
      </c>
      <c r="K25">
        <f ca="1"/>
        <v>2.7289999999996502</v>
      </c>
      <c r="L25">
        <f ca="1"/>
        <v>2.7549999999996064</v>
      </c>
      <c r="M25">
        <f ca="1"/>
        <v>79.504999999999995</v>
      </c>
      <c r="N25">
        <f ca="1"/>
        <v>79.316000000000003</v>
      </c>
      <c r="O25" t="str">
        <f ca="1"/>
        <v>AT5788530</v>
      </c>
      <c r="P25" t="str">
        <f ca="1"/>
        <v>JP1201651J76</v>
      </c>
      <c r="Q25" t="str">
        <f ca="1"/>
        <v>A+</v>
      </c>
      <c r="R25">
        <f ca="1"/>
        <v>43293</v>
      </c>
      <c r="S25">
        <f ca="1"/>
        <v>46193</v>
      </c>
      <c r="T25" s="45">
        <f ca="1"/>
        <v>12.224503764544833</v>
      </c>
      <c r="U25">
        <f ca="1"/>
        <v>79.410499999999999</v>
      </c>
      <c r="V25">
        <f ca="1"/>
        <v>23</v>
      </c>
      <c r="W25">
        <f ca="1"/>
        <v>12</v>
      </c>
      <c r="X25">
        <f ca="1"/>
        <v>8</v>
      </c>
      <c r="Y25">
        <f ca="1"/>
        <v>0.27472527472527475</v>
      </c>
      <c r="Z25">
        <f ca="1"/>
        <v>79.135774725274729</v>
      </c>
      <c r="AA25">
        <f ca="1"/>
        <v>2.7419999999996283</v>
      </c>
    </row>
    <row r="26" spans="1:27" x14ac:dyDescent="0.4">
      <c r="A26">
        <v>29</v>
      </c>
      <c r="B26" t="str" cm="1">
        <f t="array" aca="1" ref="B26:AA26" ca="1">_xlfn.XLOOKUP(A26,SORT!$U$2:$U$327,_xlfn.ANCHORARRAY(SORT!$A$2),,0)</f>
        <v>AW892884 Corp</v>
      </c>
      <c r="C26" t="str">
        <f ca="1"/>
        <v>Japan Government Twenty Year Bond</v>
      </c>
      <c r="D26" t="str">
        <f ca="1"/>
        <v>JGB</v>
      </c>
      <c r="E26" t="str">
        <f ca="1"/>
        <v>JP</v>
      </c>
      <c r="F26" t="str">
        <f ca="1"/>
        <v>JPY</v>
      </c>
      <c r="G26" t="str">
        <f ca="1"/>
        <v>20/12/2038</v>
      </c>
      <c r="H26" t="str">
        <f ca="1"/>
        <v>FIXED</v>
      </c>
      <c r="I26">
        <f ca="1"/>
        <v>2</v>
      </c>
      <c r="J26">
        <f ca="1"/>
        <v>0.5</v>
      </c>
      <c r="K26">
        <f ca="1"/>
        <v>2.811999999999228</v>
      </c>
      <c r="L26">
        <f ca="1"/>
        <v>2.8369999999991373</v>
      </c>
      <c r="M26">
        <f ca="1"/>
        <v>78.269000000000005</v>
      </c>
      <c r="N26">
        <f ca="1"/>
        <v>78.085999999999999</v>
      </c>
      <c r="O26" t="str">
        <f ca="1"/>
        <v>AW8928847</v>
      </c>
      <c r="P26" t="str">
        <f ca="1"/>
        <v>JP1201671K12</v>
      </c>
      <c r="Q26" t="str">
        <f ca="1"/>
        <v>A+</v>
      </c>
      <c r="R26">
        <f ca="1"/>
        <v>43489</v>
      </c>
      <c r="S26">
        <f ca="1"/>
        <v>46193</v>
      </c>
      <c r="T26" s="45">
        <f ca="1"/>
        <v>12.725530458590006</v>
      </c>
      <c r="U26">
        <f ca="1"/>
        <v>78.177500000000009</v>
      </c>
      <c r="V26">
        <f ca="1"/>
        <v>29</v>
      </c>
      <c r="W26">
        <f ca="1"/>
        <v>12.5</v>
      </c>
      <c r="X26">
        <f ca="1"/>
        <v>7</v>
      </c>
      <c r="Y26">
        <f ca="1"/>
        <v>0.27472527472527475</v>
      </c>
      <c r="Z26">
        <f ca="1"/>
        <v>77.902774725274739</v>
      </c>
      <c r="AA26">
        <f ca="1"/>
        <v>2.8244999999991824</v>
      </c>
    </row>
    <row r="27" spans="1:27" x14ac:dyDescent="0.4">
      <c r="A27">
        <v>33</v>
      </c>
      <c r="B27" t="str" cm="1">
        <f t="array" aca="1" ref="B27:AA27" ca="1">_xlfn.XLOOKUP(A27,SORT!$U$2:$U$327,_xlfn.ANCHORARRAY(SORT!$A$2),,0)</f>
        <v>AZ694472 Corp</v>
      </c>
      <c r="C27" t="str">
        <f ca="1"/>
        <v>Japan Government Twenty Year Bond</v>
      </c>
      <c r="D27" t="str">
        <f ca="1"/>
        <v>JGB</v>
      </c>
      <c r="E27" t="str">
        <f ca="1"/>
        <v>JP</v>
      </c>
      <c r="F27" t="str">
        <f ca="1"/>
        <v>JPY</v>
      </c>
      <c r="G27" t="str">
        <f ca="1"/>
        <v>20/06/2039</v>
      </c>
      <c r="H27" t="str">
        <f ca="1"/>
        <v>FIXED</v>
      </c>
      <c r="I27">
        <f ca="1"/>
        <v>2</v>
      </c>
      <c r="J27">
        <f ca="1"/>
        <v>0.3</v>
      </c>
      <c r="K27">
        <f ca="1"/>
        <v>2.9409999999920133</v>
      </c>
      <c r="L27">
        <f ca="1"/>
        <v>2.965999999991189</v>
      </c>
      <c r="M27">
        <f ca="1"/>
        <v>74.786000000000001</v>
      </c>
      <c r="N27">
        <f ca="1"/>
        <v>74.608000000000004</v>
      </c>
      <c r="O27" t="str">
        <f ca="1"/>
        <v>AZ6944724</v>
      </c>
      <c r="P27" t="str">
        <f ca="1"/>
        <v>JP1201691K75</v>
      </c>
      <c r="Q27" t="str">
        <f ca="1"/>
        <v>A+</v>
      </c>
      <c r="R27">
        <f ca="1"/>
        <v>43663</v>
      </c>
      <c r="S27">
        <f ca="1"/>
        <v>46193</v>
      </c>
      <c r="T27" s="45">
        <f ca="1"/>
        <v>13.223819301848049</v>
      </c>
      <c r="U27">
        <f ca="1"/>
        <v>74.697000000000003</v>
      </c>
      <c r="V27">
        <f ca="1"/>
        <v>33</v>
      </c>
      <c r="W27">
        <f ca="1"/>
        <v>13</v>
      </c>
      <c r="X27">
        <f ca="1"/>
        <v>7</v>
      </c>
      <c r="Y27">
        <f ca="1"/>
        <v>0.16483516483516483</v>
      </c>
      <c r="Z27">
        <f ca="1"/>
        <v>74.532164835164835</v>
      </c>
      <c r="AA27">
        <f ca="1"/>
        <v>2.9534999999916014</v>
      </c>
    </row>
    <row r="28" spans="1:27" x14ac:dyDescent="0.4">
      <c r="A28">
        <v>320</v>
      </c>
      <c r="B28" t="str" cm="1">
        <f t="array" aca="1" ref="B28:AA28" ca="1">_xlfn.XLOOKUP(A28,SORT!$U$2:$U$327,_xlfn.ANCHORARRAY(SORT!$A$2),,0)</f>
        <v>ZP562354 Corp</v>
      </c>
      <c r="C28" t="str">
        <f ca="1"/>
        <v>Japan Government Twenty Year Bond</v>
      </c>
      <c r="D28" t="str">
        <f ca="1"/>
        <v>JGB</v>
      </c>
      <c r="E28" t="str">
        <f ca="1"/>
        <v>JP</v>
      </c>
      <c r="F28" t="str">
        <f ca="1"/>
        <v>JPY</v>
      </c>
      <c r="G28" t="str">
        <f ca="1"/>
        <v>20/12/2039</v>
      </c>
      <c r="H28" t="str">
        <f ca="1"/>
        <v>FIXED</v>
      </c>
      <c r="I28">
        <f ca="1"/>
        <v>2</v>
      </c>
      <c r="J28">
        <f ca="1"/>
        <v>0.3</v>
      </c>
      <c r="K28">
        <f ca="1"/>
        <v>3.0269999999836164</v>
      </c>
      <c r="L28">
        <f ca="1"/>
        <v>3.0529999999819166</v>
      </c>
      <c r="M28">
        <f ca="1"/>
        <v>73.489000000000004</v>
      </c>
      <c r="N28">
        <f ca="1"/>
        <v>73.302999999999997</v>
      </c>
      <c r="O28" t="str">
        <f ca="1"/>
        <v>ZP5623548</v>
      </c>
      <c r="P28" t="str">
        <f ca="1"/>
        <v>JP1201711L13</v>
      </c>
      <c r="Q28" t="str">
        <f ca="1"/>
        <v>A+</v>
      </c>
      <c r="R28">
        <f ca="1"/>
        <v>43840</v>
      </c>
      <c r="S28">
        <f ca="1"/>
        <v>46193</v>
      </c>
      <c r="T28" s="45">
        <f ca="1"/>
        <v>13.724845995893224</v>
      </c>
      <c r="U28">
        <f ca="1"/>
        <v>73.396000000000001</v>
      </c>
      <c r="V28">
        <f ca="1"/>
        <v>320</v>
      </c>
      <c r="W28">
        <f ca="1"/>
        <v>13.5</v>
      </c>
      <c r="X28">
        <f ca="1"/>
        <v>6</v>
      </c>
      <c r="Y28">
        <f ca="1"/>
        <v>0.16483516483516483</v>
      </c>
      <c r="Z28">
        <f ca="1"/>
        <v>73.231164835164833</v>
      </c>
      <c r="AA28">
        <f ca="1"/>
        <v>3.0399999999827667</v>
      </c>
    </row>
    <row r="29" spans="1:27" x14ac:dyDescent="0.4">
      <c r="A29">
        <v>40</v>
      </c>
      <c r="B29" t="str" cm="1">
        <f t="array" aca="1" ref="B29:AA29" ca="1">_xlfn.XLOOKUP(A29,SORT!$U$2:$U$327,_xlfn.ANCHORARRAY(SORT!$A$2),,0)</f>
        <v>BK594564 Corp</v>
      </c>
      <c r="C29" t="str">
        <f ca="1"/>
        <v>Japan Government Twenty Year Bond</v>
      </c>
      <c r="D29" t="str">
        <f ca="1"/>
        <v>JGB</v>
      </c>
      <c r="E29" t="str">
        <f ca="1"/>
        <v>JP</v>
      </c>
      <c r="F29" t="str">
        <f ca="1"/>
        <v>JPY</v>
      </c>
      <c r="G29" t="str">
        <f ca="1"/>
        <v>20/06/2040</v>
      </c>
      <c r="H29" t="str">
        <f ca="1"/>
        <v>FIXED</v>
      </c>
      <c r="I29">
        <f ca="1"/>
        <v>2</v>
      </c>
      <c r="J29">
        <f ca="1"/>
        <v>0.4</v>
      </c>
      <c r="K29">
        <f ca="1"/>
        <v>3.0809999999853628</v>
      </c>
      <c r="L29">
        <f ca="1"/>
        <v>3.1049999999839488</v>
      </c>
      <c r="M29">
        <f ca="1"/>
        <v>73.42</v>
      </c>
      <c r="N29">
        <f ca="1"/>
        <v>73.245999999999995</v>
      </c>
      <c r="O29" t="str">
        <f ca="1"/>
        <v>BK5945641</v>
      </c>
      <c r="P29" t="str">
        <f ca="1"/>
        <v>JP1201731L76</v>
      </c>
      <c r="Q29" t="str">
        <f ca="1"/>
        <v>A+</v>
      </c>
      <c r="R29">
        <f ca="1"/>
        <v>44026</v>
      </c>
      <c r="S29">
        <f ca="1"/>
        <v>46193</v>
      </c>
      <c r="T29" s="45">
        <f ca="1"/>
        <v>14.225872689938399</v>
      </c>
      <c r="U29">
        <f ca="1"/>
        <v>73.332999999999998</v>
      </c>
      <c r="V29">
        <f ca="1"/>
        <v>40</v>
      </c>
      <c r="W29">
        <f ca="1"/>
        <v>14</v>
      </c>
      <c r="X29">
        <f ca="1"/>
        <v>6</v>
      </c>
      <c r="Y29">
        <f ca="1"/>
        <v>0.2197802197802198</v>
      </c>
      <c r="Z29">
        <f ca="1"/>
        <v>73.113219780219779</v>
      </c>
      <c r="AA29">
        <f ca="1"/>
        <v>3.0929999999846558</v>
      </c>
    </row>
    <row r="30" spans="1:27" x14ac:dyDescent="0.4">
      <c r="A30">
        <v>44</v>
      </c>
      <c r="B30" t="str" cm="1">
        <f t="array" aca="1" ref="B30:AA30" ca="1">_xlfn.XLOOKUP(A30,SORT!$U$2:$U$327,_xlfn.ANCHORARRAY(SORT!$A$2),,0)</f>
        <v>BN612844 Corp</v>
      </c>
      <c r="C30" t="str">
        <f ca="1"/>
        <v>Japan Government Twenty Year Bond</v>
      </c>
      <c r="D30" t="str">
        <f ca="1"/>
        <v>JGB</v>
      </c>
      <c r="E30" t="str">
        <f ca="1"/>
        <v>JP</v>
      </c>
      <c r="F30" t="str">
        <f ca="1"/>
        <v>JPY</v>
      </c>
      <c r="G30" t="str">
        <f ca="1"/>
        <v>20/12/2040</v>
      </c>
      <c r="H30" t="str">
        <f ca="1"/>
        <v>FIXED</v>
      </c>
      <c r="I30">
        <f ca="1"/>
        <v>2</v>
      </c>
      <c r="J30">
        <f ca="1"/>
        <v>0.5</v>
      </c>
      <c r="K30">
        <f ca="1"/>
        <v>3.1339999999873869</v>
      </c>
      <c r="L30">
        <f ca="1"/>
        <v>3.1589999999860976</v>
      </c>
      <c r="M30">
        <f ca="1"/>
        <v>73.399000000000001</v>
      </c>
      <c r="N30">
        <f ca="1"/>
        <v>73.213999999999999</v>
      </c>
      <c r="O30" t="str">
        <f ca="1"/>
        <v>BN6128449</v>
      </c>
      <c r="P30" t="str">
        <f ca="1"/>
        <v>JP1201751M13</v>
      </c>
      <c r="Q30" t="str">
        <f ca="1"/>
        <v>NR</v>
      </c>
      <c r="R30">
        <f ca="1"/>
        <v>44208</v>
      </c>
      <c r="S30">
        <f ca="1"/>
        <v>46193</v>
      </c>
      <c r="T30" s="45">
        <f ca="1"/>
        <v>14.726899383983573</v>
      </c>
      <c r="U30">
        <f ca="1"/>
        <v>73.3065</v>
      </c>
      <c r="V30">
        <f ca="1"/>
        <v>44</v>
      </c>
      <c r="W30">
        <f ca="1"/>
        <v>14.5</v>
      </c>
      <c r="X30">
        <f ca="1"/>
        <v>5</v>
      </c>
      <c r="Y30">
        <f ca="1"/>
        <v>0.27472527472527475</v>
      </c>
      <c r="Z30">
        <f ca="1"/>
        <v>73.03177472527473</v>
      </c>
      <c r="AA30">
        <f ca="1"/>
        <v>3.1464999999867422</v>
      </c>
    </row>
    <row r="31" spans="1:27" x14ac:dyDescent="0.4">
      <c r="A31">
        <v>53</v>
      </c>
      <c r="B31" t="str" cm="1">
        <f t="array" aca="1" ref="B31:AA31" ca="1">_xlfn.XLOOKUP(A31,SORT!$U$2:$U$327,_xlfn.ANCHORARRAY(SORT!$A$2),,0)</f>
        <v>BQ516777 Corp</v>
      </c>
      <c r="C31" t="str">
        <f ca="1"/>
        <v>Japan Government Twenty Year Bond</v>
      </c>
      <c r="D31" t="str">
        <f ca="1"/>
        <v>JGB</v>
      </c>
      <c r="E31" t="str">
        <f ca="1"/>
        <v>JP</v>
      </c>
      <c r="F31" t="str">
        <f ca="1"/>
        <v>JPY</v>
      </c>
      <c r="G31" t="str">
        <f ca="1"/>
        <v>20/06/2041</v>
      </c>
      <c r="H31" t="str">
        <f ca="1"/>
        <v>FIXED</v>
      </c>
      <c r="I31">
        <f ca="1"/>
        <v>2</v>
      </c>
      <c r="J31">
        <f ca="1"/>
        <v>0.4</v>
      </c>
      <c r="K31">
        <f ca="1"/>
        <v>3.2449999999473009</v>
      </c>
      <c r="L31">
        <f ca="1"/>
        <v>3.2689999999425496</v>
      </c>
      <c r="M31">
        <f ca="1"/>
        <v>70.944999999999993</v>
      </c>
      <c r="N31">
        <f ca="1"/>
        <v>70.772000000000006</v>
      </c>
      <c r="O31" t="str">
        <f ca="1"/>
        <v>BQ5167771</v>
      </c>
      <c r="P31" t="str">
        <f ca="1"/>
        <v>JP1201771M76</v>
      </c>
      <c r="Q31" t="str">
        <f ca="1"/>
        <v>NR</v>
      </c>
      <c r="R31">
        <f ca="1"/>
        <v>44383</v>
      </c>
      <c r="S31">
        <f ca="1"/>
        <v>46193</v>
      </c>
      <c r="T31" s="45">
        <f ca="1"/>
        <v>15.225188227241615</v>
      </c>
      <c r="U31">
        <f ca="1"/>
        <v>70.858499999999992</v>
      </c>
      <c r="V31">
        <f ca="1"/>
        <v>53</v>
      </c>
      <c r="W31">
        <f ca="1"/>
        <v>15</v>
      </c>
      <c r="X31">
        <f ca="1"/>
        <v>5</v>
      </c>
      <c r="Y31">
        <f ca="1"/>
        <v>0.2197802197802198</v>
      </c>
      <c r="Z31">
        <f ca="1"/>
        <v>70.638719780219773</v>
      </c>
      <c r="AA31">
        <f ca="1"/>
        <v>3.2569999999449255</v>
      </c>
    </row>
    <row r="32" spans="1:27" x14ac:dyDescent="0.4">
      <c r="A32">
        <v>61</v>
      </c>
      <c r="B32" t="str" cm="1">
        <f t="array" aca="1" ref="B32:AA32" ca="1">_xlfn.XLOOKUP(A32,SORT!$U$2:$U$327,_xlfn.ANCHORARRAY(SORT!$A$2),,0)</f>
        <v>BT530456 Corp</v>
      </c>
      <c r="C32" t="str">
        <f ca="1"/>
        <v>Japan Government Twenty Year Bond</v>
      </c>
      <c r="D32" t="str">
        <f ca="1"/>
        <v>JGB</v>
      </c>
      <c r="E32" t="str">
        <f ca="1"/>
        <v>JP</v>
      </c>
      <c r="F32" t="str">
        <f ca="1"/>
        <v>JPY</v>
      </c>
      <c r="G32" t="str">
        <f ca="1"/>
        <v>20/12/2041</v>
      </c>
      <c r="H32" t="str">
        <f ca="1"/>
        <v>FIXED</v>
      </c>
      <c r="I32">
        <f ca="1"/>
        <v>2</v>
      </c>
      <c r="J32">
        <f ca="1"/>
        <v>0.5</v>
      </c>
      <c r="K32">
        <f ca="1"/>
        <v>3.2939999999568705</v>
      </c>
      <c r="L32">
        <f ca="1"/>
        <v>3.318999999952756</v>
      </c>
      <c r="M32">
        <f ca="1"/>
        <v>70.995000000000005</v>
      </c>
      <c r="N32">
        <f ca="1"/>
        <v>70.811000000000007</v>
      </c>
      <c r="O32" t="str">
        <f ca="1"/>
        <v>BT5304568</v>
      </c>
      <c r="P32" t="str">
        <f ca="1"/>
        <v>JP1201791N14</v>
      </c>
      <c r="Q32" t="str">
        <f ca="1"/>
        <v>NR</v>
      </c>
      <c r="R32">
        <f ca="1"/>
        <v>44568</v>
      </c>
      <c r="S32">
        <f ca="1"/>
        <v>46193</v>
      </c>
      <c r="T32" s="45">
        <f ca="1"/>
        <v>15.72621492128679</v>
      </c>
      <c r="U32">
        <f ca="1"/>
        <v>70.903000000000006</v>
      </c>
      <c r="V32">
        <f ca="1"/>
        <v>61</v>
      </c>
      <c r="W32">
        <f ca="1"/>
        <v>15.5</v>
      </c>
      <c r="X32">
        <f ca="1"/>
        <v>4</v>
      </c>
      <c r="Y32">
        <f ca="1"/>
        <v>0.27472527472527475</v>
      </c>
      <c r="Z32">
        <f ca="1"/>
        <v>70.628274725274736</v>
      </c>
      <c r="AA32">
        <f ca="1"/>
        <v>3.3064999999548133</v>
      </c>
    </row>
    <row r="33" spans="1:27" x14ac:dyDescent="0.4">
      <c r="A33">
        <v>71</v>
      </c>
      <c r="B33" t="str" cm="1">
        <f t="array" aca="1" ref="B33:AA33" ca="1">_xlfn.XLOOKUP(A33,SORT!$U$2:$U$327,_xlfn.ANCHORARRAY(SORT!$A$2),,0)</f>
        <v>BX863121 Corp</v>
      </c>
      <c r="C33" t="str">
        <f ca="1"/>
        <v>Japan Government Twenty Year Bond</v>
      </c>
      <c r="D33" t="str">
        <f ca="1"/>
        <v>JGB</v>
      </c>
      <c r="E33" t="str">
        <f ca="1"/>
        <v>JP</v>
      </c>
      <c r="F33" t="str">
        <f ca="1"/>
        <v>JPY</v>
      </c>
      <c r="G33" t="str">
        <f ca="1"/>
        <v>20/06/2042</v>
      </c>
      <c r="H33" t="str">
        <f ca="1"/>
        <v>FIXED</v>
      </c>
      <c r="I33">
        <f ca="1"/>
        <v>2</v>
      </c>
      <c r="J33">
        <f ca="1"/>
        <v>0.9</v>
      </c>
      <c r="K33">
        <f ca="1"/>
        <v>3.2309999999975059</v>
      </c>
      <c r="L33">
        <f ca="1"/>
        <v>3.2559999999972229</v>
      </c>
      <c r="M33">
        <f ca="1"/>
        <v>75.138000000000005</v>
      </c>
      <c r="N33">
        <f ca="1"/>
        <v>74.938000000000002</v>
      </c>
      <c r="O33" t="str">
        <f ca="1"/>
        <v>BX8631216</v>
      </c>
      <c r="P33" t="str">
        <f ca="1"/>
        <v>JP1201811N77</v>
      </c>
      <c r="Q33" t="str">
        <f ca="1"/>
        <v>A+</v>
      </c>
      <c r="R33">
        <f ca="1"/>
        <v>44749</v>
      </c>
      <c r="S33">
        <f ca="1"/>
        <v>46193</v>
      </c>
      <c r="T33" s="45">
        <f ca="1"/>
        <v>16.224503764544831</v>
      </c>
      <c r="U33">
        <f ca="1"/>
        <v>75.038000000000011</v>
      </c>
      <c r="V33">
        <f ca="1"/>
        <v>71</v>
      </c>
      <c r="W33">
        <f ca="1"/>
        <v>16</v>
      </c>
      <c r="X33">
        <f ca="1"/>
        <v>4</v>
      </c>
      <c r="Y33">
        <f ca="1"/>
        <v>0.49450549450549458</v>
      </c>
      <c r="Z33">
        <f ca="1"/>
        <v>74.543494505494522</v>
      </c>
      <c r="AA33">
        <f ca="1"/>
        <v>3.2434999999973644</v>
      </c>
    </row>
    <row r="34" spans="1:27" x14ac:dyDescent="0.4">
      <c r="A34">
        <v>315</v>
      </c>
      <c r="B34" t="str" cm="1">
        <f t="array" aca="1" ref="B34:AA34" ca="1">_xlfn.XLOOKUP(A34,SORT!$U$2:$U$327,_xlfn.ANCHORARRAY(SORT!$A$2),,0)</f>
        <v>ZM541259 Corp</v>
      </c>
      <c r="C34" t="str">
        <f ca="1"/>
        <v>Japan Government Twenty Year Bond</v>
      </c>
      <c r="D34" t="str">
        <f ca="1"/>
        <v>JGB</v>
      </c>
      <c r="E34" t="str">
        <f ca="1"/>
        <v>JP</v>
      </c>
      <c r="F34" t="str">
        <f ca="1"/>
        <v>JPY</v>
      </c>
      <c r="G34" t="str">
        <f ca="1"/>
        <v>20/12/2042</v>
      </c>
      <c r="H34" t="str">
        <f ca="1"/>
        <v>FIXED</v>
      </c>
      <c r="I34">
        <f ca="1"/>
        <v>2</v>
      </c>
      <c r="J34">
        <f ca="1"/>
        <v>1.4</v>
      </c>
      <c r="K34">
        <f ca="1"/>
        <v>3.1589999999999576</v>
      </c>
      <c r="L34">
        <f ca="1"/>
        <v>3.1829999999999532</v>
      </c>
      <c r="M34">
        <f ca="1"/>
        <v>80.712000000000003</v>
      </c>
      <c r="N34">
        <f ca="1"/>
        <v>80.501000000000005</v>
      </c>
      <c r="O34" t="str">
        <f ca="1"/>
        <v>ZM5412592</v>
      </c>
      <c r="P34" t="str">
        <f ca="1"/>
        <v>JP1201831P14</v>
      </c>
      <c r="Q34" t="str">
        <f ca="1"/>
        <v>A+</v>
      </c>
      <c r="R34">
        <f ca="1"/>
        <v>44938</v>
      </c>
      <c r="S34">
        <f ca="1"/>
        <v>46193</v>
      </c>
      <c r="T34" s="45">
        <f ca="1"/>
        <v>16.725530458590008</v>
      </c>
      <c r="U34">
        <f ca="1"/>
        <v>80.606500000000011</v>
      </c>
      <c r="V34">
        <f ca="1"/>
        <v>315</v>
      </c>
      <c r="W34">
        <f ca="1"/>
        <v>16.5</v>
      </c>
      <c r="X34">
        <f ca="1"/>
        <v>3</v>
      </c>
      <c r="Y34">
        <f ca="1"/>
        <v>0.76923076923076927</v>
      </c>
      <c r="Z34">
        <f ca="1"/>
        <v>79.837269230769238</v>
      </c>
      <c r="AA34">
        <f ca="1"/>
        <v>3.1709999999999554</v>
      </c>
    </row>
    <row r="35" spans="1:27" x14ac:dyDescent="0.4">
      <c r="A35">
        <v>186</v>
      </c>
      <c r="B35" t="str" cm="1">
        <f t="array" aca="1" ref="B35:AA35" ca="1">_xlfn.XLOOKUP(A35,SORT!$U$2:$U$327,_xlfn.ANCHORARRAY(SORT!$A$2),,0)</f>
        <v>EJ709977 Corp</v>
      </c>
      <c r="C35" t="str">
        <f ca="1"/>
        <v>Japan Government Thirty Year Bond</v>
      </c>
      <c r="D35" t="str">
        <f ca="1"/>
        <v>JGB</v>
      </c>
      <c r="E35" t="str">
        <f ca="1"/>
        <v>JP</v>
      </c>
      <c r="F35" t="str">
        <f ca="1"/>
        <v>JPY</v>
      </c>
      <c r="G35" t="str">
        <f ca="1"/>
        <v>20/06/2043</v>
      </c>
      <c r="H35" t="str">
        <f ca="1"/>
        <v>FIXED</v>
      </c>
      <c r="I35">
        <f ca="1"/>
        <v>2</v>
      </c>
      <c r="J35">
        <f ca="1"/>
        <v>1.9</v>
      </c>
      <c r="K35">
        <f ca="1"/>
        <v>3.0710000000000011</v>
      </c>
      <c r="L35">
        <f ca="1"/>
        <v>3.0980000000000008</v>
      </c>
      <c r="M35">
        <f ca="1"/>
        <v>86.783000000000001</v>
      </c>
      <c r="N35">
        <f ca="1"/>
        <v>86.519000000000005</v>
      </c>
      <c r="O35" t="str">
        <f ca="1"/>
        <v>EJ7099777</v>
      </c>
      <c r="P35" t="str">
        <f ca="1"/>
        <v>JP1300391D69</v>
      </c>
      <c r="Q35" t="str">
        <f ca="1"/>
        <v>A+</v>
      </c>
      <c r="R35">
        <f ca="1"/>
        <v>41431</v>
      </c>
      <c r="S35">
        <f ca="1"/>
        <v>46193</v>
      </c>
      <c r="T35" s="45">
        <f ca="1"/>
        <v>17.223819301848049</v>
      </c>
      <c r="U35">
        <f ca="1"/>
        <v>86.65100000000001</v>
      </c>
      <c r="V35">
        <f ca="1"/>
        <v>186</v>
      </c>
      <c r="W35">
        <f ca="1"/>
        <v>17</v>
      </c>
      <c r="X35">
        <f ca="1"/>
        <v>13</v>
      </c>
      <c r="Y35">
        <f ca="1"/>
        <v>1.043956043956044</v>
      </c>
      <c r="Z35">
        <f ca="1"/>
        <v>85.607043956043967</v>
      </c>
      <c r="AA35">
        <f ca="1"/>
        <v>3.0845000000000011</v>
      </c>
    </row>
    <row r="36" spans="1:27" x14ac:dyDescent="0.4">
      <c r="A36">
        <v>190</v>
      </c>
      <c r="B36" t="str" cm="1">
        <f t="array" aca="1" ref="B36:AA36" ca="1">_xlfn.XLOOKUP(A36,SORT!$U$2:$U$327,_xlfn.ANCHORARRAY(SORT!$A$2),,0)</f>
        <v>EJ983025 Corp</v>
      </c>
      <c r="C36" t="str">
        <f ca="1"/>
        <v>Japan Government Thirty Year Bond</v>
      </c>
      <c r="D36" t="str">
        <f ca="1"/>
        <v>JGB</v>
      </c>
      <c r="E36" t="str">
        <f ca="1"/>
        <v>JP</v>
      </c>
      <c r="F36" t="str">
        <f ca="1"/>
        <v>JPY</v>
      </c>
      <c r="G36" t="str">
        <f ca="1"/>
        <v>20/12/2043</v>
      </c>
      <c r="H36" t="str">
        <f ca="1"/>
        <v>FIXED</v>
      </c>
      <c r="I36">
        <f ca="1"/>
        <v>2</v>
      </c>
      <c r="J36">
        <f ca="1"/>
        <v>1.7</v>
      </c>
      <c r="K36">
        <f ca="1"/>
        <v>3.1779999999999964</v>
      </c>
      <c r="L36">
        <f ca="1"/>
        <v>3.2039999999999931</v>
      </c>
      <c r="M36">
        <f ca="1"/>
        <v>83.210999999999999</v>
      </c>
      <c r="N36">
        <f ca="1"/>
        <v>82.965999999999994</v>
      </c>
      <c r="O36" t="str">
        <f ca="1"/>
        <v>EJ9830252</v>
      </c>
      <c r="P36" t="str">
        <f ca="1"/>
        <v>JP1300411DC2</v>
      </c>
      <c r="Q36" t="str">
        <f ca="1"/>
        <v>A+</v>
      </c>
      <c r="R36">
        <f ca="1"/>
        <v>41618</v>
      </c>
      <c r="S36">
        <f ca="1"/>
        <v>46193</v>
      </c>
      <c r="T36" s="45">
        <f ca="1"/>
        <v>17.724845995893222</v>
      </c>
      <c r="U36">
        <f ca="1"/>
        <v>83.088499999999996</v>
      </c>
      <c r="V36">
        <f ca="1"/>
        <v>190</v>
      </c>
      <c r="W36">
        <f ca="1"/>
        <v>17.5</v>
      </c>
      <c r="X36">
        <f ca="1"/>
        <v>13</v>
      </c>
      <c r="Y36">
        <f ca="1"/>
        <v>0.93406593406593408</v>
      </c>
      <c r="Z36">
        <f ca="1"/>
        <v>82.154434065934069</v>
      </c>
      <c r="AA36">
        <f ca="1"/>
        <v>3.1909999999999945</v>
      </c>
    </row>
    <row r="37" spans="1:27" x14ac:dyDescent="0.4">
      <c r="A37">
        <v>195</v>
      </c>
      <c r="B37" t="str" cm="1">
        <f t="array" aca="1" ref="B37:AA37" ca="1">_xlfn.XLOOKUP(A37,SORT!$U$2:$U$327,_xlfn.ANCHORARRAY(SORT!$A$2),,0)</f>
        <v>EK317779 Corp</v>
      </c>
      <c r="C37" t="str">
        <f ca="1"/>
        <v>Japan Government Thirty Year Bond</v>
      </c>
      <c r="D37" t="str">
        <f ca="1"/>
        <v>JGB</v>
      </c>
      <c r="E37" t="str">
        <f ca="1"/>
        <v>JP</v>
      </c>
      <c r="F37" t="str">
        <f ca="1"/>
        <v>JPY</v>
      </c>
      <c r="G37" t="str">
        <f ca="1"/>
        <v>20/06/2044</v>
      </c>
      <c r="H37" t="str">
        <f ca="1"/>
        <v>FIXED</v>
      </c>
      <c r="I37">
        <f ca="1"/>
        <v>2</v>
      </c>
      <c r="J37">
        <f ca="1"/>
        <v>1.7</v>
      </c>
      <c r="K37">
        <f ca="1"/>
        <v>3.2309999999999941</v>
      </c>
      <c r="L37">
        <f ca="1"/>
        <v>3.2599999999999896</v>
      </c>
      <c r="M37">
        <f ca="1"/>
        <v>82.408000000000001</v>
      </c>
      <c r="N37">
        <f ca="1"/>
        <v>82.135000000000005</v>
      </c>
      <c r="O37" t="str">
        <f ca="1"/>
        <v>EK3177798</v>
      </c>
      <c r="P37" t="str">
        <f ca="1"/>
        <v>JP1300431E60</v>
      </c>
      <c r="Q37" t="str">
        <f ca="1"/>
        <v>A+</v>
      </c>
      <c r="R37">
        <f ca="1"/>
        <v>41795</v>
      </c>
      <c r="S37">
        <f ca="1"/>
        <v>46193</v>
      </c>
      <c r="T37" s="45">
        <f ca="1"/>
        <v>18.225872689938399</v>
      </c>
      <c r="U37">
        <f ca="1"/>
        <v>82.271500000000003</v>
      </c>
      <c r="V37">
        <f ca="1"/>
        <v>195</v>
      </c>
      <c r="W37">
        <f ca="1"/>
        <v>18</v>
      </c>
      <c r="X37">
        <f ca="1"/>
        <v>12</v>
      </c>
      <c r="Y37">
        <f ca="1"/>
        <v>0.93406593406593408</v>
      </c>
      <c r="Z37">
        <f ca="1"/>
        <v>81.337434065934076</v>
      </c>
      <c r="AA37">
        <f ca="1"/>
        <v>3.2454999999999918</v>
      </c>
    </row>
    <row r="38" spans="1:27" x14ac:dyDescent="0.4">
      <c r="A38">
        <v>199</v>
      </c>
      <c r="B38" t="str" cm="1">
        <f t="array" aca="1" ref="B38:AA38" ca="1">_xlfn.XLOOKUP(A38,SORT!$U$2:$U$327,_xlfn.ANCHORARRAY(SORT!$A$2),,0)</f>
        <v>EK650156 Corp</v>
      </c>
      <c r="C38" t="str">
        <f ca="1"/>
        <v>Japan Government Thirty Year Bond</v>
      </c>
      <c r="D38" t="str">
        <f ca="1"/>
        <v>JGB</v>
      </c>
      <c r="E38" t="str">
        <f ca="1"/>
        <v>JP</v>
      </c>
      <c r="F38" t="str">
        <f ca="1"/>
        <v>JPY</v>
      </c>
      <c r="G38" t="str">
        <f ca="1"/>
        <v>20/12/2044</v>
      </c>
      <c r="H38" t="str">
        <f ca="1"/>
        <v>FIXED</v>
      </c>
      <c r="I38">
        <f ca="1"/>
        <v>2</v>
      </c>
      <c r="J38">
        <f ca="1"/>
        <v>1.5</v>
      </c>
      <c r="K38">
        <f ca="1"/>
        <v>3.3429999999998983</v>
      </c>
      <c r="L38">
        <f ca="1"/>
        <v>3.3679999999998835</v>
      </c>
      <c r="M38">
        <f ca="1"/>
        <v>78.739999999999995</v>
      </c>
      <c r="N38">
        <f ca="1"/>
        <v>78.513999999999996</v>
      </c>
      <c r="O38" t="str">
        <f ca="1"/>
        <v>EK6501564</v>
      </c>
      <c r="P38" t="str">
        <f ca="1"/>
        <v>JP1300451EC6</v>
      </c>
      <c r="Q38" t="str">
        <f ca="1"/>
        <v>A+</v>
      </c>
      <c r="R38">
        <f ca="1"/>
        <v>41982</v>
      </c>
      <c r="S38">
        <f ca="1"/>
        <v>46193</v>
      </c>
      <c r="T38" s="45">
        <f ca="1"/>
        <v>18.726899383983572</v>
      </c>
      <c r="U38">
        <f ca="1"/>
        <v>78.626999999999995</v>
      </c>
      <c r="V38">
        <f ca="1"/>
        <v>199</v>
      </c>
      <c r="W38">
        <f ca="1"/>
        <v>18.5</v>
      </c>
      <c r="X38">
        <f ca="1"/>
        <v>12</v>
      </c>
      <c r="Y38">
        <f ca="1"/>
        <v>0.82417582417582425</v>
      </c>
      <c r="Z38">
        <f ca="1"/>
        <v>77.802824175824171</v>
      </c>
      <c r="AA38">
        <f ca="1"/>
        <v>3.3554999999998909</v>
      </c>
    </row>
    <row r="39" spans="1:27" x14ac:dyDescent="0.4">
      <c r="A39">
        <v>204</v>
      </c>
      <c r="B39" t="str" cm="1">
        <f t="array" aca="1" ref="B39:AA39" ca="1">_xlfn.XLOOKUP(A39,SORT!$U$2:$U$327,_xlfn.ANCHORARRAY(SORT!$A$2),,0)</f>
        <v>EK957539 Corp</v>
      </c>
      <c r="C39" t="str">
        <f ca="1"/>
        <v>Japan Government Thirty Year Bond</v>
      </c>
      <c r="D39" t="str">
        <f ca="1"/>
        <v>JGB</v>
      </c>
      <c r="E39" t="str">
        <f ca="1"/>
        <v>JP</v>
      </c>
      <c r="F39" t="str">
        <f ca="1"/>
        <v>JPY</v>
      </c>
      <c r="G39" t="str">
        <f ca="1"/>
        <v>20/06/2045</v>
      </c>
      <c r="H39" t="str">
        <f ca="1"/>
        <v>FIXED</v>
      </c>
      <c r="I39">
        <f ca="1"/>
        <v>2</v>
      </c>
      <c r="J39">
        <f ca="1"/>
        <v>1.6</v>
      </c>
      <c r="K39">
        <f ca="1"/>
        <v>3.3629999999999427</v>
      </c>
      <c r="L39">
        <f ca="1"/>
        <v>3.3899999999999357</v>
      </c>
      <c r="M39">
        <f ca="1"/>
        <v>79.382999999999996</v>
      </c>
      <c r="N39">
        <f ca="1"/>
        <v>79.132999999999996</v>
      </c>
      <c r="O39" t="str">
        <f ca="1"/>
        <v>EK9575391</v>
      </c>
      <c r="P39" t="str">
        <f ca="1"/>
        <v>JP1300471F60</v>
      </c>
      <c r="Q39" t="str">
        <f ca="1"/>
        <v>A+</v>
      </c>
      <c r="R39">
        <f ca="1"/>
        <v>42159</v>
      </c>
      <c r="S39">
        <f ca="1"/>
        <v>46193</v>
      </c>
      <c r="T39" s="45">
        <f ca="1"/>
        <v>19.225188227241617</v>
      </c>
      <c r="U39">
        <f ca="1"/>
        <v>79.257999999999996</v>
      </c>
      <c r="V39">
        <f ca="1"/>
        <v>204</v>
      </c>
      <c r="W39">
        <f ca="1"/>
        <v>19</v>
      </c>
      <c r="X39">
        <f ca="1"/>
        <v>11</v>
      </c>
      <c r="Y39">
        <f ca="1"/>
        <v>0.87912087912087922</v>
      </c>
      <c r="Z39">
        <f ca="1"/>
        <v>78.37887912087912</v>
      </c>
      <c r="AA39">
        <f ca="1"/>
        <v>3.3764999999999392</v>
      </c>
    </row>
    <row r="40" spans="1:27" x14ac:dyDescent="0.4">
      <c r="A40">
        <v>209</v>
      </c>
      <c r="B40" t="str" cm="1">
        <f t="array" aca="1" ref="B40:AA40" ca="1">_xlfn.XLOOKUP(A40,SORT!$U$2:$U$327,_xlfn.ANCHORARRAY(SORT!$A$2),,0)</f>
        <v>JV207518 Corp</v>
      </c>
      <c r="C40" t="str">
        <f ca="1"/>
        <v>Japan Government Thirty Year Bond</v>
      </c>
      <c r="D40" t="str">
        <f ca="1"/>
        <v>JGB</v>
      </c>
      <c r="E40" t="str">
        <f ca="1"/>
        <v>JP</v>
      </c>
      <c r="F40" t="str">
        <f ca="1"/>
        <v>JPY</v>
      </c>
      <c r="G40" t="str">
        <f ca="1"/>
        <v>20/12/2045</v>
      </c>
      <c r="H40" t="str">
        <f ca="1"/>
        <v>FIXED</v>
      </c>
      <c r="I40">
        <f ca="1"/>
        <v>2</v>
      </c>
      <c r="J40">
        <f ca="1"/>
        <v>1.4</v>
      </c>
      <c r="K40">
        <f ca="1"/>
        <v>3.4799999999993383</v>
      </c>
      <c r="L40">
        <f ca="1"/>
        <v>3.5079999999992468</v>
      </c>
      <c r="M40">
        <f ca="1"/>
        <v>75.634</v>
      </c>
      <c r="N40">
        <f ca="1"/>
        <v>75.387</v>
      </c>
      <c r="O40" t="str">
        <f ca="1"/>
        <v>JV2075184</v>
      </c>
      <c r="P40" t="str">
        <f ca="1"/>
        <v>JP1300491FC9</v>
      </c>
      <c r="Q40" t="str">
        <f ca="1"/>
        <v>A+</v>
      </c>
      <c r="R40">
        <f ca="1"/>
        <v>42346</v>
      </c>
      <c r="S40">
        <f ca="1"/>
        <v>46193</v>
      </c>
      <c r="T40" s="45">
        <f ca="1"/>
        <v>19.72621492128679</v>
      </c>
      <c r="U40">
        <f ca="1"/>
        <v>75.510500000000008</v>
      </c>
      <c r="V40">
        <f ca="1"/>
        <v>209</v>
      </c>
      <c r="W40">
        <f ca="1"/>
        <v>19.5</v>
      </c>
      <c r="X40">
        <f ca="1"/>
        <v>11</v>
      </c>
      <c r="Y40">
        <f ca="1"/>
        <v>0.76923076923076927</v>
      </c>
      <c r="Z40">
        <f ca="1"/>
        <v>74.741269230769234</v>
      </c>
      <c r="AA40">
        <f ca="1"/>
        <v>3.4939999999992928</v>
      </c>
    </row>
    <row r="41" spans="1:27" x14ac:dyDescent="0.4">
      <c r="A41">
        <v>213</v>
      </c>
      <c r="B41" t="str" cm="1">
        <f t="array" aca="1" ref="B41:AA41" ca="1">_xlfn.XLOOKUP(A41,SORT!$U$2:$U$327,_xlfn.ANCHORARRAY(SORT!$A$2),,0)</f>
        <v>LW361469 Corp</v>
      </c>
      <c r="C41" t="str">
        <f ca="1"/>
        <v>Japan Government Thirty Year Bond</v>
      </c>
      <c r="D41" t="str">
        <f ca="1"/>
        <v>JGB</v>
      </c>
      <c r="E41" t="str">
        <f ca="1"/>
        <v>JP</v>
      </c>
      <c r="F41" t="str">
        <f ca="1"/>
        <v>JPY</v>
      </c>
      <c r="G41" t="str">
        <f ca="1"/>
        <v>20/06/2046</v>
      </c>
      <c r="H41" t="str">
        <f ca="1"/>
        <v>FIXED</v>
      </c>
      <c r="I41">
        <f ca="1"/>
        <v>2</v>
      </c>
      <c r="J41">
        <f ca="1"/>
        <v>0.3</v>
      </c>
      <c r="K41">
        <f ca="1"/>
        <v>4.0339999999999367</v>
      </c>
      <c r="L41">
        <f ca="1"/>
        <v>4.0719999999999255</v>
      </c>
      <c r="M41">
        <f ca="1"/>
        <v>58.354999999999997</v>
      </c>
      <c r="N41">
        <f ca="1"/>
        <v>58.109000000000002</v>
      </c>
      <c r="O41" t="str">
        <f ca="1"/>
        <v>LW3614697</v>
      </c>
      <c r="P41" t="str">
        <f ca="1"/>
        <v>JP1300511G61</v>
      </c>
      <c r="Q41" t="str">
        <f ca="1"/>
        <v>A+</v>
      </c>
      <c r="R41">
        <f ca="1"/>
        <v>42528</v>
      </c>
      <c r="S41">
        <f ca="1"/>
        <v>46193</v>
      </c>
      <c r="T41" s="45">
        <f ca="1"/>
        <v>20.224503764544831</v>
      </c>
      <c r="U41">
        <f ca="1"/>
        <v>58.231999999999999</v>
      </c>
      <c r="V41">
        <f ca="1"/>
        <v>213</v>
      </c>
      <c r="W41">
        <f ca="1"/>
        <v>20</v>
      </c>
      <c r="X41">
        <f ca="1"/>
        <v>10</v>
      </c>
      <c r="Y41">
        <f ca="1"/>
        <v>0.16483516483516483</v>
      </c>
      <c r="Z41">
        <f ca="1"/>
        <v>58.067164835164832</v>
      </c>
      <c r="AA41">
        <f ca="1"/>
        <v>4.0529999999999315</v>
      </c>
    </row>
    <row r="42" spans="1:27" x14ac:dyDescent="0.4">
      <c r="A42">
        <v>2</v>
      </c>
      <c r="B42" t="str" cm="1">
        <f t="array" aca="1" ref="B42:AA42" ca="1">_xlfn.XLOOKUP(A42,SORT!$U$2:$U$327,_xlfn.ANCHORARRAY(SORT!$A$2),,0)</f>
        <v>AL662876 Corp</v>
      </c>
      <c r="C42" t="str">
        <f ca="1"/>
        <v>Japan Government Thirty Year Bond</v>
      </c>
      <c r="D42" t="str">
        <f ca="1"/>
        <v>JGB</v>
      </c>
      <c r="E42" t="str">
        <f ca="1"/>
        <v>JP</v>
      </c>
      <c r="F42" t="str">
        <f ca="1"/>
        <v>JPY</v>
      </c>
      <c r="G42" t="str">
        <f ca="1"/>
        <v>20/12/2046</v>
      </c>
      <c r="H42" t="str">
        <f ca="1"/>
        <v>FIXED</v>
      </c>
      <c r="I42">
        <f ca="1"/>
        <v>2</v>
      </c>
      <c r="J42">
        <f ca="1"/>
        <v>0.6</v>
      </c>
      <c r="K42">
        <f ca="1"/>
        <v>3.9399999999999977</v>
      </c>
      <c r="L42">
        <f ca="1"/>
        <v>3.9749999999999974</v>
      </c>
      <c r="M42">
        <f ca="1"/>
        <v>61.843000000000004</v>
      </c>
      <c r="N42">
        <f ca="1"/>
        <v>61.597000000000001</v>
      </c>
      <c r="O42" t="str">
        <f ca="1"/>
        <v>AL6628765</v>
      </c>
      <c r="P42" t="str">
        <f ca="1"/>
        <v>JP1300531GC0</v>
      </c>
      <c r="Q42" t="str">
        <f ca="1"/>
        <v>A+</v>
      </c>
      <c r="R42">
        <f ca="1"/>
        <v>42712</v>
      </c>
      <c r="S42">
        <f ca="1"/>
        <v>46193</v>
      </c>
      <c r="T42" s="45">
        <f ca="1"/>
        <v>20.725530458590008</v>
      </c>
      <c r="U42">
        <f ca="1"/>
        <v>61.72</v>
      </c>
      <c r="V42">
        <f ca="1"/>
        <v>2</v>
      </c>
      <c r="W42">
        <f ca="1"/>
        <v>20.5</v>
      </c>
      <c r="X42">
        <f ca="1"/>
        <v>10</v>
      </c>
      <c r="Y42">
        <f ca="1"/>
        <v>0.32967032967032966</v>
      </c>
      <c r="Z42">
        <f ca="1"/>
        <v>61.39032967032967</v>
      </c>
      <c r="AA42">
        <f ca="1"/>
        <v>3.9574999999999978</v>
      </c>
    </row>
    <row r="43" spans="1:27" x14ac:dyDescent="0.4">
      <c r="A43">
        <v>9</v>
      </c>
      <c r="B43" t="str" cm="1">
        <f t="array" aca="1" ref="B43:AA43" ca="1">_xlfn.XLOOKUP(A43,SORT!$U$2:$U$327,_xlfn.ANCHORARRAY(SORT!$A$2),,0)</f>
        <v>AN861997 Corp</v>
      </c>
      <c r="C43" t="str">
        <f ca="1"/>
        <v>Japan Government Thirty Year Bond</v>
      </c>
      <c r="D43" t="str">
        <f ca="1"/>
        <v>JGB</v>
      </c>
      <c r="E43" t="str">
        <f ca="1"/>
        <v>JP</v>
      </c>
      <c r="F43" t="str">
        <f ca="1"/>
        <v>JPY</v>
      </c>
      <c r="G43" t="str">
        <f ca="1"/>
        <v>20/06/2047</v>
      </c>
      <c r="H43" t="str">
        <f ca="1"/>
        <v>FIXED</v>
      </c>
      <c r="I43">
        <f ca="1"/>
        <v>2</v>
      </c>
      <c r="J43">
        <f ca="1"/>
        <v>0.8</v>
      </c>
      <c r="K43">
        <f ca="1"/>
        <v>3.8949999999999991</v>
      </c>
      <c r="L43">
        <f ca="1"/>
        <v>3.9339999999999997</v>
      </c>
      <c r="M43">
        <f ca="1"/>
        <v>63.993000000000002</v>
      </c>
      <c r="N43">
        <f ca="1"/>
        <v>63.704000000000001</v>
      </c>
      <c r="O43" t="str">
        <f ca="1"/>
        <v>AN8619974</v>
      </c>
      <c r="P43" t="str">
        <f ca="1"/>
        <v>JP1300551H61</v>
      </c>
      <c r="Q43" t="str">
        <f ca="1"/>
        <v>A+</v>
      </c>
      <c r="R43">
        <f ca="1"/>
        <v>42892</v>
      </c>
      <c r="S43">
        <f ca="1"/>
        <v>46193</v>
      </c>
      <c r="T43" s="45">
        <f ca="1"/>
        <v>21.223819301848049</v>
      </c>
      <c r="U43">
        <f ca="1"/>
        <v>63.848500000000001</v>
      </c>
      <c r="V43">
        <f ca="1"/>
        <v>9</v>
      </c>
      <c r="W43">
        <f ca="1"/>
        <v>21</v>
      </c>
      <c r="X43">
        <f ca="1"/>
        <v>9</v>
      </c>
      <c r="Y43">
        <f ca="1"/>
        <v>0.43956043956043961</v>
      </c>
      <c r="Z43">
        <f ca="1"/>
        <v>63.408939560439563</v>
      </c>
      <c r="AA43">
        <f ca="1"/>
        <v>3.9144999999999994</v>
      </c>
    </row>
    <row r="44" spans="1:27" x14ac:dyDescent="0.4">
      <c r="A44">
        <v>15</v>
      </c>
      <c r="B44" t="str" cm="1">
        <f t="array" aca="1" ref="B44:AA44" ca="1">_xlfn.XLOOKUP(A44,SORT!$U$2:$U$327,_xlfn.ANCHORARRAY(SORT!$A$2),,0)</f>
        <v>AQ340832 Corp</v>
      </c>
      <c r="C44" t="str">
        <f ca="1"/>
        <v>Japan Government Thirty Year Bond</v>
      </c>
      <c r="D44" t="str">
        <f ca="1"/>
        <v>JGB</v>
      </c>
      <c r="E44" t="str">
        <f ca="1"/>
        <v>JP</v>
      </c>
      <c r="F44" t="str">
        <f ca="1"/>
        <v>JPY</v>
      </c>
      <c r="G44" t="str">
        <f ca="1"/>
        <v>20/12/2047</v>
      </c>
      <c r="H44" t="str">
        <f ca="1"/>
        <v>FIXED</v>
      </c>
      <c r="I44">
        <f ca="1"/>
        <v>2</v>
      </c>
      <c r="J44">
        <f ca="1"/>
        <v>0.8</v>
      </c>
      <c r="K44">
        <f ca="1"/>
        <v>3.9580000000000002</v>
      </c>
      <c r="L44">
        <f ca="1"/>
        <v>3.9970000000000003</v>
      </c>
      <c r="M44">
        <f ca="1"/>
        <v>63.064999999999998</v>
      </c>
      <c r="N44">
        <f ca="1"/>
        <v>62.779000000000003</v>
      </c>
      <c r="O44" t="str">
        <f ca="1"/>
        <v>AQ3408327</v>
      </c>
      <c r="P44" t="str">
        <f ca="1"/>
        <v>JP1300571HC4</v>
      </c>
      <c r="Q44" t="str">
        <f ca="1"/>
        <v>A+</v>
      </c>
      <c r="R44">
        <f ca="1"/>
        <v>43076</v>
      </c>
      <c r="S44">
        <f ca="1"/>
        <v>46193</v>
      </c>
      <c r="T44" s="45">
        <f ca="1"/>
        <v>21.724845995893222</v>
      </c>
      <c r="U44">
        <f ca="1"/>
        <v>62.921999999999997</v>
      </c>
      <c r="V44">
        <f ca="1"/>
        <v>15</v>
      </c>
      <c r="W44">
        <f ca="1"/>
        <v>21.5</v>
      </c>
      <c r="X44">
        <f ca="1"/>
        <v>9</v>
      </c>
      <c r="Y44">
        <f ca="1"/>
        <v>0.43956043956043961</v>
      </c>
      <c r="Z44">
        <f ca="1"/>
        <v>62.482439560439559</v>
      </c>
      <c r="AA44">
        <f ca="1"/>
        <v>3.9775</v>
      </c>
    </row>
    <row r="45" spans="1:27" x14ac:dyDescent="0.4">
      <c r="A45">
        <v>22</v>
      </c>
      <c r="B45" t="str" cm="1">
        <f t="array" aca="1" ref="B45:AA45" ca="1">_xlfn.XLOOKUP(A45,SORT!$U$2:$U$327,_xlfn.ANCHORARRAY(SORT!$A$2),,0)</f>
        <v>AT476518 Corp</v>
      </c>
      <c r="C45" t="str">
        <f ca="1"/>
        <v>Japan Government Thirty Year Bond</v>
      </c>
      <c r="D45" t="str">
        <f ca="1"/>
        <v>JGB</v>
      </c>
      <c r="E45" t="str">
        <f ca="1"/>
        <v>JP</v>
      </c>
      <c r="F45" t="str">
        <f ca="1"/>
        <v>JPY</v>
      </c>
      <c r="G45" t="str">
        <f ca="1"/>
        <v>20/06/2048</v>
      </c>
      <c r="H45" t="str">
        <f ca="1"/>
        <v>FIXED</v>
      </c>
      <c r="I45">
        <f ca="1"/>
        <v>2</v>
      </c>
      <c r="J45">
        <f ca="1"/>
        <v>0.7</v>
      </c>
      <c r="K45">
        <f ca="1"/>
        <v>4.0789999999999953</v>
      </c>
      <c r="L45">
        <f ca="1"/>
        <v>4.1149999999999967</v>
      </c>
      <c r="M45">
        <f ca="1"/>
        <v>60.564999999999998</v>
      </c>
      <c r="N45">
        <f ca="1"/>
        <v>60.311</v>
      </c>
      <c r="O45" t="str">
        <f ca="1"/>
        <v>AT4765182</v>
      </c>
      <c r="P45" t="str">
        <f ca="1"/>
        <v>JP1300591J79</v>
      </c>
      <c r="Q45" t="str">
        <f ca="1"/>
        <v>A+</v>
      </c>
      <c r="R45">
        <f ca="1"/>
        <v>43286</v>
      </c>
      <c r="S45">
        <f ca="1"/>
        <v>46193</v>
      </c>
      <c r="T45" s="45">
        <f ca="1"/>
        <v>22.225872689938399</v>
      </c>
      <c r="U45">
        <f ca="1"/>
        <v>60.438000000000002</v>
      </c>
      <c r="V45">
        <f ca="1"/>
        <v>22</v>
      </c>
      <c r="W45">
        <f ca="1"/>
        <v>22</v>
      </c>
      <c r="X45">
        <f ca="1"/>
        <v>8</v>
      </c>
      <c r="Y45">
        <f ca="1"/>
        <v>0.38461538461538464</v>
      </c>
      <c r="Z45">
        <f ca="1"/>
        <v>60.053384615384616</v>
      </c>
      <c r="AA45">
        <f ca="1"/>
        <v>4.096999999999996</v>
      </c>
    </row>
    <row r="46" spans="1:27" x14ac:dyDescent="0.4">
      <c r="A46">
        <v>28</v>
      </c>
      <c r="B46" t="str" cm="1">
        <f t="array" aca="1" ref="B46:AA46" ca="1">_xlfn.XLOOKUP(A46,SORT!$U$2:$U$327,_xlfn.ANCHORARRAY(SORT!$A$2),,0)</f>
        <v>AW634174 Corp</v>
      </c>
      <c r="C46" t="str">
        <f ca="1"/>
        <v>Japan Government Thirty Year Bond</v>
      </c>
      <c r="D46" t="str">
        <f ca="1"/>
        <v>JGB</v>
      </c>
      <c r="E46" t="str">
        <f ca="1"/>
        <v>JP</v>
      </c>
      <c r="F46" t="str">
        <f ca="1"/>
        <v>JPY</v>
      </c>
      <c r="G46" t="str">
        <f ca="1"/>
        <v>20/12/2048</v>
      </c>
      <c r="H46" t="str">
        <f ca="1"/>
        <v>FIXED</v>
      </c>
      <c r="I46">
        <f ca="1"/>
        <v>2</v>
      </c>
      <c r="J46">
        <f ca="1"/>
        <v>0.7</v>
      </c>
      <c r="K46">
        <f ca="1"/>
        <v>4.1459999999999937</v>
      </c>
      <c r="L46">
        <f ca="1"/>
        <v>4.1819999999999951</v>
      </c>
      <c r="M46">
        <f ca="1"/>
        <v>59.633000000000003</v>
      </c>
      <c r="N46">
        <f ca="1"/>
        <v>59.381999999999998</v>
      </c>
      <c r="O46" t="str">
        <f ca="1"/>
        <v>AW6341746</v>
      </c>
      <c r="P46" t="str">
        <f ca="1"/>
        <v>JP1300611K15</v>
      </c>
      <c r="Q46" t="str">
        <f ca="1"/>
        <v>A+</v>
      </c>
      <c r="R46">
        <f ca="1"/>
        <v>43475</v>
      </c>
      <c r="S46">
        <f ca="1"/>
        <v>46193</v>
      </c>
      <c r="T46" s="45">
        <f ca="1"/>
        <v>22.726899383983572</v>
      </c>
      <c r="U46">
        <f ca="1"/>
        <v>59.5075</v>
      </c>
      <c r="V46">
        <f ca="1"/>
        <v>28</v>
      </c>
      <c r="W46">
        <f ca="1"/>
        <v>22.5</v>
      </c>
      <c r="X46">
        <f ca="1"/>
        <v>7</v>
      </c>
      <c r="Y46">
        <f ca="1"/>
        <v>0.38461538461538464</v>
      </c>
      <c r="Z46">
        <f ca="1"/>
        <v>59.122884615384613</v>
      </c>
      <c r="AA46">
        <f ca="1"/>
        <v>4.1639999999999944</v>
      </c>
    </row>
    <row r="47" spans="1:27" x14ac:dyDescent="0.4">
      <c r="A47">
        <v>32</v>
      </c>
      <c r="B47" t="str" cm="1">
        <f t="array" aca="1" ref="B47:AA47" ca="1">_xlfn.XLOOKUP(A47,SORT!$U$2:$U$327,_xlfn.ANCHORARRAY(SORT!$A$2),,0)</f>
        <v>AZ527231 Corp</v>
      </c>
      <c r="C47" t="str">
        <f ca="1"/>
        <v>Japan Government Thirty Year Bond</v>
      </c>
      <c r="D47" t="str">
        <f ca="1"/>
        <v>JGB</v>
      </c>
      <c r="E47" t="str">
        <f ca="1"/>
        <v>JP</v>
      </c>
      <c r="F47" t="str">
        <f ca="1"/>
        <v>JPY</v>
      </c>
      <c r="G47" t="str">
        <f ca="1"/>
        <v>20/06/2049</v>
      </c>
      <c r="H47" t="str">
        <f ca="1"/>
        <v>FIXED</v>
      </c>
      <c r="I47">
        <f ca="1"/>
        <v>2</v>
      </c>
      <c r="J47">
        <f ca="1"/>
        <v>0.4</v>
      </c>
      <c r="K47">
        <f ca="1"/>
        <v>4.4309999999993606</v>
      </c>
      <c r="L47">
        <f ca="1"/>
        <v>4.4689999999992649</v>
      </c>
      <c r="M47">
        <f ca="1"/>
        <v>53.813000000000002</v>
      </c>
      <c r="N47">
        <f ca="1"/>
        <v>53.58</v>
      </c>
      <c r="O47" t="str">
        <f ca="1"/>
        <v>AZ5272317</v>
      </c>
      <c r="P47" t="str">
        <f ca="1"/>
        <v>JP1300631K78</v>
      </c>
      <c r="Q47" t="str">
        <f ca="1"/>
        <v>A+</v>
      </c>
      <c r="R47">
        <f ca="1"/>
        <v>43650</v>
      </c>
      <c r="S47">
        <f ca="1"/>
        <v>46193</v>
      </c>
      <c r="T47" s="45">
        <f ca="1"/>
        <v>23.225188227241617</v>
      </c>
      <c r="U47">
        <f ca="1"/>
        <v>53.6965</v>
      </c>
      <c r="V47">
        <f ca="1"/>
        <v>32</v>
      </c>
      <c r="W47">
        <f ca="1"/>
        <v>23</v>
      </c>
      <c r="X47">
        <f ca="1"/>
        <v>7</v>
      </c>
      <c r="Y47">
        <f ca="1"/>
        <v>0.2197802197802198</v>
      </c>
      <c r="Z47">
        <f ca="1"/>
        <v>53.476719780219781</v>
      </c>
      <c r="AA47">
        <f ca="1"/>
        <v>4.4499999999993127</v>
      </c>
    </row>
    <row r="48" spans="1:27" x14ac:dyDescent="0.4">
      <c r="A48">
        <v>319</v>
      </c>
      <c r="B48" t="str" cm="1">
        <f t="array" aca="1" ref="B48:AA48" ca="1">_xlfn.XLOOKUP(A48,SORT!$U$2:$U$327,_xlfn.ANCHORARRAY(SORT!$A$2),,0)</f>
        <v>ZP387400 Corp</v>
      </c>
      <c r="C48" t="str">
        <f ca="1"/>
        <v>Japan Government Thirty Year Bond</v>
      </c>
      <c r="D48" t="str">
        <f ca="1"/>
        <v>JGB</v>
      </c>
      <c r="E48" t="str">
        <f ca="1"/>
        <v>JP</v>
      </c>
      <c r="F48" t="str">
        <f ca="1"/>
        <v>JPY</v>
      </c>
      <c r="G48" t="str">
        <f ca="1"/>
        <v>20/12/2049</v>
      </c>
      <c r="H48" t="str">
        <f ca="1"/>
        <v>FIXED</v>
      </c>
      <c r="I48">
        <f ca="1"/>
        <v>2</v>
      </c>
      <c r="J48">
        <f ca="1"/>
        <v>0.4</v>
      </c>
      <c r="K48">
        <f ca="1"/>
        <v>4.5229999999988379</v>
      </c>
      <c r="L48">
        <f ca="1"/>
        <v>4.5589999999986786</v>
      </c>
      <c r="M48">
        <f ca="1"/>
        <v>52.765999999999998</v>
      </c>
      <c r="N48">
        <f ca="1"/>
        <v>52.55</v>
      </c>
      <c r="O48" t="str">
        <f ca="1"/>
        <v>ZP3874002</v>
      </c>
      <c r="P48" t="str">
        <f ca="1"/>
        <v>JP1300651L15</v>
      </c>
      <c r="Q48" t="str">
        <f ca="1"/>
        <v>A+</v>
      </c>
      <c r="R48">
        <f ca="1"/>
        <v>43826</v>
      </c>
      <c r="S48">
        <f ca="1"/>
        <v>46193</v>
      </c>
      <c r="T48" s="45">
        <f ca="1"/>
        <v>23.72621492128679</v>
      </c>
      <c r="U48">
        <f ca="1"/>
        <v>52.658000000000001</v>
      </c>
      <c r="V48">
        <f ca="1"/>
        <v>319</v>
      </c>
      <c r="W48">
        <f ca="1"/>
        <v>23.5</v>
      </c>
      <c r="X48">
        <f ca="1"/>
        <v>7</v>
      </c>
      <c r="Y48">
        <f ca="1"/>
        <v>0.2197802197802198</v>
      </c>
      <c r="Z48">
        <f ca="1"/>
        <v>52.438219780219782</v>
      </c>
      <c r="AA48">
        <f ca="1"/>
        <v>4.5409999999987587</v>
      </c>
    </row>
    <row r="49" spans="1:27" x14ac:dyDescent="0.4">
      <c r="A49">
        <v>39</v>
      </c>
      <c r="B49" t="str" cm="1">
        <f t="array" aca="1" ref="B49:AA49" ca="1">_xlfn.XLOOKUP(A49,SORT!$U$2:$U$327,_xlfn.ANCHORARRAY(SORT!$A$2),,0)</f>
        <v>BK411989 Corp</v>
      </c>
      <c r="C49" t="str">
        <f ca="1"/>
        <v>Japan Government Thirty Year Bond</v>
      </c>
      <c r="D49" t="str">
        <f ca="1"/>
        <v>JGB</v>
      </c>
      <c r="E49" t="str">
        <f ca="1"/>
        <v>JP</v>
      </c>
      <c r="F49" t="str">
        <f ca="1"/>
        <v>JPY</v>
      </c>
      <c r="G49" t="str">
        <f ca="1"/>
        <v>20/06/2050</v>
      </c>
      <c r="H49" t="str">
        <f ca="1"/>
        <v>FIXED</v>
      </c>
      <c r="I49">
        <f ca="1"/>
        <v>2</v>
      </c>
      <c r="J49">
        <f ca="1"/>
        <v>0.6</v>
      </c>
      <c r="K49">
        <f ca="1"/>
        <v>4.4519999999998765</v>
      </c>
      <c r="L49">
        <f ca="1"/>
        <v>4.4909999999998576</v>
      </c>
      <c r="M49">
        <f ca="1"/>
        <v>55.061</v>
      </c>
      <c r="N49">
        <f ca="1"/>
        <v>54.811</v>
      </c>
      <c r="O49" t="str">
        <f ca="1"/>
        <v>BK4119891</v>
      </c>
      <c r="P49" t="str">
        <f ca="1"/>
        <v>JP1300671L78</v>
      </c>
      <c r="Q49" t="str">
        <f ca="1"/>
        <v>A+</v>
      </c>
      <c r="R49">
        <f ca="1"/>
        <v>44012</v>
      </c>
      <c r="S49">
        <f ca="1"/>
        <v>46193</v>
      </c>
      <c r="T49" s="45">
        <f ca="1"/>
        <v>24.224503764544831</v>
      </c>
      <c r="U49">
        <f ca="1"/>
        <v>54.936</v>
      </c>
      <c r="V49">
        <f ca="1"/>
        <v>39</v>
      </c>
      <c r="W49">
        <f ca="1"/>
        <v>24</v>
      </c>
      <c r="X49">
        <f ca="1"/>
        <v>6</v>
      </c>
      <c r="Y49">
        <f ca="1"/>
        <v>0.32967032967032966</v>
      </c>
      <c r="Z49">
        <f ca="1"/>
        <v>54.606329670329671</v>
      </c>
      <c r="AA49">
        <f ca="1"/>
        <v>4.4714999999998675</v>
      </c>
    </row>
    <row r="50" spans="1:27" x14ac:dyDescent="0.4">
      <c r="A50">
        <v>43</v>
      </c>
      <c r="B50" t="str" cm="1">
        <f t="array" aca="1" ref="B50:AA50" ca="1">_xlfn.XLOOKUP(A50,SORT!$U$2:$U$327,_xlfn.ANCHORARRAY(SORT!$A$2),,0)</f>
        <v>BN417655 Corp</v>
      </c>
      <c r="C50" t="str">
        <f ca="1"/>
        <v>Japan Government Thirty Year Bond</v>
      </c>
      <c r="D50" t="str">
        <f ca="1"/>
        <v>JGB</v>
      </c>
      <c r="E50" t="str">
        <f ca="1"/>
        <v>JP</v>
      </c>
      <c r="F50" t="str">
        <f ca="1"/>
        <v>JPY</v>
      </c>
      <c r="G50" t="str">
        <f ca="1"/>
        <v>20/12/2050</v>
      </c>
      <c r="H50" t="str">
        <f ca="1"/>
        <v>FIXED</v>
      </c>
      <c r="I50">
        <f ca="1"/>
        <v>2</v>
      </c>
      <c r="J50">
        <f ca="1"/>
        <v>0.7</v>
      </c>
      <c r="K50">
        <f ca="1"/>
        <v>4.4649999999999475</v>
      </c>
      <c r="L50">
        <f ca="1"/>
        <v>4.5039999999999356</v>
      </c>
      <c r="M50">
        <f ca="1"/>
        <v>55.712000000000003</v>
      </c>
      <c r="N50">
        <f ca="1"/>
        <v>55.457999999999998</v>
      </c>
      <c r="O50" t="str">
        <f ca="1"/>
        <v>BN4176556</v>
      </c>
      <c r="P50" t="str">
        <f ca="1"/>
        <v>JP1300691M16</v>
      </c>
      <c r="Q50" t="str">
        <f ca="1"/>
        <v>NR</v>
      </c>
      <c r="R50">
        <f ca="1"/>
        <v>44193</v>
      </c>
      <c r="S50">
        <f ca="1"/>
        <v>46193</v>
      </c>
      <c r="T50" s="45">
        <f ca="1"/>
        <v>24.725530458590008</v>
      </c>
      <c r="U50">
        <f ca="1"/>
        <v>55.585000000000001</v>
      </c>
      <c r="V50">
        <f ca="1"/>
        <v>43</v>
      </c>
      <c r="W50">
        <f ca="1"/>
        <v>24.5</v>
      </c>
      <c r="X50">
        <f ca="1"/>
        <v>6</v>
      </c>
      <c r="Y50">
        <f ca="1"/>
        <v>0.38461538461538464</v>
      </c>
      <c r="Z50">
        <f ca="1"/>
        <v>55.200384615384614</v>
      </c>
      <c r="AA50">
        <f ca="1"/>
        <v>4.484499999999942</v>
      </c>
    </row>
    <row r="51" spans="1:27" x14ac:dyDescent="0.4">
      <c r="A51">
        <v>51</v>
      </c>
      <c r="B51" t="str" cm="1">
        <f t="array" aca="1" ref="B51:AA51" ca="1">_xlfn.XLOOKUP(A51,SORT!$U$2:$U$327,_xlfn.ANCHORARRAY(SORT!$A$2),,0)</f>
        <v>BQ405120 Corp</v>
      </c>
      <c r="C51" t="str">
        <f ca="1"/>
        <v>Japan Government Thirty Year Bond</v>
      </c>
      <c r="D51" t="str">
        <f ca="1"/>
        <v>JGB</v>
      </c>
      <c r="E51" t="str">
        <f ca="1"/>
        <v>JP</v>
      </c>
      <c r="F51" t="str">
        <f ca="1"/>
        <v>JPY</v>
      </c>
      <c r="G51" t="str">
        <f ca="1"/>
        <v>20/06/2051</v>
      </c>
      <c r="H51" t="str">
        <f ca="1"/>
        <v>FIXED</v>
      </c>
      <c r="I51">
        <f ca="1"/>
        <v>2</v>
      </c>
      <c r="J51">
        <f ca="1"/>
        <v>0.7</v>
      </c>
      <c r="K51">
        <f ca="1"/>
        <v>4.5459999999999114</v>
      </c>
      <c r="L51">
        <f ca="1"/>
        <v>4.5859999999998937</v>
      </c>
      <c r="M51">
        <f ca="1"/>
        <v>54.765999999999998</v>
      </c>
      <c r="N51">
        <f ca="1"/>
        <v>54.51</v>
      </c>
      <c r="O51" t="str">
        <f ca="1"/>
        <v>BQ4051208</v>
      </c>
      <c r="P51" t="str">
        <f ca="1"/>
        <v>JP1300711M79</v>
      </c>
      <c r="Q51" t="str">
        <f ca="1"/>
        <v>NR</v>
      </c>
      <c r="R51">
        <f ca="1"/>
        <v>44376</v>
      </c>
      <c r="S51">
        <f ca="1"/>
        <v>46193</v>
      </c>
      <c r="T51" s="45">
        <f ca="1"/>
        <v>25.223819301848049</v>
      </c>
      <c r="U51">
        <f ca="1"/>
        <v>54.637999999999998</v>
      </c>
      <c r="V51">
        <f ca="1"/>
        <v>51</v>
      </c>
      <c r="W51">
        <f ca="1"/>
        <v>25</v>
      </c>
      <c r="X51">
        <f ca="1"/>
        <v>5</v>
      </c>
      <c r="Y51">
        <f ca="1"/>
        <v>0.38461538461538464</v>
      </c>
      <c r="Z51">
        <f ca="1"/>
        <v>54.253384615384611</v>
      </c>
      <c r="AA51">
        <f ca="1"/>
        <v>4.565999999999903</v>
      </c>
    </row>
    <row r="52" spans="1:27" x14ac:dyDescent="0.4">
      <c r="A52">
        <v>59</v>
      </c>
      <c r="B52" t="str" cm="1">
        <f t="array" aca="1" ref="B52:AA52" ca="1">_xlfn.XLOOKUP(A52,SORT!$U$2:$U$327,_xlfn.ANCHORARRAY(SORT!$A$2),,0)</f>
        <v>BT386064 Corp</v>
      </c>
      <c r="C52" t="str">
        <f ca="1"/>
        <v>Japan Government Thirty Year Bond</v>
      </c>
      <c r="D52" t="str">
        <f ca="1"/>
        <v>JGB</v>
      </c>
      <c r="E52" t="str">
        <f ca="1"/>
        <v>JP</v>
      </c>
      <c r="F52" t="str">
        <f ca="1"/>
        <v>JPY</v>
      </c>
      <c r="G52" t="str">
        <f ca="1"/>
        <v>20/12/2051</v>
      </c>
      <c r="H52" t="str">
        <f ca="1"/>
        <v>FIXED</v>
      </c>
      <c r="I52">
        <f ca="1"/>
        <v>2</v>
      </c>
      <c r="J52">
        <f ca="1"/>
        <v>0.7</v>
      </c>
      <c r="K52">
        <f ca="1"/>
        <v>4.6349999999998452</v>
      </c>
      <c r="L52">
        <f ca="1"/>
        <v>4.6739999999998236</v>
      </c>
      <c r="M52">
        <f ca="1"/>
        <v>53.784999999999997</v>
      </c>
      <c r="N52">
        <f ca="1"/>
        <v>53.54</v>
      </c>
      <c r="O52" t="str">
        <f ca="1"/>
        <v>BT3860645</v>
      </c>
      <c r="P52" t="str">
        <f ca="1"/>
        <v>JP1300731N17</v>
      </c>
      <c r="Q52" t="str">
        <f ca="1"/>
        <v>NR</v>
      </c>
      <c r="R52">
        <f ca="1"/>
        <v>44558</v>
      </c>
      <c r="S52">
        <f ca="1"/>
        <v>46193</v>
      </c>
      <c r="T52" s="45">
        <f ca="1"/>
        <v>25.724845995893222</v>
      </c>
      <c r="U52">
        <f ca="1"/>
        <v>53.662499999999994</v>
      </c>
      <c r="V52">
        <f ca="1"/>
        <v>59</v>
      </c>
      <c r="W52">
        <f ca="1"/>
        <v>25.5</v>
      </c>
      <c r="X52">
        <f ca="1"/>
        <v>5</v>
      </c>
      <c r="Y52">
        <f ca="1"/>
        <v>0.38461538461538464</v>
      </c>
      <c r="Z52">
        <f ca="1"/>
        <v>53.277884615384608</v>
      </c>
      <c r="AA52">
        <f ca="1"/>
        <v>4.6544999999998344</v>
      </c>
    </row>
    <row r="53" spans="1:27" x14ac:dyDescent="0.4">
      <c r="A53">
        <v>69</v>
      </c>
      <c r="B53" t="str" cm="1">
        <f t="array" aca="1" ref="B53:AA53" ca="1">_xlfn.XLOOKUP(A53,SORT!$U$2:$U$327,_xlfn.ANCHORARRAY(SORT!$A$2),,0)</f>
        <v>BX715025 Corp</v>
      </c>
      <c r="C53" t="str">
        <f ca="1"/>
        <v>Japan Government Thirty Year Bond</v>
      </c>
      <c r="D53" t="str">
        <f ca="1"/>
        <v>JGB</v>
      </c>
      <c r="E53" t="str">
        <f ca="1"/>
        <v>JP</v>
      </c>
      <c r="F53" t="str">
        <f ca="1"/>
        <v>JPY</v>
      </c>
      <c r="G53" t="str">
        <f ca="1"/>
        <v>20/06/2052</v>
      </c>
      <c r="H53" t="str">
        <f ca="1"/>
        <v>FIXED</v>
      </c>
      <c r="I53">
        <f ca="1"/>
        <v>2</v>
      </c>
      <c r="J53">
        <f ca="1"/>
        <v>1.3</v>
      </c>
      <c r="K53">
        <f ca="1"/>
        <v>4.2389999999999981</v>
      </c>
      <c r="L53">
        <f ca="1"/>
        <v>4.2769999999999992</v>
      </c>
      <c r="M53">
        <f ca="1"/>
        <v>63.468000000000004</v>
      </c>
      <c r="N53">
        <f ca="1"/>
        <v>63.168999999999997</v>
      </c>
      <c r="O53" t="str">
        <f ca="1"/>
        <v>BX7150259</v>
      </c>
      <c r="P53" t="str">
        <f ca="1"/>
        <v>JP1300751N79</v>
      </c>
      <c r="Q53" t="str">
        <f ca="1"/>
        <v>A+</v>
      </c>
      <c r="R53">
        <f ca="1"/>
        <v>44742</v>
      </c>
      <c r="S53">
        <f ca="1"/>
        <v>46193</v>
      </c>
      <c r="T53" s="45">
        <f ca="1"/>
        <v>26.225872689938399</v>
      </c>
      <c r="U53">
        <f ca="1"/>
        <v>63.3185</v>
      </c>
      <c r="V53">
        <f ca="1"/>
        <v>69</v>
      </c>
      <c r="W53">
        <f ca="1"/>
        <v>26</v>
      </c>
      <c r="X53">
        <f ca="1"/>
        <v>4</v>
      </c>
      <c r="Y53">
        <f ca="1"/>
        <v>0.71428571428571441</v>
      </c>
      <c r="Z53">
        <f ca="1"/>
        <v>62.604214285714285</v>
      </c>
      <c r="AA53">
        <f ca="1"/>
        <v>4.2579999999999991</v>
      </c>
    </row>
    <row r="54" spans="1:27" x14ac:dyDescent="0.4">
      <c r="A54">
        <v>313</v>
      </c>
      <c r="B54" t="str" cm="1">
        <f t="array" aca="1" ref="B54:AA54" ca="1">_xlfn.XLOOKUP(A54,SORT!$U$2:$U$327,_xlfn.ANCHORARRAY(SORT!$A$2),,0)</f>
        <v>ZM378379 Corp</v>
      </c>
      <c r="C54" t="str">
        <f ca="1"/>
        <v>Japan Government Thirty Year Bond</v>
      </c>
      <c r="D54" t="str">
        <f ca="1"/>
        <v>JGB</v>
      </c>
      <c r="E54" t="str">
        <f ca="1"/>
        <v>JP</v>
      </c>
      <c r="F54" t="str">
        <f ca="1"/>
        <v>JPY</v>
      </c>
      <c r="G54" t="str">
        <f ca="1"/>
        <v>20/12/2052</v>
      </c>
      <c r="H54" t="str">
        <f ca="1"/>
        <v>FIXED</v>
      </c>
      <c r="I54">
        <f ca="1"/>
        <v>2</v>
      </c>
      <c r="J54">
        <f ca="1"/>
        <v>1.6</v>
      </c>
      <c r="K54">
        <f ca="1"/>
        <v>4.0829999999912303</v>
      </c>
      <c r="L54">
        <f ca="1"/>
        <v>4.1239999999897492</v>
      </c>
      <c r="M54">
        <f ca="1"/>
        <v>68.239000000000004</v>
      </c>
      <c r="N54">
        <f ca="1"/>
        <v>67.882999999999996</v>
      </c>
      <c r="O54" t="str">
        <f ca="1"/>
        <v>ZM3783796</v>
      </c>
      <c r="P54" t="str">
        <f ca="1"/>
        <v>JP1300771P16</v>
      </c>
      <c r="Q54" t="str">
        <f ca="1"/>
        <v>A+</v>
      </c>
      <c r="R54">
        <f ca="1"/>
        <v>44930</v>
      </c>
      <c r="S54">
        <f ca="1"/>
        <v>46193</v>
      </c>
      <c r="T54" s="45">
        <f ca="1"/>
        <v>26.726899383983572</v>
      </c>
      <c r="U54">
        <f ca="1"/>
        <v>68.061000000000007</v>
      </c>
      <c r="V54">
        <f ca="1"/>
        <v>313</v>
      </c>
      <c r="W54">
        <f ca="1"/>
        <v>26.5</v>
      </c>
      <c r="X54">
        <f ca="1"/>
        <v>3</v>
      </c>
      <c r="Y54">
        <f ca="1"/>
        <v>0.87912087912087922</v>
      </c>
      <c r="Z54">
        <f ca="1"/>
        <v>67.181879120879131</v>
      </c>
      <c r="AA54">
        <f ca="1"/>
        <v>4.1034999999904898</v>
      </c>
    </row>
    <row r="55" spans="1:27" x14ac:dyDescent="0.4">
      <c r="A55">
        <v>302</v>
      </c>
      <c r="B55" t="str" cm="1">
        <f t="array" aca="1" ref="B55:AA55" ca="1">_xlfn.XLOOKUP(A55,SORT!$U$2:$U$327,_xlfn.ANCHORARRAY(SORT!$A$2),,0)</f>
        <v>ZJ658086 Corp</v>
      </c>
      <c r="C55" t="str">
        <f ca="1"/>
        <v>Japan Government Thirty Year Bond</v>
      </c>
      <c r="D55" t="str">
        <f ca="1"/>
        <v>JGB</v>
      </c>
      <c r="E55" t="str">
        <f ca="1"/>
        <v>JP</v>
      </c>
      <c r="F55" t="str">
        <f ca="1"/>
        <v>JPY</v>
      </c>
      <c r="G55" t="str">
        <f ca="1"/>
        <v>20/06/2053</v>
      </c>
      <c r="H55" t="str">
        <f ca="1"/>
        <v>FIXED</v>
      </c>
      <c r="I55">
        <f ca="1"/>
        <v>2</v>
      </c>
      <c r="J55">
        <f ca="1"/>
        <v>1.2</v>
      </c>
      <c r="K55">
        <f ca="1"/>
        <v>4.3379999999999992</v>
      </c>
      <c r="L55">
        <f ca="1"/>
        <v>4.3750000000000009</v>
      </c>
      <c r="M55">
        <f ca="1"/>
        <v>60.796999999999997</v>
      </c>
      <c r="N55">
        <f ca="1"/>
        <v>60.517000000000003</v>
      </c>
      <c r="O55" t="str">
        <f ca="1"/>
        <v>ZJ6580865</v>
      </c>
      <c r="P55" t="str">
        <f ca="1"/>
        <v>JP1300791P79</v>
      </c>
      <c r="Q55" t="str">
        <f ca="1"/>
        <v>A+</v>
      </c>
      <c r="R55">
        <f ca="1"/>
        <v>45106</v>
      </c>
      <c r="S55">
        <f ca="1"/>
        <v>46193</v>
      </c>
      <c r="T55" s="45">
        <f ca="1"/>
        <v>27.225188227241617</v>
      </c>
      <c r="U55">
        <f ca="1"/>
        <v>60.656999999999996</v>
      </c>
      <c r="V55">
        <f ca="1"/>
        <v>302</v>
      </c>
      <c r="W55">
        <f ca="1"/>
        <v>27</v>
      </c>
      <c r="X55">
        <f ca="1"/>
        <v>3</v>
      </c>
      <c r="Y55">
        <f ca="1"/>
        <v>0.65934065934065933</v>
      </c>
      <c r="Z55">
        <f ca="1"/>
        <v>59.997659340659339</v>
      </c>
      <c r="AA55">
        <f ca="1"/>
        <v>4.3565000000000005</v>
      </c>
    </row>
    <row r="56" spans="1:27" x14ac:dyDescent="0.4">
      <c r="A56">
        <v>290</v>
      </c>
      <c r="B56" t="str" cm="1">
        <f t="array" aca="1" ref="B56:AA56" ca="1">_xlfn.XLOOKUP(A56,SORT!$U$2:$U$327,_xlfn.ANCHORARRAY(SORT!$A$2),,0)</f>
        <v>ZF317568 Corp</v>
      </c>
      <c r="C56" t="str">
        <f ca="1"/>
        <v>Japan Government Thirty Year Bond</v>
      </c>
      <c r="D56" t="str">
        <f ca="1"/>
        <v>JGB</v>
      </c>
      <c r="E56" t="str">
        <f ca="1"/>
        <v>JP</v>
      </c>
      <c r="F56" t="str">
        <f ca="1"/>
        <v>JPY</v>
      </c>
      <c r="G56" t="str">
        <f ca="1"/>
        <v>20/12/2053</v>
      </c>
      <c r="H56" t="str">
        <f ca="1"/>
        <v>FIXED</v>
      </c>
      <c r="I56">
        <f ca="1"/>
        <v>2</v>
      </c>
      <c r="J56">
        <f ca="1"/>
        <v>1.6</v>
      </c>
      <c r="K56">
        <f ca="1"/>
        <v>4.0989999999891928</v>
      </c>
      <c r="L56">
        <f ca="1"/>
        <v>4.1379999999874881</v>
      </c>
      <c r="M56">
        <f ca="1"/>
        <v>67.542000000000002</v>
      </c>
      <c r="N56">
        <f ca="1"/>
        <v>67.201999999999998</v>
      </c>
      <c r="O56" t="str">
        <f ca="1"/>
        <v>ZF3175683</v>
      </c>
      <c r="P56" t="str">
        <f ca="1"/>
        <v>JP1300811Q17</v>
      </c>
      <c r="Q56" t="str">
        <f ca="1"/>
        <v>A+</v>
      </c>
      <c r="R56">
        <f ca="1"/>
        <v>45296</v>
      </c>
      <c r="S56">
        <f ca="1"/>
        <v>46193</v>
      </c>
      <c r="T56" s="45">
        <f ca="1"/>
        <v>27.72621492128679</v>
      </c>
      <c r="U56">
        <f ca="1"/>
        <v>67.372</v>
      </c>
      <c r="V56">
        <f ca="1"/>
        <v>290</v>
      </c>
      <c r="W56">
        <f ca="1"/>
        <v>27.5</v>
      </c>
      <c r="X56">
        <f ca="1"/>
        <v>2</v>
      </c>
      <c r="Y56">
        <f ca="1"/>
        <v>0.87912087912087922</v>
      </c>
      <c r="Z56">
        <f ca="1"/>
        <v>66.492879120879124</v>
      </c>
      <c r="AA56">
        <f ca="1"/>
        <v>4.1184999999883409</v>
      </c>
    </row>
    <row r="57" spans="1:27" x14ac:dyDescent="0.4">
      <c r="A57">
        <v>270</v>
      </c>
      <c r="B57" t="str" cm="1">
        <f t="array" aca="1" ref="B57:AA57" ca="1">_xlfn.XLOOKUP(A57,SORT!$U$2:$U$327,_xlfn.ANCHORARRAY(SORT!$A$2),,0)</f>
        <v>YW192607 Corp</v>
      </c>
      <c r="C57" t="str">
        <f ca="1"/>
        <v>Japan Government Thirty Year Bond</v>
      </c>
      <c r="D57" t="str">
        <f ca="1"/>
        <v>JGB</v>
      </c>
      <c r="E57" t="str">
        <f ca="1"/>
        <v>JP</v>
      </c>
      <c r="F57" t="str">
        <f ca="1"/>
        <v>JPY</v>
      </c>
      <c r="G57" t="str">
        <f ca="1"/>
        <v>20/06/2054</v>
      </c>
      <c r="H57" t="str">
        <f ca="1"/>
        <v>FIXED</v>
      </c>
      <c r="I57">
        <f ca="1"/>
        <v>2</v>
      </c>
      <c r="J57">
        <f ca="1"/>
        <v>2.2000000000000002</v>
      </c>
      <c r="K57">
        <f ca="1"/>
        <v>3.8249999999999789</v>
      </c>
      <c r="L57">
        <f ca="1"/>
        <v>3.8619999999999775</v>
      </c>
      <c r="M57">
        <f ca="1"/>
        <v>77.926000000000002</v>
      </c>
      <c r="N57">
        <f ca="1"/>
        <v>77.536000000000001</v>
      </c>
      <c r="O57" t="str">
        <f ca="1"/>
        <v>YW1926073</v>
      </c>
      <c r="P57" t="str">
        <f ca="1"/>
        <v>JP1300831Q70</v>
      </c>
      <c r="Q57" t="str">
        <f ca="1"/>
        <v>A+</v>
      </c>
      <c r="R57">
        <f ca="1"/>
        <v>45470</v>
      </c>
      <c r="S57">
        <f ca="1"/>
        <v>46193</v>
      </c>
      <c r="T57" s="45">
        <f ca="1"/>
        <v>28.224503764544831</v>
      </c>
      <c r="U57">
        <f ca="1"/>
        <v>77.730999999999995</v>
      </c>
      <c r="V57">
        <f ca="1"/>
        <v>270</v>
      </c>
      <c r="W57">
        <f ca="1"/>
        <v>28</v>
      </c>
      <c r="X57">
        <f ca="1"/>
        <v>2</v>
      </c>
      <c r="Y57">
        <f ca="1"/>
        <v>1.2087912087912089</v>
      </c>
      <c r="Z57">
        <f ca="1"/>
        <v>76.522208791208783</v>
      </c>
      <c r="AA57">
        <f ca="1"/>
        <v>3.8434999999999784</v>
      </c>
    </row>
    <row r="58" spans="1:27" x14ac:dyDescent="0.4">
      <c r="A58">
        <v>254</v>
      </c>
      <c r="B58" t="str" cm="1">
        <f t="array" aca="1" ref="B58:AA58" ca="1">_xlfn.XLOOKUP(A58,SORT!$U$2:$U$327,_xlfn.ANCHORARRAY(SORT!$A$2),,0)</f>
        <v>YS522463 Corp</v>
      </c>
      <c r="C58" t="str">
        <f ca="1"/>
        <v>Japan Government Thirty Year Bond</v>
      </c>
      <c r="D58" t="str">
        <f ca="1"/>
        <v>JGB</v>
      </c>
      <c r="E58" t="str">
        <f ca="1"/>
        <v>JP</v>
      </c>
      <c r="F58" t="str">
        <f ca="1"/>
        <v>JPY</v>
      </c>
      <c r="G58" t="str">
        <f ca="1"/>
        <v>20/12/2054</v>
      </c>
      <c r="H58" t="str">
        <f ca="1"/>
        <v>FIXED</v>
      </c>
      <c r="I58">
        <f ca="1"/>
        <v>2</v>
      </c>
      <c r="J58">
        <f ca="1"/>
        <v>2.2999999999999998</v>
      </c>
      <c r="K58">
        <f ca="1"/>
        <v>3.7789999999999955</v>
      </c>
      <c r="L58">
        <f ca="1"/>
        <v>3.8219999999999921</v>
      </c>
      <c r="M58">
        <f ca="1"/>
        <v>79.611000000000004</v>
      </c>
      <c r="N58">
        <f ca="1"/>
        <v>79.141999999999996</v>
      </c>
      <c r="O58" t="str">
        <f ca="1"/>
        <v>YS5224631</v>
      </c>
      <c r="P58" t="str">
        <f ca="1"/>
        <v>JP1300851R17</v>
      </c>
      <c r="Q58" t="str">
        <f ca="1"/>
        <v>A+</v>
      </c>
      <c r="R58">
        <f ca="1"/>
        <v>45653</v>
      </c>
      <c r="S58">
        <f ca="1"/>
        <v>46193</v>
      </c>
      <c r="T58" s="45">
        <f ca="1"/>
        <v>28.725530458590008</v>
      </c>
      <c r="U58">
        <f ca="1"/>
        <v>79.376499999999993</v>
      </c>
      <c r="V58">
        <f ca="1"/>
        <v>254</v>
      </c>
      <c r="W58">
        <f ca="1"/>
        <v>28.5</v>
      </c>
      <c r="X58">
        <f ca="1"/>
        <v>2</v>
      </c>
      <c r="Y58">
        <f ca="1"/>
        <v>1.2637362637362637</v>
      </c>
      <c r="Z58">
        <f ca="1"/>
        <v>78.11276373626373</v>
      </c>
      <c r="AA58">
        <f ca="1"/>
        <v>3.8004999999999938</v>
      </c>
    </row>
    <row r="59" spans="1:27" x14ac:dyDescent="0.4">
      <c r="A59">
        <v>240</v>
      </c>
      <c r="B59" t="str" cm="1">
        <f t="array" aca="1" ref="B59:AA59" ca="1">_xlfn.XLOOKUP(A59,SORT!$U$2:$U$327,_xlfn.ANCHORARRAY(SORT!$A$2),,0)</f>
        <v>YN990658 Corp</v>
      </c>
      <c r="C59" t="str">
        <f ca="1"/>
        <v>Japan Government Thirty Year Bond</v>
      </c>
      <c r="D59" t="str">
        <f ca="1"/>
        <v>JGB</v>
      </c>
      <c r="E59" t="str">
        <f ca="1"/>
        <v>JP</v>
      </c>
      <c r="F59" t="str">
        <f ca="1"/>
        <v>JPY</v>
      </c>
      <c r="G59" t="str">
        <f ca="1"/>
        <v>20/06/2055</v>
      </c>
      <c r="H59" t="str">
        <f ca="1"/>
        <v>FIXED</v>
      </c>
      <c r="I59">
        <f ca="1"/>
        <v>2</v>
      </c>
      <c r="J59">
        <f ca="1"/>
        <v>2.8</v>
      </c>
      <c r="K59">
        <f ca="1"/>
        <v>3.5839999999653753</v>
      </c>
      <c r="L59">
        <f ca="1"/>
        <v>3.6189999999559701</v>
      </c>
      <c r="M59">
        <f ca="1"/>
        <v>88.8</v>
      </c>
      <c r="N59">
        <f ca="1"/>
        <v>88.358000000000004</v>
      </c>
      <c r="O59" t="str">
        <f ca="1"/>
        <v>YN9906580</v>
      </c>
      <c r="P59" t="str">
        <f ca="1"/>
        <v>JP1300871R70</v>
      </c>
      <c r="Q59" t="str">
        <f ca="1"/>
        <v>A+</v>
      </c>
      <c r="R59">
        <f ca="1"/>
        <v>45834</v>
      </c>
      <c r="S59">
        <f ca="1"/>
        <v>46193</v>
      </c>
      <c r="T59" s="45">
        <f ca="1"/>
        <v>29.223819301848049</v>
      </c>
      <c r="U59">
        <f ca="1"/>
        <v>88.579000000000008</v>
      </c>
      <c r="V59">
        <f ca="1"/>
        <v>240</v>
      </c>
      <c r="W59">
        <f ca="1"/>
        <v>29</v>
      </c>
      <c r="X59">
        <f ca="1"/>
        <v>1</v>
      </c>
      <c r="Y59">
        <f ca="1"/>
        <v>1.5384615384615385</v>
      </c>
      <c r="Z59">
        <f ca="1"/>
        <v>87.040538461538475</v>
      </c>
      <c r="AA59">
        <f ca="1"/>
        <v>3.6014999999606729</v>
      </c>
    </row>
    <row r="60" spans="1:27" x14ac:dyDescent="0.4">
      <c r="A60">
        <v>80</v>
      </c>
      <c r="B60" t="str" cm="1">
        <f t="array" aca="1" ref="B60:AA60" ca="1">_xlfn.XLOOKUP(A60,SORT!$U$2:$U$327,_xlfn.ANCHORARRAY(SORT!$A$2),,0)</f>
        <v>DC841111 Corp</v>
      </c>
      <c r="C60" t="str">
        <f ca="1"/>
        <v>Japan Government Thirty Year Bond</v>
      </c>
      <c r="D60" t="str">
        <f ca="1"/>
        <v>JGB</v>
      </c>
      <c r="E60" t="str">
        <f ca="1"/>
        <v>JP</v>
      </c>
      <c r="F60" t="str">
        <f ca="1"/>
        <v>JPY</v>
      </c>
      <c r="G60" t="str">
        <f ca="1"/>
        <v>20/12/2055</v>
      </c>
      <c r="H60" t="str">
        <f ca="1"/>
        <v>FIXED</v>
      </c>
      <c r="I60">
        <f ca="1"/>
        <v>2</v>
      </c>
      <c r="J60">
        <f ca="1"/>
        <v>3.4</v>
      </c>
      <c r="K60">
        <f ca="1"/>
        <v>3.4019999999999953</v>
      </c>
      <c r="L60">
        <f ca="1"/>
        <v>3.4399999999657389</v>
      </c>
      <c r="M60">
        <f ca="1"/>
        <v>99.97</v>
      </c>
      <c r="N60">
        <f ca="1"/>
        <v>99.411000000000001</v>
      </c>
      <c r="O60" t="str">
        <f ca="1"/>
        <v>DC8411118</v>
      </c>
      <c r="P60" t="str">
        <f ca="1"/>
        <v>JP1300891S18</v>
      </c>
      <c r="Q60" t="str">
        <f ca="1"/>
        <v>A+</v>
      </c>
      <c r="R60">
        <f ca="1"/>
        <v>46017</v>
      </c>
      <c r="S60">
        <f ca="1"/>
        <v>46193</v>
      </c>
      <c r="T60" s="45">
        <f ca="1"/>
        <v>29.724845995893222</v>
      </c>
      <c r="U60">
        <f ca="1"/>
        <v>99.6905</v>
      </c>
      <c r="V60">
        <f ca="1"/>
        <v>80</v>
      </c>
      <c r="W60">
        <f ca="1"/>
        <v>29.5</v>
      </c>
      <c r="X60">
        <f ca="1"/>
        <v>1</v>
      </c>
      <c r="Y60">
        <f ca="1"/>
        <v>1.8681318681318682</v>
      </c>
      <c r="Z60">
        <f ca="1"/>
        <v>97.822368131868132</v>
      </c>
      <c r="AA60">
        <f ca="1"/>
        <v>3.4209999999828673</v>
      </c>
    </row>
    <row r="61" spans="1:27" x14ac:dyDescent="0.4">
      <c r="A61">
        <v>211</v>
      </c>
      <c r="B61" t="str" cm="1">
        <f t="array" aca="1" ref="B61:AA61" ca="1">_xlfn.XLOOKUP(A61,SORT!$U$2:$U$327,_xlfn.ANCHORARRAY(SORT!$A$2),,0)</f>
        <v>LW239433 Corp</v>
      </c>
      <c r="C61" t="str">
        <f ca="1"/>
        <v>Japan Government Forty Year Bond</v>
      </c>
      <c r="D61" t="str">
        <f ca="1"/>
        <v>JGB</v>
      </c>
      <c r="E61" t="str">
        <f ca="1"/>
        <v>JP</v>
      </c>
      <c r="F61" t="str">
        <f ca="1"/>
        <v>JPY</v>
      </c>
      <c r="G61" t="str">
        <f ca="1"/>
        <v>20/03/2056</v>
      </c>
      <c r="H61" t="str">
        <f ca="1"/>
        <v>FIXED</v>
      </c>
      <c r="I61">
        <f ca="1"/>
        <v>2</v>
      </c>
      <c r="J61">
        <f ca="1"/>
        <v>0.4</v>
      </c>
      <c r="K61">
        <f ca="1"/>
        <v>5.1529999998726126</v>
      </c>
      <c r="L61">
        <f ca="1"/>
        <v>5.2119999998502644</v>
      </c>
      <c r="M61">
        <f ca="1"/>
        <v>43.975999999999999</v>
      </c>
      <c r="N61">
        <f ca="1"/>
        <v>43.671999999999997</v>
      </c>
      <c r="O61" t="str">
        <f ca="1"/>
        <v>LW2394333</v>
      </c>
      <c r="P61" t="str">
        <f ca="1"/>
        <v>JP1400091G59</v>
      </c>
      <c r="Q61" t="str">
        <f ca="1"/>
        <v>A+</v>
      </c>
      <c r="R61">
        <f ca="1"/>
        <v>42516</v>
      </c>
      <c r="S61">
        <f ca="1"/>
        <v>46101</v>
      </c>
      <c r="T61" s="45">
        <f ca="1"/>
        <v>29.973990417522245</v>
      </c>
      <c r="U61">
        <f ca="1"/>
        <v>43.823999999999998</v>
      </c>
      <c r="V61">
        <f ca="1"/>
        <v>211</v>
      </c>
      <c r="W61">
        <f ca="1"/>
        <v>29.5</v>
      </c>
      <c r="X61">
        <f ca="1"/>
        <v>10</v>
      </c>
      <c r="Y61">
        <f ca="1"/>
        <v>0.41978021978021984</v>
      </c>
      <c r="Z61">
        <f ca="1"/>
        <v>43.404219780219776</v>
      </c>
      <c r="AA61">
        <f ca="1"/>
        <v>5.1824999998614381</v>
      </c>
    </row>
    <row r="62" spans="1:27" x14ac:dyDescent="0.4">
      <c r="A62">
        <v>7</v>
      </c>
      <c r="B62" t="str" cm="1">
        <f t="array" aca="1" ref="B62:AA62" ca="1">_xlfn.XLOOKUP(A62,SORT!$U$2:$U$327,_xlfn.ANCHORARRAY(SORT!$A$2),,0)</f>
        <v>AN751153 Corp</v>
      </c>
      <c r="C62" t="str">
        <f ca="1"/>
        <v>Japan Government Forty Year Bond</v>
      </c>
      <c r="D62" t="str">
        <f ca="1"/>
        <v>JGB</v>
      </c>
      <c r="E62" t="str">
        <f ca="1"/>
        <v>JP</v>
      </c>
      <c r="F62" t="str">
        <f ca="1"/>
        <v>JPY</v>
      </c>
      <c r="G62" t="str">
        <f ca="1"/>
        <v>20/03/2057</v>
      </c>
      <c r="H62" t="str">
        <f ca="1"/>
        <v>FIXED</v>
      </c>
      <c r="I62">
        <f ca="1"/>
        <v>2</v>
      </c>
      <c r="J62">
        <f ca="1"/>
        <v>0.9</v>
      </c>
      <c r="K62">
        <f ca="1"/>
        <v>4.6299999999999137</v>
      </c>
      <c r="L62">
        <f ca="1"/>
        <v>4.689999999999892</v>
      </c>
      <c r="M62">
        <f ca="1"/>
        <v>52.505000000000003</v>
      </c>
      <c r="N62">
        <f ca="1"/>
        <v>52.106999999999999</v>
      </c>
      <c r="O62" t="str">
        <f ca="1"/>
        <v>AN7511537</v>
      </c>
      <c r="P62" t="str">
        <f ca="1"/>
        <v>JP1400101H56</v>
      </c>
      <c r="Q62" t="str">
        <f ca="1"/>
        <v>A+</v>
      </c>
      <c r="R62">
        <f ca="1"/>
        <v>42880</v>
      </c>
      <c r="S62">
        <f ca="1"/>
        <v>46101</v>
      </c>
      <c r="T62" s="45">
        <f ca="1"/>
        <v>30.973305954825463</v>
      </c>
      <c r="U62">
        <f ca="1"/>
        <v>52.305999999999997</v>
      </c>
      <c r="V62">
        <f ca="1"/>
        <v>7</v>
      </c>
      <c r="W62">
        <f ca="1"/>
        <v>30.5</v>
      </c>
      <c r="X62">
        <f ca="1"/>
        <v>9</v>
      </c>
      <c r="Y62">
        <f ca="1"/>
        <v>0.94450549450549459</v>
      </c>
      <c r="Z62">
        <f ca="1"/>
        <v>51.361494505494505</v>
      </c>
      <c r="AA62">
        <f ca="1"/>
        <v>4.6599999999999024</v>
      </c>
    </row>
    <row r="63" spans="1:27" x14ac:dyDescent="0.4">
      <c r="A63">
        <v>20</v>
      </c>
      <c r="B63" t="str" cm="1">
        <f t="array" aca="1" ref="B63:AA63" ca="1">_xlfn.XLOOKUP(A63,SORT!$U$2:$U$327,_xlfn.ANCHORARRAY(SORT!$A$2),,0)</f>
        <v>AS843222 Corp</v>
      </c>
      <c r="C63" t="str">
        <f ca="1"/>
        <v>Japan Government Forty Year Bond</v>
      </c>
      <c r="D63" t="str">
        <f ca="1"/>
        <v>JGB</v>
      </c>
      <c r="E63" t="str">
        <f ca="1"/>
        <v>JP</v>
      </c>
      <c r="F63" t="str">
        <f ca="1"/>
        <v>JPY</v>
      </c>
      <c r="G63" t="str">
        <f ca="1"/>
        <v>20/03/2058</v>
      </c>
      <c r="H63" t="str">
        <f ca="1"/>
        <v>FIXED</v>
      </c>
      <c r="I63">
        <f ca="1"/>
        <v>2</v>
      </c>
      <c r="J63">
        <f ca="1"/>
        <v>0.8</v>
      </c>
      <c r="K63">
        <f ca="1"/>
        <v>4.7749999999993795</v>
      </c>
      <c r="L63">
        <f ca="1"/>
        <v>4.8359999999992374</v>
      </c>
      <c r="M63">
        <f ca="1"/>
        <v>49.668999999999997</v>
      </c>
      <c r="N63">
        <f ca="1"/>
        <v>49.289000000000001</v>
      </c>
      <c r="O63" t="str">
        <f ca="1"/>
        <v>AS8432229</v>
      </c>
      <c r="P63" t="str">
        <f ca="1"/>
        <v>JP1400111J52</v>
      </c>
      <c r="Q63" t="str">
        <f ca="1"/>
        <v>A+</v>
      </c>
      <c r="R63">
        <f ca="1"/>
        <v>43249</v>
      </c>
      <c r="S63">
        <f ca="1"/>
        <v>46101</v>
      </c>
      <c r="T63" s="45">
        <f ca="1"/>
        <v>31.972621492128678</v>
      </c>
      <c r="U63">
        <f ca="1"/>
        <v>49.478999999999999</v>
      </c>
      <c r="V63">
        <f ca="1"/>
        <v>20</v>
      </c>
      <c r="W63">
        <f ca="1"/>
        <v>31.5</v>
      </c>
      <c r="X63">
        <f ca="1"/>
        <v>8</v>
      </c>
      <c r="Y63">
        <f ca="1"/>
        <v>0.83956043956043969</v>
      </c>
      <c r="Z63">
        <f ca="1"/>
        <v>48.639439560439563</v>
      </c>
      <c r="AA63">
        <f ca="1"/>
        <v>4.8054999999993084</v>
      </c>
    </row>
    <row r="64" spans="1:27" x14ac:dyDescent="0.4">
      <c r="A64">
        <v>326</v>
      </c>
      <c r="B64" t="str" cm="1">
        <f t="array" aca="1" ref="B64:AA64" ca="1">_xlfn.XLOOKUP(A64,SORT!$U$2:$U$327,_xlfn.ANCHORARRAY(SORT!$A$2),,0)</f>
        <v>ZS877644 Corp</v>
      </c>
      <c r="C64" t="str">
        <f ca="1"/>
        <v>Japan Government Forty Year Bond</v>
      </c>
      <c r="D64" t="str">
        <f ca="1"/>
        <v>JGB</v>
      </c>
      <c r="E64" t="str">
        <f ca="1"/>
        <v>JP</v>
      </c>
      <c r="F64" t="str">
        <f ca="1"/>
        <v>JPY</v>
      </c>
      <c r="G64" t="str">
        <f ca="1"/>
        <v>20/03/2059</v>
      </c>
      <c r="H64" t="str">
        <f ca="1"/>
        <v>FIXED</v>
      </c>
      <c r="I64">
        <f ca="1"/>
        <v>2</v>
      </c>
      <c r="J64">
        <f ca="1"/>
        <v>0.5</v>
      </c>
      <c r="K64">
        <f ca="1"/>
        <v>5.2119999998883095</v>
      </c>
      <c r="L64">
        <f ca="1"/>
        <v>5.280999999865454</v>
      </c>
      <c r="M64">
        <f ca="1"/>
        <v>42.817</v>
      </c>
      <c r="N64">
        <f ca="1"/>
        <v>42.462000000000003</v>
      </c>
      <c r="O64" t="str">
        <f ca="1"/>
        <v>ZS8776446</v>
      </c>
      <c r="P64" t="str">
        <f ca="1"/>
        <v>JP1400121K57</v>
      </c>
      <c r="Q64" t="str">
        <f ca="1"/>
        <v>A+</v>
      </c>
      <c r="R64">
        <f ca="1"/>
        <v>43613</v>
      </c>
      <c r="S64">
        <f ca="1"/>
        <v>46101</v>
      </c>
      <c r="T64" s="45">
        <f ca="1"/>
        <v>32.971937029431899</v>
      </c>
      <c r="U64">
        <f ca="1"/>
        <v>42.639499999999998</v>
      </c>
      <c r="V64">
        <f ca="1"/>
        <v>326</v>
      </c>
      <c r="W64">
        <f ca="1"/>
        <v>32.5</v>
      </c>
      <c r="X64">
        <f ca="1"/>
        <v>7</v>
      </c>
      <c r="Y64">
        <f ca="1"/>
        <v>0.52472527472527475</v>
      </c>
      <c r="Z64">
        <f ca="1"/>
        <v>42.114774725274721</v>
      </c>
      <c r="AA64">
        <f ca="1"/>
        <v>5.2464999998768818</v>
      </c>
    </row>
    <row r="65" spans="1:27" x14ac:dyDescent="0.4">
      <c r="A65">
        <v>37</v>
      </c>
      <c r="B65" t="str" cm="1">
        <f t="array" aca="1" ref="B65:AA65" ca="1">_xlfn.XLOOKUP(A65,SORT!$U$2:$U$327,_xlfn.ANCHORARRAY(SORT!$A$2),,0)</f>
        <v>BJ706274 Corp</v>
      </c>
      <c r="C65" t="str">
        <f ca="1"/>
        <v>Japan Government Forty Year Bond</v>
      </c>
      <c r="D65" t="str">
        <f ca="1"/>
        <v>JGB</v>
      </c>
      <c r="E65" t="str">
        <f ca="1"/>
        <v>JP</v>
      </c>
      <c r="F65" t="str">
        <f ca="1"/>
        <v>JPY</v>
      </c>
      <c r="G65" t="str">
        <f ca="1"/>
        <v>20/03/2060</v>
      </c>
      <c r="H65" t="str">
        <f ca="1"/>
        <v>FIXED</v>
      </c>
      <c r="I65">
        <f ca="1"/>
        <v>2</v>
      </c>
      <c r="J65">
        <f ca="1"/>
        <v>0.5</v>
      </c>
      <c r="K65">
        <f ca="1"/>
        <v>5.1569999998758682</v>
      </c>
      <c r="L65">
        <f ca="1"/>
        <v>5.2689999998321353</v>
      </c>
      <c r="M65">
        <f ca="1"/>
        <v>42.478999999999999</v>
      </c>
      <c r="N65">
        <f ca="1"/>
        <v>41.9</v>
      </c>
      <c r="O65" t="str">
        <f ca="1"/>
        <v>BJ7062745</v>
      </c>
      <c r="P65" t="str">
        <f ca="1"/>
        <v>JP1400131L54</v>
      </c>
      <c r="Q65" t="str">
        <f ca="1"/>
        <v>NR</v>
      </c>
      <c r="R65">
        <f ca="1"/>
        <v>43970</v>
      </c>
      <c r="S65">
        <f ca="1"/>
        <v>46101</v>
      </c>
      <c r="T65" s="45">
        <f ca="1"/>
        <v>33.973990417522245</v>
      </c>
      <c r="U65">
        <f ca="1"/>
        <v>42.189499999999995</v>
      </c>
      <c r="V65">
        <f ca="1"/>
        <v>37</v>
      </c>
      <c r="W65">
        <f ca="1"/>
        <v>33.5</v>
      </c>
      <c r="X65">
        <f ca="1"/>
        <v>6</v>
      </c>
      <c r="Y65">
        <f ca="1"/>
        <v>0.52472527472527475</v>
      </c>
      <c r="Z65">
        <f ca="1"/>
        <v>41.664774725274718</v>
      </c>
      <c r="AA65">
        <f ca="1"/>
        <v>5.2129999998540022</v>
      </c>
    </row>
    <row r="66" spans="1:27" x14ac:dyDescent="0.4">
      <c r="A66">
        <v>49</v>
      </c>
      <c r="B66" t="str" cm="1">
        <f t="array" aca="1" ref="B66:AA66" ca="1">_xlfn.XLOOKUP(A66,SORT!$U$2:$U$327,_xlfn.ANCHORARRAY(SORT!$A$2),,0)</f>
        <v>BP809355 Corp</v>
      </c>
      <c r="C66" t="str">
        <f ca="1"/>
        <v>Japan Government Forty Year Bond</v>
      </c>
      <c r="D66" t="str">
        <f ca="1"/>
        <v>JGB</v>
      </c>
      <c r="E66" t="str">
        <f ca="1"/>
        <v>JP</v>
      </c>
      <c r="F66" t="str">
        <f ca="1"/>
        <v>JPY</v>
      </c>
      <c r="G66" t="str">
        <f ca="1"/>
        <v>20/03/2061</v>
      </c>
      <c r="H66" t="str">
        <f ca="1"/>
        <v>FIXED</v>
      </c>
      <c r="I66">
        <f ca="1"/>
        <v>2</v>
      </c>
      <c r="J66">
        <f ca="1"/>
        <v>0.7</v>
      </c>
      <c r="K66">
        <f ca="1"/>
        <v>5.0169999999910688</v>
      </c>
      <c r="L66">
        <f ca="1"/>
        <v>5.0759999999893406</v>
      </c>
      <c r="M66">
        <f ca="1"/>
        <v>45.161999999999999</v>
      </c>
      <c r="N66">
        <f ca="1"/>
        <v>44.826000000000001</v>
      </c>
      <c r="O66" t="str">
        <f ca="1"/>
        <v>BP8093554</v>
      </c>
      <c r="P66" t="str">
        <f ca="1"/>
        <v>JP1400141M51</v>
      </c>
      <c r="Q66" t="str">
        <f ca="1"/>
        <v>A+</v>
      </c>
      <c r="R66">
        <f ca="1"/>
        <v>44336</v>
      </c>
      <c r="S66">
        <f ca="1"/>
        <v>46101</v>
      </c>
      <c r="T66" s="45">
        <f ca="1"/>
        <v>34.973305954825463</v>
      </c>
      <c r="U66">
        <f ca="1"/>
        <v>44.994</v>
      </c>
      <c r="V66">
        <f ca="1"/>
        <v>49</v>
      </c>
      <c r="W66">
        <f ca="1"/>
        <v>34.5</v>
      </c>
      <c r="X66">
        <f ca="1"/>
        <v>5</v>
      </c>
      <c r="Y66">
        <f ca="1"/>
        <v>0.73461538461538456</v>
      </c>
      <c r="Z66">
        <f ca="1"/>
        <v>44.259384615384619</v>
      </c>
      <c r="AA66">
        <f ca="1"/>
        <v>5.0464999999902052</v>
      </c>
    </row>
    <row r="67" spans="1:27" x14ac:dyDescent="0.4">
      <c r="A67">
        <v>66</v>
      </c>
      <c r="B67" t="str" cm="1">
        <f t="array" aca="1" ref="B67:AA67" ca="1">_xlfn.XLOOKUP(A67,SORT!$U$2:$U$327,_xlfn.ANCHORARRAY(SORT!$A$2),,0)</f>
        <v>BW843591 Corp</v>
      </c>
      <c r="C67" t="str">
        <f ca="1"/>
        <v>Japan Government Forty Year Bond</v>
      </c>
      <c r="D67" t="str">
        <f ca="1"/>
        <v>JGB</v>
      </c>
      <c r="E67" t="str">
        <f ca="1"/>
        <v>JP</v>
      </c>
      <c r="F67" t="str">
        <f ca="1"/>
        <v>JPY</v>
      </c>
      <c r="G67" t="str">
        <f ca="1"/>
        <v>20/03/2062</v>
      </c>
      <c r="H67" t="str">
        <f ca="1"/>
        <v>FIXED</v>
      </c>
      <c r="I67">
        <f ca="1"/>
        <v>2</v>
      </c>
      <c r="J67">
        <f ca="1"/>
        <v>1</v>
      </c>
      <c r="K67">
        <f ca="1"/>
        <v>4.7289999999998997</v>
      </c>
      <c r="L67">
        <f ca="1"/>
        <v>4.795999999999875</v>
      </c>
      <c r="M67">
        <f ca="1"/>
        <v>50.313000000000002</v>
      </c>
      <c r="N67">
        <f ca="1"/>
        <v>49.868000000000002</v>
      </c>
      <c r="O67" t="str">
        <f ca="1"/>
        <v>BW8435917</v>
      </c>
      <c r="P67" t="str">
        <f ca="1"/>
        <v>JP1400151N57</v>
      </c>
      <c r="Q67" t="str">
        <f ca="1"/>
        <v>A+</v>
      </c>
      <c r="R67">
        <f ca="1"/>
        <v>44700</v>
      </c>
      <c r="S67">
        <f ca="1"/>
        <v>46101</v>
      </c>
      <c r="T67" s="45">
        <f ca="1"/>
        <v>35.972621492128681</v>
      </c>
      <c r="U67">
        <f ca="1"/>
        <v>50.090500000000006</v>
      </c>
      <c r="V67">
        <f ca="1"/>
        <v>66</v>
      </c>
      <c r="W67">
        <f ca="1"/>
        <v>35.5</v>
      </c>
      <c r="X67">
        <f ca="1"/>
        <v>4</v>
      </c>
      <c r="Y67">
        <f ca="1"/>
        <v>1.0494505494505495</v>
      </c>
      <c r="Z67">
        <f ca="1"/>
        <v>49.041049450549458</v>
      </c>
      <c r="AA67">
        <f ca="1"/>
        <v>4.7624999999998874</v>
      </c>
    </row>
    <row r="68" spans="1:27" x14ac:dyDescent="0.4">
      <c r="A68">
        <v>310</v>
      </c>
      <c r="B68" t="str" cm="1">
        <f t="array" aca="1" ref="B68:AA68" ca="1">_xlfn.XLOOKUP(A68,SORT!$U$2:$U$327,_xlfn.ANCHORARRAY(SORT!$A$2),,0)</f>
        <v>ZK786267 Corp</v>
      </c>
      <c r="C68" t="str">
        <f ca="1"/>
        <v>Japan Government Forty Year Bond</v>
      </c>
      <c r="D68" t="str">
        <f ca="1"/>
        <v>JGB</v>
      </c>
      <c r="E68" t="str">
        <f ca="1"/>
        <v>JP</v>
      </c>
      <c r="F68" t="str">
        <f ca="1"/>
        <v>JPY</v>
      </c>
      <c r="G68" t="str">
        <f ca="1"/>
        <v>20/03/2063</v>
      </c>
      <c r="H68" t="str">
        <f ca="1"/>
        <v>FIXED</v>
      </c>
      <c r="I68">
        <f ca="1"/>
        <v>2</v>
      </c>
      <c r="J68">
        <f ca="1"/>
        <v>1.3</v>
      </c>
      <c r="K68">
        <f ca="1"/>
        <v>4.5439999999999987</v>
      </c>
      <c r="L68">
        <f ca="1"/>
        <v>4.5969999999999995</v>
      </c>
      <c r="M68">
        <f ca="1"/>
        <v>55.223999999999997</v>
      </c>
      <c r="N68">
        <f ca="1"/>
        <v>54.823</v>
      </c>
      <c r="O68" t="str">
        <f ca="1"/>
        <v>ZK7862673</v>
      </c>
      <c r="P68" t="str">
        <f ca="1"/>
        <v>JP1400161P53</v>
      </c>
      <c r="Q68" t="str">
        <f ca="1"/>
        <v>A+</v>
      </c>
      <c r="R68">
        <f ca="1"/>
        <v>45064</v>
      </c>
      <c r="S68">
        <f ca="1"/>
        <v>46101</v>
      </c>
      <c r="T68" s="45">
        <f ca="1"/>
        <v>36.971937029431899</v>
      </c>
      <c r="U68">
        <f ca="1"/>
        <v>55.023499999999999</v>
      </c>
      <c r="V68">
        <f ca="1"/>
        <v>310</v>
      </c>
      <c r="W68">
        <f ca="1"/>
        <v>36.5</v>
      </c>
      <c r="X68">
        <f ca="1"/>
        <v>3</v>
      </c>
      <c r="Y68">
        <f ca="1"/>
        <v>1.3642857142857143</v>
      </c>
      <c r="Z68">
        <f ca="1"/>
        <v>53.659214285714285</v>
      </c>
      <c r="AA68">
        <f ca="1"/>
        <v>4.5704999999999991</v>
      </c>
    </row>
    <row r="69" spans="1:27" x14ac:dyDescent="0.4">
      <c r="A69">
        <v>276</v>
      </c>
      <c r="B69" t="str" cm="1">
        <f t="array" aca="1" ref="B69:AA69" ca="1">_xlfn.XLOOKUP(A69,SORT!$U$2:$U$327,_xlfn.ANCHORARRAY(SORT!$A$2),,0)</f>
        <v>YX270525 Corp</v>
      </c>
      <c r="C69" t="str">
        <f ca="1"/>
        <v>Japan Government Forty Year Bond</v>
      </c>
      <c r="D69" t="str">
        <f ca="1"/>
        <v>JGB</v>
      </c>
      <c r="E69" t="str">
        <f ca="1"/>
        <v>JP</v>
      </c>
      <c r="F69" t="str">
        <f ca="1"/>
        <v>JPY</v>
      </c>
      <c r="G69" t="str">
        <f ca="1"/>
        <v>20/03/2064</v>
      </c>
      <c r="H69" t="str">
        <f ca="1"/>
        <v>FIXED</v>
      </c>
      <c r="I69">
        <f ca="1"/>
        <v>2</v>
      </c>
      <c r="J69">
        <f ca="1"/>
        <v>2.2000000000000002</v>
      </c>
      <c r="K69">
        <f ca="1"/>
        <v>4.0209999999998933</v>
      </c>
      <c r="L69">
        <f ca="1"/>
        <v>4.0719999999998615</v>
      </c>
      <c r="M69">
        <f ca="1"/>
        <v>72.62</v>
      </c>
      <c r="N69">
        <f ca="1"/>
        <v>72.067999999999998</v>
      </c>
      <c r="O69" t="str">
        <f ca="1"/>
        <v>YX2705250</v>
      </c>
      <c r="P69" t="str">
        <f ca="1"/>
        <v>JP1400171Q50</v>
      </c>
      <c r="Q69" t="str">
        <f ca="1"/>
        <v>A+</v>
      </c>
      <c r="R69">
        <f ca="1"/>
        <v>45427</v>
      </c>
      <c r="S69">
        <f ca="1"/>
        <v>46101</v>
      </c>
      <c r="T69" s="45">
        <f ca="1"/>
        <v>37.973990417522245</v>
      </c>
      <c r="U69">
        <f ca="1"/>
        <v>72.343999999999994</v>
      </c>
      <c r="V69">
        <f ca="1"/>
        <v>276</v>
      </c>
      <c r="W69">
        <f ca="1"/>
        <v>37.5</v>
      </c>
      <c r="X69">
        <f ca="1"/>
        <v>2</v>
      </c>
      <c r="Y69">
        <f ca="1"/>
        <v>2.308791208791209</v>
      </c>
      <c r="Z69">
        <f ca="1"/>
        <v>70.035208791208788</v>
      </c>
      <c r="AA69">
        <f ca="1"/>
        <v>4.0464999999998774</v>
      </c>
    </row>
  </sheetData>
  <conditionalFormatting sqref="J1:J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69">
    <cfRule type="cellIs" dxfId="7" priority="1" operator="greaterThan">
      <formula>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729DC-8C85-4461-8449-C74F7AE9A422}">
  <dimension ref="A1:BC75"/>
  <sheetViews>
    <sheetView zoomScale="59" zoomScaleNormal="100" workbookViewId="0">
      <selection activeCell="Z2" sqref="Z2"/>
    </sheetView>
  </sheetViews>
  <sheetFormatPr defaultRowHeight="13.15" x14ac:dyDescent="0.4"/>
  <cols>
    <col min="18" max="18" width="9.86328125" style="3" bestFit="1" customWidth="1"/>
    <col min="20" max="20" width="9" style="45"/>
    <col min="21" max="21" width="9" style="4"/>
  </cols>
  <sheetData>
    <row r="1" spans="1:55" x14ac:dyDescent="0.4">
      <c r="A1" t="s">
        <v>0</v>
      </c>
      <c r="B1" t="str" cm="1">
        <f t="array" aca="1" ref="B1:AA1" ca="1">_xlfn.ANCHORARRAY(SORT!A1)</f>
        <v>Instrument</v>
      </c>
      <c r="C1" t="str">
        <f ca="1"/>
        <v>Name</v>
      </c>
      <c r="D1" t="str">
        <f ca="1"/>
        <v>Ticker</v>
      </c>
      <c r="E1" t="str">
        <f ca="1"/>
        <v>Country/Region</v>
      </c>
      <c r="F1" t="str">
        <f ca="1"/>
        <v>Currency</v>
      </c>
      <c r="G1" t="str">
        <f ca="1"/>
        <v>Maturity</v>
      </c>
      <c r="H1" t="str">
        <f ca="1"/>
        <v>Coupon Type</v>
      </c>
      <c r="I1" t="str">
        <f ca="1"/>
        <v>Coupon Frequency</v>
      </c>
      <c r="J1" t="str">
        <f ca="1"/>
        <v>Coupon</v>
      </c>
      <c r="K1" t="str">
        <f ca="1"/>
        <v>Ask Yield to Maturity</v>
      </c>
      <c r="L1" t="str">
        <f ca="1"/>
        <v>Bid Yield to Maturity</v>
      </c>
      <c r="M1" t="str">
        <f ca="1"/>
        <v>Ask Price</v>
      </c>
      <c r="N1" t="str">
        <f ca="1"/>
        <v>Bid Price</v>
      </c>
      <c r="O1" t="str">
        <f ca="1"/>
        <v>Identifier</v>
      </c>
      <c r="P1" t="str">
        <f ca="1"/>
        <v>ISIN</v>
      </c>
      <c r="Q1" t="str">
        <f ca="1"/>
        <v>Bloomberg Composite Rating</v>
      </c>
      <c r="R1" s="3" t="str">
        <f ca="1"/>
        <v>Announce</v>
      </c>
      <c r="S1" t="str">
        <f ca="1"/>
        <v>Next Coupon Settle Date</v>
      </c>
      <c r="T1" s="44" t="str">
        <f ca="1"/>
        <v>Time</v>
      </c>
      <c r="U1" s="4" t="str">
        <f ca="1"/>
        <v>AVG price</v>
      </c>
      <c r="V1" t="str">
        <f ca="1"/>
        <v>id</v>
      </c>
      <c r="W1" t="str">
        <f ca="1"/>
        <v>TIMEish</v>
      </c>
      <c r="X1" t="str">
        <f ca="1"/>
        <v>years ago</v>
      </c>
      <c r="Y1" t="str">
        <f ca="1"/>
        <v>Accrued Interest</v>
      </c>
      <c r="Z1" t="str">
        <f ca="1"/>
        <v>Clean price</v>
      </c>
      <c r="AA1" t="str">
        <f ca="1"/>
        <v>AVG yield</v>
      </c>
      <c r="AD1" t="str" cm="1">
        <f t="array" aca="1" ref="AD1:BC1" ca="1">_xlfn.ANCHORARRAY(B1)</f>
        <v>Instrument</v>
      </c>
      <c r="AE1" t="str">
        <f ca="1"/>
        <v>Name</v>
      </c>
      <c r="AF1" t="str">
        <f ca="1"/>
        <v>Ticker</v>
      </c>
      <c r="AG1" t="str">
        <f ca="1"/>
        <v>Country/Region</v>
      </c>
      <c r="AH1" t="str">
        <f ca="1"/>
        <v>Currency</v>
      </c>
      <c r="AI1" t="str">
        <f ca="1"/>
        <v>Maturity</v>
      </c>
      <c r="AJ1" t="str">
        <f ca="1"/>
        <v>Coupon Type</v>
      </c>
      <c r="AK1" t="str">
        <f ca="1"/>
        <v>Coupon Frequency</v>
      </c>
      <c r="AL1" t="str">
        <f ca="1"/>
        <v>Coupon</v>
      </c>
      <c r="AM1" t="str">
        <f ca="1"/>
        <v>Ask Yield to Maturity</v>
      </c>
      <c r="AN1" t="str">
        <f ca="1"/>
        <v>Bid Yield to Maturity</v>
      </c>
      <c r="AO1" t="str">
        <f ca="1"/>
        <v>Ask Price</v>
      </c>
      <c r="AP1" t="str">
        <f ca="1"/>
        <v>Bid Price</v>
      </c>
      <c r="AQ1" t="str">
        <f ca="1"/>
        <v>Identifier</v>
      </c>
      <c r="AR1" t="str">
        <f ca="1"/>
        <v>ISIN</v>
      </c>
      <c r="AS1" t="str">
        <f ca="1"/>
        <v>Bloomberg Composite Rating</v>
      </c>
      <c r="AT1" t="str">
        <f ca="1"/>
        <v>Announce</v>
      </c>
      <c r="AU1" t="str">
        <f ca="1"/>
        <v>Next Coupon Settle Date</v>
      </c>
      <c r="AV1" t="str">
        <f ca="1"/>
        <v>Time</v>
      </c>
      <c r="AW1" t="str">
        <f ca="1"/>
        <v>AVG price</v>
      </c>
      <c r="AX1" t="str">
        <f ca="1"/>
        <v>id</v>
      </c>
      <c r="AY1" t="str">
        <f ca="1"/>
        <v>TIMEish</v>
      </c>
      <c r="AZ1" t="str">
        <f ca="1"/>
        <v>years ago</v>
      </c>
      <c r="BA1" t="str">
        <f ca="1"/>
        <v>Accrued Interest</v>
      </c>
      <c r="BB1" t="str">
        <f ca="1"/>
        <v>Clean price</v>
      </c>
      <c r="BC1" t="str">
        <f ca="1"/>
        <v>AVG yield</v>
      </c>
    </row>
    <row r="2" spans="1:55" ht="12.75" x14ac:dyDescent="0.35">
      <c r="B2" t="str" cm="1">
        <f t="array" aca="1" ref="B2:AA41" ca="1">_xlfn._xlws.FILTER(_xlfn.ANCHORARRAY(AD2),OFFSET(AY1,1,,COUNT(AY:AY))&gt;0)</f>
        <v>YR145899 Corp</v>
      </c>
      <c r="C2" t="str">
        <f ca="1"/>
        <v>Japan Government Two Year Bond</v>
      </c>
      <c r="D2" t="str">
        <f ca="1"/>
        <v>JGB</v>
      </c>
      <c r="E2" t="str">
        <f ca="1"/>
        <v>JP</v>
      </c>
      <c r="F2" t="str">
        <f ca="1"/>
        <v>JPY</v>
      </c>
      <c r="G2" t="str">
        <f ca="1"/>
        <v>01/02/2027</v>
      </c>
      <c r="H2" t="str">
        <f ca="1"/>
        <v>FIXED</v>
      </c>
      <c r="I2">
        <f ca="1"/>
        <v>2</v>
      </c>
      <c r="J2">
        <f ca="1"/>
        <v>0.7</v>
      </c>
      <c r="K2">
        <f ca="1"/>
        <v>0.9719999999999771</v>
      </c>
      <c r="L2">
        <f ca="1"/>
        <v>0.99399999999998112</v>
      </c>
      <c r="M2">
        <f ca="1"/>
        <v>99.759</v>
      </c>
      <c r="N2">
        <f ca="1"/>
        <v>99.739000000000004</v>
      </c>
      <c r="O2" t="str">
        <f ca="1"/>
        <v>YR1458995</v>
      </c>
      <c r="P2" t="str">
        <f ca="1"/>
        <v>JP1024691R25</v>
      </c>
      <c r="Q2" t="str">
        <f ca="1"/>
        <v>A+</v>
      </c>
      <c r="R2" s="3">
        <f ca="1"/>
        <v>45681</v>
      </c>
      <c r="S2">
        <f ca="1"/>
        <v>46235</v>
      </c>
      <c r="T2">
        <f ca="1"/>
        <v>0.84325804243668723</v>
      </c>
      <c r="U2" s="4">
        <f ca="1"/>
        <v>99.748999999999995</v>
      </c>
      <c r="V2">
        <f ca="1"/>
        <v>249</v>
      </c>
      <c r="W2">
        <f ca="1"/>
        <v>0.5</v>
      </c>
      <c r="X2" s="4">
        <f ca="1"/>
        <v>1</v>
      </c>
      <c r="Y2" s="4">
        <f ca="1"/>
        <v>0.2192307692307692</v>
      </c>
      <c r="Z2" s="4">
        <f ca="1"/>
        <v>99.529769230769233</v>
      </c>
      <c r="AA2" s="4">
        <f ca="1"/>
        <v>0.98299999999997911</v>
      </c>
      <c r="AB2" s="4"/>
      <c r="AD2" t="str" cm="1">
        <f t="array" aca="1" ref="AD2:BC41" ca="1">_xlfn._xlws.FILTER(_xlfn.ANCHORARRAY(SORT!A2),SORT!W2:W327&lt;=1)</f>
        <v>YR145899 Corp</v>
      </c>
      <c r="AE2" t="str">
        <f ca="1"/>
        <v>Japan Government Two Year Bond</v>
      </c>
      <c r="AF2" t="str">
        <f ca="1"/>
        <v>JGB</v>
      </c>
      <c r="AG2" t="str">
        <f ca="1"/>
        <v>JP</v>
      </c>
      <c r="AH2" t="str">
        <f ca="1"/>
        <v>JPY</v>
      </c>
      <c r="AI2" t="str">
        <f ca="1"/>
        <v>01/02/2027</v>
      </c>
      <c r="AJ2" t="str">
        <f ca="1"/>
        <v>FIXED</v>
      </c>
      <c r="AK2">
        <f ca="1"/>
        <v>2</v>
      </c>
      <c r="AL2">
        <f ca="1"/>
        <v>0.7</v>
      </c>
      <c r="AM2">
        <f ca="1"/>
        <v>0.9719999999999771</v>
      </c>
      <c r="AN2">
        <f ca="1"/>
        <v>0.99399999999998112</v>
      </c>
      <c r="AO2">
        <f ca="1"/>
        <v>99.759</v>
      </c>
      <c r="AP2">
        <f ca="1"/>
        <v>99.739000000000004</v>
      </c>
      <c r="AQ2" t="str">
        <f ca="1"/>
        <v>YR1458995</v>
      </c>
      <c r="AR2" t="str">
        <f ca="1"/>
        <v>JP1024691R25</v>
      </c>
      <c r="AS2" t="str">
        <f ca="1"/>
        <v>A+</v>
      </c>
      <c r="AT2">
        <f ca="1"/>
        <v>45681</v>
      </c>
      <c r="AU2">
        <f ca="1"/>
        <v>46235</v>
      </c>
      <c r="AV2">
        <f ca="1"/>
        <v>0.84325804243668723</v>
      </c>
      <c r="AW2">
        <f ca="1"/>
        <v>99.748999999999995</v>
      </c>
      <c r="AX2">
        <f ca="1"/>
        <v>249</v>
      </c>
      <c r="AY2">
        <f ca="1"/>
        <v>0.5</v>
      </c>
      <c r="AZ2">
        <f ca="1"/>
        <v>1</v>
      </c>
      <c r="BA2">
        <f ca="1"/>
        <v>0.2192307692307692</v>
      </c>
      <c r="BB2">
        <f ca="1"/>
        <v>99.529769230769233</v>
      </c>
      <c r="BC2">
        <f ca="1"/>
        <v>0.98299999999997911</v>
      </c>
    </row>
    <row r="3" spans="1:55" ht="12.75" x14ac:dyDescent="0.35">
      <c r="B3" t="str">
        <f ca="1"/>
        <v>YR907955 Corp</v>
      </c>
      <c r="C3" t="str">
        <f ca="1"/>
        <v>Japan Government Two Year Bond</v>
      </c>
      <c r="D3" t="str">
        <f ca="1"/>
        <v>JGB</v>
      </c>
      <c r="E3" t="str">
        <f ca="1"/>
        <v>JP</v>
      </c>
      <c r="F3" t="str">
        <f ca="1"/>
        <v>JPY</v>
      </c>
      <c r="G3" t="str">
        <f ca="1"/>
        <v>01/03/2027</v>
      </c>
      <c r="H3" t="str">
        <f ca="1"/>
        <v>FIXED</v>
      </c>
      <c r="I3">
        <f ca="1"/>
        <v>2</v>
      </c>
      <c r="J3">
        <f ca="1"/>
        <v>0.8</v>
      </c>
      <c r="K3">
        <f ca="1"/>
        <v>0.97599999965068007</v>
      </c>
      <c r="L3">
        <f ca="1"/>
        <v>0.99899999955023644</v>
      </c>
      <c r="M3">
        <f ca="1"/>
        <v>99.83</v>
      </c>
      <c r="N3">
        <f ca="1"/>
        <v>99.808000000000007</v>
      </c>
      <c r="O3" t="str">
        <f ca="1"/>
        <v>YR9079553</v>
      </c>
      <c r="P3" t="str">
        <f ca="1"/>
        <v>JP1024701R31</v>
      </c>
      <c r="Q3" t="str">
        <f ca="1"/>
        <v>A+</v>
      </c>
      <c r="R3" s="3">
        <f ca="1"/>
        <v>45708</v>
      </c>
      <c r="S3">
        <f ca="1"/>
        <v>46266</v>
      </c>
      <c r="T3">
        <f ca="1"/>
        <v>0.91991786447638602</v>
      </c>
      <c r="U3" s="4">
        <f ca="1"/>
        <v>99.819000000000003</v>
      </c>
      <c r="V3">
        <f ca="1"/>
        <v>251</v>
      </c>
      <c r="W3">
        <f ca="1"/>
        <v>0.5</v>
      </c>
      <c r="X3" s="4">
        <f ca="1"/>
        <v>1</v>
      </c>
      <c r="Y3" s="4">
        <f ca="1"/>
        <v>0.12747252747252746</v>
      </c>
      <c r="Z3" s="4">
        <f ca="1"/>
        <v>99.691527472527468</v>
      </c>
      <c r="AA3" s="4">
        <f ca="1"/>
        <v>0.98749999960045831</v>
      </c>
      <c r="AB3" s="4"/>
      <c r="AD3" t="str">
        <f ca="1"/>
        <v>YR907955 Corp</v>
      </c>
      <c r="AE3" t="str">
        <f ca="1"/>
        <v>Japan Government Two Year Bond</v>
      </c>
      <c r="AF3" t="str">
        <f ca="1"/>
        <v>JGB</v>
      </c>
      <c r="AG3" t="str">
        <f ca="1"/>
        <v>JP</v>
      </c>
      <c r="AH3" t="str">
        <f ca="1"/>
        <v>JPY</v>
      </c>
      <c r="AI3" t="str">
        <f ca="1"/>
        <v>01/03/2027</v>
      </c>
      <c r="AJ3" t="str">
        <f ca="1"/>
        <v>FIXED</v>
      </c>
      <c r="AK3">
        <f ca="1"/>
        <v>2</v>
      </c>
      <c r="AL3">
        <f ca="1"/>
        <v>0.8</v>
      </c>
      <c r="AM3">
        <f ca="1"/>
        <v>0.97599999965068007</v>
      </c>
      <c r="AN3">
        <f ca="1"/>
        <v>0.99899999955023644</v>
      </c>
      <c r="AO3">
        <f ca="1"/>
        <v>99.83</v>
      </c>
      <c r="AP3">
        <f ca="1"/>
        <v>99.808000000000007</v>
      </c>
      <c r="AQ3" t="str">
        <f ca="1"/>
        <v>YR9079553</v>
      </c>
      <c r="AR3" t="str">
        <f ca="1"/>
        <v>JP1024701R31</v>
      </c>
      <c r="AS3" t="str">
        <f ca="1"/>
        <v>A+</v>
      </c>
      <c r="AT3">
        <f ca="1"/>
        <v>45708</v>
      </c>
      <c r="AU3">
        <f ca="1"/>
        <v>46266</v>
      </c>
      <c r="AV3">
        <f ca="1"/>
        <v>0.91991786447638602</v>
      </c>
      <c r="AW3">
        <f ca="1"/>
        <v>99.819000000000003</v>
      </c>
      <c r="AX3">
        <f ca="1"/>
        <v>251</v>
      </c>
      <c r="AY3">
        <f ca="1"/>
        <v>0.5</v>
      </c>
      <c r="AZ3">
        <f ca="1"/>
        <v>1</v>
      </c>
      <c r="BA3">
        <f ca="1"/>
        <v>0.12747252747252746</v>
      </c>
      <c r="BB3">
        <f ca="1"/>
        <v>99.691527472527468</v>
      </c>
      <c r="BC3">
        <f ca="1"/>
        <v>0.98749999960045831</v>
      </c>
    </row>
    <row r="4" spans="1:55" ht="12.75" x14ac:dyDescent="0.35">
      <c r="B4" t="str">
        <f ca="1"/>
        <v>YQ865312 Corp</v>
      </c>
      <c r="C4" t="str">
        <f ca="1"/>
        <v>Japan Government Two Year Bond</v>
      </c>
      <c r="D4" t="str">
        <f ca="1"/>
        <v>JGB</v>
      </c>
      <c r="E4" t="str">
        <f ca="1"/>
        <v>JP</v>
      </c>
      <c r="F4" t="str">
        <f ca="1"/>
        <v>JPY</v>
      </c>
      <c r="G4" t="str">
        <f ca="1"/>
        <v>01/04/2027</v>
      </c>
      <c r="H4" t="str">
        <f ca="1"/>
        <v>FIXED</v>
      </c>
      <c r="I4">
        <f ca="1"/>
        <v>2</v>
      </c>
      <c r="J4">
        <f ca="1"/>
        <v>0.9</v>
      </c>
      <c r="K4">
        <f ca="1"/>
        <v>0.99099999999992283</v>
      </c>
      <c r="L4">
        <f ca="1"/>
        <v>1.0139999999998559</v>
      </c>
      <c r="M4">
        <f ca="1"/>
        <v>99.905000000000001</v>
      </c>
      <c r="N4">
        <f ca="1"/>
        <v>99.881</v>
      </c>
      <c r="O4" t="str">
        <f ca="1"/>
        <v>YQ8653129</v>
      </c>
      <c r="P4" t="str">
        <f ca="1"/>
        <v>JP1024711R47</v>
      </c>
      <c r="Q4" t="str">
        <f ca="1"/>
        <v>A+</v>
      </c>
      <c r="R4" s="3">
        <f ca="1"/>
        <v>45740</v>
      </c>
      <c r="S4">
        <f ca="1"/>
        <v>46113</v>
      </c>
      <c r="T4">
        <f ca="1"/>
        <v>1.0047912388774811</v>
      </c>
      <c r="U4" s="4">
        <f ca="1"/>
        <v>99.893000000000001</v>
      </c>
      <c r="V4">
        <f ca="1"/>
        <v>247</v>
      </c>
      <c r="W4">
        <f ca="1"/>
        <v>1</v>
      </c>
      <c r="X4" s="4">
        <f ca="1"/>
        <v>1</v>
      </c>
      <c r="Y4" s="4">
        <f ca="1"/>
        <v>0.89010989010989017</v>
      </c>
      <c r="Z4" s="4">
        <f ca="1"/>
        <v>99.002890109890117</v>
      </c>
      <c r="AA4" s="4">
        <f ca="1"/>
        <v>1.0024999999998894</v>
      </c>
      <c r="AB4" s="4"/>
      <c r="AD4" t="str">
        <f ca="1"/>
        <v>YQ865312 Corp</v>
      </c>
      <c r="AE4" t="str">
        <f ca="1"/>
        <v>Japan Government Two Year Bond</v>
      </c>
      <c r="AF4" t="str">
        <f ca="1"/>
        <v>JGB</v>
      </c>
      <c r="AG4" t="str">
        <f ca="1"/>
        <v>JP</v>
      </c>
      <c r="AH4" t="str">
        <f ca="1"/>
        <v>JPY</v>
      </c>
      <c r="AI4" t="str">
        <f ca="1"/>
        <v>01/04/2027</v>
      </c>
      <c r="AJ4" t="str">
        <f ca="1"/>
        <v>FIXED</v>
      </c>
      <c r="AK4">
        <f ca="1"/>
        <v>2</v>
      </c>
      <c r="AL4">
        <f ca="1"/>
        <v>0.9</v>
      </c>
      <c r="AM4">
        <f ca="1"/>
        <v>0.99099999999992283</v>
      </c>
      <c r="AN4">
        <f ca="1"/>
        <v>1.0139999999998559</v>
      </c>
      <c r="AO4">
        <f ca="1"/>
        <v>99.905000000000001</v>
      </c>
      <c r="AP4">
        <f ca="1"/>
        <v>99.881</v>
      </c>
      <c r="AQ4" t="str">
        <f ca="1"/>
        <v>YQ8653129</v>
      </c>
      <c r="AR4" t="str">
        <f ca="1"/>
        <v>JP1024711R47</v>
      </c>
      <c r="AS4" t="str">
        <f ca="1"/>
        <v>A+</v>
      </c>
      <c r="AT4">
        <f ca="1"/>
        <v>45740</v>
      </c>
      <c r="AU4">
        <f ca="1"/>
        <v>46113</v>
      </c>
      <c r="AV4">
        <f ca="1"/>
        <v>1.0047912388774811</v>
      </c>
      <c r="AW4">
        <f ca="1"/>
        <v>99.893000000000001</v>
      </c>
      <c r="AX4">
        <f ca="1"/>
        <v>247</v>
      </c>
      <c r="AY4">
        <f ca="1"/>
        <v>1</v>
      </c>
      <c r="AZ4">
        <f ca="1"/>
        <v>1</v>
      </c>
      <c r="BA4">
        <f ca="1"/>
        <v>0.89010989010989017</v>
      </c>
      <c r="BB4">
        <f ca="1"/>
        <v>99.002890109890117</v>
      </c>
      <c r="BC4">
        <f ca="1"/>
        <v>1.0024999999998894</v>
      </c>
    </row>
    <row r="5" spans="1:55" ht="12.75" x14ac:dyDescent="0.35">
      <c r="B5" t="str">
        <f ca="1"/>
        <v>YP920263 Corp</v>
      </c>
      <c r="C5" t="str">
        <f ca="1"/>
        <v>Japan Government Two Year Bond</v>
      </c>
      <c r="D5" t="str">
        <f ca="1"/>
        <v>JGB</v>
      </c>
      <c r="E5" t="str">
        <f ca="1"/>
        <v>JP</v>
      </c>
      <c r="F5" t="str">
        <f ca="1"/>
        <v>JPY</v>
      </c>
      <c r="G5" t="str">
        <f ca="1"/>
        <v>01/05/2027</v>
      </c>
      <c r="H5" t="str">
        <f ca="1"/>
        <v>FIXED</v>
      </c>
      <c r="I5">
        <f ca="1"/>
        <v>2</v>
      </c>
      <c r="J5">
        <f ca="1"/>
        <v>0.7</v>
      </c>
      <c r="K5">
        <f ca="1"/>
        <v>1.0129999999965369</v>
      </c>
      <c r="L5">
        <f ca="1"/>
        <v>1.035999999995648</v>
      </c>
      <c r="M5">
        <f ca="1"/>
        <v>99.647999999999996</v>
      </c>
      <c r="N5">
        <f ca="1"/>
        <v>99.622</v>
      </c>
      <c r="O5" t="str">
        <f ca="1"/>
        <v>YP9202639</v>
      </c>
      <c r="P5" t="str">
        <f ca="1"/>
        <v>JP1024721R52</v>
      </c>
      <c r="Q5" t="str">
        <f ca="1"/>
        <v>A+</v>
      </c>
      <c r="R5" s="3">
        <f ca="1"/>
        <v>45764</v>
      </c>
      <c r="S5">
        <f ca="1"/>
        <v>46143</v>
      </c>
      <c r="T5">
        <f ca="1"/>
        <v>1.0869267624914443</v>
      </c>
      <c r="U5" s="4">
        <f ca="1"/>
        <v>99.634999999999991</v>
      </c>
      <c r="V5">
        <f ca="1"/>
        <v>245</v>
      </c>
      <c r="W5">
        <f ca="1"/>
        <v>1</v>
      </c>
      <c r="X5" s="4">
        <f ca="1"/>
        <v>1</v>
      </c>
      <c r="Y5" s="4">
        <f ca="1"/>
        <v>0.57307692307692304</v>
      </c>
      <c r="Z5" s="4">
        <f ca="1"/>
        <v>99.061923076923065</v>
      </c>
      <c r="AA5" s="4">
        <f ca="1"/>
        <v>1.0244999999960924</v>
      </c>
      <c r="AB5" s="4"/>
      <c r="AD5" t="str">
        <f ca="1"/>
        <v>YP920263 Corp</v>
      </c>
      <c r="AE5" t="str">
        <f ca="1"/>
        <v>Japan Government Two Year Bond</v>
      </c>
      <c r="AF5" t="str">
        <f ca="1"/>
        <v>JGB</v>
      </c>
      <c r="AG5" t="str">
        <f ca="1"/>
        <v>JP</v>
      </c>
      <c r="AH5" t="str">
        <f ca="1"/>
        <v>JPY</v>
      </c>
      <c r="AI5" t="str">
        <f ca="1"/>
        <v>01/05/2027</v>
      </c>
      <c r="AJ5" t="str">
        <f ca="1"/>
        <v>FIXED</v>
      </c>
      <c r="AK5">
        <f ca="1"/>
        <v>2</v>
      </c>
      <c r="AL5">
        <f ca="1"/>
        <v>0.7</v>
      </c>
      <c r="AM5">
        <f ca="1"/>
        <v>1.0129999999965369</v>
      </c>
      <c r="AN5">
        <f ca="1"/>
        <v>1.035999999995648</v>
      </c>
      <c r="AO5">
        <f ca="1"/>
        <v>99.647999999999996</v>
      </c>
      <c r="AP5">
        <f ca="1"/>
        <v>99.622</v>
      </c>
      <c r="AQ5" t="str">
        <f ca="1"/>
        <v>YP9202639</v>
      </c>
      <c r="AR5" t="str">
        <f ca="1"/>
        <v>JP1024721R52</v>
      </c>
      <c r="AS5" t="str">
        <f ca="1"/>
        <v>A+</v>
      </c>
      <c r="AT5">
        <f ca="1"/>
        <v>45764</v>
      </c>
      <c r="AU5">
        <f ca="1"/>
        <v>46143</v>
      </c>
      <c r="AV5">
        <f ca="1"/>
        <v>1.0869267624914443</v>
      </c>
      <c r="AW5">
        <f ca="1"/>
        <v>99.634999999999991</v>
      </c>
      <c r="AX5">
        <f ca="1"/>
        <v>245</v>
      </c>
      <c r="AY5">
        <f ca="1"/>
        <v>1</v>
      </c>
      <c r="AZ5">
        <f ca="1"/>
        <v>1</v>
      </c>
      <c r="BA5">
        <f ca="1"/>
        <v>0.57307692307692304</v>
      </c>
      <c r="BB5">
        <f ca="1"/>
        <v>99.061923076923065</v>
      </c>
      <c r="BC5">
        <f ca="1"/>
        <v>1.0244999999960924</v>
      </c>
    </row>
    <row r="6" spans="1:55" ht="12.75" x14ac:dyDescent="0.35">
      <c r="B6" t="str">
        <f ca="1"/>
        <v>YN009853 Corp</v>
      </c>
      <c r="C6" t="str">
        <f ca="1"/>
        <v>Japan Government Two Year Bond</v>
      </c>
      <c r="D6" t="str">
        <f ca="1"/>
        <v>JGB</v>
      </c>
      <c r="E6" t="str">
        <f ca="1"/>
        <v>JP</v>
      </c>
      <c r="F6" t="str">
        <f ca="1"/>
        <v>JPY</v>
      </c>
      <c r="G6" t="str">
        <f ca="1"/>
        <v>01/06/2027</v>
      </c>
      <c r="H6" t="str">
        <f ca="1"/>
        <v>FIXED</v>
      </c>
      <c r="I6">
        <f ca="1"/>
        <v>2</v>
      </c>
      <c r="J6">
        <f ca="1"/>
        <v>0.8</v>
      </c>
      <c r="K6">
        <f ca="1"/>
        <v>1.0559999999984435</v>
      </c>
      <c r="L6">
        <f ca="1"/>
        <v>1.0759999999980203</v>
      </c>
      <c r="M6">
        <f ca="1"/>
        <v>99.691000000000003</v>
      </c>
      <c r="N6">
        <f ca="1"/>
        <v>99.667000000000002</v>
      </c>
      <c r="O6" t="str">
        <f ca="1"/>
        <v>YN0098536</v>
      </c>
      <c r="P6" t="str">
        <f ca="1"/>
        <v>JP1024731R68</v>
      </c>
      <c r="Q6" t="str">
        <f ca="1"/>
        <v>A+</v>
      </c>
      <c r="R6" s="3">
        <f ca="1"/>
        <v>45800</v>
      </c>
      <c r="S6">
        <f ca="1"/>
        <v>46174</v>
      </c>
      <c r="T6">
        <f ca="1"/>
        <v>1.1718001368925393</v>
      </c>
      <c r="U6" s="4">
        <f ca="1"/>
        <v>99.679000000000002</v>
      </c>
      <c r="V6">
        <f ca="1"/>
        <v>237</v>
      </c>
      <c r="W6">
        <f ca="1"/>
        <v>1</v>
      </c>
      <c r="X6" s="4">
        <f ca="1"/>
        <v>1</v>
      </c>
      <c r="Y6" s="4">
        <f ca="1"/>
        <v>0.52307692307692311</v>
      </c>
      <c r="Z6" s="4">
        <f ca="1"/>
        <v>99.155923076923074</v>
      </c>
      <c r="AA6" s="4">
        <f ca="1"/>
        <v>1.0659999999982319</v>
      </c>
      <c r="AB6" s="4"/>
      <c r="AD6" t="str">
        <f ca="1"/>
        <v>YN009853 Corp</v>
      </c>
      <c r="AE6" t="str">
        <f ca="1"/>
        <v>Japan Government Two Year Bond</v>
      </c>
      <c r="AF6" t="str">
        <f ca="1"/>
        <v>JGB</v>
      </c>
      <c r="AG6" t="str">
        <f ca="1"/>
        <v>JP</v>
      </c>
      <c r="AH6" t="str">
        <f ca="1"/>
        <v>JPY</v>
      </c>
      <c r="AI6" t="str">
        <f ca="1"/>
        <v>01/06/2027</v>
      </c>
      <c r="AJ6" t="str">
        <f ca="1"/>
        <v>FIXED</v>
      </c>
      <c r="AK6">
        <f ca="1"/>
        <v>2</v>
      </c>
      <c r="AL6">
        <f ca="1"/>
        <v>0.8</v>
      </c>
      <c r="AM6">
        <f ca="1"/>
        <v>1.0559999999984435</v>
      </c>
      <c r="AN6">
        <f ca="1"/>
        <v>1.0759999999980203</v>
      </c>
      <c r="AO6">
        <f ca="1"/>
        <v>99.691000000000003</v>
      </c>
      <c r="AP6">
        <f ca="1"/>
        <v>99.667000000000002</v>
      </c>
      <c r="AQ6" t="str">
        <f ca="1"/>
        <v>YN0098536</v>
      </c>
      <c r="AR6" t="str">
        <f ca="1"/>
        <v>JP1024731R68</v>
      </c>
      <c r="AS6" t="str">
        <f ca="1"/>
        <v>A+</v>
      </c>
      <c r="AT6">
        <f ca="1"/>
        <v>45800</v>
      </c>
      <c r="AU6">
        <f ca="1"/>
        <v>46174</v>
      </c>
      <c r="AV6">
        <f ca="1"/>
        <v>1.1718001368925393</v>
      </c>
      <c r="AW6">
        <f ca="1"/>
        <v>99.679000000000002</v>
      </c>
      <c r="AX6">
        <f ca="1"/>
        <v>237</v>
      </c>
      <c r="AY6">
        <f ca="1"/>
        <v>1</v>
      </c>
      <c r="AZ6">
        <f ca="1"/>
        <v>1</v>
      </c>
      <c r="BA6">
        <f ca="1"/>
        <v>0.52307692307692311</v>
      </c>
      <c r="BB6">
        <f ca="1"/>
        <v>99.155923076923074</v>
      </c>
      <c r="BC6">
        <f ca="1"/>
        <v>1.0659999999982319</v>
      </c>
    </row>
    <row r="7" spans="1:55" ht="12.75" x14ac:dyDescent="0.35">
      <c r="B7" t="str">
        <f ca="1"/>
        <v>YN766681 Corp</v>
      </c>
      <c r="C7" t="str">
        <f ca="1"/>
        <v>Japan Government Two Year Bond</v>
      </c>
      <c r="D7" t="str">
        <f ca="1"/>
        <v>JGB</v>
      </c>
      <c r="E7" t="str">
        <f ca="1"/>
        <v>JP</v>
      </c>
      <c r="F7" t="str">
        <f ca="1"/>
        <v>JPY</v>
      </c>
      <c r="G7" t="str">
        <f ca="1"/>
        <v>01/07/2027</v>
      </c>
      <c r="H7" t="str">
        <f ca="1"/>
        <v>FIXED</v>
      </c>
      <c r="I7">
        <f ca="1"/>
        <v>2</v>
      </c>
      <c r="J7">
        <f ca="1"/>
        <v>0.7</v>
      </c>
      <c r="K7">
        <f ca="1"/>
        <v>1.0839999999951573</v>
      </c>
      <c r="L7">
        <f ca="1"/>
        <v>1.1039999999942998</v>
      </c>
      <c r="M7">
        <f ca="1"/>
        <v>99.506</v>
      </c>
      <c r="N7">
        <f ca="1"/>
        <v>99.48</v>
      </c>
      <c r="O7" t="str">
        <f ca="1"/>
        <v>YN7666814</v>
      </c>
      <c r="P7" t="str">
        <f ca="1"/>
        <v>JP1024741R74</v>
      </c>
      <c r="Q7" t="str">
        <f ca="1"/>
        <v>A+</v>
      </c>
      <c r="R7" s="3">
        <f ca="1"/>
        <v>45827</v>
      </c>
      <c r="S7">
        <f ca="1"/>
        <v>46204</v>
      </c>
      <c r="T7">
        <f ca="1"/>
        <v>1.2539356605065024</v>
      </c>
      <c r="U7" s="4">
        <f ca="1"/>
        <v>99.492999999999995</v>
      </c>
      <c r="V7">
        <f ca="1"/>
        <v>238</v>
      </c>
      <c r="W7">
        <f ca="1"/>
        <v>1</v>
      </c>
      <c r="X7" s="4">
        <f ca="1"/>
        <v>1</v>
      </c>
      <c r="Y7" s="4">
        <f ca="1"/>
        <v>0.33846153846153842</v>
      </c>
      <c r="Z7" s="4">
        <f ca="1"/>
        <v>99.154538461538451</v>
      </c>
      <c r="AA7" s="4">
        <f ca="1"/>
        <v>1.0939999999947285</v>
      </c>
      <c r="AB7" s="4"/>
      <c r="AD7" t="str">
        <f ca="1"/>
        <v>YN766681 Corp</v>
      </c>
      <c r="AE7" t="str">
        <f ca="1"/>
        <v>Japan Government Two Year Bond</v>
      </c>
      <c r="AF7" t="str">
        <f ca="1"/>
        <v>JGB</v>
      </c>
      <c r="AG7" t="str">
        <f ca="1"/>
        <v>JP</v>
      </c>
      <c r="AH7" t="str">
        <f ca="1"/>
        <v>JPY</v>
      </c>
      <c r="AI7" t="str">
        <f ca="1"/>
        <v>01/07/2027</v>
      </c>
      <c r="AJ7" t="str">
        <f ca="1"/>
        <v>FIXED</v>
      </c>
      <c r="AK7">
        <f ca="1"/>
        <v>2</v>
      </c>
      <c r="AL7">
        <f ca="1"/>
        <v>0.7</v>
      </c>
      <c r="AM7">
        <f ca="1"/>
        <v>1.0839999999951573</v>
      </c>
      <c r="AN7">
        <f ca="1"/>
        <v>1.1039999999942998</v>
      </c>
      <c r="AO7">
        <f ca="1"/>
        <v>99.506</v>
      </c>
      <c r="AP7">
        <f ca="1"/>
        <v>99.48</v>
      </c>
      <c r="AQ7" t="str">
        <f ca="1"/>
        <v>YN7666814</v>
      </c>
      <c r="AR7" t="str">
        <f ca="1"/>
        <v>JP1024741R74</v>
      </c>
      <c r="AS7" t="str">
        <f ca="1"/>
        <v>A+</v>
      </c>
      <c r="AT7">
        <f ca="1"/>
        <v>45827</v>
      </c>
      <c r="AU7">
        <f ca="1"/>
        <v>46204</v>
      </c>
      <c r="AV7">
        <f ca="1"/>
        <v>1.2539356605065024</v>
      </c>
      <c r="AW7">
        <f ca="1"/>
        <v>99.492999999999995</v>
      </c>
      <c r="AX7">
        <f ca="1"/>
        <v>238</v>
      </c>
      <c r="AY7">
        <f ca="1"/>
        <v>1</v>
      </c>
      <c r="AZ7">
        <f ca="1"/>
        <v>1</v>
      </c>
      <c r="BA7">
        <f ca="1"/>
        <v>0.33846153846153842</v>
      </c>
      <c r="BB7">
        <f ca="1"/>
        <v>99.154538461538451</v>
      </c>
      <c r="BC7">
        <f ca="1"/>
        <v>1.0939999999947285</v>
      </c>
    </row>
    <row r="8" spans="1:55" ht="12.75" x14ac:dyDescent="0.35">
      <c r="B8" t="str">
        <f ca="1"/>
        <v>YM801404 Corp</v>
      </c>
      <c r="C8" t="str">
        <f ca="1"/>
        <v>Japan Government Two Year Bond</v>
      </c>
      <c r="D8" t="str">
        <f ca="1"/>
        <v>JGB</v>
      </c>
      <c r="E8" t="str">
        <f ca="1"/>
        <v>JP</v>
      </c>
      <c r="F8" t="str">
        <f ca="1"/>
        <v>JPY</v>
      </c>
      <c r="G8" t="str">
        <f ca="1"/>
        <v>01/08/2027</v>
      </c>
      <c r="H8" t="str">
        <f ca="1"/>
        <v>FIXED</v>
      </c>
      <c r="I8">
        <f ca="1"/>
        <v>2</v>
      </c>
      <c r="J8">
        <f ca="1"/>
        <v>0.9</v>
      </c>
      <c r="K8">
        <f ca="1"/>
        <v>1.1079999999994732</v>
      </c>
      <c r="L8">
        <f ca="1"/>
        <v>1.1299999999992814</v>
      </c>
      <c r="M8">
        <f ca="1"/>
        <v>99.715000000000003</v>
      </c>
      <c r="N8">
        <f ca="1"/>
        <v>99.685000000000002</v>
      </c>
      <c r="O8" t="str">
        <f ca="1"/>
        <v>YM8014040</v>
      </c>
      <c r="P8" t="str">
        <f ca="1"/>
        <v>JP1024751R89</v>
      </c>
      <c r="Q8" t="str">
        <f ca="1"/>
        <v>A+</v>
      </c>
      <c r="R8" s="3">
        <f ca="1"/>
        <v>45860</v>
      </c>
      <c r="S8">
        <f ca="1"/>
        <v>46235</v>
      </c>
      <c r="T8">
        <f ca="1"/>
        <v>1.3388090349075976</v>
      </c>
      <c r="U8" s="4">
        <f ca="1"/>
        <v>99.7</v>
      </c>
      <c r="V8">
        <f ca="1"/>
        <v>236</v>
      </c>
      <c r="W8">
        <f ca="1"/>
        <v>1</v>
      </c>
      <c r="X8" s="4">
        <f ca="1"/>
        <v>1</v>
      </c>
      <c r="Y8" s="4">
        <f ca="1"/>
        <v>0.28186813186813187</v>
      </c>
      <c r="Z8" s="4">
        <f ca="1"/>
        <v>99.418131868131866</v>
      </c>
      <c r="AA8" s="4">
        <f ca="1"/>
        <v>1.1189999999993772</v>
      </c>
      <c r="AB8" s="4"/>
      <c r="AD8" t="str">
        <f ca="1"/>
        <v>YM801404 Corp</v>
      </c>
      <c r="AE8" t="str">
        <f ca="1"/>
        <v>Japan Government Two Year Bond</v>
      </c>
      <c r="AF8" t="str">
        <f ca="1"/>
        <v>JGB</v>
      </c>
      <c r="AG8" t="str">
        <f ca="1"/>
        <v>JP</v>
      </c>
      <c r="AH8" t="str">
        <f ca="1"/>
        <v>JPY</v>
      </c>
      <c r="AI8" t="str">
        <f ca="1"/>
        <v>01/08/2027</v>
      </c>
      <c r="AJ8" t="str">
        <f ca="1"/>
        <v>FIXED</v>
      </c>
      <c r="AK8">
        <f ca="1"/>
        <v>2</v>
      </c>
      <c r="AL8">
        <f ca="1"/>
        <v>0.9</v>
      </c>
      <c r="AM8">
        <f ca="1"/>
        <v>1.1079999999994732</v>
      </c>
      <c r="AN8">
        <f ca="1"/>
        <v>1.1299999999992814</v>
      </c>
      <c r="AO8">
        <f ca="1"/>
        <v>99.715000000000003</v>
      </c>
      <c r="AP8">
        <f ca="1"/>
        <v>99.685000000000002</v>
      </c>
      <c r="AQ8" t="str">
        <f ca="1"/>
        <v>YM8014040</v>
      </c>
      <c r="AR8" t="str">
        <f ca="1"/>
        <v>JP1024751R89</v>
      </c>
      <c r="AS8" t="str">
        <f ca="1"/>
        <v>A+</v>
      </c>
      <c r="AT8">
        <f ca="1"/>
        <v>45860</v>
      </c>
      <c r="AU8">
        <f ca="1"/>
        <v>46235</v>
      </c>
      <c r="AV8">
        <f ca="1"/>
        <v>1.3388090349075976</v>
      </c>
      <c r="AW8">
        <f ca="1"/>
        <v>99.7</v>
      </c>
      <c r="AX8">
        <f ca="1"/>
        <v>236</v>
      </c>
      <c r="AY8">
        <f ca="1"/>
        <v>1</v>
      </c>
      <c r="AZ8">
        <f ca="1"/>
        <v>1</v>
      </c>
      <c r="BA8">
        <f ca="1"/>
        <v>0.28186813186813187</v>
      </c>
      <c r="BB8">
        <f ca="1"/>
        <v>99.418131868131866</v>
      </c>
      <c r="BC8">
        <f ca="1"/>
        <v>1.1189999999993772</v>
      </c>
    </row>
    <row r="9" spans="1:55" ht="12.75" x14ac:dyDescent="0.35">
      <c r="B9" t="str">
        <f ca="1"/>
        <v>YL701515 Corp</v>
      </c>
      <c r="C9" t="str">
        <f ca="1"/>
        <v>Japan Government Two Year Bond</v>
      </c>
      <c r="D9" t="str">
        <f ca="1"/>
        <v>JGB</v>
      </c>
      <c r="E9" t="str">
        <f ca="1"/>
        <v>JP</v>
      </c>
      <c r="F9" t="str">
        <f ca="1"/>
        <v>JPY</v>
      </c>
      <c r="G9" t="str">
        <f ca="1"/>
        <v>01/09/2027</v>
      </c>
      <c r="H9" t="str">
        <f ca="1"/>
        <v>FIXED</v>
      </c>
      <c r="I9">
        <f ca="1"/>
        <v>2</v>
      </c>
      <c r="J9">
        <f ca="1"/>
        <v>0.9</v>
      </c>
      <c r="K9">
        <f ca="1"/>
        <v>1.1319999999994508</v>
      </c>
      <c r="L9">
        <f ca="1"/>
        <v>1.1509999999993004</v>
      </c>
      <c r="M9">
        <f ca="1"/>
        <v>99.662999999999997</v>
      </c>
      <c r="N9">
        <f ca="1"/>
        <v>99.635999999999996</v>
      </c>
      <c r="O9" t="str">
        <f ca="1"/>
        <v>YL7015156</v>
      </c>
      <c r="P9" t="str">
        <f ca="1"/>
        <v>JP1024761R95</v>
      </c>
      <c r="Q9" t="str">
        <f ca="1"/>
        <v>A+</v>
      </c>
      <c r="R9" s="3">
        <f ca="1"/>
        <v>45890</v>
      </c>
      <c r="S9">
        <f ca="1"/>
        <v>46266</v>
      </c>
      <c r="T9">
        <f ca="1"/>
        <v>1.4236824093086926</v>
      </c>
      <c r="U9" s="4">
        <f ca="1"/>
        <v>99.649499999999989</v>
      </c>
      <c r="V9">
        <f ca="1"/>
        <v>232</v>
      </c>
      <c r="W9">
        <f ca="1"/>
        <v>1</v>
      </c>
      <c r="X9" s="4">
        <f ca="1"/>
        <v>1</v>
      </c>
      <c r="Y9" s="4">
        <f ca="1"/>
        <v>0.1434065934065934</v>
      </c>
      <c r="Z9" s="4">
        <f ca="1"/>
        <v>99.506093406593394</v>
      </c>
      <c r="AA9" s="4">
        <f ca="1"/>
        <v>1.1414999999993756</v>
      </c>
      <c r="AB9" s="4"/>
      <c r="AD9" t="str">
        <f ca="1"/>
        <v>YL701515 Corp</v>
      </c>
      <c r="AE9" t="str">
        <f ca="1"/>
        <v>Japan Government Two Year Bond</v>
      </c>
      <c r="AF9" t="str">
        <f ca="1"/>
        <v>JGB</v>
      </c>
      <c r="AG9" t="str">
        <f ca="1"/>
        <v>JP</v>
      </c>
      <c r="AH9" t="str">
        <f ca="1"/>
        <v>JPY</v>
      </c>
      <c r="AI9" t="str">
        <f ca="1"/>
        <v>01/09/2027</v>
      </c>
      <c r="AJ9" t="str">
        <f ca="1"/>
        <v>FIXED</v>
      </c>
      <c r="AK9">
        <f ca="1"/>
        <v>2</v>
      </c>
      <c r="AL9">
        <f ca="1"/>
        <v>0.9</v>
      </c>
      <c r="AM9">
        <f ca="1"/>
        <v>1.1319999999994508</v>
      </c>
      <c r="AN9">
        <f ca="1"/>
        <v>1.1509999999993004</v>
      </c>
      <c r="AO9">
        <f ca="1"/>
        <v>99.662999999999997</v>
      </c>
      <c r="AP9">
        <f ca="1"/>
        <v>99.635999999999996</v>
      </c>
      <c r="AQ9" t="str">
        <f ca="1"/>
        <v>YL7015156</v>
      </c>
      <c r="AR9" t="str">
        <f ca="1"/>
        <v>JP1024761R95</v>
      </c>
      <c r="AS9" t="str">
        <f ca="1"/>
        <v>A+</v>
      </c>
      <c r="AT9">
        <f ca="1"/>
        <v>45890</v>
      </c>
      <c r="AU9">
        <f ca="1"/>
        <v>46266</v>
      </c>
      <c r="AV9">
        <f ca="1"/>
        <v>1.4236824093086926</v>
      </c>
      <c r="AW9">
        <f ca="1"/>
        <v>99.649499999999989</v>
      </c>
      <c r="AX9">
        <f ca="1"/>
        <v>232</v>
      </c>
      <c r="AY9">
        <f ca="1"/>
        <v>1</v>
      </c>
      <c r="AZ9">
        <f ca="1"/>
        <v>1</v>
      </c>
      <c r="BA9">
        <f ca="1"/>
        <v>0.1434065934065934</v>
      </c>
      <c r="BB9">
        <f ca="1"/>
        <v>99.506093406593394</v>
      </c>
      <c r="BC9">
        <f ca="1"/>
        <v>1.1414999999993756</v>
      </c>
    </row>
    <row r="10" spans="1:55" ht="12.75" x14ac:dyDescent="0.35">
      <c r="B10" t="str">
        <f ca="1"/>
        <v>YK553774 Corp</v>
      </c>
      <c r="C10" t="str">
        <f ca="1"/>
        <v>Japan Government Two Year Bond</v>
      </c>
      <c r="D10" t="str">
        <f ca="1"/>
        <v>JGB</v>
      </c>
      <c r="E10" t="str">
        <f ca="1"/>
        <v>JP</v>
      </c>
      <c r="F10" t="str">
        <f ca="1"/>
        <v>JPY</v>
      </c>
      <c r="G10" t="str">
        <f ca="1"/>
        <v>01/10/2027</v>
      </c>
      <c r="H10" t="str">
        <f ca="1"/>
        <v>FIXED</v>
      </c>
      <c r="I10">
        <f ca="1"/>
        <v>2</v>
      </c>
      <c r="J10">
        <f ca="1"/>
        <v>1</v>
      </c>
      <c r="K10">
        <f ca="1"/>
        <v>1.1509999999982763</v>
      </c>
      <c r="L10">
        <f ca="1"/>
        <v>1.1709999999974416</v>
      </c>
      <c r="M10">
        <f ca="1"/>
        <v>99.769000000000005</v>
      </c>
      <c r="N10">
        <f ca="1"/>
        <v>99.738</v>
      </c>
      <c r="O10" t="str">
        <f ca="1"/>
        <v>YK5537740</v>
      </c>
      <c r="P10" t="str">
        <f ca="1"/>
        <v>JP1024771RA8</v>
      </c>
      <c r="Q10" t="str">
        <f ca="1"/>
        <v>A+</v>
      </c>
      <c r="R10" s="3">
        <f ca="1"/>
        <v>45922</v>
      </c>
      <c r="S10">
        <f ca="1"/>
        <v>46113</v>
      </c>
      <c r="T10">
        <f ca="1"/>
        <v>1.5058179329226558</v>
      </c>
      <c r="U10" s="4">
        <f ca="1"/>
        <v>99.753500000000003</v>
      </c>
      <c r="V10">
        <f ca="1"/>
        <v>228</v>
      </c>
      <c r="W10">
        <f ca="1"/>
        <v>1.5</v>
      </c>
      <c r="X10" s="4">
        <f ca="1"/>
        <v>1</v>
      </c>
      <c r="Y10" s="4">
        <f ca="1"/>
        <v>0.98901098901098905</v>
      </c>
      <c r="Z10" s="4">
        <f ca="1"/>
        <v>98.76448901098901</v>
      </c>
      <c r="AA10" s="4">
        <f ca="1"/>
        <v>1.1609999999978591</v>
      </c>
      <c r="AB10" s="4"/>
      <c r="AD10" t="str">
        <f ca="1"/>
        <v>YK553774 Corp</v>
      </c>
      <c r="AE10" t="str">
        <f ca="1"/>
        <v>Japan Government Two Year Bond</v>
      </c>
      <c r="AF10" t="str">
        <f ca="1"/>
        <v>JGB</v>
      </c>
      <c r="AG10" t="str">
        <f ca="1"/>
        <v>JP</v>
      </c>
      <c r="AH10" t="str">
        <f ca="1"/>
        <v>JPY</v>
      </c>
      <c r="AI10" t="str">
        <f ca="1"/>
        <v>01/10/2027</v>
      </c>
      <c r="AJ10" t="str">
        <f ca="1"/>
        <v>FIXED</v>
      </c>
      <c r="AK10">
        <f ca="1"/>
        <v>2</v>
      </c>
      <c r="AL10">
        <f ca="1"/>
        <v>1</v>
      </c>
      <c r="AM10">
        <f ca="1"/>
        <v>1.1509999999982763</v>
      </c>
      <c r="AN10">
        <f ca="1"/>
        <v>1.1709999999974416</v>
      </c>
      <c r="AO10">
        <f ca="1"/>
        <v>99.769000000000005</v>
      </c>
      <c r="AP10">
        <f ca="1"/>
        <v>99.738</v>
      </c>
      <c r="AQ10" t="str">
        <f ca="1"/>
        <v>YK5537740</v>
      </c>
      <c r="AR10" t="str">
        <f ca="1"/>
        <v>JP1024771RA8</v>
      </c>
      <c r="AS10" t="str">
        <f ca="1"/>
        <v>A+</v>
      </c>
      <c r="AT10">
        <f ca="1"/>
        <v>45922</v>
      </c>
      <c r="AU10">
        <f ca="1"/>
        <v>46113</v>
      </c>
      <c r="AV10">
        <f ca="1"/>
        <v>1.5058179329226558</v>
      </c>
      <c r="AW10">
        <f ca="1"/>
        <v>99.753500000000003</v>
      </c>
      <c r="AX10">
        <f ca="1"/>
        <v>228</v>
      </c>
      <c r="AY10">
        <f ca="1"/>
        <v>1.5</v>
      </c>
      <c r="AZ10">
        <f ca="1"/>
        <v>1</v>
      </c>
      <c r="BA10">
        <f ca="1"/>
        <v>0.98901098901098905</v>
      </c>
      <c r="BB10">
        <f ca="1"/>
        <v>98.76448901098901</v>
      </c>
      <c r="BC10">
        <f ca="1"/>
        <v>1.1609999999978591</v>
      </c>
    </row>
    <row r="11" spans="1:55" ht="12.75" x14ac:dyDescent="0.35">
      <c r="B11" t="str">
        <f ca="1"/>
        <v>YJ827109 Corp</v>
      </c>
      <c r="C11" t="str">
        <f ca="1"/>
        <v>Japan Government Two Year Bond</v>
      </c>
      <c r="D11" t="str">
        <f ca="1"/>
        <v>JGB</v>
      </c>
      <c r="E11" t="str">
        <f ca="1"/>
        <v>JP</v>
      </c>
      <c r="F11" t="str">
        <f ca="1"/>
        <v>JPY</v>
      </c>
      <c r="G11" t="str">
        <f ca="1"/>
        <v>01/11/2027</v>
      </c>
      <c r="H11" t="str">
        <f ca="1"/>
        <v>FIXED</v>
      </c>
      <c r="I11">
        <f ca="1"/>
        <v>2</v>
      </c>
      <c r="J11">
        <f ca="1"/>
        <v>1</v>
      </c>
      <c r="K11">
        <f ca="1"/>
        <v>1.1679999999976978</v>
      </c>
      <c r="L11">
        <f ca="1"/>
        <v>1.1869999999967396</v>
      </c>
      <c r="M11">
        <f ca="1"/>
        <v>99.728999999999999</v>
      </c>
      <c r="N11">
        <f ca="1"/>
        <v>99.697999999999993</v>
      </c>
      <c r="O11" t="str">
        <f ca="1"/>
        <v>YJ8271092</v>
      </c>
      <c r="P11" t="str">
        <f ca="1"/>
        <v>JP1024781RB5</v>
      </c>
      <c r="Q11" t="str">
        <f ca="1"/>
        <v>A+</v>
      </c>
      <c r="R11" s="3">
        <f ca="1"/>
        <v>45954</v>
      </c>
      <c r="S11">
        <f ca="1"/>
        <v>46143</v>
      </c>
      <c r="T11">
        <f ca="1"/>
        <v>1.5906913073237507</v>
      </c>
      <c r="U11" s="4">
        <f ca="1"/>
        <v>99.713499999999996</v>
      </c>
      <c r="V11">
        <f ca="1"/>
        <v>226</v>
      </c>
      <c r="W11">
        <f ca="1"/>
        <v>1.5</v>
      </c>
      <c r="X11" s="4">
        <f ca="1"/>
        <v>1</v>
      </c>
      <c r="Y11" s="4">
        <f ca="1"/>
        <v>0.81868131868131866</v>
      </c>
      <c r="Z11" s="4">
        <f ca="1"/>
        <v>98.894818681318682</v>
      </c>
      <c r="AA11" s="4">
        <f ca="1"/>
        <v>1.1774999999972187</v>
      </c>
      <c r="AB11" s="4"/>
      <c r="AD11" t="str">
        <f ca="1"/>
        <v>YJ827109 Corp</v>
      </c>
      <c r="AE11" t="str">
        <f ca="1"/>
        <v>Japan Government Two Year Bond</v>
      </c>
      <c r="AF11" t="str">
        <f ca="1"/>
        <v>JGB</v>
      </c>
      <c r="AG11" t="str">
        <f ca="1"/>
        <v>JP</v>
      </c>
      <c r="AH11" t="str">
        <f ca="1"/>
        <v>JPY</v>
      </c>
      <c r="AI11" t="str">
        <f ca="1"/>
        <v>01/11/2027</v>
      </c>
      <c r="AJ11" t="str">
        <f ca="1"/>
        <v>FIXED</v>
      </c>
      <c r="AK11">
        <f ca="1"/>
        <v>2</v>
      </c>
      <c r="AL11">
        <f ca="1"/>
        <v>1</v>
      </c>
      <c r="AM11">
        <f ca="1"/>
        <v>1.1679999999976978</v>
      </c>
      <c r="AN11">
        <f ca="1"/>
        <v>1.1869999999967396</v>
      </c>
      <c r="AO11">
        <f ca="1"/>
        <v>99.728999999999999</v>
      </c>
      <c r="AP11">
        <f ca="1"/>
        <v>99.697999999999993</v>
      </c>
      <c r="AQ11" t="str">
        <f ca="1"/>
        <v>YJ8271092</v>
      </c>
      <c r="AR11" t="str">
        <f ca="1"/>
        <v>JP1024781RB5</v>
      </c>
      <c r="AS11" t="str">
        <f ca="1"/>
        <v>A+</v>
      </c>
      <c r="AT11">
        <f ca="1"/>
        <v>45954</v>
      </c>
      <c r="AU11">
        <f ca="1"/>
        <v>46143</v>
      </c>
      <c r="AV11">
        <f ca="1"/>
        <v>1.5906913073237507</v>
      </c>
      <c r="AW11">
        <f ca="1"/>
        <v>99.713499999999996</v>
      </c>
      <c r="AX11">
        <f ca="1"/>
        <v>226</v>
      </c>
      <c r="AY11">
        <f ca="1"/>
        <v>1.5</v>
      </c>
      <c r="AZ11">
        <f ca="1"/>
        <v>1</v>
      </c>
      <c r="BA11">
        <f ca="1"/>
        <v>0.81868131868131866</v>
      </c>
      <c r="BB11">
        <f ca="1"/>
        <v>98.894818681318682</v>
      </c>
      <c r="BC11">
        <f ca="1"/>
        <v>1.1774999999972187</v>
      </c>
    </row>
    <row r="12" spans="1:55" ht="12.75" x14ac:dyDescent="0.35">
      <c r="B12" t="str">
        <f ca="1"/>
        <v>DA962213 Corp</v>
      </c>
      <c r="C12" t="str">
        <f ca="1"/>
        <v>Japan Government Two Year Bond</v>
      </c>
      <c r="D12" t="str">
        <f ca="1"/>
        <v>JGB</v>
      </c>
      <c r="E12" t="str">
        <f ca="1"/>
        <v>JP</v>
      </c>
      <c r="F12" t="str">
        <f ca="1"/>
        <v>JPY</v>
      </c>
      <c r="G12" t="str">
        <f ca="1"/>
        <v>01/12/2027</v>
      </c>
      <c r="H12" t="str">
        <f ca="1"/>
        <v>FIXED</v>
      </c>
      <c r="I12">
        <f ca="1"/>
        <v>2</v>
      </c>
      <c r="J12">
        <f ca="1"/>
        <v>1</v>
      </c>
      <c r="K12">
        <f ca="1"/>
        <v>1.1809999999972578</v>
      </c>
      <c r="L12">
        <f ca="1"/>
        <v>1.2009999999961727</v>
      </c>
      <c r="M12">
        <f ca="1"/>
        <v>99.694000000000003</v>
      </c>
      <c r="N12">
        <f ca="1"/>
        <v>99.66</v>
      </c>
      <c r="O12" t="str">
        <f ca="1"/>
        <v>DA9622139</v>
      </c>
      <c r="P12" t="str">
        <f ca="1"/>
        <v>JP1024791RC2</v>
      </c>
      <c r="Q12" t="str">
        <f ca="1"/>
        <v>A+</v>
      </c>
      <c r="R12" s="3">
        <f ca="1"/>
        <v>45982</v>
      </c>
      <c r="S12">
        <f ca="1"/>
        <v>46174</v>
      </c>
      <c r="T12">
        <f ca="1"/>
        <v>1.6728268309377139</v>
      </c>
      <c r="U12" s="4">
        <f ca="1"/>
        <v>99.676999999999992</v>
      </c>
      <c r="V12">
        <f ca="1"/>
        <v>76</v>
      </c>
      <c r="W12">
        <f ca="1"/>
        <v>1.5</v>
      </c>
      <c r="X12" s="4">
        <f ca="1"/>
        <v>1</v>
      </c>
      <c r="Y12" s="4">
        <f ca="1"/>
        <v>0.65384615384615385</v>
      </c>
      <c r="Z12" s="4">
        <f ca="1"/>
        <v>99.023153846153832</v>
      </c>
      <c r="AA12" s="4">
        <f ca="1"/>
        <v>1.1909999999967154</v>
      </c>
      <c r="AB12" s="4"/>
      <c r="AD12" t="str">
        <f ca="1"/>
        <v>DA962213 Corp</v>
      </c>
      <c r="AE12" t="str">
        <f ca="1"/>
        <v>Japan Government Two Year Bond</v>
      </c>
      <c r="AF12" t="str">
        <f ca="1"/>
        <v>JGB</v>
      </c>
      <c r="AG12" t="str">
        <f ca="1"/>
        <v>JP</v>
      </c>
      <c r="AH12" t="str">
        <f ca="1"/>
        <v>JPY</v>
      </c>
      <c r="AI12" t="str">
        <f ca="1"/>
        <v>01/12/2027</v>
      </c>
      <c r="AJ12" t="str">
        <f ca="1"/>
        <v>FIXED</v>
      </c>
      <c r="AK12">
        <f ca="1"/>
        <v>2</v>
      </c>
      <c r="AL12">
        <f ca="1"/>
        <v>1</v>
      </c>
      <c r="AM12">
        <f ca="1"/>
        <v>1.1809999999972578</v>
      </c>
      <c r="AN12">
        <f ca="1"/>
        <v>1.2009999999961727</v>
      </c>
      <c r="AO12">
        <f ca="1"/>
        <v>99.694000000000003</v>
      </c>
      <c r="AP12">
        <f ca="1"/>
        <v>99.66</v>
      </c>
      <c r="AQ12" t="str">
        <f ca="1"/>
        <v>DA9622139</v>
      </c>
      <c r="AR12" t="str">
        <f ca="1"/>
        <v>JP1024791RC2</v>
      </c>
      <c r="AS12" t="str">
        <f ca="1"/>
        <v>A+</v>
      </c>
      <c r="AT12">
        <f ca="1"/>
        <v>45982</v>
      </c>
      <c r="AU12">
        <f ca="1"/>
        <v>46174</v>
      </c>
      <c r="AV12">
        <f ca="1"/>
        <v>1.6728268309377139</v>
      </c>
      <c r="AW12">
        <f ca="1"/>
        <v>99.676999999999992</v>
      </c>
      <c r="AX12">
        <f ca="1"/>
        <v>76</v>
      </c>
      <c r="AY12">
        <f ca="1"/>
        <v>1.5</v>
      </c>
      <c r="AZ12">
        <f ca="1"/>
        <v>1</v>
      </c>
      <c r="BA12">
        <f ca="1"/>
        <v>0.65384615384615385</v>
      </c>
      <c r="BB12">
        <f ca="1"/>
        <v>99.023153846153832</v>
      </c>
      <c r="BC12">
        <f ca="1"/>
        <v>1.1909999999967154</v>
      </c>
    </row>
    <row r="13" spans="1:55" ht="12.75" x14ac:dyDescent="0.35">
      <c r="B13" t="str">
        <f ca="1"/>
        <v>DC578379 Corp</v>
      </c>
      <c r="C13" t="str">
        <f ca="1"/>
        <v>Japan Government Two Year Bond</v>
      </c>
      <c r="D13" t="str">
        <f ca="1"/>
        <v>JGB</v>
      </c>
      <c r="E13" t="str">
        <f ca="1"/>
        <v>JP</v>
      </c>
      <c r="F13" t="str">
        <f ca="1"/>
        <v>JPY</v>
      </c>
      <c r="G13" t="str">
        <f ca="1"/>
        <v>01/01/2028</v>
      </c>
      <c r="H13" t="str">
        <f ca="1"/>
        <v>FIXED</v>
      </c>
      <c r="I13">
        <f ca="1"/>
        <v>2</v>
      </c>
      <c r="J13">
        <f ca="1"/>
        <v>1.1000000000000001</v>
      </c>
      <c r="K13">
        <f ca="1"/>
        <v>1.1979999999996318</v>
      </c>
      <c r="L13">
        <f ca="1"/>
        <v>1.2199999999993183</v>
      </c>
      <c r="M13">
        <f ca="1"/>
        <v>99.825999999999993</v>
      </c>
      <c r="N13">
        <f ca="1"/>
        <v>99.787000000000006</v>
      </c>
      <c r="O13" t="str">
        <f ca="1"/>
        <v>DC5783790</v>
      </c>
      <c r="P13" t="str">
        <f ca="1"/>
        <v>JP1024801S13</v>
      </c>
      <c r="Q13" t="str">
        <f ca="1"/>
        <v>A+</v>
      </c>
      <c r="R13" s="3">
        <f ca="1"/>
        <v>46009</v>
      </c>
      <c r="S13">
        <f ca="1"/>
        <v>46204</v>
      </c>
      <c r="T13">
        <f ca="1"/>
        <v>1.7577002053388091</v>
      </c>
      <c r="U13" s="4">
        <f ca="1"/>
        <v>99.8065</v>
      </c>
      <c r="V13">
        <f ca="1"/>
        <v>78</v>
      </c>
      <c r="W13">
        <f ca="1"/>
        <v>1.5</v>
      </c>
      <c r="X13" s="4">
        <f ca="1"/>
        <v>1</v>
      </c>
      <c r="Y13" s="4">
        <f ca="1"/>
        <v>0.53186813186813187</v>
      </c>
      <c r="Z13" s="4">
        <f ca="1"/>
        <v>99.274631868131863</v>
      </c>
      <c r="AA13" s="4">
        <f ca="1"/>
        <v>1.2089999999994752</v>
      </c>
      <c r="AB13" s="4"/>
      <c r="AD13" t="str">
        <f ca="1"/>
        <v>DC578379 Corp</v>
      </c>
      <c r="AE13" t="str">
        <f ca="1"/>
        <v>Japan Government Two Year Bond</v>
      </c>
      <c r="AF13" t="str">
        <f ca="1"/>
        <v>JGB</v>
      </c>
      <c r="AG13" t="str">
        <f ca="1"/>
        <v>JP</v>
      </c>
      <c r="AH13" t="str">
        <f ca="1"/>
        <v>JPY</v>
      </c>
      <c r="AI13" t="str">
        <f ca="1"/>
        <v>01/01/2028</v>
      </c>
      <c r="AJ13" t="str">
        <f ca="1"/>
        <v>FIXED</v>
      </c>
      <c r="AK13">
        <f ca="1"/>
        <v>2</v>
      </c>
      <c r="AL13">
        <f ca="1"/>
        <v>1.1000000000000001</v>
      </c>
      <c r="AM13">
        <f ca="1"/>
        <v>1.1979999999996318</v>
      </c>
      <c r="AN13">
        <f ca="1"/>
        <v>1.2199999999993183</v>
      </c>
      <c r="AO13">
        <f ca="1"/>
        <v>99.825999999999993</v>
      </c>
      <c r="AP13">
        <f ca="1"/>
        <v>99.787000000000006</v>
      </c>
      <c r="AQ13" t="str">
        <f ca="1"/>
        <v>DC5783790</v>
      </c>
      <c r="AR13" t="str">
        <f ca="1"/>
        <v>JP1024801S13</v>
      </c>
      <c r="AS13" t="str">
        <f ca="1"/>
        <v>A+</v>
      </c>
      <c r="AT13">
        <f ca="1"/>
        <v>46009</v>
      </c>
      <c r="AU13">
        <f ca="1"/>
        <v>46204</v>
      </c>
      <c r="AV13">
        <f ca="1"/>
        <v>1.7577002053388091</v>
      </c>
      <c r="AW13">
        <f ca="1"/>
        <v>99.8065</v>
      </c>
      <c r="AX13">
        <f ca="1"/>
        <v>78</v>
      </c>
      <c r="AY13">
        <f ca="1"/>
        <v>1.5</v>
      </c>
      <c r="AZ13">
        <f ca="1"/>
        <v>1</v>
      </c>
      <c r="BA13">
        <f ca="1"/>
        <v>0.53186813186813187</v>
      </c>
      <c r="BB13">
        <f ca="1"/>
        <v>99.274631868131863</v>
      </c>
      <c r="BC13">
        <f ca="1"/>
        <v>1.2089999999994752</v>
      </c>
    </row>
    <row r="14" spans="1:55" ht="12.75" x14ac:dyDescent="0.35">
      <c r="B14" t="str">
        <f ca="1"/>
        <v>YI570831 Corp</v>
      </c>
      <c r="C14" t="str">
        <f ca="1"/>
        <v>Japan Government Two Year Bond</v>
      </c>
      <c r="D14" t="str">
        <f ca="1"/>
        <v>JGB</v>
      </c>
      <c r="E14" t="str">
        <f ca="1"/>
        <v>JP</v>
      </c>
      <c r="F14" t="str">
        <f ca="1"/>
        <v>JPY</v>
      </c>
      <c r="G14" t="str">
        <f ca="1"/>
        <v>01/02/2028</v>
      </c>
      <c r="H14" t="str">
        <f ca="1"/>
        <v>FIXED</v>
      </c>
      <c r="I14">
        <f ca="1"/>
        <v>2</v>
      </c>
      <c r="J14">
        <f ca="1"/>
        <v>1.3</v>
      </c>
      <c r="K14">
        <f ca="1"/>
        <v>1.2180000000001769</v>
      </c>
      <c r="L14">
        <f ca="1"/>
        <v>1.2410000000000623</v>
      </c>
      <c r="M14">
        <f ca="1"/>
        <v>100.151</v>
      </c>
      <c r="N14">
        <f ca="1"/>
        <v>100.10899999999999</v>
      </c>
      <c r="O14" t="str">
        <f ca="1"/>
        <v>YI5708312</v>
      </c>
      <c r="P14" t="str">
        <f ca="1"/>
        <v>JP1024811S29</v>
      </c>
      <c r="Q14" t="str">
        <f ca="1"/>
        <v>A+</v>
      </c>
      <c r="R14" s="3">
        <f ca="1"/>
        <v>46045</v>
      </c>
      <c r="S14">
        <f ca="1"/>
        <v>46235</v>
      </c>
      <c r="T14">
        <f ca="1"/>
        <v>1.8425735797399041</v>
      </c>
      <c r="U14" s="4">
        <f ca="1"/>
        <v>100.13</v>
      </c>
      <c r="V14">
        <f ca="1"/>
        <v>223</v>
      </c>
      <c r="W14">
        <f ca="1"/>
        <v>1.5</v>
      </c>
      <c r="X14" s="4">
        <f ca="1"/>
        <v>0</v>
      </c>
      <c r="Y14" s="4">
        <f ca="1"/>
        <v>0.40714285714285714</v>
      </c>
      <c r="Z14" s="4">
        <f ca="1"/>
        <v>99.722857142857137</v>
      </c>
      <c r="AA14" s="4">
        <f ca="1"/>
        <v>1.2295000000001197</v>
      </c>
      <c r="AB14" s="4"/>
      <c r="AD14" t="str">
        <f ca="1"/>
        <v>YI570831 Corp</v>
      </c>
      <c r="AE14" t="str">
        <f ca="1"/>
        <v>Japan Government Two Year Bond</v>
      </c>
      <c r="AF14" t="str">
        <f ca="1"/>
        <v>JGB</v>
      </c>
      <c r="AG14" t="str">
        <f ca="1"/>
        <v>JP</v>
      </c>
      <c r="AH14" t="str">
        <f ca="1"/>
        <v>JPY</v>
      </c>
      <c r="AI14" t="str">
        <f ca="1"/>
        <v>01/02/2028</v>
      </c>
      <c r="AJ14" t="str">
        <f ca="1"/>
        <v>FIXED</v>
      </c>
      <c r="AK14">
        <f ca="1"/>
        <v>2</v>
      </c>
      <c r="AL14">
        <f ca="1"/>
        <v>1.3</v>
      </c>
      <c r="AM14">
        <f ca="1"/>
        <v>1.2180000000001769</v>
      </c>
      <c r="AN14">
        <f ca="1"/>
        <v>1.2410000000000623</v>
      </c>
      <c r="AO14">
        <f ca="1"/>
        <v>100.151</v>
      </c>
      <c r="AP14">
        <f ca="1"/>
        <v>100.10899999999999</v>
      </c>
      <c r="AQ14" t="str">
        <f ca="1"/>
        <v>YI5708312</v>
      </c>
      <c r="AR14" t="str">
        <f ca="1"/>
        <v>JP1024811S29</v>
      </c>
      <c r="AS14" t="str">
        <f ca="1"/>
        <v>A+</v>
      </c>
      <c r="AT14">
        <f ca="1"/>
        <v>46045</v>
      </c>
      <c r="AU14">
        <f ca="1"/>
        <v>46235</v>
      </c>
      <c r="AV14">
        <f ca="1"/>
        <v>1.8425735797399041</v>
      </c>
      <c r="AW14">
        <f ca="1"/>
        <v>100.13</v>
      </c>
      <c r="AX14">
        <f ca="1"/>
        <v>223</v>
      </c>
      <c r="AY14">
        <f ca="1"/>
        <v>1.5</v>
      </c>
      <c r="AZ14">
        <f ca="1"/>
        <v>0</v>
      </c>
      <c r="BA14">
        <f ca="1"/>
        <v>0.40714285714285714</v>
      </c>
      <c r="BB14">
        <f ca="1"/>
        <v>99.722857142857137</v>
      </c>
      <c r="BC14">
        <f ca="1"/>
        <v>1.2295000000001197</v>
      </c>
    </row>
    <row r="15" spans="1:55" ht="12.75" x14ac:dyDescent="0.35">
      <c r="B15" t="str">
        <f ca="1"/>
        <v>DF972719 Corp</v>
      </c>
      <c r="C15" t="str">
        <f ca="1"/>
        <v>Japan Government Two Year Bond</v>
      </c>
      <c r="D15" t="str">
        <f ca="1"/>
        <v>JGB</v>
      </c>
      <c r="E15" t="str">
        <f ca="1"/>
        <v>JP</v>
      </c>
      <c r="F15" t="str">
        <f ca="1"/>
        <v>JPY</v>
      </c>
      <c r="G15" t="str">
        <f ca="1"/>
        <v>01/03/2028</v>
      </c>
      <c r="H15" t="str">
        <f ca="1"/>
        <v>FIXED</v>
      </c>
      <c r="I15">
        <f ca="1"/>
        <v>2</v>
      </c>
      <c r="J15">
        <f ca="1"/>
        <v>1.3</v>
      </c>
      <c r="K15">
        <f ca="1"/>
        <v>1.2350000000000778</v>
      </c>
      <c r="L15">
        <f ca="1"/>
        <v>1.2550000000000199</v>
      </c>
      <c r="M15">
        <f ca="1"/>
        <v>100.125</v>
      </c>
      <c r="N15">
        <f ca="1"/>
        <v>100.086</v>
      </c>
      <c r="O15" t="str">
        <f ca="1"/>
        <v>DF9727192</v>
      </c>
      <c r="P15" t="str">
        <f ca="1"/>
        <v>JP1024821S35</v>
      </c>
      <c r="Q15" t="str">
        <f ca="1"/>
        <v>NR</v>
      </c>
      <c r="R15" s="3">
        <f ca="1"/>
        <v>46073</v>
      </c>
      <c r="S15">
        <f ca="1"/>
        <v>46266</v>
      </c>
      <c r="T15">
        <f ca="1"/>
        <v>1.9219712525667352</v>
      </c>
      <c r="U15" s="4">
        <f ca="1"/>
        <v>100.10550000000001</v>
      </c>
      <c r="V15">
        <f ca="1"/>
        <v>81</v>
      </c>
      <c r="W15">
        <f ca="1"/>
        <v>1.5</v>
      </c>
      <c r="X15" s="4">
        <f ca="1"/>
        <v>0</v>
      </c>
      <c r="Y15" s="4">
        <f ca="1"/>
        <v>0.20714285714285713</v>
      </c>
      <c r="Z15" s="4">
        <f ca="1"/>
        <v>99.898357142857151</v>
      </c>
      <c r="AA15" s="4">
        <f ca="1"/>
        <v>1.245000000000049</v>
      </c>
      <c r="AB15" s="4"/>
      <c r="AD15" t="str">
        <f ca="1"/>
        <v>DF972719 Corp</v>
      </c>
      <c r="AE15" t="str">
        <f ca="1"/>
        <v>Japan Government Two Year Bond</v>
      </c>
      <c r="AF15" t="str">
        <f ca="1"/>
        <v>JGB</v>
      </c>
      <c r="AG15" t="str">
        <f ca="1"/>
        <v>JP</v>
      </c>
      <c r="AH15" t="str">
        <f ca="1"/>
        <v>JPY</v>
      </c>
      <c r="AI15" t="str">
        <f ca="1"/>
        <v>01/03/2028</v>
      </c>
      <c r="AJ15" t="str">
        <f ca="1"/>
        <v>FIXED</v>
      </c>
      <c r="AK15">
        <f ca="1"/>
        <v>2</v>
      </c>
      <c r="AL15">
        <f ca="1"/>
        <v>1.3</v>
      </c>
      <c r="AM15">
        <f ca="1"/>
        <v>1.2350000000000778</v>
      </c>
      <c r="AN15">
        <f ca="1"/>
        <v>1.2550000000000199</v>
      </c>
      <c r="AO15">
        <f ca="1"/>
        <v>100.125</v>
      </c>
      <c r="AP15">
        <f ca="1"/>
        <v>100.086</v>
      </c>
      <c r="AQ15" t="str">
        <f ca="1"/>
        <v>DF9727192</v>
      </c>
      <c r="AR15" t="str">
        <f ca="1"/>
        <v>JP1024821S35</v>
      </c>
      <c r="AS15" t="str">
        <f ca="1"/>
        <v>NR</v>
      </c>
      <c r="AT15">
        <f ca="1"/>
        <v>46073</v>
      </c>
      <c r="AU15">
        <f ca="1"/>
        <v>46266</v>
      </c>
      <c r="AV15">
        <f ca="1"/>
        <v>1.9219712525667352</v>
      </c>
      <c r="AW15">
        <f ca="1"/>
        <v>100.10550000000001</v>
      </c>
      <c r="AX15">
        <f ca="1"/>
        <v>81</v>
      </c>
      <c r="AY15">
        <f ca="1"/>
        <v>1.5</v>
      </c>
      <c r="AZ15">
        <f ca="1"/>
        <v>0</v>
      </c>
      <c r="BA15">
        <f ca="1"/>
        <v>0.20714285714285713</v>
      </c>
      <c r="BB15">
        <f ca="1"/>
        <v>99.898357142857151</v>
      </c>
      <c r="BC15">
        <f ca="1"/>
        <v>1.245000000000049</v>
      </c>
    </row>
    <row r="16" spans="1:55" ht="12.75" x14ac:dyDescent="0.35">
      <c r="B16" t="str">
        <f ca="1"/>
        <v>YQ248343 Corp</v>
      </c>
      <c r="C16" t="str">
        <f ca="1"/>
        <v>Japan Government Five Year Bond</v>
      </c>
      <c r="D16" t="str">
        <f ca="1"/>
        <v>JGB</v>
      </c>
      <c r="E16" t="str">
        <f ca="1"/>
        <v>JP</v>
      </c>
      <c r="F16" t="str">
        <f ca="1"/>
        <v>JPY</v>
      </c>
      <c r="G16" t="str">
        <f ca="1"/>
        <v>20/12/2029</v>
      </c>
      <c r="H16" t="str">
        <f ca="1"/>
        <v>FIXED</v>
      </c>
      <c r="I16">
        <f ca="1"/>
        <v>2</v>
      </c>
      <c r="J16">
        <f ca="1"/>
        <v>1.1000000000000001</v>
      </c>
      <c r="K16">
        <f ca="1"/>
        <v>1.4839999999999998</v>
      </c>
      <c r="L16">
        <f ca="1"/>
        <v>1.5039999999999978</v>
      </c>
      <c r="M16">
        <f ca="1"/>
        <v>98.626999999999995</v>
      </c>
      <c r="N16">
        <f ca="1"/>
        <v>98.555999999999997</v>
      </c>
      <c r="O16" t="str">
        <f ca="1"/>
        <v>YQ2483432</v>
      </c>
      <c r="P16" t="str">
        <f ca="1"/>
        <v>JP1051771R39</v>
      </c>
      <c r="Q16" t="str">
        <f ca="1"/>
        <v>A+</v>
      </c>
      <c r="R16" s="3">
        <f ca="1"/>
        <v>45719</v>
      </c>
      <c r="S16">
        <f ca="1"/>
        <v>46193</v>
      </c>
      <c r="T16">
        <f ca="1"/>
        <v>3.7262149212867897</v>
      </c>
      <c r="U16" s="4">
        <f ca="1"/>
        <v>98.591499999999996</v>
      </c>
      <c r="V16">
        <f ca="1"/>
        <v>246</v>
      </c>
      <c r="W16">
        <f ca="1"/>
        <v>3.5</v>
      </c>
      <c r="X16" s="4">
        <f ca="1"/>
        <v>1</v>
      </c>
      <c r="Y16" s="4">
        <f ca="1"/>
        <v>0.60439560439560447</v>
      </c>
      <c r="Z16" s="4">
        <f ca="1"/>
        <v>97.987104395604391</v>
      </c>
      <c r="AA16" s="4">
        <f ca="1"/>
        <v>1.4939999999999989</v>
      </c>
      <c r="AB16" s="4"/>
      <c r="AD16" t="str">
        <f ca="1"/>
        <v>YQ248343 Corp</v>
      </c>
      <c r="AE16" t="str">
        <f ca="1"/>
        <v>Japan Government Five Year Bond</v>
      </c>
      <c r="AF16" t="str">
        <f ca="1"/>
        <v>JGB</v>
      </c>
      <c r="AG16" t="str">
        <f ca="1"/>
        <v>JP</v>
      </c>
      <c r="AH16" t="str">
        <f ca="1"/>
        <v>JPY</v>
      </c>
      <c r="AI16" t="str">
        <f ca="1"/>
        <v>20/12/2029</v>
      </c>
      <c r="AJ16" t="str">
        <f ca="1"/>
        <v>FIXED</v>
      </c>
      <c r="AK16">
        <f ca="1"/>
        <v>2</v>
      </c>
      <c r="AL16">
        <f ca="1"/>
        <v>1.1000000000000001</v>
      </c>
      <c r="AM16">
        <f ca="1"/>
        <v>1.4839999999999998</v>
      </c>
      <c r="AN16">
        <f ca="1"/>
        <v>1.5039999999999978</v>
      </c>
      <c r="AO16">
        <f ca="1"/>
        <v>98.626999999999995</v>
      </c>
      <c r="AP16">
        <f ca="1"/>
        <v>98.555999999999997</v>
      </c>
      <c r="AQ16" t="str">
        <f ca="1"/>
        <v>YQ2483432</v>
      </c>
      <c r="AR16" t="str">
        <f ca="1"/>
        <v>JP1051771R39</v>
      </c>
      <c r="AS16" t="str">
        <f ca="1"/>
        <v>A+</v>
      </c>
      <c r="AT16">
        <f ca="1"/>
        <v>45719</v>
      </c>
      <c r="AU16">
        <f ca="1"/>
        <v>46193</v>
      </c>
      <c r="AV16">
        <f ca="1"/>
        <v>3.7262149212867897</v>
      </c>
      <c r="AW16">
        <f ca="1"/>
        <v>98.591499999999996</v>
      </c>
      <c r="AX16">
        <f ca="1"/>
        <v>246</v>
      </c>
      <c r="AY16">
        <f ca="1"/>
        <v>3.5</v>
      </c>
      <c r="AZ16">
        <f ca="1"/>
        <v>1</v>
      </c>
      <c r="BA16">
        <f ca="1"/>
        <v>0.60439560439560447</v>
      </c>
      <c r="BB16">
        <f ca="1"/>
        <v>97.987104395604391</v>
      </c>
      <c r="BC16">
        <f ca="1"/>
        <v>1.4939999999999989</v>
      </c>
    </row>
    <row r="17" spans="2:55" ht="12.75" x14ac:dyDescent="0.35">
      <c r="B17" t="str">
        <f ca="1"/>
        <v>YR543118 Corp</v>
      </c>
      <c r="C17" t="str">
        <f ca="1"/>
        <v>Japan Government Five Year Bond</v>
      </c>
      <c r="D17" t="str">
        <f ca="1"/>
        <v>JGB</v>
      </c>
      <c r="E17" t="str">
        <f ca="1"/>
        <v>JP</v>
      </c>
      <c r="F17" t="str">
        <f ca="1"/>
        <v>JPY</v>
      </c>
      <c r="G17" t="str">
        <f ca="1"/>
        <v>20/12/2029</v>
      </c>
      <c r="H17" t="str">
        <f ca="1"/>
        <v>FIXED</v>
      </c>
      <c r="I17">
        <f ca="1"/>
        <v>2</v>
      </c>
      <c r="J17">
        <f ca="1"/>
        <v>1</v>
      </c>
      <c r="K17">
        <f ca="1"/>
        <v>1.4819999999999955</v>
      </c>
      <c r="L17">
        <f ca="1"/>
        <v>1.5029999999999997</v>
      </c>
      <c r="M17">
        <f ca="1"/>
        <v>98.275999999999996</v>
      </c>
      <c r="N17">
        <f ca="1"/>
        <v>98.201999999999998</v>
      </c>
      <c r="O17" t="str">
        <f ca="1"/>
        <v>YR5431188</v>
      </c>
      <c r="P17" t="str">
        <f ca="1"/>
        <v>JP1051761R23</v>
      </c>
      <c r="Q17" t="str">
        <f ca="1"/>
        <v>A+</v>
      </c>
      <c r="R17" s="3">
        <f ca="1"/>
        <v>45695</v>
      </c>
      <c r="S17">
        <f ca="1"/>
        <v>46193</v>
      </c>
      <c r="T17">
        <f ca="1"/>
        <v>3.7262149212867897</v>
      </c>
      <c r="U17" s="4">
        <f ca="1"/>
        <v>98.239000000000004</v>
      </c>
      <c r="V17">
        <f ca="1"/>
        <v>250</v>
      </c>
      <c r="W17">
        <f ca="1"/>
        <v>3.5</v>
      </c>
      <c r="X17" s="4">
        <f ca="1"/>
        <v>1</v>
      </c>
      <c r="Y17" s="4">
        <f ca="1"/>
        <v>0.5494505494505495</v>
      </c>
      <c r="Z17" s="4">
        <f ca="1"/>
        <v>97.68954945054945</v>
      </c>
      <c r="AA17" s="4">
        <f ca="1"/>
        <v>1.4924999999999975</v>
      </c>
      <c r="AB17" s="4"/>
      <c r="AD17" t="str">
        <f ca="1"/>
        <v>YR543118 Corp</v>
      </c>
      <c r="AE17" t="str">
        <f ca="1"/>
        <v>Japan Government Five Year Bond</v>
      </c>
      <c r="AF17" t="str">
        <f ca="1"/>
        <v>JGB</v>
      </c>
      <c r="AG17" t="str">
        <f ca="1"/>
        <v>JP</v>
      </c>
      <c r="AH17" t="str">
        <f ca="1"/>
        <v>JPY</v>
      </c>
      <c r="AI17" t="str">
        <f ca="1"/>
        <v>20/12/2029</v>
      </c>
      <c r="AJ17" t="str">
        <f ca="1"/>
        <v>FIXED</v>
      </c>
      <c r="AK17">
        <f ca="1"/>
        <v>2</v>
      </c>
      <c r="AL17">
        <f ca="1"/>
        <v>1</v>
      </c>
      <c r="AM17">
        <f ca="1"/>
        <v>1.4819999999999955</v>
      </c>
      <c r="AN17">
        <f ca="1"/>
        <v>1.5029999999999997</v>
      </c>
      <c r="AO17">
        <f ca="1"/>
        <v>98.275999999999996</v>
      </c>
      <c r="AP17">
        <f ca="1"/>
        <v>98.201999999999998</v>
      </c>
      <c r="AQ17" t="str">
        <f ca="1"/>
        <v>YR5431188</v>
      </c>
      <c r="AR17" t="str">
        <f ca="1"/>
        <v>JP1051761R23</v>
      </c>
      <c r="AS17" t="str">
        <f ca="1"/>
        <v>A+</v>
      </c>
      <c r="AT17">
        <f ca="1"/>
        <v>45695</v>
      </c>
      <c r="AU17">
        <f ca="1"/>
        <v>46193</v>
      </c>
      <c r="AV17">
        <f ca="1"/>
        <v>3.7262149212867897</v>
      </c>
      <c r="AW17">
        <f ca="1"/>
        <v>98.239000000000004</v>
      </c>
      <c r="AX17">
        <f ca="1"/>
        <v>250</v>
      </c>
      <c r="AY17">
        <f ca="1"/>
        <v>3.5</v>
      </c>
      <c r="AZ17">
        <f ca="1"/>
        <v>1</v>
      </c>
      <c r="BA17">
        <f ca="1"/>
        <v>0.5494505494505495</v>
      </c>
      <c r="BB17">
        <f ca="1"/>
        <v>97.68954945054945</v>
      </c>
      <c r="BC17">
        <f ca="1"/>
        <v>1.4924999999999975</v>
      </c>
    </row>
    <row r="18" spans="2:55" ht="12.75" x14ac:dyDescent="0.35">
      <c r="B18" t="str">
        <f ca="1"/>
        <v>YS632004 Corp</v>
      </c>
      <c r="C18" t="str">
        <f ca="1"/>
        <v>Japan Government Five Year Bond</v>
      </c>
      <c r="D18" t="str">
        <f ca="1"/>
        <v>JGB</v>
      </c>
      <c r="E18" t="str">
        <f ca="1"/>
        <v>JP</v>
      </c>
      <c r="F18" t="str">
        <f ca="1"/>
        <v>JPY</v>
      </c>
      <c r="G18" t="str">
        <f ca="1"/>
        <v>20/12/2029</v>
      </c>
      <c r="H18" t="str">
        <f ca="1"/>
        <v>FIXED</v>
      </c>
      <c r="I18">
        <f ca="1"/>
        <v>2</v>
      </c>
      <c r="J18">
        <f ca="1"/>
        <v>0.9</v>
      </c>
      <c r="K18">
        <f ca="1"/>
        <v>1.4879999999999953</v>
      </c>
      <c r="L18">
        <f ca="1"/>
        <v>1.5079999999999951</v>
      </c>
      <c r="M18">
        <f ca="1"/>
        <v>97.897999999999996</v>
      </c>
      <c r="N18">
        <f ca="1"/>
        <v>97.828000000000003</v>
      </c>
      <c r="O18" t="str">
        <f ca="1"/>
        <v>YS6320040</v>
      </c>
      <c r="P18" t="str">
        <f ca="1"/>
        <v>JP1051751R17</v>
      </c>
      <c r="Q18" t="str">
        <f ca="1"/>
        <v>A+</v>
      </c>
      <c r="R18" s="3">
        <f ca="1"/>
        <v>45664</v>
      </c>
      <c r="S18">
        <f ca="1"/>
        <v>46193</v>
      </c>
      <c r="T18">
        <f ca="1"/>
        <v>3.7262149212867897</v>
      </c>
      <c r="U18" s="4">
        <f ca="1"/>
        <v>97.863</v>
      </c>
      <c r="V18">
        <f ca="1"/>
        <v>255</v>
      </c>
      <c r="W18">
        <f ca="1"/>
        <v>3.5</v>
      </c>
      <c r="X18" s="4">
        <f ca="1"/>
        <v>1</v>
      </c>
      <c r="Y18" s="4">
        <f ca="1"/>
        <v>0.49450549450549458</v>
      </c>
      <c r="Z18" s="4">
        <f ca="1"/>
        <v>97.36849450549451</v>
      </c>
      <c r="AA18" s="4">
        <f ca="1"/>
        <v>1.4979999999999953</v>
      </c>
      <c r="AB18" s="4"/>
      <c r="AD18" t="str">
        <f ca="1"/>
        <v>YS632004 Corp</v>
      </c>
      <c r="AE18" t="str">
        <f ca="1"/>
        <v>Japan Government Five Year Bond</v>
      </c>
      <c r="AF18" t="str">
        <f ca="1"/>
        <v>JGB</v>
      </c>
      <c r="AG18" t="str">
        <f ca="1"/>
        <v>JP</v>
      </c>
      <c r="AH18" t="str">
        <f ca="1"/>
        <v>JPY</v>
      </c>
      <c r="AI18" t="str">
        <f ca="1"/>
        <v>20/12/2029</v>
      </c>
      <c r="AJ18" t="str">
        <f ca="1"/>
        <v>FIXED</v>
      </c>
      <c r="AK18">
        <f ca="1"/>
        <v>2</v>
      </c>
      <c r="AL18">
        <f ca="1"/>
        <v>0.9</v>
      </c>
      <c r="AM18">
        <f ca="1"/>
        <v>1.4879999999999953</v>
      </c>
      <c r="AN18">
        <f ca="1"/>
        <v>1.5079999999999951</v>
      </c>
      <c r="AO18">
        <f ca="1"/>
        <v>97.897999999999996</v>
      </c>
      <c r="AP18">
        <f ca="1"/>
        <v>97.828000000000003</v>
      </c>
      <c r="AQ18" t="str">
        <f ca="1"/>
        <v>YS6320040</v>
      </c>
      <c r="AR18" t="str">
        <f ca="1"/>
        <v>JP1051751R17</v>
      </c>
      <c r="AS18" t="str">
        <f ca="1"/>
        <v>A+</v>
      </c>
      <c r="AT18">
        <f ca="1"/>
        <v>45664</v>
      </c>
      <c r="AU18">
        <f ca="1"/>
        <v>46193</v>
      </c>
      <c r="AV18">
        <f ca="1"/>
        <v>3.7262149212867897</v>
      </c>
      <c r="AW18">
        <f ca="1"/>
        <v>97.863</v>
      </c>
      <c r="AX18">
        <f ca="1"/>
        <v>255</v>
      </c>
      <c r="AY18">
        <f ca="1"/>
        <v>3.5</v>
      </c>
      <c r="AZ18">
        <f ca="1"/>
        <v>1</v>
      </c>
      <c r="BA18">
        <f ca="1"/>
        <v>0.49450549450549458</v>
      </c>
      <c r="BB18">
        <f ca="1"/>
        <v>97.36849450549451</v>
      </c>
      <c r="BC18">
        <f ca="1"/>
        <v>1.4979999999999953</v>
      </c>
    </row>
    <row r="19" spans="2:55" ht="12.75" x14ac:dyDescent="0.35">
      <c r="B19" t="str">
        <f ca="1"/>
        <v>YP408001 Corp</v>
      </c>
      <c r="C19" t="str">
        <f ca="1"/>
        <v>Japan Government Five Year Bond</v>
      </c>
      <c r="D19" t="str">
        <f ca="1"/>
        <v>JGB</v>
      </c>
      <c r="E19" t="str">
        <f ca="1"/>
        <v>JP</v>
      </c>
      <c r="F19" t="str">
        <f ca="1"/>
        <v>JPY</v>
      </c>
      <c r="G19" t="str">
        <f ca="1"/>
        <v>20/03/2030</v>
      </c>
      <c r="H19" t="str">
        <f ca="1"/>
        <v>FIXED</v>
      </c>
      <c r="I19">
        <f ca="1"/>
        <v>2</v>
      </c>
      <c r="J19">
        <f ca="1"/>
        <v>1</v>
      </c>
      <c r="K19">
        <f ca="1"/>
        <v>1.5189999999999966</v>
      </c>
      <c r="L19">
        <f ca="1"/>
        <v>1.5379999999999956</v>
      </c>
      <c r="M19">
        <f ca="1"/>
        <v>98.031999999999996</v>
      </c>
      <c r="N19">
        <f ca="1"/>
        <v>97.962000000000003</v>
      </c>
      <c r="O19" t="str">
        <f ca="1"/>
        <v>YP4080014</v>
      </c>
      <c r="P19" t="str">
        <f ca="1"/>
        <v>JP1051781R45</v>
      </c>
      <c r="Q19" t="str">
        <f ca="1"/>
        <v>A+</v>
      </c>
      <c r="R19" s="3">
        <f ca="1"/>
        <v>45750</v>
      </c>
      <c r="S19">
        <f ca="1"/>
        <v>46101</v>
      </c>
      <c r="T19">
        <f ca="1"/>
        <v>3.9726214921286789</v>
      </c>
      <c r="U19" s="4">
        <f ca="1"/>
        <v>97.997</v>
      </c>
      <c r="V19">
        <f ca="1"/>
        <v>243</v>
      </c>
      <c r="W19">
        <f ca="1"/>
        <v>3.5</v>
      </c>
      <c r="X19" s="4">
        <f ca="1"/>
        <v>1</v>
      </c>
      <c r="Y19" s="4">
        <f ca="1"/>
        <v>1.0494505494505495</v>
      </c>
      <c r="Z19" s="4">
        <f ca="1"/>
        <v>96.947549450549445</v>
      </c>
      <c r="AA19" s="4">
        <f ca="1"/>
        <v>1.5284999999999962</v>
      </c>
      <c r="AB19" s="4"/>
      <c r="AD19" t="str">
        <f ca="1"/>
        <v>YP408001 Corp</v>
      </c>
      <c r="AE19" t="str">
        <f ca="1"/>
        <v>Japan Government Five Year Bond</v>
      </c>
      <c r="AF19" t="str">
        <f ca="1"/>
        <v>JGB</v>
      </c>
      <c r="AG19" t="str">
        <f ca="1"/>
        <v>JP</v>
      </c>
      <c r="AH19" t="str">
        <f ca="1"/>
        <v>JPY</v>
      </c>
      <c r="AI19" t="str">
        <f ca="1"/>
        <v>20/03/2030</v>
      </c>
      <c r="AJ19" t="str">
        <f ca="1"/>
        <v>FIXED</v>
      </c>
      <c r="AK19">
        <f ca="1"/>
        <v>2</v>
      </c>
      <c r="AL19">
        <f ca="1"/>
        <v>1</v>
      </c>
      <c r="AM19">
        <f ca="1"/>
        <v>1.5189999999999966</v>
      </c>
      <c r="AN19">
        <f ca="1"/>
        <v>1.5379999999999956</v>
      </c>
      <c r="AO19">
        <f ca="1"/>
        <v>98.031999999999996</v>
      </c>
      <c r="AP19">
        <f ca="1"/>
        <v>97.962000000000003</v>
      </c>
      <c r="AQ19" t="str">
        <f ca="1"/>
        <v>YP4080014</v>
      </c>
      <c r="AR19" t="str">
        <f ca="1"/>
        <v>JP1051781R45</v>
      </c>
      <c r="AS19" t="str">
        <f ca="1"/>
        <v>A+</v>
      </c>
      <c r="AT19">
        <f ca="1"/>
        <v>45750</v>
      </c>
      <c r="AU19">
        <f ca="1"/>
        <v>46101</v>
      </c>
      <c r="AV19">
        <f ca="1"/>
        <v>3.9726214921286789</v>
      </c>
      <c r="AW19">
        <f ca="1"/>
        <v>97.997</v>
      </c>
      <c r="AX19">
        <f ca="1"/>
        <v>243</v>
      </c>
      <c r="AY19">
        <f ca="1"/>
        <v>3.5</v>
      </c>
      <c r="AZ19">
        <f ca="1"/>
        <v>1</v>
      </c>
      <c r="BA19">
        <f ca="1"/>
        <v>1.0494505494505495</v>
      </c>
      <c r="BB19">
        <f ca="1"/>
        <v>96.947549450549445</v>
      </c>
      <c r="BC19">
        <f ca="1"/>
        <v>1.5284999999999962</v>
      </c>
    </row>
    <row r="20" spans="2:55" ht="12.75" x14ac:dyDescent="0.35">
      <c r="B20" t="str">
        <f ca="1"/>
        <v>YK032880 Corp</v>
      </c>
      <c r="C20" t="str">
        <f ca="1"/>
        <v>Japan Government Five Year Bond</v>
      </c>
      <c r="D20" t="str">
        <f ca="1"/>
        <v>JGB</v>
      </c>
      <c r="E20" t="str">
        <f ca="1"/>
        <v>JP</v>
      </c>
      <c r="F20" t="str">
        <f ca="1"/>
        <v>JPY</v>
      </c>
      <c r="G20" t="str">
        <f ca="1"/>
        <v>20/06/2030</v>
      </c>
      <c r="H20" t="str">
        <f ca="1"/>
        <v>FIXED</v>
      </c>
      <c r="I20">
        <f ca="1"/>
        <v>2</v>
      </c>
      <c r="J20">
        <f ca="1"/>
        <v>1.1000000000000001</v>
      </c>
      <c r="K20">
        <f ca="1"/>
        <v>1.5490000000000022</v>
      </c>
      <c r="L20">
        <f ca="1"/>
        <v>1.5699999999999936</v>
      </c>
      <c r="M20">
        <f ca="1"/>
        <v>98.2</v>
      </c>
      <c r="N20">
        <f ca="1"/>
        <v>98.117000000000004</v>
      </c>
      <c r="O20" t="str">
        <f ca="1"/>
        <v>YK0328806</v>
      </c>
      <c r="P20" t="str">
        <f ca="1"/>
        <v>JP1051801R90</v>
      </c>
      <c r="Q20" t="str">
        <f ca="1"/>
        <v>A+</v>
      </c>
      <c r="R20" s="3">
        <f ca="1"/>
        <v>45903</v>
      </c>
      <c r="S20">
        <f ca="1"/>
        <v>46193</v>
      </c>
      <c r="T20">
        <f ca="1"/>
        <v>4.2245037645448322</v>
      </c>
      <c r="U20" s="4">
        <f ca="1"/>
        <v>98.158500000000004</v>
      </c>
      <c r="V20">
        <f ca="1"/>
        <v>227</v>
      </c>
      <c r="W20">
        <f ca="1"/>
        <v>4</v>
      </c>
      <c r="X20" s="4">
        <f ca="1"/>
        <v>1</v>
      </c>
      <c r="Y20" s="4">
        <f ca="1"/>
        <v>0.60439560439560447</v>
      </c>
      <c r="Z20" s="4">
        <f ca="1"/>
        <v>97.554104395604398</v>
      </c>
      <c r="AA20" s="4">
        <f ca="1"/>
        <v>1.5594999999999979</v>
      </c>
      <c r="AB20" s="4"/>
      <c r="AD20" t="str">
        <f ca="1"/>
        <v>YK032880 Corp</v>
      </c>
      <c r="AE20" t="str">
        <f ca="1"/>
        <v>Japan Government Five Year Bond</v>
      </c>
      <c r="AF20" t="str">
        <f ca="1"/>
        <v>JGB</v>
      </c>
      <c r="AG20" t="str">
        <f ca="1"/>
        <v>JP</v>
      </c>
      <c r="AH20" t="str">
        <f ca="1"/>
        <v>JPY</v>
      </c>
      <c r="AI20" t="str">
        <f ca="1"/>
        <v>20/06/2030</v>
      </c>
      <c r="AJ20" t="str">
        <f ca="1"/>
        <v>FIXED</v>
      </c>
      <c r="AK20">
        <f ca="1"/>
        <v>2</v>
      </c>
      <c r="AL20">
        <f ca="1"/>
        <v>1.1000000000000001</v>
      </c>
      <c r="AM20">
        <f ca="1"/>
        <v>1.5490000000000022</v>
      </c>
      <c r="AN20">
        <f ca="1"/>
        <v>1.5699999999999936</v>
      </c>
      <c r="AO20">
        <f ca="1"/>
        <v>98.2</v>
      </c>
      <c r="AP20">
        <f ca="1"/>
        <v>98.117000000000004</v>
      </c>
      <c r="AQ20" t="str">
        <f ca="1"/>
        <v>YK0328806</v>
      </c>
      <c r="AR20" t="str">
        <f ca="1"/>
        <v>JP1051801R90</v>
      </c>
      <c r="AS20" t="str">
        <f ca="1"/>
        <v>A+</v>
      </c>
      <c r="AT20">
        <f ca="1"/>
        <v>45903</v>
      </c>
      <c r="AU20">
        <f ca="1"/>
        <v>46193</v>
      </c>
      <c r="AV20">
        <f ca="1"/>
        <v>4.2245037645448322</v>
      </c>
      <c r="AW20">
        <f ca="1"/>
        <v>98.158500000000004</v>
      </c>
      <c r="AX20">
        <f ca="1"/>
        <v>227</v>
      </c>
      <c r="AY20">
        <f ca="1"/>
        <v>4</v>
      </c>
      <c r="AZ20">
        <f ca="1"/>
        <v>1</v>
      </c>
      <c r="BA20">
        <f ca="1"/>
        <v>0.60439560439560447</v>
      </c>
      <c r="BB20">
        <f ca="1"/>
        <v>97.554104395604398</v>
      </c>
      <c r="BC20">
        <f ca="1"/>
        <v>1.5594999999999979</v>
      </c>
    </row>
    <row r="21" spans="2:55" ht="12.75" x14ac:dyDescent="0.35">
      <c r="B21" t="str">
        <f ca="1"/>
        <v>YM113944 Corp</v>
      </c>
      <c r="C21" t="str">
        <f ca="1"/>
        <v>Japan Government Five Year Bond</v>
      </c>
      <c r="D21" t="str">
        <f ca="1"/>
        <v>JGB</v>
      </c>
      <c r="E21" t="str">
        <f ca="1"/>
        <v>JP</v>
      </c>
      <c r="F21" t="str">
        <f ca="1"/>
        <v>JPY</v>
      </c>
      <c r="G21" t="str">
        <f ca="1"/>
        <v>20/06/2030</v>
      </c>
      <c r="H21" t="str">
        <f ca="1"/>
        <v>FIXED</v>
      </c>
      <c r="I21">
        <f ca="1"/>
        <v>2</v>
      </c>
      <c r="J21">
        <f ca="1"/>
        <v>1</v>
      </c>
      <c r="K21">
        <f ca="1"/>
        <v>1.5569999999999919</v>
      </c>
      <c r="L21">
        <f ca="1"/>
        <v>1.575999999999997</v>
      </c>
      <c r="M21">
        <f ca="1"/>
        <v>97.766999999999996</v>
      </c>
      <c r="N21">
        <f ca="1"/>
        <v>97.692999999999998</v>
      </c>
      <c r="O21" t="str">
        <f ca="1"/>
        <v>YM1139448</v>
      </c>
      <c r="P21" t="str">
        <f ca="1"/>
        <v>JP1051791R76</v>
      </c>
      <c r="Q21" t="str">
        <f ca="1"/>
        <v>A+</v>
      </c>
      <c r="R21" s="3">
        <f ca="1"/>
        <v>45839</v>
      </c>
      <c r="S21">
        <f ca="1"/>
        <v>46193</v>
      </c>
      <c r="T21">
        <f ca="1"/>
        <v>4.2245037645448322</v>
      </c>
      <c r="U21" s="4">
        <f ca="1"/>
        <v>97.72999999999999</v>
      </c>
      <c r="V21">
        <f ca="1"/>
        <v>233</v>
      </c>
      <c r="W21">
        <f ca="1"/>
        <v>4</v>
      </c>
      <c r="X21" s="4">
        <f ca="1"/>
        <v>1</v>
      </c>
      <c r="Y21" s="4">
        <f ca="1"/>
        <v>0.5494505494505495</v>
      </c>
      <c r="Z21" s="4">
        <f ca="1"/>
        <v>97.180549450549435</v>
      </c>
      <c r="AA21" s="4">
        <f ca="1"/>
        <v>1.5664999999999945</v>
      </c>
      <c r="AB21" s="4"/>
      <c r="AD21" t="str">
        <f ca="1"/>
        <v>YM113944 Corp</v>
      </c>
      <c r="AE21" t="str">
        <f ca="1"/>
        <v>Japan Government Five Year Bond</v>
      </c>
      <c r="AF21" t="str">
        <f ca="1"/>
        <v>JGB</v>
      </c>
      <c r="AG21" t="str">
        <f ca="1"/>
        <v>JP</v>
      </c>
      <c r="AH21" t="str">
        <f ca="1"/>
        <v>JPY</v>
      </c>
      <c r="AI21" t="str">
        <f ca="1"/>
        <v>20/06/2030</v>
      </c>
      <c r="AJ21" t="str">
        <f ca="1"/>
        <v>FIXED</v>
      </c>
      <c r="AK21">
        <f ca="1"/>
        <v>2</v>
      </c>
      <c r="AL21">
        <f ca="1"/>
        <v>1</v>
      </c>
      <c r="AM21">
        <f ca="1"/>
        <v>1.5569999999999919</v>
      </c>
      <c r="AN21">
        <f ca="1"/>
        <v>1.575999999999997</v>
      </c>
      <c r="AO21">
        <f ca="1"/>
        <v>97.766999999999996</v>
      </c>
      <c r="AP21">
        <f ca="1"/>
        <v>97.692999999999998</v>
      </c>
      <c r="AQ21" t="str">
        <f ca="1"/>
        <v>YM1139448</v>
      </c>
      <c r="AR21" t="str">
        <f ca="1"/>
        <v>JP1051791R76</v>
      </c>
      <c r="AS21" t="str">
        <f ca="1"/>
        <v>A+</v>
      </c>
      <c r="AT21">
        <f ca="1"/>
        <v>45839</v>
      </c>
      <c r="AU21">
        <f ca="1"/>
        <v>46193</v>
      </c>
      <c r="AV21">
        <f ca="1"/>
        <v>4.2245037645448322</v>
      </c>
      <c r="AW21">
        <f ca="1"/>
        <v>97.72999999999999</v>
      </c>
      <c r="AX21">
        <f ca="1"/>
        <v>233</v>
      </c>
      <c r="AY21">
        <f ca="1"/>
        <v>4</v>
      </c>
      <c r="AZ21">
        <f ca="1"/>
        <v>1</v>
      </c>
      <c r="BA21">
        <f ca="1"/>
        <v>0.5494505494505495</v>
      </c>
      <c r="BB21">
        <f ca="1"/>
        <v>97.180549450549435</v>
      </c>
      <c r="BC21">
        <f ca="1"/>
        <v>1.5664999999999945</v>
      </c>
    </row>
    <row r="22" spans="2:55" ht="12.75" x14ac:dyDescent="0.35">
      <c r="B22" t="str">
        <f ca="1"/>
        <v>YM377386 Corp</v>
      </c>
      <c r="C22" t="str">
        <f ca="1"/>
        <v>Japan Government Five Year Bond</v>
      </c>
      <c r="D22" t="str">
        <f ca="1"/>
        <v>JGB</v>
      </c>
      <c r="E22" t="str">
        <f ca="1"/>
        <v>JP</v>
      </c>
      <c r="F22" t="str">
        <f ca="1"/>
        <v>JPY</v>
      </c>
      <c r="G22" t="str">
        <f ca="1"/>
        <v>20/06/2030</v>
      </c>
      <c r="H22" t="str">
        <f ca="1"/>
        <v>FIXED</v>
      </c>
      <c r="I22">
        <f ca="1"/>
        <v>2</v>
      </c>
      <c r="J22">
        <f ca="1"/>
        <v>1</v>
      </c>
      <c r="K22">
        <f ca="1"/>
        <v>1.5609999999999893</v>
      </c>
      <c r="L22">
        <f ca="1"/>
        <v>1.5809999999999922</v>
      </c>
      <c r="M22">
        <f ca="1"/>
        <v>97.751999999999995</v>
      </c>
      <c r="N22">
        <f ca="1"/>
        <v>97.673000000000002</v>
      </c>
      <c r="O22" t="str">
        <f ca="1"/>
        <v>YM3773863</v>
      </c>
      <c r="P22" t="str">
        <f ca="1"/>
        <v>JP1470031R78</v>
      </c>
      <c r="Q22" t="str">
        <f ca="1"/>
        <v>A+</v>
      </c>
      <c r="R22" s="3">
        <f ca="1"/>
        <v>45846</v>
      </c>
      <c r="S22">
        <f ca="1"/>
        <v>46193</v>
      </c>
      <c r="T22">
        <f ca="1"/>
        <v>4.2245037645448322</v>
      </c>
      <c r="U22" s="4">
        <f ca="1"/>
        <v>97.712500000000006</v>
      </c>
      <c r="V22">
        <f ca="1"/>
        <v>235</v>
      </c>
      <c r="W22">
        <f ca="1"/>
        <v>4</v>
      </c>
      <c r="X22" s="4">
        <f ca="1"/>
        <v>1</v>
      </c>
      <c r="Y22" s="4">
        <f ca="1"/>
        <v>0.5494505494505495</v>
      </c>
      <c r="Z22" s="4">
        <f ca="1"/>
        <v>97.163049450549451</v>
      </c>
      <c r="AA22" s="4">
        <f ca="1"/>
        <v>1.5709999999999908</v>
      </c>
      <c r="AB22" s="4"/>
      <c r="AD22" t="str">
        <f ca="1"/>
        <v>YM377386 Corp</v>
      </c>
      <c r="AE22" t="str">
        <f ca="1"/>
        <v>Japan Government Five Year Bond</v>
      </c>
      <c r="AF22" t="str">
        <f ca="1"/>
        <v>JGB</v>
      </c>
      <c r="AG22" t="str">
        <f ca="1"/>
        <v>JP</v>
      </c>
      <c r="AH22" t="str">
        <f ca="1"/>
        <v>JPY</v>
      </c>
      <c r="AI22" t="str">
        <f ca="1"/>
        <v>20/06/2030</v>
      </c>
      <c r="AJ22" t="str">
        <f ca="1"/>
        <v>FIXED</v>
      </c>
      <c r="AK22">
        <f ca="1"/>
        <v>2</v>
      </c>
      <c r="AL22">
        <f ca="1"/>
        <v>1</v>
      </c>
      <c r="AM22">
        <f ca="1"/>
        <v>1.5609999999999893</v>
      </c>
      <c r="AN22">
        <f ca="1"/>
        <v>1.5809999999999922</v>
      </c>
      <c r="AO22">
        <f ca="1"/>
        <v>97.751999999999995</v>
      </c>
      <c r="AP22">
        <f ca="1"/>
        <v>97.673000000000002</v>
      </c>
      <c r="AQ22" t="str">
        <f ca="1"/>
        <v>YM3773863</v>
      </c>
      <c r="AR22" t="str">
        <f ca="1"/>
        <v>JP1470031R78</v>
      </c>
      <c r="AS22" t="str">
        <f ca="1"/>
        <v>A+</v>
      </c>
      <c r="AT22">
        <f ca="1"/>
        <v>45846</v>
      </c>
      <c r="AU22">
        <f ca="1"/>
        <v>46193</v>
      </c>
      <c r="AV22">
        <f ca="1"/>
        <v>4.2245037645448322</v>
      </c>
      <c r="AW22">
        <f ca="1"/>
        <v>97.712500000000006</v>
      </c>
      <c r="AX22">
        <f ca="1"/>
        <v>235</v>
      </c>
      <c r="AY22">
        <f ca="1"/>
        <v>4</v>
      </c>
      <c r="AZ22">
        <f ca="1"/>
        <v>1</v>
      </c>
      <c r="BA22">
        <f ca="1"/>
        <v>0.5494505494505495</v>
      </c>
      <c r="BB22">
        <f ca="1"/>
        <v>97.163049450549451</v>
      </c>
      <c r="BC22">
        <f ca="1"/>
        <v>1.5709999999999908</v>
      </c>
    </row>
    <row r="23" spans="2:55" ht="12.75" x14ac:dyDescent="0.35">
      <c r="B23" t="str">
        <f ca="1"/>
        <v>DC209344 Corp</v>
      </c>
      <c r="C23" t="str">
        <f ca="1"/>
        <v>Japan Government Five Year Bond</v>
      </c>
      <c r="D23" t="str">
        <f ca="1"/>
        <v>JGB</v>
      </c>
      <c r="E23" t="str">
        <f ca="1"/>
        <v>JP</v>
      </c>
      <c r="F23" t="str">
        <f ca="1"/>
        <v>JPY</v>
      </c>
      <c r="G23" t="str">
        <f ca="1"/>
        <v>20/09/2030</v>
      </c>
      <c r="H23" t="str">
        <f ca="1"/>
        <v>FIXED</v>
      </c>
      <c r="I23">
        <f ca="1"/>
        <v>2</v>
      </c>
      <c r="J23">
        <f ca="1"/>
        <v>1.4</v>
      </c>
      <c r="K23">
        <f ca="1"/>
        <v>1.5649999998660922</v>
      </c>
      <c r="L23">
        <f ca="1"/>
        <v>1.5869999998003588</v>
      </c>
      <c r="M23">
        <f ca="1"/>
        <v>99.302000000000007</v>
      </c>
      <c r="N23">
        <f ca="1"/>
        <v>99.21</v>
      </c>
      <c r="O23" t="str">
        <f ca="1"/>
        <v>DC2093441</v>
      </c>
      <c r="P23" t="str">
        <f ca="1"/>
        <v>JP1051821RC3</v>
      </c>
      <c r="Q23" t="str">
        <f ca="1"/>
        <v>A+</v>
      </c>
      <c r="R23" s="3">
        <f ca="1"/>
        <v>45993</v>
      </c>
      <c r="S23">
        <f ca="1"/>
        <v>46101</v>
      </c>
      <c r="T23">
        <f ca="1"/>
        <v>4.476386036960986</v>
      </c>
      <c r="U23" s="4">
        <f ca="1"/>
        <v>99.256</v>
      </c>
      <c r="V23">
        <f ca="1"/>
        <v>77</v>
      </c>
      <c r="W23">
        <f ca="1"/>
        <v>4</v>
      </c>
      <c r="X23" s="4">
        <f ca="1"/>
        <v>1</v>
      </c>
      <c r="Y23" s="4">
        <f ca="1"/>
        <v>1.4692307692307691</v>
      </c>
      <c r="Z23" s="4">
        <f ca="1"/>
        <v>97.786769230769238</v>
      </c>
      <c r="AA23" s="4">
        <f ca="1"/>
        <v>1.5759999998332255</v>
      </c>
      <c r="AB23" s="4"/>
      <c r="AD23" t="str">
        <f ca="1"/>
        <v>DC209344 Corp</v>
      </c>
      <c r="AE23" t="str">
        <f ca="1"/>
        <v>Japan Government Five Year Bond</v>
      </c>
      <c r="AF23" t="str">
        <f ca="1"/>
        <v>JGB</v>
      </c>
      <c r="AG23" t="str">
        <f ca="1"/>
        <v>JP</v>
      </c>
      <c r="AH23" t="str">
        <f ca="1"/>
        <v>JPY</v>
      </c>
      <c r="AI23" t="str">
        <f ca="1"/>
        <v>20/09/2030</v>
      </c>
      <c r="AJ23" t="str">
        <f ca="1"/>
        <v>FIXED</v>
      </c>
      <c r="AK23">
        <f ca="1"/>
        <v>2</v>
      </c>
      <c r="AL23">
        <f ca="1"/>
        <v>1.4</v>
      </c>
      <c r="AM23">
        <f ca="1"/>
        <v>1.5649999998660922</v>
      </c>
      <c r="AN23">
        <f ca="1"/>
        <v>1.5869999998003588</v>
      </c>
      <c r="AO23">
        <f ca="1"/>
        <v>99.302000000000007</v>
      </c>
      <c r="AP23">
        <f ca="1"/>
        <v>99.21</v>
      </c>
      <c r="AQ23" t="str">
        <f ca="1"/>
        <v>DC2093441</v>
      </c>
      <c r="AR23" t="str">
        <f ca="1"/>
        <v>JP1051821RC3</v>
      </c>
      <c r="AS23" t="str">
        <f ca="1"/>
        <v>A+</v>
      </c>
      <c r="AT23">
        <f ca="1"/>
        <v>45993</v>
      </c>
      <c r="AU23">
        <f ca="1"/>
        <v>46101</v>
      </c>
      <c r="AV23">
        <f ca="1"/>
        <v>4.476386036960986</v>
      </c>
      <c r="AW23">
        <f ca="1"/>
        <v>99.256</v>
      </c>
      <c r="AX23">
        <f ca="1"/>
        <v>77</v>
      </c>
      <c r="AY23">
        <f ca="1"/>
        <v>4</v>
      </c>
      <c r="AZ23">
        <f ca="1"/>
        <v>1</v>
      </c>
      <c r="BA23">
        <f ca="1"/>
        <v>1.4692307692307691</v>
      </c>
      <c r="BB23">
        <f ca="1"/>
        <v>97.786769230769238</v>
      </c>
      <c r="BC23">
        <f ca="1"/>
        <v>1.5759999998332255</v>
      </c>
    </row>
    <row r="24" spans="2:55" ht="12.75" x14ac:dyDescent="0.35">
      <c r="B24" t="str">
        <f ca="1"/>
        <v>YK941325 Corp</v>
      </c>
      <c r="C24" t="str">
        <f ca="1"/>
        <v>Japan Government Five Year Bond</v>
      </c>
      <c r="D24" t="str">
        <f ca="1"/>
        <v>JGB</v>
      </c>
      <c r="E24" t="str">
        <f ca="1"/>
        <v>JP</v>
      </c>
      <c r="F24" t="str">
        <f ca="1"/>
        <v>JPY</v>
      </c>
      <c r="G24" t="str">
        <f ca="1"/>
        <v>20/09/2030</v>
      </c>
      <c r="H24" t="str">
        <f ca="1"/>
        <v>FIXED</v>
      </c>
      <c r="I24">
        <f ca="1"/>
        <v>2</v>
      </c>
      <c r="J24">
        <f ca="1"/>
        <v>1.3</v>
      </c>
      <c r="K24">
        <f ca="1"/>
        <v>1.5740000000000045</v>
      </c>
      <c r="L24">
        <f ca="1"/>
        <v>1.5960000000000052</v>
      </c>
      <c r="M24">
        <f ca="1"/>
        <v>98.841999999999999</v>
      </c>
      <c r="N24">
        <f ca="1"/>
        <v>98.75</v>
      </c>
      <c r="O24" t="str">
        <f ca="1"/>
        <v>YK9413252</v>
      </c>
      <c r="P24" t="str">
        <f ca="1"/>
        <v>JP1051811RA8</v>
      </c>
      <c r="Q24" t="str">
        <f ca="1"/>
        <v>A+</v>
      </c>
      <c r="R24" s="3">
        <f ca="1"/>
        <v>45932</v>
      </c>
      <c r="S24">
        <f ca="1"/>
        <v>46101</v>
      </c>
      <c r="T24">
        <f ca="1"/>
        <v>4.476386036960986</v>
      </c>
      <c r="U24" s="4">
        <f ca="1"/>
        <v>98.795999999999992</v>
      </c>
      <c r="V24">
        <f ca="1"/>
        <v>231</v>
      </c>
      <c r="W24">
        <f ca="1"/>
        <v>4</v>
      </c>
      <c r="X24" s="4">
        <f ca="1"/>
        <v>1</v>
      </c>
      <c r="Y24" s="4">
        <f ca="1"/>
        <v>1.3642857142857143</v>
      </c>
      <c r="Z24" s="4">
        <f ca="1"/>
        <v>97.431714285714278</v>
      </c>
      <c r="AA24" s="4">
        <f ca="1"/>
        <v>1.5850000000000048</v>
      </c>
      <c r="AB24" s="4"/>
      <c r="AD24" t="str">
        <f ca="1"/>
        <v>YK941325 Corp</v>
      </c>
      <c r="AE24" t="str">
        <f ca="1"/>
        <v>Japan Government Five Year Bond</v>
      </c>
      <c r="AF24" t="str">
        <f ca="1"/>
        <v>JGB</v>
      </c>
      <c r="AG24" t="str">
        <f ca="1"/>
        <v>JP</v>
      </c>
      <c r="AH24" t="str">
        <f ca="1"/>
        <v>JPY</v>
      </c>
      <c r="AI24" t="str">
        <f ca="1"/>
        <v>20/09/2030</v>
      </c>
      <c r="AJ24" t="str">
        <f ca="1"/>
        <v>FIXED</v>
      </c>
      <c r="AK24">
        <f ca="1"/>
        <v>2</v>
      </c>
      <c r="AL24">
        <f ca="1"/>
        <v>1.3</v>
      </c>
      <c r="AM24">
        <f ca="1"/>
        <v>1.5740000000000045</v>
      </c>
      <c r="AN24">
        <f ca="1"/>
        <v>1.5960000000000052</v>
      </c>
      <c r="AO24">
        <f ca="1"/>
        <v>98.841999999999999</v>
      </c>
      <c r="AP24">
        <f ca="1"/>
        <v>98.75</v>
      </c>
      <c r="AQ24" t="str">
        <f ca="1"/>
        <v>YK9413252</v>
      </c>
      <c r="AR24" t="str">
        <f ca="1"/>
        <v>JP1051811RA8</v>
      </c>
      <c r="AS24" t="str">
        <f ca="1"/>
        <v>A+</v>
      </c>
      <c r="AT24">
        <f ca="1"/>
        <v>45932</v>
      </c>
      <c r="AU24">
        <f ca="1"/>
        <v>46101</v>
      </c>
      <c r="AV24">
        <f ca="1"/>
        <v>4.476386036960986</v>
      </c>
      <c r="AW24">
        <f ca="1"/>
        <v>98.795999999999992</v>
      </c>
      <c r="AX24">
        <f ca="1"/>
        <v>231</v>
      </c>
      <c r="AY24">
        <f ca="1"/>
        <v>4</v>
      </c>
      <c r="AZ24">
        <f ca="1"/>
        <v>1</v>
      </c>
      <c r="BA24">
        <f ca="1"/>
        <v>1.3642857142857143</v>
      </c>
      <c r="BB24">
        <f ca="1"/>
        <v>97.431714285714278</v>
      </c>
      <c r="BC24">
        <f ca="1"/>
        <v>1.5850000000000048</v>
      </c>
    </row>
    <row r="25" spans="2:55" ht="12.75" x14ac:dyDescent="0.35">
      <c r="B25" t="str">
        <f ca="1"/>
        <v>YI023856 Corp</v>
      </c>
      <c r="C25" t="str">
        <f ca="1"/>
        <v>Japan Government Five Year Bond</v>
      </c>
      <c r="D25" t="str">
        <f ca="1"/>
        <v>JGB</v>
      </c>
      <c r="E25" t="str">
        <f ca="1"/>
        <v>JP</v>
      </c>
      <c r="F25" t="str">
        <f ca="1"/>
        <v>JPY</v>
      </c>
      <c r="G25" t="str">
        <f ca="1"/>
        <v>20/12/2030</v>
      </c>
      <c r="H25" t="str">
        <f ca="1"/>
        <v>FIXED</v>
      </c>
      <c r="I25">
        <f ca="1"/>
        <v>2</v>
      </c>
      <c r="J25">
        <f ca="1"/>
        <v>1.6</v>
      </c>
      <c r="K25">
        <f ca="1"/>
        <v>1.6009999999200701</v>
      </c>
      <c r="L25">
        <f ca="1"/>
        <v>1.6239999999996815</v>
      </c>
      <c r="M25">
        <f ca="1"/>
        <v>99.995000000000005</v>
      </c>
      <c r="N25">
        <f ca="1"/>
        <v>99.893000000000001</v>
      </c>
      <c r="O25" t="str">
        <f ca="1"/>
        <v>YI0238562</v>
      </c>
      <c r="P25" t="str">
        <f ca="1"/>
        <v>JP1051831S10</v>
      </c>
      <c r="Q25" t="str">
        <f ca="1"/>
        <v>A+</v>
      </c>
      <c r="R25" s="3">
        <f ca="1"/>
        <v>46029</v>
      </c>
      <c r="S25">
        <f ca="1"/>
        <v>46193</v>
      </c>
      <c r="T25">
        <f ca="1"/>
        <v>4.7255304585900069</v>
      </c>
      <c r="U25" s="4">
        <f ca="1"/>
        <v>99.944000000000003</v>
      </c>
      <c r="V25">
        <f ca="1"/>
        <v>220</v>
      </c>
      <c r="W25">
        <f ca="1"/>
        <v>4.5</v>
      </c>
      <c r="X25" s="4">
        <f ca="1"/>
        <v>0</v>
      </c>
      <c r="Y25" s="4">
        <f ca="1"/>
        <v>0.87912087912087922</v>
      </c>
      <c r="Z25" s="4">
        <f ca="1"/>
        <v>99.064879120879127</v>
      </c>
      <c r="AA25" s="4">
        <f ca="1"/>
        <v>1.6124999999598759</v>
      </c>
      <c r="AB25" s="4"/>
      <c r="AD25" t="str">
        <f ca="1"/>
        <v>YI023856 Corp</v>
      </c>
      <c r="AE25" t="str">
        <f ca="1"/>
        <v>Japan Government Five Year Bond</v>
      </c>
      <c r="AF25" t="str">
        <f ca="1"/>
        <v>JGB</v>
      </c>
      <c r="AG25" t="str">
        <f ca="1"/>
        <v>JP</v>
      </c>
      <c r="AH25" t="str">
        <f ca="1"/>
        <v>JPY</v>
      </c>
      <c r="AI25" t="str">
        <f ca="1"/>
        <v>20/12/2030</v>
      </c>
      <c r="AJ25" t="str">
        <f ca="1"/>
        <v>FIXED</v>
      </c>
      <c r="AK25">
        <f ca="1"/>
        <v>2</v>
      </c>
      <c r="AL25">
        <f ca="1"/>
        <v>1.6</v>
      </c>
      <c r="AM25">
        <f ca="1"/>
        <v>1.6009999999200701</v>
      </c>
      <c r="AN25">
        <f ca="1"/>
        <v>1.6239999999996815</v>
      </c>
      <c r="AO25">
        <f ca="1"/>
        <v>99.995000000000005</v>
      </c>
      <c r="AP25">
        <f ca="1"/>
        <v>99.893000000000001</v>
      </c>
      <c r="AQ25" t="str">
        <f ca="1"/>
        <v>YI0238562</v>
      </c>
      <c r="AR25" t="str">
        <f ca="1"/>
        <v>JP1051831S10</v>
      </c>
      <c r="AS25" t="str">
        <f ca="1"/>
        <v>A+</v>
      </c>
      <c r="AT25">
        <f ca="1"/>
        <v>46029</v>
      </c>
      <c r="AU25">
        <f ca="1"/>
        <v>46193</v>
      </c>
      <c r="AV25">
        <f ca="1"/>
        <v>4.7255304585900069</v>
      </c>
      <c r="AW25">
        <f ca="1"/>
        <v>99.944000000000003</v>
      </c>
      <c r="AX25">
        <f ca="1"/>
        <v>220</v>
      </c>
      <c r="AY25">
        <f ca="1"/>
        <v>4.5</v>
      </c>
      <c r="AZ25">
        <f ca="1"/>
        <v>0</v>
      </c>
      <c r="BA25">
        <f ca="1"/>
        <v>0.87912087912087922</v>
      </c>
      <c r="BB25">
        <f ca="1"/>
        <v>99.064879120879127</v>
      </c>
      <c r="BC25">
        <f ca="1"/>
        <v>1.6124999999598759</v>
      </c>
    </row>
    <row r="26" spans="2:55" ht="12.75" x14ac:dyDescent="0.35">
      <c r="B26" t="str">
        <f ca="1"/>
        <v>YI394740 Corp</v>
      </c>
      <c r="C26" t="str">
        <f ca="1"/>
        <v>Japan Government Five Year Bond</v>
      </c>
      <c r="D26" t="str">
        <f ca="1"/>
        <v>JGB</v>
      </c>
      <c r="E26" t="str">
        <f ca="1"/>
        <v>JP</v>
      </c>
      <c r="F26" t="str">
        <f ca="1"/>
        <v>JPY</v>
      </c>
      <c r="G26" t="str">
        <f ca="1"/>
        <v>20/12/2030</v>
      </c>
      <c r="H26" t="str">
        <f ca="1"/>
        <v>FIXED</v>
      </c>
      <c r="I26">
        <f ca="1"/>
        <v>2</v>
      </c>
      <c r="J26">
        <f ca="1"/>
        <v>1.6</v>
      </c>
      <c r="K26">
        <f ca="1"/>
        <v>1.6020000000000068</v>
      </c>
      <c r="L26">
        <f ca="1"/>
        <v>1.6269999999995455</v>
      </c>
      <c r="M26">
        <f ca="1"/>
        <v>99.991</v>
      </c>
      <c r="N26">
        <f ca="1"/>
        <v>99.88</v>
      </c>
      <c r="O26" t="str">
        <f ca="1"/>
        <v>YI3947409</v>
      </c>
      <c r="P26" t="str">
        <f ca="1"/>
        <v>JP1470041S18</v>
      </c>
      <c r="Q26" t="str">
        <f ca="1"/>
        <v>A+</v>
      </c>
      <c r="R26" s="3">
        <f ca="1"/>
        <v>46041</v>
      </c>
      <c r="S26">
        <f ca="1"/>
        <v>46193</v>
      </c>
      <c r="T26">
        <f ca="1"/>
        <v>4.7255304585900069</v>
      </c>
      <c r="U26" s="4">
        <f ca="1"/>
        <v>99.93549999999999</v>
      </c>
      <c r="V26">
        <f ca="1"/>
        <v>222</v>
      </c>
      <c r="W26">
        <f ca="1"/>
        <v>4.5</v>
      </c>
      <c r="X26" s="4">
        <f ca="1"/>
        <v>0</v>
      </c>
      <c r="Y26" s="4">
        <f ca="1"/>
        <v>0.87912087912087922</v>
      </c>
      <c r="Z26" s="4">
        <f ca="1"/>
        <v>99.056379120879114</v>
      </c>
      <c r="AA26" s="4">
        <f ca="1"/>
        <v>1.6144999999997762</v>
      </c>
      <c r="AB26" s="4"/>
      <c r="AD26" t="str">
        <f ca="1"/>
        <v>YI394740 Corp</v>
      </c>
      <c r="AE26" t="str">
        <f ca="1"/>
        <v>Japan Government Five Year Bond</v>
      </c>
      <c r="AF26" t="str">
        <f ca="1"/>
        <v>JGB</v>
      </c>
      <c r="AG26" t="str">
        <f ca="1"/>
        <v>JP</v>
      </c>
      <c r="AH26" t="str">
        <f ca="1"/>
        <v>JPY</v>
      </c>
      <c r="AI26" t="str">
        <f ca="1"/>
        <v>20/12/2030</v>
      </c>
      <c r="AJ26" t="str">
        <f ca="1"/>
        <v>FIXED</v>
      </c>
      <c r="AK26">
        <f ca="1"/>
        <v>2</v>
      </c>
      <c r="AL26">
        <f ca="1"/>
        <v>1.6</v>
      </c>
      <c r="AM26">
        <f ca="1"/>
        <v>1.6020000000000068</v>
      </c>
      <c r="AN26">
        <f ca="1"/>
        <v>1.6269999999995455</v>
      </c>
      <c r="AO26">
        <f ca="1"/>
        <v>99.991</v>
      </c>
      <c r="AP26">
        <f ca="1"/>
        <v>99.88</v>
      </c>
      <c r="AQ26" t="str">
        <f ca="1"/>
        <v>YI3947409</v>
      </c>
      <c r="AR26" t="str">
        <f ca="1"/>
        <v>JP1470041S18</v>
      </c>
      <c r="AS26" t="str">
        <f ca="1"/>
        <v>A+</v>
      </c>
      <c r="AT26">
        <f ca="1"/>
        <v>46041</v>
      </c>
      <c r="AU26">
        <f ca="1"/>
        <v>46193</v>
      </c>
      <c r="AV26">
        <f ca="1"/>
        <v>4.7255304585900069</v>
      </c>
      <c r="AW26">
        <f ca="1"/>
        <v>99.93549999999999</v>
      </c>
      <c r="AX26">
        <f ca="1"/>
        <v>222</v>
      </c>
      <c r="AY26">
        <f ca="1"/>
        <v>4.5</v>
      </c>
      <c r="AZ26">
        <f ca="1"/>
        <v>0</v>
      </c>
      <c r="BA26">
        <f ca="1"/>
        <v>0.87912087912087922</v>
      </c>
      <c r="BB26">
        <f ca="1"/>
        <v>99.056379120879114</v>
      </c>
      <c r="BC26">
        <f ca="1"/>
        <v>1.6144999999997762</v>
      </c>
    </row>
    <row r="27" spans="2:55" ht="12.75" x14ac:dyDescent="0.35">
      <c r="B27" t="str">
        <f ca="1"/>
        <v>YQ993424 Corp</v>
      </c>
      <c r="C27" t="str">
        <f ca="1"/>
        <v>Japan Government Ten Year Bond</v>
      </c>
      <c r="D27" t="str">
        <f ca="1"/>
        <v>JGB</v>
      </c>
      <c r="E27" t="str">
        <f ca="1"/>
        <v>JP</v>
      </c>
      <c r="F27" t="str">
        <f ca="1"/>
        <v>JPY</v>
      </c>
      <c r="G27" t="str">
        <f ca="1"/>
        <v>20/03/2035</v>
      </c>
      <c r="H27" t="str">
        <f ca="1"/>
        <v>FIXED</v>
      </c>
      <c r="I27">
        <f ca="1"/>
        <v>2</v>
      </c>
      <c r="J27">
        <f ca="1"/>
        <v>1.4</v>
      </c>
      <c r="K27">
        <f ca="1"/>
        <v>2.1249999999968354</v>
      </c>
      <c r="L27">
        <f ca="1"/>
        <v>2.137999999996484</v>
      </c>
      <c r="M27">
        <f ca="1"/>
        <v>94.510999999999996</v>
      </c>
      <c r="N27">
        <f ca="1"/>
        <v>94.418000000000006</v>
      </c>
      <c r="O27" t="str">
        <f ca="1"/>
        <v>YQ9934247</v>
      </c>
      <c r="P27" t="str">
        <f ca="1"/>
        <v>JP1103781R44</v>
      </c>
      <c r="Q27" t="str">
        <f ca="1"/>
        <v>A+</v>
      </c>
      <c r="R27" s="3">
        <f ca="1"/>
        <v>45743</v>
      </c>
      <c r="S27">
        <f ca="1"/>
        <v>46101</v>
      </c>
      <c r="T27">
        <f ca="1"/>
        <v>8.9719370294318956</v>
      </c>
      <c r="U27" s="4">
        <f ca="1"/>
        <v>94.464500000000001</v>
      </c>
      <c r="V27">
        <f ca="1"/>
        <v>248</v>
      </c>
      <c r="W27">
        <f ca="1"/>
        <v>8.5</v>
      </c>
      <c r="X27" s="4">
        <f ca="1"/>
        <v>1</v>
      </c>
      <c r="Y27" s="4">
        <f ca="1"/>
        <v>1.4692307692307691</v>
      </c>
      <c r="Z27" s="4">
        <f ca="1"/>
        <v>92.995269230769239</v>
      </c>
      <c r="AA27" s="4">
        <f ca="1"/>
        <v>2.1314999999966595</v>
      </c>
      <c r="AB27" s="4"/>
      <c r="AD27" t="str">
        <f ca="1"/>
        <v>YQ993424 Corp</v>
      </c>
      <c r="AE27" t="str">
        <f ca="1"/>
        <v>Japan Government Ten Year Bond</v>
      </c>
      <c r="AF27" t="str">
        <f ca="1"/>
        <v>JGB</v>
      </c>
      <c r="AG27" t="str">
        <f ca="1"/>
        <v>JP</v>
      </c>
      <c r="AH27" t="str">
        <f ca="1"/>
        <v>JPY</v>
      </c>
      <c r="AI27" t="str">
        <f ca="1"/>
        <v>20/03/2035</v>
      </c>
      <c r="AJ27" t="str">
        <f ca="1"/>
        <v>FIXED</v>
      </c>
      <c r="AK27">
        <f ca="1"/>
        <v>2</v>
      </c>
      <c r="AL27">
        <f ca="1"/>
        <v>1.4</v>
      </c>
      <c r="AM27">
        <f ca="1"/>
        <v>2.1249999999968354</v>
      </c>
      <c r="AN27">
        <f ca="1"/>
        <v>2.137999999996484</v>
      </c>
      <c r="AO27">
        <f ca="1"/>
        <v>94.510999999999996</v>
      </c>
      <c r="AP27">
        <f ca="1"/>
        <v>94.418000000000006</v>
      </c>
      <c r="AQ27" t="str">
        <f ca="1"/>
        <v>YQ9934247</v>
      </c>
      <c r="AR27" t="str">
        <f ca="1"/>
        <v>JP1103781R44</v>
      </c>
      <c r="AS27" t="str">
        <f ca="1"/>
        <v>A+</v>
      </c>
      <c r="AT27">
        <f ca="1"/>
        <v>45743</v>
      </c>
      <c r="AU27">
        <f ca="1"/>
        <v>46101</v>
      </c>
      <c r="AV27">
        <f ca="1"/>
        <v>8.9719370294318956</v>
      </c>
      <c r="AW27">
        <f ca="1"/>
        <v>94.464500000000001</v>
      </c>
      <c r="AX27">
        <f ca="1"/>
        <v>248</v>
      </c>
      <c r="AY27">
        <f ca="1"/>
        <v>8.5</v>
      </c>
      <c r="AZ27">
        <f ca="1"/>
        <v>1</v>
      </c>
      <c r="BA27">
        <f ca="1"/>
        <v>1.4692307692307691</v>
      </c>
      <c r="BB27">
        <f ca="1"/>
        <v>92.995269230769239</v>
      </c>
      <c r="BC27">
        <f ca="1"/>
        <v>2.1314999999966595</v>
      </c>
    </row>
    <row r="28" spans="2:55" ht="12.75" x14ac:dyDescent="0.35">
      <c r="B28" t="str">
        <f ca="1"/>
        <v>YN917177 Corp</v>
      </c>
      <c r="C28" t="str">
        <f ca="1"/>
        <v>Japan Government Ten Year Bond</v>
      </c>
      <c r="D28" t="str">
        <f ca="1"/>
        <v>JGB</v>
      </c>
      <c r="E28" t="str">
        <f ca="1"/>
        <v>JP</v>
      </c>
      <c r="F28" t="str">
        <f ca="1"/>
        <v>JPY</v>
      </c>
      <c r="G28" t="str">
        <f ca="1"/>
        <v>20/06/2035</v>
      </c>
      <c r="H28" t="str">
        <f ca="1"/>
        <v>FIXED</v>
      </c>
      <c r="I28">
        <f ca="1"/>
        <v>2</v>
      </c>
      <c r="J28">
        <f ca="1"/>
        <v>1.5</v>
      </c>
      <c r="K28">
        <f ca="1"/>
        <v>2.1469999999986022</v>
      </c>
      <c r="L28">
        <f ca="1"/>
        <v>2.161999999998407</v>
      </c>
      <c r="M28">
        <f ca="1"/>
        <v>94.995999999999995</v>
      </c>
      <c r="N28">
        <f ca="1"/>
        <v>94.885999999999996</v>
      </c>
      <c r="O28" t="str">
        <f ca="1"/>
        <v>YN9171771</v>
      </c>
      <c r="P28" t="str">
        <f ca="1"/>
        <v>JP1103791R75</v>
      </c>
      <c r="Q28" t="str">
        <f ca="1"/>
        <v>A+</v>
      </c>
      <c r="R28" s="3">
        <f ca="1"/>
        <v>45832</v>
      </c>
      <c r="S28">
        <f ca="1"/>
        <v>46193</v>
      </c>
      <c r="T28">
        <f ca="1"/>
        <v>9.2238193018480494</v>
      </c>
      <c r="U28" s="4">
        <f ca="1"/>
        <v>94.941000000000003</v>
      </c>
      <c r="V28">
        <f ca="1"/>
        <v>239</v>
      </c>
      <c r="W28">
        <f ca="1"/>
        <v>9</v>
      </c>
      <c r="X28" s="4">
        <f ca="1"/>
        <v>1</v>
      </c>
      <c r="Y28" s="4">
        <f ca="1"/>
        <v>0.82417582417582425</v>
      </c>
      <c r="Z28" s="4">
        <f ca="1"/>
        <v>94.116824175824178</v>
      </c>
      <c r="AA28" s="4">
        <f ca="1"/>
        <v>2.1544999999985048</v>
      </c>
      <c r="AB28" s="4"/>
      <c r="AD28" t="str">
        <f ca="1"/>
        <v>YN917177 Corp</v>
      </c>
      <c r="AE28" t="str">
        <f ca="1"/>
        <v>Japan Government Ten Year Bond</v>
      </c>
      <c r="AF28" t="str">
        <f ca="1"/>
        <v>JGB</v>
      </c>
      <c r="AG28" t="str">
        <f ca="1"/>
        <v>JP</v>
      </c>
      <c r="AH28" t="str">
        <f ca="1"/>
        <v>JPY</v>
      </c>
      <c r="AI28" t="str">
        <f ca="1"/>
        <v>20/06/2035</v>
      </c>
      <c r="AJ28" t="str">
        <f ca="1"/>
        <v>FIXED</v>
      </c>
      <c r="AK28">
        <f ca="1"/>
        <v>2</v>
      </c>
      <c r="AL28">
        <f ca="1"/>
        <v>1.5</v>
      </c>
      <c r="AM28">
        <f ca="1"/>
        <v>2.1469999999986022</v>
      </c>
      <c r="AN28">
        <f ca="1"/>
        <v>2.161999999998407</v>
      </c>
      <c r="AO28">
        <f ca="1"/>
        <v>94.995999999999995</v>
      </c>
      <c r="AP28">
        <f ca="1"/>
        <v>94.885999999999996</v>
      </c>
      <c r="AQ28" t="str">
        <f ca="1"/>
        <v>YN9171771</v>
      </c>
      <c r="AR28" t="str">
        <f ca="1"/>
        <v>JP1103791R75</v>
      </c>
      <c r="AS28" t="str">
        <f ca="1"/>
        <v>A+</v>
      </c>
      <c r="AT28">
        <f ca="1"/>
        <v>45832</v>
      </c>
      <c r="AU28">
        <f ca="1"/>
        <v>46193</v>
      </c>
      <c r="AV28">
        <f ca="1"/>
        <v>9.2238193018480494</v>
      </c>
      <c r="AW28">
        <f ca="1"/>
        <v>94.941000000000003</v>
      </c>
      <c r="AX28">
        <f ca="1"/>
        <v>239</v>
      </c>
      <c r="AY28">
        <f ca="1"/>
        <v>9</v>
      </c>
      <c r="AZ28">
        <f ca="1"/>
        <v>1</v>
      </c>
      <c r="BA28">
        <f ca="1"/>
        <v>0.82417582417582425</v>
      </c>
      <c r="BB28">
        <f ca="1"/>
        <v>94.116824175824178</v>
      </c>
      <c r="BC28">
        <f ca="1"/>
        <v>2.1544999999985048</v>
      </c>
    </row>
    <row r="29" spans="2:55" ht="12.75" x14ac:dyDescent="0.35">
      <c r="B29" t="str">
        <f ca="1"/>
        <v>YJ408080 Corp</v>
      </c>
      <c r="C29" t="str">
        <f ca="1"/>
        <v>Japan Government Ten Year Bond</v>
      </c>
      <c r="D29" t="str">
        <f ca="1"/>
        <v>JGB</v>
      </c>
      <c r="E29" t="str">
        <f ca="1"/>
        <v>JP</v>
      </c>
      <c r="F29" t="str">
        <f ca="1"/>
        <v>JPY</v>
      </c>
      <c r="G29" t="str">
        <f ca="1"/>
        <v>20/09/2035</v>
      </c>
      <c r="H29" t="str">
        <f ca="1"/>
        <v>FIXED</v>
      </c>
      <c r="I29">
        <f ca="1"/>
        <v>2</v>
      </c>
      <c r="J29">
        <f ca="1"/>
        <v>1.6</v>
      </c>
      <c r="K29">
        <f ca="1"/>
        <v>2.1259999999994537</v>
      </c>
      <c r="L29">
        <f ca="1"/>
        <v>2.150999999999291</v>
      </c>
      <c r="M29">
        <f ca="1"/>
        <v>95.832999999999998</v>
      </c>
      <c r="N29">
        <f ca="1"/>
        <v>95.643000000000001</v>
      </c>
      <c r="O29" t="str">
        <f ca="1"/>
        <v>YJ4080802</v>
      </c>
      <c r="P29" t="str">
        <f ca="1"/>
        <v>JP1480031RA4</v>
      </c>
      <c r="Q29" t="str">
        <f ca="1"/>
        <v>A+</v>
      </c>
      <c r="R29" s="3">
        <f ca="1"/>
        <v>45944</v>
      </c>
      <c r="S29">
        <f ca="1"/>
        <v>46101</v>
      </c>
      <c r="T29">
        <f ca="1"/>
        <v>9.4757015742642032</v>
      </c>
      <c r="U29" s="4">
        <f ca="1"/>
        <v>95.738</v>
      </c>
      <c r="V29">
        <f ca="1"/>
        <v>225</v>
      </c>
      <c r="W29">
        <f ca="1"/>
        <v>9</v>
      </c>
      <c r="X29" s="4">
        <f ca="1"/>
        <v>1</v>
      </c>
      <c r="Y29" s="4">
        <f ca="1"/>
        <v>1.6791208791208794</v>
      </c>
      <c r="Z29" s="4">
        <f ca="1"/>
        <v>94.058879120879126</v>
      </c>
      <c r="AA29" s="4">
        <f ca="1"/>
        <v>2.1384999999993726</v>
      </c>
      <c r="AB29" s="4"/>
      <c r="AD29" t="str">
        <f ca="1"/>
        <v>YJ408080 Corp</v>
      </c>
      <c r="AE29" t="str">
        <f ca="1"/>
        <v>Japan Government Ten Year Bond</v>
      </c>
      <c r="AF29" t="str">
        <f ca="1"/>
        <v>JGB</v>
      </c>
      <c r="AG29" t="str">
        <f ca="1"/>
        <v>JP</v>
      </c>
      <c r="AH29" t="str">
        <f ca="1"/>
        <v>JPY</v>
      </c>
      <c r="AI29" t="str">
        <f ca="1"/>
        <v>20/09/2035</v>
      </c>
      <c r="AJ29" t="str">
        <f ca="1"/>
        <v>FIXED</v>
      </c>
      <c r="AK29">
        <f ca="1"/>
        <v>2</v>
      </c>
      <c r="AL29">
        <f ca="1"/>
        <v>1.6</v>
      </c>
      <c r="AM29">
        <f ca="1"/>
        <v>2.1259999999994537</v>
      </c>
      <c r="AN29">
        <f ca="1"/>
        <v>2.150999999999291</v>
      </c>
      <c r="AO29">
        <f ca="1"/>
        <v>95.832999999999998</v>
      </c>
      <c r="AP29">
        <f ca="1"/>
        <v>95.643000000000001</v>
      </c>
      <c r="AQ29" t="str">
        <f ca="1"/>
        <v>YJ4080802</v>
      </c>
      <c r="AR29" t="str">
        <f ca="1"/>
        <v>JP1480031RA4</v>
      </c>
      <c r="AS29" t="str">
        <f ca="1"/>
        <v>A+</v>
      </c>
      <c r="AT29">
        <f ca="1"/>
        <v>45944</v>
      </c>
      <c r="AU29">
        <f ca="1"/>
        <v>46101</v>
      </c>
      <c r="AV29">
        <f ca="1"/>
        <v>9.4757015742642032</v>
      </c>
      <c r="AW29">
        <f ca="1"/>
        <v>95.738</v>
      </c>
      <c r="AX29">
        <f ca="1"/>
        <v>225</v>
      </c>
      <c r="AY29">
        <f ca="1"/>
        <v>9</v>
      </c>
      <c r="AZ29">
        <f ca="1"/>
        <v>1</v>
      </c>
      <c r="BA29">
        <f ca="1"/>
        <v>1.6791208791208794</v>
      </c>
      <c r="BB29">
        <f ca="1"/>
        <v>94.058879120879126</v>
      </c>
      <c r="BC29">
        <f ca="1"/>
        <v>2.1384999999993726</v>
      </c>
    </row>
    <row r="30" spans="2:55" ht="12.75" x14ac:dyDescent="0.35">
      <c r="B30" t="str">
        <f ca="1"/>
        <v>YK650334 Corp</v>
      </c>
      <c r="C30" t="str">
        <f ca="1"/>
        <v>Japan Government Ten Year Bond</v>
      </c>
      <c r="D30" t="str">
        <f ca="1"/>
        <v>JGB</v>
      </c>
      <c r="E30" t="str">
        <f ca="1"/>
        <v>JP</v>
      </c>
      <c r="F30" t="str">
        <f ca="1"/>
        <v>JPY</v>
      </c>
      <c r="G30" t="str">
        <f ca="1"/>
        <v>20/09/2035</v>
      </c>
      <c r="H30" t="str">
        <f ca="1"/>
        <v>FIXED</v>
      </c>
      <c r="I30">
        <f ca="1"/>
        <v>2</v>
      </c>
      <c r="J30">
        <f ca="1"/>
        <v>1.7</v>
      </c>
      <c r="K30">
        <f ca="1"/>
        <v>2.1609999999997638</v>
      </c>
      <c r="L30">
        <f ca="1"/>
        <v>2.1789999999997112</v>
      </c>
      <c r="M30">
        <f ca="1"/>
        <v>96.358000000000004</v>
      </c>
      <c r="N30">
        <f ca="1"/>
        <v>96.221000000000004</v>
      </c>
      <c r="O30" t="str">
        <f ca="1"/>
        <v>YK6503345</v>
      </c>
      <c r="P30" t="str">
        <f ca="1"/>
        <v>JP1103801RA7</v>
      </c>
      <c r="Q30" t="str">
        <f ca="1"/>
        <v>A+</v>
      </c>
      <c r="R30" s="3">
        <f ca="1"/>
        <v>45925</v>
      </c>
      <c r="S30">
        <f ca="1"/>
        <v>46101</v>
      </c>
      <c r="T30">
        <f ca="1"/>
        <v>9.4757015742642032</v>
      </c>
      <c r="U30" s="4">
        <f ca="1"/>
        <v>96.289500000000004</v>
      </c>
      <c r="V30">
        <f ca="1"/>
        <v>229</v>
      </c>
      <c r="W30">
        <f ca="1"/>
        <v>9</v>
      </c>
      <c r="X30" s="4">
        <f ca="1"/>
        <v>1</v>
      </c>
      <c r="Y30" s="4">
        <f ca="1"/>
        <v>1.7840659340659342</v>
      </c>
      <c r="Z30" s="4">
        <f ca="1"/>
        <v>94.505434065934068</v>
      </c>
      <c r="AA30" s="4">
        <f ca="1"/>
        <v>2.1699999999997375</v>
      </c>
      <c r="AB30" s="4"/>
      <c r="AD30" t="str">
        <f ca="1"/>
        <v>YK650334 Corp</v>
      </c>
      <c r="AE30" t="str">
        <f ca="1"/>
        <v>Japan Government Ten Year Bond</v>
      </c>
      <c r="AF30" t="str">
        <f ca="1"/>
        <v>JGB</v>
      </c>
      <c r="AG30" t="str">
        <f ca="1"/>
        <v>JP</v>
      </c>
      <c r="AH30" t="str">
        <f ca="1"/>
        <v>JPY</v>
      </c>
      <c r="AI30" t="str">
        <f ca="1"/>
        <v>20/09/2035</v>
      </c>
      <c r="AJ30" t="str">
        <f ca="1"/>
        <v>FIXED</v>
      </c>
      <c r="AK30">
        <f ca="1"/>
        <v>2</v>
      </c>
      <c r="AL30">
        <f ca="1"/>
        <v>1.7</v>
      </c>
      <c r="AM30">
        <f ca="1"/>
        <v>2.1609999999997638</v>
      </c>
      <c r="AN30">
        <f ca="1"/>
        <v>2.1789999999997112</v>
      </c>
      <c r="AO30">
        <f ca="1"/>
        <v>96.358000000000004</v>
      </c>
      <c r="AP30">
        <f ca="1"/>
        <v>96.221000000000004</v>
      </c>
      <c r="AQ30" t="str">
        <f ca="1"/>
        <v>YK6503345</v>
      </c>
      <c r="AR30" t="str">
        <f ca="1"/>
        <v>JP1103801RA7</v>
      </c>
      <c r="AS30" t="str">
        <f ca="1"/>
        <v>A+</v>
      </c>
      <c r="AT30">
        <f ca="1"/>
        <v>45925</v>
      </c>
      <c r="AU30">
        <f ca="1"/>
        <v>46101</v>
      </c>
      <c r="AV30">
        <f ca="1"/>
        <v>9.4757015742642032</v>
      </c>
      <c r="AW30">
        <f ca="1"/>
        <v>96.289500000000004</v>
      </c>
      <c r="AX30">
        <f ca="1"/>
        <v>229</v>
      </c>
      <c r="AY30">
        <f ca="1"/>
        <v>9</v>
      </c>
      <c r="AZ30">
        <f ca="1"/>
        <v>1</v>
      </c>
      <c r="BA30">
        <f ca="1"/>
        <v>1.7840659340659342</v>
      </c>
      <c r="BB30">
        <f ca="1"/>
        <v>94.505434065934068</v>
      </c>
      <c r="BC30">
        <f ca="1"/>
        <v>2.1699999999997375</v>
      </c>
    </row>
    <row r="31" spans="2:55" ht="12.75" x14ac:dyDescent="0.35">
      <c r="B31" t="str">
        <f ca="1"/>
        <v>DC746693 Corp</v>
      </c>
      <c r="C31" t="str">
        <f ca="1"/>
        <v>Japan Government Ten Year Bond</v>
      </c>
      <c r="D31" t="str">
        <f ca="1"/>
        <v>JGB</v>
      </c>
      <c r="E31" t="str">
        <f ca="1"/>
        <v>JP</v>
      </c>
      <c r="F31" t="str">
        <f ca="1"/>
        <v>JPY</v>
      </c>
      <c r="G31" t="str">
        <f ca="1"/>
        <v>20/12/2035</v>
      </c>
      <c r="H31" t="str">
        <f ca="1"/>
        <v>FIXED</v>
      </c>
      <c r="I31">
        <f ca="1"/>
        <v>2</v>
      </c>
      <c r="J31">
        <f ca="1"/>
        <v>2.1</v>
      </c>
      <c r="K31">
        <f ca="1"/>
        <v>2.1609999999509681</v>
      </c>
      <c r="L31">
        <f ca="1"/>
        <v>2.1799999998873618</v>
      </c>
      <c r="M31">
        <f ca="1"/>
        <v>99.507000000000005</v>
      </c>
      <c r="N31">
        <f ca="1"/>
        <v>99.355000000000004</v>
      </c>
      <c r="O31" t="str">
        <f ca="1"/>
        <v>DC7466931</v>
      </c>
      <c r="P31" t="str">
        <f ca="1"/>
        <v>JP1103811S13</v>
      </c>
      <c r="Q31" t="str">
        <f ca="1"/>
        <v>A+</v>
      </c>
      <c r="R31" s="3">
        <f ca="1"/>
        <v>46017</v>
      </c>
      <c r="S31">
        <f ca="1"/>
        <v>46193</v>
      </c>
      <c r="T31">
        <f ca="1"/>
        <v>9.7248459958932241</v>
      </c>
      <c r="U31" s="4">
        <f ca="1"/>
        <v>99.431000000000012</v>
      </c>
      <c r="V31">
        <f ca="1"/>
        <v>79</v>
      </c>
      <c r="W31">
        <f ca="1"/>
        <v>9.5</v>
      </c>
      <c r="X31" s="4">
        <f ca="1"/>
        <v>1</v>
      </c>
      <c r="Y31" s="4">
        <f ca="1"/>
        <v>1.153846153846154</v>
      </c>
      <c r="Z31" s="4">
        <f ca="1"/>
        <v>98.277153846153851</v>
      </c>
      <c r="AA31" s="4">
        <f ca="1"/>
        <v>2.1704999999191648</v>
      </c>
      <c r="AB31" s="4"/>
      <c r="AD31" t="str">
        <f ca="1"/>
        <v>DC746693 Corp</v>
      </c>
      <c r="AE31" t="str">
        <f ca="1"/>
        <v>Japan Government Ten Year Bond</v>
      </c>
      <c r="AF31" t="str">
        <f ca="1"/>
        <v>JGB</v>
      </c>
      <c r="AG31" t="str">
        <f ca="1"/>
        <v>JP</v>
      </c>
      <c r="AH31" t="str">
        <f ca="1"/>
        <v>JPY</v>
      </c>
      <c r="AI31" t="str">
        <f ca="1"/>
        <v>20/12/2035</v>
      </c>
      <c r="AJ31" t="str">
        <f ca="1"/>
        <v>FIXED</v>
      </c>
      <c r="AK31">
        <f ca="1"/>
        <v>2</v>
      </c>
      <c r="AL31">
        <f ca="1"/>
        <v>2.1</v>
      </c>
      <c r="AM31">
        <f ca="1"/>
        <v>2.1609999999509681</v>
      </c>
      <c r="AN31">
        <f ca="1"/>
        <v>2.1799999998873618</v>
      </c>
      <c r="AO31">
        <f ca="1"/>
        <v>99.507000000000005</v>
      </c>
      <c r="AP31">
        <f ca="1"/>
        <v>99.355000000000004</v>
      </c>
      <c r="AQ31" t="str">
        <f ca="1"/>
        <v>DC7466931</v>
      </c>
      <c r="AR31" t="str">
        <f ca="1"/>
        <v>JP1103811S13</v>
      </c>
      <c r="AS31" t="str">
        <f ca="1"/>
        <v>A+</v>
      </c>
      <c r="AT31">
        <f ca="1"/>
        <v>46017</v>
      </c>
      <c r="AU31">
        <f ca="1"/>
        <v>46193</v>
      </c>
      <c r="AV31">
        <f ca="1"/>
        <v>9.7248459958932241</v>
      </c>
      <c r="AW31">
        <f ca="1"/>
        <v>99.431000000000012</v>
      </c>
      <c r="AX31">
        <f ca="1"/>
        <v>79</v>
      </c>
      <c r="AY31">
        <f ca="1"/>
        <v>9.5</v>
      </c>
      <c r="AZ31">
        <f ca="1"/>
        <v>1</v>
      </c>
      <c r="BA31">
        <f ca="1"/>
        <v>1.153846153846154</v>
      </c>
      <c r="BB31">
        <f ca="1"/>
        <v>98.277153846153851</v>
      </c>
      <c r="BC31">
        <f ca="1"/>
        <v>2.1704999999191648</v>
      </c>
    </row>
    <row r="32" spans="2:55" ht="12.75" x14ac:dyDescent="0.35">
      <c r="B32" t="str">
        <f ca="1"/>
        <v>YS702880 Corp</v>
      </c>
      <c r="C32" t="str">
        <f ca="1"/>
        <v>Japan Government Twenty Year Bond</v>
      </c>
      <c r="D32" t="str">
        <f ca="1"/>
        <v>JGB</v>
      </c>
      <c r="E32" t="str">
        <f ca="1"/>
        <v>JP</v>
      </c>
      <c r="F32" t="str">
        <f ca="1"/>
        <v>JPY</v>
      </c>
      <c r="G32" t="str">
        <f ca="1"/>
        <v>20/12/2044</v>
      </c>
      <c r="H32" t="str">
        <f ca="1"/>
        <v>FIXED</v>
      </c>
      <c r="I32">
        <f ca="1"/>
        <v>2</v>
      </c>
      <c r="J32">
        <f ca="1"/>
        <v>2</v>
      </c>
      <c r="K32">
        <f ca="1"/>
        <v>3.2049999999999992</v>
      </c>
      <c r="L32">
        <f ca="1"/>
        <v>3.2289999999999988</v>
      </c>
      <c r="M32">
        <f ca="1"/>
        <v>85.875</v>
      </c>
      <c r="N32">
        <f ca="1"/>
        <v>85.634</v>
      </c>
      <c r="O32" t="str">
        <f ca="1"/>
        <v>YS7028808</v>
      </c>
      <c r="P32" t="str">
        <f ca="1"/>
        <v>JP1201911R15</v>
      </c>
      <c r="Q32" t="str">
        <f ca="1"/>
        <v>A+</v>
      </c>
      <c r="R32" s="3">
        <f ca="1"/>
        <v>45666</v>
      </c>
      <c r="S32">
        <f ca="1"/>
        <v>46193</v>
      </c>
      <c r="T32">
        <f ca="1"/>
        <v>18.726899383983572</v>
      </c>
      <c r="U32" s="4">
        <f ca="1"/>
        <v>85.754500000000007</v>
      </c>
      <c r="V32">
        <f ca="1"/>
        <v>256</v>
      </c>
      <c r="W32">
        <f ca="1"/>
        <v>18.5</v>
      </c>
      <c r="X32" s="4">
        <f ca="1"/>
        <v>1</v>
      </c>
      <c r="Y32" s="4">
        <f ca="1"/>
        <v>1.098901098901099</v>
      </c>
      <c r="Z32" s="4">
        <f ca="1"/>
        <v>84.655598901098912</v>
      </c>
      <c r="AA32" s="4">
        <f ca="1"/>
        <v>3.2169999999999987</v>
      </c>
      <c r="AB32" s="4"/>
      <c r="AD32" t="str">
        <f ca="1"/>
        <v>YS702880 Corp</v>
      </c>
      <c r="AE32" t="str">
        <f ca="1"/>
        <v>Japan Government Twenty Year Bond</v>
      </c>
      <c r="AF32" t="str">
        <f ca="1"/>
        <v>JGB</v>
      </c>
      <c r="AG32" t="str">
        <f ca="1"/>
        <v>JP</v>
      </c>
      <c r="AH32" t="str">
        <f ca="1"/>
        <v>JPY</v>
      </c>
      <c r="AI32" t="str">
        <f ca="1"/>
        <v>20/12/2044</v>
      </c>
      <c r="AJ32" t="str">
        <f ca="1"/>
        <v>FIXED</v>
      </c>
      <c r="AK32">
        <f ca="1"/>
        <v>2</v>
      </c>
      <c r="AL32">
        <f ca="1"/>
        <v>2</v>
      </c>
      <c r="AM32">
        <f ca="1"/>
        <v>3.2049999999999992</v>
      </c>
      <c r="AN32">
        <f ca="1"/>
        <v>3.2289999999999988</v>
      </c>
      <c r="AO32">
        <f ca="1"/>
        <v>85.875</v>
      </c>
      <c r="AP32">
        <f ca="1"/>
        <v>85.634</v>
      </c>
      <c r="AQ32" t="str">
        <f ca="1"/>
        <v>YS7028808</v>
      </c>
      <c r="AR32" t="str">
        <f ca="1"/>
        <v>JP1201911R15</v>
      </c>
      <c r="AS32" t="str">
        <f ca="1"/>
        <v>A+</v>
      </c>
      <c r="AT32">
        <f ca="1"/>
        <v>45666</v>
      </c>
      <c r="AU32">
        <f ca="1"/>
        <v>46193</v>
      </c>
      <c r="AV32">
        <f ca="1"/>
        <v>18.726899383983572</v>
      </c>
      <c r="AW32">
        <f ca="1"/>
        <v>85.754500000000007</v>
      </c>
      <c r="AX32">
        <f ca="1"/>
        <v>256</v>
      </c>
      <c r="AY32">
        <f ca="1"/>
        <v>18.5</v>
      </c>
      <c r="AZ32">
        <f ca="1"/>
        <v>1</v>
      </c>
      <c r="BA32">
        <f ca="1"/>
        <v>1.098901098901099</v>
      </c>
      <c r="BB32">
        <f ca="1"/>
        <v>84.655598901098912</v>
      </c>
      <c r="BC32">
        <f ca="1"/>
        <v>3.2169999999999987</v>
      </c>
    </row>
    <row r="33" spans="2:55" ht="12.75" x14ac:dyDescent="0.35">
      <c r="B33" t="str">
        <f ca="1"/>
        <v>YP620021 Corp</v>
      </c>
      <c r="C33" t="str">
        <f ca="1"/>
        <v>Japan Government Twenty Year Bond</v>
      </c>
      <c r="D33" t="str">
        <f ca="1"/>
        <v>JGB</v>
      </c>
      <c r="E33" t="str">
        <f ca="1"/>
        <v>JP</v>
      </c>
      <c r="F33" t="str">
        <f ca="1"/>
        <v>JPY</v>
      </c>
      <c r="G33" t="str">
        <f ca="1"/>
        <v>20/03/2045</v>
      </c>
      <c r="H33" t="str">
        <f ca="1"/>
        <v>FIXED</v>
      </c>
      <c r="I33">
        <f ca="1"/>
        <v>2</v>
      </c>
      <c r="J33">
        <f ca="1"/>
        <v>2.4</v>
      </c>
      <c r="K33">
        <f ca="1"/>
        <v>3.1269999999791045</v>
      </c>
      <c r="L33">
        <f ca="1"/>
        <v>3.150999999974903</v>
      </c>
      <c r="M33">
        <f ca="1"/>
        <v>91.328000000000003</v>
      </c>
      <c r="N33">
        <f ca="1"/>
        <v>91.067999999999998</v>
      </c>
      <c r="O33" t="str">
        <f ca="1"/>
        <v>YP6200214</v>
      </c>
      <c r="P33" t="str">
        <f ca="1"/>
        <v>JP1201921R47</v>
      </c>
      <c r="Q33" t="str">
        <f ca="1"/>
        <v>A+</v>
      </c>
      <c r="R33" s="3">
        <f ca="1"/>
        <v>45755</v>
      </c>
      <c r="S33">
        <f ca="1"/>
        <v>46101</v>
      </c>
      <c r="T33">
        <f ca="1"/>
        <v>18.973305954825463</v>
      </c>
      <c r="U33" s="4">
        <f ca="1"/>
        <v>91.198000000000008</v>
      </c>
      <c r="V33">
        <f ca="1"/>
        <v>244</v>
      </c>
      <c r="W33">
        <f ca="1"/>
        <v>18.5</v>
      </c>
      <c r="X33" s="4">
        <f ca="1"/>
        <v>1</v>
      </c>
      <c r="Y33" s="4">
        <f ca="1"/>
        <v>2.5186813186813186</v>
      </c>
      <c r="Z33" s="4">
        <f ca="1"/>
        <v>88.679318681318691</v>
      </c>
      <c r="AA33" s="4">
        <f ca="1"/>
        <v>3.1389999999770035</v>
      </c>
      <c r="AB33" s="4"/>
      <c r="AD33" t="str">
        <f ca="1"/>
        <v>YP620021 Corp</v>
      </c>
      <c r="AE33" t="str">
        <f ca="1"/>
        <v>Japan Government Twenty Year Bond</v>
      </c>
      <c r="AF33" t="str">
        <f ca="1"/>
        <v>JGB</v>
      </c>
      <c r="AG33" t="str">
        <f ca="1"/>
        <v>JP</v>
      </c>
      <c r="AH33" t="str">
        <f ca="1"/>
        <v>JPY</v>
      </c>
      <c r="AI33" t="str">
        <f ca="1"/>
        <v>20/03/2045</v>
      </c>
      <c r="AJ33" t="str">
        <f ca="1"/>
        <v>FIXED</v>
      </c>
      <c r="AK33">
        <f ca="1"/>
        <v>2</v>
      </c>
      <c r="AL33">
        <f ca="1"/>
        <v>2.4</v>
      </c>
      <c r="AM33">
        <f ca="1"/>
        <v>3.1269999999791045</v>
      </c>
      <c r="AN33">
        <f ca="1"/>
        <v>3.150999999974903</v>
      </c>
      <c r="AO33">
        <f ca="1"/>
        <v>91.328000000000003</v>
      </c>
      <c r="AP33">
        <f ca="1"/>
        <v>91.067999999999998</v>
      </c>
      <c r="AQ33" t="str">
        <f ca="1"/>
        <v>YP6200214</v>
      </c>
      <c r="AR33" t="str">
        <f ca="1"/>
        <v>JP1201921R47</v>
      </c>
      <c r="AS33" t="str">
        <f ca="1"/>
        <v>A+</v>
      </c>
      <c r="AT33">
        <f ca="1"/>
        <v>45755</v>
      </c>
      <c r="AU33">
        <f ca="1"/>
        <v>46101</v>
      </c>
      <c r="AV33">
        <f ca="1"/>
        <v>18.973305954825463</v>
      </c>
      <c r="AW33">
        <f ca="1"/>
        <v>91.198000000000008</v>
      </c>
      <c r="AX33">
        <f ca="1"/>
        <v>244</v>
      </c>
      <c r="AY33">
        <f ca="1"/>
        <v>18.5</v>
      </c>
      <c r="AZ33">
        <f ca="1"/>
        <v>1</v>
      </c>
      <c r="BA33">
        <f ca="1"/>
        <v>2.5186813186813186</v>
      </c>
      <c r="BB33">
        <f ca="1"/>
        <v>88.679318681318691</v>
      </c>
      <c r="BC33">
        <f ca="1"/>
        <v>3.1389999999770035</v>
      </c>
    </row>
    <row r="34" spans="2:55" ht="12.75" x14ac:dyDescent="0.35">
      <c r="B34" t="str">
        <f ca="1"/>
        <v>YM201672 Corp</v>
      </c>
      <c r="C34" t="str">
        <f ca="1"/>
        <v>Japan Government Twenty Year Bond</v>
      </c>
      <c r="D34" t="str">
        <f ca="1"/>
        <v>JGB</v>
      </c>
      <c r="E34" t="str">
        <f ca="1"/>
        <v>JP</v>
      </c>
      <c r="F34" t="str">
        <f ca="1"/>
        <v>JPY</v>
      </c>
      <c r="G34" t="str">
        <f ca="1"/>
        <v>20/06/2045</v>
      </c>
      <c r="H34" t="str">
        <f ca="1"/>
        <v>FIXED</v>
      </c>
      <c r="I34">
        <f ca="1"/>
        <v>2</v>
      </c>
      <c r="J34">
        <f ca="1"/>
        <v>2.5</v>
      </c>
      <c r="K34">
        <f ca="1"/>
        <v>3.1209999999930313</v>
      </c>
      <c r="L34">
        <f ca="1"/>
        <v>3.1429999999915448</v>
      </c>
      <c r="M34">
        <f ca="1"/>
        <v>92.525999999999996</v>
      </c>
      <c r="N34">
        <f ca="1"/>
        <v>92.281999999999996</v>
      </c>
      <c r="O34" t="str">
        <f ca="1"/>
        <v>YM2016728</v>
      </c>
      <c r="P34" t="str">
        <f ca="1"/>
        <v>JP1201931R78</v>
      </c>
      <c r="Q34" t="str">
        <f ca="1"/>
        <v>A+</v>
      </c>
      <c r="R34" s="3">
        <f ca="1"/>
        <v>45841</v>
      </c>
      <c r="S34">
        <f ca="1"/>
        <v>46193</v>
      </c>
      <c r="T34">
        <f ca="1"/>
        <v>19.225188227241617</v>
      </c>
      <c r="U34" s="4">
        <f ca="1"/>
        <v>92.403999999999996</v>
      </c>
      <c r="V34">
        <f ca="1"/>
        <v>234</v>
      </c>
      <c r="W34">
        <f ca="1"/>
        <v>19</v>
      </c>
      <c r="X34" s="4">
        <f ca="1"/>
        <v>1</v>
      </c>
      <c r="Y34" s="4">
        <f ca="1"/>
        <v>1.3736263736263736</v>
      </c>
      <c r="Z34" s="4">
        <f ca="1"/>
        <v>91.030373626373617</v>
      </c>
      <c r="AA34" s="4">
        <f ca="1"/>
        <v>3.1319999999922881</v>
      </c>
      <c r="AB34" s="4"/>
      <c r="AD34" t="str">
        <f ca="1"/>
        <v>YM201672 Corp</v>
      </c>
      <c r="AE34" t="str">
        <f ca="1"/>
        <v>Japan Government Twenty Year Bond</v>
      </c>
      <c r="AF34" t="str">
        <f ca="1"/>
        <v>JGB</v>
      </c>
      <c r="AG34" t="str">
        <f ca="1"/>
        <v>JP</v>
      </c>
      <c r="AH34" t="str">
        <f ca="1"/>
        <v>JPY</v>
      </c>
      <c r="AI34" t="str">
        <f ca="1"/>
        <v>20/06/2045</v>
      </c>
      <c r="AJ34" t="str">
        <f ca="1"/>
        <v>FIXED</v>
      </c>
      <c r="AK34">
        <f ca="1"/>
        <v>2</v>
      </c>
      <c r="AL34">
        <f ca="1"/>
        <v>2.5</v>
      </c>
      <c r="AM34">
        <f ca="1"/>
        <v>3.1209999999930313</v>
      </c>
      <c r="AN34">
        <f ca="1"/>
        <v>3.1429999999915448</v>
      </c>
      <c r="AO34">
        <f ca="1"/>
        <v>92.525999999999996</v>
      </c>
      <c r="AP34">
        <f ca="1"/>
        <v>92.281999999999996</v>
      </c>
      <c r="AQ34" t="str">
        <f ca="1"/>
        <v>YM2016728</v>
      </c>
      <c r="AR34" t="str">
        <f ca="1"/>
        <v>JP1201931R78</v>
      </c>
      <c r="AS34" t="str">
        <f ca="1"/>
        <v>A+</v>
      </c>
      <c r="AT34">
        <f ca="1"/>
        <v>45841</v>
      </c>
      <c r="AU34">
        <f ca="1"/>
        <v>46193</v>
      </c>
      <c r="AV34">
        <f ca="1"/>
        <v>19.225188227241617</v>
      </c>
      <c r="AW34">
        <f ca="1"/>
        <v>92.403999999999996</v>
      </c>
      <c r="AX34">
        <f ca="1"/>
        <v>234</v>
      </c>
      <c r="AY34">
        <f ca="1"/>
        <v>19</v>
      </c>
      <c r="AZ34">
        <f ca="1"/>
        <v>1</v>
      </c>
      <c r="BA34">
        <f ca="1"/>
        <v>1.3736263736263736</v>
      </c>
      <c r="BB34">
        <f ca="1"/>
        <v>91.030373626373617</v>
      </c>
      <c r="BC34">
        <f ca="1"/>
        <v>3.1319999999922881</v>
      </c>
    </row>
    <row r="35" spans="2:55" ht="12.75" x14ac:dyDescent="0.35">
      <c r="B35" t="str">
        <f ca="1"/>
        <v>YJ177433 Corp</v>
      </c>
      <c r="C35" t="str">
        <f ca="1"/>
        <v>Japan Government Twenty Year Bond</v>
      </c>
      <c r="D35" t="str">
        <f ca="1"/>
        <v>JGB</v>
      </c>
      <c r="E35" t="str">
        <f ca="1"/>
        <v>JP</v>
      </c>
      <c r="F35" t="str">
        <f ca="1"/>
        <v>JPY</v>
      </c>
      <c r="G35" t="str">
        <f ca="1"/>
        <v>20/09/2045</v>
      </c>
      <c r="H35" t="str">
        <f ca="1"/>
        <v>FIXED</v>
      </c>
      <c r="I35">
        <f ca="1"/>
        <v>2</v>
      </c>
      <c r="J35">
        <f ca="1"/>
        <v>2.7</v>
      </c>
      <c r="K35">
        <f ca="1"/>
        <v>3.0909999999995401</v>
      </c>
      <c r="L35">
        <f ca="1"/>
        <v>3.1179999999993404</v>
      </c>
      <c r="M35">
        <f ca="1"/>
        <v>95.238</v>
      </c>
      <c r="N35">
        <f ca="1"/>
        <v>94.926000000000002</v>
      </c>
      <c r="O35" t="str">
        <f ca="1"/>
        <v>YJ1774332</v>
      </c>
      <c r="P35" t="str">
        <f ca="1"/>
        <v>JP1201941RA2</v>
      </c>
      <c r="Q35" t="str">
        <f ca="1"/>
        <v>A+</v>
      </c>
      <c r="R35" s="3">
        <f ca="1"/>
        <v>45938</v>
      </c>
      <c r="S35">
        <f ca="1"/>
        <v>46101</v>
      </c>
      <c r="T35">
        <f ca="1"/>
        <v>19.477070499657767</v>
      </c>
      <c r="U35" s="4">
        <f ca="1"/>
        <v>95.081999999999994</v>
      </c>
      <c r="V35">
        <f ca="1"/>
        <v>224</v>
      </c>
      <c r="W35">
        <f ca="1"/>
        <v>19</v>
      </c>
      <c r="X35" s="4">
        <f ca="1"/>
        <v>1</v>
      </c>
      <c r="Y35" s="4">
        <f ca="1"/>
        <v>2.8335164835164837</v>
      </c>
      <c r="Z35" s="4">
        <f ca="1"/>
        <v>92.248483516483503</v>
      </c>
      <c r="AA35" s="4">
        <f ca="1"/>
        <v>3.1044999999994403</v>
      </c>
      <c r="AB35" s="4"/>
      <c r="AD35" t="str">
        <f ca="1"/>
        <v>YJ177433 Corp</v>
      </c>
      <c r="AE35" t="str">
        <f ca="1"/>
        <v>Japan Government Twenty Year Bond</v>
      </c>
      <c r="AF35" t="str">
        <f ca="1"/>
        <v>JGB</v>
      </c>
      <c r="AG35" t="str">
        <f ca="1"/>
        <v>JP</v>
      </c>
      <c r="AH35" t="str">
        <f ca="1"/>
        <v>JPY</v>
      </c>
      <c r="AI35" t="str">
        <f ca="1"/>
        <v>20/09/2045</v>
      </c>
      <c r="AJ35" t="str">
        <f ca="1"/>
        <v>FIXED</v>
      </c>
      <c r="AK35">
        <f ca="1"/>
        <v>2</v>
      </c>
      <c r="AL35">
        <f ca="1"/>
        <v>2.7</v>
      </c>
      <c r="AM35">
        <f ca="1"/>
        <v>3.0909999999995401</v>
      </c>
      <c r="AN35">
        <f ca="1"/>
        <v>3.1179999999993404</v>
      </c>
      <c r="AO35">
        <f ca="1"/>
        <v>95.238</v>
      </c>
      <c r="AP35">
        <f ca="1"/>
        <v>94.926000000000002</v>
      </c>
      <c r="AQ35" t="str">
        <f ca="1"/>
        <v>YJ1774332</v>
      </c>
      <c r="AR35" t="str">
        <f ca="1"/>
        <v>JP1201941RA2</v>
      </c>
      <c r="AS35" t="str">
        <f ca="1"/>
        <v>A+</v>
      </c>
      <c r="AT35">
        <f ca="1"/>
        <v>45938</v>
      </c>
      <c r="AU35">
        <f ca="1"/>
        <v>46101</v>
      </c>
      <c r="AV35">
        <f ca="1"/>
        <v>19.477070499657767</v>
      </c>
      <c r="AW35">
        <f ca="1"/>
        <v>95.081999999999994</v>
      </c>
      <c r="AX35">
        <f ca="1"/>
        <v>224</v>
      </c>
      <c r="AY35">
        <f ca="1"/>
        <v>19</v>
      </c>
      <c r="AZ35">
        <f ca="1"/>
        <v>1</v>
      </c>
      <c r="BA35">
        <f ca="1"/>
        <v>2.8335164835164837</v>
      </c>
      <c r="BB35">
        <f ca="1"/>
        <v>92.248483516483503</v>
      </c>
      <c r="BC35">
        <f ca="1"/>
        <v>3.1044999999994403</v>
      </c>
    </row>
    <row r="36" spans="2:55" ht="12.75" x14ac:dyDescent="0.35">
      <c r="B36" t="str">
        <f ca="1"/>
        <v>YI189082 Corp</v>
      </c>
      <c r="C36" t="str">
        <f ca="1"/>
        <v>Japan Government Twenty Year Bond</v>
      </c>
      <c r="D36" t="str">
        <f ca="1"/>
        <v>JGB</v>
      </c>
      <c r="E36" t="str">
        <f ca="1"/>
        <v>JP</v>
      </c>
      <c r="F36" t="str">
        <f ca="1"/>
        <v>JPY</v>
      </c>
      <c r="G36" t="str">
        <f ca="1"/>
        <v>20/12/2045</v>
      </c>
      <c r="H36" t="str">
        <f ca="1"/>
        <v>FIXED</v>
      </c>
      <c r="I36">
        <f ca="1"/>
        <v>2</v>
      </c>
      <c r="J36">
        <f ca="1"/>
        <v>3.2</v>
      </c>
      <c r="K36">
        <f ca="1"/>
        <v>3.012999999999995</v>
      </c>
      <c r="L36">
        <f ca="1"/>
        <v>3.0419999999999976</v>
      </c>
      <c r="M36">
        <f ca="1"/>
        <v>102.31699999999999</v>
      </c>
      <c r="N36">
        <f ca="1"/>
        <v>101.95</v>
      </c>
      <c r="O36" t="str">
        <f ca="1"/>
        <v>YI1890825</v>
      </c>
      <c r="P36" t="str">
        <f ca="1"/>
        <v>JP1201951S15</v>
      </c>
      <c r="Q36" t="str">
        <f ca="1"/>
        <v>A+</v>
      </c>
      <c r="R36" s="3">
        <f ca="1"/>
        <v>46035</v>
      </c>
      <c r="S36">
        <f ca="1"/>
        <v>46193</v>
      </c>
      <c r="T36">
        <f ca="1"/>
        <v>19.72621492128679</v>
      </c>
      <c r="U36" s="4">
        <f ca="1"/>
        <v>102.1335</v>
      </c>
      <c r="V36">
        <f ca="1"/>
        <v>221</v>
      </c>
      <c r="W36">
        <f ca="1"/>
        <v>19.5</v>
      </c>
      <c r="X36" s="4">
        <f ca="1"/>
        <v>0</v>
      </c>
      <c r="Y36" s="4">
        <f ca="1"/>
        <v>1.7582417582417584</v>
      </c>
      <c r="Z36" s="4">
        <f ca="1"/>
        <v>100.37525824175825</v>
      </c>
      <c r="AA36" s="4">
        <f ca="1"/>
        <v>3.0274999999999963</v>
      </c>
      <c r="AB36" s="4"/>
      <c r="AD36" t="str">
        <f ca="1"/>
        <v>YI189082 Corp</v>
      </c>
      <c r="AE36" t="str">
        <f ca="1"/>
        <v>Japan Government Twenty Year Bond</v>
      </c>
      <c r="AF36" t="str">
        <f ca="1"/>
        <v>JGB</v>
      </c>
      <c r="AG36" t="str">
        <f ca="1"/>
        <v>JP</v>
      </c>
      <c r="AH36" t="str">
        <f ca="1"/>
        <v>JPY</v>
      </c>
      <c r="AI36" t="str">
        <f ca="1"/>
        <v>20/12/2045</v>
      </c>
      <c r="AJ36" t="str">
        <f ca="1"/>
        <v>FIXED</v>
      </c>
      <c r="AK36">
        <f ca="1"/>
        <v>2</v>
      </c>
      <c r="AL36">
        <f ca="1"/>
        <v>3.2</v>
      </c>
      <c r="AM36">
        <f ca="1"/>
        <v>3.012999999999995</v>
      </c>
      <c r="AN36">
        <f ca="1"/>
        <v>3.0419999999999976</v>
      </c>
      <c r="AO36">
        <f ca="1"/>
        <v>102.31699999999999</v>
      </c>
      <c r="AP36">
        <f ca="1"/>
        <v>101.95</v>
      </c>
      <c r="AQ36" t="str">
        <f ca="1"/>
        <v>YI1890825</v>
      </c>
      <c r="AR36" t="str">
        <f ca="1"/>
        <v>JP1201951S15</v>
      </c>
      <c r="AS36" t="str">
        <f ca="1"/>
        <v>A+</v>
      </c>
      <c r="AT36">
        <f ca="1"/>
        <v>46035</v>
      </c>
      <c r="AU36">
        <f ca="1"/>
        <v>46193</v>
      </c>
      <c r="AV36">
        <f ca="1"/>
        <v>19.72621492128679</v>
      </c>
      <c r="AW36">
        <f ca="1"/>
        <v>102.1335</v>
      </c>
      <c r="AX36">
        <f ca="1"/>
        <v>221</v>
      </c>
      <c r="AY36">
        <f ca="1"/>
        <v>19.5</v>
      </c>
      <c r="AZ36">
        <f ca="1"/>
        <v>0</v>
      </c>
      <c r="BA36">
        <f ca="1"/>
        <v>1.7582417582417584</v>
      </c>
      <c r="BB36">
        <f ca="1"/>
        <v>100.37525824175825</v>
      </c>
      <c r="BC36">
        <f ca="1"/>
        <v>3.0274999999999963</v>
      </c>
    </row>
    <row r="37" spans="2:55" ht="12.75" x14ac:dyDescent="0.35">
      <c r="B37" t="str">
        <f ca="1"/>
        <v>YP285159 Corp</v>
      </c>
      <c r="C37" t="str">
        <f ca="1"/>
        <v>Japan Government Thirty Year Bond</v>
      </c>
      <c r="D37" t="str">
        <f ca="1"/>
        <v>JGB</v>
      </c>
      <c r="E37" t="str">
        <f ca="1"/>
        <v>JP</v>
      </c>
      <c r="F37" t="str">
        <f ca="1"/>
        <v>JPY</v>
      </c>
      <c r="G37" t="str">
        <f ca="1"/>
        <v>20/03/2055</v>
      </c>
      <c r="H37" t="str">
        <f ca="1"/>
        <v>FIXED</v>
      </c>
      <c r="I37">
        <f ca="1"/>
        <v>2</v>
      </c>
      <c r="J37">
        <f ca="1"/>
        <v>2.4</v>
      </c>
      <c r="K37">
        <f ca="1"/>
        <v>3.7409999999999979</v>
      </c>
      <c r="L37">
        <f ca="1"/>
        <v>3.774999999999999</v>
      </c>
      <c r="M37">
        <f ca="1"/>
        <v>81.34</v>
      </c>
      <c r="N37">
        <f ca="1"/>
        <v>80.956999999999994</v>
      </c>
      <c r="O37" t="str">
        <f ca="1"/>
        <v>YP2851598</v>
      </c>
      <c r="P37" t="str">
        <f ca="1"/>
        <v>JP1300861R49</v>
      </c>
      <c r="Q37" t="str">
        <f ca="1"/>
        <v>A+</v>
      </c>
      <c r="R37" s="3">
        <f ca="1"/>
        <v>45748</v>
      </c>
      <c r="S37">
        <f ca="1"/>
        <v>46101</v>
      </c>
      <c r="T37">
        <f ca="1"/>
        <v>28.971937029431896</v>
      </c>
      <c r="U37" s="4">
        <f ca="1"/>
        <v>81.148499999999999</v>
      </c>
      <c r="V37">
        <f ca="1"/>
        <v>242</v>
      </c>
      <c r="W37">
        <f ca="1"/>
        <v>28.5</v>
      </c>
      <c r="X37" s="4">
        <f ca="1"/>
        <v>1</v>
      </c>
      <c r="Y37" s="4">
        <f ca="1"/>
        <v>2.5186813186813186</v>
      </c>
      <c r="Z37" s="4">
        <f ca="1"/>
        <v>78.629818681318682</v>
      </c>
      <c r="AA37" s="4">
        <f ca="1"/>
        <v>3.7579999999999982</v>
      </c>
      <c r="AB37" s="4"/>
      <c r="AD37" t="str">
        <f ca="1"/>
        <v>YP285159 Corp</v>
      </c>
      <c r="AE37" t="str">
        <f ca="1"/>
        <v>Japan Government Thirty Year Bond</v>
      </c>
      <c r="AF37" t="str">
        <f ca="1"/>
        <v>JGB</v>
      </c>
      <c r="AG37" t="str">
        <f ca="1"/>
        <v>JP</v>
      </c>
      <c r="AH37" t="str">
        <f ca="1"/>
        <v>JPY</v>
      </c>
      <c r="AI37" t="str">
        <f ca="1"/>
        <v>20/03/2055</v>
      </c>
      <c r="AJ37" t="str">
        <f ca="1"/>
        <v>FIXED</v>
      </c>
      <c r="AK37">
        <f ca="1"/>
        <v>2</v>
      </c>
      <c r="AL37">
        <f ca="1"/>
        <v>2.4</v>
      </c>
      <c r="AM37">
        <f ca="1"/>
        <v>3.7409999999999979</v>
      </c>
      <c r="AN37">
        <f ca="1"/>
        <v>3.774999999999999</v>
      </c>
      <c r="AO37">
        <f ca="1"/>
        <v>81.34</v>
      </c>
      <c r="AP37">
        <f ca="1"/>
        <v>80.956999999999994</v>
      </c>
      <c r="AQ37" t="str">
        <f ca="1"/>
        <v>YP2851598</v>
      </c>
      <c r="AR37" t="str">
        <f ca="1"/>
        <v>JP1300861R49</v>
      </c>
      <c r="AS37" t="str">
        <f ca="1"/>
        <v>A+</v>
      </c>
      <c r="AT37">
        <f ca="1"/>
        <v>45748</v>
      </c>
      <c r="AU37">
        <f ca="1"/>
        <v>46101</v>
      </c>
      <c r="AV37">
        <f ca="1"/>
        <v>28.971937029431896</v>
      </c>
      <c r="AW37">
        <f ca="1"/>
        <v>81.148499999999999</v>
      </c>
      <c r="AX37">
        <f ca="1"/>
        <v>242</v>
      </c>
      <c r="AY37">
        <f ca="1"/>
        <v>28.5</v>
      </c>
      <c r="AZ37">
        <f ca="1"/>
        <v>1</v>
      </c>
      <c r="BA37">
        <f ca="1"/>
        <v>2.5186813186813186</v>
      </c>
      <c r="BB37">
        <f ca="1"/>
        <v>78.629818681318682</v>
      </c>
      <c r="BC37">
        <f ca="1"/>
        <v>3.7579999999999982</v>
      </c>
    </row>
    <row r="38" spans="2:55" ht="12.75" x14ac:dyDescent="0.35">
      <c r="B38" t="str">
        <f ca="1"/>
        <v>YN990658 Corp</v>
      </c>
      <c r="C38" t="str">
        <f ca="1"/>
        <v>Japan Government Thirty Year Bond</v>
      </c>
      <c r="D38" t="str">
        <f ca="1"/>
        <v>JGB</v>
      </c>
      <c r="E38" t="str">
        <f ca="1"/>
        <v>JP</v>
      </c>
      <c r="F38" t="str">
        <f ca="1"/>
        <v>JPY</v>
      </c>
      <c r="G38" t="str">
        <f ca="1"/>
        <v>20/06/2055</v>
      </c>
      <c r="H38" t="str">
        <f ca="1"/>
        <v>FIXED</v>
      </c>
      <c r="I38">
        <f ca="1"/>
        <v>2</v>
      </c>
      <c r="J38">
        <f ca="1"/>
        <v>2.8</v>
      </c>
      <c r="K38">
        <f ca="1"/>
        <v>3.5839999999653753</v>
      </c>
      <c r="L38">
        <f ca="1"/>
        <v>3.6189999999559701</v>
      </c>
      <c r="M38">
        <f ca="1"/>
        <v>88.8</v>
      </c>
      <c r="N38">
        <f ca="1"/>
        <v>88.358000000000004</v>
      </c>
      <c r="O38" t="str">
        <f ca="1"/>
        <v>YN9906580</v>
      </c>
      <c r="P38" t="str">
        <f ca="1"/>
        <v>JP1300871R70</v>
      </c>
      <c r="Q38" t="str">
        <f ca="1"/>
        <v>A+</v>
      </c>
      <c r="R38" s="3">
        <f ca="1"/>
        <v>45834</v>
      </c>
      <c r="S38">
        <f ca="1"/>
        <v>46193</v>
      </c>
      <c r="T38">
        <f ca="1"/>
        <v>29.223819301848049</v>
      </c>
      <c r="U38" s="4">
        <f ca="1"/>
        <v>88.579000000000008</v>
      </c>
      <c r="V38">
        <f ca="1"/>
        <v>240</v>
      </c>
      <c r="W38">
        <f ca="1"/>
        <v>29</v>
      </c>
      <c r="X38" s="4">
        <f ca="1"/>
        <v>1</v>
      </c>
      <c r="Y38" s="4">
        <f ca="1"/>
        <v>1.5384615384615385</v>
      </c>
      <c r="Z38" s="4">
        <f ca="1"/>
        <v>87.040538461538475</v>
      </c>
      <c r="AA38" s="4">
        <f ca="1"/>
        <v>3.6014999999606729</v>
      </c>
      <c r="AB38" s="4"/>
      <c r="AD38" t="str">
        <f ca="1"/>
        <v>YN990658 Corp</v>
      </c>
      <c r="AE38" t="str">
        <f ca="1"/>
        <v>Japan Government Thirty Year Bond</v>
      </c>
      <c r="AF38" t="str">
        <f ca="1"/>
        <v>JGB</v>
      </c>
      <c r="AG38" t="str">
        <f ca="1"/>
        <v>JP</v>
      </c>
      <c r="AH38" t="str">
        <f ca="1"/>
        <v>JPY</v>
      </c>
      <c r="AI38" t="str">
        <f ca="1"/>
        <v>20/06/2055</v>
      </c>
      <c r="AJ38" t="str">
        <f ca="1"/>
        <v>FIXED</v>
      </c>
      <c r="AK38">
        <f ca="1"/>
        <v>2</v>
      </c>
      <c r="AL38">
        <f ca="1"/>
        <v>2.8</v>
      </c>
      <c r="AM38">
        <f ca="1"/>
        <v>3.5839999999653753</v>
      </c>
      <c r="AN38">
        <f ca="1"/>
        <v>3.6189999999559701</v>
      </c>
      <c r="AO38">
        <f ca="1"/>
        <v>88.8</v>
      </c>
      <c r="AP38">
        <f ca="1"/>
        <v>88.358000000000004</v>
      </c>
      <c r="AQ38" t="str">
        <f ca="1"/>
        <v>YN9906580</v>
      </c>
      <c r="AR38" t="str">
        <f ca="1"/>
        <v>JP1300871R70</v>
      </c>
      <c r="AS38" t="str">
        <f ca="1"/>
        <v>A+</v>
      </c>
      <c r="AT38">
        <f ca="1"/>
        <v>45834</v>
      </c>
      <c r="AU38">
        <f ca="1"/>
        <v>46193</v>
      </c>
      <c r="AV38">
        <f ca="1"/>
        <v>29.223819301848049</v>
      </c>
      <c r="AW38">
        <f ca="1"/>
        <v>88.579000000000008</v>
      </c>
      <c r="AX38">
        <f ca="1"/>
        <v>240</v>
      </c>
      <c r="AY38">
        <f ca="1"/>
        <v>29</v>
      </c>
      <c r="AZ38">
        <f ca="1"/>
        <v>1</v>
      </c>
      <c r="BA38">
        <f ca="1"/>
        <v>1.5384615384615385</v>
      </c>
      <c r="BB38">
        <f ca="1"/>
        <v>87.040538461538475</v>
      </c>
      <c r="BC38">
        <f ca="1"/>
        <v>3.6014999999606729</v>
      </c>
    </row>
    <row r="39" spans="2:55" ht="12.75" x14ac:dyDescent="0.35">
      <c r="B39" t="str">
        <f ca="1"/>
        <v>YK837626 Corp</v>
      </c>
      <c r="C39" t="str">
        <f ca="1"/>
        <v>Japan Government Thirty Year Bond</v>
      </c>
      <c r="D39" t="str">
        <f ca="1"/>
        <v>JGB</v>
      </c>
      <c r="E39" t="str">
        <f ca="1"/>
        <v>JP</v>
      </c>
      <c r="F39" t="str">
        <f ca="1"/>
        <v>JPY</v>
      </c>
      <c r="G39" t="str">
        <f ca="1"/>
        <v>20/09/2055</v>
      </c>
      <c r="H39" t="str">
        <f ca="1"/>
        <v>FIXED</v>
      </c>
      <c r="I39">
        <f ca="1"/>
        <v>2</v>
      </c>
      <c r="J39">
        <f ca="1"/>
        <v>3.2</v>
      </c>
      <c r="K39">
        <f ca="1"/>
        <v>3.4569999999999528</v>
      </c>
      <c r="L39">
        <f ca="1"/>
        <v>3.4999999999998987</v>
      </c>
      <c r="M39">
        <f ca="1"/>
        <v>96.244</v>
      </c>
      <c r="N39">
        <f ca="1"/>
        <v>95.643000000000001</v>
      </c>
      <c r="O39" t="str">
        <f ca="1"/>
        <v>YK8376260</v>
      </c>
      <c r="P39" t="str">
        <f ca="1"/>
        <v>JP1300881RA0</v>
      </c>
      <c r="Q39" t="str">
        <f ca="1"/>
        <v>A+</v>
      </c>
      <c r="R39" s="3">
        <f ca="1"/>
        <v>45930</v>
      </c>
      <c r="S39">
        <f ca="1"/>
        <v>46101</v>
      </c>
      <c r="T39">
        <f ca="1"/>
        <v>29.475701574264203</v>
      </c>
      <c r="U39" s="4">
        <f ca="1"/>
        <v>95.9435</v>
      </c>
      <c r="V39">
        <f ca="1"/>
        <v>230</v>
      </c>
      <c r="W39">
        <f ca="1"/>
        <v>29</v>
      </c>
      <c r="X39" s="4">
        <f ca="1"/>
        <v>1</v>
      </c>
      <c r="Y39" s="4">
        <f ca="1"/>
        <v>3.3582417582417587</v>
      </c>
      <c r="Z39" s="4">
        <f ca="1"/>
        <v>92.58525824175824</v>
      </c>
      <c r="AA39" s="4">
        <f ca="1"/>
        <v>3.4784999999999258</v>
      </c>
      <c r="AB39" s="4"/>
      <c r="AD39" t="str">
        <f ca="1"/>
        <v>YK837626 Corp</v>
      </c>
      <c r="AE39" t="str">
        <f ca="1"/>
        <v>Japan Government Thirty Year Bond</v>
      </c>
      <c r="AF39" t="str">
        <f ca="1"/>
        <v>JGB</v>
      </c>
      <c r="AG39" t="str">
        <f ca="1"/>
        <v>JP</v>
      </c>
      <c r="AH39" t="str">
        <f ca="1"/>
        <v>JPY</v>
      </c>
      <c r="AI39" t="str">
        <f ca="1"/>
        <v>20/09/2055</v>
      </c>
      <c r="AJ39" t="str">
        <f ca="1"/>
        <v>FIXED</v>
      </c>
      <c r="AK39">
        <f ca="1"/>
        <v>2</v>
      </c>
      <c r="AL39">
        <f ca="1"/>
        <v>3.2</v>
      </c>
      <c r="AM39">
        <f ca="1"/>
        <v>3.4569999999999528</v>
      </c>
      <c r="AN39">
        <f ca="1"/>
        <v>3.4999999999998987</v>
      </c>
      <c r="AO39">
        <f ca="1"/>
        <v>96.244</v>
      </c>
      <c r="AP39">
        <f ca="1"/>
        <v>95.643000000000001</v>
      </c>
      <c r="AQ39" t="str">
        <f ca="1"/>
        <v>YK8376260</v>
      </c>
      <c r="AR39" t="str">
        <f ca="1"/>
        <v>JP1300881RA0</v>
      </c>
      <c r="AS39" t="str">
        <f ca="1"/>
        <v>A+</v>
      </c>
      <c r="AT39">
        <f ca="1"/>
        <v>45930</v>
      </c>
      <c r="AU39">
        <f ca="1"/>
        <v>46101</v>
      </c>
      <c r="AV39">
        <f ca="1"/>
        <v>29.475701574264203</v>
      </c>
      <c r="AW39">
        <f ca="1"/>
        <v>95.9435</v>
      </c>
      <c r="AX39">
        <f ca="1"/>
        <v>230</v>
      </c>
      <c r="AY39">
        <f ca="1"/>
        <v>29</v>
      </c>
      <c r="AZ39">
        <f ca="1"/>
        <v>1</v>
      </c>
      <c r="BA39">
        <f ca="1"/>
        <v>3.3582417582417587</v>
      </c>
      <c r="BB39">
        <f ca="1"/>
        <v>92.58525824175824</v>
      </c>
      <c r="BC39">
        <f ca="1"/>
        <v>3.4784999999999258</v>
      </c>
    </row>
    <row r="40" spans="2:55" ht="12.75" x14ac:dyDescent="0.35">
      <c r="B40" t="str">
        <f ca="1"/>
        <v>DC841111 Corp</v>
      </c>
      <c r="C40" t="str">
        <f ca="1"/>
        <v>Japan Government Thirty Year Bond</v>
      </c>
      <c r="D40" t="str">
        <f ca="1"/>
        <v>JGB</v>
      </c>
      <c r="E40" t="str">
        <f ca="1"/>
        <v>JP</v>
      </c>
      <c r="F40" t="str">
        <f ca="1"/>
        <v>JPY</v>
      </c>
      <c r="G40" t="str">
        <f ca="1"/>
        <v>20/12/2055</v>
      </c>
      <c r="H40" t="str">
        <f ca="1"/>
        <v>FIXED</v>
      </c>
      <c r="I40">
        <f ca="1"/>
        <v>2</v>
      </c>
      <c r="J40">
        <f ca="1"/>
        <v>3.4</v>
      </c>
      <c r="K40">
        <f ca="1"/>
        <v>3.4019999999999953</v>
      </c>
      <c r="L40">
        <f ca="1"/>
        <v>3.4399999999657389</v>
      </c>
      <c r="M40">
        <f ca="1"/>
        <v>99.97</v>
      </c>
      <c r="N40">
        <f ca="1"/>
        <v>99.411000000000001</v>
      </c>
      <c r="O40" t="str">
        <f ca="1"/>
        <v>DC8411118</v>
      </c>
      <c r="P40" t="str">
        <f ca="1"/>
        <v>JP1300891S18</v>
      </c>
      <c r="Q40" t="str">
        <f ca="1"/>
        <v>A+</v>
      </c>
      <c r="R40" s="3">
        <f ca="1"/>
        <v>46017</v>
      </c>
      <c r="S40">
        <f ca="1"/>
        <v>46193</v>
      </c>
      <c r="T40">
        <f ca="1"/>
        <v>29.724845995893222</v>
      </c>
      <c r="U40" s="4">
        <f ca="1"/>
        <v>99.6905</v>
      </c>
      <c r="V40">
        <f ca="1"/>
        <v>80</v>
      </c>
      <c r="W40">
        <f ca="1"/>
        <v>29.5</v>
      </c>
      <c r="X40" s="4">
        <f ca="1"/>
        <v>1</v>
      </c>
      <c r="Y40" s="4">
        <f ca="1"/>
        <v>1.8681318681318682</v>
      </c>
      <c r="Z40" s="4">
        <f ca="1"/>
        <v>97.822368131868132</v>
      </c>
      <c r="AA40" s="4">
        <f ca="1"/>
        <v>3.4209999999828673</v>
      </c>
      <c r="AB40" s="4"/>
      <c r="AD40" t="str">
        <f ca="1"/>
        <v>DC841111 Corp</v>
      </c>
      <c r="AE40" t="str">
        <f ca="1"/>
        <v>Japan Government Thirty Year Bond</v>
      </c>
      <c r="AF40" t="str">
        <f ca="1"/>
        <v>JGB</v>
      </c>
      <c r="AG40" t="str">
        <f ca="1"/>
        <v>JP</v>
      </c>
      <c r="AH40" t="str">
        <f ca="1"/>
        <v>JPY</v>
      </c>
      <c r="AI40" t="str">
        <f ca="1"/>
        <v>20/12/2055</v>
      </c>
      <c r="AJ40" t="str">
        <f ca="1"/>
        <v>FIXED</v>
      </c>
      <c r="AK40">
        <f ca="1"/>
        <v>2</v>
      </c>
      <c r="AL40">
        <f ca="1"/>
        <v>3.4</v>
      </c>
      <c r="AM40">
        <f ca="1"/>
        <v>3.4019999999999953</v>
      </c>
      <c r="AN40">
        <f ca="1"/>
        <v>3.4399999999657389</v>
      </c>
      <c r="AO40">
        <f ca="1"/>
        <v>99.97</v>
      </c>
      <c r="AP40">
        <f ca="1"/>
        <v>99.411000000000001</v>
      </c>
      <c r="AQ40" t="str">
        <f ca="1"/>
        <v>DC8411118</v>
      </c>
      <c r="AR40" t="str">
        <f ca="1"/>
        <v>JP1300891S18</v>
      </c>
      <c r="AS40" t="str">
        <f ca="1"/>
        <v>A+</v>
      </c>
      <c r="AT40">
        <f ca="1"/>
        <v>46017</v>
      </c>
      <c r="AU40">
        <f ca="1"/>
        <v>46193</v>
      </c>
      <c r="AV40">
        <f ca="1"/>
        <v>29.724845995893222</v>
      </c>
      <c r="AW40">
        <f ca="1"/>
        <v>99.6905</v>
      </c>
      <c r="AX40">
        <f ca="1"/>
        <v>80</v>
      </c>
      <c r="AY40">
        <f ca="1"/>
        <v>29.5</v>
      </c>
      <c r="AZ40">
        <f ca="1"/>
        <v>1</v>
      </c>
      <c r="BA40">
        <f ca="1"/>
        <v>1.8681318681318682</v>
      </c>
      <c r="BB40">
        <f ca="1"/>
        <v>97.822368131868132</v>
      </c>
      <c r="BC40">
        <f ca="1"/>
        <v>3.4209999999828673</v>
      </c>
    </row>
    <row r="41" spans="2:55" ht="12.75" x14ac:dyDescent="0.35">
      <c r="B41" t="str">
        <f ca="1"/>
        <v>YO939740 Corp</v>
      </c>
      <c r="C41" t="str">
        <f ca="1"/>
        <v>Japan Government Forty Year Bond</v>
      </c>
      <c r="D41" t="str">
        <f ca="1"/>
        <v>JGB</v>
      </c>
      <c r="E41" t="str">
        <f ca="1"/>
        <v>JP</v>
      </c>
      <c r="F41" t="str">
        <f ca="1"/>
        <v>JPY</v>
      </c>
      <c r="G41" t="str">
        <f ca="1"/>
        <v>20/03/2065</v>
      </c>
      <c r="H41" t="str">
        <f ca="1"/>
        <v>FIXED</v>
      </c>
      <c r="I41">
        <f ca="1"/>
        <v>2</v>
      </c>
      <c r="J41">
        <f ca="1"/>
        <v>3.1</v>
      </c>
      <c r="K41">
        <f ca="1"/>
        <v>3.6109999999976354</v>
      </c>
      <c r="L41">
        <f ca="1"/>
        <v>3.6689999999958354</v>
      </c>
      <c r="M41">
        <f ca="1"/>
        <v>91.721999999999994</v>
      </c>
      <c r="N41">
        <f ca="1"/>
        <v>90.869</v>
      </c>
      <c r="O41" t="str">
        <f ca="1"/>
        <v>YO9397408</v>
      </c>
      <c r="P41" t="str">
        <f ca="1"/>
        <v>JP1400181R57</v>
      </c>
      <c r="Q41" t="str">
        <f ca="1"/>
        <v>A+</v>
      </c>
      <c r="R41" s="3">
        <f ca="1"/>
        <v>45798</v>
      </c>
      <c r="S41">
        <f ca="1"/>
        <v>46101</v>
      </c>
      <c r="T41">
        <f ca="1"/>
        <v>38.973305954825463</v>
      </c>
      <c r="U41" s="4">
        <f ca="1"/>
        <v>91.295500000000004</v>
      </c>
      <c r="V41">
        <f ca="1"/>
        <v>241</v>
      </c>
      <c r="W41">
        <f ca="1"/>
        <v>38.5</v>
      </c>
      <c r="X41" s="4">
        <f ca="1"/>
        <v>1</v>
      </c>
      <c r="Y41" s="4">
        <f ca="1"/>
        <v>3.2532967032967037</v>
      </c>
      <c r="Z41" s="4">
        <f ca="1"/>
        <v>88.042203296703306</v>
      </c>
      <c r="AA41" s="4">
        <f ca="1"/>
        <v>3.6399999999967356</v>
      </c>
      <c r="AB41" s="4"/>
      <c r="AD41" t="str">
        <f ca="1"/>
        <v>YO939740 Corp</v>
      </c>
      <c r="AE41" t="str">
        <f ca="1"/>
        <v>Japan Government Forty Year Bond</v>
      </c>
      <c r="AF41" t="str">
        <f ca="1"/>
        <v>JGB</v>
      </c>
      <c r="AG41" t="str">
        <f ca="1"/>
        <v>JP</v>
      </c>
      <c r="AH41" t="str">
        <f ca="1"/>
        <v>JPY</v>
      </c>
      <c r="AI41" t="str">
        <f ca="1"/>
        <v>20/03/2065</v>
      </c>
      <c r="AJ41" t="str">
        <f ca="1"/>
        <v>FIXED</v>
      </c>
      <c r="AK41">
        <f ca="1"/>
        <v>2</v>
      </c>
      <c r="AL41">
        <f ca="1"/>
        <v>3.1</v>
      </c>
      <c r="AM41">
        <f ca="1"/>
        <v>3.6109999999976354</v>
      </c>
      <c r="AN41">
        <f ca="1"/>
        <v>3.6689999999958354</v>
      </c>
      <c r="AO41">
        <f ca="1"/>
        <v>91.721999999999994</v>
      </c>
      <c r="AP41">
        <f ca="1"/>
        <v>90.869</v>
      </c>
      <c r="AQ41" t="str">
        <f ca="1"/>
        <v>YO9397408</v>
      </c>
      <c r="AR41" t="str">
        <f ca="1"/>
        <v>JP1400181R57</v>
      </c>
      <c r="AS41" t="str">
        <f ca="1"/>
        <v>A+</v>
      </c>
      <c r="AT41">
        <f ca="1"/>
        <v>45798</v>
      </c>
      <c r="AU41">
        <f ca="1"/>
        <v>46101</v>
      </c>
      <c r="AV41">
        <f ca="1"/>
        <v>38.973305954825463</v>
      </c>
      <c r="AW41">
        <f ca="1"/>
        <v>91.295500000000004</v>
      </c>
      <c r="AX41">
        <f ca="1"/>
        <v>241</v>
      </c>
      <c r="AY41">
        <f ca="1"/>
        <v>38.5</v>
      </c>
      <c r="AZ41">
        <f ca="1"/>
        <v>1</v>
      </c>
      <c r="BA41">
        <f ca="1"/>
        <v>3.2532967032967037</v>
      </c>
      <c r="BB41">
        <f ca="1"/>
        <v>88.042203296703306</v>
      </c>
      <c r="BC41">
        <f ca="1"/>
        <v>3.6399999999967356</v>
      </c>
    </row>
    <row r="42" spans="2:55" ht="12.75" x14ac:dyDescent="0.35">
      <c r="T42"/>
      <c r="X42" s="4"/>
      <c r="Y42" s="4"/>
      <c r="Z42" s="4"/>
      <c r="AA42" s="4"/>
      <c r="AB42" s="4"/>
    </row>
    <row r="43" spans="2:55" ht="12.75" x14ac:dyDescent="0.35">
      <c r="T43"/>
      <c r="X43" s="4"/>
      <c r="Y43" s="4"/>
      <c r="Z43" s="4"/>
      <c r="AA43" s="4"/>
      <c r="AB43" s="4"/>
    </row>
    <row r="44" spans="2:55" ht="12.75" x14ac:dyDescent="0.35">
      <c r="T44"/>
      <c r="X44" s="4"/>
      <c r="Y44" s="4"/>
      <c r="Z44" s="4"/>
      <c r="AA44" s="4"/>
      <c r="AB44" s="4"/>
    </row>
    <row r="45" spans="2:55" ht="12.75" x14ac:dyDescent="0.35">
      <c r="T45"/>
      <c r="X45" s="4"/>
      <c r="Y45" s="4"/>
      <c r="Z45" s="4"/>
      <c r="AA45" s="4"/>
      <c r="AB45" s="4"/>
    </row>
    <row r="46" spans="2:55" ht="12.75" x14ac:dyDescent="0.35">
      <c r="T46"/>
      <c r="X46" s="4"/>
      <c r="Y46" s="4"/>
      <c r="Z46" s="4"/>
      <c r="AA46" s="4"/>
      <c r="AB46" s="4"/>
    </row>
    <row r="47" spans="2:55" ht="12.75" x14ac:dyDescent="0.35">
      <c r="T47"/>
      <c r="X47" s="4"/>
      <c r="Y47" s="4"/>
      <c r="Z47" s="4"/>
      <c r="AA47" s="4"/>
      <c r="AB47" s="4"/>
    </row>
    <row r="48" spans="2:55" ht="12.75" x14ac:dyDescent="0.35">
      <c r="T48"/>
      <c r="X48" s="4"/>
      <c r="Y48" s="4"/>
      <c r="Z48" s="4"/>
      <c r="AA48" s="4"/>
      <c r="AB48" s="4"/>
    </row>
    <row r="49" spans="20:28" ht="12.75" x14ac:dyDescent="0.35">
      <c r="T49"/>
      <c r="X49" s="4"/>
      <c r="Y49" s="4"/>
      <c r="Z49" s="4"/>
      <c r="AA49" s="4"/>
      <c r="AB49" s="4"/>
    </row>
    <row r="50" spans="20:28" ht="12.75" x14ac:dyDescent="0.35">
      <c r="T50"/>
      <c r="X50" s="4"/>
      <c r="Y50" s="4"/>
      <c r="Z50" s="4"/>
      <c r="AA50" s="4"/>
      <c r="AB50" s="4"/>
    </row>
    <row r="51" spans="20:28" ht="12.75" x14ac:dyDescent="0.35">
      <c r="T51"/>
      <c r="X51" s="4"/>
      <c r="Y51" s="4"/>
      <c r="Z51" s="4"/>
      <c r="AA51" s="4"/>
      <c r="AB51" s="4"/>
    </row>
    <row r="52" spans="20:28" ht="12.75" x14ac:dyDescent="0.35">
      <c r="T52"/>
      <c r="X52" s="4"/>
      <c r="Y52" s="4"/>
      <c r="Z52" s="4"/>
      <c r="AA52" s="4"/>
      <c r="AB52" s="4"/>
    </row>
    <row r="53" spans="20:28" ht="12.75" x14ac:dyDescent="0.35">
      <c r="T53"/>
      <c r="X53" s="4"/>
      <c r="Y53" s="4"/>
      <c r="Z53" s="4"/>
      <c r="AA53" s="4"/>
      <c r="AB53" s="4"/>
    </row>
    <row r="54" spans="20:28" ht="12.75" x14ac:dyDescent="0.35">
      <c r="T54"/>
      <c r="X54" s="4"/>
      <c r="Y54" s="4"/>
      <c r="Z54" s="4"/>
      <c r="AA54" s="4"/>
      <c r="AB54" s="4"/>
    </row>
    <row r="55" spans="20:28" ht="12.75" x14ac:dyDescent="0.35">
      <c r="T55"/>
      <c r="X55" s="4"/>
      <c r="Y55" s="4"/>
      <c r="Z55" s="4"/>
      <c r="AA55" s="4"/>
      <c r="AB55" s="4"/>
    </row>
    <row r="56" spans="20:28" ht="12.75" x14ac:dyDescent="0.35">
      <c r="T56"/>
      <c r="X56" s="4"/>
      <c r="Y56" s="4"/>
      <c r="Z56" s="4"/>
      <c r="AA56" s="4"/>
      <c r="AB56" s="4"/>
    </row>
    <row r="57" spans="20:28" ht="12.75" x14ac:dyDescent="0.35">
      <c r="T57"/>
      <c r="X57" s="4"/>
      <c r="Y57" s="4"/>
      <c r="Z57" s="4"/>
      <c r="AA57" s="4"/>
      <c r="AB57" s="4"/>
    </row>
    <row r="58" spans="20:28" ht="12.75" x14ac:dyDescent="0.35">
      <c r="T58"/>
      <c r="X58" s="4"/>
      <c r="Y58" s="4"/>
      <c r="Z58" s="4"/>
      <c r="AA58" s="4"/>
      <c r="AB58" s="4"/>
    </row>
    <row r="59" spans="20:28" ht="12.75" x14ac:dyDescent="0.35">
      <c r="T59"/>
      <c r="X59" s="4"/>
      <c r="Y59" s="4"/>
      <c r="Z59" s="4"/>
      <c r="AA59" s="4"/>
      <c r="AB59" s="4"/>
    </row>
    <row r="60" spans="20:28" ht="12.75" x14ac:dyDescent="0.35">
      <c r="T60"/>
      <c r="X60" s="4"/>
      <c r="Y60" s="4"/>
      <c r="Z60" s="4"/>
      <c r="AA60" s="4"/>
      <c r="AB60" s="4"/>
    </row>
    <row r="61" spans="20:28" ht="12.75" x14ac:dyDescent="0.35">
      <c r="T61"/>
      <c r="X61" s="4"/>
      <c r="Y61" s="4"/>
      <c r="Z61" s="4"/>
      <c r="AA61" s="4"/>
      <c r="AB61" s="4"/>
    </row>
    <row r="62" spans="20:28" ht="12.75" x14ac:dyDescent="0.35">
      <c r="T62"/>
      <c r="X62" s="4"/>
      <c r="Y62" s="4"/>
      <c r="Z62" s="4"/>
      <c r="AA62" s="4"/>
      <c r="AB62" s="4"/>
    </row>
    <row r="63" spans="20:28" ht="12.75" x14ac:dyDescent="0.35">
      <c r="T63"/>
      <c r="X63" s="4"/>
      <c r="Y63" s="4"/>
      <c r="Z63" s="4"/>
      <c r="AA63" s="4"/>
      <c r="AB63" s="4"/>
    </row>
    <row r="64" spans="20:28" ht="12.75" x14ac:dyDescent="0.35">
      <c r="T64"/>
      <c r="X64" s="4"/>
      <c r="Y64" s="4"/>
      <c r="Z64" s="4"/>
      <c r="AA64" s="4"/>
      <c r="AB64" s="4"/>
    </row>
    <row r="65" spans="20:28" ht="12.75" x14ac:dyDescent="0.35">
      <c r="T65"/>
      <c r="X65" s="4"/>
      <c r="Y65" s="4"/>
      <c r="Z65" s="4"/>
      <c r="AA65" s="4"/>
      <c r="AB65" s="4"/>
    </row>
    <row r="66" spans="20:28" x14ac:dyDescent="0.4">
      <c r="W66" s="4"/>
    </row>
    <row r="67" spans="20:28" x14ac:dyDescent="0.4">
      <c r="W67" s="4"/>
    </row>
    <row r="68" spans="20:28" x14ac:dyDescent="0.4">
      <c r="W68" s="4"/>
    </row>
    <row r="69" spans="20:28" x14ac:dyDescent="0.4">
      <c r="W69" s="4"/>
    </row>
    <row r="70" spans="20:28" x14ac:dyDescent="0.4">
      <c r="W70" s="4"/>
    </row>
    <row r="71" spans="20:28" x14ac:dyDescent="0.4">
      <c r="W71" s="4"/>
    </row>
    <row r="72" spans="20:28" x14ac:dyDescent="0.4">
      <c r="W72" s="4"/>
    </row>
    <row r="73" spans="20:28" x14ac:dyDescent="0.4">
      <c r="W73" s="4"/>
    </row>
    <row r="74" spans="20:28" x14ac:dyDescent="0.4">
      <c r="W74" s="4"/>
    </row>
    <row r="75" spans="20:28" x14ac:dyDescent="0.4">
      <c r="W75" s="4"/>
    </row>
  </sheetData>
  <conditionalFormatting sqref="J1:J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6:J70">
    <cfRule type="cellIs" dxfId="6" priority="2" operator="greaterThan">
      <formula>1</formula>
    </cfRule>
  </conditionalFormatting>
  <conditionalFormatting sqref="R1:R1048576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CBD04-5F4E-4B17-89E9-396DD4EF1173}">
  <dimension ref="A1:BD75"/>
  <sheetViews>
    <sheetView topLeftCell="B1" zoomScale="56" zoomScaleNormal="100" workbookViewId="0">
      <selection activeCell="AA1" sqref="AA1"/>
    </sheetView>
  </sheetViews>
  <sheetFormatPr defaultRowHeight="13.15" x14ac:dyDescent="0.4"/>
  <cols>
    <col min="18" max="18" width="9.86328125" style="3" bestFit="1" customWidth="1"/>
    <col min="20" max="20" width="9" style="45"/>
    <col min="21" max="21" width="9" style="4"/>
  </cols>
  <sheetData>
    <row r="1" spans="1:56" x14ac:dyDescent="0.4">
      <c r="A1" t="s">
        <v>0</v>
      </c>
      <c r="B1" t="str" cm="1">
        <f t="array" aca="1" ref="B1:AA1" ca="1">_xlfn.ANCHORARRAY(SORT!A1)</f>
        <v>Instrument</v>
      </c>
      <c r="C1" t="str">
        <f ca="1"/>
        <v>Name</v>
      </c>
      <c r="D1" t="str">
        <f ca="1"/>
        <v>Ticker</v>
      </c>
      <c r="E1" t="str">
        <f ca="1"/>
        <v>Country/Region</v>
      </c>
      <c r="F1" t="str">
        <f ca="1"/>
        <v>Currency</v>
      </c>
      <c r="G1" t="str">
        <f ca="1"/>
        <v>Maturity</v>
      </c>
      <c r="H1" t="str">
        <f ca="1"/>
        <v>Coupon Type</v>
      </c>
      <c r="I1" t="str">
        <f ca="1"/>
        <v>Coupon Frequency</v>
      </c>
      <c r="J1" t="str">
        <f ca="1"/>
        <v>Coupon</v>
      </c>
      <c r="K1" t="str">
        <f ca="1"/>
        <v>Ask Yield to Maturity</v>
      </c>
      <c r="L1" t="str">
        <f ca="1"/>
        <v>Bid Yield to Maturity</v>
      </c>
      <c r="M1" t="str">
        <f ca="1"/>
        <v>Ask Price</v>
      </c>
      <c r="N1" t="str">
        <f ca="1"/>
        <v>Bid Price</v>
      </c>
      <c r="O1" t="str">
        <f ca="1"/>
        <v>Identifier</v>
      </c>
      <c r="P1" t="str">
        <f ca="1"/>
        <v>ISIN</v>
      </c>
      <c r="Q1" t="str">
        <f ca="1"/>
        <v>Bloomberg Composite Rating</v>
      </c>
      <c r="R1" s="3" t="str">
        <f ca="1"/>
        <v>Announce</v>
      </c>
      <c r="S1" t="str">
        <f ca="1"/>
        <v>Next Coupon Settle Date</v>
      </c>
      <c r="T1" s="44" t="str">
        <f ca="1"/>
        <v>Time</v>
      </c>
      <c r="U1" s="4" t="str">
        <f ca="1"/>
        <v>AVG price</v>
      </c>
      <c r="V1" t="str">
        <f ca="1"/>
        <v>id</v>
      </c>
      <c r="W1" t="str">
        <f ca="1"/>
        <v>TIMEish</v>
      </c>
      <c r="X1" t="str">
        <f ca="1"/>
        <v>years ago</v>
      </c>
      <c r="Y1" t="str">
        <f ca="1"/>
        <v>Accrued Interest</v>
      </c>
      <c r="Z1" t="str">
        <f ca="1"/>
        <v>Clean price</v>
      </c>
      <c r="AA1" t="str">
        <f ca="1"/>
        <v>AVG yield</v>
      </c>
      <c r="AE1" t="str" cm="1">
        <f t="array" aca="1" ref="AE1:BD1" ca="1">_xlfn.ANCHORARRAY(B1)</f>
        <v>Instrument</v>
      </c>
      <c r="AF1" t="str">
        <f ca="1"/>
        <v>Name</v>
      </c>
      <c r="AG1" t="str">
        <f ca="1"/>
        <v>Ticker</v>
      </c>
      <c r="AH1" t="str">
        <f ca="1"/>
        <v>Country/Region</v>
      </c>
      <c r="AI1" t="str">
        <f ca="1"/>
        <v>Currency</v>
      </c>
      <c r="AJ1" t="str">
        <f ca="1"/>
        <v>Maturity</v>
      </c>
      <c r="AK1" t="str">
        <f ca="1"/>
        <v>Coupon Type</v>
      </c>
      <c r="AL1" t="str">
        <f ca="1"/>
        <v>Coupon Frequency</v>
      </c>
      <c r="AM1" t="str">
        <f ca="1"/>
        <v>Coupon</v>
      </c>
      <c r="AN1" t="str">
        <f ca="1"/>
        <v>Ask Yield to Maturity</v>
      </c>
      <c r="AO1" t="str">
        <f ca="1"/>
        <v>Bid Yield to Maturity</v>
      </c>
      <c r="AP1" t="str">
        <f ca="1"/>
        <v>Ask Price</v>
      </c>
      <c r="AQ1" t="str">
        <f ca="1"/>
        <v>Bid Price</v>
      </c>
      <c r="AR1" t="str">
        <f ca="1"/>
        <v>Identifier</v>
      </c>
      <c r="AS1" t="str">
        <f ca="1"/>
        <v>ISIN</v>
      </c>
      <c r="AT1" t="str">
        <f ca="1"/>
        <v>Bloomberg Composite Rating</v>
      </c>
      <c r="AU1" t="str">
        <f ca="1"/>
        <v>Announce</v>
      </c>
      <c r="AV1" t="str">
        <f ca="1"/>
        <v>Next Coupon Settle Date</v>
      </c>
      <c r="AW1" t="str">
        <f ca="1"/>
        <v>Time</v>
      </c>
      <c r="AX1" t="str">
        <f ca="1"/>
        <v>AVG price</v>
      </c>
      <c r="AY1" t="str">
        <f ca="1"/>
        <v>id</v>
      </c>
      <c r="AZ1" t="str">
        <f ca="1"/>
        <v>TIMEish</v>
      </c>
      <c r="BA1" t="str">
        <f ca="1"/>
        <v>years ago</v>
      </c>
      <c r="BB1" t="str">
        <f ca="1"/>
        <v>Accrued Interest</v>
      </c>
      <c r="BC1" t="str">
        <f ca="1"/>
        <v>Clean price</v>
      </c>
      <c r="BD1" t="str">
        <f ca="1"/>
        <v>AVG yield</v>
      </c>
    </row>
    <row r="2" spans="1:56" ht="12.75" x14ac:dyDescent="0.35">
      <c r="B2" t="str" cm="1">
        <f t="array" aca="1" ref="B2:AA63" ca="1">_xlfn._xlws.FILTER(_xlfn.ANCHORARRAY(AE2),OFFSET(AZ1,1,,COUNT(AZ:AZ))&gt;0)</f>
        <v>YU173621 Corp</v>
      </c>
      <c r="C2" t="str">
        <f ca="1"/>
        <v>Japan Government Two Year Bond</v>
      </c>
      <c r="D2" t="str">
        <f ca="1"/>
        <v>JGB</v>
      </c>
      <c r="E2" t="str">
        <f ca="1"/>
        <v>JP</v>
      </c>
      <c r="F2" t="str">
        <f ca="1"/>
        <v>JPY</v>
      </c>
      <c r="G2" t="str">
        <f ca="1"/>
        <v>01/10/2026</v>
      </c>
      <c r="H2" t="str">
        <f ca="1"/>
        <v>FIXED</v>
      </c>
      <c r="I2">
        <f ca="1"/>
        <v>2</v>
      </c>
      <c r="J2">
        <f ca="1"/>
        <v>0.4</v>
      </c>
      <c r="K2">
        <f ca="1"/>
        <v>0.87599999999905209</v>
      </c>
      <c r="L2">
        <f ca="1"/>
        <v>0.89999999999891589</v>
      </c>
      <c r="M2">
        <f ca="1"/>
        <v>99.736000000000004</v>
      </c>
      <c r="N2">
        <f ca="1"/>
        <v>99.722999999999999</v>
      </c>
      <c r="O2" t="str">
        <f ca="1"/>
        <v>YU1736211</v>
      </c>
      <c r="P2" t="str">
        <f ca="1"/>
        <v>JP1024651QA4</v>
      </c>
      <c r="Q2" t="str">
        <f ca="1"/>
        <v>A+</v>
      </c>
      <c r="R2" s="3">
        <f ca="1"/>
        <v>45555</v>
      </c>
      <c r="S2">
        <f ca="1"/>
        <v>46113</v>
      </c>
      <c r="T2">
        <f ca="1"/>
        <v>0.50650239561943877</v>
      </c>
      <c r="U2" s="4">
        <f ca="1"/>
        <v>99.729500000000002</v>
      </c>
      <c r="V2">
        <f ca="1"/>
        <v>259</v>
      </c>
      <c r="W2">
        <f ca="1"/>
        <v>0.5</v>
      </c>
      <c r="X2" s="4">
        <f ca="1"/>
        <v>2</v>
      </c>
      <c r="Y2" s="4">
        <f ca="1"/>
        <v>0.39560439560439564</v>
      </c>
      <c r="Z2" s="4">
        <f ca="1"/>
        <v>99.333895604395607</v>
      </c>
      <c r="AA2" s="4">
        <f ca="1"/>
        <v>0.88799999999898405</v>
      </c>
      <c r="AE2" t="str" cm="1">
        <f t="array" aca="1" ref="AE2:BD75" ca="1">_xlfn._xlws.FILTER(_xlfn.ANCHORARRAY(SORT!A2),SORT!I2:I327&lt;0.5)</f>
        <v>BO997638 Corp</v>
      </c>
      <c r="AF2" t="str">
        <f ca="1"/>
        <v>Japan Government Five Year Bond</v>
      </c>
      <c r="AG2" t="str">
        <f ca="1"/>
        <v>JGB</v>
      </c>
      <c r="AH2" t="str">
        <f ca="1"/>
        <v>JP</v>
      </c>
      <c r="AI2" t="str">
        <f ca="1"/>
        <v>JPY</v>
      </c>
      <c r="AJ2" t="str">
        <f ca="1"/>
        <v>20/03/2026</v>
      </c>
      <c r="AK2" t="str">
        <f ca="1"/>
        <v>FIXED</v>
      </c>
      <c r="AL2">
        <f ca="1"/>
        <v>2</v>
      </c>
      <c r="AM2">
        <f ca="1"/>
        <v>5.0000000000000001E-3</v>
      </c>
      <c r="AN2">
        <f ca="1"/>
        <v>0.74800000668121813</v>
      </c>
      <c r="AO2">
        <f ca="1"/>
        <v>0.76600000752848729</v>
      </c>
      <c r="AP2">
        <f ca="1"/>
        <v>99.983000000000004</v>
      </c>
      <c r="AQ2">
        <f ca="1"/>
        <v>99.983000000000004</v>
      </c>
      <c r="AR2" t="str">
        <f ca="1"/>
        <v>BO9976388</v>
      </c>
      <c r="AS2" t="str">
        <f ca="1"/>
        <v>JP1051471M45</v>
      </c>
      <c r="AT2" t="str">
        <f ca="1"/>
        <v>A+</v>
      </c>
      <c r="AU2">
        <f ca="1"/>
        <v>44287</v>
      </c>
      <c r="AV2">
        <f ca="1"/>
        <v>46101</v>
      </c>
      <c r="AW2">
        <f ca="1"/>
        <v>-2.7378507871321012E-2</v>
      </c>
      <c r="AX2">
        <f ca="1"/>
        <v>99.983000000000004</v>
      </c>
      <c r="AY2">
        <f ca="1"/>
        <v>47</v>
      </c>
      <c r="AZ2">
        <f ca="1"/>
        <v>0</v>
      </c>
      <c r="BA2">
        <f ca="1"/>
        <v>5</v>
      </c>
      <c r="BB2">
        <f ca="1"/>
        <v>5.2472527472527475E-3</v>
      </c>
      <c r="BC2">
        <f ca="1"/>
        <v>99.977752747252751</v>
      </c>
      <c r="BD2">
        <f ca="1"/>
        <v>0.75700000710485271</v>
      </c>
    </row>
    <row r="3" spans="1:56" ht="12.75" x14ac:dyDescent="0.35">
      <c r="B3" t="str">
        <f ca="1"/>
        <v>AL516835 Corp</v>
      </c>
      <c r="C3" t="str">
        <f ca="1"/>
        <v>Japan Government Ten Year Bond</v>
      </c>
      <c r="D3" t="str">
        <f ca="1"/>
        <v>JGB</v>
      </c>
      <c r="E3" t="str">
        <f ca="1"/>
        <v>JP</v>
      </c>
      <c r="F3" t="str">
        <f ca="1"/>
        <v>JPY</v>
      </c>
      <c r="G3" t="str">
        <f ca="1"/>
        <v>20/12/2026</v>
      </c>
      <c r="H3" t="str">
        <f ca="1"/>
        <v>FIXED</v>
      </c>
      <c r="I3">
        <f ca="1"/>
        <v>2</v>
      </c>
      <c r="J3">
        <f ca="1"/>
        <v>0.1</v>
      </c>
      <c r="K3">
        <f ca="1"/>
        <v>0.95699999999828878</v>
      </c>
      <c r="L3">
        <f ca="1"/>
        <v>0.97899999999814125</v>
      </c>
      <c r="M3">
        <f ca="1"/>
        <v>99.34</v>
      </c>
      <c r="N3">
        <f ca="1"/>
        <v>99.322999999999993</v>
      </c>
      <c r="O3" t="str">
        <f ca="1"/>
        <v>AL5168359</v>
      </c>
      <c r="P3" t="str">
        <f ca="1"/>
        <v>JP1103451GC0</v>
      </c>
      <c r="Q3" t="str">
        <f ca="1"/>
        <v>A+</v>
      </c>
      <c r="R3" s="3">
        <f ca="1"/>
        <v>42705</v>
      </c>
      <c r="S3">
        <f ca="1"/>
        <v>46193</v>
      </c>
      <c r="T3">
        <f ca="1"/>
        <v>0.72553045859000687</v>
      </c>
      <c r="U3" s="4">
        <f ca="1"/>
        <v>99.331500000000005</v>
      </c>
      <c r="V3">
        <f ca="1"/>
        <v>1</v>
      </c>
      <c r="W3">
        <f ca="1"/>
        <v>0.5</v>
      </c>
      <c r="X3" s="4">
        <f ca="1"/>
        <v>10</v>
      </c>
      <c r="Y3" s="4">
        <f ca="1"/>
        <v>5.4945054945054951E-2</v>
      </c>
      <c r="Z3" s="4">
        <f ca="1"/>
        <v>99.276554945054954</v>
      </c>
      <c r="AA3" s="4">
        <f ca="1"/>
        <v>0.96799999999821495</v>
      </c>
      <c r="AE3" t="str">
        <f ca="1"/>
        <v>JK298261 Corp</v>
      </c>
      <c r="AF3" t="str">
        <f ca="1"/>
        <v>Japan Government Ten Year Bond</v>
      </c>
      <c r="AG3" t="str">
        <f ca="1"/>
        <v>JGB</v>
      </c>
      <c r="AH3" t="str">
        <f ca="1"/>
        <v>JP</v>
      </c>
      <c r="AI3" t="str">
        <f ca="1"/>
        <v>JPY</v>
      </c>
      <c r="AJ3" t="str">
        <f ca="1"/>
        <v>20/03/2026</v>
      </c>
      <c r="AK3" t="str">
        <f ca="1"/>
        <v>FIXED</v>
      </c>
      <c r="AL3">
        <f ca="1"/>
        <v>2</v>
      </c>
      <c r="AM3">
        <f ca="1"/>
        <v>0.1</v>
      </c>
      <c r="AN3">
        <f ca="1"/>
        <v>0.74000000286817924</v>
      </c>
      <c r="AO3">
        <f ca="1"/>
        <v>0.76300000357648134</v>
      </c>
      <c r="AP3">
        <f ca="1"/>
        <v>99.984999999999999</v>
      </c>
      <c r="AQ3">
        <f ca="1"/>
        <v>99.984999999999999</v>
      </c>
      <c r="AR3" t="str">
        <f ca="1"/>
        <v>JK2982615</v>
      </c>
      <c r="AS3" t="str">
        <f ca="1"/>
        <v>JP1103421G35</v>
      </c>
      <c r="AT3" t="str">
        <f ca="1"/>
        <v>A+</v>
      </c>
      <c r="AU3">
        <f ca="1"/>
        <v>42430</v>
      </c>
      <c r="AV3">
        <f ca="1"/>
        <v>46101</v>
      </c>
      <c r="AW3">
        <f ca="1"/>
        <v>-2.7378507871321012E-2</v>
      </c>
      <c r="AX3">
        <f ca="1"/>
        <v>99.984999999999999</v>
      </c>
      <c r="AY3">
        <f ca="1"/>
        <v>206</v>
      </c>
      <c r="AZ3">
        <f ca="1"/>
        <v>0</v>
      </c>
      <c r="BA3">
        <f ca="1"/>
        <v>10</v>
      </c>
      <c r="BB3">
        <f ca="1"/>
        <v>0.10494505494505496</v>
      </c>
      <c r="BC3">
        <f ca="1"/>
        <v>99.880054945054951</v>
      </c>
      <c r="BD3">
        <f ca="1"/>
        <v>0.75150000322233024</v>
      </c>
    </row>
    <row r="4" spans="1:56" ht="12.75" x14ac:dyDescent="0.35">
      <c r="B4" t="str">
        <f ca="1"/>
        <v>BT484763 Corp</v>
      </c>
      <c r="C4" t="str">
        <f ca="1"/>
        <v>Japan Government Five Year Bond</v>
      </c>
      <c r="D4" t="str">
        <f ca="1"/>
        <v>JGB</v>
      </c>
      <c r="E4" t="str">
        <f ca="1"/>
        <v>JP</v>
      </c>
      <c r="F4" t="str">
        <f ca="1"/>
        <v>JPY</v>
      </c>
      <c r="G4" t="str">
        <f ca="1"/>
        <v>20/12/2026</v>
      </c>
      <c r="H4" t="str">
        <f ca="1"/>
        <v>FIXED</v>
      </c>
      <c r="I4">
        <f ca="1"/>
        <v>2</v>
      </c>
      <c r="J4">
        <f ca="1"/>
        <v>5.0000000000000001E-3</v>
      </c>
      <c r="K4">
        <f ca="1"/>
        <v>0.95099999999759166</v>
      </c>
      <c r="L4">
        <f ca="1"/>
        <v>0.97299999999740294</v>
      </c>
      <c r="M4">
        <f ca="1"/>
        <v>99.271000000000001</v>
      </c>
      <c r="N4">
        <f ca="1"/>
        <v>99.254999999999995</v>
      </c>
      <c r="O4" t="str">
        <f ca="1"/>
        <v>BT4847633</v>
      </c>
      <c r="P4" t="str">
        <f ca="1"/>
        <v>JP1051501N14</v>
      </c>
      <c r="Q4" t="str">
        <f ca="1"/>
        <v>NR</v>
      </c>
      <c r="R4" s="3">
        <f ca="1"/>
        <v>44566</v>
      </c>
      <c r="S4">
        <f ca="1"/>
        <v>46193</v>
      </c>
      <c r="T4">
        <f ca="1"/>
        <v>0.72553045859000687</v>
      </c>
      <c r="U4" s="4">
        <f ca="1"/>
        <v>99.263000000000005</v>
      </c>
      <c r="V4">
        <f ca="1"/>
        <v>60</v>
      </c>
      <c r="W4">
        <f ca="1"/>
        <v>0.5</v>
      </c>
      <c r="X4" s="4">
        <f ca="1"/>
        <v>4</v>
      </c>
      <c r="Y4" s="4">
        <f ca="1"/>
        <v>2.7472527472527475E-3</v>
      </c>
      <c r="Z4" s="4">
        <f ca="1"/>
        <v>99.26025274725275</v>
      </c>
      <c r="AA4" s="4">
        <f ca="1"/>
        <v>0.9619999999974973</v>
      </c>
      <c r="AE4" t="str">
        <f ca="1"/>
        <v>ZB137529 Corp</v>
      </c>
      <c r="AF4" t="str">
        <f ca="1"/>
        <v>Japan Government Two Year Bond</v>
      </c>
      <c r="AG4" t="str">
        <f ca="1"/>
        <v>JGB</v>
      </c>
      <c r="AH4" t="str">
        <f ca="1"/>
        <v>JP</v>
      </c>
      <c r="AI4" t="str">
        <f ca="1"/>
        <v>JPY</v>
      </c>
      <c r="AJ4" t="str">
        <f ca="1"/>
        <v>01/04/2026</v>
      </c>
      <c r="AK4" t="str">
        <f ca="1"/>
        <v>FIXED</v>
      </c>
      <c r="AL4">
        <f ca="1"/>
        <v>2</v>
      </c>
      <c r="AM4">
        <f ca="1"/>
        <v>0.2</v>
      </c>
      <c r="AN4">
        <f ca="1"/>
        <v>0.73500000326512127</v>
      </c>
      <c r="AO4">
        <f ca="1"/>
        <v>0.75800000574591553</v>
      </c>
      <c r="AP4">
        <f ca="1"/>
        <v>99.97</v>
      </c>
      <c r="AQ4">
        <f ca="1"/>
        <v>99.968999999999994</v>
      </c>
      <c r="AR4" t="str">
        <f ca="1"/>
        <v>ZB1375292</v>
      </c>
      <c r="AS4" t="str">
        <f ca="1"/>
        <v>JP1024591Q43</v>
      </c>
      <c r="AT4" t="str">
        <f ca="1"/>
        <v>A+</v>
      </c>
      <c r="AU4">
        <f ca="1"/>
        <v>45373</v>
      </c>
      <c r="AV4">
        <f ca="1"/>
        <v>46113</v>
      </c>
      <c r="AW4">
        <f ca="1"/>
        <v>5.4757015742642025E-3</v>
      </c>
      <c r="AX4">
        <f ca="1"/>
        <v>99.969499999999996</v>
      </c>
      <c r="AY4">
        <f ca="1"/>
        <v>280</v>
      </c>
      <c r="AZ4">
        <f ca="1"/>
        <v>0</v>
      </c>
      <c r="BA4">
        <f ca="1"/>
        <v>2</v>
      </c>
      <c r="BB4">
        <f ca="1"/>
        <v>0.19780219780219782</v>
      </c>
      <c r="BC4">
        <f ca="1"/>
        <v>99.771697802197792</v>
      </c>
      <c r="BD4">
        <f ca="1"/>
        <v>0.74650000450551834</v>
      </c>
    </row>
    <row r="5" spans="1:56" ht="12.75" x14ac:dyDescent="0.35">
      <c r="B5" t="str">
        <f ca="1"/>
        <v>AM713129 Corp</v>
      </c>
      <c r="C5" t="str">
        <f ca="1"/>
        <v>Japan Government Ten Year Bond</v>
      </c>
      <c r="D5" t="str">
        <f ca="1"/>
        <v>JGB</v>
      </c>
      <c r="E5" t="str">
        <f ca="1"/>
        <v>JP</v>
      </c>
      <c r="F5" t="str">
        <f ca="1"/>
        <v>JPY</v>
      </c>
      <c r="G5" t="str">
        <f ca="1"/>
        <v>20/03/2027</v>
      </c>
      <c r="H5" t="str">
        <f ca="1"/>
        <v>FIXED</v>
      </c>
      <c r="I5">
        <f ca="1"/>
        <v>2</v>
      </c>
      <c r="J5">
        <f ca="1"/>
        <v>0.1</v>
      </c>
      <c r="K5">
        <f ca="1"/>
        <v>0.99999999983467414</v>
      </c>
      <c r="L5">
        <f ca="1"/>
        <v>1.0209999998197796</v>
      </c>
      <c r="M5">
        <f ca="1"/>
        <v>99.088999999999999</v>
      </c>
      <c r="N5">
        <f ca="1"/>
        <v>99.067999999999998</v>
      </c>
      <c r="O5" t="str">
        <f ca="1"/>
        <v>AM7131296</v>
      </c>
      <c r="P5" t="str">
        <f ca="1"/>
        <v>JP1103461H35</v>
      </c>
      <c r="Q5" t="str">
        <f ca="1"/>
        <v>A+</v>
      </c>
      <c r="R5" s="3">
        <f ca="1"/>
        <v>42796</v>
      </c>
      <c r="S5">
        <f ca="1"/>
        <v>46101</v>
      </c>
      <c r="T5">
        <f ca="1"/>
        <v>0.97193702943189597</v>
      </c>
      <c r="U5" s="4">
        <f ca="1"/>
        <v>99.078499999999991</v>
      </c>
      <c r="V5">
        <f ca="1"/>
        <v>4</v>
      </c>
      <c r="W5">
        <f ca="1"/>
        <v>0.5</v>
      </c>
      <c r="X5" s="4">
        <f ca="1"/>
        <v>9</v>
      </c>
      <c r="Y5" s="4">
        <f ca="1"/>
        <v>0.10494505494505496</v>
      </c>
      <c r="Z5" s="4">
        <f ca="1"/>
        <v>98.973554945054943</v>
      </c>
      <c r="AA5" s="4">
        <f ca="1"/>
        <v>1.0104999998272268</v>
      </c>
      <c r="AE5" t="str">
        <f ca="1"/>
        <v>ZB651229 Corp</v>
      </c>
      <c r="AF5" t="str">
        <f ca="1"/>
        <v>Japan Government Two Year Bond</v>
      </c>
      <c r="AG5" t="str">
        <f ca="1"/>
        <v>JGB</v>
      </c>
      <c r="AH5" t="str">
        <f ca="1"/>
        <v>JP</v>
      </c>
      <c r="AI5" t="str">
        <f ca="1"/>
        <v>JPY</v>
      </c>
      <c r="AJ5" t="str">
        <f ca="1"/>
        <v>01/05/2026</v>
      </c>
      <c r="AK5" t="str">
        <f ca="1"/>
        <v>FIXED</v>
      </c>
      <c r="AL5">
        <f ca="1"/>
        <v>2</v>
      </c>
      <c r="AM5">
        <f ca="1"/>
        <v>0.3</v>
      </c>
      <c r="AN5">
        <f ca="1"/>
        <v>0.75000000000001288</v>
      </c>
      <c r="AO5">
        <f ca="1"/>
        <v>0.77300000000015368</v>
      </c>
      <c r="AP5">
        <f ca="1"/>
        <v>99.938000000000002</v>
      </c>
      <c r="AQ5">
        <f ca="1"/>
        <v>99.935000000000002</v>
      </c>
      <c r="AR5" t="str">
        <f ca="1"/>
        <v>ZB6512295</v>
      </c>
      <c r="AS5" t="str">
        <f ca="1"/>
        <v>JP1024601Q58</v>
      </c>
      <c r="AT5" t="str">
        <f ca="1"/>
        <v>A+</v>
      </c>
      <c r="AU5">
        <f ca="1"/>
        <v>45398</v>
      </c>
      <c r="AV5">
        <f ca="1"/>
        <v>46143</v>
      </c>
      <c r="AW5">
        <f ca="1"/>
        <v>8.761122518822724E-2</v>
      </c>
      <c r="AX5">
        <f ca="1"/>
        <v>99.936499999999995</v>
      </c>
      <c r="AY5">
        <f ca="1"/>
        <v>285</v>
      </c>
      <c r="AZ5">
        <f ca="1"/>
        <v>0</v>
      </c>
      <c r="BA5">
        <f ca="1"/>
        <v>2</v>
      </c>
      <c r="BB5">
        <f ca="1"/>
        <v>0.24560439560439559</v>
      </c>
      <c r="BC5">
        <f ca="1"/>
        <v>99.690895604395607</v>
      </c>
      <c r="BD5">
        <f ca="1"/>
        <v>0.76150000000008333</v>
      </c>
    </row>
    <row r="6" spans="1:56" ht="12.75" x14ac:dyDescent="0.35">
      <c r="B6" t="str">
        <f ca="1"/>
        <v>BV894033 Corp</v>
      </c>
      <c r="C6" t="str">
        <f ca="1"/>
        <v>Japan Government Five Year Bond</v>
      </c>
      <c r="D6" t="str">
        <f ca="1"/>
        <v>JGB</v>
      </c>
      <c r="E6" t="str">
        <f ca="1"/>
        <v>JP</v>
      </c>
      <c r="F6" t="str">
        <f ca="1"/>
        <v>JPY</v>
      </c>
      <c r="G6" t="str">
        <f ca="1"/>
        <v>20/03/2027</v>
      </c>
      <c r="H6" t="str">
        <f ca="1"/>
        <v>FIXED</v>
      </c>
      <c r="I6">
        <f ca="1"/>
        <v>2</v>
      </c>
      <c r="J6">
        <f ca="1"/>
        <v>5.0000000000000001E-3</v>
      </c>
      <c r="K6">
        <f ca="1"/>
        <v>0.99099999976548092</v>
      </c>
      <c r="L6">
        <f ca="1"/>
        <v>1.0159999997422651</v>
      </c>
      <c r="M6">
        <f ca="1"/>
        <v>99.001999999999995</v>
      </c>
      <c r="N6">
        <f ca="1"/>
        <v>98.977000000000004</v>
      </c>
      <c r="O6" t="str">
        <f ca="1"/>
        <v>BV8940330</v>
      </c>
      <c r="P6" t="str">
        <f ca="1"/>
        <v>JP1051511N46</v>
      </c>
      <c r="Q6" t="str">
        <f ca="1"/>
        <v>A+</v>
      </c>
      <c r="R6" s="3">
        <f ca="1"/>
        <v>44656</v>
      </c>
      <c r="S6">
        <f ca="1"/>
        <v>46101</v>
      </c>
      <c r="T6">
        <f ca="1"/>
        <v>0.97193702943189597</v>
      </c>
      <c r="U6" s="4">
        <f ca="1"/>
        <v>98.989499999999992</v>
      </c>
      <c r="V6">
        <f ca="1"/>
        <v>64</v>
      </c>
      <c r="W6">
        <f ca="1"/>
        <v>0.5</v>
      </c>
      <c r="X6" s="4">
        <f ca="1"/>
        <v>4</v>
      </c>
      <c r="Y6" s="4">
        <f ca="1"/>
        <v>5.2472527472527475E-3</v>
      </c>
      <c r="Z6" s="4">
        <f ca="1"/>
        <v>98.984252747252739</v>
      </c>
      <c r="AA6" s="4">
        <f ca="1"/>
        <v>1.0034999997538729</v>
      </c>
      <c r="AE6" t="str">
        <f ca="1"/>
        <v>YX440521 Corp</v>
      </c>
      <c r="AF6" t="str">
        <f ca="1"/>
        <v>Japan Government Two Year Bond</v>
      </c>
      <c r="AG6" t="str">
        <f ca="1"/>
        <v>JGB</v>
      </c>
      <c r="AH6" t="str">
        <f ca="1"/>
        <v>JP</v>
      </c>
      <c r="AI6" t="str">
        <f ca="1"/>
        <v>JPY</v>
      </c>
      <c r="AJ6" t="str">
        <f ca="1"/>
        <v>01/06/2026</v>
      </c>
      <c r="AK6" t="str">
        <f ca="1"/>
        <v>FIXED</v>
      </c>
      <c r="AL6">
        <f ca="1"/>
        <v>2</v>
      </c>
      <c r="AM6">
        <f ca="1"/>
        <v>0.4</v>
      </c>
      <c r="AN6">
        <f ca="1"/>
        <v>0.76299999999997958</v>
      </c>
      <c r="AO6">
        <f ca="1"/>
        <v>0.78500000000007186</v>
      </c>
      <c r="AP6">
        <f ca="1"/>
        <v>99.918999999999997</v>
      </c>
      <c r="AQ6">
        <f ca="1"/>
        <v>99.914000000000001</v>
      </c>
      <c r="AR6" t="str">
        <f ca="1"/>
        <v>YX4405214</v>
      </c>
      <c r="AS6" t="str">
        <f ca="1"/>
        <v>JP1024611Q64</v>
      </c>
      <c r="AT6" t="str">
        <f ca="1"/>
        <v>A+</v>
      </c>
      <c r="AU6">
        <f ca="1"/>
        <v>45435</v>
      </c>
      <c r="AV6">
        <f ca="1"/>
        <v>46174</v>
      </c>
      <c r="AW6">
        <f ca="1"/>
        <v>0.17248459958932238</v>
      </c>
      <c r="AX6">
        <f ca="1"/>
        <v>99.916499999999999</v>
      </c>
      <c r="AY6">
        <f ca="1"/>
        <v>278</v>
      </c>
      <c r="AZ6">
        <f ca="1"/>
        <v>0</v>
      </c>
      <c r="BA6">
        <f ca="1"/>
        <v>2</v>
      </c>
      <c r="BB6">
        <f ca="1"/>
        <v>0.26153846153846155</v>
      </c>
      <c r="BC6">
        <f ca="1"/>
        <v>99.654961538461535</v>
      </c>
      <c r="BD6">
        <f ca="1"/>
        <v>0.77400000000002578</v>
      </c>
    </row>
    <row r="7" spans="1:56" ht="12.75" x14ac:dyDescent="0.35">
      <c r="B7" t="str">
        <f ca="1"/>
        <v>BX331425 Corp</v>
      </c>
      <c r="C7" t="str">
        <f ca="1"/>
        <v>Japan Government Five Year Bond</v>
      </c>
      <c r="D7" t="str">
        <f ca="1"/>
        <v>JGB</v>
      </c>
      <c r="E7" t="str">
        <f ca="1"/>
        <v>JP</v>
      </c>
      <c r="F7" t="str">
        <f ca="1"/>
        <v>JPY</v>
      </c>
      <c r="G7" t="str">
        <f ca="1"/>
        <v>20/03/2027</v>
      </c>
      <c r="H7" t="str">
        <f ca="1"/>
        <v>FIXED</v>
      </c>
      <c r="I7">
        <f ca="1"/>
        <v>2</v>
      </c>
      <c r="J7">
        <f ca="1"/>
        <v>0.1</v>
      </c>
      <c r="K7">
        <f ca="1"/>
        <v>0.99199999984008069</v>
      </c>
      <c r="L7">
        <f ca="1"/>
        <v>1.0159999998234326</v>
      </c>
      <c r="M7">
        <f ca="1"/>
        <v>99.096999999999994</v>
      </c>
      <c r="N7">
        <f ca="1"/>
        <v>99.072999999999993</v>
      </c>
      <c r="O7" t="str">
        <f ca="1"/>
        <v>BX3314255</v>
      </c>
      <c r="P7" t="str">
        <f ca="1"/>
        <v>JP1051521N69</v>
      </c>
      <c r="Q7" t="str">
        <f ca="1"/>
        <v>A+</v>
      </c>
      <c r="R7" s="3">
        <f ca="1"/>
        <v>44726</v>
      </c>
      <c r="S7">
        <f ca="1"/>
        <v>46101</v>
      </c>
      <c r="T7">
        <f ca="1"/>
        <v>0.97193702943189597</v>
      </c>
      <c r="U7" s="4">
        <f ca="1"/>
        <v>99.084999999999994</v>
      </c>
      <c r="V7">
        <f ca="1"/>
        <v>67</v>
      </c>
      <c r="W7">
        <f ca="1"/>
        <v>0.5</v>
      </c>
      <c r="X7" s="4">
        <f ca="1"/>
        <v>4</v>
      </c>
      <c r="Y7" s="4">
        <f ca="1"/>
        <v>0.10494505494505496</v>
      </c>
      <c r="Z7" s="4">
        <f ca="1"/>
        <v>98.980054945054945</v>
      </c>
      <c r="AA7" s="4">
        <f ca="1"/>
        <v>1.0039999998317566</v>
      </c>
      <c r="AE7" t="str">
        <f ca="1"/>
        <v>BQ447894 Corp</v>
      </c>
      <c r="AF7" t="str">
        <f ca="1"/>
        <v>Japan Government Five Year Bond</v>
      </c>
      <c r="AG7" t="str">
        <f ca="1"/>
        <v>JGB</v>
      </c>
      <c r="AH7" t="str">
        <f ca="1"/>
        <v>JP</v>
      </c>
      <c r="AI7" t="str">
        <f ca="1"/>
        <v>JPY</v>
      </c>
      <c r="AJ7" t="str">
        <f ca="1"/>
        <v>20/06/2026</v>
      </c>
      <c r="AK7" t="str">
        <f ca="1"/>
        <v>FIXED</v>
      </c>
      <c r="AL7">
        <f ca="1"/>
        <v>2</v>
      </c>
      <c r="AM7">
        <f ca="1"/>
        <v>5.0000000000000001E-3</v>
      </c>
      <c r="AN7">
        <f ca="1"/>
        <v>0.78000000000208691</v>
      </c>
      <c r="AO7">
        <f ca="1"/>
        <v>0.80300000000260652</v>
      </c>
      <c r="AP7">
        <f ca="1"/>
        <v>99.787999999999997</v>
      </c>
      <c r="AQ7">
        <f ca="1"/>
        <v>99.781000000000006</v>
      </c>
      <c r="AR7" t="str">
        <f ca="1"/>
        <v>BQ4478948</v>
      </c>
      <c r="AS7" t="str">
        <f ca="1"/>
        <v>JP1051481M76</v>
      </c>
      <c r="AT7" t="str">
        <f ca="1"/>
        <v>NR</v>
      </c>
      <c r="AU7">
        <f ca="1"/>
        <v>44378</v>
      </c>
      <c r="AV7">
        <f ca="1"/>
        <v>46193</v>
      </c>
      <c r="AW7">
        <f ca="1"/>
        <v>0.22450376454483231</v>
      </c>
      <c r="AX7">
        <f ca="1"/>
        <v>99.784500000000008</v>
      </c>
      <c r="AY7">
        <f ca="1"/>
        <v>52</v>
      </c>
      <c r="AZ7">
        <f ca="1"/>
        <v>0</v>
      </c>
      <c r="BA7">
        <f ca="1"/>
        <v>5</v>
      </c>
      <c r="BB7">
        <f ca="1"/>
        <v>2.7472527472527475E-3</v>
      </c>
      <c r="BC7">
        <f ca="1"/>
        <v>99.781752747252753</v>
      </c>
      <c r="BD7">
        <f ca="1"/>
        <v>0.79150000000234666</v>
      </c>
    </row>
    <row r="8" spans="1:56" ht="12.75" x14ac:dyDescent="0.35">
      <c r="B8" t="str">
        <f ca="1"/>
        <v>AN821370 Corp</v>
      </c>
      <c r="C8" t="str">
        <f ca="1"/>
        <v>Japan Government Ten Year Bond</v>
      </c>
      <c r="D8" t="str">
        <f ca="1"/>
        <v>JGB</v>
      </c>
      <c r="E8" t="str">
        <f ca="1"/>
        <v>JP</v>
      </c>
      <c r="F8" t="str">
        <f ca="1"/>
        <v>JPY</v>
      </c>
      <c r="G8" t="str">
        <f ca="1"/>
        <v>20/06/2027</v>
      </c>
      <c r="H8" t="str">
        <f ca="1"/>
        <v>FIXED</v>
      </c>
      <c r="I8">
        <f ca="1"/>
        <v>2</v>
      </c>
      <c r="J8">
        <f ca="1"/>
        <v>0.1</v>
      </c>
      <c r="K8">
        <f ca="1"/>
        <v>1.0619999998705669</v>
      </c>
      <c r="L8">
        <f ca="1"/>
        <v>1.0849999998590174</v>
      </c>
      <c r="M8">
        <f ca="1"/>
        <v>98.79</v>
      </c>
      <c r="N8">
        <f ca="1"/>
        <v>98.762</v>
      </c>
      <c r="O8" t="str">
        <f ca="1"/>
        <v>AN8213703</v>
      </c>
      <c r="P8" t="str">
        <f ca="1"/>
        <v>JP1103471H66</v>
      </c>
      <c r="Q8" t="str">
        <f ca="1"/>
        <v>A+</v>
      </c>
      <c r="R8" s="3">
        <f ca="1"/>
        <v>42887</v>
      </c>
      <c r="S8">
        <f ca="1"/>
        <v>46193</v>
      </c>
      <c r="T8">
        <f ca="1"/>
        <v>1.2238193018480492</v>
      </c>
      <c r="U8" s="4">
        <f ca="1"/>
        <v>98.77600000000001</v>
      </c>
      <c r="V8">
        <f ca="1"/>
        <v>8</v>
      </c>
      <c r="W8">
        <f ca="1"/>
        <v>1</v>
      </c>
      <c r="X8" s="4">
        <f ca="1"/>
        <v>9</v>
      </c>
      <c r="Y8" s="4">
        <f ca="1"/>
        <v>5.4945054945054951E-2</v>
      </c>
      <c r="Z8" s="4">
        <f ca="1"/>
        <v>98.721054945054959</v>
      </c>
      <c r="AA8" s="4">
        <f ca="1"/>
        <v>1.0734999998647923</v>
      </c>
      <c r="AE8" t="str">
        <f ca="1"/>
        <v>LW316486 Corp</v>
      </c>
      <c r="AF8" t="str">
        <f ca="1"/>
        <v>Japan Government Ten Year Bond</v>
      </c>
      <c r="AG8" t="str">
        <f ca="1"/>
        <v>JGB</v>
      </c>
      <c r="AH8" t="str">
        <f ca="1"/>
        <v>JP</v>
      </c>
      <c r="AI8" t="str">
        <f ca="1"/>
        <v>JPY</v>
      </c>
      <c r="AJ8" t="str">
        <f ca="1"/>
        <v>20/06/2026</v>
      </c>
      <c r="AK8" t="str">
        <f ca="1"/>
        <v>FIXED</v>
      </c>
      <c r="AL8">
        <f ca="1"/>
        <v>2</v>
      </c>
      <c r="AM8">
        <f ca="1"/>
        <v>0.1</v>
      </c>
      <c r="AN8">
        <f ca="1"/>
        <v>0.77200000000052893</v>
      </c>
      <c r="AO8">
        <f ca="1"/>
        <v>0.79400000000069337</v>
      </c>
      <c r="AP8">
        <f ca="1"/>
        <v>99.816000000000003</v>
      </c>
      <c r="AQ8">
        <f ca="1"/>
        <v>99.81</v>
      </c>
      <c r="AR8" t="str">
        <f ca="1"/>
        <v>LW3164867</v>
      </c>
      <c r="AS8" t="str">
        <f ca="1"/>
        <v>JP1103431G66</v>
      </c>
      <c r="AT8" t="str">
        <f ca="1"/>
        <v>A+</v>
      </c>
      <c r="AU8">
        <f ca="1"/>
        <v>42523</v>
      </c>
      <c r="AV8">
        <f ca="1"/>
        <v>46193</v>
      </c>
      <c r="AW8">
        <f ca="1"/>
        <v>0.22450376454483231</v>
      </c>
      <c r="AX8">
        <f ca="1"/>
        <v>99.813000000000002</v>
      </c>
      <c r="AY8">
        <f ca="1"/>
        <v>212</v>
      </c>
      <c r="AZ8">
        <f ca="1"/>
        <v>0</v>
      </c>
      <c r="BA8">
        <f ca="1"/>
        <v>10</v>
      </c>
      <c r="BB8">
        <f ca="1"/>
        <v>5.4945054945054951E-2</v>
      </c>
      <c r="BC8">
        <f ca="1"/>
        <v>99.758054945054951</v>
      </c>
      <c r="BD8">
        <f ca="1"/>
        <v>0.78300000000061121</v>
      </c>
    </row>
    <row r="9" spans="1:56" ht="12.75" x14ac:dyDescent="0.35">
      <c r="B9" t="str">
        <f ca="1"/>
        <v>BX810244 Corp</v>
      </c>
      <c r="C9" t="str">
        <f ca="1"/>
        <v>Japan Government Five Year Bond</v>
      </c>
      <c r="D9" t="str">
        <f ca="1"/>
        <v>JGB</v>
      </c>
      <c r="E9" t="str">
        <f ca="1"/>
        <v>JP</v>
      </c>
      <c r="F9" t="str">
        <f ca="1"/>
        <v>JPY</v>
      </c>
      <c r="G9" t="str">
        <f ca="1"/>
        <v>20/06/2027</v>
      </c>
      <c r="H9" t="str">
        <f ca="1"/>
        <v>FIXED</v>
      </c>
      <c r="I9">
        <f ca="1"/>
        <v>2</v>
      </c>
      <c r="J9">
        <f ca="1"/>
        <v>5.0000000000000001E-3</v>
      </c>
      <c r="K9">
        <f ca="1"/>
        <v>1.0599999998174168</v>
      </c>
      <c r="L9">
        <f ca="1"/>
        <v>1.084999999801123</v>
      </c>
      <c r="M9">
        <f ca="1"/>
        <v>98.673000000000002</v>
      </c>
      <c r="N9">
        <f ca="1"/>
        <v>98.641999999999996</v>
      </c>
      <c r="O9" t="str">
        <f ca="1"/>
        <v>BX8102440</v>
      </c>
      <c r="P9" t="str">
        <f ca="1"/>
        <v>JP1051531N75</v>
      </c>
      <c r="Q9" t="str">
        <f ca="1"/>
        <v>A+</v>
      </c>
      <c r="R9" s="3">
        <f ca="1"/>
        <v>44747</v>
      </c>
      <c r="S9">
        <f ca="1"/>
        <v>46193</v>
      </c>
      <c r="T9">
        <f ca="1"/>
        <v>1.2238193018480492</v>
      </c>
      <c r="U9" s="4">
        <f ca="1"/>
        <v>98.657499999999999</v>
      </c>
      <c r="V9">
        <f ca="1"/>
        <v>70</v>
      </c>
      <c r="W9">
        <f ca="1"/>
        <v>1</v>
      </c>
      <c r="X9" s="4">
        <f ca="1"/>
        <v>4</v>
      </c>
      <c r="Y9" s="4">
        <f ca="1"/>
        <v>2.7472527472527475E-3</v>
      </c>
      <c r="Z9" s="4">
        <f ca="1"/>
        <v>98.654752747252743</v>
      </c>
      <c r="AA9" s="4">
        <f ca="1"/>
        <v>1.0724999998092699</v>
      </c>
      <c r="AE9" t="str">
        <f ca="1"/>
        <v>YW041715 Corp</v>
      </c>
      <c r="AF9" t="str">
        <f ca="1"/>
        <v>Japan Government Two Year Bond</v>
      </c>
      <c r="AG9" t="str">
        <f ca="1"/>
        <v>JGB</v>
      </c>
      <c r="AH9" t="str">
        <f ca="1"/>
        <v>JP</v>
      </c>
      <c r="AI9" t="str">
        <f ca="1"/>
        <v>JPY</v>
      </c>
      <c r="AJ9" t="str">
        <f ca="1"/>
        <v>01/07/2026</v>
      </c>
      <c r="AK9" t="str">
        <f ca="1"/>
        <v>FIXED</v>
      </c>
      <c r="AL9">
        <f ca="1"/>
        <v>2</v>
      </c>
      <c r="AM9">
        <f ca="1"/>
        <v>0.4</v>
      </c>
      <c r="AN9">
        <f ca="1"/>
        <v>0.79000000000009518</v>
      </c>
      <c r="AO9">
        <f ca="1"/>
        <v>0.81299999999999473</v>
      </c>
      <c r="AP9">
        <f ca="1"/>
        <v>99.881</v>
      </c>
      <c r="AQ9">
        <f ca="1"/>
        <v>99.873999999999995</v>
      </c>
      <c r="AR9" t="str">
        <f ca="1"/>
        <v>YW0417157</v>
      </c>
      <c r="AS9" t="str">
        <f ca="1"/>
        <v>JP1024621Q70</v>
      </c>
      <c r="AT9" t="str">
        <f ca="1"/>
        <v>A+</v>
      </c>
      <c r="AU9">
        <f ca="1"/>
        <v>45463</v>
      </c>
      <c r="AV9">
        <f ca="1"/>
        <v>46204</v>
      </c>
      <c r="AW9">
        <f ca="1"/>
        <v>0.25462012320328542</v>
      </c>
      <c r="AX9">
        <f ca="1"/>
        <v>99.877499999999998</v>
      </c>
      <c r="AY9">
        <f ca="1"/>
        <v>268</v>
      </c>
      <c r="AZ9">
        <f ca="1"/>
        <v>0</v>
      </c>
      <c r="BA9">
        <f ca="1"/>
        <v>2</v>
      </c>
      <c r="BB9">
        <f ca="1"/>
        <v>0.19340659340659341</v>
      </c>
      <c r="BC9">
        <f ca="1"/>
        <v>99.684093406593405</v>
      </c>
      <c r="BD9">
        <f ca="1"/>
        <v>0.80150000000004495</v>
      </c>
    </row>
    <row r="10" spans="1:56" ht="12.75" x14ac:dyDescent="0.35">
      <c r="B10" t="str">
        <f ca="1"/>
        <v>AP027592 Corp</v>
      </c>
      <c r="C10" t="str">
        <f ca="1"/>
        <v>Japan Government Ten Year Bond</v>
      </c>
      <c r="D10" t="str">
        <f ca="1"/>
        <v>JGB</v>
      </c>
      <c r="E10" t="str">
        <f ca="1"/>
        <v>JP</v>
      </c>
      <c r="F10" t="str">
        <f ca="1"/>
        <v>JPY</v>
      </c>
      <c r="G10" t="str">
        <f ca="1"/>
        <v>20/09/2027</v>
      </c>
      <c r="H10" t="str">
        <f ca="1"/>
        <v>FIXED</v>
      </c>
      <c r="I10">
        <f ca="1"/>
        <v>2</v>
      </c>
      <c r="J10">
        <f ca="1"/>
        <v>0.1</v>
      </c>
      <c r="K10">
        <f ca="1"/>
        <v>1.1380000000000026</v>
      </c>
      <c r="L10">
        <f ca="1"/>
        <v>1.161000000000008</v>
      </c>
      <c r="M10">
        <f ca="1"/>
        <v>98.442999999999998</v>
      </c>
      <c r="N10">
        <f ca="1"/>
        <v>98.409000000000006</v>
      </c>
      <c r="O10" t="str">
        <f ca="1"/>
        <v>AP0275929</v>
      </c>
      <c r="P10" t="str">
        <f ca="1"/>
        <v>JP1103481H98</v>
      </c>
      <c r="Q10" t="str">
        <f ca="1"/>
        <v>A+</v>
      </c>
      <c r="R10" s="3">
        <f ca="1"/>
        <v>42983</v>
      </c>
      <c r="S10">
        <f ca="1"/>
        <v>46101</v>
      </c>
      <c r="T10">
        <f ca="1"/>
        <v>1.4757015742642026</v>
      </c>
      <c r="U10" s="4">
        <f ca="1"/>
        <v>98.426000000000002</v>
      </c>
      <c r="V10">
        <f ca="1"/>
        <v>11</v>
      </c>
      <c r="W10">
        <f ca="1"/>
        <v>1</v>
      </c>
      <c r="X10" s="4">
        <f ca="1"/>
        <v>9</v>
      </c>
      <c r="Y10" s="4">
        <f ca="1"/>
        <v>0.10494505494505496</v>
      </c>
      <c r="Z10" s="4">
        <f ca="1"/>
        <v>98.321054945054954</v>
      </c>
      <c r="AA10" s="4">
        <f ca="1"/>
        <v>1.1495000000000053</v>
      </c>
      <c r="AE10" t="str">
        <f ca="1"/>
        <v>YW691926 Corp</v>
      </c>
      <c r="AF10" t="str">
        <f ca="1"/>
        <v>Japan Government Two Year Bond</v>
      </c>
      <c r="AG10" t="str">
        <f ca="1"/>
        <v>JGB</v>
      </c>
      <c r="AH10" t="str">
        <f ca="1"/>
        <v>JP</v>
      </c>
      <c r="AI10" t="str">
        <f ca="1"/>
        <v>JPY</v>
      </c>
      <c r="AJ10" t="str">
        <f ca="1"/>
        <v>01/08/2026</v>
      </c>
      <c r="AK10" t="str">
        <f ca="1"/>
        <v>FIXED</v>
      </c>
      <c r="AL10">
        <f ca="1"/>
        <v>2</v>
      </c>
      <c r="AM10">
        <f ca="1"/>
        <v>0.4</v>
      </c>
      <c r="AN10">
        <f ca="1"/>
        <v>0.82400000000008433</v>
      </c>
      <c r="AO10">
        <f ca="1"/>
        <v>0.84700000000012676</v>
      </c>
      <c r="AP10">
        <f ca="1"/>
        <v>99.834999999999994</v>
      </c>
      <c r="AQ10">
        <f ca="1"/>
        <v>99.825999999999993</v>
      </c>
      <c r="AR10" t="str">
        <f ca="1"/>
        <v>YW6919263</v>
      </c>
      <c r="AS10" t="str">
        <f ca="1"/>
        <v>JP1024631Q86</v>
      </c>
      <c r="AT10" t="str">
        <f ca="1"/>
        <v>A+</v>
      </c>
      <c r="AU10">
        <f ca="1"/>
        <v>45492</v>
      </c>
      <c r="AV10">
        <f ca="1"/>
        <v>46235</v>
      </c>
      <c r="AW10">
        <f ca="1"/>
        <v>0.33949349760438058</v>
      </c>
      <c r="AX10">
        <f ca="1"/>
        <v>99.830500000000001</v>
      </c>
      <c r="AY10">
        <f ca="1"/>
        <v>274</v>
      </c>
      <c r="AZ10">
        <f ca="1"/>
        <v>0</v>
      </c>
      <c r="BA10">
        <f ca="1"/>
        <v>2</v>
      </c>
      <c r="BB10">
        <f ca="1"/>
        <v>0.12527472527472527</v>
      </c>
      <c r="BC10">
        <f ca="1"/>
        <v>99.705225274725279</v>
      </c>
      <c r="BD10">
        <f ca="1"/>
        <v>0.8355000000001056</v>
      </c>
    </row>
    <row r="11" spans="1:56" ht="12.75" x14ac:dyDescent="0.35">
      <c r="B11" t="str">
        <f ca="1"/>
        <v>BZ743105 Corp</v>
      </c>
      <c r="C11" t="str">
        <f ca="1"/>
        <v>Japan Government Five Year Bond</v>
      </c>
      <c r="D11" t="str">
        <f ca="1"/>
        <v>JGB</v>
      </c>
      <c r="E11" t="str">
        <f ca="1"/>
        <v>JP</v>
      </c>
      <c r="F11" t="str">
        <f ca="1"/>
        <v>JPY</v>
      </c>
      <c r="G11" t="str">
        <f ca="1"/>
        <v>20/09/2027</v>
      </c>
      <c r="H11" t="str">
        <f ca="1"/>
        <v>FIXED</v>
      </c>
      <c r="I11">
        <f ca="1"/>
        <v>2</v>
      </c>
      <c r="J11">
        <f ca="1"/>
        <v>0.1</v>
      </c>
      <c r="K11">
        <f ca="1"/>
        <v>1.1440000000000041</v>
      </c>
      <c r="L11">
        <f ca="1"/>
        <v>1.1670000000000009</v>
      </c>
      <c r="M11">
        <f ca="1"/>
        <v>98.433999999999997</v>
      </c>
      <c r="N11">
        <f ca="1"/>
        <v>98.4</v>
      </c>
      <c r="O11" t="str">
        <f ca="1"/>
        <v>BZ7431050</v>
      </c>
      <c r="P11" t="str">
        <f ca="1"/>
        <v>JP1051541NA0</v>
      </c>
      <c r="Q11" t="str">
        <f ca="1"/>
        <v>A+</v>
      </c>
      <c r="R11" s="3">
        <f ca="1"/>
        <v>44841</v>
      </c>
      <c r="S11">
        <f ca="1"/>
        <v>46101</v>
      </c>
      <c r="T11">
        <f ca="1"/>
        <v>1.4757015742642026</v>
      </c>
      <c r="U11" s="4">
        <f ca="1"/>
        <v>98.417000000000002</v>
      </c>
      <c r="V11">
        <f ca="1"/>
        <v>74</v>
      </c>
      <c r="W11">
        <f ca="1"/>
        <v>1</v>
      </c>
      <c r="X11" s="4">
        <f ca="1"/>
        <v>4</v>
      </c>
      <c r="Y11" s="4">
        <f ca="1"/>
        <v>0.10494505494505496</v>
      </c>
      <c r="Z11" s="4">
        <f ca="1"/>
        <v>98.312054945054953</v>
      </c>
      <c r="AA11" s="4">
        <f ca="1"/>
        <v>1.1555000000000026</v>
      </c>
      <c r="AE11" t="str">
        <f ca="1"/>
        <v>YV477187 Corp</v>
      </c>
      <c r="AF11" t="str">
        <f ca="1"/>
        <v>Japan Government Two Year Bond</v>
      </c>
      <c r="AG11" t="str">
        <f ca="1"/>
        <v>JGB</v>
      </c>
      <c r="AH11" t="str">
        <f ca="1"/>
        <v>JP</v>
      </c>
      <c r="AI11" t="str">
        <f ca="1"/>
        <v>JPY</v>
      </c>
      <c r="AJ11" t="str">
        <f ca="1"/>
        <v>01/09/2026</v>
      </c>
      <c r="AK11" t="str">
        <f ca="1"/>
        <v>FIXED</v>
      </c>
      <c r="AL11">
        <f ca="1"/>
        <v>2</v>
      </c>
      <c r="AM11">
        <f ca="1"/>
        <v>0.4</v>
      </c>
      <c r="AN11">
        <f ca="1"/>
        <v>0.85300000000007992</v>
      </c>
      <c r="AO11">
        <f ca="1"/>
        <v>0.87600000000003142</v>
      </c>
      <c r="AP11">
        <f ca="1"/>
        <v>99.786000000000001</v>
      </c>
      <c r="AQ11">
        <f ca="1"/>
        <v>99.775000000000006</v>
      </c>
      <c r="AR11" t="str">
        <f ca="1"/>
        <v>YV4771874</v>
      </c>
      <c r="AS11" t="str">
        <f ca="1"/>
        <v>JP1024641Q92</v>
      </c>
      <c r="AT11" t="str">
        <f ca="1"/>
        <v>A+</v>
      </c>
      <c r="AU11">
        <f ca="1"/>
        <v>45526</v>
      </c>
      <c r="AV11">
        <f ca="1"/>
        <v>46266</v>
      </c>
      <c r="AW11">
        <f ca="1"/>
        <v>0.42436687200547568</v>
      </c>
      <c r="AX11">
        <f ca="1"/>
        <v>99.780500000000004</v>
      </c>
      <c r="AY11">
        <f ca="1"/>
        <v>266</v>
      </c>
      <c r="AZ11">
        <f ca="1"/>
        <v>0</v>
      </c>
      <c r="BA11">
        <f ca="1"/>
        <v>2</v>
      </c>
      <c r="BB11">
        <f ca="1"/>
        <v>6.3736263736263732E-2</v>
      </c>
      <c r="BC11">
        <f ca="1"/>
        <v>99.716763736263744</v>
      </c>
      <c r="BD11">
        <f ca="1"/>
        <v>0.86450000000005567</v>
      </c>
    </row>
    <row r="12" spans="1:56" ht="12.75" x14ac:dyDescent="0.35">
      <c r="B12" t="str">
        <f ca="1"/>
        <v>AQ307103 Corp</v>
      </c>
      <c r="C12" t="str">
        <f ca="1"/>
        <v>Japan Government Ten Year Bond</v>
      </c>
      <c r="D12" t="str">
        <f ca="1"/>
        <v>JGB</v>
      </c>
      <c r="E12" t="str">
        <f ca="1"/>
        <v>JP</v>
      </c>
      <c r="F12" t="str">
        <f ca="1"/>
        <v>JPY</v>
      </c>
      <c r="G12" t="str">
        <f ca="1"/>
        <v>20/12/2027</v>
      </c>
      <c r="H12" t="str">
        <f ca="1"/>
        <v>FIXED</v>
      </c>
      <c r="I12">
        <f ca="1"/>
        <v>2</v>
      </c>
      <c r="J12">
        <f ca="1"/>
        <v>0.1</v>
      </c>
      <c r="K12">
        <f ca="1"/>
        <v>1.1779999999999933</v>
      </c>
      <c r="L12">
        <f ca="1"/>
        <v>1.2019999999999986</v>
      </c>
      <c r="M12">
        <f ca="1"/>
        <v>98.125</v>
      </c>
      <c r="N12">
        <f ca="1"/>
        <v>98.084000000000003</v>
      </c>
      <c r="O12" t="str">
        <f ca="1"/>
        <v>AQ3071034</v>
      </c>
      <c r="P12" t="str">
        <f ca="1"/>
        <v>JP1103491HC4</v>
      </c>
      <c r="Q12" t="str">
        <f ca="1"/>
        <v>A+</v>
      </c>
      <c r="R12" s="3">
        <f ca="1"/>
        <v>43074</v>
      </c>
      <c r="S12">
        <f ca="1"/>
        <v>46193</v>
      </c>
      <c r="T12">
        <f ca="1"/>
        <v>1.7248459958932238</v>
      </c>
      <c r="U12" s="4">
        <f ca="1"/>
        <v>98.104500000000002</v>
      </c>
      <c r="V12">
        <f ca="1"/>
        <v>14</v>
      </c>
      <c r="W12">
        <f ca="1"/>
        <v>1.5</v>
      </c>
      <c r="X12" s="4">
        <f ca="1"/>
        <v>9</v>
      </c>
      <c r="Y12" s="4">
        <f ca="1"/>
        <v>5.4945054945054951E-2</v>
      </c>
      <c r="Z12" s="4">
        <f ca="1"/>
        <v>98.04955494505495</v>
      </c>
      <c r="AA12" s="4">
        <f ca="1"/>
        <v>1.1899999999999959</v>
      </c>
      <c r="AE12" t="str">
        <f ca="1"/>
        <v>BR962540 Corp</v>
      </c>
      <c r="AF12" t="str">
        <f ca="1"/>
        <v>Japan Government Five Year Bond</v>
      </c>
      <c r="AG12" t="str">
        <f ca="1"/>
        <v>JGB</v>
      </c>
      <c r="AH12" t="str">
        <f ca="1"/>
        <v>JP</v>
      </c>
      <c r="AI12" t="str">
        <f ca="1"/>
        <v>JPY</v>
      </c>
      <c r="AJ12" t="str">
        <f ca="1"/>
        <v>20/09/2026</v>
      </c>
      <c r="AK12" t="str">
        <f ca="1"/>
        <v>FIXED</v>
      </c>
      <c r="AL12">
        <f ca="1"/>
        <v>2</v>
      </c>
      <c r="AM12">
        <f ca="1"/>
        <v>5.0000000000000001E-3</v>
      </c>
      <c r="AN12">
        <f ca="1"/>
        <v>0.87299999999121713</v>
      </c>
      <c r="AO12">
        <f ca="1"/>
        <v>0.89599999999030333</v>
      </c>
      <c r="AP12">
        <f ca="1"/>
        <v>99.545000000000002</v>
      </c>
      <c r="AQ12">
        <f ca="1"/>
        <v>99.533000000000001</v>
      </c>
      <c r="AR12" t="str">
        <f ca="1"/>
        <v>BR9625400</v>
      </c>
      <c r="AS12" t="str">
        <f ca="1"/>
        <v>JP1051491MA0</v>
      </c>
      <c r="AT12" t="str">
        <f ca="1"/>
        <v>A+</v>
      </c>
      <c r="AU12">
        <f ca="1"/>
        <v>44476</v>
      </c>
      <c r="AV12">
        <f ca="1"/>
        <v>46101</v>
      </c>
      <c r="AW12">
        <f ca="1"/>
        <v>0.47638603696098564</v>
      </c>
      <c r="AX12">
        <f ca="1"/>
        <v>99.539000000000001</v>
      </c>
      <c r="AY12">
        <f ca="1"/>
        <v>56</v>
      </c>
      <c r="AZ12">
        <f ca="1"/>
        <v>0</v>
      </c>
      <c r="BA12">
        <f ca="1"/>
        <v>5</v>
      </c>
      <c r="BB12">
        <f ca="1"/>
        <v>5.2472527472527475E-3</v>
      </c>
      <c r="BC12">
        <f ca="1"/>
        <v>99.533752747252748</v>
      </c>
      <c r="BD12">
        <f ca="1"/>
        <v>0.88449999999076023</v>
      </c>
    </row>
    <row r="13" spans="1:56" ht="12.75" x14ac:dyDescent="0.35">
      <c r="B13" t="str">
        <f ca="1"/>
        <v>ZL113533 Corp</v>
      </c>
      <c r="C13" t="str">
        <f ca="1"/>
        <v>Japan Government Five Year Bond</v>
      </c>
      <c r="D13" t="str">
        <f ca="1"/>
        <v>JGB</v>
      </c>
      <c r="E13" t="str">
        <f ca="1"/>
        <v>JP</v>
      </c>
      <c r="F13" t="str">
        <f ca="1"/>
        <v>JPY</v>
      </c>
      <c r="G13" t="str">
        <f ca="1"/>
        <v>20/12/2027</v>
      </c>
      <c r="H13" t="str">
        <f ca="1"/>
        <v>FIXED</v>
      </c>
      <c r="I13">
        <f ca="1"/>
        <v>2</v>
      </c>
      <c r="J13">
        <f ca="1"/>
        <v>0.2</v>
      </c>
      <c r="K13">
        <f ca="1"/>
        <v>1.1789999999999872</v>
      </c>
      <c r="L13">
        <f ca="1"/>
        <v>1.2040000000000017</v>
      </c>
      <c r="M13">
        <f ca="1"/>
        <v>98.296999999999997</v>
      </c>
      <c r="N13">
        <f ca="1"/>
        <v>98.254000000000005</v>
      </c>
      <c r="O13" t="str">
        <f ca="1"/>
        <v>ZL1135330</v>
      </c>
      <c r="P13" t="str">
        <f ca="1"/>
        <v>JP1051561P27</v>
      </c>
      <c r="Q13" t="str">
        <f ca="1"/>
        <v>A+</v>
      </c>
      <c r="R13" s="3">
        <f ca="1"/>
        <v>44966</v>
      </c>
      <c r="S13">
        <f ca="1"/>
        <v>46193</v>
      </c>
      <c r="T13">
        <f ca="1"/>
        <v>1.7248459958932238</v>
      </c>
      <c r="U13" s="4">
        <f ca="1"/>
        <v>98.275499999999994</v>
      </c>
      <c r="V13">
        <f ca="1"/>
        <v>311</v>
      </c>
      <c r="W13">
        <f ca="1"/>
        <v>1.5</v>
      </c>
      <c r="X13" s="4">
        <f ca="1"/>
        <v>3</v>
      </c>
      <c r="Y13" s="4">
        <f ca="1"/>
        <v>0.1098901098901099</v>
      </c>
      <c r="Z13" s="4">
        <f ca="1"/>
        <v>98.165609890109877</v>
      </c>
      <c r="AA13" s="4">
        <f ca="1"/>
        <v>1.1914999999999945</v>
      </c>
      <c r="AE13" t="str">
        <f ca="1"/>
        <v>QZ413850 Corp</v>
      </c>
      <c r="AF13" t="str">
        <f ca="1"/>
        <v>Japan Government Ten Year Bond</v>
      </c>
      <c r="AG13" t="str">
        <f ca="1"/>
        <v>JGB</v>
      </c>
      <c r="AH13" t="str">
        <f ca="1"/>
        <v>JP</v>
      </c>
      <c r="AI13" t="str">
        <f ca="1"/>
        <v>JPY</v>
      </c>
      <c r="AJ13" t="str">
        <f ca="1"/>
        <v>20/09/2026</v>
      </c>
      <c r="AK13" t="str">
        <f ca="1"/>
        <v>FIXED</v>
      </c>
      <c r="AL13">
        <f ca="1"/>
        <v>2</v>
      </c>
      <c r="AM13">
        <f ca="1"/>
        <v>0.1</v>
      </c>
      <c r="AN13">
        <f ca="1"/>
        <v>0.86699999999443811</v>
      </c>
      <c r="AO13">
        <f ca="1"/>
        <v>0.88899999999382628</v>
      </c>
      <c r="AP13">
        <f ca="1"/>
        <v>99.597999999999999</v>
      </c>
      <c r="AQ13">
        <f ca="1"/>
        <v>99.585999999999999</v>
      </c>
      <c r="AR13" t="str">
        <f ca="1"/>
        <v>QZ4138504</v>
      </c>
      <c r="AS13" t="str">
        <f ca="1"/>
        <v>JP1103441G98</v>
      </c>
      <c r="AT13" t="str">
        <f ca="1"/>
        <v>A+</v>
      </c>
      <c r="AU13">
        <f ca="1"/>
        <v>42614</v>
      </c>
      <c r="AV13">
        <f ca="1"/>
        <v>46101</v>
      </c>
      <c r="AW13">
        <f ca="1"/>
        <v>0.47638603696098564</v>
      </c>
      <c r="AX13">
        <f ca="1"/>
        <v>99.591999999999999</v>
      </c>
      <c r="AY13">
        <f ca="1"/>
        <v>215</v>
      </c>
      <c r="AZ13">
        <f ca="1"/>
        <v>0</v>
      </c>
      <c r="BA13">
        <f ca="1"/>
        <v>10</v>
      </c>
      <c r="BB13">
        <f ca="1"/>
        <v>0.10494505494505496</v>
      </c>
      <c r="BC13">
        <f ca="1"/>
        <v>99.48705494505495</v>
      </c>
      <c r="BD13">
        <f ca="1"/>
        <v>0.87799999999413214</v>
      </c>
    </row>
    <row r="14" spans="1:56" ht="12.75" x14ac:dyDescent="0.35">
      <c r="B14" t="str">
        <f ca="1"/>
        <v>ZM445143 Corp</v>
      </c>
      <c r="C14" t="str">
        <f ca="1"/>
        <v>Japan Government Five Year Bond</v>
      </c>
      <c r="D14" t="str">
        <f ca="1"/>
        <v>JGB</v>
      </c>
      <c r="E14" t="str">
        <f ca="1"/>
        <v>JP</v>
      </c>
      <c r="F14" t="str">
        <f ca="1"/>
        <v>JPY</v>
      </c>
      <c r="G14" t="str">
        <f ca="1"/>
        <v>20/12/2027</v>
      </c>
      <c r="H14" t="str">
        <f ca="1"/>
        <v>FIXED</v>
      </c>
      <c r="I14">
        <f ca="1"/>
        <v>2</v>
      </c>
      <c r="J14">
        <f ca="1"/>
        <v>0.3</v>
      </c>
      <c r="K14">
        <f ca="1"/>
        <v>1.1819999994167807</v>
      </c>
      <c r="L14">
        <f ca="1"/>
        <v>1.2059999999999877</v>
      </c>
      <c r="M14">
        <f ca="1"/>
        <v>98.465999999999994</v>
      </c>
      <c r="N14">
        <f ca="1"/>
        <v>98.424999999999997</v>
      </c>
      <c r="O14" t="str">
        <f ca="1"/>
        <v>ZM4451435</v>
      </c>
      <c r="P14" t="str">
        <f ca="1"/>
        <v>JP1051551P11</v>
      </c>
      <c r="Q14" t="str">
        <f ca="1"/>
        <v>A+</v>
      </c>
      <c r="R14" s="3">
        <f ca="1"/>
        <v>44932</v>
      </c>
      <c r="S14">
        <f ca="1"/>
        <v>46193</v>
      </c>
      <c r="T14">
        <f ca="1"/>
        <v>1.7248459958932238</v>
      </c>
      <c r="U14" s="4">
        <f ca="1"/>
        <v>98.445499999999996</v>
      </c>
      <c r="V14">
        <f ca="1"/>
        <v>314</v>
      </c>
      <c r="W14">
        <f ca="1"/>
        <v>1.5</v>
      </c>
      <c r="X14" s="4">
        <f ca="1"/>
        <v>3</v>
      </c>
      <c r="Y14" s="4">
        <f ca="1"/>
        <v>0.16483516483516483</v>
      </c>
      <c r="Z14" s="4">
        <f ca="1"/>
        <v>98.280664835164828</v>
      </c>
      <c r="AA14" s="4">
        <f ca="1"/>
        <v>1.1939999997083843</v>
      </c>
      <c r="AE14" t="str">
        <f ca="1"/>
        <v>YU173621 Corp</v>
      </c>
      <c r="AF14" t="str">
        <f ca="1"/>
        <v>Japan Government Two Year Bond</v>
      </c>
      <c r="AG14" t="str">
        <f ca="1"/>
        <v>JGB</v>
      </c>
      <c r="AH14" t="str">
        <f ca="1"/>
        <v>JP</v>
      </c>
      <c r="AI14" t="str">
        <f ca="1"/>
        <v>JPY</v>
      </c>
      <c r="AJ14" t="str">
        <f ca="1"/>
        <v>01/10/2026</v>
      </c>
      <c r="AK14" t="str">
        <f ca="1"/>
        <v>FIXED</v>
      </c>
      <c r="AL14">
        <f ca="1"/>
        <v>2</v>
      </c>
      <c r="AM14">
        <f ca="1"/>
        <v>0.4</v>
      </c>
      <c r="AN14">
        <f ca="1"/>
        <v>0.87599999999905209</v>
      </c>
      <c r="AO14">
        <f ca="1"/>
        <v>0.89999999999891589</v>
      </c>
      <c r="AP14">
        <f ca="1"/>
        <v>99.736000000000004</v>
      </c>
      <c r="AQ14">
        <f ca="1"/>
        <v>99.722999999999999</v>
      </c>
      <c r="AR14" t="str">
        <f ca="1"/>
        <v>YU1736211</v>
      </c>
      <c r="AS14" t="str">
        <f ca="1"/>
        <v>JP1024651QA4</v>
      </c>
      <c r="AT14" t="str">
        <f ca="1"/>
        <v>A+</v>
      </c>
      <c r="AU14">
        <f ca="1"/>
        <v>45555</v>
      </c>
      <c r="AV14">
        <f ca="1"/>
        <v>46113</v>
      </c>
      <c r="AW14">
        <f ca="1"/>
        <v>0.50650239561943877</v>
      </c>
      <c r="AX14">
        <f ca="1"/>
        <v>99.729500000000002</v>
      </c>
      <c r="AY14">
        <f ca="1"/>
        <v>259</v>
      </c>
      <c r="AZ14">
        <f ca="1"/>
        <v>0.5</v>
      </c>
      <c r="BA14">
        <f ca="1"/>
        <v>2</v>
      </c>
      <c r="BB14">
        <f ca="1"/>
        <v>0.39560439560439564</v>
      </c>
      <c r="BC14">
        <f ca="1"/>
        <v>99.333895604395607</v>
      </c>
      <c r="BD14">
        <f ca="1"/>
        <v>0.88799999999898405</v>
      </c>
    </row>
    <row r="15" spans="1:56" ht="12.75" x14ac:dyDescent="0.35">
      <c r="B15" t="str">
        <f ca="1"/>
        <v>AR545005 Corp</v>
      </c>
      <c r="C15" t="str">
        <f ca="1"/>
        <v>Japan Government Ten Year Bond</v>
      </c>
      <c r="D15" t="str">
        <f ca="1"/>
        <v>JGB</v>
      </c>
      <c r="E15" t="str">
        <f ca="1"/>
        <v>JP</v>
      </c>
      <c r="F15" t="str">
        <f ca="1"/>
        <v>JPY</v>
      </c>
      <c r="G15" t="str">
        <f ca="1"/>
        <v>20/03/2028</v>
      </c>
      <c r="H15" t="str">
        <f ca="1"/>
        <v>FIXED</v>
      </c>
      <c r="I15">
        <f ca="1"/>
        <v>2</v>
      </c>
      <c r="J15">
        <f ca="1"/>
        <v>0.1</v>
      </c>
      <c r="K15">
        <f ca="1"/>
        <v>1.2129999999999999</v>
      </c>
      <c r="L15">
        <f ca="1"/>
        <v>1.2359999999999975</v>
      </c>
      <c r="M15">
        <f ca="1"/>
        <v>97.802999999999997</v>
      </c>
      <c r="N15">
        <f ca="1"/>
        <v>97.759</v>
      </c>
      <c r="O15" t="str">
        <f ca="1"/>
        <v>AR5450051</v>
      </c>
      <c r="P15" t="str">
        <f ca="1"/>
        <v>JP1103501J35</v>
      </c>
      <c r="Q15" t="str">
        <f ca="1"/>
        <v>A+</v>
      </c>
      <c r="R15" s="3">
        <f ca="1"/>
        <v>43160</v>
      </c>
      <c r="S15">
        <f ca="1"/>
        <v>46101</v>
      </c>
      <c r="T15">
        <f ca="1"/>
        <v>1.9739904175222451</v>
      </c>
      <c r="U15" s="4">
        <f ca="1"/>
        <v>97.781000000000006</v>
      </c>
      <c r="V15">
        <f ca="1"/>
        <v>17</v>
      </c>
      <c r="W15">
        <f ca="1"/>
        <v>1.5</v>
      </c>
      <c r="X15" s="4">
        <f ca="1"/>
        <v>8</v>
      </c>
      <c r="Y15" s="4">
        <f ca="1"/>
        <v>0.10494505494505496</v>
      </c>
      <c r="Z15" s="4">
        <f ca="1"/>
        <v>97.676054945054958</v>
      </c>
      <c r="AA15" s="4">
        <f ca="1"/>
        <v>1.2244999999999986</v>
      </c>
      <c r="AE15" t="str">
        <f ca="1"/>
        <v>AL516835 Corp</v>
      </c>
      <c r="AF15" t="str">
        <f ca="1"/>
        <v>Japan Government Ten Year Bond</v>
      </c>
      <c r="AG15" t="str">
        <f ca="1"/>
        <v>JGB</v>
      </c>
      <c r="AH15" t="str">
        <f ca="1"/>
        <v>JP</v>
      </c>
      <c r="AI15" t="str">
        <f ca="1"/>
        <v>JPY</v>
      </c>
      <c r="AJ15" t="str">
        <f ca="1"/>
        <v>20/12/2026</v>
      </c>
      <c r="AK15" t="str">
        <f ca="1"/>
        <v>FIXED</v>
      </c>
      <c r="AL15">
        <f ca="1"/>
        <v>2</v>
      </c>
      <c r="AM15">
        <f ca="1"/>
        <v>0.1</v>
      </c>
      <c r="AN15">
        <f ca="1"/>
        <v>0.95699999999828878</v>
      </c>
      <c r="AO15">
        <f ca="1"/>
        <v>0.97899999999814125</v>
      </c>
      <c r="AP15">
        <f ca="1"/>
        <v>99.34</v>
      </c>
      <c r="AQ15">
        <f ca="1"/>
        <v>99.322999999999993</v>
      </c>
      <c r="AR15" t="str">
        <f ca="1"/>
        <v>AL5168359</v>
      </c>
      <c r="AS15" t="str">
        <f ca="1"/>
        <v>JP1103451GC0</v>
      </c>
      <c r="AT15" t="str">
        <f ca="1"/>
        <v>A+</v>
      </c>
      <c r="AU15">
        <f ca="1"/>
        <v>42705</v>
      </c>
      <c r="AV15">
        <f ca="1"/>
        <v>46193</v>
      </c>
      <c r="AW15">
        <f ca="1"/>
        <v>0.72553045859000687</v>
      </c>
      <c r="AX15">
        <f ca="1"/>
        <v>99.331500000000005</v>
      </c>
      <c r="AY15">
        <f ca="1"/>
        <v>1</v>
      </c>
      <c r="AZ15">
        <f ca="1"/>
        <v>0.5</v>
      </c>
      <c r="BA15">
        <f ca="1"/>
        <v>10</v>
      </c>
      <c r="BB15">
        <f ca="1"/>
        <v>5.4945054945054951E-2</v>
      </c>
      <c r="BC15">
        <f ca="1"/>
        <v>99.276554945054954</v>
      </c>
      <c r="BD15">
        <f ca="1"/>
        <v>0.96799999999821495</v>
      </c>
    </row>
    <row r="16" spans="1:56" ht="12.75" x14ac:dyDescent="0.35">
      <c r="B16" t="str">
        <f ca="1"/>
        <v>ZK140252 Corp</v>
      </c>
      <c r="C16" t="str">
        <f ca="1"/>
        <v>Japan Government Five Year Bond</v>
      </c>
      <c r="D16" t="str">
        <f ca="1"/>
        <v>JGB</v>
      </c>
      <c r="E16" t="str">
        <f ca="1"/>
        <v>JP</v>
      </c>
      <c r="F16" t="str">
        <f ca="1"/>
        <v>JPY</v>
      </c>
      <c r="G16" t="str">
        <f ca="1"/>
        <v>20/03/2028</v>
      </c>
      <c r="H16" t="str">
        <f ca="1"/>
        <v>FIXED</v>
      </c>
      <c r="I16">
        <f ca="1"/>
        <v>2</v>
      </c>
      <c r="J16">
        <f ca="1"/>
        <v>0.2</v>
      </c>
      <c r="K16">
        <f ca="1"/>
        <v>1.215000000000001</v>
      </c>
      <c r="L16">
        <f ca="1"/>
        <v>1.2390000000000001</v>
      </c>
      <c r="M16">
        <f ca="1"/>
        <v>97.995999999999995</v>
      </c>
      <c r="N16">
        <f ca="1"/>
        <v>97.95</v>
      </c>
      <c r="O16" t="str">
        <f ca="1"/>
        <v>ZK1402526</v>
      </c>
      <c r="P16" t="str">
        <f ca="1"/>
        <v>JP1051571P41</v>
      </c>
      <c r="Q16" t="str">
        <f ca="1"/>
        <v>A+</v>
      </c>
      <c r="R16" s="3">
        <f ca="1"/>
        <v>45020</v>
      </c>
      <c r="S16">
        <f ca="1"/>
        <v>46101</v>
      </c>
      <c r="T16">
        <f ca="1"/>
        <v>1.9739904175222451</v>
      </c>
      <c r="U16" s="4">
        <f ca="1"/>
        <v>97.972999999999999</v>
      </c>
      <c r="V16">
        <f ca="1"/>
        <v>307</v>
      </c>
      <c r="W16">
        <f ca="1"/>
        <v>1.5</v>
      </c>
      <c r="X16" s="4">
        <f ca="1"/>
        <v>3</v>
      </c>
      <c r="Y16" s="4">
        <f ca="1"/>
        <v>0.20989010989010992</v>
      </c>
      <c r="Z16" s="4">
        <f ca="1"/>
        <v>97.763109890109888</v>
      </c>
      <c r="AA16" s="4">
        <f ca="1"/>
        <v>1.2270000000000005</v>
      </c>
      <c r="AE16" t="str">
        <f ca="1"/>
        <v>BT484763 Corp</v>
      </c>
      <c r="AF16" t="str">
        <f ca="1"/>
        <v>Japan Government Five Year Bond</v>
      </c>
      <c r="AG16" t="str">
        <f ca="1"/>
        <v>JGB</v>
      </c>
      <c r="AH16" t="str">
        <f ca="1"/>
        <v>JP</v>
      </c>
      <c r="AI16" t="str">
        <f ca="1"/>
        <v>JPY</v>
      </c>
      <c r="AJ16" t="str">
        <f ca="1"/>
        <v>20/12/2026</v>
      </c>
      <c r="AK16" t="str">
        <f ca="1"/>
        <v>FIXED</v>
      </c>
      <c r="AL16">
        <f ca="1"/>
        <v>2</v>
      </c>
      <c r="AM16">
        <f ca="1"/>
        <v>5.0000000000000001E-3</v>
      </c>
      <c r="AN16">
        <f ca="1"/>
        <v>0.95099999999759166</v>
      </c>
      <c r="AO16">
        <f ca="1"/>
        <v>0.97299999999740294</v>
      </c>
      <c r="AP16">
        <f ca="1"/>
        <v>99.271000000000001</v>
      </c>
      <c r="AQ16">
        <f ca="1"/>
        <v>99.254999999999995</v>
      </c>
      <c r="AR16" t="str">
        <f ca="1"/>
        <v>BT4847633</v>
      </c>
      <c r="AS16" t="str">
        <f ca="1"/>
        <v>JP1051501N14</v>
      </c>
      <c r="AT16" t="str">
        <f ca="1"/>
        <v>NR</v>
      </c>
      <c r="AU16">
        <f ca="1"/>
        <v>44566</v>
      </c>
      <c r="AV16">
        <f ca="1"/>
        <v>46193</v>
      </c>
      <c r="AW16">
        <f ca="1"/>
        <v>0.72553045859000687</v>
      </c>
      <c r="AX16">
        <f ca="1"/>
        <v>99.263000000000005</v>
      </c>
      <c r="AY16">
        <f ca="1"/>
        <v>60</v>
      </c>
      <c r="AZ16">
        <f ca="1"/>
        <v>0.5</v>
      </c>
      <c r="BA16">
        <f ca="1"/>
        <v>4</v>
      </c>
      <c r="BB16">
        <f ca="1"/>
        <v>2.7472527472527475E-3</v>
      </c>
      <c r="BC16">
        <f ca="1"/>
        <v>99.26025274725275</v>
      </c>
      <c r="BD16">
        <f ca="1"/>
        <v>0.9619999999974973</v>
      </c>
    </row>
    <row r="17" spans="2:56" ht="12.75" x14ac:dyDescent="0.35">
      <c r="B17" t="str">
        <f ca="1"/>
        <v>ZK645188 Corp</v>
      </c>
      <c r="C17" t="str">
        <f ca="1"/>
        <v>Japan Government Five Year Bond</v>
      </c>
      <c r="D17" t="str">
        <f ca="1"/>
        <v>JGB</v>
      </c>
      <c r="E17" t="str">
        <f ca="1"/>
        <v>JP</v>
      </c>
      <c r="F17" t="str">
        <f ca="1"/>
        <v>JPY</v>
      </c>
      <c r="G17" t="str">
        <f ca="1"/>
        <v>20/03/2028</v>
      </c>
      <c r="H17" t="str">
        <f ca="1"/>
        <v>FIXED</v>
      </c>
      <c r="I17">
        <f ca="1"/>
        <v>2</v>
      </c>
      <c r="J17">
        <f ca="1"/>
        <v>0.1</v>
      </c>
      <c r="K17">
        <f ca="1"/>
        <v>1.2159999999999946</v>
      </c>
      <c r="L17">
        <f ca="1"/>
        <v>1.2400000000000002</v>
      </c>
      <c r="M17">
        <f ca="1"/>
        <v>97.796999999999997</v>
      </c>
      <c r="N17">
        <f ca="1"/>
        <v>97.751000000000005</v>
      </c>
      <c r="O17" t="str">
        <f ca="1"/>
        <v>ZK6451882</v>
      </c>
      <c r="P17" t="str">
        <f ca="1"/>
        <v>JP1051581P56</v>
      </c>
      <c r="Q17" t="str">
        <f ca="1"/>
        <v>A+</v>
      </c>
      <c r="R17" s="3">
        <f ca="1"/>
        <v>45054</v>
      </c>
      <c r="S17">
        <f ca="1"/>
        <v>46101</v>
      </c>
      <c r="T17">
        <f ca="1"/>
        <v>1.9739904175222451</v>
      </c>
      <c r="U17" s="4">
        <f ca="1"/>
        <v>97.774000000000001</v>
      </c>
      <c r="V17">
        <f ca="1"/>
        <v>309</v>
      </c>
      <c r="W17">
        <f ca="1"/>
        <v>1.5</v>
      </c>
      <c r="X17" s="4">
        <f ca="1"/>
        <v>3</v>
      </c>
      <c r="Y17" s="4">
        <f ca="1"/>
        <v>0.10494505494505496</v>
      </c>
      <c r="Z17" s="4">
        <f ca="1"/>
        <v>97.669054945054953</v>
      </c>
      <c r="AA17" s="4">
        <f ca="1"/>
        <v>1.2279999999999975</v>
      </c>
      <c r="AE17" t="str">
        <f ca="1"/>
        <v>AM713129 Corp</v>
      </c>
      <c r="AF17" t="str">
        <f ca="1"/>
        <v>Japan Government Ten Year Bond</v>
      </c>
      <c r="AG17" t="str">
        <f ca="1"/>
        <v>JGB</v>
      </c>
      <c r="AH17" t="str">
        <f ca="1"/>
        <v>JP</v>
      </c>
      <c r="AI17" t="str">
        <f ca="1"/>
        <v>JPY</v>
      </c>
      <c r="AJ17" t="str">
        <f ca="1"/>
        <v>20/03/2027</v>
      </c>
      <c r="AK17" t="str">
        <f ca="1"/>
        <v>FIXED</v>
      </c>
      <c r="AL17">
        <f ca="1"/>
        <v>2</v>
      </c>
      <c r="AM17">
        <f ca="1"/>
        <v>0.1</v>
      </c>
      <c r="AN17">
        <f ca="1"/>
        <v>0.99999999983467414</v>
      </c>
      <c r="AO17">
        <f ca="1"/>
        <v>1.0209999998197796</v>
      </c>
      <c r="AP17">
        <f ca="1"/>
        <v>99.088999999999999</v>
      </c>
      <c r="AQ17">
        <f ca="1"/>
        <v>99.067999999999998</v>
      </c>
      <c r="AR17" t="str">
        <f ca="1"/>
        <v>AM7131296</v>
      </c>
      <c r="AS17" t="str">
        <f ca="1"/>
        <v>JP1103461H35</v>
      </c>
      <c r="AT17" t="str">
        <f ca="1"/>
        <v>A+</v>
      </c>
      <c r="AU17">
        <f ca="1"/>
        <v>42796</v>
      </c>
      <c r="AV17">
        <f ca="1"/>
        <v>46101</v>
      </c>
      <c r="AW17">
        <f ca="1"/>
        <v>0.97193702943189597</v>
      </c>
      <c r="AX17">
        <f ca="1"/>
        <v>99.078499999999991</v>
      </c>
      <c r="AY17">
        <f ca="1"/>
        <v>4</v>
      </c>
      <c r="AZ17">
        <f ca="1"/>
        <v>0.5</v>
      </c>
      <c r="BA17">
        <f ca="1"/>
        <v>9</v>
      </c>
      <c r="BB17">
        <f ca="1"/>
        <v>0.10494505494505496</v>
      </c>
      <c r="BC17">
        <f ca="1"/>
        <v>98.973554945054943</v>
      </c>
      <c r="BD17">
        <f ca="1"/>
        <v>1.0104999998272268</v>
      </c>
    </row>
    <row r="18" spans="2:56" ht="12.75" x14ac:dyDescent="0.35">
      <c r="B18" t="str">
        <f ca="1"/>
        <v>AT427280 Corp</v>
      </c>
      <c r="C18" t="str">
        <f ca="1"/>
        <v>Japan Government Ten Year Bond</v>
      </c>
      <c r="D18" t="str">
        <f ca="1"/>
        <v>JGB</v>
      </c>
      <c r="E18" t="str">
        <f ca="1"/>
        <v>JP</v>
      </c>
      <c r="F18" t="str">
        <f ca="1"/>
        <v>JPY</v>
      </c>
      <c r="G18" t="str">
        <f ca="1"/>
        <v>20/06/2028</v>
      </c>
      <c r="H18" t="str">
        <f ca="1"/>
        <v>FIXED</v>
      </c>
      <c r="I18">
        <f ca="1"/>
        <v>2</v>
      </c>
      <c r="J18">
        <f ca="1"/>
        <v>0.1</v>
      </c>
      <c r="K18">
        <f ca="1"/>
        <v>1.2409999999999946</v>
      </c>
      <c r="L18">
        <f ca="1"/>
        <v>1.2620000000000002</v>
      </c>
      <c r="M18">
        <f ca="1"/>
        <v>97.475999999999999</v>
      </c>
      <c r="N18">
        <f ca="1"/>
        <v>97.430999999999997</v>
      </c>
      <c r="O18" t="str">
        <f ca="1"/>
        <v>AT4272809</v>
      </c>
      <c r="P18" t="str">
        <f ca="1"/>
        <v>JP1103511J74</v>
      </c>
      <c r="Q18" t="str">
        <f ca="1"/>
        <v>A+</v>
      </c>
      <c r="R18" s="3">
        <f ca="1"/>
        <v>43284</v>
      </c>
      <c r="S18">
        <f ca="1"/>
        <v>46193</v>
      </c>
      <c r="T18">
        <f ca="1"/>
        <v>2.2258726899383983</v>
      </c>
      <c r="U18" s="4">
        <f ca="1"/>
        <v>97.453499999999991</v>
      </c>
      <c r="V18">
        <f ca="1"/>
        <v>21</v>
      </c>
      <c r="W18">
        <f ca="1"/>
        <v>2</v>
      </c>
      <c r="X18" s="4">
        <f ca="1"/>
        <v>8</v>
      </c>
      <c r="Y18" s="4">
        <f ca="1"/>
        <v>5.4945054945054951E-2</v>
      </c>
      <c r="Z18" s="4">
        <f ca="1"/>
        <v>97.39855494505494</v>
      </c>
      <c r="AA18" s="4">
        <f ca="1"/>
        <v>1.2514999999999974</v>
      </c>
      <c r="AE18" t="str">
        <f ca="1"/>
        <v>BV894033 Corp</v>
      </c>
      <c r="AF18" t="str">
        <f ca="1"/>
        <v>Japan Government Five Year Bond</v>
      </c>
      <c r="AG18" t="str">
        <f ca="1"/>
        <v>JGB</v>
      </c>
      <c r="AH18" t="str">
        <f ca="1"/>
        <v>JP</v>
      </c>
      <c r="AI18" t="str">
        <f ca="1"/>
        <v>JPY</v>
      </c>
      <c r="AJ18" t="str">
        <f ca="1"/>
        <v>20/03/2027</v>
      </c>
      <c r="AK18" t="str">
        <f ca="1"/>
        <v>FIXED</v>
      </c>
      <c r="AL18">
        <f ca="1"/>
        <v>2</v>
      </c>
      <c r="AM18">
        <f ca="1"/>
        <v>5.0000000000000001E-3</v>
      </c>
      <c r="AN18">
        <f ca="1"/>
        <v>0.99099999976548092</v>
      </c>
      <c r="AO18">
        <f ca="1"/>
        <v>1.0159999997422651</v>
      </c>
      <c r="AP18">
        <f ca="1"/>
        <v>99.001999999999995</v>
      </c>
      <c r="AQ18">
        <f ca="1"/>
        <v>98.977000000000004</v>
      </c>
      <c r="AR18" t="str">
        <f ca="1"/>
        <v>BV8940330</v>
      </c>
      <c r="AS18" t="str">
        <f ca="1"/>
        <v>JP1051511N46</v>
      </c>
      <c r="AT18" t="str">
        <f ca="1"/>
        <v>A+</v>
      </c>
      <c r="AU18">
        <f ca="1"/>
        <v>44656</v>
      </c>
      <c r="AV18">
        <f ca="1"/>
        <v>46101</v>
      </c>
      <c r="AW18">
        <f ca="1"/>
        <v>0.97193702943189597</v>
      </c>
      <c r="AX18">
        <f ca="1"/>
        <v>98.989499999999992</v>
      </c>
      <c r="AY18">
        <f ca="1"/>
        <v>64</v>
      </c>
      <c r="AZ18">
        <f ca="1"/>
        <v>0.5</v>
      </c>
      <c r="BA18">
        <f ca="1"/>
        <v>4</v>
      </c>
      <c r="BB18">
        <f ca="1"/>
        <v>5.2472527472527475E-3</v>
      </c>
      <c r="BC18">
        <f ca="1"/>
        <v>98.984252747252739</v>
      </c>
      <c r="BD18">
        <f ca="1"/>
        <v>1.0034999997538729</v>
      </c>
    </row>
    <row r="19" spans="2:56" ht="12.75" x14ac:dyDescent="0.35">
      <c r="B19" t="str">
        <f ca="1"/>
        <v>ZI391344 Corp</v>
      </c>
      <c r="C19" t="str">
        <f ca="1"/>
        <v>Japan Government Five Year Bond</v>
      </c>
      <c r="D19" t="str">
        <f ca="1"/>
        <v>JGB</v>
      </c>
      <c r="E19" t="str">
        <f ca="1"/>
        <v>JP</v>
      </c>
      <c r="F19" t="str">
        <f ca="1"/>
        <v>JPY</v>
      </c>
      <c r="G19" t="str">
        <f ca="1"/>
        <v>20/06/2028</v>
      </c>
      <c r="H19" t="str">
        <f ca="1"/>
        <v>FIXED</v>
      </c>
      <c r="I19">
        <f ca="1"/>
        <v>2</v>
      </c>
      <c r="J19">
        <f ca="1"/>
        <v>0.2</v>
      </c>
      <c r="K19">
        <f ca="1"/>
        <v>1.2439999999999851</v>
      </c>
      <c r="L19">
        <f ca="1"/>
        <v>1.2689999999999895</v>
      </c>
      <c r="M19">
        <f ca="1"/>
        <v>97.691000000000003</v>
      </c>
      <c r="N19">
        <f ca="1"/>
        <v>97.637</v>
      </c>
      <c r="O19" t="str">
        <f ca="1"/>
        <v>ZI3913442</v>
      </c>
      <c r="P19" t="str">
        <f ca="1"/>
        <v>JP1051601P86</v>
      </c>
      <c r="Q19" t="str">
        <f ca="1"/>
        <v>A+</v>
      </c>
      <c r="R19" s="3">
        <f ca="1"/>
        <v>45146</v>
      </c>
      <c r="S19">
        <f ca="1"/>
        <v>46193</v>
      </c>
      <c r="T19">
        <f ca="1"/>
        <v>2.2258726899383983</v>
      </c>
      <c r="U19" s="4">
        <f ca="1"/>
        <v>97.664000000000001</v>
      </c>
      <c r="V19">
        <f ca="1"/>
        <v>299</v>
      </c>
      <c r="W19">
        <f ca="1"/>
        <v>2</v>
      </c>
      <c r="X19" s="4">
        <f ca="1"/>
        <v>3</v>
      </c>
      <c r="Y19" s="4">
        <f ca="1"/>
        <v>0.1098901098901099</v>
      </c>
      <c r="Z19" s="4">
        <f ca="1"/>
        <v>97.554109890109885</v>
      </c>
      <c r="AA19" s="4">
        <f ca="1"/>
        <v>1.2564999999999873</v>
      </c>
      <c r="AE19" t="str">
        <f ca="1"/>
        <v>BX331425 Corp</v>
      </c>
      <c r="AF19" t="str">
        <f ca="1"/>
        <v>Japan Government Five Year Bond</v>
      </c>
      <c r="AG19" t="str">
        <f ca="1"/>
        <v>JGB</v>
      </c>
      <c r="AH19" t="str">
        <f ca="1"/>
        <v>JP</v>
      </c>
      <c r="AI19" t="str">
        <f ca="1"/>
        <v>JPY</v>
      </c>
      <c r="AJ19" t="str">
        <f ca="1"/>
        <v>20/03/2027</v>
      </c>
      <c r="AK19" t="str">
        <f ca="1"/>
        <v>FIXED</v>
      </c>
      <c r="AL19">
        <f ca="1"/>
        <v>2</v>
      </c>
      <c r="AM19">
        <f ca="1"/>
        <v>0.1</v>
      </c>
      <c r="AN19">
        <f ca="1"/>
        <v>0.99199999984008069</v>
      </c>
      <c r="AO19">
        <f ca="1"/>
        <v>1.0159999998234326</v>
      </c>
      <c r="AP19">
        <f ca="1"/>
        <v>99.096999999999994</v>
      </c>
      <c r="AQ19">
        <f ca="1"/>
        <v>99.072999999999993</v>
      </c>
      <c r="AR19" t="str">
        <f ca="1"/>
        <v>BX3314255</v>
      </c>
      <c r="AS19" t="str">
        <f ca="1"/>
        <v>JP1051521N69</v>
      </c>
      <c r="AT19" t="str">
        <f ca="1"/>
        <v>A+</v>
      </c>
      <c r="AU19">
        <f ca="1"/>
        <v>44726</v>
      </c>
      <c r="AV19">
        <f ca="1"/>
        <v>46101</v>
      </c>
      <c r="AW19">
        <f ca="1"/>
        <v>0.97193702943189597</v>
      </c>
      <c r="AX19">
        <f ca="1"/>
        <v>99.084999999999994</v>
      </c>
      <c r="AY19">
        <f ca="1"/>
        <v>67</v>
      </c>
      <c r="AZ19">
        <f ca="1"/>
        <v>0.5</v>
      </c>
      <c r="BA19">
        <f ca="1"/>
        <v>4</v>
      </c>
      <c r="BB19">
        <f ca="1"/>
        <v>0.10494505494505496</v>
      </c>
      <c r="BC19">
        <f ca="1"/>
        <v>98.980054945054945</v>
      </c>
      <c r="BD19">
        <f ca="1"/>
        <v>1.0039999998317566</v>
      </c>
    </row>
    <row r="20" spans="2:56" ht="12.75" x14ac:dyDescent="0.35">
      <c r="B20" t="str">
        <f ca="1"/>
        <v>ZI861660 Corp</v>
      </c>
      <c r="C20" t="str">
        <f ca="1"/>
        <v>Japan Government Five Year Bond</v>
      </c>
      <c r="D20" t="str">
        <f ca="1"/>
        <v>JGB</v>
      </c>
      <c r="E20" t="str">
        <f ca="1"/>
        <v>JP</v>
      </c>
      <c r="F20" t="str">
        <f ca="1"/>
        <v>JPY</v>
      </c>
      <c r="G20" t="str">
        <f ca="1"/>
        <v>20/06/2028</v>
      </c>
      <c r="H20" t="str">
        <f ca="1"/>
        <v>FIXED</v>
      </c>
      <c r="I20">
        <f ca="1"/>
        <v>2</v>
      </c>
      <c r="J20">
        <f ca="1"/>
        <v>0.3</v>
      </c>
      <c r="K20">
        <f ca="1"/>
        <v>1.2420000000000044</v>
      </c>
      <c r="L20">
        <f ca="1"/>
        <v>1.2669999999999921</v>
      </c>
      <c r="M20">
        <f ca="1"/>
        <v>97.915999999999997</v>
      </c>
      <c r="N20">
        <f ca="1"/>
        <v>97.861999999999995</v>
      </c>
      <c r="O20" t="str">
        <f ca="1"/>
        <v>ZI8616602</v>
      </c>
      <c r="P20" t="str">
        <f ca="1"/>
        <v>JP1051611P92</v>
      </c>
      <c r="Q20" t="str">
        <f ca="1"/>
        <v>A+</v>
      </c>
      <c r="R20" s="3">
        <f ca="1"/>
        <v>45174</v>
      </c>
      <c r="S20">
        <f ca="1"/>
        <v>46193</v>
      </c>
      <c r="T20">
        <f ca="1"/>
        <v>2.2258726899383983</v>
      </c>
      <c r="U20" s="4">
        <f ca="1"/>
        <v>97.888999999999996</v>
      </c>
      <c r="V20">
        <f ca="1"/>
        <v>300</v>
      </c>
      <c r="W20">
        <f ca="1"/>
        <v>2</v>
      </c>
      <c r="X20" s="4">
        <f ca="1"/>
        <v>3</v>
      </c>
      <c r="Y20" s="4">
        <f ca="1"/>
        <v>0.16483516483516483</v>
      </c>
      <c r="Z20" s="4">
        <f ca="1"/>
        <v>97.724164835164828</v>
      </c>
      <c r="AA20" s="4">
        <f ca="1"/>
        <v>1.2544999999999984</v>
      </c>
      <c r="AE20" t="str">
        <f ca="1"/>
        <v>AN821370 Corp</v>
      </c>
      <c r="AF20" t="str">
        <f ca="1"/>
        <v>Japan Government Ten Year Bond</v>
      </c>
      <c r="AG20" t="str">
        <f ca="1"/>
        <v>JGB</v>
      </c>
      <c r="AH20" t="str">
        <f ca="1"/>
        <v>JP</v>
      </c>
      <c r="AI20" t="str">
        <f ca="1"/>
        <v>JPY</v>
      </c>
      <c r="AJ20" t="str">
        <f ca="1"/>
        <v>20/06/2027</v>
      </c>
      <c r="AK20" t="str">
        <f ca="1"/>
        <v>FIXED</v>
      </c>
      <c r="AL20">
        <f ca="1"/>
        <v>2</v>
      </c>
      <c r="AM20">
        <f ca="1"/>
        <v>0.1</v>
      </c>
      <c r="AN20">
        <f ca="1"/>
        <v>1.0619999998705669</v>
      </c>
      <c r="AO20">
        <f ca="1"/>
        <v>1.0849999998590174</v>
      </c>
      <c r="AP20">
        <f ca="1"/>
        <v>98.79</v>
      </c>
      <c r="AQ20">
        <f ca="1"/>
        <v>98.762</v>
      </c>
      <c r="AR20" t="str">
        <f ca="1"/>
        <v>AN8213703</v>
      </c>
      <c r="AS20" t="str">
        <f ca="1"/>
        <v>JP1103471H66</v>
      </c>
      <c r="AT20" t="str">
        <f ca="1"/>
        <v>A+</v>
      </c>
      <c r="AU20">
        <f ca="1"/>
        <v>42887</v>
      </c>
      <c r="AV20">
        <f ca="1"/>
        <v>46193</v>
      </c>
      <c r="AW20">
        <f ca="1"/>
        <v>1.2238193018480492</v>
      </c>
      <c r="AX20">
        <f ca="1"/>
        <v>98.77600000000001</v>
      </c>
      <c r="AY20">
        <f ca="1"/>
        <v>8</v>
      </c>
      <c r="AZ20">
        <f ca="1"/>
        <v>1</v>
      </c>
      <c r="BA20">
        <f ca="1"/>
        <v>9</v>
      </c>
      <c r="BB20">
        <f ca="1"/>
        <v>5.4945054945054951E-2</v>
      </c>
      <c r="BC20">
        <f ca="1"/>
        <v>98.721054945054959</v>
      </c>
      <c r="BD20">
        <f ca="1"/>
        <v>1.0734999998647923</v>
      </c>
    </row>
    <row r="21" spans="2:56" ht="12.75" x14ac:dyDescent="0.35">
      <c r="B21" t="str">
        <f ca="1"/>
        <v>ZJ741523 Corp</v>
      </c>
      <c r="C21" t="str">
        <f ca="1"/>
        <v>Japan Government Five Year Bond</v>
      </c>
      <c r="D21" t="str">
        <f ca="1"/>
        <v>JGB</v>
      </c>
      <c r="E21" t="str">
        <f ca="1"/>
        <v>JP</v>
      </c>
      <c r="F21" t="str">
        <f ca="1"/>
        <v>JPY</v>
      </c>
      <c r="G21" t="str">
        <f ca="1"/>
        <v>20/06/2028</v>
      </c>
      <c r="H21" t="str">
        <f ca="1"/>
        <v>FIXED</v>
      </c>
      <c r="I21">
        <f ca="1"/>
        <v>2</v>
      </c>
      <c r="J21">
        <f ca="1"/>
        <v>0.1</v>
      </c>
      <c r="K21">
        <f ca="1"/>
        <v>1.2499999999999907</v>
      </c>
      <c r="L21">
        <f ca="1"/>
        <v>1.2700000000000102</v>
      </c>
      <c r="M21">
        <f ca="1"/>
        <v>97.456999999999994</v>
      </c>
      <c r="N21">
        <f ca="1"/>
        <v>97.414000000000001</v>
      </c>
      <c r="O21" t="str">
        <f ca="1"/>
        <v>ZJ7415236</v>
      </c>
      <c r="P21" t="str">
        <f ca="1"/>
        <v>JP1051591P70</v>
      </c>
      <c r="Q21" t="str">
        <f ca="1"/>
        <v>A+</v>
      </c>
      <c r="R21" s="3">
        <f ca="1"/>
        <v>45111</v>
      </c>
      <c r="S21">
        <f ca="1"/>
        <v>46193</v>
      </c>
      <c r="T21">
        <f ca="1"/>
        <v>2.2258726899383983</v>
      </c>
      <c r="U21" s="4">
        <f ca="1"/>
        <v>97.43549999999999</v>
      </c>
      <c r="V21">
        <f ca="1"/>
        <v>303</v>
      </c>
      <c r="W21">
        <f ca="1"/>
        <v>2</v>
      </c>
      <c r="X21" s="4">
        <f ca="1"/>
        <v>3</v>
      </c>
      <c r="Y21" s="4">
        <f ca="1"/>
        <v>5.4945054945054951E-2</v>
      </c>
      <c r="Z21" s="4">
        <f ca="1"/>
        <v>97.380554945054939</v>
      </c>
      <c r="AA21" s="4">
        <f ca="1"/>
        <v>1.2600000000000005</v>
      </c>
      <c r="AE21" t="str">
        <f ca="1"/>
        <v>BX810244 Corp</v>
      </c>
      <c r="AF21" t="str">
        <f ca="1"/>
        <v>Japan Government Five Year Bond</v>
      </c>
      <c r="AG21" t="str">
        <f ca="1"/>
        <v>JGB</v>
      </c>
      <c r="AH21" t="str">
        <f ca="1"/>
        <v>JP</v>
      </c>
      <c r="AI21" t="str">
        <f ca="1"/>
        <v>JPY</v>
      </c>
      <c r="AJ21" t="str">
        <f ca="1"/>
        <v>20/06/2027</v>
      </c>
      <c r="AK21" t="str">
        <f ca="1"/>
        <v>FIXED</v>
      </c>
      <c r="AL21">
        <f ca="1"/>
        <v>2</v>
      </c>
      <c r="AM21">
        <f ca="1"/>
        <v>5.0000000000000001E-3</v>
      </c>
      <c r="AN21">
        <f ca="1"/>
        <v>1.0599999998174168</v>
      </c>
      <c r="AO21">
        <f ca="1"/>
        <v>1.084999999801123</v>
      </c>
      <c r="AP21">
        <f ca="1"/>
        <v>98.673000000000002</v>
      </c>
      <c r="AQ21">
        <f ca="1"/>
        <v>98.641999999999996</v>
      </c>
      <c r="AR21" t="str">
        <f ca="1"/>
        <v>BX8102440</v>
      </c>
      <c r="AS21" t="str">
        <f ca="1"/>
        <v>JP1051531N75</v>
      </c>
      <c r="AT21" t="str">
        <f ca="1"/>
        <v>A+</v>
      </c>
      <c r="AU21">
        <f ca="1"/>
        <v>44747</v>
      </c>
      <c r="AV21">
        <f ca="1"/>
        <v>46193</v>
      </c>
      <c r="AW21">
        <f ca="1"/>
        <v>1.2238193018480492</v>
      </c>
      <c r="AX21">
        <f ca="1"/>
        <v>98.657499999999999</v>
      </c>
      <c r="AY21">
        <f ca="1"/>
        <v>70</v>
      </c>
      <c r="AZ21">
        <f ca="1"/>
        <v>1</v>
      </c>
      <c r="BA21">
        <f ca="1"/>
        <v>4</v>
      </c>
      <c r="BB21">
        <f ca="1"/>
        <v>2.7472527472527475E-3</v>
      </c>
      <c r="BC21">
        <f ca="1"/>
        <v>98.654752747252743</v>
      </c>
      <c r="BD21">
        <f ca="1"/>
        <v>1.0724999998092699</v>
      </c>
    </row>
    <row r="22" spans="2:56" ht="12.75" x14ac:dyDescent="0.35">
      <c r="B22" t="str">
        <f ca="1"/>
        <v>AU788839 Corp</v>
      </c>
      <c r="C22" t="str">
        <f ca="1"/>
        <v>Japan Government Ten Year Bond</v>
      </c>
      <c r="D22" t="str">
        <f ca="1"/>
        <v>JGB</v>
      </c>
      <c r="E22" t="str">
        <f ca="1"/>
        <v>JP</v>
      </c>
      <c r="F22" t="str">
        <f ca="1"/>
        <v>JPY</v>
      </c>
      <c r="G22" t="str">
        <f ca="1"/>
        <v>20/09/2028</v>
      </c>
      <c r="H22" t="str">
        <f ca="1"/>
        <v>FIXED</v>
      </c>
      <c r="I22">
        <f ca="1"/>
        <v>2</v>
      </c>
      <c r="J22">
        <f ca="1"/>
        <v>0.1</v>
      </c>
      <c r="K22">
        <f ca="1"/>
        <v>1.271999999999962</v>
      </c>
      <c r="L22">
        <f ca="1"/>
        <v>1.2949999999999675</v>
      </c>
      <c r="M22">
        <f ca="1"/>
        <v>97.131</v>
      </c>
      <c r="N22">
        <f ca="1"/>
        <v>97.076999999999998</v>
      </c>
      <c r="O22" t="str">
        <f ca="1"/>
        <v>AU7888392</v>
      </c>
      <c r="P22" t="str">
        <f ca="1"/>
        <v>JP1103521JA8</v>
      </c>
      <c r="Q22" t="str">
        <f ca="1"/>
        <v>A+</v>
      </c>
      <c r="R22" s="3">
        <f ca="1"/>
        <v>43375</v>
      </c>
      <c r="S22">
        <f ca="1"/>
        <v>46101</v>
      </c>
      <c r="T22">
        <f ca="1"/>
        <v>2.4777549623545516</v>
      </c>
      <c r="U22" s="4">
        <f ca="1"/>
        <v>97.103999999999999</v>
      </c>
      <c r="V22">
        <f ca="1"/>
        <v>24</v>
      </c>
      <c r="W22">
        <f ca="1"/>
        <v>2</v>
      </c>
      <c r="X22" s="4">
        <f ca="1"/>
        <v>8</v>
      </c>
      <c r="Y22" s="4">
        <f ca="1"/>
        <v>0.10494505494505496</v>
      </c>
      <c r="Z22" s="4">
        <f ca="1"/>
        <v>96.999054945054951</v>
      </c>
      <c r="AA22" s="4">
        <f ca="1"/>
        <v>1.2834999999999648</v>
      </c>
      <c r="AE22" t="str">
        <f ca="1"/>
        <v>AP027592 Corp</v>
      </c>
      <c r="AF22" t="str">
        <f ca="1"/>
        <v>Japan Government Ten Year Bond</v>
      </c>
      <c r="AG22" t="str">
        <f ca="1"/>
        <v>JGB</v>
      </c>
      <c r="AH22" t="str">
        <f ca="1"/>
        <v>JP</v>
      </c>
      <c r="AI22" t="str">
        <f ca="1"/>
        <v>JPY</v>
      </c>
      <c r="AJ22" t="str">
        <f ca="1"/>
        <v>20/09/2027</v>
      </c>
      <c r="AK22" t="str">
        <f ca="1"/>
        <v>FIXED</v>
      </c>
      <c r="AL22">
        <f ca="1"/>
        <v>2</v>
      </c>
      <c r="AM22">
        <f ca="1"/>
        <v>0.1</v>
      </c>
      <c r="AN22">
        <f ca="1"/>
        <v>1.1380000000000026</v>
      </c>
      <c r="AO22">
        <f ca="1"/>
        <v>1.161000000000008</v>
      </c>
      <c r="AP22">
        <f ca="1"/>
        <v>98.442999999999998</v>
      </c>
      <c r="AQ22">
        <f ca="1"/>
        <v>98.409000000000006</v>
      </c>
      <c r="AR22" t="str">
        <f ca="1"/>
        <v>AP0275929</v>
      </c>
      <c r="AS22" t="str">
        <f ca="1"/>
        <v>JP1103481H98</v>
      </c>
      <c r="AT22" t="str">
        <f ca="1"/>
        <v>A+</v>
      </c>
      <c r="AU22">
        <f ca="1"/>
        <v>42983</v>
      </c>
      <c r="AV22">
        <f ca="1"/>
        <v>46101</v>
      </c>
      <c r="AW22">
        <f ca="1"/>
        <v>1.4757015742642026</v>
      </c>
      <c r="AX22">
        <f ca="1"/>
        <v>98.426000000000002</v>
      </c>
      <c r="AY22">
        <f ca="1"/>
        <v>11</v>
      </c>
      <c r="AZ22">
        <f ca="1"/>
        <v>1</v>
      </c>
      <c r="BA22">
        <f ca="1"/>
        <v>9</v>
      </c>
      <c r="BB22">
        <f ca="1"/>
        <v>0.10494505494505496</v>
      </c>
      <c r="BC22">
        <f ca="1"/>
        <v>98.321054945054954</v>
      </c>
      <c r="BD22">
        <f ca="1"/>
        <v>1.1495000000000053</v>
      </c>
    </row>
    <row r="23" spans="2:56" ht="12.75" x14ac:dyDescent="0.35">
      <c r="B23" t="str">
        <f ca="1"/>
        <v>ZG134466 Corp</v>
      </c>
      <c r="C23" t="str">
        <f ca="1"/>
        <v>Japan Government Five Year Bond</v>
      </c>
      <c r="D23" t="str">
        <f ca="1"/>
        <v>JGB</v>
      </c>
      <c r="E23" t="str">
        <f ca="1"/>
        <v>JP</v>
      </c>
      <c r="F23" t="str">
        <f ca="1"/>
        <v>JPY</v>
      </c>
      <c r="G23" t="str">
        <f ca="1"/>
        <v>20/09/2028</v>
      </c>
      <c r="H23" t="str">
        <f ca="1"/>
        <v>FIXED</v>
      </c>
      <c r="I23">
        <f ca="1"/>
        <v>2</v>
      </c>
      <c r="J23">
        <f ca="1"/>
        <v>0.4</v>
      </c>
      <c r="K23">
        <f ca="1"/>
        <v>1.2739999999999967</v>
      </c>
      <c r="L23">
        <f ca="1"/>
        <v>1.2979999999999976</v>
      </c>
      <c r="M23">
        <f ca="1"/>
        <v>97.861000000000004</v>
      </c>
      <c r="N23">
        <f ca="1"/>
        <v>97.802999999999997</v>
      </c>
      <c r="O23" t="str">
        <f ca="1"/>
        <v>ZG1344669</v>
      </c>
      <c r="P23" t="str">
        <f ca="1"/>
        <v>JP1051631PB2</v>
      </c>
      <c r="Q23" t="str">
        <f ca="1"/>
        <v>A+</v>
      </c>
      <c r="R23" s="3">
        <f ca="1"/>
        <v>45237</v>
      </c>
      <c r="S23">
        <f ca="1"/>
        <v>46101</v>
      </c>
      <c r="T23">
        <f ca="1"/>
        <v>2.4777549623545516</v>
      </c>
      <c r="U23" s="4">
        <f ca="1"/>
        <v>97.831999999999994</v>
      </c>
      <c r="V23">
        <f ca="1"/>
        <v>294</v>
      </c>
      <c r="W23">
        <f ca="1"/>
        <v>2</v>
      </c>
      <c r="X23" s="4">
        <f ca="1"/>
        <v>3</v>
      </c>
      <c r="Y23" s="4">
        <f ca="1"/>
        <v>0.41978021978021984</v>
      </c>
      <c r="Z23" s="4">
        <f ca="1"/>
        <v>97.412219780219772</v>
      </c>
      <c r="AA23" s="4">
        <f ca="1"/>
        <v>1.2859999999999971</v>
      </c>
      <c r="AE23" t="str">
        <f ca="1"/>
        <v>BZ743105 Corp</v>
      </c>
      <c r="AF23" t="str">
        <f ca="1"/>
        <v>Japan Government Five Year Bond</v>
      </c>
      <c r="AG23" t="str">
        <f ca="1"/>
        <v>JGB</v>
      </c>
      <c r="AH23" t="str">
        <f ca="1"/>
        <v>JP</v>
      </c>
      <c r="AI23" t="str">
        <f ca="1"/>
        <v>JPY</v>
      </c>
      <c r="AJ23" t="str">
        <f ca="1"/>
        <v>20/09/2027</v>
      </c>
      <c r="AK23" t="str">
        <f ca="1"/>
        <v>FIXED</v>
      </c>
      <c r="AL23">
        <f ca="1"/>
        <v>2</v>
      </c>
      <c r="AM23">
        <f ca="1"/>
        <v>0.1</v>
      </c>
      <c r="AN23">
        <f ca="1"/>
        <v>1.1440000000000041</v>
      </c>
      <c r="AO23">
        <f ca="1"/>
        <v>1.1670000000000009</v>
      </c>
      <c r="AP23">
        <f ca="1"/>
        <v>98.433999999999997</v>
      </c>
      <c r="AQ23">
        <f ca="1"/>
        <v>98.4</v>
      </c>
      <c r="AR23" t="str">
        <f ca="1"/>
        <v>BZ7431050</v>
      </c>
      <c r="AS23" t="str">
        <f ca="1"/>
        <v>JP1051541NA0</v>
      </c>
      <c r="AT23" t="str">
        <f ca="1"/>
        <v>A+</v>
      </c>
      <c r="AU23">
        <f ca="1"/>
        <v>44841</v>
      </c>
      <c r="AV23">
        <f ca="1"/>
        <v>46101</v>
      </c>
      <c r="AW23">
        <f ca="1"/>
        <v>1.4757015742642026</v>
      </c>
      <c r="AX23">
        <f ca="1"/>
        <v>98.417000000000002</v>
      </c>
      <c r="AY23">
        <f ca="1"/>
        <v>74</v>
      </c>
      <c r="AZ23">
        <f ca="1"/>
        <v>1</v>
      </c>
      <c r="BA23">
        <f ca="1"/>
        <v>4</v>
      </c>
      <c r="BB23">
        <f ca="1"/>
        <v>0.10494505494505496</v>
      </c>
      <c r="BC23">
        <f ca="1"/>
        <v>98.312054945054953</v>
      </c>
      <c r="BD23">
        <f ca="1"/>
        <v>1.1555000000000026</v>
      </c>
    </row>
    <row r="24" spans="2:56" ht="12.75" x14ac:dyDescent="0.35">
      <c r="B24" t="str">
        <f ca="1"/>
        <v>ZH437639 Corp</v>
      </c>
      <c r="C24" t="str">
        <f ca="1"/>
        <v>Japan Government Five Year Bond</v>
      </c>
      <c r="D24" t="str">
        <f ca="1"/>
        <v>JGB</v>
      </c>
      <c r="E24" t="str">
        <f ca="1"/>
        <v>JP</v>
      </c>
      <c r="F24" t="str">
        <f ca="1"/>
        <v>JPY</v>
      </c>
      <c r="G24" t="str">
        <f ca="1"/>
        <v>20/09/2028</v>
      </c>
      <c r="H24" t="str">
        <f ca="1"/>
        <v>FIXED</v>
      </c>
      <c r="I24">
        <f ca="1"/>
        <v>2</v>
      </c>
      <c r="J24">
        <f ca="1"/>
        <v>0.3</v>
      </c>
      <c r="K24">
        <f ca="1"/>
        <v>1.2779999999999858</v>
      </c>
      <c r="L24">
        <f ca="1"/>
        <v>1.3009999999999848</v>
      </c>
      <c r="M24">
        <f ca="1"/>
        <v>97.605999999999995</v>
      </c>
      <c r="N24">
        <f ca="1"/>
        <v>97.551000000000002</v>
      </c>
      <c r="O24" t="str">
        <f ca="1"/>
        <v>ZH4376393</v>
      </c>
      <c r="P24" t="str">
        <f ca="1"/>
        <v>JP1051621PA5</v>
      </c>
      <c r="Q24" t="str">
        <f ca="1"/>
        <v>A+</v>
      </c>
      <c r="R24" s="3">
        <f ca="1"/>
        <v>45203</v>
      </c>
      <c r="S24">
        <f ca="1"/>
        <v>46101</v>
      </c>
      <c r="T24">
        <f ca="1"/>
        <v>2.4777549623545516</v>
      </c>
      <c r="U24" s="4">
        <f ca="1"/>
        <v>97.578499999999991</v>
      </c>
      <c r="V24">
        <f ca="1"/>
        <v>297</v>
      </c>
      <c r="W24">
        <f ca="1"/>
        <v>2</v>
      </c>
      <c r="X24" s="4">
        <f ca="1"/>
        <v>3</v>
      </c>
      <c r="Y24" s="4">
        <f ca="1"/>
        <v>0.31483516483516483</v>
      </c>
      <c r="Z24" s="4">
        <f ca="1"/>
        <v>97.263664835164832</v>
      </c>
      <c r="AA24" s="4">
        <f ca="1"/>
        <v>1.2894999999999852</v>
      </c>
      <c r="AE24" t="str">
        <f ca="1"/>
        <v>AQ307103 Corp</v>
      </c>
      <c r="AF24" t="str">
        <f ca="1"/>
        <v>Japan Government Ten Year Bond</v>
      </c>
      <c r="AG24" t="str">
        <f ca="1"/>
        <v>JGB</v>
      </c>
      <c r="AH24" t="str">
        <f ca="1"/>
        <v>JP</v>
      </c>
      <c r="AI24" t="str">
        <f ca="1"/>
        <v>JPY</v>
      </c>
      <c r="AJ24" t="str">
        <f ca="1"/>
        <v>20/12/2027</v>
      </c>
      <c r="AK24" t="str">
        <f ca="1"/>
        <v>FIXED</v>
      </c>
      <c r="AL24">
        <f ca="1"/>
        <v>2</v>
      </c>
      <c r="AM24">
        <f ca="1"/>
        <v>0.1</v>
      </c>
      <c r="AN24">
        <f ca="1"/>
        <v>1.1779999999999933</v>
      </c>
      <c r="AO24">
        <f ca="1"/>
        <v>1.2019999999999986</v>
      </c>
      <c r="AP24">
        <f ca="1"/>
        <v>98.125</v>
      </c>
      <c r="AQ24">
        <f ca="1"/>
        <v>98.084000000000003</v>
      </c>
      <c r="AR24" t="str">
        <f ca="1"/>
        <v>AQ3071034</v>
      </c>
      <c r="AS24" t="str">
        <f ca="1"/>
        <v>JP1103491HC4</v>
      </c>
      <c r="AT24" t="str">
        <f ca="1"/>
        <v>A+</v>
      </c>
      <c r="AU24">
        <f ca="1"/>
        <v>43074</v>
      </c>
      <c r="AV24">
        <f ca="1"/>
        <v>46193</v>
      </c>
      <c r="AW24">
        <f ca="1"/>
        <v>1.7248459958932238</v>
      </c>
      <c r="AX24">
        <f ca="1"/>
        <v>98.104500000000002</v>
      </c>
      <c r="AY24">
        <f ca="1"/>
        <v>14</v>
      </c>
      <c r="AZ24">
        <f ca="1"/>
        <v>1.5</v>
      </c>
      <c r="BA24">
        <f ca="1"/>
        <v>9</v>
      </c>
      <c r="BB24">
        <f ca="1"/>
        <v>5.4945054945054951E-2</v>
      </c>
      <c r="BC24">
        <f ca="1"/>
        <v>98.04955494505495</v>
      </c>
      <c r="BD24">
        <f ca="1"/>
        <v>1.1899999999999959</v>
      </c>
    </row>
    <row r="25" spans="2:56" ht="12.75" x14ac:dyDescent="0.35">
      <c r="B25" t="str">
        <f ca="1"/>
        <v>AW566680 Corp</v>
      </c>
      <c r="C25" t="str">
        <f ca="1"/>
        <v>Japan Government Ten Year Bond</v>
      </c>
      <c r="D25" t="str">
        <f ca="1"/>
        <v>JGB</v>
      </c>
      <c r="E25" t="str">
        <f ca="1"/>
        <v>JP</v>
      </c>
      <c r="F25" t="str">
        <f ca="1"/>
        <v>JPY</v>
      </c>
      <c r="G25" t="str">
        <f ca="1"/>
        <v>20/12/2028</v>
      </c>
      <c r="H25" t="str">
        <f ca="1"/>
        <v>FIXED</v>
      </c>
      <c r="I25">
        <f ca="1"/>
        <v>2</v>
      </c>
      <c r="J25">
        <f ca="1"/>
        <v>0.1</v>
      </c>
      <c r="K25">
        <f ca="1"/>
        <v>1.3219999999999656</v>
      </c>
      <c r="L25">
        <f ca="1"/>
        <v>1.3439999999999634</v>
      </c>
      <c r="M25">
        <f ca="1"/>
        <v>96.727999999999994</v>
      </c>
      <c r="N25">
        <f ca="1"/>
        <v>96.671000000000006</v>
      </c>
      <c r="O25" t="str">
        <f ca="1"/>
        <v>AW5666804</v>
      </c>
      <c r="P25" t="str">
        <f ca="1"/>
        <v>JP1103531K10</v>
      </c>
      <c r="Q25" t="str">
        <f ca="1"/>
        <v>A+</v>
      </c>
      <c r="R25" s="3">
        <f ca="1"/>
        <v>43473</v>
      </c>
      <c r="S25">
        <f ca="1"/>
        <v>46193</v>
      </c>
      <c r="T25">
        <f ca="1"/>
        <v>2.7268993839835729</v>
      </c>
      <c r="U25" s="4">
        <f ca="1"/>
        <v>96.6995</v>
      </c>
      <c r="V25">
        <f ca="1"/>
        <v>27</v>
      </c>
      <c r="W25">
        <f ca="1"/>
        <v>2.5</v>
      </c>
      <c r="X25" s="4">
        <f ca="1"/>
        <v>7</v>
      </c>
      <c r="Y25" s="4">
        <f ca="1"/>
        <v>5.4945054945054951E-2</v>
      </c>
      <c r="Z25" s="4">
        <f ca="1"/>
        <v>96.644554945054949</v>
      </c>
      <c r="AA25" s="4">
        <f ca="1"/>
        <v>1.3329999999999647</v>
      </c>
      <c r="AE25" t="str">
        <f ca="1"/>
        <v>ZL113533 Corp</v>
      </c>
      <c r="AF25" t="str">
        <f ca="1"/>
        <v>Japan Government Five Year Bond</v>
      </c>
      <c r="AG25" t="str">
        <f ca="1"/>
        <v>JGB</v>
      </c>
      <c r="AH25" t="str">
        <f ca="1"/>
        <v>JP</v>
      </c>
      <c r="AI25" t="str">
        <f ca="1"/>
        <v>JPY</v>
      </c>
      <c r="AJ25" t="str">
        <f ca="1"/>
        <v>20/12/2027</v>
      </c>
      <c r="AK25" t="str">
        <f ca="1"/>
        <v>FIXED</v>
      </c>
      <c r="AL25">
        <f ca="1"/>
        <v>2</v>
      </c>
      <c r="AM25">
        <f ca="1"/>
        <v>0.2</v>
      </c>
      <c r="AN25">
        <f ca="1"/>
        <v>1.1789999999999872</v>
      </c>
      <c r="AO25">
        <f ca="1"/>
        <v>1.2040000000000017</v>
      </c>
      <c r="AP25">
        <f ca="1"/>
        <v>98.296999999999997</v>
      </c>
      <c r="AQ25">
        <f ca="1"/>
        <v>98.254000000000005</v>
      </c>
      <c r="AR25" t="str">
        <f ca="1"/>
        <v>ZL1135330</v>
      </c>
      <c r="AS25" t="str">
        <f ca="1"/>
        <v>JP1051561P27</v>
      </c>
      <c r="AT25" t="str">
        <f ca="1"/>
        <v>A+</v>
      </c>
      <c r="AU25">
        <f ca="1"/>
        <v>44966</v>
      </c>
      <c r="AV25">
        <f ca="1"/>
        <v>46193</v>
      </c>
      <c r="AW25">
        <f ca="1"/>
        <v>1.7248459958932238</v>
      </c>
      <c r="AX25">
        <f ca="1"/>
        <v>98.275499999999994</v>
      </c>
      <c r="AY25">
        <f ca="1"/>
        <v>311</v>
      </c>
      <c r="AZ25">
        <f ca="1"/>
        <v>1.5</v>
      </c>
      <c r="BA25">
        <f ca="1"/>
        <v>3</v>
      </c>
      <c r="BB25">
        <f ca="1"/>
        <v>0.1098901098901099</v>
      </c>
      <c r="BC25">
        <f ca="1"/>
        <v>98.165609890109877</v>
      </c>
      <c r="BD25">
        <f ca="1"/>
        <v>1.1914999999999945</v>
      </c>
    </row>
    <row r="26" spans="2:56" ht="12.75" x14ac:dyDescent="0.35">
      <c r="B26" t="str">
        <f ca="1"/>
        <v>ZD338443 Corp</v>
      </c>
      <c r="C26" t="str">
        <f ca="1"/>
        <v>Japan Government Five Year Bond</v>
      </c>
      <c r="D26" t="str">
        <f ca="1"/>
        <v>JGB</v>
      </c>
      <c r="E26" t="str">
        <f ca="1"/>
        <v>JP</v>
      </c>
      <c r="F26" t="str">
        <f ca="1"/>
        <v>JPY</v>
      </c>
      <c r="G26" t="str">
        <f ca="1"/>
        <v>20/12/2028</v>
      </c>
      <c r="H26" t="str">
        <f ca="1"/>
        <v>FIXED</v>
      </c>
      <c r="I26">
        <f ca="1"/>
        <v>2</v>
      </c>
      <c r="J26">
        <f ca="1"/>
        <v>0.3</v>
      </c>
      <c r="K26">
        <f ca="1"/>
        <v>1.3179999999999865</v>
      </c>
      <c r="L26">
        <f ca="1"/>
        <v>1.3409999999999833</v>
      </c>
      <c r="M26">
        <f ca="1"/>
        <v>97.274000000000001</v>
      </c>
      <c r="N26">
        <f ca="1"/>
        <v>97.213999999999999</v>
      </c>
      <c r="O26" t="str">
        <f ca="1"/>
        <v>ZD3384439</v>
      </c>
      <c r="P26" t="str">
        <f ca="1"/>
        <v>JP1470011Q24</v>
      </c>
      <c r="Q26" t="str">
        <f ca="1"/>
        <v>A+</v>
      </c>
      <c r="R26" s="3">
        <f ca="1"/>
        <v>45342</v>
      </c>
      <c r="S26">
        <f ca="1"/>
        <v>46193</v>
      </c>
      <c r="T26">
        <f ca="1"/>
        <v>2.7268993839835729</v>
      </c>
      <c r="U26" s="4">
        <f ca="1"/>
        <v>97.244</v>
      </c>
      <c r="V26">
        <f ca="1"/>
        <v>287</v>
      </c>
      <c r="W26">
        <f ca="1"/>
        <v>2.5</v>
      </c>
      <c r="X26" s="4">
        <f ca="1"/>
        <v>2</v>
      </c>
      <c r="Y26" s="4">
        <f ca="1"/>
        <v>0.16483516483516483</v>
      </c>
      <c r="Z26" s="4">
        <f ca="1"/>
        <v>97.079164835164832</v>
      </c>
      <c r="AA26" s="4">
        <f ca="1"/>
        <v>1.3294999999999848</v>
      </c>
      <c r="AE26" t="str">
        <f ca="1"/>
        <v>ZM445143 Corp</v>
      </c>
      <c r="AF26" t="str">
        <f ca="1"/>
        <v>Japan Government Five Year Bond</v>
      </c>
      <c r="AG26" t="str">
        <f ca="1"/>
        <v>JGB</v>
      </c>
      <c r="AH26" t="str">
        <f ca="1"/>
        <v>JP</v>
      </c>
      <c r="AI26" t="str">
        <f ca="1"/>
        <v>JPY</v>
      </c>
      <c r="AJ26" t="str">
        <f ca="1"/>
        <v>20/12/2027</v>
      </c>
      <c r="AK26" t="str">
        <f ca="1"/>
        <v>FIXED</v>
      </c>
      <c r="AL26">
        <f ca="1"/>
        <v>2</v>
      </c>
      <c r="AM26">
        <f ca="1"/>
        <v>0.3</v>
      </c>
      <c r="AN26">
        <f ca="1"/>
        <v>1.1819999994167807</v>
      </c>
      <c r="AO26">
        <f ca="1"/>
        <v>1.2059999999999877</v>
      </c>
      <c r="AP26">
        <f ca="1"/>
        <v>98.465999999999994</v>
      </c>
      <c r="AQ26">
        <f ca="1"/>
        <v>98.424999999999997</v>
      </c>
      <c r="AR26" t="str">
        <f ca="1"/>
        <v>ZM4451435</v>
      </c>
      <c r="AS26" t="str">
        <f ca="1"/>
        <v>JP1051551P11</v>
      </c>
      <c r="AT26" t="str">
        <f ca="1"/>
        <v>A+</v>
      </c>
      <c r="AU26">
        <f ca="1"/>
        <v>44932</v>
      </c>
      <c r="AV26">
        <f ca="1"/>
        <v>46193</v>
      </c>
      <c r="AW26">
        <f ca="1"/>
        <v>1.7248459958932238</v>
      </c>
      <c r="AX26">
        <f ca="1"/>
        <v>98.445499999999996</v>
      </c>
      <c r="AY26">
        <f ca="1"/>
        <v>314</v>
      </c>
      <c r="AZ26">
        <f ca="1"/>
        <v>1.5</v>
      </c>
      <c r="BA26">
        <f ca="1"/>
        <v>3</v>
      </c>
      <c r="BB26">
        <f ca="1"/>
        <v>0.16483516483516483</v>
      </c>
      <c r="BC26">
        <f ca="1"/>
        <v>98.280664835164828</v>
      </c>
      <c r="BD26">
        <f ca="1"/>
        <v>1.1939999997083843</v>
      </c>
    </row>
    <row r="27" spans="2:56" ht="12.75" x14ac:dyDescent="0.35">
      <c r="B27" t="str">
        <f ca="1"/>
        <v>ZD670307 Corp</v>
      </c>
      <c r="C27" t="str">
        <f ca="1"/>
        <v>Japan Government Five Year Bond</v>
      </c>
      <c r="D27" t="str">
        <f ca="1"/>
        <v>JGB</v>
      </c>
      <c r="E27" t="str">
        <f ca="1"/>
        <v>JP</v>
      </c>
      <c r="F27" t="str">
        <f ca="1"/>
        <v>JPY</v>
      </c>
      <c r="G27" t="str">
        <f ca="1"/>
        <v>20/12/2028</v>
      </c>
      <c r="H27" t="str">
        <f ca="1"/>
        <v>FIXED</v>
      </c>
      <c r="I27">
        <f ca="1"/>
        <v>2</v>
      </c>
      <c r="J27">
        <f ca="1"/>
        <v>0.4</v>
      </c>
      <c r="K27">
        <f ca="1"/>
        <v>1.3199999999999934</v>
      </c>
      <c r="L27">
        <f ca="1"/>
        <v>1.3419999999999899</v>
      </c>
      <c r="M27">
        <f ca="1"/>
        <v>97.536000000000001</v>
      </c>
      <c r="N27">
        <f ca="1"/>
        <v>97.478999999999999</v>
      </c>
      <c r="O27" t="str">
        <f ca="1"/>
        <v>ZD6703072</v>
      </c>
      <c r="P27" t="str">
        <f ca="1"/>
        <v>JP1051661Q33</v>
      </c>
      <c r="Q27" t="str">
        <f ca="1"/>
        <v>A+</v>
      </c>
      <c r="R27" s="3">
        <f ca="1"/>
        <v>45356</v>
      </c>
      <c r="S27">
        <f ca="1"/>
        <v>46193</v>
      </c>
      <c r="T27">
        <f ca="1"/>
        <v>2.7268993839835729</v>
      </c>
      <c r="U27" s="4">
        <f ca="1"/>
        <v>97.507499999999993</v>
      </c>
      <c r="V27">
        <f ca="1"/>
        <v>288</v>
      </c>
      <c r="W27">
        <f ca="1"/>
        <v>2.5</v>
      </c>
      <c r="X27" s="4">
        <f ca="1"/>
        <v>2</v>
      </c>
      <c r="Y27" s="4">
        <f ca="1"/>
        <v>0.2197802197802198</v>
      </c>
      <c r="Z27" s="4">
        <f ca="1"/>
        <v>97.287719780219774</v>
      </c>
      <c r="AA27" s="4">
        <f ca="1"/>
        <v>1.3309999999999915</v>
      </c>
      <c r="AE27" t="str">
        <f ca="1"/>
        <v>AR545005 Corp</v>
      </c>
      <c r="AF27" t="str">
        <f ca="1"/>
        <v>Japan Government Ten Year Bond</v>
      </c>
      <c r="AG27" t="str">
        <f ca="1"/>
        <v>JGB</v>
      </c>
      <c r="AH27" t="str">
        <f ca="1"/>
        <v>JP</v>
      </c>
      <c r="AI27" t="str">
        <f ca="1"/>
        <v>JPY</v>
      </c>
      <c r="AJ27" t="str">
        <f ca="1"/>
        <v>20/03/2028</v>
      </c>
      <c r="AK27" t="str">
        <f ca="1"/>
        <v>FIXED</v>
      </c>
      <c r="AL27">
        <f ca="1"/>
        <v>2</v>
      </c>
      <c r="AM27">
        <f ca="1"/>
        <v>0.1</v>
      </c>
      <c r="AN27">
        <f ca="1"/>
        <v>1.2129999999999999</v>
      </c>
      <c r="AO27">
        <f ca="1"/>
        <v>1.2359999999999975</v>
      </c>
      <c r="AP27">
        <f ca="1"/>
        <v>97.802999999999997</v>
      </c>
      <c r="AQ27">
        <f ca="1"/>
        <v>97.759</v>
      </c>
      <c r="AR27" t="str">
        <f ca="1"/>
        <v>AR5450051</v>
      </c>
      <c r="AS27" t="str">
        <f ca="1"/>
        <v>JP1103501J35</v>
      </c>
      <c r="AT27" t="str">
        <f ca="1"/>
        <v>A+</v>
      </c>
      <c r="AU27">
        <f ca="1"/>
        <v>43160</v>
      </c>
      <c r="AV27">
        <f ca="1"/>
        <v>46101</v>
      </c>
      <c r="AW27">
        <f ca="1"/>
        <v>1.9739904175222451</v>
      </c>
      <c r="AX27">
        <f ca="1"/>
        <v>97.781000000000006</v>
      </c>
      <c r="AY27">
        <f ca="1"/>
        <v>17</v>
      </c>
      <c r="AZ27">
        <f ca="1"/>
        <v>1.5</v>
      </c>
      <c r="BA27">
        <f ca="1"/>
        <v>8</v>
      </c>
      <c r="BB27">
        <f ca="1"/>
        <v>0.10494505494505496</v>
      </c>
      <c r="BC27">
        <f ca="1"/>
        <v>97.676054945054958</v>
      </c>
      <c r="BD27">
        <f ca="1"/>
        <v>1.2244999999999986</v>
      </c>
    </row>
    <row r="28" spans="2:56" ht="12.75" x14ac:dyDescent="0.35">
      <c r="B28" t="str">
        <f ca="1"/>
        <v>ZF360535 Corp</v>
      </c>
      <c r="C28" t="str">
        <f ca="1"/>
        <v>Japan Government Five Year Bond</v>
      </c>
      <c r="D28" t="str">
        <f ca="1"/>
        <v>JGB</v>
      </c>
      <c r="E28" t="str">
        <f ca="1"/>
        <v>JP</v>
      </c>
      <c r="F28" t="str">
        <f ca="1"/>
        <v>JPY</v>
      </c>
      <c r="G28" t="str">
        <f ca="1"/>
        <v>20/12/2028</v>
      </c>
      <c r="H28" t="str">
        <f ca="1"/>
        <v>FIXED</v>
      </c>
      <c r="I28">
        <f ca="1"/>
        <v>2</v>
      </c>
      <c r="J28">
        <f ca="1"/>
        <v>0.2</v>
      </c>
      <c r="K28">
        <f ca="1"/>
        <v>1.3189999999999751</v>
      </c>
      <c r="L28">
        <f ca="1"/>
        <v>1.3389999999999702</v>
      </c>
      <c r="M28">
        <f ca="1"/>
        <v>97.004000000000005</v>
      </c>
      <c r="N28">
        <f ca="1"/>
        <v>96.951999999999998</v>
      </c>
      <c r="O28" t="str">
        <f ca="1"/>
        <v>ZF3605358</v>
      </c>
      <c r="P28" t="str">
        <f ca="1"/>
        <v>JP1051641Q12</v>
      </c>
      <c r="Q28" t="str">
        <f ca="1"/>
        <v>A+</v>
      </c>
      <c r="R28" s="3">
        <f ca="1"/>
        <v>45300</v>
      </c>
      <c r="S28">
        <f ca="1"/>
        <v>46193</v>
      </c>
      <c r="T28">
        <f ca="1"/>
        <v>2.7268993839835729</v>
      </c>
      <c r="U28" s="4">
        <f ca="1"/>
        <v>96.978000000000009</v>
      </c>
      <c r="V28">
        <f ca="1"/>
        <v>291</v>
      </c>
      <c r="W28">
        <f ca="1"/>
        <v>2.5</v>
      </c>
      <c r="X28" s="4">
        <f ca="1"/>
        <v>2</v>
      </c>
      <c r="Y28" s="4">
        <f ca="1"/>
        <v>0.1098901098901099</v>
      </c>
      <c r="Z28" s="4">
        <f ca="1"/>
        <v>96.868109890109892</v>
      </c>
      <c r="AA28" s="4">
        <f ca="1"/>
        <v>1.3289999999999726</v>
      </c>
      <c r="AE28" t="str">
        <f ca="1"/>
        <v>ZK140252 Corp</v>
      </c>
      <c r="AF28" t="str">
        <f ca="1"/>
        <v>Japan Government Five Year Bond</v>
      </c>
      <c r="AG28" t="str">
        <f ca="1"/>
        <v>JGB</v>
      </c>
      <c r="AH28" t="str">
        <f ca="1"/>
        <v>JP</v>
      </c>
      <c r="AI28" t="str">
        <f ca="1"/>
        <v>JPY</v>
      </c>
      <c r="AJ28" t="str">
        <f ca="1"/>
        <v>20/03/2028</v>
      </c>
      <c r="AK28" t="str">
        <f ca="1"/>
        <v>FIXED</v>
      </c>
      <c r="AL28">
        <f ca="1"/>
        <v>2</v>
      </c>
      <c r="AM28">
        <f ca="1"/>
        <v>0.2</v>
      </c>
      <c r="AN28">
        <f ca="1"/>
        <v>1.215000000000001</v>
      </c>
      <c r="AO28">
        <f ca="1"/>
        <v>1.2390000000000001</v>
      </c>
      <c r="AP28">
        <f ca="1"/>
        <v>97.995999999999995</v>
      </c>
      <c r="AQ28">
        <f ca="1"/>
        <v>97.95</v>
      </c>
      <c r="AR28" t="str">
        <f ca="1"/>
        <v>ZK1402526</v>
      </c>
      <c r="AS28" t="str">
        <f ca="1"/>
        <v>JP1051571P41</v>
      </c>
      <c r="AT28" t="str">
        <f ca="1"/>
        <v>A+</v>
      </c>
      <c r="AU28">
        <f ca="1"/>
        <v>45020</v>
      </c>
      <c r="AV28">
        <f ca="1"/>
        <v>46101</v>
      </c>
      <c r="AW28">
        <f ca="1"/>
        <v>1.9739904175222451</v>
      </c>
      <c r="AX28">
        <f ca="1"/>
        <v>97.972999999999999</v>
      </c>
      <c r="AY28">
        <f ca="1"/>
        <v>307</v>
      </c>
      <c r="AZ28">
        <f ca="1"/>
        <v>1.5</v>
      </c>
      <c r="BA28">
        <f ca="1"/>
        <v>3</v>
      </c>
      <c r="BB28">
        <f ca="1"/>
        <v>0.20989010989010992</v>
      </c>
      <c r="BC28">
        <f ca="1"/>
        <v>97.763109890109888</v>
      </c>
      <c r="BD28">
        <f ca="1"/>
        <v>1.2270000000000005</v>
      </c>
    </row>
    <row r="29" spans="2:56" ht="12.75" x14ac:dyDescent="0.35">
      <c r="B29" t="str">
        <f ca="1"/>
        <v>ZF953600 Corp</v>
      </c>
      <c r="C29" t="str">
        <f ca="1"/>
        <v>Japan Government Five Year Bond</v>
      </c>
      <c r="D29" t="str">
        <f ca="1"/>
        <v>JGB</v>
      </c>
      <c r="E29" t="str">
        <f ca="1"/>
        <v>JP</v>
      </c>
      <c r="F29" t="str">
        <f ca="1"/>
        <v>JPY</v>
      </c>
      <c r="G29" t="str">
        <f ca="1"/>
        <v>20/12/2028</v>
      </c>
      <c r="H29" t="str">
        <f ca="1"/>
        <v>FIXED</v>
      </c>
      <c r="I29">
        <f ca="1"/>
        <v>2</v>
      </c>
      <c r="J29">
        <f ca="1"/>
        <v>0.3</v>
      </c>
      <c r="K29">
        <f ca="1"/>
        <v>1.3189999999999882</v>
      </c>
      <c r="L29">
        <f ca="1"/>
        <v>1.3399999999999825</v>
      </c>
      <c r="M29">
        <f ca="1"/>
        <v>97.271000000000001</v>
      </c>
      <c r="N29">
        <f ca="1"/>
        <v>97.216999999999999</v>
      </c>
      <c r="O29" t="str">
        <f ca="1"/>
        <v>ZF9536003</v>
      </c>
      <c r="P29" t="str">
        <f ca="1"/>
        <v>JP1051651Q27</v>
      </c>
      <c r="Q29" t="str">
        <f ca="1"/>
        <v>A+</v>
      </c>
      <c r="R29" s="3">
        <f ca="1"/>
        <v>45324</v>
      </c>
      <c r="S29">
        <f ca="1"/>
        <v>46193</v>
      </c>
      <c r="T29">
        <f ca="1"/>
        <v>2.7268993839835729</v>
      </c>
      <c r="U29" s="4">
        <f ca="1"/>
        <v>97.244</v>
      </c>
      <c r="V29">
        <f ca="1"/>
        <v>293</v>
      </c>
      <c r="W29">
        <f ca="1"/>
        <v>2.5</v>
      </c>
      <c r="X29" s="4">
        <f ca="1"/>
        <v>2</v>
      </c>
      <c r="Y29" s="4">
        <f ca="1"/>
        <v>0.16483516483516483</v>
      </c>
      <c r="Z29" s="4">
        <f ca="1"/>
        <v>97.079164835164832</v>
      </c>
      <c r="AA29" s="4">
        <f ca="1"/>
        <v>1.3294999999999852</v>
      </c>
      <c r="AE29" t="str">
        <f ca="1"/>
        <v>ZK645188 Corp</v>
      </c>
      <c r="AF29" t="str">
        <f ca="1"/>
        <v>Japan Government Five Year Bond</v>
      </c>
      <c r="AG29" t="str">
        <f ca="1"/>
        <v>JGB</v>
      </c>
      <c r="AH29" t="str">
        <f ca="1"/>
        <v>JP</v>
      </c>
      <c r="AI29" t="str">
        <f ca="1"/>
        <v>JPY</v>
      </c>
      <c r="AJ29" t="str">
        <f ca="1"/>
        <v>20/03/2028</v>
      </c>
      <c r="AK29" t="str">
        <f ca="1"/>
        <v>FIXED</v>
      </c>
      <c r="AL29">
        <f ca="1"/>
        <v>2</v>
      </c>
      <c r="AM29">
        <f ca="1"/>
        <v>0.1</v>
      </c>
      <c r="AN29">
        <f ca="1"/>
        <v>1.2159999999999946</v>
      </c>
      <c r="AO29">
        <f ca="1"/>
        <v>1.2400000000000002</v>
      </c>
      <c r="AP29">
        <f ca="1"/>
        <v>97.796999999999997</v>
      </c>
      <c r="AQ29">
        <f ca="1"/>
        <v>97.751000000000005</v>
      </c>
      <c r="AR29" t="str">
        <f ca="1"/>
        <v>ZK6451882</v>
      </c>
      <c r="AS29" t="str">
        <f ca="1"/>
        <v>JP1051581P56</v>
      </c>
      <c r="AT29" t="str">
        <f ca="1"/>
        <v>A+</v>
      </c>
      <c r="AU29">
        <f ca="1"/>
        <v>45054</v>
      </c>
      <c r="AV29">
        <f ca="1"/>
        <v>46101</v>
      </c>
      <c r="AW29">
        <f ca="1"/>
        <v>1.9739904175222451</v>
      </c>
      <c r="AX29">
        <f ca="1"/>
        <v>97.774000000000001</v>
      </c>
      <c r="AY29">
        <f ca="1"/>
        <v>309</v>
      </c>
      <c r="AZ29">
        <f ca="1"/>
        <v>1.5</v>
      </c>
      <c r="BA29">
        <f ca="1"/>
        <v>3</v>
      </c>
      <c r="BB29">
        <f ca="1"/>
        <v>0.10494505494505496</v>
      </c>
      <c r="BC29">
        <f ca="1"/>
        <v>97.669054945054953</v>
      </c>
      <c r="BD29">
        <f ca="1"/>
        <v>1.2279999999999975</v>
      </c>
    </row>
    <row r="30" spans="2:56" ht="12.75" x14ac:dyDescent="0.35">
      <c r="B30" t="str">
        <f ca="1"/>
        <v>AX991345 Corp</v>
      </c>
      <c r="C30" t="str">
        <f ca="1"/>
        <v>Japan Government Ten Year Bond</v>
      </c>
      <c r="D30" t="str">
        <f ca="1"/>
        <v>JGB</v>
      </c>
      <c r="E30" t="str">
        <f ca="1"/>
        <v>JP</v>
      </c>
      <c r="F30" t="str">
        <f ca="1"/>
        <v>JPY</v>
      </c>
      <c r="G30" t="str">
        <f ca="1"/>
        <v>20/03/2029</v>
      </c>
      <c r="H30" t="str">
        <f ca="1"/>
        <v>FIXED</v>
      </c>
      <c r="I30">
        <f ca="1"/>
        <v>2</v>
      </c>
      <c r="J30">
        <f ca="1"/>
        <v>0.1</v>
      </c>
      <c r="K30">
        <f ca="1"/>
        <v>1.3659999999997967</v>
      </c>
      <c r="L30">
        <f ca="1"/>
        <v>1.387999999999769</v>
      </c>
      <c r="M30">
        <f ca="1"/>
        <v>96.325000000000003</v>
      </c>
      <c r="N30">
        <f ca="1"/>
        <v>96.263999999999996</v>
      </c>
      <c r="O30" t="str">
        <f ca="1"/>
        <v>AX9913457</v>
      </c>
      <c r="P30" t="str">
        <f ca="1"/>
        <v>JP1103541K42</v>
      </c>
      <c r="Q30" t="str">
        <f ca="1"/>
        <v>A+</v>
      </c>
      <c r="R30" s="3">
        <f ca="1"/>
        <v>43557</v>
      </c>
      <c r="S30">
        <f ca="1"/>
        <v>46101</v>
      </c>
      <c r="T30">
        <f ca="1"/>
        <v>2.9733059548254621</v>
      </c>
      <c r="U30" s="4">
        <f ca="1"/>
        <v>96.294499999999999</v>
      </c>
      <c r="V30">
        <f ca="1"/>
        <v>30</v>
      </c>
      <c r="W30">
        <f ca="1"/>
        <v>2.5</v>
      </c>
      <c r="X30" s="4">
        <f ca="1"/>
        <v>7</v>
      </c>
      <c r="Y30" s="4">
        <f ca="1"/>
        <v>0.10494505494505496</v>
      </c>
      <c r="Z30" s="4">
        <f ca="1"/>
        <v>96.189554945054951</v>
      </c>
      <c r="AA30" s="4">
        <f ca="1"/>
        <v>1.3769999999997828</v>
      </c>
      <c r="AE30" t="str">
        <f ca="1"/>
        <v>AT427280 Corp</v>
      </c>
      <c r="AF30" t="str">
        <f ca="1"/>
        <v>Japan Government Ten Year Bond</v>
      </c>
      <c r="AG30" t="str">
        <f ca="1"/>
        <v>JGB</v>
      </c>
      <c r="AH30" t="str">
        <f ca="1"/>
        <v>JP</v>
      </c>
      <c r="AI30" t="str">
        <f ca="1"/>
        <v>JPY</v>
      </c>
      <c r="AJ30" t="str">
        <f ca="1"/>
        <v>20/06/2028</v>
      </c>
      <c r="AK30" t="str">
        <f ca="1"/>
        <v>FIXED</v>
      </c>
      <c r="AL30">
        <f ca="1"/>
        <v>2</v>
      </c>
      <c r="AM30">
        <f ca="1"/>
        <v>0.1</v>
      </c>
      <c r="AN30">
        <f ca="1"/>
        <v>1.2409999999999946</v>
      </c>
      <c r="AO30">
        <f ca="1"/>
        <v>1.2620000000000002</v>
      </c>
      <c r="AP30">
        <f ca="1"/>
        <v>97.475999999999999</v>
      </c>
      <c r="AQ30">
        <f ca="1"/>
        <v>97.430999999999997</v>
      </c>
      <c r="AR30" t="str">
        <f ca="1"/>
        <v>AT4272809</v>
      </c>
      <c r="AS30" t="str">
        <f ca="1"/>
        <v>JP1103511J74</v>
      </c>
      <c r="AT30" t="str">
        <f ca="1"/>
        <v>A+</v>
      </c>
      <c r="AU30">
        <f ca="1"/>
        <v>43284</v>
      </c>
      <c r="AV30">
        <f ca="1"/>
        <v>46193</v>
      </c>
      <c r="AW30">
        <f ca="1"/>
        <v>2.2258726899383983</v>
      </c>
      <c r="AX30">
        <f ca="1"/>
        <v>97.453499999999991</v>
      </c>
      <c r="AY30">
        <f ca="1"/>
        <v>21</v>
      </c>
      <c r="AZ30">
        <f ca="1"/>
        <v>2</v>
      </c>
      <c r="BA30">
        <f ca="1"/>
        <v>8</v>
      </c>
      <c r="BB30">
        <f ca="1"/>
        <v>5.4945054945054951E-2</v>
      </c>
      <c r="BC30">
        <f ca="1"/>
        <v>97.39855494505494</v>
      </c>
      <c r="BD30">
        <f ca="1"/>
        <v>1.2514999999999974</v>
      </c>
    </row>
    <row r="31" spans="2:56" ht="12.75" x14ac:dyDescent="0.35">
      <c r="B31" t="str">
        <f ca="1"/>
        <v>ZB309355 Corp</v>
      </c>
      <c r="C31" t="str">
        <f ca="1"/>
        <v>Japan Government Five Year Bond</v>
      </c>
      <c r="D31" t="str">
        <f ca="1"/>
        <v>JGB</v>
      </c>
      <c r="E31" t="str">
        <f ca="1"/>
        <v>JP</v>
      </c>
      <c r="F31" t="str">
        <f ca="1"/>
        <v>JPY</v>
      </c>
      <c r="G31" t="str">
        <f ca="1"/>
        <v>20/03/2029</v>
      </c>
      <c r="H31" t="str">
        <f ca="1"/>
        <v>FIXED</v>
      </c>
      <c r="I31">
        <f ca="1"/>
        <v>2</v>
      </c>
      <c r="J31">
        <f ca="1"/>
        <v>0.4</v>
      </c>
      <c r="K31">
        <f ca="1"/>
        <v>1.3629999999999627</v>
      </c>
      <c r="L31">
        <f ca="1"/>
        <v>1.3839999999999646</v>
      </c>
      <c r="M31">
        <f ca="1"/>
        <v>97.204999999999998</v>
      </c>
      <c r="N31">
        <f ca="1"/>
        <v>97.144999999999996</v>
      </c>
      <c r="O31" t="str">
        <f ca="1"/>
        <v>ZB3093554</v>
      </c>
      <c r="P31" t="str">
        <f ca="1"/>
        <v>JP1051671Q49</v>
      </c>
      <c r="Q31" t="str">
        <f ca="1"/>
        <v>A+</v>
      </c>
      <c r="R31" s="3">
        <f ca="1"/>
        <v>45384</v>
      </c>
      <c r="S31">
        <f ca="1"/>
        <v>46101</v>
      </c>
      <c r="T31">
        <f ca="1"/>
        <v>2.9733059548254621</v>
      </c>
      <c r="U31" s="4">
        <f ca="1"/>
        <v>97.174999999999997</v>
      </c>
      <c r="V31">
        <f ca="1"/>
        <v>283</v>
      </c>
      <c r="W31">
        <f ca="1"/>
        <v>2.5</v>
      </c>
      <c r="X31" s="4">
        <f ca="1"/>
        <v>2</v>
      </c>
      <c r="Y31" s="4">
        <f ca="1"/>
        <v>0.41978021978021984</v>
      </c>
      <c r="Z31" s="4">
        <f ca="1"/>
        <v>96.755219780219775</v>
      </c>
      <c r="AA31" s="4">
        <f ca="1"/>
        <v>1.3734999999999635</v>
      </c>
      <c r="AE31" t="str">
        <f ca="1"/>
        <v>ZI391344 Corp</v>
      </c>
      <c r="AF31" t="str">
        <f ca="1"/>
        <v>Japan Government Five Year Bond</v>
      </c>
      <c r="AG31" t="str">
        <f ca="1"/>
        <v>JGB</v>
      </c>
      <c r="AH31" t="str">
        <f ca="1"/>
        <v>JP</v>
      </c>
      <c r="AI31" t="str">
        <f ca="1"/>
        <v>JPY</v>
      </c>
      <c r="AJ31" t="str">
        <f ca="1"/>
        <v>20/06/2028</v>
      </c>
      <c r="AK31" t="str">
        <f ca="1"/>
        <v>FIXED</v>
      </c>
      <c r="AL31">
        <f ca="1"/>
        <v>2</v>
      </c>
      <c r="AM31">
        <f ca="1"/>
        <v>0.2</v>
      </c>
      <c r="AN31">
        <f ca="1"/>
        <v>1.2439999999999851</v>
      </c>
      <c r="AO31">
        <f ca="1"/>
        <v>1.2689999999999895</v>
      </c>
      <c r="AP31">
        <f ca="1"/>
        <v>97.691000000000003</v>
      </c>
      <c r="AQ31">
        <f ca="1"/>
        <v>97.637</v>
      </c>
      <c r="AR31" t="str">
        <f ca="1"/>
        <v>ZI3913442</v>
      </c>
      <c r="AS31" t="str">
        <f ca="1"/>
        <v>JP1051601P86</v>
      </c>
      <c r="AT31" t="str">
        <f ca="1"/>
        <v>A+</v>
      </c>
      <c r="AU31">
        <f ca="1"/>
        <v>45146</v>
      </c>
      <c r="AV31">
        <f ca="1"/>
        <v>46193</v>
      </c>
      <c r="AW31">
        <f ca="1"/>
        <v>2.2258726899383983</v>
      </c>
      <c r="AX31">
        <f ca="1"/>
        <v>97.664000000000001</v>
      </c>
      <c r="AY31">
        <f ca="1"/>
        <v>299</v>
      </c>
      <c r="AZ31">
        <f ca="1"/>
        <v>2</v>
      </c>
      <c r="BA31">
        <f ca="1"/>
        <v>3</v>
      </c>
      <c r="BB31">
        <f ca="1"/>
        <v>0.1098901098901099</v>
      </c>
      <c r="BC31">
        <f ca="1"/>
        <v>97.554109890109885</v>
      </c>
      <c r="BD31">
        <f ca="1"/>
        <v>1.2564999999999873</v>
      </c>
    </row>
    <row r="32" spans="2:56" ht="12.75" x14ac:dyDescent="0.35">
      <c r="B32" t="str">
        <f ca="1"/>
        <v>AZ459860 Corp</v>
      </c>
      <c r="C32" t="str">
        <f ca="1"/>
        <v>Japan Government Ten Year Bond</v>
      </c>
      <c r="D32" t="str">
        <f ca="1"/>
        <v>JGB</v>
      </c>
      <c r="E32" t="str">
        <f ca="1"/>
        <v>JP</v>
      </c>
      <c r="F32" t="str">
        <f ca="1"/>
        <v>JPY</v>
      </c>
      <c r="G32" t="str">
        <f ca="1"/>
        <v>20/06/2029</v>
      </c>
      <c r="H32" t="str">
        <f ca="1"/>
        <v>FIXED</v>
      </c>
      <c r="I32">
        <f ca="1"/>
        <v>2</v>
      </c>
      <c r="J32">
        <f ca="1"/>
        <v>0.1</v>
      </c>
      <c r="K32">
        <f ca="1"/>
        <v>1.4159999999997692</v>
      </c>
      <c r="L32">
        <f ca="1"/>
        <v>1.439999999999745</v>
      </c>
      <c r="M32">
        <f ca="1"/>
        <v>95.882000000000005</v>
      </c>
      <c r="N32">
        <f ca="1"/>
        <v>95.81</v>
      </c>
      <c r="O32" t="str">
        <f ca="1"/>
        <v>AZ4598605</v>
      </c>
      <c r="P32" t="str">
        <f ca="1"/>
        <v>JP1103551K72</v>
      </c>
      <c r="Q32" t="str">
        <f ca="1"/>
        <v>A+</v>
      </c>
      <c r="R32" s="3">
        <f ca="1"/>
        <v>43648</v>
      </c>
      <c r="S32">
        <f ca="1"/>
        <v>46193</v>
      </c>
      <c r="T32">
        <f ca="1"/>
        <v>3.2251882272416155</v>
      </c>
      <c r="U32" s="4">
        <f ca="1"/>
        <v>95.846000000000004</v>
      </c>
      <c r="V32">
        <f ca="1"/>
        <v>31</v>
      </c>
      <c r="W32">
        <f ca="1"/>
        <v>3</v>
      </c>
      <c r="X32" s="4">
        <f ca="1"/>
        <v>7</v>
      </c>
      <c r="Y32" s="4">
        <f ca="1"/>
        <v>5.4945054945054951E-2</v>
      </c>
      <c r="Z32" s="4">
        <f ca="1"/>
        <v>95.791054945054952</v>
      </c>
      <c r="AA32" s="4">
        <f ca="1"/>
        <v>1.427999999999757</v>
      </c>
      <c r="AE32" t="str">
        <f ca="1"/>
        <v>ZI861660 Corp</v>
      </c>
      <c r="AF32" t="str">
        <f ca="1"/>
        <v>Japan Government Five Year Bond</v>
      </c>
      <c r="AG32" t="str">
        <f ca="1"/>
        <v>JGB</v>
      </c>
      <c r="AH32" t="str">
        <f ca="1"/>
        <v>JP</v>
      </c>
      <c r="AI32" t="str">
        <f ca="1"/>
        <v>JPY</v>
      </c>
      <c r="AJ32" t="str">
        <f ca="1"/>
        <v>20/06/2028</v>
      </c>
      <c r="AK32" t="str">
        <f ca="1"/>
        <v>FIXED</v>
      </c>
      <c r="AL32">
        <f ca="1"/>
        <v>2</v>
      </c>
      <c r="AM32">
        <f ca="1"/>
        <v>0.3</v>
      </c>
      <c r="AN32">
        <f ca="1"/>
        <v>1.2420000000000044</v>
      </c>
      <c r="AO32">
        <f ca="1"/>
        <v>1.2669999999999921</v>
      </c>
      <c r="AP32">
        <f ca="1"/>
        <v>97.915999999999997</v>
      </c>
      <c r="AQ32">
        <f ca="1"/>
        <v>97.861999999999995</v>
      </c>
      <c r="AR32" t="str">
        <f ca="1"/>
        <v>ZI8616602</v>
      </c>
      <c r="AS32" t="str">
        <f ca="1"/>
        <v>JP1051611P92</v>
      </c>
      <c r="AT32" t="str">
        <f ca="1"/>
        <v>A+</v>
      </c>
      <c r="AU32">
        <f ca="1"/>
        <v>45174</v>
      </c>
      <c r="AV32">
        <f ca="1"/>
        <v>46193</v>
      </c>
      <c r="AW32">
        <f ca="1"/>
        <v>2.2258726899383983</v>
      </c>
      <c r="AX32">
        <f ca="1"/>
        <v>97.888999999999996</v>
      </c>
      <c r="AY32">
        <f ca="1"/>
        <v>300</v>
      </c>
      <c r="AZ32">
        <f ca="1"/>
        <v>2</v>
      </c>
      <c r="BA32">
        <f ca="1"/>
        <v>3</v>
      </c>
      <c r="BB32">
        <f ca="1"/>
        <v>0.16483516483516483</v>
      </c>
      <c r="BC32">
        <f ca="1"/>
        <v>97.724164835164828</v>
      </c>
      <c r="BD32">
        <f ca="1"/>
        <v>1.2544999999999984</v>
      </c>
    </row>
    <row r="33" spans="2:56" ht="12.75" x14ac:dyDescent="0.35">
      <c r="B33" t="str">
        <f ca="1"/>
        <v>YV146917 Corp</v>
      </c>
      <c r="C33" t="str">
        <f ca="1"/>
        <v>Japan Government Five Year Bond</v>
      </c>
      <c r="D33" t="str">
        <f ca="1"/>
        <v>JGB</v>
      </c>
      <c r="E33" t="str">
        <f ca="1"/>
        <v>JP</v>
      </c>
      <c r="F33" t="str">
        <f ca="1"/>
        <v>JPY</v>
      </c>
      <c r="G33" t="str">
        <f ca="1"/>
        <v>20/06/2029</v>
      </c>
      <c r="H33" t="str">
        <f ca="1"/>
        <v>FIXED</v>
      </c>
      <c r="I33">
        <f ca="1"/>
        <v>2</v>
      </c>
      <c r="J33">
        <f ca="1"/>
        <v>0.4</v>
      </c>
      <c r="K33">
        <f ca="1"/>
        <v>1.4129999999999545</v>
      </c>
      <c r="L33">
        <f ca="1"/>
        <v>1.432999999999951</v>
      </c>
      <c r="M33">
        <f ca="1"/>
        <v>96.83</v>
      </c>
      <c r="N33">
        <f ca="1"/>
        <v>96.769000000000005</v>
      </c>
      <c r="O33" t="str">
        <f ca="1"/>
        <v>YV1469175</v>
      </c>
      <c r="P33" t="str">
        <f ca="1"/>
        <v>JP1051711Q82</v>
      </c>
      <c r="Q33" t="str">
        <f ca="1"/>
        <v>A+</v>
      </c>
      <c r="R33" s="3">
        <f ca="1"/>
        <v>45511</v>
      </c>
      <c r="S33">
        <f ca="1"/>
        <v>46193</v>
      </c>
      <c r="T33">
        <f ca="1"/>
        <v>3.2251882272416155</v>
      </c>
      <c r="U33" s="4">
        <f ca="1"/>
        <v>96.799499999999995</v>
      </c>
      <c r="V33">
        <f ca="1"/>
        <v>265</v>
      </c>
      <c r="W33">
        <f ca="1"/>
        <v>3</v>
      </c>
      <c r="X33" s="4">
        <f ca="1"/>
        <v>2</v>
      </c>
      <c r="Y33" s="4">
        <f ca="1"/>
        <v>0.2197802197802198</v>
      </c>
      <c r="Z33" s="4">
        <f ca="1"/>
        <v>96.579719780219776</v>
      </c>
      <c r="AA33" s="4">
        <f ca="1"/>
        <v>1.4229999999999527</v>
      </c>
      <c r="AE33" t="str">
        <f ca="1"/>
        <v>ZJ741523 Corp</v>
      </c>
      <c r="AF33" t="str">
        <f ca="1"/>
        <v>Japan Government Five Year Bond</v>
      </c>
      <c r="AG33" t="str">
        <f ca="1"/>
        <v>JGB</v>
      </c>
      <c r="AH33" t="str">
        <f ca="1"/>
        <v>JP</v>
      </c>
      <c r="AI33" t="str">
        <f ca="1"/>
        <v>JPY</v>
      </c>
      <c r="AJ33" t="str">
        <f ca="1"/>
        <v>20/06/2028</v>
      </c>
      <c r="AK33" t="str">
        <f ca="1"/>
        <v>FIXED</v>
      </c>
      <c r="AL33">
        <f ca="1"/>
        <v>2</v>
      </c>
      <c r="AM33">
        <f ca="1"/>
        <v>0.1</v>
      </c>
      <c r="AN33">
        <f ca="1"/>
        <v>1.2499999999999907</v>
      </c>
      <c r="AO33">
        <f ca="1"/>
        <v>1.2700000000000102</v>
      </c>
      <c r="AP33">
        <f ca="1"/>
        <v>97.456999999999994</v>
      </c>
      <c r="AQ33">
        <f ca="1"/>
        <v>97.414000000000001</v>
      </c>
      <c r="AR33" t="str">
        <f ca="1"/>
        <v>ZJ7415236</v>
      </c>
      <c r="AS33" t="str">
        <f ca="1"/>
        <v>JP1051591P70</v>
      </c>
      <c r="AT33" t="str">
        <f ca="1"/>
        <v>A+</v>
      </c>
      <c r="AU33">
        <f ca="1"/>
        <v>45111</v>
      </c>
      <c r="AV33">
        <f ca="1"/>
        <v>46193</v>
      </c>
      <c r="AW33">
        <f ca="1"/>
        <v>2.2258726899383983</v>
      </c>
      <c r="AX33">
        <f ca="1"/>
        <v>97.43549999999999</v>
      </c>
      <c r="AY33">
        <f ca="1"/>
        <v>303</v>
      </c>
      <c r="AZ33">
        <f ca="1"/>
        <v>2</v>
      </c>
      <c r="BA33">
        <f ca="1"/>
        <v>3</v>
      </c>
      <c r="BB33">
        <f ca="1"/>
        <v>5.4945054945054951E-2</v>
      </c>
      <c r="BC33">
        <f ca="1"/>
        <v>97.380554945054939</v>
      </c>
      <c r="BD33">
        <f ca="1"/>
        <v>1.2600000000000005</v>
      </c>
    </row>
    <row r="34" spans="2:56" ht="12.75" x14ac:dyDescent="0.35">
      <c r="B34" t="str">
        <f ca="1"/>
        <v>ZR885925 Corp</v>
      </c>
      <c r="C34" t="str">
        <f ca="1"/>
        <v>Japan Government Ten Year Bond</v>
      </c>
      <c r="D34" t="str">
        <f ca="1"/>
        <v>JGB</v>
      </c>
      <c r="E34" t="str">
        <f ca="1"/>
        <v>JP</v>
      </c>
      <c r="F34" t="str">
        <f ca="1"/>
        <v>JPY</v>
      </c>
      <c r="G34" t="str">
        <f ca="1"/>
        <v>20/09/2029</v>
      </c>
      <c r="H34" t="str">
        <f ca="1"/>
        <v>FIXED</v>
      </c>
      <c r="I34">
        <f ca="1"/>
        <v>2</v>
      </c>
      <c r="J34">
        <f ca="1"/>
        <v>0.1</v>
      </c>
      <c r="K34">
        <f ca="1"/>
        <v>1.4599999999990589</v>
      </c>
      <c r="L34">
        <f ca="1"/>
        <v>1.4819999999989455</v>
      </c>
      <c r="M34">
        <f ca="1"/>
        <v>95.438999999999993</v>
      </c>
      <c r="N34">
        <f ca="1"/>
        <v>95.369</v>
      </c>
      <c r="O34" t="str">
        <f ca="1"/>
        <v>ZR8859251</v>
      </c>
      <c r="P34" t="str">
        <f ca="1"/>
        <v>JP1103561KA2</v>
      </c>
      <c r="Q34" t="str">
        <f ca="1"/>
        <v>A+</v>
      </c>
      <c r="R34" s="3">
        <f ca="1"/>
        <v>43739</v>
      </c>
      <c r="S34">
        <f ca="1"/>
        <v>46101</v>
      </c>
      <c r="T34">
        <f ca="1"/>
        <v>3.4770704996577688</v>
      </c>
      <c r="U34" s="4">
        <f ca="1"/>
        <v>95.403999999999996</v>
      </c>
      <c r="V34">
        <f ca="1"/>
        <v>323</v>
      </c>
      <c r="W34">
        <f ca="1"/>
        <v>3</v>
      </c>
      <c r="X34" s="4">
        <f ca="1"/>
        <v>7</v>
      </c>
      <c r="Y34" s="4">
        <f ca="1"/>
        <v>0.10494505494505496</v>
      </c>
      <c r="Z34" s="4">
        <f ca="1"/>
        <v>95.299054945054948</v>
      </c>
      <c r="AA34" s="4">
        <f ca="1"/>
        <v>1.4709999999990022</v>
      </c>
      <c r="AE34" t="str">
        <f ca="1"/>
        <v>AU788839 Corp</v>
      </c>
      <c r="AF34" t="str">
        <f ca="1"/>
        <v>Japan Government Ten Year Bond</v>
      </c>
      <c r="AG34" t="str">
        <f ca="1"/>
        <v>JGB</v>
      </c>
      <c r="AH34" t="str">
        <f ca="1"/>
        <v>JP</v>
      </c>
      <c r="AI34" t="str">
        <f ca="1"/>
        <v>JPY</v>
      </c>
      <c r="AJ34" t="str">
        <f ca="1"/>
        <v>20/09/2028</v>
      </c>
      <c r="AK34" t="str">
        <f ca="1"/>
        <v>FIXED</v>
      </c>
      <c r="AL34">
        <f ca="1"/>
        <v>2</v>
      </c>
      <c r="AM34">
        <f ca="1"/>
        <v>0.1</v>
      </c>
      <c r="AN34">
        <f ca="1"/>
        <v>1.271999999999962</v>
      </c>
      <c r="AO34">
        <f ca="1"/>
        <v>1.2949999999999675</v>
      </c>
      <c r="AP34">
        <f ca="1"/>
        <v>97.131</v>
      </c>
      <c r="AQ34">
        <f ca="1"/>
        <v>97.076999999999998</v>
      </c>
      <c r="AR34" t="str">
        <f ca="1"/>
        <v>AU7888392</v>
      </c>
      <c r="AS34" t="str">
        <f ca="1"/>
        <v>JP1103521JA8</v>
      </c>
      <c r="AT34" t="str">
        <f ca="1"/>
        <v>A+</v>
      </c>
      <c r="AU34">
        <f ca="1"/>
        <v>43375</v>
      </c>
      <c r="AV34">
        <f ca="1"/>
        <v>46101</v>
      </c>
      <c r="AW34">
        <f ca="1"/>
        <v>2.4777549623545516</v>
      </c>
      <c r="AX34">
        <f ca="1"/>
        <v>97.103999999999999</v>
      </c>
      <c r="AY34">
        <f ca="1"/>
        <v>24</v>
      </c>
      <c r="AZ34">
        <f ca="1"/>
        <v>2</v>
      </c>
      <c r="BA34">
        <f ca="1"/>
        <v>8</v>
      </c>
      <c r="BB34">
        <f ca="1"/>
        <v>0.10494505494505496</v>
      </c>
      <c r="BC34">
        <f ca="1"/>
        <v>96.999054945054951</v>
      </c>
      <c r="BD34">
        <f ca="1"/>
        <v>1.2834999999999648</v>
      </c>
    </row>
    <row r="35" spans="2:56" ht="12.75" x14ac:dyDescent="0.35">
      <c r="B35" t="str">
        <f ca="1"/>
        <v>ZP316570 Corp</v>
      </c>
      <c r="C35" t="str">
        <f ca="1"/>
        <v>Japan Government Ten Year Bond</v>
      </c>
      <c r="D35" t="str">
        <f ca="1"/>
        <v>JGB</v>
      </c>
      <c r="E35" t="str">
        <f ca="1"/>
        <v>JP</v>
      </c>
      <c r="F35" t="str">
        <f ca="1"/>
        <v>JPY</v>
      </c>
      <c r="G35" t="str">
        <f ca="1"/>
        <v>20/12/2029</v>
      </c>
      <c r="H35" t="str">
        <f ca="1"/>
        <v>FIXED</v>
      </c>
      <c r="I35">
        <f ca="1"/>
        <v>2</v>
      </c>
      <c r="J35">
        <f ca="1"/>
        <v>0.1</v>
      </c>
      <c r="K35">
        <f ca="1"/>
        <v>1.5069999999989467</v>
      </c>
      <c r="L35">
        <f ca="1"/>
        <v>1.5289999999988426</v>
      </c>
      <c r="M35">
        <f ca="1"/>
        <v>94.974000000000004</v>
      </c>
      <c r="N35">
        <f ca="1"/>
        <v>94.899000000000001</v>
      </c>
      <c r="O35" t="str">
        <f ca="1"/>
        <v>ZP3165708</v>
      </c>
      <c r="P35" t="str">
        <f ca="1"/>
        <v>JP1103571L10</v>
      </c>
      <c r="Q35" t="str">
        <f ca="1"/>
        <v>A+</v>
      </c>
      <c r="R35" s="3">
        <f ca="1"/>
        <v>43826</v>
      </c>
      <c r="S35">
        <f ca="1"/>
        <v>46193</v>
      </c>
      <c r="T35">
        <f ca="1"/>
        <v>3.7262149212867897</v>
      </c>
      <c r="U35" s="4">
        <f ca="1"/>
        <v>94.936499999999995</v>
      </c>
      <c r="V35">
        <f ca="1"/>
        <v>318</v>
      </c>
      <c r="W35">
        <f ca="1"/>
        <v>3.5</v>
      </c>
      <c r="X35" s="4">
        <f ca="1"/>
        <v>7</v>
      </c>
      <c r="Y35" s="4">
        <f ca="1"/>
        <v>5.4945054945054951E-2</v>
      </c>
      <c r="Z35" s="4">
        <f ca="1"/>
        <v>94.881554945054944</v>
      </c>
      <c r="AA35" s="4">
        <f ca="1"/>
        <v>1.5179999999988947</v>
      </c>
      <c r="AE35" t="str">
        <f ca="1"/>
        <v>ZG134466 Corp</v>
      </c>
      <c r="AF35" t="str">
        <f ca="1"/>
        <v>Japan Government Five Year Bond</v>
      </c>
      <c r="AG35" t="str">
        <f ca="1"/>
        <v>JGB</v>
      </c>
      <c r="AH35" t="str">
        <f ca="1"/>
        <v>JP</v>
      </c>
      <c r="AI35" t="str">
        <f ca="1"/>
        <v>JPY</v>
      </c>
      <c r="AJ35" t="str">
        <f ca="1"/>
        <v>20/09/2028</v>
      </c>
      <c r="AK35" t="str">
        <f ca="1"/>
        <v>FIXED</v>
      </c>
      <c r="AL35">
        <f ca="1"/>
        <v>2</v>
      </c>
      <c r="AM35">
        <f ca="1"/>
        <v>0.4</v>
      </c>
      <c r="AN35">
        <f ca="1"/>
        <v>1.2739999999999967</v>
      </c>
      <c r="AO35">
        <f ca="1"/>
        <v>1.2979999999999976</v>
      </c>
      <c r="AP35">
        <f ca="1"/>
        <v>97.861000000000004</v>
      </c>
      <c r="AQ35">
        <f ca="1"/>
        <v>97.802999999999997</v>
      </c>
      <c r="AR35" t="str">
        <f ca="1"/>
        <v>ZG1344669</v>
      </c>
      <c r="AS35" t="str">
        <f ca="1"/>
        <v>JP1051631PB2</v>
      </c>
      <c r="AT35" t="str">
        <f ca="1"/>
        <v>A+</v>
      </c>
      <c r="AU35">
        <f ca="1"/>
        <v>45237</v>
      </c>
      <c r="AV35">
        <f ca="1"/>
        <v>46101</v>
      </c>
      <c r="AW35">
        <f ca="1"/>
        <v>2.4777549623545516</v>
      </c>
      <c r="AX35">
        <f ca="1"/>
        <v>97.831999999999994</v>
      </c>
      <c r="AY35">
        <f ca="1"/>
        <v>294</v>
      </c>
      <c r="AZ35">
        <f ca="1"/>
        <v>2</v>
      </c>
      <c r="BA35">
        <f ca="1"/>
        <v>3</v>
      </c>
      <c r="BB35">
        <f ca="1"/>
        <v>0.41978021978021984</v>
      </c>
      <c r="BC35">
        <f ca="1"/>
        <v>97.412219780219772</v>
      </c>
      <c r="BD35">
        <f ca="1"/>
        <v>1.2859999999999971</v>
      </c>
    </row>
    <row r="36" spans="2:56" ht="12.75" x14ac:dyDescent="0.35">
      <c r="B36" t="str">
        <f ca="1"/>
        <v>BH527948 Corp</v>
      </c>
      <c r="C36" t="str">
        <f ca="1"/>
        <v>Japan Government Ten Year Bond</v>
      </c>
      <c r="D36" t="str">
        <f ca="1"/>
        <v>JGB</v>
      </c>
      <c r="E36" t="str">
        <f ca="1"/>
        <v>JP</v>
      </c>
      <c r="F36" t="str">
        <f ca="1"/>
        <v>JPY</v>
      </c>
      <c r="G36" t="str">
        <f ca="1"/>
        <v>20/03/2030</v>
      </c>
      <c r="H36" t="str">
        <f ca="1"/>
        <v>FIXED</v>
      </c>
      <c r="I36">
        <f ca="1"/>
        <v>2</v>
      </c>
      <c r="J36">
        <f ca="1"/>
        <v>0.1</v>
      </c>
      <c r="K36">
        <f ca="1"/>
        <v>1.5469999999964401</v>
      </c>
      <c r="L36">
        <f ca="1"/>
        <v>1.5669999999961144</v>
      </c>
      <c r="M36">
        <f ca="1"/>
        <v>94.521000000000001</v>
      </c>
      <c r="N36">
        <f ca="1"/>
        <v>94.448999999999998</v>
      </c>
      <c r="O36" t="str">
        <f ca="1"/>
        <v>BH5279485</v>
      </c>
      <c r="P36" t="str">
        <f ca="1"/>
        <v>JP1103581L42</v>
      </c>
      <c r="Q36" t="str">
        <f ca="1"/>
        <v>A+</v>
      </c>
      <c r="R36" s="3">
        <f ca="1"/>
        <v>43916</v>
      </c>
      <c r="S36">
        <f ca="1"/>
        <v>46101</v>
      </c>
      <c r="T36">
        <f ca="1"/>
        <v>3.9726214921286789</v>
      </c>
      <c r="U36" s="4">
        <f ca="1"/>
        <v>94.484999999999999</v>
      </c>
      <c r="V36">
        <f ca="1"/>
        <v>34</v>
      </c>
      <c r="W36">
        <f ca="1"/>
        <v>3.5</v>
      </c>
      <c r="X36" s="4">
        <f ca="1"/>
        <v>6</v>
      </c>
      <c r="Y36" s="4">
        <f ca="1"/>
        <v>0.10494505494505496</v>
      </c>
      <c r="Z36" s="4">
        <f ca="1"/>
        <v>94.380054945054951</v>
      </c>
      <c r="AA36" s="4">
        <f ca="1"/>
        <v>1.5569999999962771</v>
      </c>
      <c r="AE36" t="str">
        <f ca="1"/>
        <v>ZH437639 Corp</v>
      </c>
      <c r="AF36" t="str">
        <f ca="1"/>
        <v>Japan Government Five Year Bond</v>
      </c>
      <c r="AG36" t="str">
        <f ca="1"/>
        <v>JGB</v>
      </c>
      <c r="AH36" t="str">
        <f ca="1"/>
        <v>JP</v>
      </c>
      <c r="AI36" t="str">
        <f ca="1"/>
        <v>JPY</v>
      </c>
      <c r="AJ36" t="str">
        <f ca="1"/>
        <v>20/09/2028</v>
      </c>
      <c r="AK36" t="str">
        <f ca="1"/>
        <v>FIXED</v>
      </c>
      <c r="AL36">
        <f ca="1"/>
        <v>2</v>
      </c>
      <c r="AM36">
        <f ca="1"/>
        <v>0.3</v>
      </c>
      <c r="AN36">
        <f ca="1"/>
        <v>1.2779999999999858</v>
      </c>
      <c r="AO36">
        <f ca="1"/>
        <v>1.3009999999999848</v>
      </c>
      <c r="AP36">
        <f ca="1"/>
        <v>97.605999999999995</v>
      </c>
      <c r="AQ36">
        <f ca="1"/>
        <v>97.551000000000002</v>
      </c>
      <c r="AR36" t="str">
        <f ca="1"/>
        <v>ZH4376393</v>
      </c>
      <c r="AS36" t="str">
        <f ca="1"/>
        <v>JP1051621PA5</v>
      </c>
      <c r="AT36" t="str">
        <f ca="1"/>
        <v>A+</v>
      </c>
      <c r="AU36">
        <f ca="1"/>
        <v>45203</v>
      </c>
      <c r="AV36">
        <f ca="1"/>
        <v>46101</v>
      </c>
      <c r="AW36">
        <f ca="1"/>
        <v>2.4777549623545516</v>
      </c>
      <c r="AX36">
        <f ca="1"/>
        <v>97.578499999999991</v>
      </c>
      <c r="AY36">
        <f ca="1"/>
        <v>297</v>
      </c>
      <c r="AZ36">
        <f ca="1"/>
        <v>2</v>
      </c>
      <c r="BA36">
        <f ca="1"/>
        <v>3</v>
      </c>
      <c r="BB36">
        <f ca="1"/>
        <v>0.31483516483516483</v>
      </c>
      <c r="BC36">
        <f ca="1"/>
        <v>97.263664835164832</v>
      </c>
      <c r="BD36">
        <f ca="1"/>
        <v>1.2894999999999852</v>
      </c>
    </row>
    <row r="37" spans="2:56" ht="12.75" x14ac:dyDescent="0.35">
      <c r="B37" t="str">
        <f ca="1"/>
        <v>BK340998 Corp</v>
      </c>
      <c r="C37" t="str">
        <f ca="1"/>
        <v>Japan Government Ten Year Bond</v>
      </c>
      <c r="D37" t="str">
        <f ca="1"/>
        <v>JGB</v>
      </c>
      <c r="E37" t="str">
        <f ca="1"/>
        <v>JP</v>
      </c>
      <c r="F37" t="str">
        <f ca="1"/>
        <v>JPY</v>
      </c>
      <c r="G37" t="str">
        <f ca="1"/>
        <v>20/06/2030</v>
      </c>
      <c r="H37" t="str">
        <f ca="1"/>
        <v>FIXED</v>
      </c>
      <c r="I37">
        <f ca="1"/>
        <v>2</v>
      </c>
      <c r="J37">
        <f ca="1"/>
        <v>0.1</v>
      </c>
      <c r="K37">
        <f ca="1"/>
        <v>1.5799999999962568</v>
      </c>
      <c r="L37">
        <f ca="1"/>
        <v>1.602999999995868</v>
      </c>
      <c r="M37">
        <f ca="1"/>
        <v>94.073999999999998</v>
      </c>
      <c r="N37">
        <f ca="1"/>
        <v>93.988</v>
      </c>
      <c r="O37" t="str">
        <f ca="1"/>
        <v>BK3409988</v>
      </c>
      <c r="P37" t="str">
        <f ca="1"/>
        <v>JP1103591L73</v>
      </c>
      <c r="Q37" t="str">
        <f ca="1"/>
        <v>A+</v>
      </c>
      <c r="R37" s="3">
        <f ca="1"/>
        <v>44007</v>
      </c>
      <c r="S37">
        <f ca="1"/>
        <v>46193</v>
      </c>
      <c r="T37">
        <f ca="1"/>
        <v>4.2245037645448322</v>
      </c>
      <c r="U37" s="4">
        <f ca="1"/>
        <v>94.031000000000006</v>
      </c>
      <c r="V37">
        <f ca="1"/>
        <v>38</v>
      </c>
      <c r="W37">
        <f ca="1"/>
        <v>4</v>
      </c>
      <c r="X37" s="4">
        <f ca="1"/>
        <v>6</v>
      </c>
      <c r="Y37" s="4">
        <f ca="1"/>
        <v>5.4945054945054951E-2</v>
      </c>
      <c r="Z37" s="4">
        <f ca="1"/>
        <v>93.976054945054955</v>
      </c>
      <c r="AA37" s="4">
        <f ca="1"/>
        <v>1.5914999999960624</v>
      </c>
      <c r="AE37" t="str">
        <f ca="1"/>
        <v>AW566680 Corp</v>
      </c>
      <c r="AF37" t="str">
        <f ca="1"/>
        <v>Japan Government Ten Year Bond</v>
      </c>
      <c r="AG37" t="str">
        <f ca="1"/>
        <v>JGB</v>
      </c>
      <c r="AH37" t="str">
        <f ca="1"/>
        <v>JP</v>
      </c>
      <c r="AI37" t="str">
        <f ca="1"/>
        <v>JPY</v>
      </c>
      <c r="AJ37" t="str">
        <f ca="1"/>
        <v>20/12/2028</v>
      </c>
      <c r="AK37" t="str">
        <f ca="1"/>
        <v>FIXED</v>
      </c>
      <c r="AL37">
        <f ca="1"/>
        <v>2</v>
      </c>
      <c r="AM37">
        <f ca="1"/>
        <v>0.1</v>
      </c>
      <c r="AN37">
        <f ca="1"/>
        <v>1.3219999999999656</v>
      </c>
      <c r="AO37">
        <f ca="1"/>
        <v>1.3439999999999634</v>
      </c>
      <c r="AP37">
        <f ca="1"/>
        <v>96.727999999999994</v>
      </c>
      <c r="AQ37">
        <f ca="1"/>
        <v>96.671000000000006</v>
      </c>
      <c r="AR37" t="str">
        <f ca="1"/>
        <v>AW5666804</v>
      </c>
      <c r="AS37" t="str">
        <f ca="1"/>
        <v>JP1103531K10</v>
      </c>
      <c r="AT37" t="str">
        <f ca="1"/>
        <v>A+</v>
      </c>
      <c r="AU37">
        <f ca="1"/>
        <v>43473</v>
      </c>
      <c r="AV37">
        <f ca="1"/>
        <v>46193</v>
      </c>
      <c r="AW37">
        <f ca="1"/>
        <v>2.7268993839835729</v>
      </c>
      <c r="AX37">
        <f ca="1"/>
        <v>96.6995</v>
      </c>
      <c r="AY37">
        <f ca="1"/>
        <v>27</v>
      </c>
      <c r="AZ37">
        <f ca="1"/>
        <v>2.5</v>
      </c>
      <c r="BA37">
        <f ca="1"/>
        <v>7</v>
      </c>
      <c r="BB37">
        <f ca="1"/>
        <v>5.4945054945054951E-2</v>
      </c>
      <c r="BC37">
        <f ca="1"/>
        <v>96.644554945054949</v>
      </c>
      <c r="BD37">
        <f ca="1"/>
        <v>1.3329999999999647</v>
      </c>
    </row>
    <row r="38" spans="2:56" ht="12.75" x14ac:dyDescent="0.35">
      <c r="B38" t="str">
        <f ca="1"/>
        <v>ZO739535 Corp</v>
      </c>
      <c r="C38" t="str">
        <f ca="1"/>
        <v>Japan Government Ten Year Bond</v>
      </c>
      <c r="D38" t="str">
        <f ca="1"/>
        <v>JGB</v>
      </c>
      <c r="E38" t="str">
        <f ca="1"/>
        <v>JP</v>
      </c>
      <c r="F38" t="str">
        <f ca="1"/>
        <v>JPY</v>
      </c>
      <c r="G38" t="str">
        <f ca="1"/>
        <v>20/09/2030</v>
      </c>
      <c r="H38" t="str">
        <f ca="1"/>
        <v>FIXED</v>
      </c>
      <c r="I38">
        <f ca="1"/>
        <v>2</v>
      </c>
      <c r="J38">
        <f ca="1"/>
        <v>0.1</v>
      </c>
      <c r="K38">
        <f ca="1"/>
        <v>1.6079999999895414</v>
      </c>
      <c r="L38">
        <f ca="1"/>
        <v>1.6289999999885652</v>
      </c>
      <c r="M38">
        <f ca="1"/>
        <v>93.637</v>
      </c>
      <c r="N38">
        <f ca="1"/>
        <v>93.554000000000002</v>
      </c>
      <c r="O38" t="str">
        <f ca="1"/>
        <v>ZO7395353</v>
      </c>
      <c r="P38" t="str">
        <f ca="1"/>
        <v>JP1103601LA4</v>
      </c>
      <c r="Q38" t="str">
        <f ca="1"/>
        <v>A+</v>
      </c>
      <c r="R38" s="3">
        <f ca="1"/>
        <v>44098</v>
      </c>
      <c r="S38">
        <f ca="1"/>
        <v>46101</v>
      </c>
      <c r="T38">
        <f ca="1"/>
        <v>4.476386036960986</v>
      </c>
      <c r="U38" s="4">
        <f ca="1"/>
        <v>93.595500000000001</v>
      </c>
      <c r="V38">
        <f ca="1"/>
        <v>316</v>
      </c>
      <c r="W38">
        <f ca="1"/>
        <v>4</v>
      </c>
      <c r="X38" s="4">
        <f ca="1"/>
        <v>6</v>
      </c>
      <c r="Y38" s="4">
        <f ca="1"/>
        <v>0.10494505494505496</v>
      </c>
      <c r="Z38" s="4">
        <f ca="1"/>
        <v>93.490554945054953</v>
      </c>
      <c r="AA38" s="4">
        <f ca="1"/>
        <v>1.6184999999890533</v>
      </c>
      <c r="AE38" t="str">
        <f ca="1"/>
        <v>ZD338443 Corp</v>
      </c>
      <c r="AF38" t="str">
        <f ca="1"/>
        <v>Japan Government Five Year Bond</v>
      </c>
      <c r="AG38" t="str">
        <f ca="1"/>
        <v>JGB</v>
      </c>
      <c r="AH38" t="str">
        <f ca="1"/>
        <v>JP</v>
      </c>
      <c r="AI38" t="str">
        <f ca="1"/>
        <v>JPY</v>
      </c>
      <c r="AJ38" t="str">
        <f ca="1"/>
        <v>20/12/2028</v>
      </c>
      <c r="AK38" t="str">
        <f ca="1"/>
        <v>FIXED</v>
      </c>
      <c r="AL38">
        <f ca="1"/>
        <v>2</v>
      </c>
      <c r="AM38">
        <f ca="1"/>
        <v>0.3</v>
      </c>
      <c r="AN38">
        <f ca="1"/>
        <v>1.3179999999999865</v>
      </c>
      <c r="AO38">
        <f ca="1"/>
        <v>1.3409999999999833</v>
      </c>
      <c r="AP38">
        <f ca="1"/>
        <v>97.274000000000001</v>
      </c>
      <c r="AQ38">
        <f ca="1"/>
        <v>97.213999999999999</v>
      </c>
      <c r="AR38" t="str">
        <f ca="1"/>
        <v>ZD3384439</v>
      </c>
      <c r="AS38" t="str">
        <f ca="1"/>
        <v>JP1470011Q24</v>
      </c>
      <c r="AT38" t="str">
        <f ca="1"/>
        <v>A+</v>
      </c>
      <c r="AU38">
        <f ca="1"/>
        <v>45342</v>
      </c>
      <c r="AV38">
        <f ca="1"/>
        <v>46193</v>
      </c>
      <c r="AW38">
        <f ca="1"/>
        <v>2.7268993839835729</v>
      </c>
      <c r="AX38">
        <f ca="1"/>
        <v>97.244</v>
      </c>
      <c r="AY38">
        <f ca="1"/>
        <v>287</v>
      </c>
      <c r="AZ38">
        <f ca="1"/>
        <v>2.5</v>
      </c>
      <c r="BA38">
        <f ca="1"/>
        <v>2</v>
      </c>
      <c r="BB38">
        <f ca="1"/>
        <v>0.16483516483516483</v>
      </c>
      <c r="BC38">
        <f ca="1"/>
        <v>97.079164835164832</v>
      </c>
      <c r="BD38">
        <f ca="1"/>
        <v>1.3294999999999848</v>
      </c>
    </row>
    <row r="39" spans="2:56" ht="12.75" x14ac:dyDescent="0.35">
      <c r="B39" t="str">
        <f ca="1"/>
        <v>BN361059 Corp</v>
      </c>
      <c r="C39" t="str">
        <f ca="1"/>
        <v>Japan Government Ten Year Bond</v>
      </c>
      <c r="D39" t="str">
        <f ca="1"/>
        <v>JGB</v>
      </c>
      <c r="E39" t="str">
        <f ca="1"/>
        <v>JP</v>
      </c>
      <c r="F39" t="str">
        <f ca="1"/>
        <v>JPY</v>
      </c>
      <c r="G39" t="str">
        <f ca="1"/>
        <v>20/12/2030</v>
      </c>
      <c r="H39" t="str">
        <f ca="1"/>
        <v>FIXED</v>
      </c>
      <c r="I39">
        <f ca="1"/>
        <v>2</v>
      </c>
      <c r="J39">
        <f ca="1"/>
        <v>0.1</v>
      </c>
      <c r="K39">
        <f ca="1"/>
        <v>1.6439999999887491</v>
      </c>
      <c r="L39">
        <f ca="1"/>
        <v>1.6649999999877207</v>
      </c>
      <c r="M39">
        <f ca="1"/>
        <v>93.162999999999997</v>
      </c>
      <c r="N39">
        <f ca="1"/>
        <v>93.076999999999998</v>
      </c>
      <c r="O39" t="str">
        <f ca="1"/>
        <v>BN3610597</v>
      </c>
      <c r="P39" t="str">
        <f ca="1"/>
        <v>JP1103611M11</v>
      </c>
      <c r="Q39" t="str">
        <f ca="1"/>
        <v>NR</v>
      </c>
      <c r="R39" s="3">
        <f ca="1"/>
        <v>44193</v>
      </c>
      <c r="S39">
        <f ca="1"/>
        <v>46193</v>
      </c>
      <c r="T39">
        <f ca="1"/>
        <v>4.7255304585900069</v>
      </c>
      <c r="U39" s="4">
        <f ca="1"/>
        <v>93.12</v>
      </c>
      <c r="V39">
        <f ca="1"/>
        <v>42</v>
      </c>
      <c r="W39">
        <f ca="1"/>
        <v>4.5</v>
      </c>
      <c r="X39" s="4">
        <f ca="1"/>
        <v>6</v>
      </c>
      <c r="Y39" s="4">
        <f ca="1"/>
        <v>5.4945054945054951E-2</v>
      </c>
      <c r="Z39" s="4">
        <f ca="1"/>
        <v>93.065054945054953</v>
      </c>
      <c r="AA39" s="4">
        <f ca="1"/>
        <v>1.6544999999882348</v>
      </c>
      <c r="AE39" t="str">
        <f ca="1"/>
        <v>ZD670307 Corp</v>
      </c>
      <c r="AF39" t="str">
        <f ca="1"/>
        <v>Japan Government Five Year Bond</v>
      </c>
      <c r="AG39" t="str">
        <f ca="1"/>
        <v>JGB</v>
      </c>
      <c r="AH39" t="str">
        <f ca="1"/>
        <v>JP</v>
      </c>
      <c r="AI39" t="str">
        <f ca="1"/>
        <v>JPY</v>
      </c>
      <c r="AJ39" t="str">
        <f ca="1"/>
        <v>20/12/2028</v>
      </c>
      <c r="AK39" t="str">
        <f ca="1"/>
        <v>FIXED</v>
      </c>
      <c r="AL39">
        <f ca="1"/>
        <v>2</v>
      </c>
      <c r="AM39">
        <f ca="1"/>
        <v>0.4</v>
      </c>
      <c r="AN39">
        <f ca="1"/>
        <v>1.3199999999999934</v>
      </c>
      <c r="AO39">
        <f ca="1"/>
        <v>1.3419999999999899</v>
      </c>
      <c r="AP39">
        <f ca="1"/>
        <v>97.536000000000001</v>
      </c>
      <c r="AQ39">
        <f ca="1"/>
        <v>97.478999999999999</v>
      </c>
      <c r="AR39" t="str">
        <f ca="1"/>
        <v>ZD6703072</v>
      </c>
      <c r="AS39" t="str">
        <f ca="1"/>
        <v>JP1051661Q33</v>
      </c>
      <c r="AT39" t="str">
        <f ca="1"/>
        <v>A+</v>
      </c>
      <c r="AU39">
        <f ca="1"/>
        <v>45356</v>
      </c>
      <c r="AV39">
        <f ca="1"/>
        <v>46193</v>
      </c>
      <c r="AW39">
        <f ca="1"/>
        <v>2.7268993839835729</v>
      </c>
      <c r="AX39">
        <f ca="1"/>
        <v>97.507499999999993</v>
      </c>
      <c r="AY39">
        <f ca="1"/>
        <v>288</v>
      </c>
      <c r="AZ39">
        <f ca="1"/>
        <v>2.5</v>
      </c>
      <c r="BA39">
        <f ca="1"/>
        <v>2</v>
      </c>
      <c r="BB39">
        <f ca="1"/>
        <v>0.2197802197802198</v>
      </c>
      <c r="BC39">
        <f ca="1"/>
        <v>97.287719780219774</v>
      </c>
      <c r="BD39">
        <f ca="1"/>
        <v>1.3309999999999915</v>
      </c>
    </row>
    <row r="40" spans="2:56" ht="12.75" x14ac:dyDescent="0.35">
      <c r="B40" t="str">
        <f ca="1"/>
        <v>BO911343 Corp</v>
      </c>
      <c r="C40" t="str">
        <f ca="1"/>
        <v>Japan Government Ten Year Bond</v>
      </c>
      <c r="D40" t="str">
        <f ca="1"/>
        <v>JGB</v>
      </c>
      <c r="E40" t="str">
        <f ca="1"/>
        <v>JP</v>
      </c>
      <c r="F40" t="str">
        <f ca="1"/>
        <v>JPY</v>
      </c>
      <c r="G40" t="str">
        <f ca="1"/>
        <v>20/03/2031</v>
      </c>
      <c r="H40" t="str">
        <f ca="1"/>
        <v>FIXED</v>
      </c>
      <c r="I40">
        <f ca="1"/>
        <v>2</v>
      </c>
      <c r="J40">
        <f ca="1"/>
        <v>0.1</v>
      </c>
      <c r="K40">
        <f ca="1"/>
        <v>1.6779999999710236</v>
      </c>
      <c r="L40">
        <f ca="1"/>
        <v>1.6949999999689331</v>
      </c>
      <c r="M40">
        <f ca="1"/>
        <v>92.691000000000003</v>
      </c>
      <c r="N40">
        <f ca="1"/>
        <v>92.617999999999995</v>
      </c>
      <c r="O40" t="str">
        <f ca="1"/>
        <v>BO9113438</v>
      </c>
      <c r="P40" t="str">
        <f ca="1"/>
        <v>JP1103621M43</v>
      </c>
      <c r="Q40" t="str">
        <f ca="1"/>
        <v>NR</v>
      </c>
      <c r="R40" s="3">
        <f ca="1"/>
        <v>44280</v>
      </c>
      <c r="S40">
        <f ca="1"/>
        <v>46101</v>
      </c>
      <c r="T40">
        <f ca="1"/>
        <v>4.9719370294318956</v>
      </c>
      <c r="U40" s="4">
        <f ca="1"/>
        <v>92.654499999999999</v>
      </c>
      <c r="V40">
        <f ca="1"/>
        <v>45</v>
      </c>
      <c r="W40">
        <f ca="1"/>
        <v>4.5</v>
      </c>
      <c r="X40" s="4">
        <f ca="1"/>
        <v>5</v>
      </c>
      <c r="Y40" s="4">
        <f ca="1"/>
        <v>0.10494505494505496</v>
      </c>
      <c r="Z40" s="4">
        <f ca="1"/>
        <v>92.54955494505495</v>
      </c>
      <c r="AA40" s="4">
        <f ca="1"/>
        <v>1.6864999999699783</v>
      </c>
      <c r="AE40" t="str">
        <f ca="1"/>
        <v>ZF360535 Corp</v>
      </c>
      <c r="AF40" t="str">
        <f ca="1"/>
        <v>Japan Government Five Year Bond</v>
      </c>
      <c r="AG40" t="str">
        <f ca="1"/>
        <v>JGB</v>
      </c>
      <c r="AH40" t="str">
        <f ca="1"/>
        <v>JP</v>
      </c>
      <c r="AI40" t="str">
        <f ca="1"/>
        <v>JPY</v>
      </c>
      <c r="AJ40" t="str">
        <f ca="1"/>
        <v>20/12/2028</v>
      </c>
      <c r="AK40" t="str">
        <f ca="1"/>
        <v>FIXED</v>
      </c>
      <c r="AL40">
        <f ca="1"/>
        <v>2</v>
      </c>
      <c r="AM40">
        <f ca="1"/>
        <v>0.2</v>
      </c>
      <c r="AN40">
        <f ca="1"/>
        <v>1.3189999999999751</v>
      </c>
      <c r="AO40">
        <f ca="1"/>
        <v>1.3389999999999702</v>
      </c>
      <c r="AP40">
        <f ca="1"/>
        <v>97.004000000000005</v>
      </c>
      <c r="AQ40">
        <f ca="1"/>
        <v>96.951999999999998</v>
      </c>
      <c r="AR40" t="str">
        <f ca="1"/>
        <v>ZF3605358</v>
      </c>
      <c r="AS40" t="str">
        <f ca="1"/>
        <v>JP1051641Q12</v>
      </c>
      <c r="AT40" t="str">
        <f ca="1"/>
        <v>A+</v>
      </c>
      <c r="AU40">
        <f ca="1"/>
        <v>45300</v>
      </c>
      <c r="AV40">
        <f ca="1"/>
        <v>46193</v>
      </c>
      <c r="AW40">
        <f ca="1"/>
        <v>2.7268993839835729</v>
      </c>
      <c r="AX40">
        <f ca="1"/>
        <v>96.978000000000009</v>
      </c>
      <c r="AY40">
        <f ca="1"/>
        <v>291</v>
      </c>
      <c r="AZ40">
        <f ca="1"/>
        <v>2.5</v>
      </c>
      <c r="BA40">
        <f ca="1"/>
        <v>2</v>
      </c>
      <c r="BB40">
        <f ca="1"/>
        <v>0.1098901098901099</v>
      </c>
      <c r="BC40">
        <f ca="1"/>
        <v>96.868109890109892</v>
      </c>
      <c r="BD40">
        <f ca="1"/>
        <v>1.3289999999999726</v>
      </c>
    </row>
    <row r="41" spans="2:56" ht="12.75" x14ac:dyDescent="0.35">
      <c r="B41" t="str">
        <f ca="1"/>
        <v>BQ348089 Corp</v>
      </c>
      <c r="C41" t="str">
        <f ca="1"/>
        <v>Japan Government Ten Year Bond</v>
      </c>
      <c r="D41" t="str">
        <f ca="1"/>
        <v>JGB</v>
      </c>
      <c r="E41" t="str">
        <f ca="1"/>
        <v>JP</v>
      </c>
      <c r="F41" t="str">
        <f ca="1"/>
        <v>JPY</v>
      </c>
      <c r="G41" t="str">
        <f ca="1"/>
        <v>20/06/2031</v>
      </c>
      <c r="H41" t="str">
        <f ca="1"/>
        <v>FIXED</v>
      </c>
      <c r="I41">
        <f ca="1"/>
        <v>2</v>
      </c>
      <c r="J41">
        <f ca="1"/>
        <v>0.1</v>
      </c>
      <c r="K41">
        <f ca="1"/>
        <v>1.7099999999691318</v>
      </c>
      <c r="L41">
        <f ca="1"/>
        <v>1.7269999999669614</v>
      </c>
      <c r="M41">
        <f ca="1"/>
        <v>92.210999999999999</v>
      </c>
      <c r="N41">
        <f ca="1"/>
        <v>92.135000000000005</v>
      </c>
      <c r="O41" t="str">
        <f ca="1"/>
        <v>BQ3480895</v>
      </c>
      <c r="P41" t="str">
        <f ca="1"/>
        <v>JP1103631M74</v>
      </c>
      <c r="Q41" t="str">
        <f ca="1"/>
        <v>NR</v>
      </c>
      <c r="R41" s="3">
        <f ca="1"/>
        <v>44371</v>
      </c>
      <c r="S41">
        <f ca="1"/>
        <v>46193</v>
      </c>
      <c r="T41">
        <f ca="1"/>
        <v>5.2238193018480494</v>
      </c>
      <c r="U41" s="4">
        <f ca="1"/>
        <v>92.173000000000002</v>
      </c>
      <c r="V41">
        <f ca="1"/>
        <v>50</v>
      </c>
      <c r="W41">
        <f ca="1"/>
        <v>5</v>
      </c>
      <c r="X41" s="4">
        <f ca="1"/>
        <v>5</v>
      </c>
      <c r="Y41" s="4">
        <f ca="1"/>
        <v>5.4945054945054951E-2</v>
      </c>
      <c r="Z41" s="4">
        <f ca="1"/>
        <v>92.118054945054951</v>
      </c>
      <c r="AA41" s="4">
        <f ca="1"/>
        <v>1.7184999999680466</v>
      </c>
      <c r="AE41" t="str">
        <f ca="1"/>
        <v>ZF953600 Corp</v>
      </c>
      <c r="AF41" t="str">
        <f ca="1"/>
        <v>Japan Government Five Year Bond</v>
      </c>
      <c r="AG41" t="str">
        <f ca="1"/>
        <v>JGB</v>
      </c>
      <c r="AH41" t="str">
        <f ca="1"/>
        <v>JP</v>
      </c>
      <c r="AI41" t="str">
        <f ca="1"/>
        <v>JPY</v>
      </c>
      <c r="AJ41" t="str">
        <f ca="1"/>
        <v>20/12/2028</v>
      </c>
      <c r="AK41" t="str">
        <f ca="1"/>
        <v>FIXED</v>
      </c>
      <c r="AL41">
        <f ca="1"/>
        <v>2</v>
      </c>
      <c r="AM41">
        <f ca="1"/>
        <v>0.3</v>
      </c>
      <c r="AN41">
        <f ca="1"/>
        <v>1.3189999999999882</v>
      </c>
      <c r="AO41">
        <f ca="1"/>
        <v>1.3399999999999825</v>
      </c>
      <c r="AP41">
        <f ca="1"/>
        <v>97.271000000000001</v>
      </c>
      <c r="AQ41">
        <f ca="1"/>
        <v>97.216999999999999</v>
      </c>
      <c r="AR41" t="str">
        <f ca="1"/>
        <v>ZF9536003</v>
      </c>
      <c r="AS41" t="str">
        <f ca="1"/>
        <v>JP1051651Q27</v>
      </c>
      <c r="AT41" t="str">
        <f ca="1"/>
        <v>A+</v>
      </c>
      <c r="AU41">
        <f ca="1"/>
        <v>45324</v>
      </c>
      <c r="AV41">
        <f ca="1"/>
        <v>46193</v>
      </c>
      <c r="AW41">
        <f ca="1"/>
        <v>2.7268993839835729</v>
      </c>
      <c r="AX41">
        <f ca="1"/>
        <v>97.244</v>
      </c>
      <c r="AY41">
        <f ca="1"/>
        <v>293</v>
      </c>
      <c r="AZ41">
        <f ca="1"/>
        <v>2.5</v>
      </c>
      <c r="BA41">
        <f ca="1"/>
        <v>2</v>
      </c>
      <c r="BB41">
        <f ca="1"/>
        <v>0.16483516483516483</v>
      </c>
      <c r="BC41">
        <f ca="1"/>
        <v>97.079164835164832</v>
      </c>
      <c r="BD41">
        <f ca="1"/>
        <v>1.3294999999999852</v>
      </c>
    </row>
    <row r="42" spans="2:56" ht="12.75" x14ac:dyDescent="0.35">
      <c r="B42" t="str">
        <f ca="1"/>
        <v>BR788662 Corp</v>
      </c>
      <c r="C42" t="str">
        <f ca="1"/>
        <v>Japan Government Ten Year Bond</v>
      </c>
      <c r="D42" t="str">
        <f ca="1"/>
        <v>JGB</v>
      </c>
      <c r="E42" t="str">
        <f ca="1"/>
        <v>JP</v>
      </c>
      <c r="F42" t="str">
        <f ca="1"/>
        <v>JPY</v>
      </c>
      <c r="G42" t="str">
        <f ca="1"/>
        <v>20/09/2031</v>
      </c>
      <c r="H42" t="str">
        <f ca="1"/>
        <v>FIXED</v>
      </c>
      <c r="I42">
        <f ca="1"/>
        <v>2</v>
      </c>
      <c r="J42">
        <f ca="1"/>
        <v>0.1</v>
      </c>
      <c r="K42">
        <f ca="1"/>
        <v>1.7499999999255946</v>
      </c>
      <c r="L42">
        <f ca="1"/>
        <v>1.7649999999210819</v>
      </c>
      <c r="M42">
        <f ca="1"/>
        <v>91.686000000000007</v>
      </c>
      <c r="N42">
        <f ca="1"/>
        <v>91.616</v>
      </c>
      <c r="O42" t="str">
        <f ca="1"/>
        <v>BR7886624</v>
      </c>
      <c r="P42" t="str">
        <f ca="1"/>
        <v>JP1103641MA8</v>
      </c>
      <c r="Q42" t="str">
        <f ca="1"/>
        <v>NR</v>
      </c>
      <c r="R42" s="3">
        <f ca="1"/>
        <v>44467</v>
      </c>
      <c r="S42">
        <f ca="1"/>
        <v>46101</v>
      </c>
      <c r="T42">
        <f ca="1"/>
        <v>5.4757015742642023</v>
      </c>
      <c r="U42" s="4">
        <f ca="1"/>
        <v>91.65100000000001</v>
      </c>
      <c r="V42">
        <f ca="1"/>
        <v>54</v>
      </c>
      <c r="W42">
        <f ca="1"/>
        <v>5</v>
      </c>
      <c r="X42" s="4">
        <f ca="1"/>
        <v>5</v>
      </c>
      <c r="Y42" s="4">
        <f ca="1"/>
        <v>0.10494505494505496</v>
      </c>
      <c r="Z42" s="4">
        <f ca="1"/>
        <v>91.546054945054962</v>
      </c>
      <c r="AA42" s="4">
        <f ca="1"/>
        <v>1.7574999999233383</v>
      </c>
      <c r="AE42" t="str">
        <f ca="1"/>
        <v>AX991345 Corp</v>
      </c>
      <c r="AF42" t="str">
        <f ca="1"/>
        <v>Japan Government Ten Year Bond</v>
      </c>
      <c r="AG42" t="str">
        <f ca="1"/>
        <v>JGB</v>
      </c>
      <c r="AH42" t="str">
        <f ca="1"/>
        <v>JP</v>
      </c>
      <c r="AI42" t="str">
        <f ca="1"/>
        <v>JPY</v>
      </c>
      <c r="AJ42" t="str">
        <f ca="1"/>
        <v>20/03/2029</v>
      </c>
      <c r="AK42" t="str">
        <f ca="1"/>
        <v>FIXED</v>
      </c>
      <c r="AL42">
        <f ca="1"/>
        <v>2</v>
      </c>
      <c r="AM42">
        <f ca="1"/>
        <v>0.1</v>
      </c>
      <c r="AN42">
        <f ca="1"/>
        <v>1.3659999999997967</v>
      </c>
      <c r="AO42">
        <f ca="1"/>
        <v>1.387999999999769</v>
      </c>
      <c r="AP42">
        <f ca="1"/>
        <v>96.325000000000003</v>
      </c>
      <c r="AQ42">
        <f ca="1"/>
        <v>96.263999999999996</v>
      </c>
      <c r="AR42" t="str">
        <f ca="1"/>
        <v>AX9913457</v>
      </c>
      <c r="AS42" t="str">
        <f ca="1"/>
        <v>JP1103541K42</v>
      </c>
      <c r="AT42" t="str">
        <f ca="1"/>
        <v>A+</v>
      </c>
      <c r="AU42">
        <f ca="1"/>
        <v>43557</v>
      </c>
      <c r="AV42">
        <f ca="1"/>
        <v>46101</v>
      </c>
      <c r="AW42">
        <f ca="1"/>
        <v>2.9733059548254621</v>
      </c>
      <c r="AX42">
        <f ca="1"/>
        <v>96.294499999999999</v>
      </c>
      <c r="AY42">
        <f ca="1"/>
        <v>30</v>
      </c>
      <c r="AZ42">
        <f ca="1"/>
        <v>2.5</v>
      </c>
      <c r="BA42">
        <f ca="1"/>
        <v>7</v>
      </c>
      <c r="BB42">
        <f ca="1"/>
        <v>0.10494505494505496</v>
      </c>
      <c r="BC42">
        <f ca="1"/>
        <v>96.189554945054951</v>
      </c>
      <c r="BD42">
        <f ca="1"/>
        <v>1.3769999999997828</v>
      </c>
    </row>
    <row r="43" spans="2:56" ht="12.75" x14ac:dyDescent="0.35">
      <c r="B43" t="str">
        <f ca="1"/>
        <v>BT330618 Corp</v>
      </c>
      <c r="C43" t="str">
        <f ca="1"/>
        <v>Japan Government Ten Year Bond</v>
      </c>
      <c r="D43" t="str">
        <f ca="1"/>
        <v>JGB</v>
      </c>
      <c r="E43" t="str">
        <f ca="1"/>
        <v>JP</v>
      </c>
      <c r="F43" t="str">
        <f ca="1"/>
        <v>JPY</v>
      </c>
      <c r="G43" t="str">
        <f ca="1"/>
        <v>20/12/2031</v>
      </c>
      <c r="H43" t="str">
        <f ca="1"/>
        <v>FIXED</v>
      </c>
      <c r="I43">
        <f ca="1"/>
        <v>2</v>
      </c>
      <c r="J43">
        <f ca="1"/>
        <v>0.1</v>
      </c>
      <c r="K43">
        <f ca="1"/>
        <v>1.7749999999224804</v>
      </c>
      <c r="L43">
        <f ca="1"/>
        <v>1.7919999999172049</v>
      </c>
      <c r="M43">
        <f ca="1"/>
        <v>91.224999999999994</v>
      </c>
      <c r="N43">
        <f ca="1"/>
        <v>91.144000000000005</v>
      </c>
      <c r="O43" t="str">
        <f ca="1"/>
        <v>BT3306185</v>
      </c>
      <c r="P43" t="str">
        <f ca="1"/>
        <v>JP1103651N11</v>
      </c>
      <c r="Q43" t="str">
        <f ca="1"/>
        <v>NR</v>
      </c>
      <c r="R43" s="3">
        <f ca="1"/>
        <v>44558</v>
      </c>
      <c r="S43">
        <f ca="1"/>
        <v>46193</v>
      </c>
      <c r="T43">
        <f ca="1"/>
        <v>5.7248459958932241</v>
      </c>
      <c r="U43" s="4">
        <f ca="1"/>
        <v>91.1845</v>
      </c>
      <c r="V43">
        <f ca="1"/>
        <v>58</v>
      </c>
      <c r="W43">
        <f ca="1"/>
        <v>5.5</v>
      </c>
      <c r="X43" s="4">
        <f ca="1"/>
        <v>5</v>
      </c>
      <c r="Y43" s="4">
        <f ca="1"/>
        <v>5.4945054945054951E-2</v>
      </c>
      <c r="Z43" s="4">
        <f ca="1"/>
        <v>91.129554945054949</v>
      </c>
      <c r="AA43" s="4">
        <f ca="1"/>
        <v>1.7834999999198426</v>
      </c>
      <c r="AE43" t="str">
        <f ca="1"/>
        <v>ZB309355 Corp</v>
      </c>
      <c r="AF43" t="str">
        <f ca="1"/>
        <v>Japan Government Five Year Bond</v>
      </c>
      <c r="AG43" t="str">
        <f ca="1"/>
        <v>JGB</v>
      </c>
      <c r="AH43" t="str">
        <f ca="1"/>
        <v>JP</v>
      </c>
      <c r="AI43" t="str">
        <f ca="1"/>
        <v>JPY</v>
      </c>
      <c r="AJ43" t="str">
        <f ca="1"/>
        <v>20/03/2029</v>
      </c>
      <c r="AK43" t="str">
        <f ca="1"/>
        <v>FIXED</v>
      </c>
      <c r="AL43">
        <f ca="1"/>
        <v>2</v>
      </c>
      <c r="AM43">
        <f ca="1"/>
        <v>0.4</v>
      </c>
      <c r="AN43">
        <f ca="1"/>
        <v>1.3629999999999627</v>
      </c>
      <c r="AO43">
        <f ca="1"/>
        <v>1.3839999999999646</v>
      </c>
      <c r="AP43">
        <f ca="1"/>
        <v>97.204999999999998</v>
      </c>
      <c r="AQ43">
        <f ca="1"/>
        <v>97.144999999999996</v>
      </c>
      <c r="AR43" t="str">
        <f ca="1"/>
        <v>ZB3093554</v>
      </c>
      <c r="AS43" t="str">
        <f ca="1"/>
        <v>JP1051671Q49</v>
      </c>
      <c r="AT43" t="str">
        <f ca="1"/>
        <v>A+</v>
      </c>
      <c r="AU43">
        <f ca="1"/>
        <v>45384</v>
      </c>
      <c r="AV43">
        <f ca="1"/>
        <v>46101</v>
      </c>
      <c r="AW43">
        <f ca="1"/>
        <v>2.9733059548254621</v>
      </c>
      <c r="AX43">
        <f ca="1"/>
        <v>97.174999999999997</v>
      </c>
      <c r="AY43">
        <f ca="1"/>
        <v>283</v>
      </c>
      <c r="AZ43">
        <f ca="1"/>
        <v>2.5</v>
      </c>
      <c r="BA43">
        <f ca="1"/>
        <v>2</v>
      </c>
      <c r="BB43">
        <f ca="1"/>
        <v>0.41978021978021984</v>
      </c>
      <c r="BC43">
        <f ca="1"/>
        <v>96.755219780219775</v>
      </c>
      <c r="BD43">
        <f ca="1"/>
        <v>1.3734999999999635</v>
      </c>
    </row>
    <row r="44" spans="2:56" ht="12.75" x14ac:dyDescent="0.35">
      <c r="B44" t="str">
        <f ca="1"/>
        <v>BV737650 Corp</v>
      </c>
      <c r="C44" t="str">
        <f ca="1"/>
        <v>Japan Government Ten Year Bond</v>
      </c>
      <c r="D44" t="str">
        <f ca="1"/>
        <v>JGB</v>
      </c>
      <c r="E44" t="str">
        <f ca="1"/>
        <v>JP</v>
      </c>
      <c r="F44" t="str">
        <f ca="1"/>
        <v>JPY</v>
      </c>
      <c r="G44" t="str">
        <f ca="1"/>
        <v>20/03/2032</v>
      </c>
      <c r="H44" t="str">
        <f ca="1"/>
        <v>FIXED</v>
      </c>
      <c r="I44">
        <f ca="1"/>
        <v>2</v>
      </c>
      <c r="J44">
        <f ca="1"/>
        <v>0.2</v>
      </c>
      <c r="K44">
        <f ca="1"/>
        <v>1.8069999998950457</v>
      </c>
      <c r="L44">
        <f ca="1"/>
        <v>1.8229999998880817</v>
      </c>
      <c r="M44">
        <f ca="1"/>
        <v>91.272000000000006</v>
      </c>
      <c r="N44">
        <f ca="1"/>
        <v>91.192999999999998</v>
      </c>
      <c r="O44" t="str">
        <f ca="1"/>
        <v>BV7376502</v>
      </c>
      <c r="P44" t="str">
        <f ca="1"/>
        <v>JP1103661N43</v>
      </c>
      <c r="Q44" t="str">
        <f ca="1"/>
        <v>A+</v>
      </c>
      <c r="R44" s="3">
        <f ca="1"/>
        <v>44649</v>
      </c>
      <c r="S44">
        <f ca="1"/>
        <v>46101</v>
      </c>
      <c r="T44">
        <f ca="1"/>
        <v>5.9739904175222449</v>
      </c>
      <c r="U44" s="4">
        <f ca="1"/>
        <v>91.232500000000002</v>
      </c>
      <c r="V44">
        <f ca="1"/>
        <v>62</v>
      </c>
      <c r="W44">
        <f ca="1"/>
        <v>5.5</v>
      </c>
      <c r="X44" s="4">
        <f ca="1"/>
        <v>4</v>
      </c>
      <c r="Y44" s="4">
        <f ca="1"/>
        <v>0.20989010989010992</v>
      </c>
      <c r="Z44" s="4">
        <f ca="1"/>
        <v>91.022609890109891</v>
      </c>
      <c r="AA44" s="4">
        <f ca="1"/>
        <v>1.8149999998915636</v>
      </c>
      <c r="AE44" t="str">
        <f ca="1"/>
        <v>AZ459860 Corp</v>
      </c>
      <c r="AF44" t="str">
        <f ca="1"/>
        <v>Japan Government Ten Year Bond</v>
      </c>
      <c r="AG44" t="str">
        <f ca="1"/>
        <v>JGB</v>
      </c>
      <c r="AH44" t="str">
        <f ca="1"/>
        <v>JP</v>
      </c>
      <c r="AI44" t="str">
        <f ca="1"/>
        <v>JPY</v>
      </c>
      <c r="AJ44" t="str">
        <f ca="1"/>
        <v>20/06/2029</v>
      </c>
      <c r="AK44" t="str">
        <f ca="1"/>
        <v>FIXED</v>
      </c>
      <c r="AL44">
        <f ca="1"/>
        <v>2</v>
      </c>
      <c r="AM44">
        <f ca="1"/>
        <v>0.1</v>
      </c>
      <c r="AN44">
        <f ca="1"/>
        <v>1.4159999999997692</v>
      </c>
      <c r="AO44">
        <f ca="1"/>
        <v>1.439999999999745</v>
      </c>
      <c r="AP44">
        <f ca="1"/>
        <v>95.882000000000005</v>
      </c>
      <c r="AQ44">
        <f ca="1"/>
        <v>95.81</v>
      </c>
      <c r="AR44" t="str">
        <f ca="1"/>
        <v>AZ4598605</v>
      </c>
      <c r="AS44" t="str">
        <f ca="1"/>
        <v>JP1103551K72</v>
      </c>
      <c r="AT44" t="str">
        <f ca="1"/>
        <v>A+</v>
      </c>
      <c r="AU44">
        <f ca="1"/>
        <v>43648</v>
      </c>
      <c r="AV44">
        <f ca="1"/>
        <v>46193</v>
      </c>
      <c r="AW44">
        <f ca="1"/>
        <v>3.2251882272416155</v>
      </c>
      <c r="AX44">
        <f ca="1"/>
        <v>95.846000000000004</v>
      </c>
      <c r="AY44">
        <f ca="1"/>
        <v>31</v>
      </c>
      <c r="AZ44">
        <f ca="1"/>
        <v>3</v>
      </c>
      <c r="BA44">
        <f ca="1"/>
        <v>7</v>
      </c>
      <c r="BB44">
        <f ca="1"/>
        <v>5.4945054945054951E-2</v>
      </c>
      <c r="BC44">
        <f ca="1"/>
        <v>95.791054945054952</v>
      </c>
      <c r="BD44">
        <f ca="1"/>
        <v>1.427999999999757</v>
      </c>
    </row>
    <row r="45" spans="2:56" ht="12.75" x14ac:dyDescent="0.35">
      <c r="B45" t="str">
        <f ca="1"/>
        <v>BX625748 Corp</v>
      </c>
      <c r="C45" t="str">
        <f ca="1"/>
        <v>Japan Government Ten Year Bond</v>
      </c>
      <c r="D45" t="str">
        <f ca="1"/>
        <v>JGB</v>
      </c>
      <c r="E45" t="str">
        <f ca="1"/>
        <v>JP</v>
      </c>
      <c r="F45" t="str">
        <f ca="1"/>
        <v>JPY</v>
      </c>
      <c r="G45" t="str">
        <f ca="1"/>
        <v>20/06/2032</v>
      </c>
      <c r="H45" t="str">
        <f ca="1"/>
        <v>FIXED</v>
      </c>
      <c r="I45">
        <f ca="1"/>
        <v>2</v>
      </c>
      <c r="J45">
        <f ca="1"/>
        <v>0.2</v>
      </c>
      <c r="K45">
        <f ca="1"/>
        <v>1.8349999998885898</v>
      </c>
      <c r="L45">
        <f ca="1"/>
        <v>1.8519999998808494</v>
      </c>
      <c r="M45">
        <f ca="1"/>
        <v>90.801000000000002</v>
      </c>
      <c r="N45">
        <f ca="1"/>
        <v>90.713999999999999</v>
      </c>
      <c r="O45" t="str">
        <f ca="1"/>
        <v>BX6257485</v>
      </c>
      <c r="P45" t="str">
        <f ca="1"/>
        <v>JP1103671N74</v>
      </c>
      <c r="Q45" t="str">
        <f ca="1"/>
        <v>A+</v>
      </c>
      <c r="R45" s="3">
        <f ca="1"/>
        <v>44740</v>
      </c>
      <c r="S45">
        <f ca="1"/>
        <v>46193</v>
      </c>
      <c r="T45">
        <f ca="1"/>
        <v>6.2258726899383987</v>
      </c>
      <c r="U45" s="4">
        <f ca="1"/>
        <v>90.757499999999993</v>
      </c>
      <c r="V45">
        <f ca="1"/>
        <v>68</v>
      </c>
      <c r="W45">
        <f ca="1"/>
        <v>6</v>
      </c>
      <c r="X45" s="4">
        <f ca="1"/>
        <v>4</v>
      </c>
      <c r="Y45" s="4">
        <f ca="1"/>
        <v>0.1098901098901099</v>
      </c>
      <c r="Z45" s="4">
        <f ca="1"/>
        <v>90.647609890109877</v>
      </c>
      <c r="AA45" s="4">
        <f ca="1"/>
        <v>1.8434999998847195</v>
      </c>
      <c r="AE45" t="str">
        <f ca="1"/>
        <v>YV146917 Corp</v>
      </c>
      <c r="AF45" t="str">
        <f ca="1"/>
        <v>Japan Government Five Year Bond</v>
      </c>
      <c r="AG45" t="str">
        <f ca="1"/>
        <v>JGB</v>
      </c>
      <c r="AH45" t="str">
        <f ca="1"/>
        <v>JP</v>
      </c>
      <c r="AI45" t="str">
        <f ca="1"/>
        <v>JPY</v>
      </c>
      <c r="AJ45" t="str">
        <f ca="1"/>
        <v>20/06/2029</v>
      </c>
      <c r="AK45" t="str">
        <f ca="1"/>
        <v>FIXED</v>
      </c>
      <c r="AL45">
        <f ca="1"/>
        <v>2</v>
      </c>
      <c r="AM45">
        <f ca="1"/>
        <v>0.4</v>
      </c>
      <c r="AN45">
        <f ca="1"/>
        <v>1.4129999999999545</v>
      </c>
      <c r="AO45">
        <f ca="1"/>
        <v>1.432999999999951</v>
      </c>
      <c r="AP45">
        <f ca="1"/>
        <v>96.83</v>
      </c>
      <c r="AQ45">
        <f ca="1"/>
        <v>96.769000000000005</v>
      </c>
      <c r="AR45" t="str">
        <f ca="1"/>
        <v>YV1469175</v>
      </c>
      <c r="AS45" t="str">
        <f ca="1"/>
        <v>JP1051711Q82</v>
      </c>
      <c r="AT45" t="str">
        <f ca="1"/>
        <v>A+</v>
      </c>
      <c r="AU45">
        <f ca="1"/>
        <v>45511</v>
      </c>
      <c r="AV45">
        <f ca="1"/>
        <v>46193</v>
      </c>
      <c r="AW45">
        <f ca="1"/>
        <v>3.2251882272416155</v>
      </c>
      <c r="AX45">
        <f ca="1"/>
        <v>96.799499999999995</v>
      </c>
      <c r="AY45">
        <f ca="1"/>
        <v>265</v>
      </c>
      <c r="AZ45">
        <f ca="1"/>
        <v>3</v>
      </c>
      <c r="BA45">
        <f ca="1"/>
        <v>2</v>
      </c>
      <c r="BB45">
        <f ca="1"/>
        <v>0.2197802197802198</v>
      </c>
      <c r="BC45">
        <f ca="1"/>
        <v>96.579719780219776</v>
      </c>
      <c r="BD45">
        <f ca="1"/>
        <v>1.4229999999999527</v>
      </c>
    </row>
    <row r="46" spans="2:56" ht="12.75" x14ac:dyDescent="0.35">
      <c r="B46" t="str">
        <f ca="1"/>
        <v>BZ503564 Corp</v>
      </c>
      <c r="C46" t="str">
        <f ca="1"/>
        <v>Japan Government Ten Year Bond</v>
      </c>
      <c r="D46" t="str">
        <f ca="1"/>
        <v>JGB</v>
      </c>
      <c r="E46" t="str">
        <f ca="1"/>
        <v>JP</v>
      </c>
      <c r="F46" t="str">
        <f ca="1"/>
        <v>JPY</v>
      </c>
      <c r="G46" t="str">
        <f ca="1"/>
        <v>20/09/2032</v>
      </c>
      <c r="H46" t="str">
        <f ca="1"/>
        <v>FIXED</v>
      </c>
      <c r="I46">
        <f ca="1"/>
        <v>2</v>
      </c>
      <c r="J46">
        <f ca="1"/>
        <v>0.2</v>
      </c>
      <c r="K46">
        <f ca="1"/>
        <v>1.8649999999999975</v>
      </c>
      <c r="L46">
        <f ca="1"/>
        <v>1.8810000000000002</v>
      </c>
      <c r="M46">
        <f ca="1"/>
        <v>90.313000000000002</v>
      </c>
      <c r="N46">
        <f ca="1"/>
        <v>90.228999999999999</v>
      </c>
      <c r="O46" t="str">
        <f ca="1"/>
        <v>BZ5035648</v>
      </c>
      <c r="P46" t="str">
        <f ca="1"/>
        <v>JP1103681NA2</v>
      </c>
      <c r="Q46" t="str">
        <f ca="1"/>
        <v>A+</v>
      </c>
      <c r="R46" s="3">
        <f ca="1"/>
        <v>44831</v>
      </c>
      <c r="S46">
        <f ca="1"/>
        <v>46101</v>
      </c>
      <c r="T46">
        <f ca="1"/>
        <v>6.4777549623545516</v>
      </c>
      <c r="U46" s="4">
        <f ca="1"/>
        <v>90.271000000000001</v>
      </c>
      <c r="V46">
        <f ca="1"/>
        <v>72</v>
      </c>
      <c r="W46">
        <f ca="1"/>
        <v>6</v>
      </c>
      <c r="X46" s="4">
        <f ca="1"/>
        <v>4</v>
      </c>
      <c r="Y46" s="4">
        <f ca="1"/>
        <v>0.20989010989010992</v>
      </c>
      <c r="Z46" s="4">
        <f ca="1"/>
        <v>90.06110989010989</v>
      </c>
      <c r="AA46" s="4">
        <f ca="1"/>
        <v>1.8729999999999989</v>
      </c>
      <c r="AE46" t="str">
        <f ca="1"/>
        <v>ZR885925 Corp</v>
      </c>
      <c r="AF46" t="str">
        <f ca="1"/>
        <v>Japan Government Ten Year Bond</v>
      </c>
      <c r="AG46" t="str">
        <f ca="1"/>
        <v>JGB</v>
      </c>
      <c r="AH46" t="str">
        <f ca="1"/>
        <v>JP</v>
      </c>
      <c r="AI46" t="str">
        <f ca="1"/>
        <v>JPY</v>
      </c>
      <c r="AJ46" t="str">
        <f ca="1"/>
        <v>20/09/2029</v>
      </c>
      <c r="AK46" t="str">
        <f ca="1"/>
        <v>FIXED</v>
      </c>
      <c r="AL46">
        <f ca="1"/>
        <v>2</v>
      </c>
      <c r="AM46">
        <f ca="1"/>
        <v>0.1</v>
      </c>
      <c r="AN46">
        <f ca="1"/>
        <v>1.4599999999990589</v>
      </c>
      <c r="AO46">
        <f ca="1"/>
        <v>1.4819999999989455</v>
      </c>
      <c r="AP46">
        <f ca="1"/>
        <v>95.438999999999993</v>
      </c>
      <c r="AQ46">
        <f ca="1"/>
        <v>95.369</v>
      </c>
      <c r="AR46" t="str">
        <f ca="1"/>
        <v>ZR8859251</v>
      </c>
      <c r="AS46" t="str">
        <f ca="1"/>
        <v>JP1103561KA2</v>
      </c>
      <c r="AT46" t="str">
        <f ca="1"/>
        <v>A+</v>
      </c>
      <c r="AU46">
        <f ca="1"/>
        <v>43739</v>
      </c>
      <c r="AV46">
        <f ca="1"/>
        <v>46101</v>
      </c>
      <c r="AW46">
        <f ca="1"/>
        <v>3.4770704996577688</v>
      </c>
      <c r="AX46">
        <f ca="1"/>
        <v>95.403999999999996</v>
      </c>
      <c r="AY46">
        <f ca="1"/>
        <v>323</v>
      </c>
      <c r="AZ46">
        <f ca="1"/>
        <v>3</v>
      </c>
      <c r="BA46">
        <f ca="1"/>
        <v>7</v>
      </c>
      <c r="BB46">
        <f ca="1"/>
        <v>0.10494505494505496</v>
      </c>
      <c r="BC46">
        <f ca="1"/>
        <v>95.299054945054948</v>
      </c>
      <c r="BD46">
        <f ca="1"/>
        <v>1.4709999999990022</v>
      </c>
    </row>
    <row r="47" spans="2:56" ht="12.75" x14ac:dyDescent="0.35">
      <c r="B47" t="str">
        <f ca="1"/>
        <v>ZJ604342 Corp</v>
      </c>
      <c r="C47" t="str">
        <f ca="1"/>
        <v>Japan Government Ten Year Bond</v>
      </c>
      <c r="D47" t="str">
        <f ca="1"/>
        <v>JGB</v>
      </c>
      <c r="E47" t="str">
        <f ca="1"/>
        <v>JP</v>
      </c>
      <c r="F47" t="str">
        <f ca="1"/>
        <v>JPY</v>
      </c>
      <c r="G47" t="str">
        <f ca="1"/>
        <v>20/06/2033</v>
      </c>
      <c r="H47" t="str">
        <f ca="1"/>
        <v>FIXED</v>
      </c>
      <c r="I47">
        <f ca="1"/>
        <v>2</v>
      </c>
      <c r="J47">
        <f ca="1"/>
        <v>0.4</v>
      </c>
      <c r="K47">
        <f ca="1"/>
        <v>1.9430000000000005</v>
      </c>
      <c r="L47">
        <f ca="1"/>
        <v>1.9609999999999994</v>
      </c>
      <c r="M47">
        <f ca="1"/>
        <v>90.165999999999997</v>
      </c>
      <c r="N47">
        <f ca="1"/>
        <v>90.061999999999998</v>
      </c>
      <c r="O47" t="str">
        <f ca="1"/>
        <v>ZJ6043427</v>
      </c>
      <c r="P47" t="str">
        <f ca="1"/>
        <v>JP1103711P74</v>
      </c>
      <c r="Q47" t="str">
        <f ca="1"/>
        <v>A+</v>
      </c>
      <c r="R47" s="3">
        <f ca="1"/>
        <v>45104</v>
      </c>
      <c r="S47">
        <f ca="1"/>
        <v>46193</v>
      </c>
      <c r="T47">
        <f ca="1"/>
        <v>7.225188227241615</v>
      </c>
      <c r="U47" s="4">
        <f ca="1"/>
        <v>90.114000000000004</v>
      </c>
      <c r="V47">
        <f ca="1"/>
        <v>301</v>
      </c>
      <c r="W47">
        <f ca="1"/>
        <v>7</v>
      </c>
      <c r="X47" s="4">
        <f ca="1"/>
        <v>3</v>
      </c>
      <c r="Y47" s="4">
        <f ca="1"/>
        <v>0.2197802197802198</v>
      </c>
      <c r="Z47" s="4">
        <f ca="1"/>
        <v>89.894219780219785</v>
      </c>
      <c r="AA47" s="4">
        <f ca="1"/>
        <v>1.952</v>
      </c>
      <c r="AE47" t="str">
        <f ca="1"/>
        <v>ZP316570 Corp</v>
      </c>
      <c r="AF47" t="str">
        <f ca="1"/>
        <v>Japan Government Ten Year Bond</v>
      </c>
      <c r="AG47" t="str">
        <f ca="1"/>
        <v>JGB</v>
      </c>
      <c r="AH47" t="str">
        <f ca="1"/>
        <v>JP</v>
      </c>
      <c r="AI47" t="str">
        <f ca="1"/>
        <v>JPY</v>
      </c>
      <c r="AJ47" t="str">
        <f ca="1"/>
        <v>20/12/2029</v>
      </c>
      <c r="AK47" t="str">
        <f ca="1"/>
        <v>FIXED</v>
      </c>
      <c r="AL47">
        <f ca="1"/>
        <v>2</v>
      </c>
      <c r="AM47">
        <f ca="1"/>
        <v>0.1</v>
      </c>
      <c r="AN47">
        <f ca="1"/>
        <v>1.5069999999989467</v>
      </c>
      <c r="AO47">
        <f ca="1"/>
        <v>1.5289999999988426</v>
      </c>
      <c r="AP47">
        <f ca="1"/>
        <v>94.974000000000004</v>
      </c>
      <c r="AQ47">
        <f ca="1"/>
        <v>94.899000000000001</v>
      </c>
      <c r="AR47" t="str">
        <f ca="1"/>
        <v>ZP3165708</v>
      </c>
      <c r="AS47" t="str">
        <f ca="1"/>
        <v>JP1103571L10</v>
      </c>
      <c r="AT47" t="str">
        <f ca="1"/>
        <v>A+</v>
      </c>
      <c r="AU47">
        <f ca="1"/>
        <v>43826</v>
      </c>
      <c r="AV47">
        <f ca="1"/>
        <v>46193</v>
      </c>
      <c r="AW47">
        <f ca="1"/>
        <v>3.7262149212867897</v>
      </c>
      <c r="AX47">
        <f ca="1"/>
        <v>94.936499999999995</v>
      </c>
      <c r="AY47">
        <f ca="1"/>
        <v>318</v>
      </c>
      <c r="AZ47">
        <f ca="1"/>
        <v>3.5</v>
      </c>
      <c r="BA47">
        <f ca="1"/>
        <v>7</v>
      </c>
      <c r="BB47">
        <f ca="1"/>
        <v>5.4945054945054951E-2</v>
      </c>
      <c r="BC47">
        <f ca="1"/>
        <v>94.881554945054944</v>
      </c>
      <c r="BD47">
        <f ca="1"/>
        <v>1.5179999999988947</v>
      </c>
    </row>
    <row r="48" spans="2:56" ht="12.75" x14ac:dyDescent="0.35">
      <c r="B48" t="str">
        <f ca="1"/>
        <v>JK501604 Corp</v>
      </c>
      <c r="C48" t="str">
        <f ca="1"/>
        <v>Japan Government Twenty Year Bond</v>
      </c>
      <c r="D48" t="str">
        <f ca="1"/>
        <v>JGB</v>
      </c>
      <c r="E48" t="str">
        <f ca="1"/>
        <v>JP</v>
      </c>
      <c r="F48" t="str">
        <f ca="1"/>
        <v>JPY</v>
      </c>
      <c r="G48" t="str">
        <f ca="1"/>
        <v>20/03/2036</v>
      </c>
      <c r="H48" t="str">
        <f ca="1"/>
        <v>FIXED</v>
      </c>
      <c r="I48">
        <f ca="1"/>
        <v>2</v>
      </c>
      <c r="J48">
        <f ca="1"/>
        <v>0.4</v>
      </c>
      <c r="K48">
        <f ca="1"/>
        <v>2.3739999999999815</v>
      </c>
      <c r="L48">
        <f ca="1"/>
        <v>2.3979999999999784</v>
      </c>
      <c r="M48">
        <f ca="1"/>
        <v>84.018000000000001</v>
      </c>
      <c r="N48">
        <f ca="1"/>
        <v>83.855999999999995</v>
      </c>
      <c r="O48" t="str">
        <f ca="1"/>
        <v>JK5016049</v>
      </c>
      <c r="P48" t="str">
        <f ca="1"/>
        <v>JP1201561G37</v>
      </c>
      <c r="Q48" t="str">
        <f ca="1"/>
        <v>A+</v>
      </c>
      <c r="R48" s="3">
        <f ca="1"/>
        <v>42446</v>
      </c>
      <c r="S48">
        <f ca="1"/>
        <v>46101</v>
      </c>
      <c r="T48">
        <f ca="1"/>
        <v>9.9739904175222449</v>
      </c>
      <c r="U48" s="4">
        <f ca="1"/>
        <v>83.936999999999998</v>
      </c>
      <c r="V48">
        <f ca="1"/>
        <v>208</v>
      </c>
      <c r="W48">
        <f ca="1"/>
        <v>9.5</v>
      </c>
      <c r="X48" s="4">
        <f ca="1"/>
        <v>10</v>
      </c>
      <c r="Y48" s="4">
        <f ca="1"/>
        <v>0.41978021978021984</v>
      </c>
      <c r="Z48" s="4">
        <f ca="1"/>
        <v>83.517219780219776</v>
      </c>
      <c r="AA48" s="4">
        <f ca="1"/>
        <v>2.3859999999999797</v>
      </c>
      <c r="AE48" t="str">
        <f ca="1"/>
        <v>BH527948 Corp</v>
      </c>
      <c r="AF48" t="str">
        <f ca="1"/>
        <v>Japan Government Ten Year Bond</v>
      </c>
      <c r="AG48" t="str">
        <f ca="1"/>
        <v>JGB</v>
      </c>
      <c r="AH48" t="str">
        <f ca="1"/>
        <v>JP</v>
      </c>
      <c r="AI48" t="str">
        <f ca="1"/>
        <v>JPY</v>
      </c>
      <c r="AJ48" t="str">
        <f ca="1"/>
        <v>20/03/2030</v>
      </c>
      <c r="AK48" t="str">
        <f ca="1"/>
        <v>FIXED</v>
      </c>
      <c r="AL48">
        <f ca="1"/>
        <v>2</v>
      </c>
      <c r="AM48">
        <f ca="1"/>
        <v>0.1</v>
      </c>
      <c r="AN48">
        <f ca="1"/>
        <v>1.5469999999964401</v>
      </c>
      <c r="AO48">
        <f ca="1"/>
        <v>1.5669999999961144</v>
      </c>
      <c r="AP48">
        <f ca="1"/>
        <v>94.521000000000001</v>
      </c>
      <c r="AQ48">
        <f ca="1"/>
        <v>94.448999999999998</v>
      </c>
      <c r="AR48" t="str">
        <f ca="1"/>
        <v>BH5279485</v>
      </c>
      <c r="AS48" t="str">
        <f ca="1"/>
        <v>JP1103581L42</v>
      </c>
      <c r="AT48" t="str">
        <f ca="1"/>
        <v>A+</v>
      </c>
      <c r="AU48">
        <f ca="1"/>
        <v>43916</v>
      </c>
      <c r="AV48">
        <f ca="1"/>
        <v>46101</v>
      </c>
      <c r="AW48">
        <f ca="1"/>
        <v>3.9726214921286789</v>
      </c>
      <c r="AX48">
        <f ca="1"/>
        <v>94.484999999999999</v>
      </c>
      <c r="AY48">
        <f ca="1"/>
        <v>34</v>
      </c>
      <c r="AZ48">
        <f ca="1"/>
        <v>3.5</v>
      </c>
      <c r="BA48">
        <f ca="1"/>
        <v>6</v>
      </c>
      <c r="BB48">
        <f ca="1"/>
        <v>0.10494505494505496</v>
      </c>
      <c r="BC48">
        <f ca="1"/>
        <v>94.380054945054951</v>
      </c>
      <c r="BD48">
        <f ca="1"/>
        <v>1.5569999999962771</v>
      </c>
    </row>
    <row r="49" spans="2:56" ht="12.75" x14ac:dyDescent="0.35">
      <c r="B49" t="str">
        <f ca="1"/>
        <v>LW545302 Corp</v>
      </c>
      <c r="C49" t="str">
        <f ca="1"/>
        <v>Japan Government Twenty Year Bond</v>
      </c>
      <c r="D49" t="str">
        <f ca="1"/>
        <v>JGB</v>
      </c>
      <c r="E49" t="str">
        <f ca="1"/>
        <v>JP</v>
      </c>
      <c r="F49" t="str">
        <f ca="1"/>
        <v>JPY</v>
      </c>
      <c r="G49" t="str">
        <f ca="1"/>
        <v>20/06/2036</v>
      </c>
      <c r="H49" t="str">
        <f ca="1"/>
        <v>FIXED</v>
      </c>
      <c r="I49">
        <f ca="1"/>
        <v>2</v>
      </c>
      <c r="J49">
        <f ca="1"/>
        <v>0.2</v>
      </c>
      <c r="K49">
        <f ca="1"/>
        <v>2.4399999999998894</v>
      </c>
      <c r="L49">
        <f ca="1"/>
        <v>2.464999999999876</v>
      </c>
      <c r="M49">
        <f ca="1"/>
        <v>81.599000000000004</v>
      </c>
      <c r="N49">
        <f ca="1"/>
        <v>81.430999999999997</v>
      </c>
      <c r="O49" t="str">
        <f ca="1"/>
        <v>LW5453029</v>
      </c>
      <c r="P49" t="str">
        <f ca="1"/>
        <v>JP1201571G68</v>
      </c>
      <c r="Q49" t="str">
        <f ca="1"/>
        <v>A+</v>
      </c>
      <c r="R49" s="3">
        <f ca="1"/>
        <v>42544</v>
      </c>
      <c r="S49">
        <f ca="1"/>
        <v>46193</v>
      </c>
      <c r="T49">
        <f ca="1"/>
        <v>10.225872689938399</v>
      </c>
      <c r="U49" s="4">
        <f ca="1"/>
        <v>81.515000000000001</v>
      </c>
      <c r="V49">
        <f ca="1"/>
        <v>214</v>
      </c>
      <c r="W49">
        <f ca="1"/>
        <v>10</v>
      </c>
      <c r="X49" s="4">
        <f ca="1"/>
        <v>10</v>
      </c>
      <c r="Y49" s="4">
        <f ca="1"/>
        <v>0.1098901098901099</v>
      </c>
      <c r="Z49" s="4">
        <f ca="1"/>
        <v>81.405109890109884</v>
      </c>
      <c r="AA49" s="4">
        <f ca="1"/>
        <v>2.4524999999998824</v>
      </c>
      <c r="AE49" t="str">
        <f ca="1"/>
        <v>BK340998 Corp</v>
      </c>
      <c r="AF49" t="str">
        <f ca="1"/>
        <v>Japan Government Ten Year Bond</v>
      </c>
      <c r="AG49" t="str">
        <f ca="1"/>
        <v>JGB</v>
      </c>
      <c r="AH49" t="str">
        <f ca="1"/>
        <v>JP</v>
      </c>
      <c r="AI49" t="str">
        <f ca="1"/>
        <v>JPY</v>
      </c>
      <c r="AJ49" t="str">
        <f ca="1"/>
        <v>20/06/2030</v>
      </c>
      <c r="AK49" t="str">
        <f ca="1"/>
        <v>FIXED</v>
      </c>
      <c r="AL49">
        <f ca="1"/>
        <v>2</v>
      </c>
      <c r="AM49">
        <f ca="1"/>
        <v>0.1</v>
      </c>
      <c r="AN49">
        <f ca="1"/>
        <v>1.5799999999962568</v>
      </c>
      <c r="AO49">
        <f ca="1"/>
        <v>1.602999999995868</v>
      </c>
      <c r="AP49">
        <f ca="1"/>
        <v>94.073999999999998</v>
      </c>
      <c r="AQ49">
        <f ca="1"/>
        <v>93.988</v>
      </c>
      <c r="AR49" t="str">
        <f ca="1"/>
        <v>BK3409988</v>
      </c>
      <c r="AS49" t="str">
        <f ca="1"/>
        <v>JP1103591L73</v>
      </c>
      <c r="AT49" t="str">
        <f ca="1"/>
        <v>A+</v>
      </c>
      <c r="AU49">
        <f ca="1"/>
        <v>44007</v>
      </c>
      <c r="AV49">
        <f ca="1"/>
        <v>46193</v>
      </c>
      <c r="AW49">
        <f ca="1"/>
        <v>4.2245037645448322</v>
      </c>
      <c r="AX49">
        <f ca="1"/>
        <v>94.031000000000006</v>
      </c>
      <c r="AY49">
        <f ca="1"/>
        <v>38</v>
      </c>
      <c r="AZ49">
        <f ca="1"/>
        <v>4</v>
      </c>
      <c r="BA49">
        <f ca="1"/>
        <v>6</v>
      </c>
      <c r="BB49">
        <f ca="1"/>
        <v>5.4945054945054951E-2</v>
      </c>
      <c r="BC49">
        <f ca="1"/>
        <v>93.976054945054955</v>
      </c>
      <c r="BD49">
        <f ca="1"/>
        <v>1.5914999999960624</v>
      </c>
    </row>
    <row r="50" spans="2:56" ht="12.75" x14ac:dyDescent="0.35">
      <c r="B50" t="str">
        <f ca="1"/>
        <v>ZS214186 Corp</v>
      </c>
      <c r="C50" t="str">
        <f ca="1"/>
        <v>Japan Government Twenty Year Bond</v>
      </c>
      <c r="D50" t="str">
        <f ca="1"/>
        <v>JGB</v>
      </c>
      <c r="E50" t="str">
        <f ca="1"/>
        <v>JP</v>
      </c>
      <c r="F50" t="str">
        <f ca="1"/>
        <v>JPY</v>
      </c>
      <c r="G50" t="str">
        <f ca="1"/>
        <v>20/03/2039</v>
      </c>
      <c r="H50" t="str">
        <f ca="1"/>
        <v>FIXED</v>
      </c>
      <c r="I50">
        <f ca="1"/>
        <v>2</v>
      </c>
      <c r="J50">
        <f ca="1"/>
        <v>0.4</v>
      </c>
      <c r="K50">
        <f ca="1"/>
        <v>2.8679999999969943</v>
      </c>
      <c r="L50">
        <f ca="1"/>
        <v>2.8949999999966343</v>
      </c>
      <c r="M50">
        <f ca="1"/>
        <v>76.599999999999994</v>
      </c>
      <c r="N50">
        <f ca="1"/>
        <v>76.405000000000001</v>
      </c>
      <c r="O50" t="str">
        <f ca="1"/>
        <v>ZS2141860</v>
      </c>
      <c r="P50" t="str">
        <f ca="1"/>
        <v>JP1201681K44</v>
      </c>
      <c r="Q50" t="str">
        <f ca="1"/>
        <v>A+</v>
      </c>
      <c r="R50" s="3">
        <f ca="1"/>
        <v>43571</v>
      </c>
      <c r="S50">
        <f ca="1"/>
        <v>46101</v>
      </c>
      <c r="T50">
        <f ca="1"/>
        <v>12.971937029431896</v>
      </c>
      <c r="U50" s="4">
        <f ca="1"/>
        <v>76.502499999999998</v>
      </c>
      <c r="V50">
        <f ca="1"/>
        <v>325</v>
      </c>
      <c r="W50">
        <f ca="1"/>
        <v>12.5</v>
      </c>
      <c r="X50" s="4">
        <f ca="1"/>
        <v>7</v>
      </c>
      <c r="Y50" s="4">
        <f ca="1"/>
        <v>0.41978021978021984</v>
      </c>
      <c r="Z50" s="4">
        <f ca="1"/>
        <v>76.082719780219776</v>
      </c>
      <c r="AA50" s="4">
        <f ca="1"/>
        <v>2.8814999999968141</v>
      </c>
      <c r="AE50" t="str">
        <f ca="1"/>
        <v>ZO739535 Corp</v>
      </c>
      <c r="AF50" t="str">
        <f ca="1"/>
        <v>Japan Government Ten Year Bond</v>
      </c>
      <c r="AG50" t="str">
        <f ca="1"/>
        <v>JGB</v>
      </c>
      <c r="AH50" t="str">
        <f ca="1"/>
        <v>JP</v>
      </c>
      <c r="AI50" t="str">
        <f ca="1"/>
        <v>JPY</v>
      </c>
      <c r="AJ50" t="str">
        <f ca="1"/>
        <v>20/09/2030</v>
      </c>
      <c r="AK50" t="str">
        <f ca="1"/>
        <v>FIXED</v>
      </c>
      <c r="AL50">
        <f ca="1"/>
        <v>2</v>
      </c>
      <c r="AM50">
        <f ca="1"/>
        <v>0.1</v>
      </c>
      <c r="AN50">
        <f ca="1"/>
        <v>1.6079999999895414</v>
      </c>
      <c r="AO50">
        <f ca="1"/>
        <v>1.6289999999885652</v>
      </c>
      <c r="AP50">
        <f ca="1"/>
        <v>93.637</v>
      </c>
      <c r="AQ50">
        <f ca="1"/>
        <v>93.554000000000002</v>
      </c>
      <c r="AR50" t="str">
        <f ca="1"/>
        <v>ZO7395353</v>
      </c>
      <c r="AS50" t="str">
        <f ca="1"/>
        <v>JP1103601LA4</v>
      </c>
      <c r="AT50" t="str">
        <f ca="1"/>
        <v>A+</v>
      </c>
      <c r="AU50">
        <f ca="1"/>
        <v>44098</v>
      </c>
      <c r="AV50">
        <f ca="1"/>
        <v>46101</v>
      </c>
      <c r="AW50">
        <f ca="1"/>
        <v>4.476386036960986</v>
      </c>
      <c r="AX50">
        <f ca="1"/>
        <v>93.595500000000001</v>
      </c>
      <c r="AY50">
        <f ca="1"/>
        <v>316</v>
      </c>
      <c r="AZ50">
        <f ca="1"/>
        <v>4</v>
      </c>
      <c r="BA50">
        <f ca="1"/>
        <v>6</v>
      </c>
      <c r="BB50">
        <f ca="1"/>
        <v>0.10494505494505496</v>
      </c>
      <c r="BC50">
        <f ca="1"/>
        <v>93.490554945054953</v>
      </c>
      <c r="BD50">
        <f ca="1"/>
        <v>1.6184999999890533</v>
      </c>
    </row>
    <row r="51" spans="2:56" ht="12.75" x14ac:dyDescent="0.35">
      <c r="B51" t="str">
        <f ca="1"/>
        <v>AZ694472 Corp</v>
      </c>
      <c r="C51" t="str">
        <f ca="1"/>
        <v>Japan Government Twenty Year Bond</v>
      </c>
      <c r="D51" t="str">
        <f ca="1"/>
        <v>JGB</v>
      </c>
      <c r="E51" t="str">
        <f ca="1"/>
        <v>JP</v>
      </c>
      <c r="F51" t="str">
        <f ca="1"/>
        <v>JPY</v>
      </c>
      <c r="G51" t="str">
        <f ca="1"/>
        <v>20/06/2039</v>
      </c>
      <c r="H51" t="str">
        <f ca="1"/>
        <v>FIXED</v>
      </c>
      <c r="I51">
        <f ca="1"/>
        <v>2</v>
      </c>
      <c r="J51">
        <f ca="1"/>
        <v>0.3</v>
      </c>
      <c r="K51">
        <f ca="1"/>
        <v>2.9409999999920133</v>
      </c>
      <c r="L51">
        <f ca="1"/>
        <v>2.965999999991189</v>
      </c>
      <c r="M51">
        <f ca="1"/>
        <v>74.786000000000001</v>
      </c>
      <c r="N51">
        <f ca="1"/>
        <v>74.608000000000004</v>
      </c>
      <c r="O51" t="str">
        <f ca="1"/>
        <v>AZ6944724</v>
      </c>
      <c r="P51" t="str">
        <f ca="1"/>
        <v>JP1201691K75</v>
      </c>
      <c r="Q51" t="str">
        <f ca="1"/>
        <v>A+</v>
      </c>
      <c r="R51" s="3">
        <f ca="1"/>
        <v>43663</v>
      </c>
      <c r="S51">
        <f ca="1"/>
        <v>46193</v>
      </c>
      <c r="T51">
        <f ca="1"/>
        <v>13.223819301848049</v>
      </c>
      <c r="U51" s="4">
        <f ca="1"/>
        <v>74.697000000000003</v>
      </c>
      <c r="V51">
        <f ca="1"/>
        <v>33</v>
      </c>
      <c r="W51">
        <f ca="1"/>
        <v>13</v>
      </c>
      <c r="X51" s="4">
        <f ca="1"/>
        <v>7</v>
      </c>
      <c r="Y51" s="4">
        <f ca="1"/>
        <v>0.16483516483516483</v>
      </c>
      <c r="Z51" s="4">
        <f ca="1"/>
        <v>74.532164835164835</v>
      </c>
      <c r="AA51" s="4">
        <f ca="1"/>
        <v>2.9534999999916014</v>
      </c>
      <c r="AE51" t="str">
        <f ca="1"/>
        <v>BN361059 Corp</v>
      </c>
      <c r="AF51" t="str">
        <f ca="1"/>
        <v>Japan Government Ten Year Bond</v>
      </c>
      <c r="AG51" t="str">
        <f ca="1"/>
        <v>JGB</v>
      </c>
      <c r="AH51" t="str">
        <f ca="1"/>
        <v>JP</v>
      </c>
      <c r="AI51" t="str">
        <f ca="1"/>
        <v>JPY</v>
      </c>
      <c r="AJ51" t="str">
        <f ca="1"/>
        <v>20/12/2030</v>
      </c>
      <c r="AK51" t="str">
        <f ca="1"/>
        <v>FIXED</v>
      </c>
      <c r="AL51">
        <f ca="1"/>
        <v>2</v>
      </c>
      <c r="AM51">
        <f ca="1"/>
        <v>0.1</v>
      </c>
      <c r="AN51">
        <f ca="1"/>
        <v>1.6439999999887491</v>
      </c>
      <c r="AO51">
        <f ca="1"/>
        <v>1.6649999999877207</v>
      </c>
      <c r="AP51">
        <f ca="1"/>
        <v>93.162999999999997</v>
      </c>
      <c r="AQ51">
        <f ca="1"/>
        <v>93.076999999999998</v>
      </c>
      <c r="AR51" t="str">
        <f ca="1"/>
        <v>BN3610597</v>
      </c>
      <c r="AS51" t="str">
        <f ca="1"/>
        <v>JP1103611M11</v>
      </c>
      <c r="AT51" t="str">
        <f ca="1"/>
        <v>NR</v>
      </c>
      <c r="AU51">
        <f ca="1"/>
        <v>44193</v>
      </c>
      <c r="AV51">
        <f ca="1"/>
        <v>46193</v>
      </c>
      <c r="AW51">
        <f ca="1"/>
        <v>4.7255304585900069</v>
      </c>
      <c r="AX51">
        <f ca="1"/>
        <v>93.12</v>
      </c>
      <c r="AY51">
        <f ca="1"/>
        <v>42</v>
      </c>
      <c r="AZ51">
        <f ca="1"/>
        <v>4.5</v>
      </c>
      <c r="BA51">
        <f ca="1"/>
        <v>6</v>
      </c>
      <c r="BB51">
        <f ca="1"/>
        <v>5.4945054945054951E-2</v>
      </c>
      <c r="BC51">
        <f ca="1"/>
        <v>93.065054945054953</v>
      </c>
      <c r="BD51">
        <f ca="1"/>
        <v>1.6544999999882348</v>
      </c>
    </row>
    <row r="52" spans="2:56" ht="12.75" x14ac:dyDescent="0.35">
      <c r="B52" t="str">
        <f ca="1"/>
        <v>ZQ278992 Corp</v>
      </c>
      <c r="C52" t="str">
        <f ca="1"/>
        <v>Japan Government Twenty Year Bond</v>
      </c>
      <c r="D52" t="str">
        <f ca="1"/>
        <v>JGB</v>
      </c>
      <c r="E52" t="str">
        <f ca="1"/>
        <v>JP</v>
      </c>
      <c r="F52" t="str">
        <f ca="1"/>
        <v>JPY</v>
      </c>
      <c r="G52" t="str">
        <f ca="1"/>
        <v>20/09/2039</v>
      </c>
      <c r="H52" t="str">
        <f ca="1"/>
        <v>FIXED</v>
      </c>
      <c r="I52">
        <f ca="1"/>
        <v>2</v>
      </c>
      <c r="J52">
        <f ca="1"/>
        <v>0.3</v>
      </c>
      <c r="K52">
        <f ca="1"/>
        <v>2.9849999999859871</v>
      </c>
      <c r="L52">
        <f ca="1"/>
        <v>3.0109999999845116</v>
      </c>
      <c r="M52">
        <f ca="1"/>
        <v>74.128</v>
      </c>
      <c r="N52">
        <f ca="1"/>
        <v>73.942999999999998</v>
      </c>
      <c r="O52" t="str">
        <f ca="1"/>
        <v>ZQ2789928</v>
      </c>
      <c r="P52" t="str">
        <f ca="1"/>
        <v>JP1201701KA5</v>
      </c>
      <c r="Q52" t="str">
        <f ca="1"/>
        <v>A+</v>
      </c>
      <c r="R52" s="3">
        <f ca="1"/>
        <v>43762</v>
      </c>
      <c r="S52">
        <f ca="1"/>
        <v>46101</v>
      </c>
      <c r="T52">
        <f ca="1"/>
        <v>13.475701574264203</v>
      </c>
      <c r="U52" s="4">
        <f ca="1"/>
        <v>74.035499999999999</v>
      </c>
      <c r="V52">
        <f ca="1"/>
        <v>322</v>
      </c>
      <c r="W52">
        <f ca="1"/>
        <v>13</v>
      </c>
      <c r="X52" s="4">
        <f ca="1"/>
        <v>7</v>
      </c>
      <c r="Y52" s="4">
        <f ca="1"/>
        <v>0.31483516483516483</v>
      </c>
      <c r="Z52" s="4">
        <f ca="1"/>
        <v>73.72066483516484</v>
      </c>
      <c r="AA52" s="4">
        <f ca="1"/>
        <v>2.9979999999852494</v>
      </c>
      <c r="AE52" t="str">
        <f ca="1"/>
        <v>BO911343 Corp</v>
      </c>
      <c r="AF52" t="str">
        <f ca="1"/>
        <v>Japan Government Ten Year Bond</v>
      </c>
      <c r="AG52" t="str">
        <f ca="1"/>
        <v>JGB</v>
      </c>
      <c r="AH52" t="str">
        <f ca="1"/>
        <v>JP</v>
      </c>
      <c r="AI52" t="str">
        <f ca="1"/>
        <v>JPY</v>
      </c>
      <c r="AJ52" t="str">
        <f ca="1"/>
        <v>20/03/2031</v>
      </c>
      <c r="AK52" t="str">
        <f ca="1"/>
        <v>FIXED</v>
      </c>
      <c r="AL52">
        <f ca="1"/>
        <v>2</v>
      </c>
      <c r="AM52">
        <f ca="1"/>
        <v>0.1</v>
      </c>
      <c r="AN52">
        <f ca="1"/>
        <v>1.6779999999710236</v>
      </c>
      <c r="AO52">
        <f ca="1"/>
        <v>1.6949999999689331</v>
      </c>
      <c r="AP52">
        <f ca="1"/>
        <v>92.691000000000003</v>
      </c>
      <c r="AQ52">
        <f ca="1"/>
        <v>92.617999999999995</v>
      </c>
      <c r="AR52" t="str">
        <f ca="1"/>
        <v>BO9113438</v>
      </c>
      <c r="AS52" t="str">
        <f ca="1"/>
        <v>JP1103621M43</v>
      </c>
      <c r="AT52" t="str">
        <f ca="1"/>
        <v>NR</v>
      </c>
      <c r="AU52">
        <f ca="1"/>
        <v>44280</v>
      </c>
      <c r="AV52">
        <f ca="1"/>
        <v>46101</v>
      </c>
      <c r="AW52">
        <f ca="1"/>
        <v>4.9719370294318956</v>
      </c>
      <c r="AX52">
        <f ca="1"/>
        <v>92.654499999999999</v>
      </c>
      <c r="AY52">
        <f ca="1"/>
        <v>45</v>
      </c>
      <c r="AZ52">
        <f ca="1"/>
        <v>4.5</v>
      </c>
      <c r="BA52">
        <f ca="1"/>
        <v>5</v>
      </c>
      <c r="BB52">
        <f ca="1"/>
        <v>0.10494505494505496</v>
      </c>
      <c r="BC52">
        <f ca="1"/>
        <v>92.54955494505495</v>
      </c>
      <c r="BD52">
        <f ca="1"/>
        <v>1.6864999999699783</v>
      </c>
    </row>
    <row r="53" spans="2:56" ht="12.75" x14ac:dyDescent="0.35">
      <c r="B53" t="str">
        <f ca="1"/>
        <v>ZP562354 Corp</v>
      </c>
      <c r="C53" t="str">
        <f ca="1"/>
        <v>Japan Government Twenty Year Bond</v>
      </c>
      <c r="D53" t="str">
        <f ca="1"/>
        <v>JGB</v>
      </c>
      <c r="E53" t="str">
        <f ca="1"/>
        <v>JP</v>
      </c>
      <c r="F53" t="str">
        <f ca="1"/>
        <v>JPY</v>
      </c>
      <c r="G53" t="str">
        <f ca="1"/>
        <v>20/12/2039</v>
      </c>
      <c r="H53" t="str">
        <f ca="1"/>
        <v>FIXED</v>
      </c>
      <c r="I53">
        <f ca="1"/>
        <v>2</v>
      </c>
      <c r="J53">
        <f ca="1"/>
        <v>0.3</v>
      </c>
      <c r="K53">
        <f ca="1"/>
        <v>3.0269999999836164</v>
      </c>
      <c r="L53">
        <f ca="1"/>
        <v>3.0529999999819166</v>
      </c>
      <c r="M53">
        <f ca="1"/>
        <v>73.489000000000004</v>
      </c>
      <c r="N53">
        <f ca="1"/>
        <v>73.302999999999997</v>
      </c>
      <c r="O53" t="str">
        <f ca="1"/>
        <v>ZP5623548</v>
      </c>
      <c r="P53" t="str">
        <f ca="1"/>
        <v>JP1201711L13</v>
      </c>
      <c r="Q53" t="str">
        <f ca="1"/>
        <v>A+</v>
      </c>
      <c r="R53" s="3">
        <f ca="1"/>
        <v>43840</v>
      </c>
      <c r="S53">
        <f ca="1"/>
        <v>46193</v>
      </c>
      <c r="T53">
        <f ca="1"/>
        <v>13.724845995893224</v>
      </c>
      <c r="U53" s="4">
        <f ca="1"/>
        <v>73.396000000000001</v>
      </c>
      <c r="V53">
        <f ca="1"/>
        <v>320</v>
      </c>
      <c r="W53">
        <f ca="1"/>
        <v>13.5</v>
      </c>
      <c r="X53" s="4">
        <f ca="1"/>
        <v>6</v>
      </c>
      <c r="Y53" s="4">
        <f ca="1"/>
        <v>0.16483516483516483</v>
      </c>
      <c r="Z53" s="4">
        <f ca="1"/>
        <v>73.231164835164833</v>
      </c>
      <c r="AA53" s="4">
        <f ca="1"/>
        <v>3.0399999999827667</v>
      </c>
      <c r="AE53" t="str">
        <f ca="1"/>
        <v>BQ348089 Corp</v>
      </c>
      <c r="AF53" t="str">
        <f ca="1"/>
        <v>Japan Government Ten Year Bond</v>
      </c>
      <c r="AG53" t="str">
        <f ca="1"/>
        <v>JGB</v>
      </c>
      <c r="AH53" t="str">
        <f ca="1"/>
        <v>JP</v>
      </c>
      <c r="AI53" t="str">
        <f ca="1"/>
        <v>JPY</v>
      </c>
      <c r="AJ53" t="str">
        <f ca="1"/>
        <v>20/06/2031</v>
      </c>
      <c r="AK53" t="str">
        <f ca="1"/>
        <v>FIXED</v>
      </c>
      <c r="AL53">
        <f ca="1"/>
        <v>2</v>
      </c>
      <c r="AM53">
        <f ca="1"/>
        <v>0.1</v>
      </c>
      <c r="AN53">
        <f ca="1"/>
        <v>1.7099999999691318</v>
      </c>
      <c r="AO53">
        <f ca="1"/>
        <v>1.7269999999669614</v>
      </c>
      <c r="AP53">
        <f ca="1"/>
        <v>92.210999999999999</v>
      </c>
      <c r="AQ53">
        <f ca="1"/>
        <v>92.135000000000005</v>
      </c>
      <c r="AR53" t="str">
        <f ca="1"/>
        <v>BQ3480895</v>
      </c>
      <c r="AS53" t="str">
        <f ca="1"/>
        <v>JP1103631M74</v>
      </c>
      <c r="AT53" t="str">
        <f ca="1"/>
        <v>NR</v>
      </c>
      <c r="AU53">
        <f ca="1"/>
        <v>44371</v>
      </c>
      <c r="AV53">
        <f ca="1"/>
        <v>46193</v>
      </c>
      <c r="AW53">
        <f ca="1"/>
        <v>5.2238193018480494</v>
      </c>
      <c r="AX53">
        <f ca="1"/>
        <v>92.173000000000002</v>
      </c>
      <c r="AY53">
        <f ca="1"/>
        <v>50</v>
      </c>
      <c r="AZ53">
        <f ca="1"/>
        <v>5</v>
      </c>
      <c r="BA53">
        <f ca="1"/>
        <v>5</v>
      </c>
      <c r="BB53">
        <f ca="1"/>
        <v>5.4945054945054951E-2</v>
      </c>
      <c r="BC53">
        <f ca="1"/>
        <v>92.118054945054951</v>
      </c>
      <c r="BD53">
        <f ca="1"/>
        <v>1.7184999999680466</v>
      </c>
    </row>
    <row r="54" spans="2:56" ht="12.75" x14ac:dyDescent="0.35">
      <c r="B54" t="str">
        <f ca="1"/>
        <v>BI018471 Corp</v>
      </c>
      <c r="C54" t="str">
        <f ca="1"/>
        <v>Japan Government Twenty Year Bond</v>
      </c>
      <c r="D54" t="str">
        <f ca="1"/>
        <v>JGB</v>
      </c>
      <c r="E54" t="str">
        <f ca="1"/>
        <v>JP</v>
      </c>
      <c r="F54" t="str">
        <f ca="1"/>
        <v>JPY</v>
      </c>
      <c r="G54" t="str">
        <f ca="1"/>
        <v>20/03/2040</v>
      </c>
      <c r="H54" t="str">
        <f ca="1"/>
        <v>FIXED</v>
      </c>
      <c r="I54">
        <f ca="1"/>
        <v>2</v>
      </c>
      <c r="J54">
        <f ca="1"/>
        <v>0.4</v>
      </c>
      <c r="K54">
        <f ca="1"/>
        <v>3.0449999999871498</v>
      </c>
      <c r="L54">
        <f ca="1"/>
        <v>3.070999999985784</v>
      </c>
      <c r="M54">
        <f ca="1"/>
        <v>74.009</v>
      </c>
      <c r="N54">
        <f ca="1"/>
        <v>73.819999999999993</v>
      </c>
      <c r="O54" t="str">
        <f ca="1"/>
        <v>BI0184712</v>
      </c>
      <c r="P54" t="str">
        <f ca="1"/>
        <v>JP1201721L45</v>
      </c>
      <c r="Q54" t="str">
        <f ca="1"/>
        <v>A+</v>
      </c>
      <c r="R54" s="3">
        <f ca="1"/>
        <v>43935</v>
      </c>
      <c r="S54">
        <f ca="1"/>
        <v>46101</v>
      </c>
      <c r="T54">
        <f ca="1"/>
        <v>13.973990417522245</v>
      </c>
      <c r="U54" s="4">
        <f ca="1"/>
        <v>73.914500000000004</v>
      </c>
      <c r="V54">
        <f ca="1"/>
        <v>36</v>
      </c>
      <c r="W54">
        <f ca="1"/>
        <v>13.5</v>
      </c>
      <c r="X54" s="4">
        <f ca="1"/>
        <v>6</v>
      </c>
      <c r="Y54" s="4">
        <f ca="1"/>
        <v>0.41978021978021984</v>
      </c>
      <c r="Z54" s="4">
        <f ca="1"/>
        <v>73.494719780219782</v>
      </c>
      <c r="AA54" s="4">
        <f ca="1"/>
        <v>3.0579999999864667</v>
      </c>
      <c r="AE54" t="str">
        <f ca="1"/>
        <v>BR788662 Corp</v>
      </c>
      <c r="AF54" t="str">
        <f ca="1"/>
        <v>Japan Government Ten Year Bond</v>
      </c>
      <c r="AG54" t="str">
        <f ca="1"/>
        <v>JGB</v>
      </c>
      <c r="AH54" t="str">
        <f ca="1"/>
        <v>JP</v>
      </c>
      <c r="AI54" t="str">
        <f ca="1"/>
        <v>JPY</v>
      </c>
      <c r="AJ54" t="str">
        <f ca="1"/>
        <v>20/09/2031</v>
      </c>
      <c r="AK54" t="str">
        <f ca="1"/>
        <v>FIXED</v>
      </c>
      <c r="AL54">
        <f ca="1"/>
        <v>2</v>
      </c>
      <c r="AM54">
        <f ca="1"/>
        <v>0.1</v>
      </c>
      <c r="AN54">
        <f ca="1"/>
        <v>1.7499999999255946</v>
      </c>
      <c r="AO54">
        <f ca="1"/>
        <v>1.7649999999210819</v>
      </c>
      <c r="AP54">
        <f ca="1"/>
        <v>91.686000000000007</v>
      </c>
      <c r="AQ54">
        <f ca="1"/>
        <v>91.616</v>
      </c>
      <c r="AR54" t="str">
        <f ca="1"/>
        <v>BR7886624</v>
      </c>
      <c r="AS54" t="str">
        <f ca="1"/>
        <v>JP1103641MA8</v>
      </c>
      <c r="AT54" t="str">
        <f ca="1"/>
        <v>NR</v>
      </c>
      <c r="AU54">
        <f ca="1"/>
        <v>44467</v>
      </c>
      <c r="AV54">
        <f ca="1"/>
        <v>46101</v>
      </c>
      <c r="AW54">
        <f ca="1"/>
        <v>5.4757015742642023</v>
      </c>
      <c r="AX54">
        <f ca="1"/>
        <v>91.65100000000001</v>
      </c>
      <c r="AY54">
        <f ca="1"/>
        <v>54</v>
      </c>
      <c r="AZ54">
        <f ca="1"/>
        <v>5</v>
      </c>
      <c r="BA54">
        <f ca="1"/>
        <v>5</v>
      </c>
      <c r="BB54">
        <f ca="1"/>
        <v>0.10494505494505496</v>
      </c>
      <c r="BC54">
        <f ca="1"/>
        <v>91.546054945054962</v>
      </c>
      <c r="BD54">
        <f ca="1"/>
        <v>1.7574999999233383</v>
      </c>
    </row>
    <row r="55" spans="2:56" ht="12.75" x14ac:dyDescent="0.35">
      <c r="B55" t="str">
        <f ca="1"/>
        <v>BK594564 Corp</v>
      </c>
      <c r="C55" t="str">
        <f ca="1"/>
        <v>Japan Government Twenty Year Bond</v>
      </c>
      <c r="D55" t="str">
        <f ca="1"/>
        <v>JGB</v>
      </c>
      <c r="E55" t="str">
        <f ca="1"/>
        <v>JP</v>
      </c>
      <c r="F55" t="str">
        <f ca="1"/>
        <v>JPY</v>
      </c>
      <c r="G55" t="str">
        <f ca="1"/>
        <v>20/06/2040</v>
      </c>
      <c r="H55" t="str">
        <f ca="1"/>
        <v>FIXED</v>
      </c>
      <c r="I55">
        <f ca="1"/>
        <v>2</v>
      </c>
      <c r="J55">
        <f ca="1"/>
        <v>0.4</v>
      </c>
      <c r="K55">
        <f ca="1"/>
        <v>3.0809999999853628</v>
      </c>
      <c r="L55">
        <f ca="1"/>
        <v>3.1049999999839488</v>
      </c>
      <c r="M55">
        <f ca="1"/>
        <v>73.42</v>
      </c>
      <c r="N55">
        <f ca="1"/>
        <v>73.245999999999995</v>
      </c>
      <c r="O55" t="str">
        <f ca="1"/>
        <v>BK5945641</v>
      </c>
      <c r="P55" t="str">
        <f ca="1"/>
        <v>JP1201731L76</v>
      </c>
      <c r="Q55" t="str">
        <f ca="1"/>
        <v>A+</v>
      </c>
      <c r="R55" s="3">
        <f ca="1"/>
        <v>44026</v>
      </c>
      <c r="S55">
        <f ca="1"/>
        <v>46193</v>
      </c>
      <c r="T55">
        <f ca="1"/>
        <v>14.225872689938399</v>
      </c>
      <c r="U55" s="4">
        <f ca="1"/>
        <v>73.332999999999998</v>
      </c>
      <c r="V55">
        <f ca="1"/>
        <v>40</v>
      </c>
      <c r="W55">
        <f ca="1"/>
        <v>14</v>
      </c>
      <c r="X55" s="4">
        <f ca="1"/>
        <v>6</v>
      </c>
      <c r="Y55" s="4">
        <f ca="1"/>
        <v>0.2197802197802198</v>
      </c>
      <c r="Z55" s="4">
        <f ca="1"/>
        <v>73.113219780219779</v>
      </c>
      <c r="AA55" s="4">
        <f ca="1"/>
        <v>3.0929999999846558</v>
      </c>
      <c r="AE55" t="str">
        <f ca="1"/>
        <v>BT330618 Corp</v>
      </c>
      <c r="AF55" t="str">
        <f ca="1"/>
        <v>Japan Government Ten Year Bond</v>
      </c>
      <c r="AG55" t="str">
        <f ca="1"/>
        <v>JGB</v>
      </c>
      <c r="AH55" t="str">
        <f ca="1"/>
        <v>JP</v>
      </c>
      <c r="AI55" t="str">
        <f ca="1"/>
        <v>JPY</v>
      </c>
      <c r="AJ55" t="str">
        <f ca="1"/>
        <v>20/12/2031</v>
      </c>
      <c r="AK55" t="str">
        <f ca="1"/>
        <v>FIXED</v>
      </c>
      <c r="AL55">
        <f ca="1"/>
        <v>2</v>
      </c>
      <c r="AM55">
        <f ca="1"/>
        <v>0.1</v>
      </c>
      <c r="AN55">
        <f ca="1"/>
        <v>1.7749999999224804</v>
      </c>
      <c r="AO55">
        <f ca="1"/>
        <v>1.7919999999172049</v>
      </c>
      <c r="AP55">
        <f ca="1"/>
        <v>91.224999999999994</v>
      </c>
      <c r="AQ55">
        <f ca="1"/>
        <v>91.144000000000005</v>
      </c>
      <c r="AR55" t="str">
        <f ca="1"/>
        <v>BT3306185</v>
      </c>
      <c r="AS55" t="str">
        <f ca="1"/>
        <v>JP1103651N11</v>
      </c>
      <c r="AT55" t="str">
        <f ca="1"/>
        <v>NR</v>
      </c>
      <c r="AU55">
        <f ca="1"/>
        <v>44558</v>
      </c>
      <c r="AV55">
        <f ca="1"/>
        <v>46193</v>
      </c>
      <c r="AW55">
        <f ca="1"/>
        <v>5.7248459958932241</v>
      </c>
      <c r="AX55">
        <f ca="1"/>
        <v>91.1845</v>
      </c>
      <c r="AY55">
        <f ca="1"/>
        <v>58</v>
      </c>
      <c r="AZ55">
        <f ca="1"/>
        <v>5.5</v>
      </c>
      <c r="BA55">
        <f ca="1"/>
        <v>5</v>
      </c>
      <c r="BB55">
        <f ca="1"/>
        <v>5.4945054945054951E-2</v>
      </c>
      <c r="BC55">
        <f ca="1"/>
        <v>91.129554945054949</v>
      </c>
      <c r="BD55">
        <f ca="1"/>
        <v>1.7834999999198426</v>
      </c>
    </row>
    <row r="56" spans="2:56" ht="12.75" x14ac:dyDescent="0.35">
      <c r="B56" t="str">
        <f ca="1"/>
        <v>BM027946 Corp</v>
      </c>
      <c r="C56" t="str">
        <f ca="1"/>
        <v>Japan Government Twenty Year Bond</v>
      </c>
      <c r="D56" t="str">
        <f ca="1"/>
        <v>JGB</v>
      </c>
      <c r="E56" t="str">
        <f ca="1"/>
        <v>JP</v>
      </c>
      <c r="F56" t="str">
        <f ca="1"/>
        <v>JPY</v>
      </c>
      <c r="G56" t="str">
        <f ca="1"/>
        <v>20/09/2040</v>
      </c>
      <c r="H56" t="str">
        <f ca="1"/>
        <v>FIXED</v>
      </c>
      <c r="I56">
        <f ca="1"/>
        <v>2</v>
      </c>
      <c r="J56">
        <f ca="1"/>
        <v>0.4</v>
      </c>
      <c r="K56">
        <f ca="1"/>
        <v>3.1179999999760488</v>
      </c>
      <c r="L56">
        <f ca="1"/>
        <v>3.143999999973583</v>
      </c>
      <c r="M56">
        <f ca="1"/>
        <v>72.825000000000003</v>
      </c>
      <c r="N56">
        <f ca="1"/>
        <v>72.637</v>
      </c>
      <c r="O56" t="str">
        <f ca="1"/>
        <v>BM0279463</v>
      </c>
      <c r="P56" t="str">
        <f ca="1"/>
        <v>JP1201741LA9</v>
      </c>
      <c r="Q56" t="str">
        <f ca="1"/>
        <v>NR</v>
      </c>
      <c r="R56" s="3">
        <f ca="1"/>
        <v>44117</v>
      </c>
      <c r="S56">
        <f ca="1"/>
        <v>46101</v>
      </c>
      <c r="T56">
        <f ca="1"/>
        <v>14.477754962354553</v>
      </c>
      <c r="U56" s="4">
        <f ca="1"/>
        <v>72.730999999999995</v>
      </c>
      <c r="V56">
        <f ca="1"/>
        <v>41</v>
      </c>
      <c r="W56">
        <f ca="1"/>
        <v>14</v>
      </c>
      <c r="X56" s="4">
        <f ca="1"/>
        <v>6</v>
      </c>
      <c r="Y56" s="4">
        <f ca="1"/>
        <v>0.41978021978021984</v>
      </c>
      <c r="Z56" s="4">
        <f ca="1"/>
        <v>72.311219780219773</v>
      </c>
      <c r="AA56" s="4">
        <f ca="1"/>
        <v>3.1309999999748159</v>
      </c>
      <c r="AE56" t="str">
        <f ca="1"/>
        <v>BV737650 Corp</v>
      </c>
      <c r="AF56" t="str">
        <f ca="1"/>
        <v>Japan Government Ten Year Bond</v>
      </c>
      <c r="AG56" t="str">
        <f ca="1"/>
        <v>JGB</v>
      </c>
      <c r="AH56" t="str">
        <f ca="1"/>
        <v>JP</v>
      </c>
      <c r="AI56" t="str">
        <f ca="1"/>
        <v>JPY</v>
      </c>
      <c r="AJ56" t="str">
        <f ca="1"/>
        <v>20/03/2032</v>
      </c>
      <c r="AK56" t="str">
        <f ca="1"/>
        <v>FIXED</v>
      </c>
      <c r="AL56">
        <f ca="1"/>
        <v>2</v>
      </c>
      <c r="AM56">
        <f ca="1"/>
        <v>0.2</v>
      </c>
      <c r="AN56">
        <f ca="1"/>
        <v>1.8069999998950457</v>
      </c>
      <c r="AO56">
        <f ca="1"/>
        <v>1.8229999998880817</v>
      </c>
      <c r="AP56">
        <f ca="1"/>
        <v>91.272000000000006</v>
      </c>
      <c r="AQ56">
        <f ca="1"/>
        <v>91.192999999999998</v>
      </c>
      <c r="AR56" t="str">
        <f ca="1"/>
        <v>BV7376502</v>
      </c>
      <c r="AS56" t="str">
        <f ca="1"/>
        <v>JP1103661N43</v>
      </c>
      <c r="AT56" t="str">
        <f ca="1"/>
        <v>A+</v>
      </c>
      <c r="AU56">
        <f ca="1"/>
        <v>44649</v>
      </c>
      <c r="AV56">
        <f ca="1"/>
        <v>46101</v>
      </c>
      <c r="AW56">
        <f ca="1"/>
        <v>5.9739904175222449</v>
      </c>
      <c r="AX56">
        <f ca="1"/>
        <v>91.232500000000002</v>
      </c>
      <c r="AY56">
        <f ca="1"/>
        <v>62</v>
      </c>
      <c r="AZ56">
        <f ca="1"/>
        <v>5.5</v>
      </c>
      <c r="BA56">
        <f ca="1"/>
        <v>4</v>
      </c>
      <c r="BB56">
        <f ca="1"/>
        <v>0.20989010989010992</v>
      </c>
      <c r="BC56">
        <f ca="1"/>
        <v>91.022609890109891</v>
      </c>
      <c r="BD56">
        <f ca="1"/>
        <v>1.8149999998915636</v>
      </c>
    </row>
    <row r="57" spans="2:56" ht="12.75" x14ac:dyDescent="0.35">
      <c r="B57" t="str">
        <f ca="1"/>
        <v>BQ516777 Corp</v>
      </c>
      <c r="C57" t="str">
        <f ca="1"/>
        <v>Japan Government Twenty Year Bond</v>
      </c>
      <c r="D57" t="str">
        <f ca="1"/>
        <v>JGB</v>
      </c>
      <c r="E57" t="str">
        <f ca="1"/>
        <v>JP</v>
      </c>
      <c r="F57" t="str">
        <f ca="1"/>
        <v>JPY</v>
      </c>
      <c r="G57" t="str">
        <f ca="1"/>
        <v>20/06/2041</v>
      </c>
      <c r="H57" t="str">
        <f ca="1"/>
        <v>FIXED</v>
      </c>
      <c r="I57">
        <f ca="1"/>
        <v>2</v>
      </c>
      <c r="J57">
        <f ca="1"/>
        <v>0.4</v>
      </c>
      <c r="K57">
        <f ca="1"/>
        <v>3.2449999999473009</v>
      </c>
      <c r="L57">
        <f ca="1"/>
        <v>3.2689999999425496</v>
      </c>
      <c r="M57">
        <f ca="1"/>
        <v>70.944999999999993</v>
      </c>
      <c r="N57">
        <f ca="1"/>
        <v>70.772000000000006</v>
      </c>
      <c r="O57" t="str">
        <f ca="1"/>
        <v>BQ5167771</v>
      </c>
      <c r="P57" t="str">
        <f ca="1"/>
        <v>JP1201771M76</v>
      </c>
      <c r="Q57" t="str">
        <f ca="1"/>
        <v>NR</v>
      </c>
      <c r="R57" s="3">
        <f ca="1"/>
        <v>44383</v>
      </c>
      <c r="S57">
        <f ca="1"/>
        <v>46193</v>
      </c>
      <c r="T57">
        <f ca="1"/>
        <v>15.225188227241615</v>
      </c>
      <c r="U57" s="4">
        <f ca="1"/>
        <v>70.858499999999992</v>
      </c>
      <c r="V57">
        <f ca="1"/>
        <v>53</v>
      </c>
      <c r="W57">
        <f ca="1"/>
        <v>15</v>
      </c>
      <c r="X57" s="4">
        <f ca="1"/>
        <v>5</v>
      </c>
      <c r="Y57" s="4">
        <f ca="1"/>
        <v>0.2197802197802198</v>
      </c>
      <c r="Z57" s="4">
        <f ca="1"/>
        <v>70.638719780219773</v>
      </c>
      <c r="AA57" s="4">
        <f ca="1"/>
        <v>3.2569999999449255</v>
      </c>
      <c r="AE57" t="str">
        <f ca="1"/>
        <v>BX625748 Corp</v>
      </c>
      <c r="AF57" t="str">
        <f ca="1"/>
        <v>Japan Government Ten Year Bond</v>
      </c>
      <c r="AG57" t="str">
        <f ca="1"/>
        <v>JGB</v>
      </c>
      <c r="AH57" t="str">
        <f ca="1"/>
        <v>JP</v>
      </c>
      <c r="AI57" t="str">
        <f ca="1"/>
        <v>JPY</v>
      </c>
      <c r="AJ57" t="str">
        <f ca="1"/>
        <v>20/06/2032</v>
      </c>
      <c r="AK57" t="str">
        <f ca="1"/>
        <v>FIXED</v>
      </c>
      <c r="AL57">
        <f ca="1"/>
        <v>2</v>
      </c>
      <c r="AM57">
        <f ca="1"/>
        <v>0.2</v>
      </c>
      <c r="AN57">
        <f ca="1"/>
        <v>1.8349999998885898</v>
      </c>
      <c r="AO57">
        <f ca="1"/>
        <v>1.8519999998808494</v>
      </c>
      <c r="AP57">
        <f ca="1"/>
        <v>90.801000000000002</v>
      </c>
      <c r="AQ57">
        <f ca="1"/>
        <v>90.713999999999999</v>
      </c>
      <c r="AR57" t="str">
        <f ca="1"/>
        <v>BX6257485</v>
      </c>
      <c r="AS57" t="str">
        <f ca="1"/>
        <v>JP1103671N74</v>
      </c>
      <c r="AT57" t="str">
        <f ca="1"/>
        <v>A+</v>
      </c>
      <c r="AU57">
        <f ca="1"/>
        <v>44740</v>
      </c>
      <c r="AV57">
        <f ca="1"/>
        <v>46193</v>
      </c>
      <c r="AW57">
        <f ca="1"/>
        <v>6.2258726899383987</v>
      </c>
      <c r="AX57">
        <f ca="1"/>
        <v>90.757499999999993</v>
      </c>
      <c r="AY57">
        <f ca="1"/>
        <v>68</v>
      </c>
      <c r="AZ57">
        <f ca="1"/>
        <v>6</v>
      </c>
      <c r="BA57">
        <f ca="1"/>
        <v>4</v>
      </c>
      <c r="BB57">
        <f ca="1"/>
        <v>0.1098901098901099</v>
      </c>
      <c r="BC57">
        <f ca="1"/>
        <v>90.647609890109877</v>
      </c>
      <c r="BD57">
        <f ca="1"/>
        <v>1.8434999998847195</v>
      </c>
    </row>
    <row r="58" spans="2:56" ht="12.75" x14ac:dyDescent="0.35">
      <c r="B58" t="str">
        <f ca="1"/>
        <v>LW361469 Corp</v>
      </c>
      <c r="C58" t="str">
        <f ca="1"/>
        <v>Japan Government Thirty Year Bond</v>
      </c>
      <c r="D58" t="str">
        <f ca="1"/>
        <v>JGB</v>
      </c>
      <c r="E58" t="str">
        <f ca="1"/>
        <v>JP</v>
      </c>
      <c r="F58" t="str">
        <f ca="1"/>
        <v>JPY</v>
      </c>
      <c r="G58" t="str">
        <f ca="1"/>
        <v>20/06/2046</v>
      </c>
      <c r="H58" t="str">
        <f ca="1"/>
        <v>FIXED</v>
      </c>
      <c r="I58">
        <f ca="1"/>
        <v>2</v>
      </c>
      <c r="J58">
        <f ca="1"/>
        <v>0.3</v>
      </c>
      <c r="K58">
        <f ca="1"/>
        <v>4.0339999999999367</v>
      </c>
      <c r="L58">
        <f ca="1"/>
        <v>4.0719999999999255</v>
      </c>
      <c r="M58">
        <f ca="1"/>
        <v>58.354999999999997</v>
      </c>
      <c r="N58">
        <f ca="1"/>
        <v>58.109000000000002</v>
      </c>
      <c r="O58" t="str">
        <f ca="1"/>
        <v>LW3614697</v>
      </c>
      <c r="P58" t="str">
        <f ca="1"/>
        <v>JP1300511G61</v>
      </c>
      <c r="Q58" t="str">
        <f ca="1"/>
        <v>A+</v>
      </c>
      <c r="R58" s="3">
        <f ca="1"/>
        <v>42528</v>
      </c>
      <c r="S58">
        <f ca="1"/>
        <v>46193</v>
      </c>
      <c r="T58">
        <f ca="1"/>
        <v>20.224503764544831</v>
      </c>
      <c r="U58" s="4">
        <f ca="1"/>
        <v>58.231999999999999</v>
      </c>
      <c r="V58">
        <f ca="1"/>
        <v>213</v>
      </c>
      <c r="W58">
        <f ca="1"/>
        <v>20</v>
      </c>
      <c r="X58" s="4">
        <f ca="1"/>
        <v>10</v>
      </c>
      <c r="Y58" s="4">
        <f ca="1"/>
        <v>0.16483516483516483</v>
      </c>
      <c r="Z58" s="4">
        <f ca="1"/>
        <v>58.067164835164832</v>
      </c>
      <c r="AA58" s="4">
        <f ca="1"/>
        <v>4.0529999999999315</v>
      </c>
      <c r="AE58" t="str">
        <f ca="1"/>
        <v>BZ503564 Corp</v>
      </c>
      <c r="AF58" t="str">
        <f ca="1"/>
        <v>Japan Government Ten Year Bond</v>
      </c>
      <c r="AG58" t="str">
        <f ca="1"/>
        <v>JGB</v>
      </c>
      <c r="AH58" t="str">
        <f ca="1"/>
        <v>JP</v>
      </c>
      <c r="AI58" t="str">
        <f ca="1"/>
        <v>JPY</v>
      </c>
      <c r="AJ58" t="str">
        <f ca="1"/>
        <v>20/09/2032</v>
      </c>
      <c r="AK58" t="str">
        <f ca="1"/>
        <v>FIXED</v>
      </c>
      <c r="AL58">
        <f ca="1"/>
        <v>2</v>
      </c>
      <c r="AM58">
        <f ca="1"/>
        <v>0.2</v>
      </c>
      <c r="AN58">
        <f ca="1"/>
        <v>1.8649999999999975</v>
      </c>
      <c r="AO58">
        <f ca="1"/>
        <v>1.8810000000000002</v>
      </c>
      <c r="AP58">
        <f ca="1"/>
        <v>90.313000000000002</v>
      </c>
      <c r="AQ58">
        <f ca="1"/>
        <v>90.228999999999999</v>
      </c>
      <c r="AR58" t="str">
        <f ca="1"/>
        <v>BZ5035648</v>
      </c>
      <c r="AS58" t="str">
        <f ca="1"/>
        <v>JP1103681NA2</v>
      </c>
      <c r="AT58" t="str">
        <f ca="1"/>
        <v>A+</v>
      </c>
      <c r="AU58">
        <f ca="1"/>
        <v>44831</v>
      </c>
      <c r="AV58">
        <f ca="1"/>
        <v>46101</v>
      </c>
      <c r="AW58">
        <f ca="1"/>
        <v>6.4777549623545516</v>
      </c>
      <c r="AX58">
        <f ca="1"/>
        <v>90.271000000000001</v>
      </c>
      <c r="AY58">
        <f ca="1"/>
        <v>72</v>
      </c>
      <c r="AZ58">
        <f ca="1"/>
        <v>6</v>
      </c>
      <c r="BA58">
        <f ca="1"/>
        <v>4</v>
      </c>
      <c r="BB58">
        <f ca="1"/>
        <v>0.20989010989010992</v>
      </c>
      <c r="BC58">
        <f ca="1"/>
        <v>90.06110989010989</v>
      </c>
      <c r="BD58">
        <f ca="1"/>
        <v>1.8729999999999989</v>
      </c>
    </row>
    <row r="59" spans="2:56" ht="12.75" x14ac:dyDescent="0.35">
      <c r="B59" t="str">
        <f ca="1"/>
        <v>AZ527231 Corp</v>
      </c>
      <c r="C59" t="str">
        <f ca="1"/>
        <v>Japan Government Thirty Year Bond</v>
      </c>
      <c r="D59" t="str">
        <f ca="1"/>
        <v>JGB</v>
      </c>
      <c r="E59" t="str">
        <f ca="1"/>
        <v>JP</v>
      </c>
      <c r="F59" t="str">
        <f ca="1"/>
        <v>JPY</v>
      </c>
      <c r="G59" t="str">
        <f ca="1"/>
        <v>20/06/2049</v>
      </c>
      <c r="H59" t="str">
        <f ca="1"/>
        <v>FIXED</v>
      </c>
      <c r="I59">
        <f ca="1"/>
        <v>2</v>
      </c>
      <c r="J59">
        <f ca="1"/>
        <v>0.4</v>
      </c>
      <c r="K59">
        <f ca="1"/>
        <v>4.4309999999993606</v>
      </c>
      <c r="L59">
        <f ca="1"/>
        <v>4.4689999999992649</v>
      </c>
      <c r="M59">
        <f ca="1"/>
        <v>53.813000000000002</v>
      </c>
      <c r="N59">
        <f ca="1"/>
        <v>53.58</v>
      </c>
      <c r="O59" t="str">
        <f ca="1"/>
        <v>AZ5272317</v>
      </c>
      <c r="P59" t="str">
        <f ca="1"/>
        <v>JP1300631K78</v>
      </c>
      <c r="Q59" t="str">
        <f ca="1"/>
        <v>A+</v>
      </c>
      <c r="R59" s="3">
        <f ca="1"/>
        <v>43650</v>
      </c>
      <c r="S59">
        <f ca="1"/>
        <v>46193</v>
      </c>
      <c r="T59">
        <f ca="1"/>
        <v>23.225188227241617</v>
      </c>
      <c r="U59" s="4">
        <f ca="1"/>
        <v>53.6965</v>
      </c>
      <c r="V59">
        <f ca="1"/>
        <v>32</v>
      </c>
      <c r="W59">
        <f ca="1"/>
        <v>23</v>
      </c>
      <c r="X59" s="4">
        <f ca="1"/>
        <v>7</v>
      </c>
      <c r="Y59" s="4">
        <f ca="1"/>
        <v>0.2197802197802198</v>
      </c>
      <c r="Z59" s="4">
        <f ca="1"/>
        <v>53.476719780219781</v>
      </c>
      <c r="AA59" s="4">
        <f ca="1"/>
        <v>4.4499999999993127</v>
      </c>
      <c r="AE59" t="str">
        <f ca="1"/>
        <v>ZJ604342 Corp</v>
      </c>
      <c r="AF59" t="str">
        <f ca="1"/>
        <v>Japan Government Ten Year Bond</v>
      </c>
      <c r="AG59" t="str">
        <f ca="1"/>
        <v>JGB</v>
      </c>
      <c r="AH59" t="str">
        <f ca="1"/>
        <v>JP</v>
      </c>
      <c r="AI59" t="str">
        <f ca="1"/>
        <v>JPY</v>
      </c>
      <c r="AJ59" t="str">
        <f ca="1"/>
        <v>20/06/2033</v>
      </c>
      <c r="AK59" t="str">
        <f ca="1"/>
        <v>FIXED</v>
      </c>
      <c r="AL59">
        <f ca="1"/>
        <v>2</v>
      </c>
      <c r="AM59">
        <f ca="1"/>
        <v>0.4</v>
      </c>
      <c r="AN59">
        <f ca="1"/>
        <v>1.9430000000000005</v>
      </c>
      <c r="AO59">
        <f ca="1"/>
        <v>1.9609999999999994</v>
      </c>
      <c r="AP59">
        <f ca="1"/>
        <v>90.165999999999997</v>
      </c>
      <c r="AQ59">
        <f ca="1"/>
        <v>90.061999999999998</v>
      </c>
      <c r="AR59" t="str">
        <f ca="1"/>
        <v>ZJ6043427</v>
      </c>
      <c r="AS59" t="str">
        <f ca="1"/>
        <v>JP1103711P74</v>
      </c>
      <c r="AT59" t="str">
        <f ca="1"/>
        <v>A+</v>
      </c>
      <c r="AU59">
        <f ca="1"/>
        <v>45104</v>
      </c>
      <c r="AV59">
        <f ca="1"/>
        <v>46193</v>
      </c>
      <c r="AW59">
        <f ca="1"/>
        <v>7.225188227241615</v>
      </c>
      <c r="AX59">
        <f ca="1"/>
        <v>90.114000000000004</v>
      </c>
      <c r="AY59">
        <f ca="1"/>
        <v>301</v>
      </c>
      <c r="AZ59">
        <f ca="1"/>
        <v>7</v>
      </c>
      <c r="BA59">
        <f ca="1"/>
        <v>3</v>
      </c>
      <c r="BB59">
        <f ca="1"/>
        <v>0.2197802197802198</v>
      </c>
      <c r="BC59">
        <f ca="1"/>
        <v>89.894219780219785</v>
      </c>
      <c r="BD59">
        <f ca="1"/>
        <v>1.952</v>
      </c>
    </row>
    <row r="60" spans="2:56" ht="12.75" x14ac:dyDescent="0.35">
      <c r="B60" t="str">
        <f ca="1"/>
        <v>ZQ061592 Corp</v>
      </c>
      <c r="C60" t="str">
        <f ca="1"/>
        <v>Japan Government Thirty Year Bond</v>
      </c>
      <c r="D60" t="str">
        <f ca="1"/>
        <v>JGB</v>
      </c>
      <c r="E60" t="str">
        <f ca="1"/>
        <v>JP</v>
      </c>
      <c r="F60" t="str">
        <f ca="1"/>
        <v>JPY</v>
      </c>
      <c r="G60" t="str">
        <f ca="1"/>
        <v>20/09/2049</v>
      </c>
      <c r="H60" t="str">
        <f ca="1"/>
        <v>FIXED</v>
      </c>
      <c r="I60">
        <f ca="1"/>
        <v>2</v>
      </c>
      <c r="J60">
        <f ca="1"/>
        <v>0.4</v>
      </c>
      <c r="K60">
        <f ca="1"/>
        <v>4.475999999999023</v>
      </c>
      <c r="L60">
        <f ca="1"/>
        <v>4.5149999999988726</v>
      </c>
      <c r="M60">
        <f ca="1"/>
        <v>53.292000000000002</v>
      </c>
      <c r="N60">
        <f ca="1"/>
        <v>53.055</v>
      </c>
      <c r="O60" t="str">
        <f ca="1"/>
        <v>ZQ0615927</v>
      </c>
      <c r="P60" t="str">
        <f ca="1"/>
        <v>JP1300641KA3</v>
      </c>
      <c r="Q60" t="str">
        <f ca="1"/>
        <v>A+</v>
      </c>
      <c r="R60" s="3">
        <f ca="1"/>
        <v>43748</v>
      </c>
      <c r="S60">
        <f ca="1"/>
        <v>46101</v>
      </c>
      <c r="T60">
        <f ca="1"/>
        <v>23.477070499657767</v>
      </c>
      <c r="U60" s="4">
        <f ca="1"/>
        <v>53.173500000000004</v>
      </c>
      <c r="V60">
        <f ca="1"/>
        <v>321</v>
      </c>
      <c r="W60">
        <f ca="1"/>
        <v>23</v>
      </c>
      <c r="X60" s="4">
        <f ca="1"/>
        <v>7</v>
      </c>
      <c r="Y60" s="4">
        <f ca="1"/>
        <v>0.41978021978021984</v>
      </c>
      <c r="Z60" s="4">
        <f ca="1"/>
        <v>52.753719780219782</v>
      </c>
      <c r="AA60" s="4">
        <f ca="1"/>
        <v>4.4954999999989482</v>
      </c>
      <c r="AE60" t="str">
        <f ca="1"/>
        <v>JK501604 Corp</v>
      </c>
      <c r="AF60" t="str">
        <f ca="1"/>
        <v>Japan Government Twenty Year Bond</v>
      </c>
      <c r="AG60" t="str">
        <f ca="1"/>
        <v>JGB</v>
      </c>
      <c r="AH60" t="str">
        <f ca="1"/>
        <v>JP</v>
      </c>
      <c r="AI60" t="str">
        <f ca="1"/>
        <v>JPY</v>
      </c>
      <c r="AJ60" t="str">
        <f ca="1"/>
        <v>20/03/2036</v>
      </c>
      <c r="AK60" t="str">
        <f ca="1"/>
        <v>FIXED</v>
      </c>
      <c r="AL60">
        <f ca="1"/>
        <v>2</v>
      </c>
      <c r="AM60">
        <f ca="1"/>
        <v>0.4</v>
      </c>
      <c r="AN60">
        <f ca="1"/>
        <v>2.3739999999999815</v>
      </c>
      <c r="AO60">
        <f ca="1"/>
        <v>2.3979999999999784</v>
      </c>
      <c r="AP60">
        <f ca="1"/>
        <v>84.018000000000001</v>
      </c>
      <c r="AQ60">
        <f ca="1"/>
        <v>83.855999999999995</v>
      </c>
      <c r="AR60" t="str">
        <f ca="1"/>
        <v>JK5016049</v>
      </c>
      <c r="AS60" t="str">
        <f ca="1"/>
        <v>JP1201561G37</v>
      </c>
      <c r="AT60" t="str">
        <f ca="1"/>
        <v>A+</v>
      </c>
      <c r="AU60">
        <f ca="1"/>
        <v>42446</v>
      </c>
      <c r="AV60">
        <f ca="1"/>
        <v>46101</v>
      </c>
      <c r="AW60">
        <f ca="1"/>
        <v>9.9739904175222449</v>
      </c>
      <c r="AX60">
        <f ca="1"/>
        <v>83.936999999999998</v>
      </c>
      <c r="AY60">
        <f ca="1"/>
        <v>208</v>
      </c>
      <c r="AZ60">
        <f ca="1"/>
        <v>9.5</v>
      </c>
      <c r="BA60">
        <f ca="1"/>
        <v>10</v>
      </c>
      <c r="BB60">
        <f ca="1"/>
        <v>0.41978021978021984</v>
      </c>
      <c r="BC60">
        <f ca="1"/>
        <v>83.517219780219776</v>
      </c>
      <c r="BD60">
        <f ca="1"/>
        <v>2.3859999999999797</v>
      </c>
    </row>
    <row r="61" spans="2:56" ht="12.75" x14ac:dyDescent="0.35">
      <c r="B61" t="str">
        <f ca="1"/>
        <v>ZP387400 Corp</v>
      </c>
      <c r="C61" t="str">
        <f ca="1"/>
        <v>Japan Government Thirty Year Bond</v>
      </c>
      <c r="D61" t="str">
        <f ca="1"/>
        <v>JGB</v>
      </c>
      <c r="E61" t="str">
        <f ca="1"/>
        <v>JP</v>
      </c>
      <c r="F61" t="str">
        <f ca="1"/>
        <v>JPY</v>
      </c>
      <c r="G61" t="str">
        <f ca="1"/>
        <v>20/12/2049</v>
      </c>
      <c r="H61" t="str">
        <f ca="1"/>
        <v>FIXED</v>
      </c>
      <c r="I61">
        <f ca="1"/>
        <v>2</v>
      </c>
      <c r="J61">
        <f ca="1"/>
        <v>0.4</v>
      </c>
      <c r="K61">
        <f ca="1"/>
        <v>4.5229999999988379</v>
      </c>
      <c r="L61">
        <f ca="1"/>
        <v>4.5589999999986786</v>
      </c>
      <c r="M61">
        <f ca="1"/>
        <v>52.765999999999998</v>
      </c>
      <c r="N61">
        <f ca="1"/>
        <v>52.55</v>
      </c>
      <c r="O61" t="str">
        <f ca="1"/>
        <v>ZP3874002</v>
      </c>
      <c r="P61" t="str">
        <f ca="1"/>
        <v>JP1300651L15</v>
      </c>
      <c r="Q61" t="str">
        <f ca="1"/>
        <v>A+</v>
      </c>
      <c r="R61" s="3">
        <f ca="1"/>
        <v>43826</v>
      </c>
      <c r="S61">
        <f ca="1"/>
        <v>46193</v>
      </c>
      <c r="T61">
        <f ca="1"/>
        <v>23.72621492128679</v>
      </c>
      <c r="U61" s="4">
        <f ca="1"/>
        <v>52.658000000000001</v>
      </c>
      <c r="V61">
        <f ca="1"/>
        <v>319</v>
      </c>
      <c r="W61">
        <f ca="1"/>
        <v>23.5</v>
      </c>
      <c r="X61" s="4">
        <f ca="1"/>
        <v>7</v>
      </c>
      <c r="Y61" s="4">
        <f ca="1"/>
        <v>0.2197802197802198</v>
      </c>
      <c r="Z61" s="4">
        <f ca="1"/>
        <v>52.438219780219782</v>
      </c>
      <c r="AA61" s="4">
        <f ca="1"/>
        <v>4.5409999999987587</v>
      </c>
      <c r="AE61" t="str">
        <f ca="1"/>
        <v>LW545302 Corp</v>
      </c>
      <c r="AF61" t="str">
        <f ca="1"/>
        <v>Japan Government Twenty Year Bond</v>
      </c>
      <c r="AG61" t="str">
        <f ca="1"/>
        <v>JGB</v>
      </c>
      <c r="AH61" t="str">
        <f ca="1"/>
        <v>JP</v>
      </c>
      <c r="AI61" t="str">
        <f ca="1"/>
        <v>JPY</v>
      </c>
      <c r="AJ61" t="str">
        <f ca="1"/>
        <v>20/06/2036</v>
      </c>
      <c r="AK61" t="str">
        <f ca="1"/>
        <v>FIXED</v>
      </c>
      <c r="AL61">
        <f ca="1"/>
        <v>2</v>
      </c>
      <c r="AM61">
        <f ca="1"/>
        <v>0.2</v>
      </c>
      <c r="AN61">
        <f ca="1"/>
        <v>2.4399999999998894</v>
      </c>
      <c r="AO61">
        <f ca="1"/>
        <v>2.464999999999876</v>
      </c>
      <c r="AP61">
        <f ca="1"/>
        <v>81.599000000000004</v>
      </c>
      <c r="AQ61">
        <f ca="1"/>
        <v>81.430999999999997</v>
      </c>
      <c r="AR61" t="str">
        <f ca="1"/>
        <v>LW5453029</v>
      </c>
      <c r="AS61" t="str">
        <f ca="1"/>
        <v>JP1201571G68</v>
      </c>
      <c r="AT61" t="str">
        <f ca="1"/>
        <v>A+</v>
      </c>
      <c r="AU61">
        <f ca="1"/>
        <v>42544</v>
      </c>
      <c r="AV61">
        <f ca="1"/>
        <v>46193</v>
      </c>
      <c r="AW61">
        <f ca="1"/>
        <v>10.225872689938399</v>
      </c>
      <c r="AX61">
        <f ca="1"/>
        <v>81.515000000000001</v>
      </c>
      <c r="AY61">
        <f ca="1"/>
        <v>214</v>
      </c>
      <c r="AZ61">
        <f ca="1"/>
        <v>10</v>
      </c>
      <c r="BA61">
        <f ca="1"/>
        <v>10</v>
      </c>
      <c r="BB61">
        <f ca="1"/>
        <v>0.1098901098901099</v>
      </c>
      <c r="BC61">
        <f ca="1"/>
        <v>81.405109890109884</v>
      </c>
      <c r="BD61">
        <f ca="1"/>
        <v>2.4524999999998824</v>
      </c>
    </row>
    <row r="62" spans="2:56" ht="12.75" x14ac:dyDescent="0.35">
      <c r="B62" t="str">
        <f ca="1"/>
        <v>BH620692 Corp</v>
      </c>
      <c r="C62" t="str">
        <f ca="1"/>
        <v>Japan Government Thirty Year Bond</v>
      </c>
      <c r="D62" t="str">
        <f ca="1"/>
        <v>JGB</v>
      </c>
      <c r="E62" t="str">
        <f ca="1"/>
        <v>JP</v>
      </c>
      <c r="F62" t="str">
        <f ca="1"/>
        <v>JPY</v>
      </c>
      <c r="G62" t="str">
        <f ca="1"/>
        <v>20/03/2050</v>
      </c>
      <c r="H62" t="str">
        <f ca="1"/>
        <v>FIXED</v>
      </c>
      <c r="I62">
        <f ca="1"/>
        <v>2</v>
      </c>
      <c r="J62">
        <f ca="1"/>
        <v>0.4</v>
      </c>
      <c r="K62">
        <f ca="1"/>
        <v>4.5589999999982993</v>
      </c>
      <c r="L62">
        <f ca="1"/>
        <v>4.5979999999980539</v>
      </c>
      <c r="M62">
        <f ca="1"/>
        <v>52.314999999999998</v>
      </c>
      <c r="N62">
        <f ca="1"/>
        <v>52.082000000000001</v>
      </c>
      <c r="O62" t="str">
        <f ca="1"/>
        <v>BH6206925</v>
      </c>
      <c r="P62" t="str">
        <f ca="1"/>
        <v>JP1300661L47</v>
      </c>
      <c r="Q62" t="str">
        <f ca="1"/>
        <v>A+</v>
      </c>
      <c r="R62" s="3">
        <f ca="1"/>
        <v>43921</v>
      </c>
      <c r="S62">
        <f ca="1"/>
        <v>46101</v>
      </c>
      <c r="T62">
        <f ca="1"/>
        <v>23.972621492128678</v>
      </c>
      <c r="U62" s="4">
        <f ca="1"/>
        <v>52.198499999999996</v>
      </c>
      <c r="V62">
        <f ca="1"/>
        <v>35</v>
      </c>
      <c r="W62">
        <f ca="1"/>
        <v>23.5</v>
      </c>
      <c r="X62" s="4">
        <f ca="1"/>
        <v>6</v>
      </c>
      <c r="Y62" s="4">
        <f ca="1"/>
        <v>0.41978021978021984</v>
      </c>
      <c r="Z62" s="4">
        <f ca="1"/>
        <v>51.778719780219774</v>
      </c>
      <c r="AA62" s="4">
        <f ca="1"/>
        <v>4.5784999999981766</v>
      </c>
      <c r="AE62" t="str">
        <f ca="1"/>
        <v>ZS214186 Corp</v>
      </c>
      <c r="AF62" t="str">
        <f ca="1"/>
        <v>Japan Government Twenty Year Bond</v>
      </c>
      <c r="AG62" t="str">
        <f ca="1"/>
        <v>JGB</v>
      </c>
      <c r="AH62" t="str">
        <f ca="1"/>
        <v>JP</v>
      </c>
      <c r="AI62" t="str">
        <f ca="1"/>
        <v>JPY</v>
      </c>
      <c r="AJ62" t="str">
        <f ca="1"/>
        <v>20/03/2039</v>
      </c>
      <c r="AK62" t="str">
        <f ca="1"/>
        <v>FIXED</v>
      </c>
      <c r="AL62">
        <f ca="1"/>
        <v>2</v>
      </c>
      <c r="AM62">
        <f ca="1"/>
        <v>0.4</v>
      </c>
      <c r="AN62">
        <f ca="1"/>
        <v>2.8679999999969943</v>
      </c>
      <c r="AO62">
        <f ca="1"/>
        <v>2.8949999999966343</v>
      </c>
      <c r="AP62">
        <f ca="1"/>
        <v>76.599999999999994</v>
      </c>
      <c r="AQ62">
        <f ca="1"/>
        <v>76.405000000000001</v>
      </c>
      <c r="AR62" t="str">
        <f ca="1"/>
        <v>ZS2141860</v>
      </c>
      <c r="AS62" t="str">
        <f ca="1"/>
        <v>JP1201681K44</v>
      </c>
      <c r="AT62" t="str">
        <f ca="1"/>
        <v>A+</v>
      </c>
      <c r="AU62">
        <f ca="1"/>
        <v>43571</v>
      </c>
      <c r="AV62">
        <f ca="1"/>
        <v>46101</v>
      </c>
      <c r="AW62">
        <f ca="1"/>
        <v>12.971937029431896</v>
      </c>
      <c r="AX62">
        <f ca="1"/>
        <v>76.502499999999998</v>
      </c>
      <c r="AY62">
        <f ca="1"/>
        <v>325</v>
      </c>
      <c r="AZ62">
        <f ca="1"/>
        <v>12.5</v>
      </c>
      <c r="BA62">
        <f ca="1"/>
        <v>7</v>
      </c>
      <c r="BB62">
        <f ca="1"/>
        <v>0.41978021978021984</v>
      </c>
      <c r="BC62">
        <f ca="1"/>
        <v>76.082719780219776</v>
      </c>
      <c r="BD62">
        <f ca="1"/>
        <v>2.8814999999968141</v>
      </c>
    </row>
    <row r="63" spans="2:56" ht="12.75" x14ac:dyDescent="0.35">
      <c r="B63" t="str">
        <f ca="1"/>
        <v>LW239433 Corp</v>
      </c>
      <c r="C63" t="str">
        <f ca="1"/>
        <v>Japan Government Forty Year Bond</v>
      </c>
      <c r="D63" t="str">
        <f ca="1"/>
        <v>JGB</v>
      </c>
      <c r="E63" t="str">
        <f ca="1"/>
        <v>JP</v>
      </c>
      <c r="F63" t="str">
        <f ca="1"/>
        <v>JPY</v>
      </c>
      <c r="G63" t="str">
        <f ca="1"/>
        <v>20/03/2056</v>
      </c>
      <c r="H63" t="str">
        <f ca="1"/>
        <v>FIXED</v>
      </c>
      <c r="I63">
        <f ca="1"/>
        <v>2</v>
      </c>
      <c r="J63">
        <f ca="1"/>
        <v>0.4</v>
      </c>
      <c r="K63">
        <f ca="1"/>
        <v>5.1529999998726126</v>
      </c>
      <c r="L63">
        <f ca="1"/>
        <v>5.2119999998502644</v>
      </c>
      <c r="M63">
        <f ca="1"/>
        <v>43.975999999999999</v>
      </c>
      <c r="N63">
        <f ca="1"/>
        <v>43.671999999999997</v>
      </c>
      <c r="O63" t="str">
        <f ca="1"/>
        <v>LW2394333</v>
      </c>
      <c r="P63" t="str">
        <f ca="1"/>
        <v>JP1400091G59</v>
      </c>
      <c r="Q63" t="str">
        <f ca="1"/>
        <v>A+</v>
      </c>
      <c r="R63" s="3">
        <f ca="1"/>
        <v>42516</v>
      </c>
      <c r="S63">
        <f ca="1"/>
        <v>46101</v>
      </c>
      <c r="T63">
        <f ca="1"/>
        <v>29.973990417522245</v>
      </c>
      <c r="U63" s="4">
        <f ca="1"/>
        <v>43.823999999999998</v>
      </c>
      <c r="V63">
        <f ca="1"/>
        <v>211</v>
      </c>
      <c r="W63">
        <f ca="1"/>
        <v>29.5</v>
      </c>
      <c r="X63" s="4">
        <f ca="1"/>
        <v>10</v>
      </c>
      <c r="Y63" s="4">
        <f ca="1"/>
        <v>0.41978021978021984</v>
      </c>
      <c r="Z63" s="4">
        <f ca="1"/>
        <v>43.404219780219776</v>
      </c>
      <c r="AA63" s="4">
        <f ca="1"/>
        <v>5.1824999998614381</v>
      </c>
      <c r="AE63" t="str">
        <f ca="1"/>
        <v>AZ694472 Corp</v>
      </c>
      <c r="AF63" t="str">
        <f ca="1"/>
        <v>Japan Government Twenty Year Bond</v>
      </c>
      <c r="AG63" t="str">
        <f ca="1"/>
        <v>JGB</v>
      </c>
      <c r="AH63" t="str">
        <f ca="1"/>
        <v>JP</v>
      </c>
      <c r="AI63" t="str">
        <f ca="1"/>
        <v>JPY</v>
      </c>
      <c r="AJ63" t="str">
        <f ca="1"/>
        <v>20/06/2039</v>
      </c>
      <c r="AK63" t="str">
        <f ca="1"/>
        <v>FIXED</v>
      </c>
      <c r="AL63">
        <f ca="1"/>
        <v>2</v>
      </c>
      <c r="AM63">
        <f ca="1"/>
        <v>0.3</v>
      </c>
      <c r="AN63">
        <f ca="1"/>
        <v>2.9409999999920133</v>
      </c>
      <c r="AO63">
        <f ca="1"/>
        <v>2.965999999991189</v>
      </c>
      <c r="AP63">
        <f ca="1"/>
        <v>74.786000000000001</v>
      </c>
      <c r="AQ63">
        <f ca="1"/>
        <v>74.608000000000004</v>
      </c>
      <c r="AR63" t="str">
        <f ca="1"/>
        <v>AZ6944724</v>
      </c>
      <c r="AS63" t="str">
        <f ca="1"/>
        <v>JP1201691K75</v>
      </c>
      <c r="AT63" t="str">
        <f ca="1"/>
        <v>A+</v>
      </c>
      <c r="AU63">
        <f ca="1"/>
        <v>43663</v>
      </c>
      <c r="AV63">
        <f ca="1"/>
        <v>46193</v>
      </c>
      <c r="AW63">
        <f ca="1"/>
        <v>13.223819301848049</v>
      </c>
      <c r="AX63">
        <f ca="1"/>
        <v>74.697000000000003</v>
      </c>
      <c r="AY63">
        <f ca="1"/>
        <v>33</v>
      </c>
      <c r="AZ63">
        <f ca="1"/>
        <v>13</v>
      </c>
      <c r="BA63">
        <f ca="1"/>
        <v>7</v>
      </c>
      <c r="BB63">
        <f ca="1"/>
        <v>0.16483516483516483</v>
      </c>
      <c r="BC63">
        <f ca="1"/>
        <v>74.532164835164835</v>
      </c>
      <c r="BD63">
        <f ca="1"/>
        <v>2.9534999999916014</v>
      </c>
    </row>
    <row r="64" spans="2:56" ht="12.75" x14ac:dyDescent="0.35">
      <c r="T64"/>
      <c r="X64" s="4"/>
      <c r="Y64" s="4"/>
      <c r="Z64" s="4"/>
      <c r="AA64" s="4"/>
      <c r="AE64" t="str">
        <f ca="1"/>
        <v>ZQ278992 Corp</v>
      </c>
      <c r="AF64" t="str">
        <f ca="1"/>
        <v>Japan Government Twenty Year Bond</v>
      </c>
      <c r="AG64" t="str">
        <f ca="1"/>
        <v>JGB</v>
      </c>
      <c r="AH64" t="str">
        <f ca="1"/>
        <v>JP</v>
      </c>
      <c r="AI64" t="str">
        <f ca="1"/>
        <v>JPY</v>
      </c>
      <c r="AJ64" t="str">
        <f ca="1"/>
        <v>20/09/2039</v>
      </c>
      <c r="AK64" t="str">
        <f ca="1"/>
        <v>FIXED</v>
      </c>
      <c r="AL64">
        <f ca="1"/>
        <v>2</v>
      </c>
      <c r="AM64">
        <f ca="1"/>
        <v>0.3</v>
      </c>
      <c r="AN64">
        <f ca="1"/>
        <v>2.9849999999859871</v>
      </c>
      <c r="AO64">
        <f ca="1"/>
        <v>3.0109999999845116</v>
      </c>
      <c r="AP64">
        <f ca="1"/>
        <v>74.128</v>
      </c>
      <c r="AQ64">
        <f ca="1"/>
        <v>73.942999999999998</v>
      </c>
      <c r="AR64" t="str">
        <f ca="1"/>
        <v>ZQ2789928</v>
      </c>
      <c r="AS64" t="str">
        <f ca="1"/>
        <v>JP1201701KA5</v>
      </c>
      <c r="AT64" t="str">
        <f ca="1"/>
        <v>A+</v>
      </c>
      <c r="AU64">
        <f ca="1"/>
        <v>43762</v>
      </c>
      <c r="AV64">
        <f ca="1"/>
        <v>46101</v>
      </c>
      <c r="AW64">
        <f ca="1"/>
        <v>13.475701574264203</v>
      </c>
      <c r="AX64">
        <f ca="1"/>
        <v>74.035499999999999</v>
      </c>
      <c r="AY64">
        <f ca="1"/>
        <v>322</v>
      </c>
      <c r="AZ64">
        <f ca="1"/>
        <v>13</v>
      </c>
      <c r="BA64">
        <f ca="1"/>
        <v>7</v>
      </c>
      <c r="BB64">
        <f ca="1"/>
        <v>0.31483516483516483</v>
      </c>
      <c r="BC64">
        <f ca="1"/>
        <v>73.72066483516484</v>
      </c>
      <c r="BD64">
        <f ca="1"/>
        <v>2.9979999999852494</v>
      </c>
    </row>
    <row r="65" spans="20:56" ht="12.75" x14ac:dyDescent="0.35">
      <c r="T65"/>
      <c r="X65" s="4"/>
      <c r="Y65" s="4"/>
      <c r="Z65" s="4"/>
      <c r="AA65" s="4"/>
      <c r="AE65" t="str">
        <f ca="1"/>
        <v>ZP562354 Corp</v>
      </c>
      <c r="AF65" t="str">
        <f ca="1"/>
        <v>Japan Government Twenty Year Bond</v>
      </c>
      <c r="AG65" t="str">
        <f ca="1"/>
        <v>JGB</v>
      </c>
      <c r="AH65" t="str">
        <f ca="1"/>
        <v>JP</v>
      </c>
      <c r="AI65" t="str">
        <f ca="1"/>
        <v>JPY</v>
      </c>
      <c r="AJ65" t="str">
        <f ca="1"/>
        <v>20/12/2039</v>
      </c>
      <c r="AK65" t="str">
        <f ca="1"/>
        <v>FIXED</v>
      </c>
      <c r="AL65">
        <f ca="1"/>
        <v>2</v>
      </c>
      <c r="AM65">
        <f ca="1"/>
        <v>0.3</v>
      </c>
      <c r="AN65">
        <f ca="1"/>
        <v>3.0269999999836164</v>
      </c>
      <c r="AO65">
        <f ca="1"/>
        <v>3.0529999999819166</v>
      </c>
      <c r="AP65">
        <f ca="1"/>
        <v>73.489000000000004</v>
      </c>
      <c r="AQ65">
        <f ca="1"/>
        <v>73.302999999999997</v>
      </c>
      <c r="AR65" t="str">
        <f ca="1"/>
        <v>ZP5623548</v>
      </c>
      <c r="AS65" t="str">
        <f ca="1"/>
        <v>JP1201711L13</v>
      </c>
      <c r="AT65" t="str">
        <f ca="1"/>
        <v>A+</v>
      </c>
      <c r="AU65">
        <f ca="1"/>
        <v>43840</v>
      </c>
      <c r="AV65">
        <f ca="1"/>
        <v>46193</v>
      </c>
      <c r="AW65">
        <f ca="1"/>
        <v>13.724845995893224</v>
      </c>
      <c r="AX65">
        <f ca="1"/>
        <v>73.396000000000001</v>
      </c>
      <c r="AY65">
        <f ca="1"/>
        <v>320</v>
      </c>
      <c r="AZ65">
        <f ca="1"/>
        <v>13.5</v>
      </c>
      <c r="BA65">
        <f ca="1"/>
        <v>6</v>
      </c>
      <c r="BB65">
        <f ca="1"/>
        <v>0.16483516483516483</v>
      </c>
      <c r="BC65">
        <f ca="1"/>
        <v>73.231164835164833</v>
      </c>
      <c r="BD65">
        <f ca="1"/>
        <v>3.0399999999827667</v>
      </c>
    </row>
    <row r="66" spans="20:56" x14ac:dyDescent="0.4">
      <c r="W66" s="4"/>
      <c r="AE66" t="str">
        <f ca="1"/>
        <v>BI018471 Corp</v>
      </c>
      <c r="AF66" t="str">
        <f ca="1"/>
        <v>Japan Government Twenty Year Bond</v>
      </c>
      <c r="AG66" t="str">
        <f ca="1"/>
        <v>JGB</v>
      </c>
      <c r="AH66" t="str">
        <f ca="1"/>
        <v>JP</v>
      </c>
      <c r="AI66" t="str">
        <f ca="1"/>
        <v>JPY</v>
      </c>
      <c r="AJ66" t="str">
        <f ca="1"/>
        <v>20/03/2040</v>
      </c>
      <c r="AK66" t="str">
        <f ca="1"/>
        <v>FIXED</v>
      </c>
      <c r="AL66">
        <f ca="1"/>
        <v>2</v>
      </c>
      <c r="AM66">
        <f ca="1"/>
        <v>0.4</v>
      </c>
      <c r="AN66">
        <f ca="1"/>
        <v>3.0449999999871498</v>
      </c>
      <c r="AO66">
        <f ca="1"/>
        <v>3.070999999985784</v>
      </c>
      <c r="AP66">
        <f ca="1"/>
        <v>74.009</v>
      </c>
      <c r="AQ66">
        <f ca="1"/>
        <v>73.819999999999993</v>
      </c>
      <c r="AR66" t="str">
        <f ca="1"/>
        <v>BI0184712</v>
      </c>
      <c r="AS66" t="str">
        <f ca="1"/>
        <v>JP1201721L45</v>
      </c>
      <c r="AT66" t="str">
        <f ca="1"/>
        <v>A+</v>
      </c>
      <c r="AU66">
        <f ca="1"/>
        <v>43935</v>
      </c>
      <c r="AV66">
        <f ca="1"/>
        <v>46101</v>
      </c>
      <c r="AW66">
        <f ca="1"/>
        <v>13.973990417522245</v>
      </c>
      <c r="AX66">
        <f ca="1"/>
        <v>73.914500000000004</v>
      </c>
      <c r="AY66">
        <f ca="1"/>
        <v>36</v>
      </c>
      <c r="AZ66">
        <f ca="1"/>
        <v>13.5</v>
      </c>
      <c r="BA66">
        <f ca="1"/>
        <v>6</v>
      </c>
      <c r="BB66">
        <f ca="1"/>
        <v>0.41978021978021984</v>
      </c>
      <c r="BC66">
        <f ca="1"/>
        <v>73.494719780219782</v>
      </c>
      <c r="BD66">
        <f ca="1"/>
        <v>3.0579999999864667</v>
      </c>
    </row>
    <row r="67" spans="20:56" x14ac:dyDescent="0.4">
      <c r="W67" s="4"/>
      <c r="AE67" t="str">
        <f ca="1"/>
        <v>BK594564 Corp</v>
      </c>
      <c r="AF67" t="str">
        <f ca="1"/>
        <v>Japan Government Twenty Year Bond</v>
      </c>
      <c r="AG67" t="str">
        <f ca="1"/>
        <v>JGB</v>
      </c>
      <c r="AH67" t="str">
        <f ca="1"/>
        <v>JP</v>
      </c>
      <c r="AI67" t="str">
        <f ca="1"/>
        <v>JPY</v>
      </c>
      <c r="AJ67" t="str">
        <f ca="1"/>
        <v>20/06/2040</v>
      </c>
      <c r="AK67" t="str">
        <f ca="1"/>
        <v>FIXED</v>
      </c>
      <c r="AL67">
        <f ca="1"/>
        <v>2</v>
      </c>
      <c r="AM67">
        <f ca="1"/>
        <v>0.4</v>
      </c>
      <c r="AN67">
        <f ca="1"/>
        <v>3.0809999999853628</v>
      </c>
      <c r="AO67">
        <f ca="1"/>
        <v>3.1049999999839488</v>
      </c>
      <c r="AP67">
        <f ca="1"/>
        <v>73.42</v>
      </c>
      <c r="AQ67">
        <f ca="1"/>
        <v>73.245999999999995</v>
      </c>
      <c r="AR67" t="str">
        <f ca="1"/>
        <v>BK5945641</v>
      </c>
      <c r="AS67" t="str">
        <f ca="1"/>
        <v>JP1201731L76</v>
      </c>
      <c r="AT67" t="str">
        <f ca="1"/>
        <v>A+</v>
      </c>
      <c r="AU67">
        <f ca="1"/>
        <v>44026</v>
      </c>
      <c r="AV67">
        <f ca="1"/>
        <v>46193</v>
      </c>
      <c r="AW67">
        <f ca="1"/>
        <v>14.225872689938399</v>
      </c>
      <c r="AX67">
        <f ca="1"/>
        <v>73.332999999999998</v>
      </c>
      <c r="AY67">
        <f ca="1"/>
        <v>40</v>
      </c>
      <c r="AZ67">
        <f ca="1"/>
        <v>14</v>
      </c>
      <c r="BA67">
        <f ca="1"/>
        <v>6</v>
      </c>
      <c r="BB67">
        <f ca="1"/>
        <v>0.2197802197802198</v>
      </c>
      <c r="BC67">
        <f ca="1"/>
        <v>73.113219780219779</v>
      </c>
      <c r="BD67">
        <f ca="1"/>
        <v>3.0929999999846558</v>
      </c>
    </row>
    <row r="68" spans="20:56" x14ac:dyDescent="0.4">
      <c r="W68" s="4"/>
      <c r="AE68" t="str">
        <f ca="1"/>
        <v>BM027946 Corp</v>
      </c>
      <c r="AF68" t="str">
        <f ca="1"/>
        <v>Japan Government Twenty Year Bond</v>
      </c>
      <c r="AG68" t="str">
        <f ca="1"/>
        <v>JGB</v>
      </c>
      <c r="AH68" t="str">
        <f ca="1"/>
        <v>JP</v>
      </c>
      <c r="AI68" t="str">
        <f ca="1"/>
        <v>JPY</v>
      </c>
      <c r="AJ68" t="str">
        <f ca="1"/>
        <v>20/09/2040</v>
      </c>
      <c r="AK68" t="str">
        <f ca="1"/>
        <v>FIXED</v>
      </c>
      <c r="AL68">
        <f ca="1"/>
        <v>2</v>
      </c>
      <c r="AM68">
        <f ca="1"/>
        <v>0.4</v>
      </c>
      <c r="AN68">
        <f ca="1"/>
        <v>3.1179999999760488</v>
      </c>
      <c r="AO68">
        <f ca="1"/>
        <v>3.143999999973583</v>
      </c>
      <c r="AP68">
        <f ca="1"/>
        <v>72.825000000000003</v>
      </c>
      <c r="AQ68">
        <f ca="1"/>
        <v>72.637</v>
      </c>
      <c r="AR68" t="str">
        <f ca="1"/>
        <v>BM0279463</v>
      </c>
      <c r="AS68" t="str">
        <f ca="1"/>
        <v>JP1201741LA9</v>
      </c>
      <c r="AT68" t="str">
        <f ca="1"/>
        <v>NR</v>
      </c>
      <c r="AU68">
        <f ca="1"/>
        <v>44117</v>
      </c>
      <c r="AV68">
        <f ca="1"/>
        <v>46101</v>
      </c>
      <c r="AW68">
        <f ca="1"/>
        <v>14.477754962354553</v>
      </c>
      <c r="AX68">
        <f ca="1"/>
        <v>72.730999999999995</v>
      </c>
      <c r="AY68">
        <f ca="1"/>
        <v>41</v>
      </c>
      <c r="AZ68">
        <f ca="1"/>
        <v>14</v>
      </c>
      <c r="BA68">
        <f ca="1"/>
        <v>6</v>
      </c>
      <c r="BB68">
        <f ca="1"/>
        <v>0.41978021978021984</v>
      </c>
      <c r="BC68">
        <f ca="1"/>
        <v>72.311219780219773</v>
      </c>
      <c r="BD68">
        <f ca="1"/>
        <v>3.1309999999748159</v>
      </c>
    </row>
    <row r="69" spans="20:56" x14ac:dyDescent="0.4">
      <c r="W69" s="4"/>
      <c r="AE69" t="str">
        <f ca="1"/>
        <v>BQ516777 Corp</v>
      </c>
      <c r="AF69" t="str">
        <f ca="1"/>
        <v>Japan Government Twenty Year Bond</v>
      </c>
      <c r="AG69" t="str">
        <f ca="1"/>
        <v>JGB</v>
      </c>
      <c r="AH69" t="str">
        <f ca="1"/>
        <v>JP</v>
      </c>
      <c r="AI69" t="str">
        <f ca="1"/>
        <v>JPY</v>
      </c>
      <c r="AJ69" t="str">
        <f ca="1"/>
        <v>20/06/2041</v>
      </c>
      <c r="AK69" t="str">
        <f ca="1"/>
        <v>FIXED</v>
      </c>
      <c r="AL69">
        <f ca="1"/>
        <v>2</v>
      </c>
      <c r="AM69">
        <f ca="1"/>
        <v>0.4</v>
      </c>
      <c r="AN69">
        <f ca="1"/>
        <v>3.2449999999473009</v>
      </c>
      <c r="AO69">
        <f ca="1"/>
        <v>3.2689999999425496</v>
      </c>
      <c r="AP69">
        <f ca="1"/>
        <v>70.944999999999993</v>
      </c>
      <c r="AQ69">
        <f ca="1"/>
        <v>70.772000000000006</v>
      </c>
      <c r="AR69" t="str">
        <f ca="1"/>
        <v>BQ5167771</v>
      </c>
      <c r="AS69" t="str">
        <f ca="1"/>
        <v>JP1201771M76</v>
      </c>
      <c r="AT69" t="str">
        <f ca="1"/>
        <v>NR</v>
      </c>
      <c r="AU69">
        <f ca="1"/>
        <v>44383</v>
      </c>
      <c r="AV69">
        <f ca="1"/>
        <v>46193</v>
      </c>
      <c r="AW69">
        <f ca="1"/>
        <v>15.225188227241615</v>
      </c>
      <c r="AX69">
        <f ca="1"/>
        <v>70.858499999999992</v>
      </c>
      <c r="AY69">
        <f ca="1"/>
        <v>53</v>
      </c>
      <c r="AZ69">
        <f ca="1"/>
        <v>15</v>
      </c>
      <c r="BA69">
        <f ca="1"/>
        <v>5</v>
      </c>
      <c r="BB69">
        <f ca="1"/>
        <v>0.2197802197802198</v>
      </c>
      <c r="BC69">
        <f ca="1"/>
        <v>70.638719780219773</v>
      </c>
      <c r="BD69">
        <f ca="1"/>
        <v>3.2569999999449255</v>
      </c>
    </row>
    <row r="70" spans="20:56" x14ac:dyDescent="0.4">
      <c r="W70" s="4"/>
      <c r="AE70" t="str">
        <f ca="1"/>
        <v>LW361469 Corp</v>
      </c>
      <c r="AF70" t="str">
        <f ca="1"/>
        <v>Japan Government Thirty Year Bond</v>
      </c>
      <c r="AG70" t="str">
        <f ca="1"/>
        <v>JGB</v>
      </c>
      <c r="AH70" t="str">
        <f ca="1"/>
        <v>JP</v>
      </c>
      <c r="AI70" t="str">
        <f ca="1"/>
        <v>JPY</v>
      </c>
      <c r="AJ70" t="str">
        <f ca="1"/>
        <v>20/06/2046</v>
      </c>
      <c r="AK70" t="str">
        <f ca="1"/>
        <v>FIXED</v>
      </c>
      <c r="AL70">
        <f ca="1"/>
        <v>2</v>
      </c>
      <c r="AM70">
        <f ca="1"/>
        <v>0.3</v>
      </c>
      <c r="AN70">
        <f ca="1"/>
        <v>4.0339999999999367</v>
      </c>
      <c r="AO70">
        <f ca="1"/>
        <v>4.0719999999999255</v>
      </c>
      <c r="AP70">
        <f ca="1"/>
        <v>58.354999999999997</v>
      </c>
      <c r="AQ70">
        <f ca="1"/>
        <v>58.109000000000002</v>
      </c>
      <c r="AR70" t="str">
        <f ca="1"/>
        <v>LW3614697</v>
      </c>
      <c r="AS70" t="str">
        <f ca="1"/>
        <v>JP1300511G61</v>
      </c>
      <c r="AT70" t="str">
        <f ca="1"/>
        <v>A+</v>
      </c>
      <c r="AU70">
        <f ca="1"/>
        <v>42528</v>
      </c>
      <c r="AV70">
        <f ca="1"/>
        <v>46193</v>
      </c>
      <c r="AW70">
        <f ca="1"/>
        <v>20.224503764544831</v>
      </c>
      <c r="AX70">
        <f ca="1"/>
        <v>58.231999999999999</v>
      </c>
      <c r="AY70">
        <f ca="1"/>
        <v>213</v>
      </c>
      <c r="AZ70">
        <f ca="1"/>
        <v>20</v>
      </c>
      <c r="BA70">
        <f ca="1"/>
        <v>10</v>
      </c>
      <c r="BB70">
        <f ca="1"/>
        <v>0.16483516483516483</v>
      </c>
      <c r="BC70">
        <f ca="1"/>
        <v>58.067164835164832</v>
      </c>
      <c r="BD70">
        <f ca="1"/>
        <v>4.0529999999999315</v>
      </c>
    </row>
    <row r="71" spans="20:56" x14ac:dyDescent="0.4">
      <c r="W71" s="4"/>
      <c r="AE71" t="str">
        <f ca="1"/>
        <v>AZ527231 Corp</v>
      </c>
      <c r="AF71" t="str">
        <f ca="1"/>
        <v>Japan Government Thirty Year Bond</v>
      </c>
      <c r="AG71" t="str">
        <f ca="1"/>
        <v>JGB</v>
      </c>
      <c r="AH71" t="str">
        <f ca="1"/>
        <v>JP</v>
      </c>
      <c r="AI71" t="str">
        <f ca="1"/>
        <v>JPY</v>
      </c>
      <c r="AJ71" t="str">
        <f ca="1"/>
        <v>20/06/2049</v>
      </c>
      <c r="AK71" t="str">
        <f ca="1"/>
        <v>FIXED</v>
      </c>
      <c r="AL71">
        <f ca="1"/>
        <v>2</v>
      </c>
      <c r="AM71">
        <f ca="1"/>
        <v>0.4</v>
      </c>
      <c r="AN71">
        <f ca="1"/>
        <v>4.4309999999993606</v>
      </c>
      <c r="AO71">
        <f ca="1"/>
        <v>4.4689999999992649</v>
      </c>
      <c r="AP71">
        <f ca="1"/>
        <v>53.813000000000002</v>
      </c>
      <c r="AQ71">
        <f ca="1"/>
        <v>53.58</v>
      </c>
      <c r="AR71" t="str">
        <f ca="1"/>
        <v>AZ5272317</v>
      </c>
      <c r="AS71" t="str">
        <f ca="1"/>
        <v>JP1300631K78</v>
      </c>
      <c r="AT71" t="str">
        <f ca="1"/>
        <v>A+</v>
      </c>
      <c r="AU71">
        <f ca="1"/>
        <v>43650</v>
      </c>
      <c r="AV71">
        <f ca="1"/>
        <v>46193</v>
      </c>
      <c r="AW71">
        <f ca="1"/>
        <v>23.225188227241617</v>
      </c>
      <c r="AX71">
        <f ca="1"/>
        <v>53.6965</v>
      </c>
      <c r="AY71">
        <f ca="1"/>
        <v>32</v>
      </c>
      <c r="AZ71">
        <f ca="1"/>
        <v>23</v>
      </c>
      <c r="BA71">
        <f ca="1"/>
        <v>7</v>
      </c>
      <c r="BB71">
        <f ca="1"/>
        <v>0.2197802197802198</v>
      </c>
      <c r="BC71">
        <f ca="1"/>
        <v>53.476719780219781</v>
      </c>
      <c r="BD71">
        <f ca="1"/>
        <v>4.4499999999993127</v>
      </c>
    </row>
    <row r="72" spans="20:56" x14ac:dyDescent="0.4">
      <c r="W72" s="4"/>
      <c r="AE72" t="str">
        <f ca="1"/>
        <v>ZQ061592 Corp</v>
      </c>
      <c r="AF72" t="str">
        <f ca="1"/>
        <v>Japan Government Thirty Year Bond</v>
      </c>
      <c r="AG72" t="str">
        <f ca="1"/>
        <v>JGB</v>
      </c>
      <c r="AH72" t="str">
        <f ca="1"/>
        <v>JP</v>
      </c>
      <c r="AI72" t="str">
        <f ca="1"/>
        <v>JPY</v>
      </c>
      <c r="AJ72" t="str">
        <f ca="1"/>
        <v>20/09/2049</v>
      </c>
      <c r="AK72" t="str">
        <f ca="1"/>
        <v>FIXED</v>
      </c>
      <c r="AL72">
        <f ca="1"/>
        <v>2</v>
      </c>
      <c r="AM72">
        <f ca="1"/>
        <v>0.4</v>
      </c>
      <c r="AN72">
        <f ca="1"/>
        <v>4.475999999999023</v>
      </c>
      <c r="AO72">
        <f ca="1"/>
        <v>4.5149999999988726</v>
      </c>
      <c r="AP72">
        <f ca="1"/>
        <v>53.292000000000002</v>
      </c>
      <c r="AQ72">
        <f ca="1"/>
        <v>53.055</v>
      </c>
      <c r="AR72" t="str">
        <f ca="1"/>
        <v>ZQ0615927</v>
      </c>
      <c r="AS72" t="str">
        <f ca="1"/>
        <v>JP1300641KA3</v>
      </c>
      <c r="AT72" t="str">
        <f ca="1"/>
        <v>A+</v>
      </c>
      <c r="AU72">
        <f ca="1"/>
        <v>43748</v>
      </c>
      <c r="AV72">
        <f ca="1"/>
        <v>46101</v>
      </c>
      <c r="AW72">
        <f ca="1"/>
        <v>23.477070499657767</v>
      </c>
      <c r="AX72">
        <f ca="1"/>
        <v>53.173500000000004</v>
      </c>
      <c r="AY72">
        <f ca="1"/>
        <v>321</v>
      </c>
      <c r="AZ72">
        <f ca="1"/>
        <v>23</v>
      </c>
      <c r="BA72">
        <f ca="1"/>
        <v>7</v>
      </c>
      <c r="BB72">
        <f ca="1"/>
        <v>0.41978021978021984</v>
      </c>
      <c r="BC72">
        <f ca="1"/>
        <v>52.753719780219782</v>
      </c>
      <c r="BD72">
        <f ca="1"/>
        <v>4.4954999999989482</v>
      </c>
    </row>
    <row r="73" spans="20:56" x14ac:dyDescent="0.4">
      <c r="W73" s="4"/>
      <c r="AE73" t="str">
        <f ca="1"/>
        <v>ZP387400 Corp</v>
      </c>
      <c r="AF73" t="str">
        <f ca="1"/>
        <v>Japan Government Thirty Year Bond</v>
      </c>
      <c r="AG73" t="str">
        <f ca="1"/>
        <v>JGB</v>
      </c>
      <c r="AH73" t="str">
        <f ca="1"/>
        <v>JP</v>
      </c>
      <c r="AI73" t="str">
        <f ca="1"/>
        <v>JPY</v>
      </c>
      <c r="AJ73" t="str">
        <f ca="1"/>
        <v>20/12/2049</v>
      </c>
      <c r="AK73" t="str">
        <f ca="1"/>
        <v>FIXED</v>
      </c>
      <c r="AL73">
        <f ca="1"/>
        <v>2</v>
      </c>
      <c r="AM73">
        <f ca="1"/>
        <v>0.4</v>
      </c>
      <c r="AN73">
        <f ca="1"/>
        <v>4.5229999999988379</v>
      </c>
      <c r="AO73">
        <f ca="1"/>
        <v>4.5589999999986786</v>
      </c>
      <c r="AP73">
        <f ca="1"/>
        <v>52.765999999999998</v>
      </c>
      <c r="AQ73">
        <f ca="1"/>
        <v>52.55</v>
      </c>
      <c r="AR73" t="str">
        <f ca="1"/>
        <v>ZP3874002</v>
      </c>
      <c r="AS73" t="str">
        <f ca="1"/>
        <v>JP1300651L15</v>
      </c>
      <c r="AT73" t="str">
        <f ca="1"/>
        <v>A+</v>
      </c>
      <c r="AU73">
        <f ca="1"/>
        <v>43826</v>
      </c>
      <c r="AV73">
        <f ca="1"/>
        <v>46193</v>
      </c>
      <c r="AW73">
        <f ca="1"/>
        <v>23.72621492128679</v>
      </c>
      <c r="AX73">
        <f ca="1"/>
        <v>52.658000000000001</v>
      </c>
      <c r="AY73">
        <f ca="1"/>
        <v>319</v>
      </c>
      <c r="AZ73">
        <f ca="1"/>
        <v>23.5</v>
      </c>
      <c r="BA73">
        <f ca="1"/>
        <v>7</v>
      </c>
      <c r="BB73">
        <f ca="1"/>
        <v>0.2197802197802198</v>
      </c>
      <c r="BC73">
        <f ca="1"/>
        <v>52.438219780219782</v>
      </c>
      <c r="BD73">
        <f ca="1"/>
        <v>4.5409999999987587</v>
      </c>
    </row>
    <row r="74" spans="20:56" x14ac:dyDescent="0.4">
      <c r="W74" s="4"/>
      <c r="AE74" t="str">
        <f ca="1"/>
        <v>BH620692 Corp</v>
      </c>
      <c r="AF74" t="str">
        <f ca="1"/>
        <v>Japan Government Thirty Year Bond</v>
      </c>
      <c r="AG74" t="str">
        <f ca="1"/>
        <v>JGB</v>
      </c>
      <c r="AH74" t="str">
        <f ca="1"/>
        <v>JP</v>
      </c>
      <c r="AI74" t="str">
        <f ca="1"/>
        <v>JPY</v>
      </c>
      <c r="AJ74" t="str">
        <f ca="1"/>
        <v>20/03/2050</v>
      </c>
      <c r="AK74" t="str">
        <f ca="1"/>
        <v>FIXED</v>
      </c>
      <c r="AL74">
        <f ca="1"/>
        <v>2</v>
      </c>
      <c r="AM74">
        <f ca="1"/>
        <v>0.4</v>
      </c>
      <c r="AN74">
        <f ca="1"/>
        <v>4.5589999999982993</v>
      </c>
      <c r="AO74">
        <f ca="1"/>
        <v>4.5979999999980539</v>
      </c>
      <c r="AP74">
        <f ca="1"/>
        <v>52.314999999999998</v>
      </c>
      <c r="AQ74">
        <f ca="1"/>
        <v>52.082000000000001</v>
      </c>
      <c r="AR74" t="str">
        <f ca="1"/>
        <v>BH6206925</v>
      </c>
      <c r="AS74" t="str">
        <f ca="1"/>
        <v>JP1300661L47</v>
      </c>
      <c r="AT74" t="str">
        <f ca="1"/>
        <v>A+</v>
      </c>
      <c r="AU74">
        <f ca="1"/>
        <v>43921</v>
      </c>
      <c r="AV74">
        <f ca="1"/>
        <v>46101</v>
      </c>
      <c r="AW74">
        <f ca="1"/>
        <v>23.972621492128678</v>
      </c>
      <c r="AX74">
        <f ca="1"/>
        <v>52.198499999999996</v>
      </c>
      <c r="AY74">
        <f ca="1"/>
        <v>35</v>
      </c>
      <c r="AZ74">
        <f ca="1"/>
        <v>23.5</v>
      </c>
      <c r="BA74">
        <f ca="1"/>
        <v>6</v>
      </c>
      <c r="BB74">
        <f ca="1"/>
        <v>0.41978021978021984</v>
      </c>
      <c r="BC74">
        <f ca="1"/>
        <v>51.778719780219774</v>
      </c>
      <c r="BD74">
        <f ca="1"/>
        <v>4.5784999999981766</v>
      </c>
    </row>
    <row r="75" spans="20:56" x14ac:dyDescent="0.4">
      <c r="W75" s="4"/>
      <c r="AE75" t="str">
        <f ca="1"/>
        <v>LW239433 Corp</v>
      </c>
      <c r="AF75" t="str">
        <f ca="1"/>
        <v>Japan Government Forty Year Bond</v>
      </c>
      <c r="AG75" t="str">
        <f ca="1"/>
        <v>JGB</v>
      </c>
      <c r="AH75" t="str">
        <f ca="1"/>
        <v>JP</v>
      </c>
      <c r="AI75" t="str">
        <f ca="1"/>
        <v>JPY</v>
      </c>
      <c r="AJ75" t="str">
        <f ca="1"/>
        <v>20/03/2056</v>
      </c>
      <c r="AK75" t="str">
        <f ca="1"/>
        <v>FIXED</v>
      </c>
      <c r="AL75">
        <f ca="1"/>
        <v>2</v>
      </c>
      <c r="AM75">
        <f ca="1"/>
        <v>0.4</v>
      </c>
      <c r="AN75">
        <f ca="1"/>
        <v>5.1529999998726126</v>
      </c>
      <c r="AO75">
        <f ca="1"/>
        <v>5.2119999998502644</v>
      </c>
      <c r="AP75">
        <f ca="1"/>
        <v>43.975999999999999</v>
      </c>
      <c r="AQ75">
        <f ca="1"/>
        <v>43.671999999999997</v>
      </c>
      <c r="AR75" t="str">
        <f ca="1"/>
        <v>LW2394333</v>
      </c>
      <c r="AS75" t="str">
        <f ca="1"/>
        <v>JP1400091G59</v>
      </c>
      <c r="AT75" t="str">
        <f ca="1"/>
        <v>A+</v>
      </c>
      <c r="AU75">
        <f ca="1"/>
        <v>42516</v>
      </c>
      <c r="AV75">
        <f ca="1"/>
        <v>46101</v>
      </c>
      <c r="AW75">
        <f ca="1"/>
        <v>29.973990417522245</v>
      </c>
      <c r="AX75">
        <f ca="1"/>
        <v>43.823999999999998</v>
      </c>
      <c r="AY75">
        <f ca="1"/>
        <v>211</v>
      </c>
      <c r="AZ75">
        <f ca="1"/>
        <v>29.5</v>
      </c>
      <c r="BA75">
        <f ca="1"/>
        <v>10</v>
      </c>
      <c r="BB75">
        <f ca="1"/>
        <v>0.41978021978021984</v>
      </c>
      <c r="BC75">
        <f ca="1"/>
        <v>43.404219780219776</v>
      </c>
      <c r="BD75">
        <f ca="1"/>
        <v>5.1824999998614381</v>
      </c>
    </row>
  </sheetData>
  <conditionalFormatting sqref="J1:J104857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66:J70">
    <cfRule type="cellIs" dxfId="5" priority="3" operator="greaterThan">
      <formula>1</formula>
    </cfRule>
  </conditionalFormatting>
  <conditionalFormatting sqref="R1:R1048576">
    <cfRule type="colorScale" priority="1">
      <colorScale>
        <cfvo type="min"/>
        <cfvo type="max"/>
        <color rgb="FFF8696B"/>
        <color rgb="FFFCFCFF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391DB-3107-4B44-942D-05CE11B2375F}">
  <dimension ref="A1:EE503"/>
  <sheetViews>
    <sheetView topLeftCell="A46" zoomScale="39" zoomScaleNormal="117" workbookViewId="0">
      <selection activeCell="E67" sqref="E67"/>
    </sheetView>
  </sheetViews>
  <sheetFormatPr defaultColWidth="5.73046875" defaultRowHeight="14.25" x14ac:dyDescent="0.45"/>
  <cols>
    <col min="1" max="1" width="7.265625" style="48" bestFit="1" customWidth="1"/>
    <col min="2" max="2" width="15.3984375" style="10" bestFit="1" customWidth="1"/>
    <col min="3" max="3" width="16.265625" style="9" bestFit="1" customWidth="1"/>
    <col min="4" max="4" width="16.1328125" style="10" bestFit="1" customWidth="1"/>
    <col min="5" max="5" width="17" style="10" bestFit="1" customWidth="1"/>
    <col min="6" max="6" width="9.265625" style="18" bestFit="1" customWidth="1"/>
    <col min="7" max="7" width="10" style="9" bestFit="1" customWidth="1"/>
    <col min="8" max="8" width="10.59765625" style="9" bestFit="1" customWidth="1"/>
    <col min="9" max="9" width="11" style="9" bestFit="1" customWidth="1"/>
    <col min="10" max="10" width="9.265625" style="9" bestFit="1" customWidth="1"/>
    <col min="11" max="11" width="7.86328125" style="9" bestFit="1" customWidth="1"/>
    <col min="12" max="12" width="9.265625" style="9" bestFit="1" customWidth="1"/>
    <col min="13" max="20" width="6.73046875" style="9" customWidth="1"/>
    <col min="21" max="31" width="9.265625" style="9" bestFit="1" customWidth="1"/>
    <col min="32" max="42" width="6.86328125" style="9" bestFit="1" customWidth="1"/>
    <col min="43" max="43" width="7.73046875" style="9" bestFit="1" customWidth="1"/>
    <col min="44" max="90" width="7.59765625" style="9" customWidth="1"/>
    <col min="91" max="91" width="5.73046875" style="9"/>
    <col min="92" max="92" width="16.3984375" style="9" bestFit="1" customWidth="1"/>
    <col min="93" max="93" width="13.265625" style="17" bestFit="1" customWidth="1"/>
    <col min="94" max="94" width="10.59765625" style="17" bestFit="1" customWidth="1"/>
    <col min="95" max="95" width="9.73046875" style="17" bestFit="1" customWidth="1"/>
    <col min="96" max="96" width="12.1328125" style="17" bestFit="1" customWidth="1"/>
    <col min="97" max="97" width="10.59765625" style="17" bestFit="1" customWidth="1"/>
    <col min="98" max="16384" width="5.73046875" style="9"/>
  </cols>
  <sheetData>
    <row r="1" spans="1:135" ht="14.65" thickBot="1" x14ac:dyDescent="0.5">
      <c r="A1" s="68" t="s">
        <v>1</v>
      </c>
      <c r="B1" s="68"/>
      <c r="C1" s="69" t="s">
        <v>2</v>
      </c>
      <c r="D1" s="69"/>
      <c r="E1" s="67" t="str">
        <f ca="1">IF(COUNT(H:H)&gt;=COUNT(INDIRECT("'"&amp;A1&amp;"'!W:W")),"YAY ENOUGH ROWS","NEEDS MORE ROWS")</f>
        <v>YAY ENOUGH ROWS</v>
      </c>
      <c r="F1" s="67"/>
      <c r="H1" s="10"/>
      <c r="I1" s="10"/>
      <c r="J1" s="10"/>
      <c r="K1" s="70" t="s">
        <v>3</v>
      </c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11"/>
      <c r="CN1" s="73" t="s">
        <v>4</v>
      </c>
      <c r="CO1" s="73"/>
      <c r="CP1" s="73"/>
      <c r="CQ1" s="73"/>
      <c r="CR1" s="73"/>
      <c r="CS1" s="73"/>
      <c r="EC1" s="56" t="s">
        <v>5</v>
      </c>
      <c r="ED1" s="56" t="s">
        <v>6</v>
      </c>
      <c r="EE1" s="56" t="s">
        <v>7</v>
      </c>
    </row>
    <row r="2" spans="1:135" x14ac:dyDescent="0.45">
      <c r="A2" s="49" t="s">
        <v>8</v>
      </c>
      <c r="B2" s="51" t="s">
        <v>9</v>
      </c>
      <c r="C2" s="13" t="s">
        <v>10</v>
      </c>
      <c r="D2" s="14" t="s">
        <v>11</v>
      </c>
      <c r="E2" s="12" t="s">
        <v>12</v>
      </c>
      <c r="F2" s="15" t="s">
        <v>13</v>
      </c>
      <c r="G2" s="9" t="s">
        <v>14</v>
      </c>
      <c r="H2" s="9" t="s">
        <v>15</v>
      </c>
      <c r="I2" s="9" t="s">
        <v>16</v>
      </c>
      <c r="J2" s="16" t="s">
        <v>17</v>
      </c>
      <c r="K2" s="26" cm="1">
        <f t="array" ref="K2:CK2">_xlfn.SEQUENCE(1,79,0,0.5)</f>
        <v>0</v>
      </c>
      <c r="L2" s="27">
        <v>0.5</v>
      </c>
      <c r="M2" s="27">
        <v>1</v>
      </c>
      <c r="N2" s="27">
        <v>1.5</v>
      </c>
      <c r="O2" s="27">
        <v>2</v>
      </c>
      <c r="P2" s="27">
        <v>2.5</v>
      </c>
      <c r="Q2" s="27">
        <v>3</v>
      </c>
      <c r="R2" s="27">
        <v>3.5</v>
      </c>
      <c r="S2" s="27">
        <v>4</v>
      </c>
      <c r="T2" s="27">
        <v>4.5</v>
      </c>
      <c r="U2" s="27">
        <v>5</v>
      </c>
      <c r="V2" s="27">
        <v>5.5</v>
      </c>
      <c r="W2" s="27">
        <v>6</v>
      </c>
      <c r="X2" s="27">
        <v>6.5</v>
      </c>
      <c r="Y2" s="27">
        <v>7</v>
      </c>
      <c r="Z2" s="27">
        <v>7.5</v>
      </c>
      <c r="AA2" s="27">
        <v>8</v>
      </c>
      <c r="AB2" s="27">
        <v>8.5</v>
      </c>
      <c r="AC2" s="27">
        <v>9</v>
      </c>
      <c r="AD2" s="27">
        <v>9.5</v>
      </c>
      <c r="AE2" s="27">
        <v>10</v>
      </c>
      <c r="AF2" s="27">
        <v>10.5</v>
      </c>
      <c r="AG2" s="27">
        <v>11</v>
      </c>
      <c r="AH2" s="27">
        <v>11.5</v>
      </c>
      <c r="AI2" s="27">
        <v>12</v>
      </c>
      <c r="AJ2" s="27">
        <v>12.5</v>
      </c>
      <c r="AK2" s="27">
        <v>13</v>
      </c>
      <c r="AL2" s="27">
        <v>13.5</v>
      </c>
      <c r="AM2" s="27">
        <v>14</v>
      </c>
      <c r="AN2" s="27">
        <v>14.5</v>
      </c>
      <c r="AO2" s="27">
        <v>15</v>
      </c>
      <c r="AP2" s="27">
        <v>15.5</v>
      </c>
      <c r="AQ2" s="27">
        <v>16</v>
      </c>
      <c r="AR2" s="27">
        <v>16.5</v>
      </c>
      <c r="AS2" s="27">
        <v>17</v>
      </c>
      <c r="AT2" s="27">
        <v>17.5</v>
      </c>
      <c r="AU2" s="27">
        <v>18</v>
      </c>
      <c r="AV2" s="27">
        <v>18.5</v>
      </c>
      <c r="AW2" s="27">
        <v>19</v>
      </c>
      <c r="AX2" s="27">
        <v>19.5</v>
      </c>
      <c r="AY2" s="27">
        <v>20</v>
      </c>
      <c r="AZ2" s="27">
        <v>20.5</v>
      </c>
      <c r="BA2" s="27">
        <v>21</v>
      </c>
      <c r="BB2" s="27">
        <v>21.5</v>
      </c>
      <c r="BC2" s="27">
        <v>22</v>
      </c>
      <c r="BD2" s="27">
        <v>22.5</v>
      </c>
      <c r="BE2" s="27">
        <v>23</v>
      </c>
      <c r="BF2" s="27">
        <v>23.5</v>
      </c>
      <c r="BG2" s="27">
        <v>24</v>
      </c>
      <c r="BH2" s="27">
        <v>24.5</v>
      </c>
      <c r="BI2" s="27">
        <v>25</v>
      </c>
      <c r="BJ2" s="27">
        <v>25.5</v>
      </c>
      <c r="BK2" s="27">
        <v>26</v>
      </c>
      <c r="BL2" s="27">
        <v>26.5</v>
      </c>
      <c r="BM2" s="27">
        <v>27</v>
      </c>
      <c r="BN2" s="27">
        <v>27.5</v>
      </c>
      <c r="BO2" s="27">
        <v>28</v>
      </c>
      <c r="BP2" s="27">
        <v>28.5</v>
      </c>
      <c r="BQ2" s="27">
        <v>29</v>
      </c>
      <c r="BR2" s="27">
        <v>29.5</v>
      </c>
      <c r="BS2" s="27">
        <v>30</v>
      </c>
      <c r="BT2" s="27">
        <v>30.5</v>
      </c>
      <c r="BU2" s="27">
        <v>31</v>
      </c>
      <c r="BV2" s="27">
        <v>31.5</v>
      </c>
      <c r="BW2" s="27">
        <v>32</v>
      </c>
      <c r="BX2" s="27">
        <v>32.5</v>
      </c>
      <c r="BY2" s="27">
        <v>33</v>
      </c>
      <c r="BZ2" s="27">
        <v>33.5</v>
      </c>
      <c r="CA2" s="27">
        <v>34</v>
      </c>
      <c r="CB2" s="27">
        <v>34.5</v>
      </c>
      <c r="CC2" s="27">
        <v>35</v>
      </c>
      <c r="CD2" s="27">
        <v>35.5</v>
      </c>
      <c r="CE2" s="27">
        <v>36</v>
      </c>
      <c r="CF2" s="27">
        <v>36.5</v>
      </c>
      <c r="CG2" s="27">
        <v>37</v>
      </c>
      <c r="CH2" s="27">
        <v>37.5</v>
      </c>
      <c r="CI2" s="27">
        <v>38</v>
      </c>
      <c r="CJ2" s="27">
        <v>38.5</v>
      </c>
      <c r="CK2" s="28">
        <v>39</v>
      </c>
      <c r="CN2" s="9" t="s">
        <v>18</v>
      </c>
      <c r="CO2" s="17" t="s">
        <v>19</v>
      </c>
      <c r="CP2" s="17" t="s">
        <v>20</v>
      </c>
      <c r="CQ2" s="17" t="s">
        <v>21</v>
      </c>
      <c r="CR2" s="17" t="s">
        <v>22</v>
      </c>
      <c r="CS2" s="17" t="s">
        <v>23</v>
      </c>
      <c r="EC2" s="9" cm="1">
        <f t="array" aca="1" ref="EC2:EC63" ca="1">OFFSET(INDIRECT(ADDRESS(1,27,,,A1)),1,,COUNT(INDIRECT("'"&amp;A1&amp;"'!U:U")))/100</f>
        <v>8.8799999999898405E-3</v>
      </c>
      <c r="ED2" s="9" cm="1">
        <f t="array" aca="1" ref="ED2:ED63" ca="1">OFFSET(INDIRECT(ADDRESS(1,11,,,A1)),1,,COUNT(INDIRECT("'"&amp;A1&amp;"'!U:U")))/100</f>
        <v>8.7599999999905202E-3</v>
      </c>
      <c r="EE2" s="9" cm="1">
        <f t="array" aca="1" ref="EE2:EE63" ca="1">OFFSET(INDIRECT(ADDRESS(1,12,,,A1)),1,,COUNT(INDIRECT("'"&amp;A1&amp;"'!U:U")))/100</f>
        <v>8.999999999989159E-3</v>
      </c>
    </row>
    <row r="3" spans="1:135" x14ac:dyDescent="0.45">
      <c r="A3" s="57" cm="1">
        <f t="array" aca="1" ref="A3:A64" ca="1">OFFSET(INDIRECT(ADDRESS(1,23,,,A1)),1,,COUNT(INDIRECT("'"&amp;A1&amp;"'!W:W")))</f>
        <v>0.5</v>
      </c>
      <c r="B3" s="58" cm="1">
        <f t="array" aca="1" ref="B3:B64" ca="1">OFFSET(INDIRECT(ADDRESS(1,10,,,A1)),1,,COUNT(INDIRECT("'"&amp;A1&amp;"'!J:J")))/100</f>
        <v>4.0000000000000001E-3</v>
      </c>
      <c r="C3" s="59" cm="1">
        <f t="array" aca="1" ref="C3:C64" ca="1">OFFSET(INDIRECT(ADDRESS(1,21,,,A1)),1,,COUNT(INDIRECT("'"&amp;A1&amp;"'!U:U")))</f>
        <v>99.729500000000002</v>
      </c>
      <c r="D3" s="18">
        <f t="shared" ref="D3:D34" ca="1" si="0">SUMPRODUCT(L3:CK3,$L$249:$CK$249)</f>
        <v>99.629385669406361</v>
      </c>
      <c r="E3" s="18">
        <f t="shared" ref="E3:E34" ca="1" si="1">+D3-C3</f>
        <v>-0.10011433059364094</v>
      </c>
      <c r="F3" s="18">
        <f t="shared" ref="F3:F34" ca="1" si="2">ABS(C3-D3)</f>
        <v>0.10011433059364094</v>
      </c>
      <c r="G3" s="19">
        <f t="shared" ref="G3:G34" ca="1" si="3">+IFERROR(IRR(K3:CK3,0),0)</f>
        <v>6.7231862187215885E-3</v>
      </c>
      <c r="H3" s="19">
        <f ca="1">IFERROR(IRR((J3,L3:CK3),0),0)</f>
        <v>7.734809618827887E-3</v>
      </c>
      <c r="I3" s="55">
        <f t="shared" ref="I3:I34" ca="1" si="4">IFERROR(H3-G3,0)</f>
        <v>1.0116234001062985E-3</v>
      </c>
      <c r="J3" s="18">
        <f t="shared" ref="J3:J34" ca="1" si="5">-D3</f>
        <v>-99.629385669406361</v>
      </c>
      <c r="K3" s="29">
        <f t="shared" ref="K3:K34" ca="1" si="6">-C3</f>
        <v>-99.729500000000002</v>
      </c>
      <c r="L3" s="9">
        <f t="shared" ref="L3:U12" ca="1" si="7">$B3*100*(L$2&lt;$A3)+100*(1+$B3)*(L$2=$A3)</f>
        <v>100.4</v>
      </c>
      <c r="M3" s="9">
        <f t="shared" ca="1" si="7"/>
        <v>0</v>
      </c>
      <c r="N3" s="9">
        <f t="shared" ca="1" si="7"/>
        <v>0</v>
      </c>
      <c r="O3" s="9">
        <f t="shared" ca="1" si="7"/>
        <v>0</v>
      </c>
      <c r="P3" s="9">
        <f t="shared" ca="1" si="7"/>
        <v>0</v>
      </c>
      <c r="Q3" s="9">
        <f t="shared" ca="1" si="7"/>
        <v>0</v>
      </c>
      <c r="R3" s="9">
        <f t="shared" ca="1" si="7"/>
        <v>0</v>
      </c>
      <c r="S3" s="9">
        <f t="shared" ca="1" si="7"/>
        <v>0</v>
      </c>
      <c r="T3" s="9">
        <f t="shared" ca="1" si="7"/>
        <v>0</v>
      </c>
      <c r="U3" s="9">
        <f t="shared" ca="1" si="7"/>
        <v>0</v>
      </c>
      <c r="V3" s="9">
        <f t="shared" ref="V3:AE12" ca="1" si="8">$B3*100*(V$2&lt;$A3)+100*(1+$B3)*(V$2=$A3)</f>
        <v>0</v>
      </c>
      <c r="W3" s="9">
        <f t="shared" ca="1" si="8"/>
        <v>0</v>
      </c>
      <c r="X3" s="9">
        <f t="shared" ca="1" si="8"/>
        <v>0</v>
      </c>
      <c r="Y3" s="9">
        <f t="shared" ca="1" si="8"/>
        <v>0</v>
      </c>
      <c r="Z3" s="9">
        <f t="shared" ca="1" si="8"/>
        <v>0</v>
      </c>
      <c r="AA3" s="9">
        <f t="shared" ca="1" si="8"/>
        <v>0</v>
      </c>
      <c r="AB3" s="9">
        <f t="shared" ca="1" si="8"/>
        <v>0</v>
      </c>
      <c r="AC3" s="9">
        <f t="shared" ca="1" si="8"/>
        <v>0</v>
      </c>
      <c r="AD3" s="9">
        <f t="shared" ca="1" si="8"/>
        <v>0</v>
      </c>
      <c r="AE3" s="9">
        <f t="shared" ca="1" si="8"/>
        <v>0</v>
      </c>
      <c r="AF3" s="9">
        <f t="shared" ref="AF3:AO12" ca="1" si="9">$B3*100*(AF$2&lt;$A3)+100*(1+$B3)*(AF$2=$A3)</f>
        <v>0</v>
      </c>
      <c r="AG3" s="9">
        <f t="shared" ca="1" si="9"/>
        <v>0</v>
      </c>
      <c r="AH3" s="9">
        <f t="shared" ca="1" si="9"/>
        <v>0</v>
      </c>
      <c r="AI3" s="9">
        <f t="shared" ca="1" si="9"/>
        <v>0</v>
      </c>
      <c r="AJ3" s="9">
        <f t="shared" ca="1" si="9"/>
        <v>0</v>
      </c>
      <c r="AK3" s="9">
        <f t="shared" ca="1" si="9"/>
        <v>0</v>
      </c>
      <c r="AL3" s="9">
        <f t="shared" ca="1" si="9"/>
        <v>0</v>
      </c>
      <c r="AM3" s="9">
        <f t="shared" ca="1" si="9"/>
        <v>0</v>
      </c>
      <c r="AN3" s="9">
        <f t="shared" ca="1" si="9"/>
        <v>0</v>
      </c>
      <c r="AO3" s="9">
        <f t="shared" ca="1" si="9"/>
        <v>0</v>
      </c>
      <c r="AP3" s="9">
        <f t="shared" ref="AP3:AY12" ca="1" si="10">$B3*100*(AP$2&lt;$A3)+100*(1+$B3)*(AP$2=$A3)</f>
        <v>0</v>
      </c>
      <c r="AQ3" s="9">
        <f t="shared" ca="1" si="10"/>
        <v>0</v>
      </c>
      <c r="AR3" s="9">
        <f t="shared" ca="1" si="10"/>
        <v>0</v>
      </c>
      <c r="AS3" s="9">
        <f t="shared" ca="1" si="10"/>
        <v>0</v>
      </c>
      <c r="AT3" s="9">
        <f t="shared" ca="1" si="10"/>
        <v>0</v>
      </c>
      <c r="AU3" s="9">
        <f t="shared" ca="1" si="10"/>
        <v>0</v>
      </c>
      <c r="AV3" s="9">
        <f t="shared" ca="1" si="10"/>
        <v>0</v>
      </c>
      <c r="AW3" s="9">
        <f t="shared" ca="1" si="10"/>
        <v>0</v>
      </c>
      <c r="AX3" s="9">
        <f t="shared" ca="1" si="10"/>
        <v>0</v>
      </c>
      <c r="AY3" s="9">
        <f t="shared" ca="1" si="10"/>
        <v>0</v>
      </c>
      <c r="AZ3" s="9">
        <f t="shared" ref="AZ3:BI12" ca="1" si="11">$B3*100*(AZ$2&lt;$A3)+100*(1+$B3)*(AZ$2=$A3)</f>
        <v>0</v>
      </c>
      <c r="BA3" s="9">
        <f t="shared" ca="1" si="11"/>
        <v>0</v>
      </c>
      <c r="BB3" s="9">
        <f t="shared" ca="1" si="11"/>
        <v>0</v>
      </c>
      <c r="BC3" s="9">
        <f t="shared" ca="1" si="11"/>
        <v>0</v>
      </c>
      <c r="BD3" s="9">
        <f t="shared" ca="1" si="11"/>
        <v>0</v>
      </c>
      <c r="BE3" s="9">
        <f t="shared" ca="1" si="11"/>
        <v>0</v>
      </c>
      <c r="BF3" s="9">
        <f t="shared" ca="1" si="11"/>
        <v>0</v>
      </c>
      <c r="BG3" s="9">
        <f t="shared" ca="1" si="11"/>
        <v>0</v>
      </c>
      <c r="BH3" s="9">
        <f t="shared" ca="1" si="11"/>
        <v>0</v>
      </c>
      <c r="BI3" s="9">
        <f t="shared" ca="1" si="11"/>
        <v>0</v>
      </c>
      <c r="BJ3" s="9">
        <f t="shared" ref="BJ3:BS12" ca="1" si="12">$B3*100*(BJ$2&lt;$A3)+100*(1+$B3)*(BJ$2=$A3)</f>
        <v>0</v>
      </c>
      <c r="BK3" s="9">
        <f t="shared" ca="1" si="12"/>
        <v>0</v>
      </c>
      <c r="BL3" s="9">
        <f t="shared" ca="1" si="12"/>
        <v>0</v>
      </c>
      <c r="BM3" s="9">
        <f t="shared" ca="1" si="12"/>
        <v>0</v>
      </c>
      <c r="BN3" s="9">
        <f t="shared" ca="1" si="12"/>
        <v>0</v>
      </c>
      <c r="BO3" s="9">
        <f t="shared" ca="1" si="12"/>
        <v>0</v>
      </c>
      <c r="BP3" s="9">
        <f t="shared" ca="1" si="12"/>
        <v>0</v>
      </c>
      <c r="BQ3" s="9">
        <f t="shared" ca="1" si="12"/>
        <v>0</v>
      </c>
      <c r="BR3" s="9">
        <f t="shared" ca="1" si="12"/>
        <v>0</v>
      </c>
      <c r="BS3" s="9">
        <f t="shared" ca="1" si="12"/>
        <v>0</v>
      </c>
      <c r="BT3" s="9">
        <f t="shared" ref="BT3:CC12" ca="1" si="13">$B3*100*(BT$2&lt;$A3)+100*(1+$B3)*(BT$2=$A3)</f>
        <v>0</v>
      </c>
      <c r="BU3" s="9">
        <f t="shared" ca="1" si="13"/>
        <v>0</v>
      </c>
      <c r="BV3" s="9">
        <f t="shared" ca="1" si="13"/>
        <v>0</v>
      </c>
      <c r="BW3" s="9">
        <f t="shared" ca="1" si="13"/>
        <v>0</v>
      </c>
      <c r="BX3" s="9">
        <f t="shared" ca="1" si="13"/>
        <v>0</v>
      </c>
      <c r="BY3" s="9">
        <f t="shared" ca="1" si="13"/>
        <v>0</v>
      </c>
      <c r="BZ3" s="9">
        <f t="shared" ca="1" si="13"/>
        <v>0</v>
      </c>
      <c r="CA3" s="9">
        <f t="shared" ca="1" si="13"/>
        <v>0</v>
      </c>
      <c r="CB3" s="9">
        <f t="shared" ca="1" si="13"/>
        <v>0</v>
      </c>
      <c r="CC3" s="9">
        <f t="shared" ca="1" si="13"/>
        <v>0</v>
      </c>
      <c r="CD3" s="9">
        <f t="shared" ref="CD3:CK12" ca="1" si="14">$B3*100*(CD$2&lt;$A3)+100*(1+$B3)*(CD$2=$A3)</f>
        <v>0</v>
      </c>
      <c r="CE3" s="9">
        <f t="shared" ca="1" si="14"/>
        <v>0</v>
      </c>
      <c r="CF3" s="9">
        <f t="shared" ca="1" si="14"/>
        <v>0</v>
      </c>
      <c r="CG3" s="9">
        <f t="shared" ca="1" si="14"/>
        <v>0</v>
      </c>
      <c r="CH3" s="9">
        <f t="shared" ca="1" si="14"/>
        <v>0</v>
      </c>
      <c r="CI3" s="9">
        <f t="shared" ca="1" si="14"/>
        <v>0</v>
      </c>
      <c r="CJ3" s="9">
        <f t="shared" ca="1" si="14"/>
        <v>0</v>
      </c>
      <c r="CK3" s="30">
        <f t="shared" ca="1" si="14"/>
        <v>0</v>
      </c>
      <c r="CN3" s="20">
        <v>9.9999999999999995E-7</v>
      </c>
      <c r="CO3" s="17">
        <f>$B$248</f>
        <v>0.05</v>
      </c>
      <c r="CP3" s="17">
        <f>b1_*(1-EXP(-CN3/tau1_))/(CN3/tau1_)</f>
        <v>-4.0658777038499981E-2</v>
      </c>
      <c r="CQ3" s="17">
        <f>b2_*((1-EXP(-CN3/tau1_))/(CN3/tau1_)-EXP(-CN3/tau1_))</f>
        <v>-5.3576812585363129E-9</v>
      </c>
      <c r="CR3" s="17">
        <f>+b3_*((1-EXP(-CN3/tau2_))/(CN3/tau2_)-EXP(-CN3/tau2_))</f>
        <v>2.500368189890718E-9</v>
      </c>
      <c r="CS3" s="17">
        <f>SUM(CO3:CR3)</f>
        <v>9.3412201041869532E-3</v>
      </c>
      <c r="EC3" s="9">
        <f ca="1"/>
        <v>9.6799999999821491E-3</v>
      </c>
      <c r="ED3" s="9">
        <f ca="1"/>
        <v>9.5699999999828873E-3</v>
      </c>
      <c r="EE3" s="9">
        <f ca="1"/>
        <v>9.7899999999814125E-3</v>
      </c>
    </row>
    <row r="4" spans="1:135" x14ac:dyDescent="0.45">
      <c r="A4" s="8">
        <f ca="1"/>
        <v>0.5</v>
      </c>
      <c r="B4" s="58">
        <f ca="1"/>
        <v>1E-3</v>
      </c>
      <c r="C4" s="18">
        <f ca="1"/>
        <v>99.331500000000005</v>
      </c>
      <c r="D4" s="18">
        <f t="shared" ca="1" si="0"/>
        <v>99.331688301868283</v>
      </c>
      <c r="E4" s="18">
        <f t="shared" ca="1" si="1"/>
        <v>1.8830186827756279E-4</v>
      </c>
      <c r="F4" s="18">
        <f t="shared" ca="1" si="2"/>
        <v>1.8830186827756279E-4</v>
      </c>
      <c r="G4" s="19">
        <f t="shared" ca="1" si="3"/>
        <v>7.7367199730196123E-3</v>
      </c>
      <c r="H4" s="19">
        <f ca="1">IFERROR(IRR((J4,L4:CK4),0),0)</f>
        <v>7.734809618827887E-3</v>
      </c>
      <c r="I4" s="55">
        <f t="shared" ca="1" si="4"/>
        <v>-1.9103541917253608E-6</v>
      </c>
      <c r="J4" s="18">
        <f t="shared" ca="1" si="5"/>
        <v>-99.331688301868283</v>
      </c>
      <c r="K4" s="29">
        <f t="shared" ca="1" si="6"/>
        <v>-99.331500000000005</v>
      </c>
      <c r="L4" s="9">
        <f t="shared" ca="1" si="7"/>
        <v>100.1</v>
      </c>
      <c r="M4" s="9">
        <f t="shared" ca="1" si="7"/>
        <v>0</v>
      </c>
      <c r="N4" s="9">
        <f t="shared" ca="1" si="7"/>
        <v>0</v>
      </c>
      <c r="O4" s="9">
        <f t="shared" ca="1" si="7"/>
        <v>0</v>
      </c>
      <c r="P4" s="9">
        <f t="shared" ca="1" si="7"/>
        <v>0</v>
      </c>
      <c r="Q4" s="9">
        <f t="shared" ca="1" si="7"/>
        <v>0</v>
      </c>
      <c r="R4" s="9">
        <f t="shared" ca="1" si="7"/>
        <v>0</v>
      </c>
      <c r="S4" s="9">
        <f t="shared" ca="1" si="7"/>
        <v>0</v>
      </c>
      <c r="T4" s="9">
        <f t="shared" ca="1" si="7"/>
        <v>0</v>
      </c>
      <c r="U4" s="9">
        <f t="shared" ca="1" si="7"/>
        <v>0</v>
      </c>
      <c r="V4" s="9">
        <f t="shared" ca="1" si="8"/>
        <v>0</v>
      </c>
      <c r="W4" s="9">
        <f t="shared" ca="1" si="8"/>
        <v>0</v>
      </c>
      <c r="X4" s="9">
        <f t="shared" ca="1" si="8"/>
        <v>0</v>
      </c>
      <c r="Y4" s="9">
        <f t="shared" ca="1" si="8"/>
        <v>0</v>
      </c>
      <c r="Z4" s="9">
        <f t="shared" ca="1" si="8"/>
        <v>0</v>
      </c>
      <c r="AA4" s="9">
        <f t="shared" ca="1" si="8"/>
        <v>0</v>
      </c>
      <c r="AB4" s="9">
        <f t="shared" ca="1" si="8"/>
        <v>0</v>
      </c>
      <c r="AC4" s="9">
        <f t="shared" ca="1" si="8"/>
        <v>0</v>
      </c>
      <c r="AD4" s="9">
        <f t="shared" ca="1" si="8"/>
        <v>0</v>
      </c>
      <c r="AE4" s="9">
        <f t="shared" ca="1" si="8"/>
        <v>0</v>
      </c>
      <c r="AF4" s="9">
        <f t="shared" ca="1" si="9"/>
        <v>0</v>
      </c>
      <c r="AG4" s="9">
        <f t="shared" ca="1" si="9"/>
        <v>0</v>
      </c>
      <c r="AH4" s="9">
        <f t="shared" ca="1" si="9"/>
        <v>0</v>
      </c>
      <c r="AI4" s="9">
        <f t="shared" ca="1" si="9"/>
        <v>0</v>
      </c>
      <c r="AJ4" s="9">
        <f t="shared" ca="1" si="9"/>
        <v>0</v>
      </c>
      <c r="AK4" s="9">
        <f t="shared" ca="1" si="9"/>
        <v>0</v>
      </c>
      <c r="AL4" s="9">
        <f t="shared" ca="1" si="9"/>
        <v>0</v>
      </c>
      <c r="AM4" s="9">
        <f t="shared" ca="1" si="9"/>
        <v>0</v>
      </c>
      <c r="AN4" s="9">
        <f t="shared" ca="1" si="9"/>
        <v>0</v>
      </c>
      <c r="AO4" s="9">
        <f t="shared" ca="1" si="9"/>
        <v>0</v>
      </c>
      <c r="AP4" s="9">
        <f t="shared" ca="1" si="10"/>
        <v>0</v>
      </c>
      <c r="AQ4" s="9">
        <f t="shared" ca="1" si="10"/>
        <v>0</v>
      </c>
      <c r="AR4" s="9">
        <f t="shared" ca="1" si="10"/>
        <v>0</v>
      </c>
      <c r="AS4" s="9">
        <f t="shared" ca="1" si="10"/>
        <v>0</v>
      </c>
      <c r="AT4" s="9">
        <f t="shared" ca="1" si="10"/>
        <v>0</v>
      </c>
      <c r="AU4" s="9">
        <f t="shared" ca="1" si="10"/>
        <v>0</v>
      </c>
      <c r="AV4" s="9">
        <f t="shared" ca="1" si="10"/>
        <v>0</v>
      </c>
      <c r="AW4" s="9">
        <f t="shared" ca="1" si="10"/>
        <v>0</v>
      </c>
      <c r="AX4" s="9">
        <f t="shared" ca="1" si="10"/>
        <v>0</v>
      </c>
      <c r="AY4" s="9">
        <f t="shared" ca="1" si="10"/>
        <v>0</v>
      </c>
      <c r="AZ4" s="9">
        <f t="shared" ca="1" si="11"/>
        <v>0</v>
      </c>
      <c r="BA4" s="9">
        <f t="shared" ca="1" si="11"/>
        <v>0</v>
      </c>
      <c r="BB4" s="9">
        <f t="shared" ca="1" si="11"/>
        <v>0</v>
      </c>
      <c r="BC4" s="9">
        <f t="shared" ca="1" si="11"/>
        <v>0</v>
      </c>
      <c r="BD4" s="9">
        <f t="shared" ca="1" si="11"/>
        <v>0</v>
      </c>
      <c r="BE4" s="9">
        <f t="shared" ca="1" si="11"/>
        <v>0</v>
      </c>
      <c r="BF4" s="9">
        <f t="shared" ca="1" si="11"/>
        <v>0</v>
      </c>
      <c r="BG4" s="9">
        <f t="shared" ca="1" si="11"/>
        <v>0</v>
      </c>
      <c r="BH4" s="9">
        <f t="shared" ca="1" si="11"/>
        <v>0</v>
      </c>
      <c r="BI4" s="9">
        <f t="shared" ca="1" si="11"/>
        <v>0</v>
      </c>
      <c r="BJ4" s="9">
        <f t="shared" ca="1" si="12"/>
        <v>0</v>
      </c>
      <c r="BK4" s="9">
        <f t="shared" ca="1" si="12"/>
        <v>0</v>
      </c>
      <c r="BL4" s="9">
        <f t="shared" ca="1" si="12"/>
        <v>0</v>
      </c>
      <c r="BM4" s="9">
        <f t="shared" ca="1" si="12"/>
        <v>0</v>
      </c>
      <c r="BN4" s="9">
        <f t="shared" ca="1" si="12"/>
        <v>0</v>
      </c>
      <c r="BO4" s="9">
        <f t="shared" ca="1" si="12"/>
        <v>0</v>
      </c>
      <c r="BP4" s="9">
        <f t="shared" ca="1" si="12"/>
        <v>0</v>
      </c>
      <c r="BQ4" s="9">
        <f t="shared" ca="1" si="12"/>
        <v>0</v>
      </c>
      <c r="BR4" s="9">
        <f t="shared" ca="1" si="12"/>
        <v>0</v>
      </c>
      <c r="BS4" s="9">
        <f t="shared" ca="1" si="12"/>
        <v>0</v>
      </c>
      <c r="BT4" s="9">
        <f t="shared" ca="1" si="13"/>
        <v>0</v>
      </c>
      <c r="BU4" s="9">
        <f t="shared" ca="1" si="13"/>
        <v>0</v>
      </c>
      <c r="BV4" s="9">
        <f t="shared" ca="1" si="13"/>
        <v>0</v>
      </c>
      <c r="BW4" s="9">
        <f t="shared" ca="1" si="13"/>
        <v>0</v>
      </c>
      <c r="BX4" s="9">
        <f t="shared" ca="1" si="13"/>
        <v>0</v>
      </c>
      <c r="BY4" s="9">
        <f t="shared" ca="1" si="13"/>
        <v>0</v>
      </c>
      <c r="BZ4" s="9">
        <f t="shared" ca="1" si="13"/>
        <v>0</v>
      </c>
      <c r="CA4" s="9">
        <f t="shared" ca="1" si="13"/>
        <v>0</v>
      </c>
      <c r="CB4" s="9">
        <f t="shared" ca="1" si="13"/>
        <v>0</v>
      </c>
      <c r="CC4" s="9">
        <f t="shared" ca="1" si="13"/>
        <v>0</v>
      </c>
      <c r="CD4" s="9">
        <f t="shared" ca="1" si="14"/>
        <v>0</v>
      </c>
      <c r="CE4" s="9">
        <f t="shared" ca="1" si="14"/>
        <v>0</v>
      </c>
      <c r="CF4" s="9">
        <f t="shared" ca="1" si="14"/>
        <v>0</v>
      </c>
      <c r="CG4" s="9">
        <f t="shared" ca="1" si="14"/>
        <v>0</v>
      </c>
      <c r="CH4" s="9">
        <f t="shared" ca="1" si="14"/>
        <v>0</v>
      </c>
      <c r="CI4" s="9">
        <f t="shared" ca="1" si="14"/>
        <v>0</v>
      </c>
      <c r="CJ4" s="9">
        <f t="shared" ca="1" si="14"/>
        <v>0</v>
      </c>
      <c r="CK4" s="30">
        <f t="shared" ca="1" si="14"/>
        <v>0</v>
      </c>
      <c r="CN4" s="9" cm="1">
        <f t="array" ref="CN4:CN503">_xlfn.SEQUENCE(500,,0.5,0.5)</f>
        <v>0.5</v>
      </c>
      <c r="CO4" s="17" cm="1">
        <f t="array" ref="CO4:CO503">_xlfn.ANCHORARRAY(CN4)-_xlfn.ANCHORARRAY(CN4)+$B$248</f>
        <v>0.05</v>
      </c>
      <c r="CP4" s="17" cm="1">
        <f t="array" ref="CP4:CP503">b1_*(1-EXP(-_xlfn.ANCHORARRAY(CN4)/tau1_))/(_xlfn.ANCHORARRAY(CN4)/tau1_)</f>
        <v>-3.8388015353827361E-2</v>
      </c>
      <c r="CQ4" s="17" cm="1">
        <f t="array" ref="CQ4:CQ503">b2_*((1-EXP(-_xlfn.ANCHORARRAY(CN4)/tau1_))/(_xlfn.ANCHORARRAY(CN4)/tau1_)-EXP(-_xlfn.ANCHORARRAY(CN4)/tau1_))</f>
        <v>-2.4790830098819013E-3</v>
      </c>
      <c r="CR4" s="17" cm="1">
        <f t="array" ref="CR4:CR503">+b3_*((1-EXP(-_xlfn.ANCHORARRAY(CN4)/tau2_))/(_xlfn.ANCHORARRAY(CN4)/tau2_)-EXP(-_xlfn.ANCHORARRAY(CN4)/tau2_))</f>
        <v>7.9159628932758358E-4</v>
      </c>
      <c r="CS4" s="17">
        <f t="shared" ref="CS4:CS67" si="15">SUM(CO4:CR4)</f>
        <v>9.9244979256183242E-3</v>
      </c>
      <c r="EC4" s="9">
        <f ca="1"/>
        <v>9.6199999999749732E-3</v>
      </c>
      <c r="ED4" s="9">
        <f ca="1"/>
        <v>9.5099999999759162E-3</v>
      </c>
      <c r="EE4" s="9">
        <f ca="1"/>
        <v>9.7299999999740303E-3</v>
      </c>
    </row>
    <row r="5" spans="1:135" x14ac:dyDescent="0.45">
      <c r="A5" s="8">
        <f ca="1"/>
        <v>0.5</v>
      </c>
      <c r="B5" s="58">
        <f ca="1"/>
        <v>5.0000000000000002E-5</v>
      </c>
      <c r="C5" s="18">
        <f ca="1"/>
        <v>99.263000000000005</v>
      </c>
      <c r="D5" s="18">
        <f t="shared" ca="1" si="0"/>
        <v>99.237417468814584</v>
      </c>
      <c r="E5" s="18">
        <f t="shared" ca="1" si="1"/>
        <v>-2.5582531185420976E-2</v>
      </c>
      <c r="F5" s="18">
        <f t="shared" ca="1" si="2"/>
        <v>2.5582531185420976E-2</v>
      </c>
      <c r="G5" s="19">
        <f t="shared" ca="1" si="3"/>
        <v>7.4750914237935451E-3</v>
      </c>
      <c r="H5" s="19">
        <f ca="1">IFERROR(IRR((J5,L5:CK5),0),0)</f>
        <v>7.734809618828109E-3</v>
      </c>
      <c r="I5" s="55">
        <f t="shared" ca="1" si="4"/>
        <v>2.5971819503456395E-4</v>
      </c>
      <c r="J5" s="18">
        <f t="shared" ca="1" si="5"/>
        <v>-99.237417468814584</v>
      </c>
      <c r="K5" s="29">
        <f t="shared" ca="1" si="6"/>
        <v>-99.263000000000005</v>
      </c>
      <c r="L5" s="9">
        <f t="shared" ca="1" si="7"/>
        <v>100.00500000000001</v>
      </c>
      <c r="M5" s="9">
        <f t="shared" ca="1" si="7"/>
        <v>0</v>
      </c>
      <c r="N5" s="9">
        <f t="shared" ca="1" si="7"/>
        <v>0</v>
      </c>
      <c r="O5" s="9">
        <f t="shared" ca="1" si="7"/>
        <v>0</v>
      </c>
      <c r="P5" s="9">
        <f t="shared" ca="1" si="7"/>
        <v>0</v>
      </c>
      <c r="Q5" s="9">
        <f t="shared" ca="1" si="7"/>
        <v>0</v>
      </c>
      <c r="R5" s="9">
        <f t="shared" ca="1" si="7"/>
        <v>0</v>
      </c>
      <c r="S5" s="9">
        <f t="shared" ca="1" si="7"/>
        <v>0</v>
      </c>
      <c r="T5" s="9">
        <f t="shared" ca="1" si="7"/>
        <v>0</v>
      </c>
      <c r="U5" s="9">
        <f t="shared" ca="1" si="7"/>
        <v>0</v>
      </c>
      <c r="V5" s="9">
        <f t="shared" ca="1" si="8"/>
        <v>0</v>
      </c>
      <c r="W5" s="9">
        <f t="shared" ca="1" si="8"/>
        <v>0</v>
      </c>
      <c r="X5" s="9">
        <f t="shared" ca="1" si="8"/>
        <v>0</v>
      </c>
      <c r="Y5" s="9">
        <f t="shared" ca="1" si="8"/>
        <v>0</v>
      </c>
      <c r="Z5" s="9">
        <f t="shared" ca="1" si="8"/>
        <v>0</v>
      </c>
      <c r="AA5" s="9">
        <f t="shared" ca="1" si="8"/>
        <v>0</v>
      </c>
      <c r="AB5" s="9">
        <f t="shared" ca="1" si="8"/>
        <v>0</v>
      </c>
      <c r="AC5" s="9">
        <f t="shared" ca="1" si="8"/>
        <v>0</v>
      </c>
      <c r="AD5" s="9">
        <f t="shared" ca="1" si="8"/>
        <v>0</v>
      </c>
      <c r="AE5" s="9">
        <f t="shared" ca="1" si="8"/>
        <v>0</v>
      </c>
      <c r="AF5" s="9">
        <f t="shared" ca="1" si="9"/>
        <v>0</v>
      </c>
      <c r="AG5" s="9">
        <f t="shared" ca="1" si="9"/>
        <v>0</v>
      </c>
      <c r="AH5" s="9">
        <f t="shared" ca="1" si="9"/>
        <v>0</v>
      </c>
      <c r="AI5" s="9">
        <f t="shared" ca="1" si="9"/>
        <v>0</v>
      </c>
      <c r="AJ5" s="9">
        <f t="shared" ca="1" si="9"/>
        <v>0</v>
      </c>
      <c r="AK5" s="9">
        <f t="shared" ca="1" si="9"/>
        <v>0</v>
      </c>
      <c r="AL5" s="9">
        <f t="shared" ca="1" si="9"/>
        <v>0</v>
      </c>
      <c r="AM5" s="9">
        <f t="shared" ca="1" si="9"/>
        <v>0</v>
      </c>
      <c r="AN5" s="9">
        <f t="shared" ca="1" si="9"/>
        <v>0</v>
      </c>
      <c r="AO5" s="9">
        <f t="shared" ca="1" si="9"/>
        <v>0</v>
      </c>
      <c r="AP5" s="9">
        <f t="shared" ca="1" si="10"/>
        <v>0</v>
      </c>
      <c r="AQ5" s="9">
        <f t="shared" ca="1" si="10"/>
        <v>0</v>
      </c>
      <c r="AR5" s="9">
        <f t="shared" ca="1" si="10"/>
        <v>0</v>
      </c>
      <c r="AS5" s="9">
        <f t="shared" ca="1" si="10"/>
        <v>0</v>
      </c>
      <c r="AT5" s="9">
        <f t="shared" ca="1" si="10"/>
        <v>0</v>
      </c>
      <c r="AU5" s="9">
        <f t="shared" ca="1" si="10"/>
        <v>0</v>
      </c>
      <c r="AV5" s="9">
        <f t="shared" ca="1" si="10"/>
        <v>0</v>
      </c>
      <c r="AW5" s="9">
        <f t="shared" ca="1" si="10"/>
        <v>0</v>
      </c>
      <c r="AX5" s="9">
        <f t="shared" ca="1" si="10"/>
        <v>0</v>
      </c>
      <c r="AY5" s="9">
        <f t="shared" ca="1" si="10"/>
        <v>0</v>
      </c>
      <c r="AZ5" s="9">
        <f t="shared" ca="1" si="11"/>
        <v>0</v>
      </c>
      <c r="BA5" s="9">
        <f t="shared" ca="1" si="11"/>
        <v>0</v>
      </c>
      <c r="BB5" s="9">
        <f t="shared" ca="1" si="11"/>
        <v>0</v>
      </c>
      <c r="BC5" s="9">
        <f t="shared" ca="1" si="11"/>
        <v>0</v>
      </c>
      <c r="BD5" s="9">
        <f t="shared" ca="1" si="11"/>
        <v>0</v>
      </c>
      <c r="BE5" s="9">
        <f t="shared" ca="1" si="11"/>
        <v>0</v>
      </c>
      <c r="BF5" s="9">
        <f t="shared" ca="1" si="11"/>
        <v>0</v>
      </c>
      <c r="BG5" s="9">
        <f t="shared" ca="1" si="11"/>
        <v>0</v>
      </c>
      <c r="BH5" s="9">
        <f t="shared" ca="1" si="11"/>
        <v>0</v>
      </c>
      <c r="BI5" s="9">
        <f t="shared" ca="1" si="11"/>
        <v>0</v>
      </c>
      <c r="BJ5" s="9">
        <f t="shared" ca="1" si="12"/>
        <v>0</v>
      </c>
      <c r="BK5" s="9">
        <f t="shared" ca="1" si="12"/>
        <v>0</v>
      </c>
      <c r="BL5" s="9">
        <f t="shared" ca="1" si="12"/>
        <v>0</v>
      </c>
      <c r="BM5" s="9">
        <f t="shared" ca="1" si="12"/>
        <v>0</v>
      </c>
      <c r="BN5" s="9">
        <f t="shared" ca="1" si="12"/>
        <v>0</v>
      </c>
      <c r="BO5" s="9">
        <f t="shared" ca="1" si="12"/>
        <v>0</v>
      </c>
      <c r="BP5" s="9">
        <f t="shared" ca="1" si="12"/>
        <v>0</v>
      </c>
      <c r="BQ5" s="9">
        <f t="shared" ca="1" si="12"/>
        <v>0</v>
      </c>
      <c r="BR5" s="9">
        <f t="shared" ca="1" si="12"/>
        <v>0</v>
      </c>
      <c r="BS5" s="9">
        <f t="shared" ca="1" si="12"/>
        <v>0</v>
      </c>
      <c r="BT5" s="9">
        <f t="shared" ca="1" si="13"/>
        <v>0</v>
      </c>
      <c r="BU5" s="9">
        <f t="shared" ca="1" si="13"/>
        <v>0</v>
      </c>
      <c r="BV5" s="9">
        <f t="shared" ca="1" si="13"/>
        <v>0</v>
      </c>
      <c r="BW5" s="9">
        <f t="shared" ca="1" si="13"/>
        <v>0</v>
      </c>
      <c r="BX5" s="9">
        <f t="shared" ca="1" si="13"/>
        <v>0</v>
      </c>
      <c r="BY5" s="9">
        <f t="shared" ca="1" si="13"/>
        <v>0</v>
      </c>
      <c r="BZ5" s="9">
        <f t="shared" ca="1" si="13"/>
        <v>0</v>
      </c>
      <c r="CA5" s="9">
        <f t="shared" ca="1" si="13"/>
        <v>0</v>
      </c>
      <c r="CB5" s="9">
        <f t="shared" ca="1" si="13"/>
        <v>0</v>
      </c>
      <c r="CC5" s="9">
        <f t="shared" ca="1" si="13"/>
        <v>0</v>
      </c>
      <c r="CD5" s="9">
        <f t="shared" ca="1" si="14"/>
        <v>0</v>
      </c>
      <c r="CE5" s="9">
        <f t="shared" ca="1" si="14"/>
        <v>0</v>
      </c>
      <c r="CF5" s="9">
        <f t="shared" ca="1" si="14"/>
        <v>0</v>
      </c>
      <c r="CG5" s="9">
        <f t="shared" ca="1" si="14"/>
        <v>0</v>
      </c>
      <c r="CH5" s="9">
        <f t="shared" ca="1" si="14"/>
        <v>0</v>
      </c>
      <c r="CI5" s="9">
        <f t="shared" ca="1" si="14"/>
        <v>0</v>
      </c>
      <c r="CJ5" s="9">
        <f t="shared" ca="1" si="14"/>
        <v>0</v>
      </c>
      <c r="CK5" s="30">
        <f t="shared" ca="1" si="14"/>
        <v>0</v>
      </c>
      <c r="CN5" s="9">
        <v>1</v>
      </c>
      <c r="CO5" s="17">
        <v>0.05</v>
      </c>
      <c r="CP5" s="17">
        <v>-3.6284745407530107E-2</v>
      </c>
      <c r="CQ5" s="17">
        <v>-4.5942127807805898E-3</v>
      </c>
      <c r="CR5" s="17">
        <v>1.0330656523379225E-3</v>
      </c>
      <c r="CS5" s="17">
        <f t="shared" si="15"/>
        <v>1.0154107464027229E-2</v>
      </c>
      <c r="EC5" s="9">
        <f ca="1"/>
        <v>1.0104999998272269E-2</v>
      </c>
      <c r="ED5" s="9">
        <f ca="1"/>
        <v>9.9999999983467411E-3</v>
      </c>
      <c r="EE5" s="9">
        <f ca="1"/>
        <v>1.0209999998197796E-2</v>
      </c>
    </row>
    <row r="6" spans="1:135" x14ac:dyDescent="0.45">
      <c r="A6" s="8">
        <f ca="1"/>
        <v>0.5</v>
      </c>
      <c r="B6" s="58">
        <f ca="1"/>
        <v>1E-3</v>
      </c>
      <c r="C6" s="18">
        <f ca="1"/>
        <v>99.078499999999991</v>
      </c>
      <c r="D6" s="18">
        <f t="shared" ca="1" si="0"/>
        <v>99.331688301868283</v>
      </c>
      <c r="E6" s="18">
        <f t="shared" ca="1" si="1"/>
        <v>0.25318830186829189</v>
      </c>
      <c r="F6" s="18">
        <f t="shared" ca="1" si="2"/>
        <v>0.25318830186829189</v>
      </c>
      <c r="G6" s="19">
        <f t="shared" ca="1" si="3"/>
        <v>1.0310006711849784E-2</v>
      </c>
      <c r="H6" s="19">
        <f ca="1">IFERROR(IRR((J6,L6:CK6),0),0)</f>
        <v>7.734809618827887E-3</v>
      </c>
      <c r="I6" s="55">
        <f t="shared" ca="1" si="4"/>
        <v>-2.575197093021897E-3</v>
      </c>
      <c r="J6" s="18">
        <f t="shared" ca="1" si="5"/>
        <v>-99.331688301868283</v>
      </c>
      <c r="K6" s="29">
        <f t="shared" ca="1" si="6"/>
        <v>-99.078499999999991</v>
      </c>
      <c r="L6" s="9">
        <f t="shared" ca="1" si="7"/>
        <v>100.1</v>
      </c>
      <c r="M6" s="9">
        <f t="shared" ca="1" si="7"/>
        <v>0</v>
      </c>
      <c r="N6" s="9">
        <f t="shared" ca="1" si="7"/>
        <v>0</v>
      </c>
      <c r="O6" s="9">
        <f t="shared" ca="1" si="7"/>
        <v>0</v>
      </c>
      <c r="P6" s="9">
        <f t="shared" ca="1" si="7"/>
        <v>0</v>
      </c>
      <c r="Q6" s="9">
        <f t="shared" ca="1" si="7"/>
        <v>0</v>
      </c>
      <c r="R6" s="9">
        <f t="shared" ca="1" si="7"/>
        <v>0</v>
      </c>
      <c r="S6" s="9">
        <f t="shared" ca="1" si="7"/>
        <v>0</v>
      </c>
      <c r="T6" s="9">
        <f t="shared" ca="1" si="7"/>
        <v>0</v>
      </c>
      <c r="U6" s="9">
        <f t="shared" ca="1" si="7"/>
        <v>0</v>
      </c>
      <c r="V6" s="9">
        <f t="shared" ca="1" si="8"/>
        <v>0</v>
      </c>
      <c r="W6" s="9">
        <f t="shared" ca="1" si="8"/>
        <v>0</v>
      </c>
      <c r="X6" s="9">
        <f t="shared" ca="1" si="8"/>
        <v>0</v>
      </c>
      <c r="Y6" s="9">
        <f t="shared" ca="1" si="8"/>
        <v>0</v>
      </c>
      <c r="Z6" s="9">
        <f t="shared" ca="1" si="8"/>
        <v>0</v>
      </c>
      <c r="AA6" s="9">
        <f t="shared" ca="1" si="8"/>
        <v>0</v>
      </c>
      <c r="AB6" s="9">
        <f t="shared" ca="1" si="8"/>
        <v>0</v>
      </c>
      <c r="AC6" s="9">
        <f t="shared" ca="1" si="8"/>
        <v>0</v>
      </c>
      <c r="AD6" s="9">
        <f t="shared" ca="1" si="8"/>
        <v>0</v>
      </c>
      <c r="AE6" s="9">
        <f t="shared" ca="1" si="8"/>
        <v>0</v>
      </c>
      <c r="AF6" s="9">
        <f t="shared" ca="1" si="9"/>
        <v>0</v>
      </c>
      <c r="AG6" s="9">
        <f t="shared" ca="1" si="9"/>
        <v>0</v>
      </c>
      <c r="AH6" s="9">
        <f t="shared" ca="1" si="9"/>
        <v>0</v>
      </c>
      <c r="AI6" s="9">
        <f t="shared" ca="1" si="9"/>
        <v>0</v>
      </c>
      <c r="AJ6" s="9">
        <f t="shared" ca="1" si="9"/>
        <v>0</v>
      </c>
      <c r="AK6" s="9">
        <f t="shared" ca="1" si="9"/>
        <v>0</v>
      </c>
      <c r="AL6" s="9">
        <f t="shared" ca="1" si="9"/>
        <v>0</v>
      </c>
      <c r="AM6" s="9">
        <f t="shared" ca="1" si="9"/>
        <v>0</v>
      </c>
      <c r="AN6" s="9">
        <f t="shared" ca="1" si="9"/>
        <v>0</v>
      </c>
      <c r="AO6" s="9">
        <f t="shared" ca="1" si="9"/>
        <v>0</v>
      </c>
      <c r="AP6" s="9">
        <f t="shared" ca="1" si="10"/>
        <v>0</v>
      </c>
      <c r="AQ6" s="9">
        <f t="shared" ca="1" si="10"/>
        <v>0</v>
      </c>
      <c r="AR6" s="9">
        <f t="shared" ca="1" si="10"/>
        <v>0</v>
      </c>
      <c r="AS6" s="9">
        <f t="shared" ca="1" si="10"/>
        <v>0</v>
      </c>
      <c r="AT6" s="9">
        <f t="shared" ca="1" si="10"/>
        <v>0</v>
      </c>
      <c r="AU6" s="9">
        <f t="shared" ca="1" si="10"/>
        <v>0</v>
      </c>
      <c r="AV6" s="9">
        <f t="shared" ca="1" si="10"/>
        <v>0</v>
      </c>
      <c r="AW6" s="9">
        <f t="shared" ca="1" si="10"/>
        <v>0</v>
      </c>
      <c r="AX6" s="9">
        <f t="shared" ca="1" si="10"/>
        <v>0</v>
      </c>
      <c r="AY6" s="9">
        <f t="shared" ca="1" si="10"/>
        <v>0</v>
      </c>
      <c r="AZ6" s="9">
        <f t="shared" ca="1" si="11"/>
        <v>0</v>
      </c>
      <c r="BA6" s="9">
        <f t="shared" ca="1" si="11"/>
        <v>0</v>
      </c>
      <c r="BB6" s="9">
        <f t="shared" ca="1" si="11"/>
        <v>0</v>
      </c>
      <c r="BC6" s="9">
        <f t="shared" ca="1" si="11"/>
        <v>0</v>
      </c>
      <c r="BD6" s="9">
        <f t="shared" ca="1" si="11"/>
        <v>0</v>
      </c>
      <c r="BE6" s="9">
        <f t="shared" ca="1" si="11"/>
        <v>0</v>
      </c>
      <c r="BF6" s="9">
        <f t="shared" ca="1" si="11"/>
        <v>0</v>
      </c>
      <c r="BG6" s="9">
        <f t="shared" ca="1" si="11"/>
        <v>0</v>
      </c>
      <c r="BH6" s="9">
        <f t="shared" ca="1" si="11"/>
        <v>0</v>
      </c>
      <c r="BI6" s="9">
        <f t="shared" ca="1" si="11"/>
        <v>0</v>
      </c>
      <c r="BJ6" s="9">
        <f t="shared" ca="1" si="12"/>
        <v>0</v>
      </c>
      <c r="BK6" s="9">
        <f t="shared" ca="1" si="12"/>
        <v>0</v>
      </c>
      <c r="BL6" s="9">
        <f t="shared" ca="1" si="12"/>
        <v>0</v>
      </c>
      <c r="BM6" s="9">
        <f t="shared" ca="1" si="12"/>
        <v>0</v>
      </c>
      <c r="BN6" s="9">
        <f t="shared" ca="1" si="12"/>
        <v>0</v>
      </c>
      <c r="BO6" s="9">
        <f t="shared" ca="1" si="12"/>
        <v>0</v>
      </c>
      <c r="BP6" s="9">
        <f t="shared" ca="1" si="12"/>
        <v>0</v>
      </c>
      <c r="BQ6" s="9">
        <f t="shared" ca="1" si="12"/>
        <v>0</v>
      </c>
      <c r="BR6" s="9">
        <f t="shared" ca="1" si="12"/>
        <v>0</v>
      </c>
      <c r="BS6" s="9">
        <f t="shared" ca="1" si="12"/>
        <v>0</v>
      </c>
      <c r="BT6" s="9">
        <f t="shared" ca="1" si="13"/>
        <v>0</v>
      </c>
      <c r="BU6" s="9">
        <f t="shared" ca="1" si="13"/>
        <v>0</v>
      </c>
      <c r="BV6" s="9">
        <f t="shared" ca="1" si="13"/>
        <v>0</v>
      </c>
      <c r="BW6" s="9">
        <f t="shared" ca="1" si="13"/>
        <v>0</v>
      </c>
      <c r="BX6" s="9">
        <f t="shared" ca="1" si="13"/>
        <v>0</v>
      </c>
      <c r="BY6" s="9">
        <f t="shared" ca="1" si="13"/>
        <v>0</v>
      </c>
      <c r="BZ6" s="9">
        <f t="shared" ca="1" si="13"/>
        <v>0</v>
      </c>
      <c r="CA6" s="9">
        <f t="shared" ca="1" si="13"/>
        <v>0</v>
      </c>
      <c r="CB6" s="9">
        <f t="shared" ca="1" si="13"/>
        <v>0</v>
      </c>
      <c r="CC6" s="9">
        <f t="shared" ca="1" si="13"/>
        <v>0</v>
      </c>
      <c r="CD6" s="9">
        <f t="shared" ca="1" si="14"/>
        <v>0</v>
      </c>
      <c r="CE6" s="9">
        <f t="shared" ca="1" si="14"/>
        <v>0</v>
      </c>
      <c r="CF6" s="9">
        <f t="shared" ca="1" si="14"/>
        <v>0</v>
      </c>
      <c r="CG6" s="9">
        <f t="shared" ca="1" si="14"/>
        <v>0</v>
      </c>
      <c r="CH6" s="9">
        <f t="shared" ca="1" si="14"/>
        <v>0</v>
      </c>
      <c r="CI6" s="9">
        <f t="shared" ca="1" si="14"/>
        <v>0</v>
      </c>
      <c r="CJ6" s="9">
        <f t="shared" ca="1" si="14"/>
        <v>0</v>
      </c>
      <c r="CK6" s="30">
        <f t="shared" ca="1" si="14"/>
        <v>0</v>
      </c>
      <c r="CN6" s="9">
        <v>1.5</v>
      </c>
      <c r="CO6" s="17">
        <v>0.05</v>
      </c>
      <c r="CP6" s="17">
        <v>-3.4335125653920121E-2</v>
      </c>
      <c r="CQ6" s="17">
        <v>-6.3903867053029598E-3</v>
      </c>
      <c r="CR6" s="17">
        <v>1.043590606774643E-3</v>
      </c>
      <c r="CS6" s="17">
        <f t="shared" si="15"/>
        <v>1.0318078247551566E-2</v>
      </c>
      <c r="EC6" s="9">
        <f ca="1"/>
        <v>1.003499999753873E-2</v>
      </c>
      <c r="ED6" s="9">
        <f ca="1"/>
        <v>9.9099999976548087E-3</v>
      </c>
      <c r="EE6" s="9">
        <f ca="1"/>
        <v>1.0159999997422651E-2</v>
      </c>
    </row>
    <row r="7" spans="1:135" x14ac:dyDescent="0.45">
      <c r="A7" s="8">
        <f ca="1"/>
        <v>0.5</v>
      </c>
      <c r="B7" s="58">
        <f ca="1"/>
        <v>5.0000000000000002E-5</v>
      </c>
      <c r="C7" s="18">
        <f ca="1"/>
        <v>98.989499999999992</v>
      </c>
      <c r="D7" s="18">
        <f t="shared" ca="1" si="0"/>
        <v>99.237417468814584</v>
      </c>
      <c r="E7" s="18">
        <f t="shared" ca="1" si="1"/>
        <v>0.24791746881459176</v>
      </c>
      <c r="F7" s="18">
        <f t="shared" ca="1" si="2"/>
        <v>0.24791746881459176</v>
      </c>
      <c r="G7" s="19">
        <f t="shared" ca="1" si="3"/>
        <v>1.0258663797675815E-2</v>
      </c>
      <c r="H7" s="19">
        <f ca="1">IFERROR(IRR((J7,L7:CK7),0),0)</f>
        <v>7.734809618828109E-3</v>
      </c>
      <c r="I7" s="55">
        <f t="shared" ca="1" si="4"/>
        <v>-2.5238541788477065E-3</v>
      </c>
      <c r="J7" s="18">
        <f t="shared" ca="1" si="5"/>
        <v>-99.237417468814584</v>
      </c>
      <c r="K7" s="29">
        <f t="shared" ca="1" si="6"/>
        <v>-98.989499999999992</v>
      </c>
      <c r="L7" s="9">
        <f t="shared" ca="1" si="7"/>
        <v>100.00500000000001</v>
      </c>
      <c r="M7" s="9">
        <f t="shared" ca="1" si="7"/>
        <v>0</v>
      </c>
      <c r="N7" s="9">
        <f t="shared" ca="1" si="7"/>
        <v>0</v>
      </c>
      <c r="O7" s="9">
        <f t="shared" ca="1" si="7"/>
        <v>0</v>
      </c>
      <c r="P7" s="9">
        <f t="shared" ca="1" si="7"/>
        <v>0</v>
      </c>
      <c r="Q7" s="9">
        <f t="shared" ca="1" si="7"/>
        <v>0</v>
      </c>
      <c r="R7" s="9">
        <f t="shared" ca="1" si="7"/>
        <v>0</v>
      </c>
      <c r="S7" s="9">
        <f t="shared" ca="1" si="7"/>
        <v>0</v>
      </c>
      <c r="T7" s="9">
        <f t="shared" ca="1" si="7"/>
        <v>0</v>
      </c>
      <c r="U7" s="9">
        <f t="shared" ca="1" si="7"/>
        <v>0</v>
      </c>
      <c r="V7" s="9">
        <f t="shared" ca="1" si="8"/>
        <v>0</v>
      </c>
      <c r="W7" s="9">
        <f t="shared" ca="1" si="8"/>
        <v>0</v>
      </c>
      <c r="X7" s="9">
        <f t="shared" ca="1" si="8"/>
        <v>0</v>
      </c>
      <c r="Y7" s="9">
        <f t="shared" ca="1" si="8"/>
        <v>0</v>
      </c>
      <c r="Z7" s="9">
        <f t="shared" ca="1" si="8"/>
        <v>0</v>
      </c>
      <c r="AA7" s="9">
        <f t="shared" ca="1" si="8"/>
        <v>0</v>
      </c>
      <c r="AB7" s="9">
        <f t="shared" ca="1" si="8"/>
        <v>0</v>
      </c>
      <c r="AC7" s="9">
        <f t="shared" ca="1" si="8"/>
        <v>0</v>
      </c>
      <c r="AD7" s="9">
        <f t="shared" ca="1" si="8"/>
        <v>0</v>
      </c>
      <c r="AE7" s="9">
        <f t="shared" ca="1" si="8"/>
        <v>0</v>
      </c>
      <c r="AF7" s="9">
        <f t="shared" ca="1" si="9"/>
        <v>0</v>
      </c>
      <c r="AG7" s="9">
        <f t="shared" ca="1" si="9"/>
        <v>0</v>
      </c>
      <c r="AH7" s="9">
        <f t="shared" ca="1" si="9"/>
        <v>0</v>
      </c>
      <c r="AI7" s="9">
        <f t="shared" ca="1" si="9"/>
        <v>0</v>
      </c>
      <c r="AJ7" s="9">
        <f t="shared" ca="1" si="9"/>
        <v>0</v>
      </c>
      <c r="AK7" s="9">
        <f t="shared" ca="1" si="9"/>
        <v>0</v>
      </c>
      <c r="AL7" s="9">
        <f t="shared" ca="1" si="9"/>
        <v>0</v>
      </c>
      <c r="AM7" s="9">
        <f t="shared" ca="1" si="9"/>
        <v>0</v>
      </c>
      <c r="AN7" s="9">
        <f t="shared" ca="1" si="9"/>
        <v>0</v>
      </c>
      <c r="AO7" s="9">
        <f t="shared" ca="1" si="9"/>
        <v>0</v>
      </c>
      <c r="AP7" s="9">
        <f t="shared" ca="1" si="10"/>
        <v>0</v>
      </c>
      <c r="AQ7" s="9">
        <f t="shared" ca="1" si="10"/>
        <v>0</v>
      </c>
      <c r="AR7" s="9">
        <f t="shared" ca="1" si="10"/>
        <v>0</v>
      </c>
      <c r="AS7" s="9">
        <f t="shared" ca="1" si="10"/>
        <v>0</v>
      </c>
      <c r="AT7" s="9">
        <f t="shared" ca="1" si="10"/>
        <v>0</v>
      </c>
      <c r="AU7" s="9">
        <f t="shared" ca="1" si="10"/>
        <v>0</v>
      </c>
      <c r="AV7" s="9">
        <f t="shared" ca="1" si="10"/>
        <v>0</v>
      </c>
      <c r="AW7" s="9">
        <f t="shared" ca="1" si="10"/>
        <v>0</v>
      </c>
      <c r="AX7" s="9">
        <f t="shared" ca="1" si="10"/>
        <v>0</v>
      </c>
      <c r="AY7" s="9">
        <f t="shared" ca="1" si="10"/>
        <v>0</v>
      </c>
      <c r="AZ7" s="9">
        <f t="shared" ca="1" si="11"/>
        <v>0</v>
      </c>
      <c r="BA7" s="9">
        <f t="shared" ca="1" si="11"/>
        <v>0</v>
      </c>
      <c r="BB7" s="9">
        <f t="shared" ca="1" si="11"/>
        <v>0</v>
      </c>
      <c r="BC7" s="9">
        <f t="shared" ca="1" si="11"/>
        <v>0</v>
      </c>
      <c r="BD7" s="9">
        <f t="shared" ca="1" si="11"/>
        <v>0</v>
      </c>
      <c r="BE7" s="9">
        <f t="shared" ca="1" si="11"/>
        <v>0</v>
      </c>
      <c r="BF7" s="9">
        <f t="shared" ca="1" si="11"/>
        <v>0</v>
      </c>
      <c r="BG7" s="9">
        <f t="shared" ca="1" si="11"/>
        <v>0</v>
      </c>
      <c r="BH7" s="9">
        <f t="shared" ca="1" si="11"/>
        <v>0</v>
      </c>
      <c r="BI7" s="9">
        <f t="shared" ca="1" si="11"/>
        <v>0</v>
      </c>
      <c r="BJ7" s="9">
        <f t="shared" ca="1" si="12"/>
        <v>0</v>
      </c>
      <c r="BK7" s="9">
        <f t="shared" ca="1" si="12"/>
        <v>0</v>
      </c>
      <c r="BL7" s="9">
        <f t="shared" ca="1" si="12"/>
        <v>0</v>
      </c>
      <c r="BM7" s="9">
        <f t="shared" ca="1" si="12"/>
        <v>0</v>
      </c>
      <c r="BN7" s="9">
        <f t="shared" ca="1" si="12"/>
        <v>0</v>
      </c>
      <c r="BO7" s="9">
        <f t="shared" ca="1" si="12"/>
        <v>0</v>
      </c>
      <c r="BP7" s="9">
        <f t="shared" ca="1" si="12"/>
        <v>0</v>
      </c>
      <c r="BQ7" s="9">
        <f t="shared" ca="1" si="12"/>
        <v>0</v>
      </c>
      <c r="BR7" s="9">
        <f t="shared" ca="1" si="12"/>
        <v>0</v>
      </c>
      <c r="BS7" s="9">
        <f t="shared" ca="1" si="12"/>
        <v>0</v>
      </c>
      <c r="BT7" s="9">
        <f t="shared" ca="1" si="13"/>
        <v>0</v>
      </c>
      <c r="BU7" s="9">
        <f t="shared" ca="1" si="13"/>
        <v>0</v>
      </c>
      <c r="BV7" s="9">
        <f t="shared" ca="1" si="13"/>
        <v>0</v>
      </c>
      <c r="BW7" s="9">
        <f t="shared" ca="1" si="13"/>
        <v>0</v>
      </c>
      <c r="BX7" s="9">
        <f t="shared" ca="1" si="13"/>
        <v>0</v>
      </c>
      <c r="BY7" s="9">
        <f t="shared" ca="1" si="13"/>
        <v>0</v>
      </c>
      <c r="BZ7" s="9">
        <f t="shared" ca="1" si="13"/>
        <v>0</v>
      </c>
      <c r="CA7" s="9">
        <f t="shared" ca="1" si="13"/>
        <v>0</v>
      </c>
      <c r="CB7" s="9">
        <f t="shared" ca="1" si="13"/>
        <v>0</v>
      </c>
      <c r="CC7" s="9">
        <f t="shared" ca="1" si="13"/>
        <v>0</v>
      </c>
      <c r="CD7" s="9">
        <f t="shared" ca="1" si="14"/>
        <v>0</v>
      </c>
      <c r="CE7" s="9">
        <f t="shared" ca="1" si="14"/>
        <v>0</v>
      </c>
      <c r="CF7" s="9">
        <f t="shared" ca="1" si="14"/>
        <v>0</v>
      </c>
      <c r="CG7" s="9">
        <f t="shared" ca="1" si="14"/>
        <v>0</v>
      </c>
      <c r="CH7" s="9">
        <f t="shared" ca="1" si="14"/>
        <v>0</v>
      </c>
      <c r="CI7" s="9">
        <f t="shared" ca="1" si="14"/>
        <v>0</v>
      </c>
      <c r="CJ7" s="9">
        <f t="shared" ca="1" si="14"/>
        <v>0</v>
      </c>
      <c r="CK7" s="30">
        <f t="shared" ca="1" si="14"/>
        <v>0</v>
      </c>
      <c r="CN7" s="9">
        <v>2</v>
      </c>
      <c r="CO7" s="17">
        <v>0.05</v>
      </c>
      <c r="CP7" s="17">
        <v>-3.2526528408437089E-2</v>
      </c>
      <c r="CQ7" s="17">
        <v>-7.9073324322553509E-3</v>
      </c>
      <c r="CR7" s="17">
        <v>9.6772585698538436E-4</v>
      </c>
      <c r="CS7" s="17">
        <f t="shared" si="15"/>
        <v>1.0533865016292948E-2</v>
      </c>
      <c r="EC7" s="9">
        <f ca="1"/>
        <v>1.0039999998317567E-2</v>
      </c>
      <c r="ED7" s="9">
        <f ca="1"/>
        <v>9.919999998400807E-3</v>
      </c>
      <c r="EE7" s="9">
        <f ca="1"/>
        <v>1.0159999998234326E-2</v>
      </c>
    </row>
    <row r="8" spans="1:135" x14ac:dyDescent="0.45">
      <c r="A8" s="8">
        <f ca="1"/>
        <v>0.5</v>
      </c>
      <c r="B8" s="58">
        <f ca="1"/>
        <v>1E-3</v>
      </c>
      <c r="C8" s="18">
        <f ca="1"/>
        <v>99.084999999999994</v>
      </c>
      <c r="D8" s="18">
        <f t="shared" ca="1" si="0"/>
        <v>99.331688301868283</v>
      </c>
      <c r="E8" s="18">
        <f t="shared" ca="1" si="1"/>
        <v>0.24668830186828927</v>
      </c>
      <c r="F8" s="18">
        <f t="shared" ca="1" si="2"/>
        <v>0.24668830186828927</v>
      </c>
      <c r="G8" s="19">
        <f t="shared" ca="1" si="3"/>
        <v>1.0243730130695905E-2</v>
      </c>
      <c r="H8" s="19">
        <f ca="1">IFERROR(IRR((J8,L8:CK8),0),0)</f>
        <v>7.734809618827887E-3</v>
      </c>
      <c r="I8" s="55">
        <f t="shared" ca="1" si="4"/>
        <v>-2.508920511868018E-3</v>
      </c>
      <c r="J8" s="18">
        <f t="shared" ca="1" si="5"/>
        <v>-99.331688301868283</v>
      </c>
      <c r="K8" s="29">
        <f t="shared" ca="1" si="6"/>
        <v>-99.084999999999994</v>
      </c>
      <c r="L8" s="9">
        <f t="shared" ca="1" si="7"/>
        <v>100.1</v>
      </c>
      <c r="M8" s="9">
        <f t="shared" ca="1" si="7"/>
        <v>0</v>
      </c>
      <c r="N8" s="9">
        <f t="shared" ca="1" si="7"/>
        <v>0</v>
      </c>
      <c r="O8" s="9">
        <f t="shared" ca="1" si="7"/>
        <v>0</v>
      </c>
      <c r="P8" s="9">
        <f t="shared" ca="1" si="7"/>
        <v>0</v>
      </c>
      <c r="Q8" s="9">
        <f t="shared" ca="1" si="7"/>
        <v>0</v>
      </c>
      <c r="R8" s="9">
        <f t="shared" ca="1" si="7"/>
        <v>0</v>
      </c>
      <c r="S8" s="9">
        <f t="shared" ca="1" si="7"/>
        <v>0</v>
      </c>
      <c r="T8" s="9">
        <f t="shared" ca="1" si="7"/>
        <v>0</v>
      </c>
      <c r="U8" s="9">
        <f t="shared" ca="1" si="7"/>
        <v>0</v>
      </c>
      <c r="V8" s="9">
        <f t="shared" ca="1" si="8"/>
        <v>0</v>
      </c>
      <c r="W8" s="9">
        <f t="shared" ca="1" si="8"/>
        <v>0</v>
      </c>
      <c r="X8" s="9">
        <f t="shared" ca="1" si="8"/>
        <v>0</v>
      </c>
      <c r="Y8" s="9">
        <f t="shared" ca="1" si="8"/>
        <v>0</v>
      </c>
      <c r="Z8" s="9">
        <f t="shared" ca="1" si="8"/>
        <v>0</v>
      </c>
      <c r="AA8" s="9">
        <f t="shared" ca="1" si="8"/>
        <v>0</v>
      </c>
      <c r="AB8" s="9">
        <f t="shared" ca="1" si="8"/>
        <v>0</v>
      </c>
      <c r="AC8" s="9">
        <f t="shared" ca="1" si="8"/>
        <v>0</v>
      </c>
      <c r="AD8" s="9">
        <f t="shared" ca="1" si="8"/>
        <v>0</v>
      </c>
      <c r="AE8" s="9">
        <f t="shared" ca="1" si="8"/>
        <v>0</v>
      </c>
      <c r="AF8" s="9">
        <f t="shared" ca="1" si="9"/>
        <v>0</v>
      </c>
      <c r="AG8" s="9">
        <f t="shared" ca="1" si="9"/>
        <v>0</v>
      </c>
      <c r="AH8" s="9">
        <f t="shared" ca="1" si="9"/>
        <v>0</v>
      </c>
      <c r="AI8" s="9">
        <f t="shared" ca="1" si="9"/>
        <v>0</v>
      </c>
      <c r="AJ8" s="9">
        <f t="shared" ca="1" si="9"/>
        <v>0</v>
      </c>
      <c r="AK8" s="9">
        <f t="shared" ca="1" si="9"/>
        <v>0</v>
      </c>
      <c r="AL8" s="9">
        <f t="shared" ca="1" si="9"/>
        <v>0</v>
      </c>
      <c r="AM8" s="9">
        <f t="shared" ca="1" si="9"/>
        <v>0</v>
      </c>
      <c r="AN8" s="9">
        <f t="shared" ca="1" si="9"/>
        <v>0</v>
      </c>
      <c r="AO8" s="9">
        <f t="shared" ca="1" si="9"/>
        <v>0</v>
      </c>
      <c r="AP8" s="9">
        <f t="shared" ca="1" si="10"/>
        <v>0</v>
      </c>
      <c r="AQ8" s="9">
        <f t="shared" ca="1" si="10"/>
        <v>0</v>
      </c>
      <c r="AR8" s="9">
        <f t="shared" ca="1" si="10"/>
        <v>0</v>
      </c>
      <c r="AS8" s="9">
        <f t="shared" ca="1" si="10"/>
        <v>0</v>
      </c>
      <c r="AT8" s="9">
        <f t="shared" ca="1" si="10"/>
        <v>0</v>
      </c>
      <c r="AU8" s="9">
        <f t="shared" ca="1" si="10"/>
        <v>0</v>
      </c>
      <c r="AV8" s="9">
        <f t="shared" ca="1" si="10"/>
        <v>0</v>
      </c>
      <c r="AW8" s="9">
        <f t="shared" ca="1" si="10"/>
        <v>0</v>
      </c>
      <c r="AX8" s="9">
        <f t="shared" ca="1" si="10"/>
        <v>0</v>
      </c>
      <c r="AY8" s="9">
        <f t="shared" ca="1" si="10"/>
        <v>0</v>
      </c>
      <c r="AZ8" s="9">
        <f t="shared" ca="1" si="11"/>
        <v>0</v>
      </c>
      <c r="BA8" s="9">
        <f t="shared" ca="1" si="11"/>
        <v>0</v>
      </c>
      <c r="BB8" s="9">
        <f t="shared" ca="1" si="11"/>
        <v>0</v>
      </c>
      <c r="BC8" s="9">
        <f t="shared" ca="1" si="11"/>
        <v>0</v>
      </c>
      <c r="BD8" s="9">
        <f t="shared" ca="1" si="11"/>
        <v>0</v>
      </c>
      <c r="BE8" s="9">
        <f t="shared" ca="1" si="11"/>
        <v>0</v>
      </c>
      <c r="BF8" s="9">
        <f t="shared" ca="1" si="11"/>
        <v>0</v>
      </c>
      <c r="BG8" s="9">
        <f t="shared" ca="1" si="11"/>
        <v>0</v>
      </c>
      <c r="BH8" s="9">
        <f t="shared" ca="1" si="11"/>
        <v>0</v>
      </c>
      <c r="BI8" s="9">
        <f t="shared" ca="1" si="11"/>
        <v>0</v>
      </c>
      <c r="BJ8" s="9">
        <f t="shared" ca="1" si="12"/>
        <v>0</v>
      </c>
      <c r="BK8" s="9">
        <f t="shared" ca="1" si="12"/>
        <v>0</v>
      </c>
      <c r="BL8" s="9">
        <f t="shared" ca="1" si="12"/>
        <v>0</v>
      </c>
      <c r="BM8" s="9">
        <f t="shared" ca="1" si="12"/>
        <v>0</v>
      </c>
      <c r="BN8" s="9">
        <f t="shared" ca="1" si="12"/>
        <v>0</v>
      </c>
      <c r="BO8" s="9">
        <f t="shared" ca="1" si="12"/>
        <v>0</v>
      </c>
      <c r="BP8" s="9">
        <f t="shared" ca="1" si="12"/>
        <v>0</v>
      </c>
      <c r="BQ8" s="9">
        <f t="shared" ca="1" si="12"/>
        <v>0</v>
      </c>
      <c r="BR8" s="9">
        <f t="shared" ca="1" si="12"/>
        <v>0</v>
      </c>
      <c r="BS8" s="9">
        <f t="shared" ca="1" si="12"/>
        <v>0</v>
      </c>
      <c r="BT8" s="9">
        <f t="shared" ca="1" si="13"/>
        <v>0</v>
      </c>
      <c r="BU8" s="9">
        <f t="shared" ca="1" si="13"/>
        <v>0</v>
      </c>
      <c r="BV8" s="9">
        <f t="shared" ca="1" si="13"/>
        <v>0</v>
      </c>
      <c r="BW8" s="9">
        <f t="shared" ca="1" si="13"/>
        <v>0</v>
      </c>
      <c r="BX8" s="9">
        <f t="shared" ca="1" si="13"/>
        <v>0</v>
      </c>
      <c r="BY8" s="9">
        <f t="shared" ca="1" si="13"/>
        <v>0</v>
      </c>
      <c r="BZ8" s="9">
        <f t="shared" ca="1" si="13"/>
        <v>0</v>
      </c>
      <c r="CA8" s="9">
        <f t="shared" ca="1" si="13"/>
        <v>0</v>
      </c>
      <c r="CB8" s="9">
        <f t="shared" ca="1" si="13"/>
        <v>0</v>
      </c>
      <c r="CC8" s="9">
        <f t="shared" ca="1" si="13"/>
        <v>0</v>
      </c>
      <c r="CD8" s="9">
        <f t="shared" ca="1" si="14"/>
        <v>0</v>
      </c>
      <c r="CE8" s="9">
        <f t="shared" ca="1" si="14"/>
        <v>0</v>
      </c>
      <c r="CF8" s="9">
        <f t="shared" ca="1" si="14"/>
        <v>0</v>
      </c>
      <c r="CG8" s="9">
        <f t="shared" ca="1" si="14"/>
        <v>0</v>
      </c>
      <c r="CH8" s="9">
        <f t="shared" ca="1" si="14"/>
        <v>0</v>
      </c>
      <c r="CI8" s="9">
        <f t="shared" ca="1" si="14"/>
        <v>0</v>
      </c>
      <c r="CJ8" s="9">
        <f t="shared" ca="1" si="14"/>
        <v>0</v>
      </c>
      <c r="CK8" s="30">
        <f t="shared" ca="1" si="14"/>
        <v>0</v>
      </c>
      <c r="CN8" s="9">
        <v>2.5</v>
      </c>
      <c r="CO8" s="17">
        <v>0.05</v>
      </c>
      <c r="CP8" s="17">
        <v>-3.0847432974904811E-2</v>
      </c>
      <c r="CQ8" s="17">
        <v>-9.1801102221314799E-3</v>
      </c>
      <c r="CR8" s="17">
        <v>8.6839949935690018E-4</v>
      </c>
      <c r="CS8" s="17">
        <f t="shared" si="15"/>
        <v>1.0840856302320612E-2</v>
      </c>
      <c r="EC8" s="9">
        <f ca="1"/>
        <v>1.0734999998647923E-2</v>
      </c>
      <c r="ED8" s="9">
        <f ca="1"/>
        <v>1.061999999870567E-2</v>
      </c>
      <c r="EE8" s="9">
        <f ca="1"/>
        <v>1.0849999998590175E-2</v>
      </c>
    </row>
    <row r="9" spans="1:135" x14ac:dyDescent="0.45">
      <c r="A9" s="8">
        <f ca="1"/>
        <v>1</v>
      </c>
      <c r="B9" s="58">
        <f ca="1"/>
        <v>1E-3</v>
      </c>
      <c r="C9" s="18">
        <f ca="1"/>
        <v>98.77600000000001</v>
      </c>
      <c r="D9" s="18">
        <f t="shared" ca="1" si="0"/>
        <v>98.746552960753235</v>
      </c>
      <c r="E9" s="18">
        <f t="shared" ca="1" si="1"/>
        <v>-2.944703924677583E-2</v>
      </c>
      <c r="F9" s="18">
        <f t="shared" ca="1" si="2"/>
        <v>2.944703924677583E-2</v>
      </c>
      <c r="G9" s="19">
        <f t="shared" ca="1" si="3"/>
        <v>7.1860466333093509E-3</v>
      </c>
      <c r="H9" s="19">
        <f ca="1">IFERROR(IRR((J9,L9:CK9),0),0)</f>
        <v>7.3362865654724718E-3</v>
      </c>
      <c r="I9" s="55">
        <f t="shared" ca="1" si="4"/>
        <v>1.5023993216312093E-4</v>
      </c>
      <c r="J9" s="18">
        <f t="shared" ca="1" si="5"/>
        <v>-98.746552960753235</v>
      </c>
      <c r="K9" s="29">
        <f t="shared" ca="1" si="6"/>
        <v>-98.77600000000001</v>
      </c>
      <c r="L9" s="9">
        <f t="shared" ca="1" si="7"/>
        <v>0.1</v>
      </c>
      <c r="M9" s="9">
        <f t="shared" ca="1" si="7"/>
        <v>100.1</v>
      </c>
      <c r="N9" s="9">
        <f t="shared" ca="1" si="7"/>
        <v>0</v>
      </c>
      <c r="O9" s="9">
        <f t="shared" ca="1" si="7"/>
        <v>0</v>
      </c>
      <c r="P9" s="9">
        <f t="shared" ca="1" si="7"/>
        <v>0</v>
      </c>
      <c r="Q9" s="9">
        <f t="shared" ca="1" si="7"/>
        <v>0</v>
      </c>
      <c r="R9" s="9">
        <f t="shared" ca="1" si="7"/>
        <v>0</v>
      </c>
      <c r="S9" s="9">
        <f t="shared" ca="1" si="7"/>
        <v>0</v>
      </c>
      <c r="T9" s="9">
        <f t="shared" ca="1" si="7"/>
        <v>0</v>
      </c>
      <c r="U9" s="9">
        <f t="shared" ca="1" si="7"/>
        <v>0</v>
      </c>
      <c r="V9" s="9">
        <f t="shared" ca="1" si="8"/>
        <v>0</v>
      </c>
      <c r="W9" s="9">
        <f t="shared" ca="1" si="8"/>
        <v>0</v>
      </c>
      <c r="X9" s="9">
        <f t="shared" ca="1" si="8"/>
        <v>0</v>
      </c>
      <c r="Y9" s="9">
        <f t="shared" ca="1" si="8"/>
        <v>0</v>
      </c>
      <c r="Z9" s="9">
        <f t="shared" ca="1" si="8"/>
        <v>0</v>
      </c>
      <c r="AA9" s="9">
        <f t="shared" ca="1" si="8"/>
        <v>0</v>
      </c>
      <c r="AB9" s="9">
        <f t="shared" ca="1" si="8"/>
        <v>0</v>
      </c>
      <c r="AC9" s="9">
        <f t="shared" ca="1" si="8"/>
        <v>0</v>
      </c>
      <c r="AD9" s="9">
        <f t="shared" ca="1" si="8"/>
        <v>0</v>
      </c>
      <c r="AE9" s="9">
        <f t="shared" ca="1" si="8"/>
        <v>0</v>
      </c>
      <c r="AF9" s="9">
        <f t="shared" ca="1" si="9"/>
        <v>0</v>
      </c>
      <c r="AG9" s="9">
        <f t="shared" ca="1" si="9"/>
        <v>0</v>
      </c>
      <c r="AH9" s="9">
        <f t="shared" ca="1" si="9"/>
        <v>0</v>
      </c>
      <c r="AI9" s="9">
        <f t="shared" ca="1" si="9"/>
        <v>0</v>
      </c>
      <c r="AJ9" s="9">
        <f t="shared" ca="1" si="9"/>
        <v>0</v>
      </c>
      <c r="AK9" s="9">
        <f t="shared" ca="1" si="9"/>
        <v>0</v>
      </c>
      <c r="AL9" s="9">
        <f t="shared" ca="1" si="9"/>
        <v>0</v>
      </c>
      <c r="AM9" s="9">
        <f t="shared" ca="1" si="9"/>
        <v>0</v>
      </c>
      <c r="AN9" s="9">
        <f t="shared" ca="1" si="9"/>
        <v>0</v>
      </c>
      <c r="AO9" s="9">
        <f t="shared" ca="1" si="9"/>
        <v>0</v>
      </c>
      <c r="AP9" s="9">
        <f t="shared" ca="1" si="10"/>
        <v>0</v>
      </c>
      <c r="AQ9" s="9">
        <f t="shared" ca="1" si="10"/>
        <v>0</v>
      </c>
      <c r="AR9" s="9">
        <f t="shared" ca="1" si="10"/>
        <v>0</v>
      </c>
      <c r="AS9" s="9">
        <f t="shared" ca="1" si="10"/>
        <v>0</v>
      </c>
      <c r="AT9" s="9">
        <f t="shared" ca="1" si="10"/>
        <v>0</v>
      </c>
      <c r="AU9" s="9">
        <f t="shared" ca="1" si="10"/>
        <v>0</v>
      </c>
      <c r="AV9" s="9">
        <f t="shared" ca="1" si="10"/>
        <v>0</v>
      </c>
      <c r="AW9" s="9">
        <f t="shared" ca="1" si="10"/>
        <v>0</v>
      </c>
      <c r="AX9" s="9">
        <f t="shared" ca="1" si="10"/>
        <v>0</v>
      </c>
      <c r="AY9" s="9">
        <f t="shared" ca="1" si="10"/>
        <v>0</v>
      </c>
      <c r="AZ9" s="9">
        <f t="shared" ca="1" si="11"/>
        <v>0</v>
      </c>
      <c r="BA9" s="9">
        <f t="shared" ca="1" si="11"/>
        <v>0</v>
      </c>
      <c r="BB9" s="9">
        <f t="shared" ca="1" si="11"/>
        <v>0</v>
      </c>
      <c r="BC9" s="9">
        <f t="shared" ca="1" si="11"/>
        <v>0</v>
      </c>
      <c r="BD9" s="9">
        <f t="shared" ca="1" si="11"/>
        <v>0</v>
      </c>
      <c r="BE9" s="9">
        <f t="shared" ca="1" si="11"/>
        <v>0</v>
      </c>
      <c r="BF9" s="9">
        <f t="shared" ca="1" si="11"/>
        <v>0</v>
      </c>
      <c r="BG9" s="9">
        <f t="shared" ca="1" si="11"/>
        <v>0</v>
      </c>
      <c r="BH9" s="9">
        <f t="shared" ca="1" si="11"/>
        <v>0</v>
      </c>
      <c r="BI9" s="9">
        <f t="shared" ca="1" si="11"/>
        <v>0</v>
      </c>
      <c r="BJ9" s="9">
        <f t="shared" ca="1" si="12"/>
        <v>0</v>
      </c>
      <c r="BK9" s="9">
        <f t="shared" ca="1" si="12"/>
        <v>0</v>
      </c>
      <c r="BL9" s="9">
        <f t="shared" ca="1" si="12"/>
        <v>0</v>
      </c>
      <c r="BM9" s="9">
        <f t="shared" ca="1" si="12"/>
        <v>0</v>
      </c>
      <c r="BN9" s="9">
        <f t="shared" ca="1" si="12"/>
        <v>0</v>
      </c>
      <c r="BO9" s="9">
        <f t="shared" ca="1" si="12"/>
        <v>0</v>
      </c>
      <c r="BP9" s="9">
        <f t="shared" ca="1" si="12"/>
        <v>0</v>
      </c>
      <c r="BQ9" s="9">
        <f t="shared" ca="1" si="12"/>
        <v>0</v>
      </c>
      <c r="BR9" s="9">
        <f t="shared" ca="1" si="12"/>
        <v>0</v>
      </c>
      <c r="BS9" s="9">
        <f t="shared" ca="1" si="12"/>
        <v>0</v>
      </c>
      <c r="BT9" s="9">
        <f t="shared" ca="1" si="13"/>
        <v>0</v>
      </c>
      <c r="BU9" s="9">
        <f t="shared" ca="1" si="13"/>
        <v>0</v>
      </c>
      <c r="BV9" s="9">
        <f t="shared" ca="1" si="13"/>
        <v>0</v>
      </c>
      <c r="BW9" s="9">
        <f t="shared" ca="1" si="13"/>
        <v>0</v>
      </c>
      <c r="BX9" s="9">
        <f t="shared" ca="1" si="13"/>
        <v>0</v>
      </c>
      <c r="BY9" s="9">
        <f t="shared" ca="1" si="13"/>
        <v>0</v>
      </c>
      <c r="BZ9" s="9">
        <f t="shared" ca="1" si="13"/>
        <v>0</v>
      </c>
      <c r="CA9" s="9">
        <f t="shared" ca="1" si="13"/>
        <v>0</v>
      </c>
      <c r="CB9" s="9">
        <f t="shared" ca="1" si="13"/>
        <v>0</v>
      </c>
      <c r="CC9" s="9">
        <f t="shared" ca="1" si="13"/>
        <v>0</v>
      </c>
      <c r="CD9" s="9">
        <f t="shared" ca="1" si="14"/>
        <v>0</v>
      </c>
      <c r="CE9" s="9">
        <f t="shared" ca="1" si="14"/>
        <v>0</v>
      </c>
      <c r="CF9" s="9">
        <f t="shared" ca="1" si="14"/>
        <v>0</v>
      </c>
      <c r="CG9" s="9">
        <f t="shared" ca="1" si="14"/>
        <v>0</v>
      </c>
      <c r="CH9" s="9">
        <f t="shared" ca="1" si="14"/>
        <v>0</v>
      </c>
      <c r="CI9" s="9">
        <f t="shared" ca="1" si="14"/>
        <v>0</v>
      </c>
      <c r="CJ9" s="9">
        <f t="shared" ca="1" si="14"/>
        <v>0</v>
      </c>
      <c r="CK9" s="30">
        <f t="shared" ca="1" si="14"/>
        <v>0</v>
      </c>
      <c r="CN9" s="9">
        <v>3</v>
      </c>
      <c r="CO9" s="17">
        <v>0.05</v>
      </c>
      <c r="CP9" s="17">
        <v>-2.9287324559494326E-2</v>
      </c>
      <c r="CQ9" s="17">
        <v>-1.0239647339680131E-2</v>
      </c>
      <c r="CR9" s="17">
        <v>7.7110824926977838E-4</v>
      </c>
      <c r="CS9" s="17">
        <f t="shared" si="15"/>
        <v>1.1244136350095324E-2</v>
      </c>
      <c r="EC9" s="9">
        <f ca="1"/>
        <v>1.0724999998092699E-2</v>
      </c>
      <c r="ED9" s="9">
        <f ca="1"/>
        <v>1.0599999998174167E-2</v>
      </c>
      <c r="EE9" s="9">
        <f ca="1"/>
        <v>1.084999999801123E-2</v>
      </c>
    </row>
    <row r="10" spans="1:135" x14ac:dyDescent="0.45">
      <c r="A10" s="8">
        <f ca="1"/>
        <v>1</v>
      </c>
      <c r="B10" s="58">
        <f ca="1"/>
        <v>5.0000000000000002E-5</v>
      </c>
      <c r="C10" s="18">
        <f ca="1"/>
        <v>98.657499999999999</v>
      </c>
      <c r="D10" s="18">
        <f t="shared" ca="1" si="0"/>
        <v>98.55866079455302</v>
      </c>
      <c r="E10" s="18">
        <f t="shared" ca="1" si="1"/>
        <v>-9.883920544697844E-2</v>
      </c>
      <c r="F10" s="18">
        <f t="shared" ca="1" si="2"/>
        <v>9.883920544697844E-2</v>
      </c>
      <c r="G10" s="19">
        <f t="shared" ca="1" si="3"/>
        <v>6.8313613165655873E-3</v>
      </c>
      <c r="H10" s="19">
        <f ca="1">IFERROR(IRR((J10,L10:CK10),0),0)</f>
        <v>7.3360961584751916E-3</v>
      </c>
      <c r="I10" s="55">
        <f t="shared" ca="1" si="4"/>
        <v>5.0473484190960427E-4</v>
      </c>
      <c r="J10" s="18">
        <f t="shared" ca="1" si="5"/>
        <v>-98.55866079455302</v>
      </c>
      <c r="K10" s="29">
        <f t="shared" ca="1" si="6"/>
        <v>-98.657499999999999</v>
      </c>
      <c r="L10" s="9">
        <f t="shared" ca="1" si="7"/>
        <v>5.0000000000000001E-3</v>
      </c>
      <c r="M10" s="9">
        <f t="shared" ca="1" si="7"/>
        <v>100.00500000000001</v>
      </c>
      <c r="N10" s="9">
        <f t="shared" ca="1" si="7"/>
        <v>0</v>
      </c>
      <c r="O10" s="9">
        <f t="shared" ca="1" si="7"/>
        <v>0</v>
      </c>
      <c r="P10" s="9">
        <f t="shared" ca="1" si="7"/>
        <v>0</v>
      </c>
      <c r="Q10" s="9">
        <f t="shared" ca="1" si="7"/>
        <v>0</v>
      </c>
      <c r="R10" s="9">
        <f t="shared" ca="1" si="7"/>
        <v>0</v>
      </c>
      <c r="S10" s="9">
        <f t="shared" ca="1" si="7"/>
        <v>0</v>
      </c>
      <c r="T10" s="9">
        <f t="shared" ca="1" si="7"/>
        <v>0</v>
      </c>
      <c r="U10" s="9">
        <f t="shared" ca="1" si="7"/>
        <v>0</v>
      </c>
      <c r="V10" s="9">
        <f t="shared" ca="1" si="8"/>
        <v>0</v>
      </c>
      <c r="W10" s="9">
        <f t="shared" ca="1" si="8"/>
        <v>0</v>
      </c>
      <c r="X10" s="9">
        <f t="shared" ca="1" si="8"/>
        <v>0</v>
      </c>
      <c r="Y10" s="9">
        <f t="shared" ca="1" si="8"/>
        <v>0</v>
      </c>
      <c r="Z10" s="9">
        <f t="shared" ca="1" si="8"/>
        <v>0</v>
      </c>
      <c r="AA10" s="9">
        <f t="shared" ca="1" si="8"/>
        <v>0</v>
      </c>
      <c r="AB10" s="9">
        <f t="shared" ca="1" si="8"/>
        <v>0</v>
      </c>
      <c r="AC10" s="9">
        <f t="shared" ca="1" si="8"/>
        <v>0</v>
      </c>
      <c r="AD10" s="9">
        <f t="shared" ca="1" si="8"/>
        <v>0</v>
      </c>
      <c r="AE10" s="9">
        <f t="shared" ca="1" si="8"/>
        <v>0</v>
      </c>
      <c r="AF10" s="9">
        <f t="shared" ca="1" si="9"/>
        <v>0</v>
      </c>
      <c r="AG10" s="9">
        <f t="shared" ca="1" si="9"/>
        <v>0</v>
      </c>
      <c r="AH10" s="9">
        <f t="shared" ca="1" si="9"/>
        <v>0</v>
      </c>
      <c r="AI10" s="9">
        <f t="shared" ca="1" si="9"/>
        <v>0</v>
      </c>
      <c r="AJ10" s="9">
        <f t="shared" ca="1" si="9"/>
        <v>0</v>
      </c>
      <c r="AK10" s="9">
        <f t="shared" ca="1" si="9"/>
        <v>0</v>
      </c>
      <c r="AL10" s="9">
        <f t="shared" ca="1" si="9"/>
        <v>0</v>
      </c>
      <c r="AM10" s="9">
        <f t="shared" ca="1" si="9"/>
        <v>0</v>
      </c>
      <c r="AN10" s="9">
        <f t="shared" ca="1" si="9"/>
        <v>0</v>
      </c>
      <c r="AO10" s="9">
        <f t="shared" ca="1" si="9"/>
        <v>0</v>
      </c>
      <c r="AP10" s="9">
        <f t="shared" ca="1" si="10"/>
        <v>0</v>
      </c>
      <c r="AQ10" s="9">
        <f t="shared" ca="1" si="10"/>
        <v>0</v>
      </c>
      <c r="AR10" s="9">
        <f t="shared" ca="1" si="10"/>
        <v>0</v>
      </c>
      <c r="AS10" s="9">
        <f t="shared" ca="1" si="10"/>
        <v>0</v>
      </c>
      <c r="AT10" s="9">
        <f t="shared" ca="1" si="10"/>
        <v>0</v>
      </c>
      <c r="AU10" s="9">
        <f t="shared" ca="1" si="10"/>
        <v>0</v>
      </c>
      <c r="AV10" s="9">
        <f t="shared" ca="1" si="10"/>
        <v>0</v>
      </c>
      <c r="AW10" s="9">
        <f t="shared" ca="1" si="10"/>
        <v>0</v>
      </c>
      <c r="AX10" s="9">
        <f t="shared" ca="1" si="10"/>
        <v>0</v>
      </c>
      <c r="AY10" s="9">
        <f t="shared" ca="1" si="10"/>
        <v>0</v>
      </c>
      <c r="AZ10" s="9">
        <f t="shared" ca="1" si="11"/>
        <v>0</v>
      </c>
      <c r="BA10" s="9">
        <f t="shared" ca="1" si="11"/>
        <v>0</v>
      </c>
      <c r="BB10" s="9">
        <f t="shared" ca="1" si="11"/>
        <v>0</v>
      </c>
      <c r="BC10" s="9">
        <f t="shared" ca="1" si="11"/>
        <v>0</v>
      </c>
      <c r="BD10" s="9">
        <f t="shared" ca="1" si="11"/>
        <v>0</v>
      </c>
      <c r="BE10" s="9">
        <f t="shared" ca="1" si="11"/>
        <v>0</v>
      </c>
      <c r="BF10" s="9">
        <f t="shared" ca="1" si="11"/>
        <v>0</v>
      </c>
      <c r="BG10" s="9">
        <f t="shared" ca="1" si="11"/>
        <v>0</v>
      </c>
      <c r="BH10" s="9">
        <f t="shared" ca="1" si="11"/>
        <v>0</v>
      </c>
      <c r="BI10" s="9">
        <f t="shared" ca="1" si="11"/>
        <v>0</v>
      </c>
      <c r="BJ10" s="9">
        <f t="shared" ca="1" si="12"/>
        <v>0</v>
      </c>
      <c r="BK10" s="9">
        <f t="shared" ca="1" si="12"/>
        <v>0</v>
      </c>
      <c r="BL10" s="9">
        <f t="shared" ca="1" si="12"/>
        <v>0</v>
      </c>
      <c r="BM10" s="9">
        <f t="shared" ca="1" si="12"/>
        <v>0</v>
      </c>
      <c r="BN10" s="9">
        <f t="shared" ca="1" si="12"/>
        <v>0</v>
      </c>
      <c r="BO10" s="9">
        <f t="shared" ca="1" si="12"/>
        <v>0</v>
      </c>
      <c r="BP10" s="9">
        <f t="shared" ca="1" si="12"/>
        <v>0</v>
      </c>
      <c r="BQ10" s="9">
        <f t="shared" ca="1" si="12"/>
        <v>0</v>
      </c>
      <c r="BR10" s="9">
        <f t="shared" ca="1" si="12"/>
        <v>0</v>
      </c>
      <c r="BS10" s="9">
        <f t="shared" ca="1" si="12"/>
        <v>0</v>
      </c>
      <c r="BT10" s="9">
        <f t="shared" ca="1" si="13"/>
        <v>0</v>
      </c>
      <c r="BU10" s="9">
        <f t="shared" ca="1" si="13"/>
        <v>0</v>
      </c>
      <c r="BV10" s="9">
        <f t="shared" ca="1" si="13"/>
        <v>0</v>
      </c>
      <c r="BW10" s="9">
        <f t="shared" ca="1" si="13"/>
        <v>0</v>
      </c>
      <c r="BX10" s="9">
        <f t="shared" ca="1" si="13"/>
        <v>0</v>
      </c>
      <c r="BY10" s="9">
        <f t="shared" ca="1" si="13"/>
        <v>0</v>
      </c>
      <c r="BZ10" s="9">
        <f t="shared" ca="1" si="13"/>
        <v>0</v>
      </c>
      <c r="CA10" s="9">
        <f t="shared" ca="1" si="13"/>
        <v>0</v>
      </c>
      <c r="CB10" s="9">
        <f t="shared" ca="1" si="13"/>
        <v>0</v>
      </c>
      <c r="CC10" s="9">
        <f t="shared" ca="1" si="13"/>
        <v>0</v>
      </c>
      <c r="CD10" s="9">
        <f t="shared" ca="1" si="14"/>
        <v>0</v>
      </c>
      <c r="CE10" s="9">
        <f t="shared" ca="1" si="14"/>
        <v>0</v>
      </c>
      <c r="CF10" s="9">
        <f t="shared" ca="1" si="14"/>
        <v>0</v>
      </c>
      <c r="CG10" s="9">
        <f t="shared" ca="1" si="14"/>
        <v>0</v>
      </c>
      <c r="CH10" s="9">
        <f t="shared" ca="1" si="14"/>
        <v>0</v>
      </c>
      <c r="CI10" s="9">
        <f t="shared" ca="1" si="14"/>
        <v>0</v>
      </c>
      <c r="CJ10" s="9">
        <f t="shared" ca="1" si="14"/>
        <v>0</v>
      </c>
      <c r="CK10" s="30">
        <f t="shared" ca="1" si="14"/>
        <v>0</v>
      </c>
      <c r="CN10" s="9">
        <v>3.5</v>
      </c>
      <c r="CO10" s="17">
        <v>0.05</v>
      </c>
      <c r="CP10" s="17">
        <v>-2.7836602679222874E-2</v>
      </c>
      <c r="CQ10" s="17">
        <v>-1.1113212092267517E-2</v>
      </c>
      <c r="CR10" s="17">
        <v>6.8469112755196614E-4</v>
      </c>
      <c r="CS10" s="17">
        <f t="shared" si="15"/>
        <v>1.1734876356061578E-2</v>
      </c>
      <c r="EC10" s="9">
        <f ca="1"/>
        <v>1.1495000000000054E-2</v>
      </c>
      <c r="ED10" s="9">
        <f ca="1"/>
        <v>1.1380000000000026E-2</v>
      </c>
      <c r="EE10" s="9">
        <f ca="1"/>
        <v>1.161000000000008E-2</v>
      </c>
    </row>
    <row r="11" spans="1:135" x14ac:dyDescent="0.45">
      <c r="A11" s="8">
        <f ca="1"/>
        <v>1</v>
      </c>
      <c r="B11" s="58">
        <f ca="1"/>
        <v>1E-3</v>
      </c>
      <c r="C11" s="18">
        <f ca="1"/>
        <v>98.426000000000002</v>
      </c>
      <c r="D11" s="18">
        <f t="shared" ca="1" si="0"/>
        <v>98.746552960753235</v>
      </c>
      <c r="E11" s="18">
        <f t="shared" ca="1" si="1"/>
        <v>0.3205529607532327</v>
      </c>
      <c r="F11" s="18">
        <f t="shared" ca="1" si="2"/>
        <v>0.3205529607532327</v>
      </c>
      <c r="G11" s="19">
        <f t="shared" ca="1" si="3"/>
        <v>8.9761209221483895E-3</v>
      </c>
      <c r="H11" s="19">
        <f ca="1">IFERROR(IRR((J11,L11:CK11),0),0)</f>
        <v>7.3362865654724718E-3</v>
      </c>
      <c r="I11" s="55">
        <f t="shared" ca="1" si="4"/>
        <v>-1.6398343566759177E-3</v>
      </c>
      <c r="J11" s="18">
        <f t="shared" ca="1" si="5"/>
        <v>-98.746552960753235</v>
      </c>
      <c r="K11" s="29">
        <f t="shared" ca="1" si="6"/>
        <v>-98.426000000000002</v>
      </c>
      <c r="L11" s="9">
        <f t="shared" ca="1" si="7"/>
        <v>0.1</v>
      </c>
      <c r="M11" s="9">
        <f t="shared" ca="1" si="7"/>
        <v>100.1</v>
      </c>
      <c r="N11" s="9">
        <f t="shared" ca="1" si="7"/>
        <v>0</v>
      </c>
      <c r="O11" s="9">
        <f t="shared" ca="1" si="7"/>
        <v>0</v>
      </c>
      <c r="P11" s="9">
        <f t="shared" ca="1" si="7"/>
        <v>0</v>
      </c>
      <c r="Q11" s="9">
        <f t="shared" ca="1" si="7"/>
        <v>0</v>
      </c>
      <c r="R11" s="9">
        <f t="shared" ca="1" si="7"/>
        <v>0</v>
      </c>
      <c r="S11" s="9">
        <f t="shared" ca="1" si="7"/>
        <v>0</v>
      </c>
      <c r="T11" s="9">
        <f t="shared" ca="1" si="7"/>
        <v>0</v>
      </c>
      <c r="U11" s="9">
        <f t="shared" ca="1" si="7"/>
        <v>0</v>
      </c>
      <c r="V11" s="9">
        <f t="shared" ca="1" si="8"/>
        <v>0</v>
      </c>
      <c r="W11" s="9">
        <f t="shared" ca="1" si="8"/>
        <v>0</v>
      </c>
      <c r="X11" s="9">
        <f t="shared" ca="1" si="8"/>
        <v>0</v>
      </c>
      <c r="Y11" s="9">
        <f t="shared" ca="1" si="8"/>
        <v>0</v>
      </c>
      <c r="Z11" s="9">
        <f t="shared" ca="1" si="8"/>
        <v>0</v>
      </c>
      <c r="AA11" s="9">
        <f t="shared" ca="1" si="8"/>
        <v>0</v>
      </c>
      <c r="AB11" s="9">
        <f t="shared" ca="1" si="8"/>
        <v>0</v>
      </c>
      <c r="AC11" s="9">
        <f t="shared" ca="1" si="8"/>
        <v>0</v>
      </c>
      <c r="AD11" s="9">
        <f t="shared" ca="1" si="8"/>
        <v>0</v>
      </c>
      <c r="AE11" s="9">
        <f t="shared" ca="1" si="8"/>
        <v>0</v>
      </c>
      <c r="AF11" s="9">
        <f t="shared" ca="1" si="9"/>
        <v>0</v>
      </c>
      <c r="AG11" s="9">
        <f t="shared" ca="1" si="9"/>
        <v>0</v>
      </c>
      <c r="AH11" s="9">
        <f t="shared" ca="1" si="9"/>
        <v>0</v>
      </c>
      <c r="AI11" s="9">
        <f t="shared" ca="1" si="9"/>
        <v>0</v>
      </c>
      <c r="AJ11" s="9">
        <f t="shared" ca="1" si="9"/>
        <v>0</v>
      </c>
      <c r="AK11" s="9">
        <f t="shared" ca="1" si="9"/>
        <v>0</v>
      </c>
      <c r="AL11" s="9">
        <f t="shared" ca="1" si="9"/>
        <v>0</v>
      </c>
      <c r="AM11" s="9">
        <f t="shared" ca="1" si="9"/>
        <v>0</v>
      </c>
      <c r="AN11" s="9">
        <f t="shared" ca="1" si="9"/>
        <v>0</v>
      </c>
      <c r="AO11" s="9">
        <f t="shared" ca="1" si="9"/>
        <v>0</v>
      </c>
      <c r="AP11" s="9">
        <f t="shared" ca="1" si="10"/>
        <v>0</v>
      </c>
      <c r="AQ11" s="9">
        <f t="shared" ca="1" si="10"/>
        <v>0</v>
      </c>
      <c r="AR11" s="9">
        <f t="shared" ca="1" si="10"/>
        <v>0</v>
      </c>
      <c r="AS11" s="9">
        <f t="shared" ca="1" si="10"/>
        <v>0</v>
      </c>
      <c r="AT11" s="9">
        <f t="shared" ca="1" si="10"/>
        <v>0</v>
      </c>
      <c r="AU11" s="9">
        <f t="shared" ca="1" si="10"/>
        <v>0</v>
      </c>
      <c r="AV11" s="9">
        <f t="shared" ca="1" si="10"/>
        <v>0</v>
      </c>
      <c r="AW11" s="9">
        <f t="shared" ca="1" si="10"/>
        <v>0</v>
      </c>
      <c r="AX11" s="9">
        <f t="shared" ca="1" si="10"/>
        <v>0</v>
      </c>
      <c r="AY11" s="9">
        <f t="shared" ca="1" si="10"/>
        <v>0</v>
      </c>
      <c r="AZ11" s="9">
        <f t="shared" ca="1" si="11"/>
        <v>0</v>
      </c>
      <c r="BA11" s="9">
        <f t="shared" ca="1" si="11"/>
        <v>0</v>
      </c>
      <c r="BB11" s="9">
        <f t="shared" ca="1" si="11"/>
        <v>0</v>
      </c>
      <c r="BC11" s="9">
        <f t="shared" ca="1" si="11"/>
        <v>0</v>
      </c>
      <c r="BD11" s="9">
        <f t="shared" ca="1" si="11"/>
        <v>0</v>
      </c>
      <c r="BE11" s="9">
        <f t="shared" ca="1" si="11"/>
        <v>0</v>
      </c>
      <c r="BF11" s="9">
        <f t="shared" ca="1" si="11"/>
        <v>0</v>
      </c>
      <c r="BG11" s="9">
        <f t="shared" ca="1" si="11"/>
        <v>0</v>
      </c>
      <c r="BH11" s="9">
        <f t="shared" ca="1" si="11"/>
        <v>0</v>
      </c>
      <c r="BI11" s="9">
        <f t="shared" ca="1" si="11"/>
        <v>0</v>
      </c>
      <c r="BJ11" s="9">
        <f t="shared" ca="1" si="12"/>
        <v>0</v>
      </c>
      <c r="BK11" s="9">
        <f t="shared" ca="1" si="12"/>
        <v>0</v>
      </c>
      <c r="BL11" s="9">
        <f t="shared" ca="1" si="12"/>
        <v>0</v>
      </c>
      <c r="BM11" s="9">
        <f t="shared" ca="1" si="12"/>
        <v>0</v>
      </c>
      <c r="BN11" s="9">
        <f t="shared" ca="1" si="12"/>
        <v>0</v>
      </c>
      <c r="BO11" s="9">
        <f t="shared" ca="1" si="12"/>
        <v>0</v>
      </c>
      <c r="BP11" s="9">
        <f t="shared" ca="1" si="12"/>
        <v>0</v>
      </c>
      <c r="BQ11" s="9">
        <f t="shared" ca="1" si="12"/>
        <v>0</v>
      </c>
      <c r="BR11" s="9">
        <f t="shared" ca="1" si="12"/>
        <v>0</v>
      </c>
      <c r="BS11" s="9">
        <f t="shared" ca="1" si="12"/>
        <v>0</v>
      </c>
      <c r="BT11" s="9">
        <f t="shared" ca="1" si="13"/>
        <v>0</v>
      </c>
      <c r="BU11" s="9">
        <f t="shared" ca="1" si="13"/>
        <v>0</v>
      </c>
      <c r="BV11" s="9">
        <f t="shared" ca="1" si="13"/>
        <v>0</v>
      </c>
      <c r="BW11" s="9">
        <f t="shared" ca="1" si="13"/>
        <v>0</v>
      </c>
      <c r="BX11" s="9">
        <f t="shared" ca="1" si="13"/>
        <v>0</v>
      </c>
      <c r="BY11" s="9">
        <f t="shared" ca="1" si="13"/>
        <v>0</v>
      </c>
      <c r="BZ11" s="9">
        <f t="shared" ca="1" si="13"/>
        <v>0</v>
      </c>
      <c r="CA11" s="9">
        <f t="shared" ca="1" si="13"/>
        <v>0</v>
      </c>
      <c r="CB11" s="9">
        <f t="shared" ca="1" si="13"/>
        <v>0</v>
      </c>
      <c r="CC11" s="9">
        <f t="shared" ca="1" si="13"/>
        <v>0</v>
      </c>
      <c r="CD11" s="9">
        <f t="shared" ca="1" si="14"/>
        <v>0</v>
      </c>
      <c r="CE11" s="9">
        <f t="shared" ca="1" si="14"/>
        <v>0</v>
      </c>
      <c r="CF11" s="9">
        <f t="shared" ca="1" si="14"/>
        <v>0</v>
      </c>
      <c r="CG11" s="9">
        <f t="shared" ca="1" si="14"/>
        <v>0</v>
      </c>
      <c r="CH11" s="9">
        <f t="shared" ca="1" si="14"/>
        <v>0</v>
      </c>
      <c r="CI11" s="9">
        <f t="shared" ca="1" si="14"/>
        <v>0</v>
      </c>
      <c r="CJ11" s="9">
        <f t="shared" ca="1" si="14"/>
        <v>0</v>
      </c>
      <c r="CK11" s="30">
        <f t="shared" ca="1" si="14"/>
        <v>0</v>
      </c>
      <c r="CN11" s="9">
        <v>4</v>
      </c>
      <c r="CO11" s="17">
        <v>0.05</v>
      </c>
      <c r="CP11" s="17">
        <v>-2.648649815463279E-2</v>
      </c>
      <c r="CQ11" s="17">
        <v>-1.1824834275199923E-2</v>
      </c>
      <c r="CR11" s="17">
        <v>6.1094067074599545E-4</v>
      </c>
      <c r="CS11" s="17">
        <f t="shared" si="15"/>
        <v>1.2299608240913286E-2</v>
      </c>
      <c r="EC11" s="9">
        <f ca="1"/>
        <v>1.1555000000000027E-2</v>
      </c>
      <c r="ED11" s="9">
        <f ca="1"/>
        <v>1.144000000000004E-2</v>
      </c>
      <c r="EE11" s="9">
        <f ca="1"/>
        <v>1.1670000000000008E-2</v>
      </c>
    </row>
    <row r="12" spans="1:135" x14ac:dyDescent="0.45">
      <c r="A12" s="8">
        <f ca="1"/>
        <v>1</v>
      </c>
      <c r="B12" s="58">
        <f ca="1"/>
        <v>1E-3</v>
      </c>
      <c r="C12" s="18">
        <f ca="1"/>
        <v>98.417000000000002</v>
      </c>
      <c r="D12" s="18">
        <f t="shared" ca="1" si="0"/>
        <v>98.746552960753235</v>
      </c>
      <c r="E12" s="18">
        <f t="shared" ca="1" si="1"/>
        <v>0.32955296075323304</v>
      </c>
      <c r="F12" s="18">
        <f t="shared" ca="1" si="2"/>
        <v>0.32955296075323304</v>
      </c>
      <c r="G12" s="19">
        <f t="shared" ca="1" si="3"/>
        <v>9.0222773375245868E-3</v>
      </c>
      <c r="H12" s="19">
        <f ca="1">IFERROR(IRR((J12,L12:CK12),0),0)</f>
        <v>7.3362865654724718E-3</v>
      </c>
      <c r="I12" s="55">
        <f t="shared" ca="1" si="4"/>
        <v>-1.685990772052115E-3</v>
      </c>
      <c r="J12" s="18">
        <f t="shared" ca="1" si="5"/>
        <v>-98.746552960753235</v>
      </c>
      <c r="K12" s="29">
        <f t="shared" ca="1" si="6"/>
        <v>-98.417000000000002</v>
      </c>
      <c r="L12" s="9">
        <f t="shared" ca="1" si="7"/>
        <v>0.1</v>
      </c>
      <c r="M12" s="9">
        <f t="shared" ca="1" si="7"/>
        <v>100.1</v>
      </c>
      <c r="N12" s="9">
        <f t="shared" ca="1" si="7"/>
        <v>0</v>
      </c>
      <c r="O12" s="9">
        <f t="shared" ca="1" si="7"/>
        <v>0</v>
      </c>
      <c r="P12" s="9">
        <f t="shared" ca="1" si="7"/>
        <v>0</v>
      </c>
      <c r="Q12" s="9">
        <f t="shared" ca="1" si="7"/>
        <v>0</v>
      </c>
      <c r="R12" s="9">
        <f t="shared" ca="1" si="7"/>
        <v>0</v>
      </c>
      <c r="S12" s="9">
        <f t="shared" ca="1" si="7"/>
        <v>0</v>
      </c>
      <c r="T12" s="9">
        <f t="shared" ca="1" si="7"/>
        <v>0</v>
      </c>
      <c r="U12" s="9">
        <f t="shared" ca="1" si="7"/>
        <v>0</v>
      </c>
      <c r="V12" s="9">
        <f t="shared" ca="1" si="8"/>
        <v>0</v>
      </c>
      <c r="W12" s="9">
        <f t="shared" ca="1" si="8"/>
        <v>0</v>
      </c>
      <c r="X12" s="9">
        <f t="shared" ca="1" si="8"/>
        <v>0</v>
      </c>
      <c r="Y12" s="9">
        <f t="shared" ca="1" si="8"/>
        <v>0</v>
      </c>
      <c r="Z12" s="9">
        <f t="shared" ca="1" si="8"/>
        <v>0</v>
      </c>
      <c r="AA12" s="9">
        <f t="shared" ca="1" si="8"/>
        <v>0</v>
      </c>
      <c r="AB12" s="9">
        <f t="shared" ca="1" si="8"/>
        <v>0</v>
      </c>
      <c r="AC12" s="9">
        <f t="shared" ca="1" si="8"/>
        <v>0</v>
      </c>
      <c r="AD12" s="9">
        <f t="shared" ca="1" si="8"/>
        <v>0</v>
      </c>
      <c r="AE12" s="9">
        <f t="shared" ca="1" si="8"/>
        <v>0</v>
      </c>
      <c r="AF12" s="9">
        <f t="shared" ca="1" si="9"/>
        <v>0</v>
      </c>
      <c r="AG12" s="9">
        <f t="shared" ca="1" si="9"/>
        <v>0</v>
      </c>
      <c r="AH12" s="9">
        <f t="shared" ca="1" si="9"/>
        <v>0</v>
      </c>
      <c r="AI12" s="9">
        <f t="shared" ca="1" si="9"/>
        <v>0</v>
      </c>
      <c r="AJ12" s="9">
        <f t="shared" ca="1" si="9"/>
        <v>0</v>
      </c>
      <c r="AK12" s="9">
        <f t="shared" ca="1" si="9"/>
        <v>0</v>
      </c>
      <c r="AL12" s="9">
        <f t="shared" ca="1" si="9"/>
        <v>0</v>
      </c>
      <c r="AM12" s="9">
        <f t="shared" ca="1" si="9"/>
        <v>0</v>
      </c>
      <c r="AN12" s="9">
        <f t="shared" ca="1" si="9"/>
        <v>0</v>
      </c>
      <c r="AO12" s="9">
        <f t="shared" ca="1" si="9"/>
        <v>0</v>
      </c>
      <c r="AP12" s="9">
        <f t="shared" ca="1" si="10"/>
        <v>0</v>
      </c>
      <c r="AQ12" s="9">
        <f t="shared" ca="1" si="10"/>
        <v>0</v>
      </c>
      <c r="AR12" s="9">
        <f t="shared" ca="1" si="10"/>
        <v>0</v>
      </c>
      <c r="AS12" s="9">
        <f t="shared" ca="1" si="10"/>
        <v>0</v>
      </c>
      <c r="AT12" s="9">
        <f t="shared" ca="1" si="10"/>
        <v>0</v>
      </c>
      <c r="AU12" s="9">
        <f t="shared" ca="1" si="10"/>
        <v>0</v>
      </c>
      <c r="AV12" s="9">
        <f t="shared" ca="1" si="10"/>
        <v>0</v>
      </c>
      <c r="AW12" s="9">
        <f t="shared" ca="1" si="10"/>
        <v>0</v>
      </c>
      <c r="AX12" s="9">
        <f t="shared" ca="1" si="10"/>
        <v>0</v>
      </c>
      <c r="AY12" s="9">
        <f t="shared" ca="1" si="10"/>
        <v>0</v>
      </c>
      <c r="AZ12" s="9">
        <f t="shared" ca="1" si="11"/>
        <v>0</v>
      </c>
      <c r="BA12" s="9">
        <f t="shared" ca="1" si="11"/>
        <v>0</v>
      </c>
      <c r="BB12" s="9">
        <f t="shared" ca="1" si="11"/>
        <v>0</v>
      </c>
      <c r="BC12" s="9">
        <f t="shared" ca="1" si="11"/>
        <v>0</v>
      </c>
      <c r="BD12" s="9">
        <f t="shared" ca="1" si="11"/>
        <v>0</v>
      </c>
      <c r="BE12" s="9">
        <f t="shared" ca="1" si="11"/>
        <v>0</v>
      </c>
      <c r="BF12" s="9">
        <f t="shared" ca="1" si="11"/>
        <v>0</v>
      </c>
      <c r="BG12" s="9">
        <f t="shared" ca="1" si="11"/>
        <v>0</v>
      </c>
      <c r="BH12" s="9">
        <f t="shared" ca="1" si="11"/>
        <v>0</v>
      </c>
      <c r="BI12" s="9">
        <f t="shared" ca="1" si="11"/>
        <v>0</v>
      </c>
      <c r="BJ12" s="9">
        <f t="shared" ca="1" si="12"/>
        <v>0</v>
      </c>
      <c r="BK12" s="9">
        <f t="shared" ca="1" si="12"/>
        <v>0</v>
      </c>
      <c r="BL12" s="9">
        <f t="shared" ca="1" si="12"/>
        <v>0</v>
      </c>
      <c r="BM12" s="9">
        <f t="shared" ca="1" si="12"/>
        <v>0</v>
      </c>
      <c r="BN12" s="9">
        <f t="shared" ca="1" si="12"/>
        <v>0</v>
      </c>
      <c r="BO12" s="9">
        <f t="shared" ca="1" si="12"/>
        <v>0</v>
      </c>
      <c r="BP12" s="9">
        <f t="shared" ca="1" si="12"/>
        <v>0</v>
      </c>
      <c r="BQ12" s="9">
        <f t="shared" ca="1" si="12"/>
        <v>0</v>
      </c>
      <c r="BR12" s="9">
        <f t="shared" ca="1" si="12"/>
        <v>0</v>
      </c>
      <c r="BS12" s="9">
        <f t="shared" ca="1" si="12"/>
        <v>0</v>
      </c>
      <c r="BT12" s="9">
        <f t="shared" ca="1" si="13"/>
        <v>0</v>
      </c>
      <c r="BU12" s="9">
        <f t="shared" ca="1" si="13"/>
        <v>0</v>
      </c>
      <c r="BV12" s="9">
        <f t="shared" ca="1" si="13"/>
        <v>0</v>
      </c>
      <c r="BW12" s="9">
        <f t="shared" ca="1" si="13"/>
        <v>0</v>
      </c>
      <c r="BX12" s="9">
        <f t="shared" ca="1" si="13"/>
        <v>0</v>
      </c>
      <c r="BY12" s="9">
        <f t="shared" ca="1" si="13"/>
        <v>0</v>
      </c>
      <c r="BZ12" s="9">
        <f t="shared" ca="1" si="13"/>
        <v>0</v>
      </c>
      <c r="CA12" s="9">
        <f t="shared" ca="1" si="13"/>
        <v>0</v>
      </c>
      <c r="CB12" s="9">
        <f t="shared" ca="1" si="13"/>
        <v>0</v>
      </c>
      <c r="CC12" s="9">
        <f t="shared" ca="1" si="13"/>
        <v>0</v>
      </c>
      <c r="CD12" s="9">
        <f t="shared" ca="1" si="14"/>
        <v>0</v>
      </c>
      <c r="CE12" s="9">
        <f t="shared" ca="1" si="14"/>
        <v>0</v>
      </c>
      <c r="CF12" s="9">
        <f t="shared" ca="1" si="14"/>
        <v>0</v>
      </c>
      <c r="CG12" s="9">
        <f t="shared" ca="1" si="14"/>
        <v>0</v>
      </c>
      <c r="CH12" s="9">
        <f t="shared" ca="1" si="14"/>
        <v>0</v>
      </c>
      <c r="CI12" s="9">
        <f t="shared" ca="1" si="14"/>
        <v>0</v>
      </c>
      <c r="CJ12" s="9">
        <f t="shared" ca="1" si="14"/>
        <v>0</v>
      </c>
      <c r="CK12" s="30">
        <f t="shared" ca="1" si="14"/>
        <v>0</v>
      </c>
      <c r="CN12" s="9">
        <v>4.5</v>
      </c>
      <c r="CO12" s="17">
        <v>0.05</v>
      </c>
      <c r="CP12" s="17">
        <v>-2.5228997864966924E-2</v>
      </c>
      <c r="CQ12" s="17">
        <v>-1.2395678031708698E-2</v>
      </c>
      <c r="CR12" s="17">
        <v>5.4894447461213312E-4</v>
      </c>
      <c r="CS12" s="17">
        <f t="shared" si="15"/>
        <v>1.2924268577936514E-2</v>
      </c>
      <c r="EC12" s="9">
        <f ca="1"/>
        <v>1.1899999999999959E-2</v>
      </c>
      <c r="ED12" s="9">
        <f ca="1"/>
        <v>1.1779999999999933E-2</v>
      </c>
      <c r="EE12" s="9">
        <f ca="1"/>
        <v>1.2019999999999986E-2</v>
      </c>
    </row>
    <row r="13" spans="1:135" x14ac:dyDescent="0.45">
      <c r="A13" s="8">
        <f ca="1"/>
        <v>1.5</v>
      </c>
      <c r="B13" s="58">
        <f ca="1"/>
        <v>1E-3</v>
      </c>
      <c r="C13" s="18">
        <f ca="1"/>
        <v>98.104500000000002</v>
      </c>
      <c r="D13" s="18">
        <f t="shared" ca="1" si="0"/>
        <v>98.104477981278322</v>
      </c>
      <c r="E13" s="18">
        <f t="shared" ca="1" si="1"/>
        <v>-2.2018721679728515E-5</v>
      </c>
      <c r="F13" s="18">
        <f t="shared" ca="1" si="2"/>
        <v>2.2018721679728515E-5</v>
      </c>
      <c r="G13" s="19">
        <f t="shared" ca="1" si="3"/>
        <v>7.4122297790761849E-3</v>
      </c>
      <c r="H13" s="19">
        <f ca="1">IFERROR(IRR((J13,L13:CK13),0),0)</f>
        <v>7.4123052236094722E-3</v>
      </c>
      <c r="I13" s="55">
        <f t="shared" ca="1" si="4"/>
        <v>7.54445332873388E-8</v>
      </c>
      <c r="J13" s="18">
        <f t="shared" ca="1" si="5"/>
        <v>-98.104477981278322</v>
      </c>
      <c r="K13" s="29">
        <f t="shared" ca="1" si="6"/>
        <v>-98.104500000000002</v>
      </c>
      <c r="L13" s="9">
        <f t="shared" ref="L13:U22" ca="1" si="16">$B13*100*(L$2&lt;$A13)+100*(1+$B13)*(L$2=$A13)</f>
        <v>0.1</v>
      </c>
      <c r="M13" s="9">
        <f t="shared" ca="1" si="16"/>
        <v>0.1</v>
      </c>
      <c r="N13" s="9">
        <f t="shared" ca="1" si="16"/>
        <v>100.1</v>
      </c>
      <c r="O13" s="9">
        <f t="shared" ca="1" si="16"/>
        <v>0</v>
      </c>
      <c r="P13" s="9">
        <f t="shared" ca="1" si="16"/>
        <v>0</v>
      </c>
      <c r="Q13" s="9">
        <f t="shared" ca="1" si="16"/>
        <v>0</v>
      </c>
      <c r="R13" s="9">
        <f t="shared" ca="1" si="16"/>
        <v>0</v>
      </c>
      <c r="S13" s="9">
        <f t="shared" ca="1" si="16"/>
        <v>0</v>
      </c>
      <c r="T13" s="9">
        <f t="shared" ca="1" si="16"/>
        <v>0</v>
      </c>
      <c r="U13" s="9">
        <f t="shared" ca="1" si="16"/>
        <v>0</v>
      </c>
      <c r="V13" s="9">
        <f t="shared" ref="V13:AE22" ca="1" si="17">$B13*100*(V$2&lt;$A13)+100*(1+$B13)*(V$2=$A13)</f>
        <v>0</v>
      </c>
      <c r="W13" s="9">
        <f t="shared" ca="1" si="17"/>
        <v>0</v>
      </c>
      <c r="X13" s="9">
        <f t="shared" ca="1" si="17"/>
        <v>0</v>
      </c>
      <c r="Y13" s="9">
        <f t="shared" ca="1" si="17"/>
        <v>0</v>
      </c>
      <c r="Z13" s="9">
        <f t="shared" ca="1" si="17"/>
        <v>0</v>
      </c>
      <c r="AA13" s="9">
        <f t="shared" ca="1" si="17"/>
        <v>0</v>
      </c>
      <c r="AB13" s="9">
        <f t="shared" ca="1" si="17"/>
        <v>0</v>
      </c>
      <c r="AC13" s="9">
        <f t="shared" ca="1" si="17"/>
        <v>0</v>
      </c>
      <c r="AD13" s="9">
        <f t="shared" ca="1" si="17"/>
        <v>0</v>
      </c>
      <c r="AE13" s="9">
        <f t="shared" ca="1" si="17"/>
        <v>0</v>
      </c>
      <c r="AF13" s="9">
        <f t="shared" ref="AF13:AO22" ca="1" si="18">$B13*100*(AF$2&lt;$A13)+100*(1+$B13)*(AF$2=$A13)</f>
        <v>0</v>
      </c>
      <c r="AG13" s="9">
        <f t="shared" ca="1" si="18"/>
        <v>0</v>
      </c>
      <c r="AH13" s="9">
        <f t="shared" ca="1" si="18"/>
        <v>0</v>
      </c>
      <c r="AI13" s="9">
        <f t="shared" ca="1" si="18"/>
        <v>0</v>
      </c>
      <c r="AJ13" s="9">
        <f t="shared" ca="1" si="18"/>
        <v>0</v>
      </c>
      <c r="AK13" s="9">
        <f t="shared" ca="1" si="18"/>
        <v>0</v>
      </c>
      <c r="AL13" s="9">
        <f t="shared" ca="1" si="18"/>
        <v>0</v>
      </c>
      <c r="AM13" s="9">
        <f t="shared" ca="1" si="18"/>
        <v>0</v>
      </c>
      <c r="AN13" s="9">
        <f t="shared" ca="1" si="18"/>
        <v>0</v>
      </c>
      <c r="AO13" s="9">
        <f t="shared" ca="1" si="18"/>
        <v>0</v>
      </c>
      <c r="AP13" s="9">
        <f t="shared" ref="AP13:AY22" ca="1" si="19">$B13*100*(AP$2&lt;$A13)+100*(1+$B13)*(AP$2=$A13)</f>
        <v>0</v>
      </c>
      <c r="AQ13" s="9">
        <f t="shared" ca="1" si="19"/>
        <v>0</v>
      </c>
      <c r="AR13" s="9">
        <f t="shared" ca="1" si="19"/>
        <v>0</v>
      </c>
      <c r="AS13" s="9">
        <f t="shared" ca="1" si="19"/>
        <v>0</v>
      </c>
      <c r="AT13" s="9">
        <f t="shared" ca="1" si="19"/>
        <v>0</v>
      </c>
      <c r="AU13" s="9">
        <f t="shared" ca="1" si="19"/>
        <v>0</v>
      </c>
      <c r="AV13" s="9">
        <f t="shared" ca="1" si="19"/>
        <v>0</v>
      </c>
      <c r="AW13" s="9">
        <f t="shared" ca="1" si="19"/>
        <v>0</v>
      </c>
      <c r="AX13" s="9">
        <f t="shared" ca="1" si="19"/>
        <v>0</v>
      </c>
      <c r="AY13" s="9">
        <f t="shared" ca="1" si="19"/>
        <v>0</v>
      </c>
      <c r="AZ13" s="9">
        <f t="shared" ref="AZ13:BI22" ca="1" si="20">$B13*100*(AZ$2&lt;$A13)+100*(1+$B13)*(AZ$2=$A13)</f>
        <v>0</v>
      </c>
      <c r="BA13" s="9">
        <f t="shared" ca="1" si="20"/>
        <v>0</v>
      </c>
      <c r="BB13" s="9">
        <f t="shared" ca="1" si="20"/>
        <v>0</v>
      </c>
      <c r="BC13" s="9">
        <f t="shared" ca="1" si="20"/>
        <v>0</v>
      </c>
      <c r="BD13" s="9">
        <f t="shared" ca="1" si="20"/>
        <v>0</v>
      </c>
      <c r="BE13" s="9">
        <f t="shared" ca="1" si="20"/>
        <v>0</v>
      </c>
      <c r="BF13" s="9">
        <f t="shared" ca="1" si="20"/>
        <v>0</v>
      </c>
      <c r="BG13" s="9">
        <f t="shared" ca="1" si="20"/>
        <v>0</v>
      </c>
      <c r="BH13" s="9">
        <f t="shared" ca="1" si="20"/>
        <v>0</v>
      </c>
      <c r="BI13" s="9">
        <f t="shared" ca="1" si="20"/>
        <v>0</v>
      </c>
      <c r="BJ13" s="9">
        <f t="shared" ref="BJ13:BS22" ca="1" si="21">$B13*100*(BJ$2&lt;$A13)+100*(1+$B13)*(BJ$2=$A13)</f>
        <v>0</v>
      </c>
      <c r="BK13" s="9">
        <f t="shared" ca="1" si="21"/>
        <v>0</v>
      </c>
      <c r="BL13" s="9">
        <f t="shared" ca="1" si="21"/>
        <v>0</v>
      </c>
      <c r="BM13" s="9">
        <f t="shared" ca="1" si="21"/>
        <v>0</v>
      </c>
      <c r="BN13" s="9">
        <f t="shared" ca="1" si="21"/>
        <v>0</v>
      </c>
      <c r="BO13" s="9">
        <f t="shared" ca="1" si="21"/>
        <v>0</v>
      </c>
      <c r="BP13" s="9">
        <f t="shared" ca="1" si="21"/>
        <v>0</v>
      </c>
      <c r="BQ13" s="9">
        <f t="shared" ca="1" si="21"/>
        <v>0</v>
      </c>
      <c r="BR13" s="9">
        <f t="shared" ca="1" si="21"/>
        <v>0</v>
      </c>
      <c r="BS13" s="9">
        <f t="shared" ca="1" si="21"/>
        <v>0</v>
      </c>
      <c r="BT13" s="9">
        <f t="shared" ref="BT13:CC22" ca="1" si="22">$B13*100*(BT$2&lt;$A13)+100*(1+$B13)*(BT$2=$A13)</f>
        <v>0</v>
      </c>
      <c r="BU13" s="9">
        <f t="shared" ca="1" si="22"/>
        <v>0</v>
      </c>
      <c r="BV13" s="9">
        <f t="shared" ca="1" si="22"/>
        <v>0</v>
      </c>
      <c r="BW13" s="9">
        <f t="shared" ca="1" si="22"/>
        <v>0</v>
      </c>
      <c r="BX13" s="9">
        <f t="shared" ca="1" si="22"/>
        <v>0</v>
      </c>
      <c r="BY13" s="9">
        <f t="shared" ca="1" si="22"/>
        <v>0</v>
      </c>
      <c r="BZ13" s="9">
        <f t="shared" ca="1" si="22"/>
        <v>0</v>
      </c>
      <c r="CA13" s="9">
        <f t="shared" ca="1" si="22"/>
        <v>0</v>
      </c>
      <c r="CB13" s="9">
        <f t="shared" ca="1" si="22"/>
        <v>0</v>
      </c>
      <c r="CC13" s="9">
        <f t="shared" ca="1" si="22"/>
        <v>0</v>
      </c>
      <c r="CD13" s="9">
        <f t="shared" ref="CD13:CK22" ca="1" si="23">$B13*100*(CD$2&lt;$A13)+100*(1+$B13)*(CD$2=$A13)</f>
        <v>0</v>
      </c>
      <c r="CE13" s="9">
        <f t="shared" ca="1" si="23"/>
        <v>0</v>
      </c>
      <c r="CF13" s="9">
        <f t="shared" ca="1" si="23"/>
        <v>0</v>
      </c>
      <c r="CG13" s="9">
        <f t="shared" ca="1" si="23"/>
        <v>0</v>
      </c>
      <c r="CH13" s="9">
        <f t="shared" ca="1" si="23"/>
        <v>0</v>
      </c>
      <c r="CI13" s="9">
        <f t="shared" ca="1" si="23"/>
        <v>0</v>
      </c>
      <c r="CJ13" s="9">
        <f t="shared" ca="1" si="23"/>
        <v>0</v>
      </c>
      <c r="CK13" s="30">
        <f t="shared" ca="1" si="23"/>
        <v>0</v>
      </c>
      <c r="CN13" s="9">
        <v>5</v>
      </c>
      <c r="CO13" s="17">
        <v>0.05</v>
      </c>
      <c r="CP13" s="17">
        <v>-2.4056776524084406E-2</v>
      </c>
      <c r="CQ13" s="17">
        <v>-1.2844372465503556E-2</v>
      </c>
      <c r="CR13" s="17">
        <v>4.9697222897276657E-4</v>
      </c>
      <c r="CS13" s="17">
        <f t="shared" si="15"/>
        <v>1.3595823239384807E-2</v>
      </c>
      <c r="EC13" s="9">
        <f ca="1"/>
        <v>1.1914999999999945E-2</v>
      </c>
      <c r="ED13" s="9">
        <f ca="1"/>
        <v>1.1789999999999872E-2</v>
      </c>
      <c r="EE13" s="9">
        <f ca="1"/>
        <v>1.2040000000000018E-2</v>
      </c>
    </row>
    <row r="14" spans="1:135" x14ac:dyDescent="0.45">
      <c r="A14" s="8">
        <f ca="1"/>
        <v>1.5</v>
      </c>
      <c r="B14" s="58">
        <f ca="1"/>
        <v>2E-3</v>
      </c>
      <c r="C14" s="18">
        <f ca="1"/>
        <v>98.275499999999994</v>
      </c>
      <c r="D14" s="18">
        <f t="shared" ca="1" si="0"/>
        <v>98.400068096723359</v>
      </c>
      <c r="E14" s="18">
        <f t="shared" ca="1" si="1"/>
        <v>0.12456809672336533</v>
      </c>
      <c r="F14" s="18">
        <f t="shared" ca="1" si="2"/>
        <v>0.12456809672336533</v>
      </c>
      <c r="G14" s="19">
        <f t="shared" ca="1" si="3"/>
        <v>7.838686651314708E-3</v>
      </c>
      <c r="H14" s="19">
        <f ca="1">IFERROR(IRR((J14,L14:CK14),0),0)</f>
        <v>7.4123628052753521E-3</v>
      </c>
      <c r="I14" s="55">
        <f t="shared" ca="1" si="4"/>
        <v>-4.2632384603935591E-4</v>
      </c>
      <c r="J14" s="18">
        <f t="shared" ca="1" si="5"/>
        <v>-98.400068096723359</v>
      </c>
      <c r="K14" s="29">
        <f t="shared" ca="1" si="6"/>
        <v>-98.275499999999994</v>
      </c>
      <c r="L14" s="9">
        <f t="shared" ca="1" si="16"/>
        <v>0.2</v>
      </c>
      <c r="M14" s="9">
        <f t="shared" ca="1" si="16"/>
        <v>0.2</v>
      </c>
      <c r="N14" s="9">
        <f t="shared" ca="1" si="16"/>
        <v>100.2</v>
      </c>
      <c r="O14" s="9">
        <f t="shared" ca="1" si="16"/>
        <v>0</v>
      </c>
      <c r="P14" s="9">
        <f t="shared" ca="1" si="16"/>
        <v>0</v>
      </c>
      <c r="Q14" s="9">
        <f t="shared" ca="1" si="16"/>
        <v>0</v>
      </c>
      <c r="R14" s="9">
        <f t="shared" ca="1" si="16"/>
        <v>0</v>
      </c>
      <c r="S14" s="9">
        <f t="shared" ca="1" si="16"/>
        <v>0</v>
      </c>
      <c r="T14" s="9">
        <f t="shared" ca="1" si="16"/>
        <v>0</v>
      </c>
      <c r="U14" s="9">
        <f t="shared" ca="1" si="16"/>
        <v>0</v>
      </c>
      <c r="V14" s="9">
        <f t="shared" ca="1" si="17"/>
        <v>0</v>
      </c>
      <c r="W14" s="9">
        <f t="shared" ca="1" si="17"/>
        <v>0</v>
      </c>
      <c r="X14" s="9">
        <f t="shared" ca="1" si="17"/>
        <v>0</v>
      </c>
      <c r="Y14" s="9">
        <f t="shared" ca="1" si="17"/>
        <v>0</v>
      </c>
      <c r="Z14" s="9">
        <f t="shared" ca="1" si="17"/>
        <v>0</v>
      </c>
      <c r="AA14" s="9">
        <f t="shared" ca="1" si="17"/>
        <v>0</v>
      </c>
      <c r="AB14" s="9">
        <f t="shared" ca="1" si="17"/>
        <v>0</v>
      </c>
      <c r="AC14" s="9">
        <f t="shared" ca="1" si="17"/>
        <v>0</v>
      </c>
      <c r="AD14" s="9">
        <f t="shared" ca="1" si="17"/>
        <v>0</v>
      </c>
      <c r="AE14" s="9">
        <f t="shared" ca="1" si="17"/>
        <v>0</v>
      </c>
      <c r="AF14" s="9">
        <f t="shared" ca="1" si="18"/>
        <v>0</v>
      </c>
      <c r="AG14" s="9">
        <f t="shared" ca="1" si="18"/>
        <v>0</v>
      </c>
      <c r="AH14" s="9">
        <f t="shared" ca="1" si="18"/>
        <v>0</v>
      </c>
      <c r="AI14" s="9">
        <f t="shared" ca="1" si="18"/>
        <v>0</v>
      </c>
      <c r="AJ14" s="9">
        <f t="shared" ca="1" si="18"/>
        <v>0</v>
      </c>
      <c r="AK14" s="9">
        <f t="shared" ca="1" si="18"/>
        <v>0</v>
      </c>
      <c r="AL14" s="9">
        <f t="shared" ca="1" si="18"/>
        <v>0</v>
      </c>
      <c r="AM14" s="9">
        <f t="shared" ca="1" si="18"/>
        <v>0</v>
      </c>
      <c r="AN14" s="9">
        <f t="shared" ca="1" si="18"/>
        <v>0</v>
      </c>
      <c r="AO14" s="9">
        <f t="shared" ca="1" si="18"/>
        <v>0</v>
      </c>
      <c r="AP14" s="9">
        <f t="shared" ca="1" si="19"/>
        <v>0</v>
      </c>
      <c r="AQ14" s="9">
        <f t="shared" ca="1" si="19"/>
        <v>0</v>
      </c>
      <c r="AR14" s="9">
        <f t="shared" ca="1" si="19"/>
        <v>0</v>
      </c>
      <c r="AS14" s="9">
        <f t="shared" ca="1" si="19"/>
        <v>0</v>
      </c>
      <c r="AT14" s="9">
        <f t="shared" ca="1" si="19"/>
        <v>0</v>
      </c>
      <c r="AU14" s="9">
        <f t="shared" ca="1" si="19"/>
        <v>0</v>
      </c>
      <c r="AV14" s="9">
        <f t="shared" ca="1" si="19"/>
        <v>0</v>
      </c>
      <c r="AW14" s="9">
        <f t="shared" ca="1" si="19"/>
        <v>0</v>
      </c>
      <c r="AX14" s="9">
        <f t="shared" ca="1" si="19"/>
        <v>0</v>
      </c>
      <c r="AY14" s="9">
        <f t="shared" ca="1" si="19"/>
        <v>0</v>
      </c>
      <c r="AZ14" s="9">
        <f t="shared" ca="1" si="20"/>
        <v>0</v>
      </c>
      <c r="BA14" s="9">
        <f t="shared" ca="1" si="20"/>
        <v>0</v>
      </c>
      <c r="BB14" s="9">
        <f t="shared" ca="1" si="20"/>
        <v>0</v>
      </c>
      <c r="BC14" s="9">
        <f t="shared" ca="1" si="20"/>
        <v>0</v>
      </c>
      <c r="BD14" s="9">
        <f t="shared" ca="1" si="20"/>
        <v>0</v>
      </c>
      <c r="BE14" s="9">
        <f t="shared" ca="1" si="20"/>
        <v>0</v>
      </c>
      <c r="BF14" s="9">
        <f t="shared" ca="1" si="20"/>
        <v>0</v>
      </c>
      <c r="BG14" s="9">
        <f t="shared" ca="1" si="20"/>
        <v>0</v>
      </c>
      <c r="BH14" s="9">
        <f t="shared" ca="1" si="20"/>
        <v>0</v>
      </c>
      <c r="BI14" s="9">
        <f t="shared" ca="1" si="20"/>
        <v>0</v>
      </c>
      <c r="BJ14" s="9">
        <f t="shared" ca="1" si="21"/>
        <v>0</v>
      </c>
      <c r="BK14" s="9">
        <f t="shared" ca="1" si="21"/>
        <v>0</v>
      </c>
      <c r="BL14" s="9">
        <f t="shared" ca="1" si="21"/>
        <v>0</v>
      </c>
      <c r="BM14" s="9">
        <f t="shared" ca="1" si="21"/>
        <v>0</v>
      </c>
      <c r="BN14" s="9">
        <f t="shared" ca="1" si="21"/>
        <v>0</v>
      </c>
      <c r="BO14" s="9">
        <f t="shared" ca="1" si="21"/>
        <v>0</v>
      </c>
      <c r="BP14" s="9">
        <f t="shared" ca="1" si="21"/>
        <v>0</v>
      </c>
      <c r="BQ14" s="9">
        <f t="shared" ca="1" si="21"/>
        <v>0</v>
      </c>
      <c r="BR14" s="9">
        <f t="shared" ca="1" si="21"/>
        <v>0</v>
      </c>
      <c r="BS14" s="9">
        <f t="shared" ca="1" si="21"/>
        <v>0</v>
      </c>
      <c r="BT14" s="9">
        <f t="shared" ca="1" si="22"/>
        <v>0</v>
      </c>
      <c r="BU14" s="9">
        <f t="shared" ca="1" si="22"/>
        <v>0</v>
      </c>
      <c r="BV14" s="9">
        <f t="shared" ca="1" si="22"/>
        <v>0</v>
      </c>
      <c r="BW14" s="9">
        <f t="shared" ca="1" si="22"/>
        <v>0</v>
      </c>
      <c r="BX14" s="9">
        <f t="shared" ca="1" si="22"/>
        <v>0</v>
      </c>
      <c r="BY14" s="9">
        <f t="shared" ca="1" si="22"/>
        <v>0</v>
      </c>
      <c r="BZ14" s="9">
        <f t="shared" ca="1" si="22"/>
        <v>0</v>
      </c>
      <c r="CA14" s="9">
        <f t="shared" ca="1" si="22"/>
        <v>0</v>
      </c>
      <c r="CB14" s="9">
        <f t="shared" ca="1" si="22"/>
        <v>0</v>
      </c>
      <c r="CC14" s="9">
        <f t="shared" ca="1" si="22"/>
        <v>0</v>
      </c>
      <c r="CD14" s="9">
        <f t="shared" ca="1" si="23"/>
        <v>0</v>
      </c>
      <c r="CE14" s="9">
        <f t="shared" ca="1" si="23"/>
        <v>0</v>
      </c>
      <c r="CF14" s="9">
        <f t="shared" ca="1" si="23"/>
        <v>0</v>
      </c>
      <c r="CG14" s="9">
        <f t="shared" ca="1" si="23"/>
        <v>0</v>
      </c>
      <c r="CH14" s="9">
        <f t="shared" ca="1" si="23"/>
        <v>0</v>
      </c>
      <c r="CI14" s="9">
        <f t="shared" ca="1" si="23"/>
        <v>0</v>
      </c>
      <c r="CJ14" s="9">
        <f t="shared" ca="1" si="23"/>
        <v>0</v>
      </c>
      <c r="CK14" s="30">
        <f t="shared" ca="1" si="23"/>
        <v>0</v>
      </c>
      <c r="CN14" s="9">
        <v>5.5</v>
      </c>
      <c r="CO14" s="17">
        <v>0.05</v>
      </c>
      <c r="CP14" s="17">
        <v>-2.2963134807414128E-2</v>
      </c>
      <c r="CQ14" s="17">
        <v>-1.3187304748402906E-2</v>
      </c>
      <c r="CR14" s="17">
        <v>4.5324190126344284E-4</v>
      </c>
      <c r="CS14" s="17">
        <f t="shared" si="15"/>
        <v>1.4302802345446411E-2</v>
      </c>
      <c r="EC14" s="9">
        <f ca="1"/>
        <v>1.1939999997083844E-2</v>
      </c>
      <c r="ED14" s="9">
        <f ca="1"/>
        <v>1.1819999994167807E-2</v>
      </c>
      <c r="EE14" s="9">
        <f ca="1"/>
        <v>1.2059999999999878E-2</v>
      </c>
    </row>
    <row r="15" spans="1:135" x14ac:dyDescent="0.45">
      <c r="A15" s="8">
        <f ca="1"/>
        <v>1.5</v>
      </c>
      <c r="B15" s="58">
        <f ca="1"/>
        <v>3.0000000000000001E-3</v>
      </c>
      <c r="C15" s="18">
        <f ca="1"/>
        <v>98.445499999999996</v>
      </c>
      <c r="D15" s="18">
        <f t="shared" ca="1" si="0"/>
        <v>98.695658212168354</v>
      </c>
      <c r="E15" s="18">
        <f t="shared" ca="1" si="1"/>
        <v>0.25015821216835832</v>
      </c>
      <c r="F15" s="18">
        <f t="shared" ca="1" si="2"/>
        <v>0.25015821216835832</v>
      </c>
      <c r="G15" s="19">
        <f t="shared" ca="1" si="3"/>
        <v>8.2675815177191136E-3</v>
      </c>
      <c r="H15" s="19">
        <f ca="1">IFERROR(IRR((J15,L15:CK15),0),0)</f>
        <v>7.4124201568748216E-3</v>
      </c>
      <c r="I15" s="55">
        <f t="shared" ca="1" si="4"/>
        <v>-8.5516136084429206E-4</v>
      </c>
      <c r="J15" s="18">
        <f t="shared" ca="1" si="5"/>
        <v>-98.695658212168354</v>
      </c>
      <c r="K15" s="29">
        <f t="shared" ca="1" si="6"/>
        <v>-98.445499999999996</v>
      </c>
      <c r="L15" s="9">
        <f t="shared" ca="1" si="16"/>
        <v>0.3</v>
      </c>
      <c r="M15" s="9">
        <f t="shared" ca="1" si="16"/>
        <v>0.3</v>
      </c>
      <c r="N15" s="9">
        <f t="shared" ca="1" si="16"/>
        <v>100.29999999999998</v>
      </c>
      <c r="O15" s="9">
        <f t="shared" ca="1" si="16"/>
        <v>0</v>
      </c>
      <c r="P15" s="9">
        <f t="shared" ca="1" si="16"/>
        <v>0</v>
      </c>
      <c r="Q15" s="9">
        <f t="shared" ca="1" si="16"/>
        <v>0</v>
      </c>
      <c r="R15" s="9">
        <f t="shared" ca="1" si="16"/>
        <v>0</v>
      </c>
      <c r="S15" s="9">
        <f t="shared" ca="1" si="16"/>
        <v>0</v>
      </c>
      <c r="T15" s="9">
        <f t="shared" ca="1" si="16"/>
        <v>0</v>
      </c>
      <c r="U15" s="9">
        <f t="shared" ca="1" si="16"/>
        <v>0</v>
      </c>
      <c r="V15" s="9">
        <f t="shared" ca="1" si="17"/>
        <v>0</v>
      </c>
      <c r="W15" s="9">
        <f t="shared" ca="1" si="17"/>
        <v>0</v>
      </c>
      <c r="X15" s="9">
        <f t="shared" ca="1" si="17"/>
        <v>0</v>
      </c>
      <c r="Y15" s="9">
        <f t="shared" ca="1" si="17"/>
        <v>0</v>
      </c>
      <c r="Z15" s="9">
        <f t="shared" ca="1" si="17"/>
        <v>0</v>
      </c>
      <c r="AA15" s="9">
        <f t="shared" ca="1" si="17"/>
        <v>0</v>
      </c>
      <c r="AB15" s="9">
        <f t="shared" ca="1" si="17"/>
        <v>0</v>
      </c>
      <c r="AC15" s="9">
        <f t="shared" ca="1" si="17"/>
        <v>0</v>
      </c>
      <c r="AD15" s="9">
        <f t="shared" ca="1" si="17"/>
        <v>0</v>
      </c>
      <c r="AE15" s="9">
        <f t="shared" ca="1" si="17"/>
        <v>0</v>
      </c>
      <c r="AF15" s="9">
        <f t="shared" ca="1" si="18"/>
        <v>0</v>
      </c>
      <c r="AG15" s="9">
        <f t="shared" ca="1" si="18"/>
        <v>0</v>
      </c>
      <c r="AH15" s="9">
        <f t="shared" ca="1" si="18"/>
        <v>0</v>
      </c>
      <c r="AI15" s="9">
        <f t="shared" ca="1" si="18"/>
        <v>0</v>
      </c>
      <c r="AJ15" s="9">
        <f t="shared" ca="1" si="18"/>
        <v>0</v>
      </c>
      <c r="AK15" s="9">
        <f t="shared" ca="1" si="18"/>
        <v>0</v>
      </c>
      <c r="AL15" s="9">
        <f t="shared" ca="1" si="18"/>
        <v>0</v>
      </c>
      <c r="AM15" s="9">
        <f t="shared" ca="1" si="18"/>
        <v>0</v>
      </c>
      <c r="AN15" s="9">
        <f t="shared" ca="1" si="18"/>
        <v>0</v>
      </c>
      <c r="AO15" s="9">
        <f t="shared" ca="1" si="18"/>
        <v>0</v>
      </c>
      <c r="AP15" s="9">
        <f t="shared" ca="1" si="19"/>
        <v>0</v>
      </c>
      <c r="AQ15" s="9">
        <f t="shared" ca="1" si="19"/>
        <v>0</v>
      </c>
      <c r="AR15" s="9">
        <f t="shared" ca="1" si="19"/>
        <v>0</v>
      </c>
      <c r="AS15" s="9">
        <f t="shared" ca="1" si="19"/>
        <v>0</v>
      </c>
      <c r="AT15" s="9">
        <f t="shared" ca="1" si="19"/>
        <v>0</v>
      </c>
      <c r="AU15" s="9">
        <f t="shared" ca="1" si="19"/>
        <v>0</v>
      </c>
      <c r="AV15" s="9">
        <f t="shared" ca="1" si="19"/>
        <v>0</v>
      </c>
      <c r="AW15" s="9">
        <f t="shared" ca="1" si="19"/>
        <v>0</v>
      </c>
      <c r="AX15" s="9">
        <f t="shared" ca="1" si="19"/>
        <v>0</v>
      </c>
      <c r="AY15" s="9">
        <f t="shared" ca="1" si="19"/>
        <v>0</v>
      </c>
      <c r="AZ15" s="9">
        <f t="shared" ca="1" si="20"/>
        <v>0</v>
      </c>
      <c r="BA15" s="9">
        <f t="shared" ca="1" si="20"/>
        <v>0</v>
      </c>
      <c r="BB15" s="9">
        <f t="shared" ca="1" si="20"/>
        <v>0</v>
      </c>
      <c r="BC15" s="9">
        <f t="shared" ca="1" si="20"/>
        <v>0</v>
      </c>
      <c r="BD15" s="9">
        <f t="shared" ca="1" si="20"/>
        <v>0</v>
      </c>
      <c r="BE15" s="9">
        <f t="shared" ca="1" si="20"/>
        <v>0</v>
      </c>
      <c r="BF15" s="9">
        <f t="shared" ca="1" si="20"/>
        <v>0</v>
      </c>
      <c r="BG15" s="9">
        <f t="shared" ca="1" si="20"/>
        <v>0</v>
      </c>
      <c r="BH15" s="9">
        <f t="shared" ca="1" si="20"/>
        <v>0</v>
      </c>
      <c r="BI15" s="9">
        <f t="shared" ca="1" si="20"/>
        <v>0</v>
      </c>
      <c r="BJ15" s="9">
        <f t="shared" ca="1" si="21"/>
        <v>0</v>
      </c>
      <c r="BK15" s="9">
        <f t="shared" ca="1" si="21"/>
        <v>0</v>
      </c>
      <c r="BL15" s="9">
        <f t="shared" ca="1" si="21"/>
        <v>0</v>
      </c>
      <c r="BM15" s="9">
        <f t="shared" ca="1" si="21"/>
        <v>0</v>
      </c>
      <c r="BN15" s="9">
        <f t="shared" ca="1" si="21"/>
        <v>0</v>
      </c>
      <c r="BO15" s="9">
        <f t="shared" ca="1" si="21"/>
        <v>0</v>
      </c>
      <c r="BP15" s="9">
        <f t="shared" ca="1" si="21"/>
        <v>0</v>
      </c>
      <c r="BQ15" s="9">
        <f t="shared" ca="1" si="21"/>
        <v>0</v>
      </c>
      <c r="BR15" s="9">
        <f t="shared" ca="1" si="21"/>
        <v>0</v>
      </c>
      <c r="BS15" s="9">
        <f t="shared" ca="1" si="21"/>
        <v>0</v>
      </c>
      <c r="BT15" s="9">
        <f t="shared" ca="1" si="22"/>
        <v>0</v>
      </c>
      <c r="BU15" s="9">
        <f t="shared" ca="1" si="22"/>
        <v>0</v>
      </c>
      <c r="BV15" s="9">
        <f t="shared" ca="1" si="22"/>
        <v>0</v>
      </c>
      <c r="BW15" s="9">
        <f t="shared" ca="1" si="22"/>
        <v>0</v>
      </c>
      <c r="BX15" s="9">
        <f t="shared" ca="1" si="22"/>
        <v>0</v>
      </c>
      <c r="BY15" s="9">
        <f t="shared" ca="1" si="22"/>
        <v>0</v>
      </c>
      <c r="BZ15" s="9">
        <f t="shared" ca="1" si="22"/>
        <v>0</v>
      </c>
      <c r="CA15" s="9">
        <f t="shared" ca="1" si="22"/>
        <v>0</v>
      </c>
      <c r="CB15" s="9">
        <f t="shared" ca="1" si="22"/>
        <v>0</v>
      </c>
      <c r="CC15" s="9">
        <f t="shared" ca="1" si="22"/>
        <v>0</v>
      </c>
      <c r="CD15" s="9">
        <f t="shared" ca="1" si="23"/>
        <v>0</v>
      </c>
      <c r="CE15" s="9">
        <f t="shared" ca="1" si="23"/>
        <v>0</v>
      </c>
      <c r="CF15" s="9">
        <f t="shared" ca="1" si="23"/>
        <v>0</v>
      </c>
      <c r="CG15" s="9">
        <f t="shared" ca="1" si="23"/>
        <v>0</v>
      </c>
      <c r="CH15" s="9">
        <f t="shared" ca="1" si="23"/>
        <v>0</v>
      </c>
      <c r="CI15" s="9">
        <f t="shared" ca="1" si="23"/>
        <v>0</v>
      </c>
      <c r="CJ15" s="9">
        <f t="shared" ca="1" si="23"/>
        <v>0</v>
      </c>
      <c r="CK15" s="30">
        <f t="shared" ca="1" si="23"/>
        <v>0</v>
      </c>
      <c r="CN15" s="9">
        <v>6</v>
      </c>
      <c r="CO15" s="17">
        <v>0.05</v>
      </c>
      <c r="CP15" s="17">
        <v>-2.1941943225206404E-2</v>
      </c>
      <c r="CQ15" s="17">
        <v>-1.3438879936310624E-2</v>
      </c>
      <c r="CR15" s="17">
        <v>4.1618955107554774E-4</v>
      </c>
      <c r="CS15" s="17">
        <f t="shared" si="15"/>
        <v>1.5035366389558522E-2</v>
      </c>
      <c r="EC15" s="9">
        <f ca="1"/>
        <v>1.2244999999999985E-2</v>
      </c>
      <c r="ED15" s="9">
        <f ca="1"/>
        <v>1.2129999999999998E-2</v>
      </c>
      <c r="EE15" s="9">
        <f ca="1"/>
        <v>1.2359999999999975E-2</v>
      </c>
    </row>
    <row r="16" spans="1:135" x14ac:dyDescent="0.45">
      <c r="A16" s="8">
        <f ca="1"/>
        <v>1.5</v>
      </c>
      <c r="B16" s="58">
        <f ca="1"/>
        <v>1E-3</v>
      </c>
      <c r="C16" s="18">
        <f ca="1"/>
        <v>97.781000000000006</v>
      </c>
      <c r="D16" s="18">
        <f t="shared" ca="1" si="0"/>
        <v>98.104477981278322</v>
      </c>
      <c r="E16" s="18">
        <f t="shared" ca="1" si="1"/>
        <v>0.32347798127831595</v>
      </c>
      <c r="F16" s="18">
        <f t="shared" ca="1" si="2"/>
        <v>0.32347798127831595</v>
      </c>
      <c r="G16" s="19">
        <f t="shared" ca="1" si="3"/>
        <v>8.5231085427446285E-3</v>
      </c>
      <c r="H16" s="19">
        <f ca="1">IFERROR(IRR((J16,L16:CK16),0),0)</f>
        <v>7.4123052236094722E-3</v>
      </c>
      <c r="I16" s="55">
        <f t="shared" ca="1" si="4"/>
        <v>-1.1108033191351563E-3</v>
      </c>
      <c r="J16" s="18">
        <f t="shared" ca="1" si="5"/>
        <v>-98.104477981278322</v>
      </c>
      <c r="K16" s="29">
        <f t="shared" ca="1" si="6"/>
        <v>-97.781000000000006</v>
      </c>
      <c r="L16" s="9">
        <f t="shared" ca="1" si="16"/>
        <v>0.1</v>
      </c>
      <c r="M16" s="9">
        <f t="shared" ca="1" si="16"/>
        <v>0.1</v>
      </c>
      <c r="N16" s="9">
        <f t="shared" ca="1" si="16"/>
        <v>100.1</v>
      </c>
      <c r="O16" s="9">
        <f t="shared" ca="1" si="16"/>
        <v>0</v>
      </c>
      <c r="P16" s="9">
        <f t="shared" ca="1" si="16"/>
        <v>0</v>
      </c>
      <c r="Q16" s="9">
        <f t="shared" ca="1" si="16"/>
        <v>0</v>
      </c>
      <c r="R16" s="9">
        <f t="shared" ca="1" si="16"/>
        <v>0</v>
      </c>
      <c r="S16" s="9">
        <f t="shared" ca="1" si="16"/>
        <v>0</v>
      </c>
      <c r="T16" s="9">
        <f t="shared" ca="1" si="16"/>
        <v>0</v>
      </c>
      <c r="U16" s="9">
        <f t="shared" ca="1" si="16"/>
        <v>0</v>
      </c>
      <c r="V16" s="9">
        <f t="shared" ca="1" si="17"/>
        <v>0</v>
      </c>
      <c r="W16" s="9">
        <f t="shared" ca="1" si="17"/>
        <v>0</v>
      </c>
      <c r="X16" s="9">
        <f t="shared" ca="1" si="17"/>
        <v>0</v>
      </c>
      <c r="Y16" s="9">
        <f t="shared" ca="1" si="17"/>
        <v>0</v>
      </c>
      <c r="Z16" s="9">
        <f t="shared" ca="1" si="17"/>
        <v>0</v>
      </c>
      <c r="AA16" s="9">
        <f t="shared" ca="1" si="17"/>
        <v>0</v>
      </c>
      <c r="AB16" s="9">
        <f t="shared" ca="1" si="17"/>
        <v>0</v>
      </c>
      <c r="AC16" s="9">
        <f t="shared" ca="1" si="17"/>
        <v>0</v>
      </c>
      <c r="AD16" s="9">
        <f t="shared" ca="1" si="17"/>
        <v>0</v>
      </c>
      <c r="AE16" s="9">
        <f t="shared" ca="1" si="17"/>
        <v>0</v>
      </c>
      <c r="AF16" s="9">
        <f t="shared" ca="1" si="18"/>
        <v>0</v>
      </c>
      <c r="AG16" s="9">
        <f t="shared" ca="1" si="18"/>
        <v>0</v>
      </c>
      <c r="AH16" s="9">
        <f t="shared" ca="1" si="18"/>
        <v>0</v>
      </c>
      <c r="AI16" s="9">
        <f t="shared" ca="1" si="18"/>
        <v>0</v>
      </c>
      <c r="AJ16" s="9">
        <f t="shared" ca="1" si="18"/>
        <v>0</v>
      </c>
      <c r="AK16" s="9">
        <f t="shared" ca="1" si="18"/>
        <v>0</v>
      </c>
      <c r="AL16" s="9">
        <f t="shared" ca="1" si="18"/>
        <v>0</v>
      </c>
      <c r="AM16" s="9">
        <f t="shared" ca="1" si="18"/>
        <v>0</v>
      </c>
      <c r="AN16" s="9">
        <f t="shared" ca="1" si="18"/>
        <v>0</v>
      </c>
      <c r="AO16" s="9">
        <f t="shared" ca="1" si="18"/>
        <v>0</v>
      </c>
      <c r="AP16" s="9">
        <f t="shared" ca="1" si="19"/>
        <v>0</v>
      </c>
      <c r="AQ16" s="9">
        <f t="shared" ca="1" si="19"/>
        <v>0</v>
      </c>
      <c r="AR16" s="9">
        <f t="shared" ca="1" si="19"/>
        <v>0</v>
      </c>
      <c r="AS16" s="9">
        <f t="shared" ca="1" si="19"/>
        <v>0</v>
      </c>
      <c r="AT16" s="9">
        <f t="shared" ca="1" si="19"/>
        <v>0</v>
      </c>
      <c r="AU16" s="9">
        <f t="shared" ca="1" si="19"/>
        <v>0</v>
      </c>
      <c r="AV16" s="9">
        <f t="shared" ca="1" si="19"/>
        <v>0</v>
      </c>
      <c r="AW16" s="9">
        <f t="shared" ca="1" si="19"/>
        <v>0</v>
      </c>
      <c r="AX16" s="9">
        <f t="shared" ca="1" si="19"/>
        <v>0</v>
      </c>
      <c r="AY16" s="9">
        <f t="shared" ca="1" si="19"/>
        <v>0</v>
      </c>
      <c r="AZ16" s="9">
        <f t="shared" ca="1" si="20"/>
        <v>0</v>
      </c>
      <c r="BA16" s="9">
        <f t="shared" ca="1" si="20"/>
        <v>0</v>
      </c>
      <c r="BB16" s="9">
        <f t="shared" ca="1" si="20"/>
        <v>0</v>
      </c>
      <c r="BC16" s="9">
        <f t="shared" ca="1" si="20"/>
        <v>0</v>
      </c>
      <c r="BD16" s="9">
        <f t="shared" ca="1" si="20"/>
        <v>0</v>
      </c>
      <c r="BE16" s="9">
        <f t="shared" ca="1" si="20"/>
        <v>0</v>
      </c>
      <c r="BF16" s="9">
        <f t="shared" ca="1" si="20"/>
        <v>0</v>
      </c>
      <c r="BG16" s="9">
        <f t="shared" ca="1" si="20"/>
        <v>0</v>
      </c>
      <c r="BH16" s="9">
        <f t="shared" ca="1" si="20"/>
        <v>0</v>
      </c>
      <c r="BI16" s="9">
        <f t="shared" ca="1" si="20"/>
        <v>0</v>
      </c>
      <c r="BJ16" s="9">
        <f t="shared" ca="1" si="21"/>
        <v>0</v>
      </c>
      <c r="BK16" s="9">
        <f t="shared" ca="1" si="21"/>
        <v>0</v>
      </c>
      <c r="BL16" s="9">
        <f t="shared" ca="1" si="21"/>
        <v>0</v>
      </c>
      <c r="BM16" s="9">
        <f t="shared" ca="1" si="21"/>
        <v>0</v>
      </c>
      <c r="BN16" s="9">
        <f t="shared" ca="1" si="21"/>
        <v>0</v>
      </c>
      <c r="BO16" s="9">
        <f t="shared" ca="1" si="21"/>
        <v>0</v>
      </c>
      <c r="BP16" s="9">
        <f t="shared" ca="1" si="21"/>
        <v>0</v>
      </c>
      <c r="BQ16" s="9">
        <f t="shared" ca="1" si="21"/>
        <v>0</v>
      </c>
      <c r="BR16" s="9">
        <f t="shared" ca="1" si="21"/>
        <v>0</v>
      </c>
      <c r="BS16" s="9">
        <f t="shared" ca="1" si="21"/>
        <v>0</v>
      </c>
      <c r="BT16" s="9">
        <f t="shared" ca="1" si="22"/>
        <v>0</v>
      </c>
      <c r="BU16" s="9">
        <f t="shared" ca="1" si="22"/>
        <v>0</v>
      </c>
      <c r="BV16" s="9">
        <f t="shared" ca="1" si="22"/>
        <v>0</v>
      </c>
      <c r="BW16" s="9">
        <f t="shared" ca="1" si="22"/>
        <v>0</v>
      </c>
      <c r="BX16" s="9">
        <f t="shared" ca="1" si="22"/>
        <v>0</v>
      </c>
      <c r="BY16" s="9">
        <f t="shared" ca="1" si="22"/>
        <v>0</v>
      </c>
      <c r="BZ16" s="9">
        <f t="shared" ca="1" si="22"/>
        <v>0</v>
      </c>
      <c r="CA16" s="9">
        <f t="shared" ca="1" si="22"/>
        <v>0</v>
      </c>
      <c r="CB16" s="9">
        <f t="shared" ca="1" si="22"/>
        <v>0</v>
      </c>
      <c r="CC16" s="9">
        <f t="shared" ca="1" si="22"/>
        <v>0</v>
      </c>
      <c r="CD16" s="9">
        <f t="shared" ca="1" si="23"/>
        <v>0</v>
      </c>
      <c r="CE16" s="9">
        <f t="shared" ca="1" si="23"/>
        <v>0</v>
      </c>
      <c r="CF16" s="9">
        <f t="shared" ca="1" si="23"/>
        <v>0</v>
      </c>
      <c r="CG16" s="9">
        <f t="shared" ca="1" si="23"/>
        <v>0</v>
      </c>
      <c r="CH16" s="9">
        <f t="shared" ca="1" si="23"/>
        <v>0</v>
      </c>
      <c r="CI16" s="9">
        <f t="shared" ca="1" si="23"/>
        <v>0</v>
      </c>
      <c r="CJ16" s="9">
        <f t="shared" ca="1" si="23"/>
        <v>0</v>
      </c>
      <c r="CK16" s="30">
        <f t="shared" ca="1" si="23"/>
        <v>0</v>
      </c>
      <c r="CN16" s="9">
        <v>6.5</v>
      </c>
      <c r="CO16" s="17">
        <v>0.05</v>
      </c>
      <c r="CP16" s="17">
        <v>-2.0987591195921616E-2</v>
      </c>
      <c r="CQ16" s="17">
        <v>-1.3611751236395303E-2</v>
      </c>
      <c r="CR16" s="17">
        <v>3.8453031910728124E-4</v>
      </c>
      <c r="CS16" s="17">
        <f t="shared" si="15"/>
        <v>1.5785187886790366E-2</v>
      </c>
      <c r="EC16" s="9">
        <f ca="1"/>
        <v>1.2270000000000005E-2</v>
      </c>
      <c r="ED16" s="9">
        <f ca="1"/>
        <v>1.215000000000001E-2</v>
      </c>
      <c r="EE16" s="9">
        <f ca="1"/>
        <v>1.2390000000000002E-2</v>
      </c>
    </row>
    <row r="17" spans="1:135" x14ac:dyDescent="0.45">
      <c r="A17" s="8">
        <f ca="1"/>
        <v>1.5</v>
      </c>
      <c r="B17" s="58">
        <f ca="1"/>
        <v>2E-3</v>
      </c>
      <c r="C17" s="18">
        <f ca="1"/>
        <v>97.972999999999999</v>
      </c>
      <c r="D17" s="18">
        <f t="shared" ca="1" si="0"/>
        <v>98.400068096723359</v>
      </c>
      <c r="E17" s="18">
        <f t="shared" ca="1" si="1"/>
        <v>0.42706809672336021</v>
      </c>
      <c r="F17" s="18">
        <f t="shared" ca="1" si="2"/>
        <v>0.42706809672336021</v>
      </c>
      <c r="G17" s="19">
        <f t="shared" ca="1" si="3"/>
        <v>8.8769776067809669E-3</v>
      </c>
      <c r="H17" s="19">
        <f ca="1">IFERROR(IRR((J17,L17:CK17),0),0)</f>
        <v>7.4123628052753521E-3</v>
      </c>
      <c r="I17" s="55">
        <f t="shared" ca="1" si="4"/>
        <v>-1.4646148015056148E-3</v>
      </c>
      <c r="J17" s="18">
        <f t="shared" ca="1" si="5"/>
        <v>-98.400068096723359</v>
      </c>
      <c r="K17" s="29">
        <f t="shared" ca="1" si="6"/>
        <v>-97.972999999999999</v>
      </c>
      <c r="L17" s="9">
        <f t="shared" ca="1" si="16"/>
        <v>0.2</v>
      </c>
      <c r="M17" s="9">
        <f t="shared" ca="1" si="16"/>
        <v>0.2</v>
      </c>
      <c r="N17" s="9">
        <f t="shared" ca="1" si="16"/>
        <v>100.2</v>
      </c>
      <c r="O17" s="9">
        <f t="shared" ca="1" si="16"/>
        <v>0</v>
      </c>
      <c r="P17" s="9">
        <f t="shared" ca="1" si="16"/>
        <v>0</v>
      </c>
      <c r="Q17" s="9">
        <f t="shared" ca="1" si="16"/>
        <v>0</v>
      </c>
      <c r="R17" s="9">
        <f t="shared" ca="1" si="16"/>
        <v>0</v>
      </c>
      <c r="S17" s="9">
        <f t="shared" ca="1" si="16"/>
        <v>0</v>
      </c>
      <c r="T17" s="9">
        <f t="shared" ca="1" si="16"/>
        <v>0</v>
      </c>
      <c r="U17" s="9">
        <f t="shared" ca="1" si="16"/>
        <v>0</v>
      </c>
      <c r="V17" s="9">
        <f t="shared" ca="1" si="17"/>
        <v>0</v>
      </c>
      <c r="W17" s="9">
        <f t="shared" ca="1" si="17"/>
        <v>0</v>
      </c>
      <c r="X17" s="9">
        <f t="shared" ca="1" si="17"/>
        <v>0</v>
      </c>
      <c r="Y17" s="9">
        <f t="shared" ca="1" si="17"/>
        <v>0</v>
      </c>
      <c r="Z17" s="9">
        <f t="shared" ca="1" si="17"/>
        <v>0</v>
      </c>
      <c r="AA17" s="9">
        <f t="shared" ca="1" si="17"/>
        <v>0</v>
      </c>
      <c r="AB17" s="9">
        <f t="shared" ca="1" si="17"/>
        <v>0</v>
      </c>
      <c r="AC17" s="9">
        <f t="shared" ca="1" si="17"/>
        <v>0</v>
      </c>
      <c r="AD17" s="9">
        <f t="shared" ca="1" si="17"/>
        <v>0</v>
      </c>
      <c r="AE17" s="9">
        <f t="shared" ca="1" si="17"/>
        <v>0</v>
      </c>
      <c r="AF17" s="9">
        <f t="shared" ca="1" si="18"/>
        <v>0</v>
      </c>
      <c r="AG17" s="9">
        <f t="shared" ca="1" si="18"/>
        <v>0</v>
      </c>
      <c r="AH17" s="9">
        <f t="shared" ca="1" si="18"/>
        <v>0</v>
      </c>
      <c r="AI17" s="9">
        <f t="shared" ca="1" si="18"/>
        <v>0</v>
      </c>
      <c r="AJ17" s="9">
        <f t="shared" ca="1" si="18"/>
        <v>0</v>
      </c>
      <c r="AK17" s="9">
        <f t="shared" ca="1" si="18"/>
        <v>0</v>
      </c>
      <c r="AL17" s="9">
        <f t="shared" ca="1" si="18"/>
        <v>0</v>
      </c>
      <c r="AM17" s="9">
        <f t="shared" ca="1" si="18"/>
        <v>0</v>
      </c>
      <c r="AN17" s="9">
        <f t="shared" ca="1" si="18"/>
        <v>0</v>
      </c>
      <c r="AO17" s="9">
        <f t="shared" ca="1" si="18"/>
        <v>0</v>
      </c>
      <c r="AP17" s="9">
        <f t="shared" ca="1" si="19"/>
        <v>0</v>
      </c>
      <c r="AQ17" s="9">
        <f t="shared" ca="1" si="19"/>
        <v>0</v>
      </c>
      <c r="AR17" s="9">
        <f t="shared" ca="1" si="19"/>
        <v>0</v>
      </c>
      <c r="AS17" s="9">
        <f t="shared" ca="1" si="19"/>
        <v>0</v>
      </c>
      <c r="AT17" s="9">
        <f t="shared" ca="1" si="19"/>
        <v>0</v>
      </c>
      <c r="AU17" s="9">
        <f t="shared" ca="1" si="19"/>
        <v>0</v>
      </c>
      <c r="AV17" s="9">
        <f t="shared" ca="1" si="19"/>
        <v>0</v>
      </c>
      <c r="AW17" s="9">
        <f t="shared" ca="1" si="19"/>
        <v>0</v>
      </c>
      <c r="AX17" s="9">
        <f t="shared" ca="1" si="19"/>
        <v>0</v>
      </c>
      <c r="AY17" s="9">
        <f t="shared" ca="1" si="19"/>
        <v>0</v>
      </c>
      <c r="AZ17" s="9">
        <f t="shared" ca="1" si="20"/>
        <v>0</v>
      </c>
      <c r="BA17" s="9">
        <f t="shared" ca="1" si="20"/>
        <v>0</v>
      </c>
      <c r="BB17" s="9">
        <f t="shared" ca="1" si="20"/>
        <v>0</v>
      </c>
      <c r="BC17" s="9">
        <f t="shared" ca="1" si="20"/>
        <v>0</v>
      </c>
      <c r="BD17" s="9">
        <f t="shared" ca="1" si="20"/>
        <v>0</v>
      </c>
      <c r="BE17" s="9">
        <f t="shared" ca="1" si="20"/>
        <v>0</v>
      </c>
      <c r="BF17" s="9">
        <f t="shared" ca="1" si="20"/>
        <v>0</v>
      </c>
      <c r="BG17" s="9">
        <f t="shared" ca="1" si="20"/>
        <v>0</v>
      </c>
      <c r="BH17" s="9">
        <f t="shared" ca="1" si="20"/>
        <v>0</v>
      </c>
      <c r="BI17" s="9">
        <f t="shared" ca="1" si="20"/>
        <v>0</v>
      </c>
      <c r="BJ17" s="9">
        <f t="shared" ca="1" si="21"/>
        <v>0</v>
      </c>
      <c r="BK17" s="9">
        <f t="shared" ca="1" si="21"/>
        <v>0</v>
      </c>
      <c r="BL17" s="9">
        <f t="shared" ca="1" si="21"/>
        <v>0</v>
      </c>
      <c r="BM17" s="9">
        <f t="shared" ca="1" si="21"/>
        <v>0</v>
      </c>
      <c r="BN17" s="9">
        <f t="shared" ca="1" si="21"/>
        <v>0</v>
      </c>
      <c r="BO17" s="9">
        <f t="shared" ca="1" si="21"/>
        <v>0</v>
      </c>
      <c r="BP17" s="9">
        <f t="shared" ca="1" si="21"/>
        <v>0</v>
      </c>
      <c r="BQ17" s="9">
        <f t="shared" ca="1" si="21"/>
        <v>0</v>
      </c>
      <c r="BR17" s="9">
        <f t="shared" ca="1" si="21"/>
        <v>0</v>
      </c>
      <c r="BS17" s="9">
        <f t="shared" ca="1" si="21"/>
        <v>0</v>
      </c>
      <c r="BT17" s="9">
        <f t="shared" ca="1" si="22"/>
        <v>0</v>
      </c>
      <c r="BU17" s="9">
        <f t="shared" ca="1" si="22"/>
        <v>0</v>
      </c>
      <c r="BV17" s="9">
        <f t="shared" ca="1" si="22"/>
        <v>0</v>
      </c>
      <c r="BW17" s="9">
        <f t="shared" ca="1" si="22"/>
        <v>0</v>
      </c>
      <c r="BX17" s="9">
        <f t="shared" ca="1" si="22"/>
        <v>0</v>
      </c>
      <c r="BY17" s="9">
        <f t="shared" ca="1" si="22"/>
        <v>0</v>
      </c>
      <c r="BZ17" s="9">
        <f t="shared" ca="1" si="22"/>
        <v>0</v>
      </c>
      <c r="CA17" s="9">
        <f t="shared" ca="1" si="22"/>
        <v>0</v>
      </c>
      <c r="CB17" s="9">
        <f t="shared" ca="1" si="22"/>
        <v>0</v>
      </c>
      <c r="CC17" s="9">
        <f t="shared" ca="1" si="22"/>
        <v>0</v>
      </c>
      <c r="CD17" s="9">
        <f t="shared" ca="1" si="23"/>
        <v>0</v>
      </c>
      <c r="CE17" s="9">
        <f t="shared" ca="1" si="23"/>
        <v>0</v>
      </c>
      <c r="CF17" s="9">
        <f t="shared" ca="1" si="23"/>
        <v>0</v>
      </c>
      <c r="CG17" s="9">
        <f t="shared" ca="1" si="23"/>
        <v>0</v>
      </c>
      <c r="CH17" s="9">
        <f t="shared" ca="1" si="23"/>
        <v>0</v>
      </c>
      <c r="CI17" s="9">
        <f t="shared" ca="1" si="23"/>
        <v>0</v>
      </c>
      <c r="CJ17" s="9">
        <f t="shared" ca="1" si="23"/>
        <v>0</v>
      </c>
      <c r="CK17" s="30">
        <f t="shared" ca="1" si="23"/>
        <v>0</v>
      </c>
      <c r="CN17" s="9">
        <v>7</v>
      </c>
      <c r="CO17" s="17">
        <v>0.05</v>
      </c>
      <c r="CP17" s="17">
        <v>-2.0094940826421423E-2</v>
      </c>
      <c r="CQ17" s="17">
        <v>-1.3717024050220046E-2</v>
      </c>
      <c r="CR17" s="17">
        <v>3.5723968606736852E-4</v>
      </c>
      <c r="CS17" s="17">
        <f t="shared" si="15"/>
        <v>1.6545274809425903E-2</v>
      </c>
      <c r="EC17" s="9">
        <f ca="1"/>
        <v>1.2279999999999975E-2</v>
      </c>
      <c r="ED17" s="9">
        <f ca="1"/>
        <v>1.2159999999999947E-2</v>
      </c>
      <c r="EE17" s="9">
        <f ca="1"/>
        <v>1.2400000000000001E-2</v>
      </c>
    </row>
    <row r="18" spans="1:135" x14ac:dyDescent="0.45">
      <c r="A18" s="8">
        <f ca="1"/>
        <v>1.5</v>
      </c>
      <c r="B18" s="58">
        <f ca="1"/>
        <v>1E-3</v>
      </c>
      <c r="C18" s="18">
        <f ca="1"/>
        <v>97.774000000000001</v>
      </c>
      <c r="D18" s="18">
        <f t="shared" ca="1" si="0"/>
        <v>98.104477981278322</v>
      </c>
      <c r="E18" s="18">
        <f t="shared" ca="1" si="1"/>
        <v>0.33047798127832095</v>
      </c>
      <c r="F18" s="18">
        <f t="shared" ca="1" si="2"/>
        <v>0.33047798127832095</v>
      </c>
      <c r="G18" s="19">
        <f t="shared" ca="1" si="3"/>
        <v>8.547200289228396E-3</v>
      </c>
      <c r="H18" s="19">
        <f ca="1">IFERROR(IRR((J18,L18:CK18),0),0)</f>
        <v>7.4123052236094722E-3</v>
      </c>
      <c r="I18" s="55">
        <f t="shared" ca="1" si="4"/>
        <v>-1.1348950656189238E-3</v>
      </c>
      <c r="J18" s="18">
        <f t="shared" ca="1" si="5"/>
        <v>-98.104477981278322</v>
      </c>
      <c r="K18" s="29">
        <f t="shared" ca="1" si="6"/>
        <v>-97.774000000000001</v>
      </c>
      <c r="L18" s="9">
        <f t="shared" ca="1" si="16"/>
        <v>0.1</v>
      </c>
      <c r="M18" s="9">
        <f t="shared" ca="1" si="16"/>
        <v>0.1</v>
      </c>
      <c r="N18" s="9">
        <f t="shared" ca="1" si="16"/>
        <v>100.1</v>
      </c>
      <c r="O18" s="9">
        <f t="shared" ca="1" si="16"/>
        <v>0</v>
      </c>
      <c r="P18" s="9">
        <f t="shared" ca="1" si="16"/>
        <v>0</v>
      </c>
      <c r="Q18" s="9">
        <f t="shared" ca="1" si="16"/>
        <v>0</v>
      </c>
      <c r="R18" s="9">
        <f t="shared" ca="1" si="16"/>
        <v>0</v>
      </c>
      <c r="S18" s="9">
        <f t="shared" ca="1" si="16"/>
        <v>0</v>
      </c>
      <c r="T18" s="9">
        <f t="shared" ca="1" si="16"/>
        <v>0</v>
      </c>
      <c r="U18" s="9">
        <f t="shared" ca="1" si="16"/>
        <v>0</v>
      </c>
      <c r="V18" s="9">
        <f t="shared" ca="1" si="17"/>
        <v>0</v>
      </c>
      <c r="W18" s="9">
        <f t="shared" ca="1" si="17"/>
        <v>0</v>
      </c>
      <c r="X18" s="9">
        <f t="shared" ca="1" si="17"/>
        <v>0</v>
      </c>
      <c r="Y18" s="9">
        <f t="shared" ca="1" si="17"/>
        <v>0</v>
      </c>
      <c r="Z18" s="9">
        <f t="shared" ca="1" si="17"/>
        <v>0</v>
      </c>
      <c r="AA18" s="9">
        <f t="shared" ca="1" si="17"/>
        <v>0</v>
      </c>
      <c r="AB18" s="9">
        <f t="shared" ca="1" si="17"/>
        <v>0</v>
      </c>
      <c r="AC18" s="9">
        <f t="shared" ca="1" si="17"/>
        <v>0</v>
      </c>
      <c r="AD18" s="9">
        <f t="shared" ca="1" si="17"/>
        <v>0</v>
      </c>
      <c r="AE18" s="9">
        <f t="shared" ca="1" si="17"/>
        <v>0</v>
      </c>
      <c r="AF18" s="9">
        <f t="shared" ca="1" si="18"/>
        <v>0</v>
      </c>
      <c r="AG18" s="9">
        <f t="shared" ca="1" si="18"/>
        <v>0</v>
      </c>
      <c r="AH18" s="9">
        <f t="shared" ca="1" si="18"/>
        <v>0</v>
      </c>
      <c r="AI18" s="9">
        <f t="shared" ca="1" si="18"/>
        <v>0</v>
      </c>
      <c r="AJ18" s="9">
        <f t="shared" ca="1" si="18"/>
        <v>0</v>
      </c>
      <c r="AK18" s="9">
        <f t="shared" ca="1" si="18"/>
        <v>0</v>
      </c>
      <c r="AL18" s="9">
        <f t="shared" ca="1" si="18"/>
        <v>0</v>
      </c>
      <c r="AM18" s="9">
        <f t="shared" ca="1" si="18"/>
        <v>0</v>
      </c>
      <c r="AN18" s="9">
        <f t="shared" ca="1" si="18"/>
        <v>0</v>
      </c>
      <c r="AO18" s="9">
        <f t="shared" ca="1" si="18"/>
        <v>0</v>
      </c>
      <c r="AP18" s="9">
        <f t="shared" ca="1" si="19"/>
        <v>0</v>
      </c>
      <c r="AQ18" s="9">
        <f t="shared" ca="1" si="19"/>
        <v>0</v>
      </c>
      <c r="AR18" s="9">
        <f t="shared" ca="1" si="19"/>
        <v>0</v>
      </c>
      <c r="AS18" s="9">
        <f t="shared" ca="1" si="19"/>
        <v>0</v>
      </c>
      <c r="AT18" s="9">
        <f t="shared" ca="1" si="19"/>
        <v>0</v>
      </c>
      <c r="AU18" s="9">
        <f t="shared" ca="1" si="19"/>
        <v>0</v>
      </c>
      <c r="AV18" s="9">
        <f t="shared" ca="1" si="19"/>
        <v>0</v>
      </c>
      <c r="AW18" s="9">
        <f t="shared" ca="1" si="19"/>
        <v>0</v>
      </c>
      <c r="AX18" s="9">
        <f t="shared" ca="1" si="19"/>
        <v>0</v>
      </c>
      <c r="AY18" s="9">
        <f t="shared" ca="1" si="19"/>
        <v>0</v>
      </c>
      <c r="AZ18" s="9">
        <f t="shared" ca="1" si="20"/>
        <v>0</v>
      </c>
      <c r="BA18" s="9">
        <f t="shared" ca="1" si="20"/>
        <v>0</v>
      </c>
      <c r="BB18" s="9">
        <f t="shared" ca="1" si="20"/>
        <v>0</v>
      </c>
      <c r="BC18" s="9">
        <f t="shared" ca="1" si="20"/>
        <v>0</v>
      </c>
      <c r="BD18" s="9">
        <f t="shared" ca="1" si="20"/>
        <v>0</v>
      </c>
      <c r="BE18" s="9">
        <f t="shared" ca="1" si="20"/>
        <v>0</v>
      </c>
      <c r="BF18" s="9">
        <f t="shared" ca="1" si="20"/>
        <v>0</v>
      </c>
      <c r="BG18" s="9">
        <f t="shared" ca="1" si="20"/>
        <v>0</v>
      </c>
      <c r="BH18" s="9">
        <f t="shared" ca="1" si="20"/>
        <v>0</v>
      </c>
      <c r="BI18" s="9">
        <f t="shared" ca="1" si="20"/>
        <v>0</v>
      </c>
      <c r="BJ18" s="9">
        <f t="shared" ca="1" si="21"/>
        <v>0</v>
      </c>
      <c r="BK18" s="9">
        <f t="shared" ca="1" si="21"/>
        <v>0</v>
      </c>
      <c r="BL18" s="9">
        <f t="shared" ca="1" si="21"/>
        <v>0</v>
      </c>
      <c r="BM18" s="9">
        <f t="shared" ca="1" si="21"/>
        <v>0</v>
      </c>
      <c r="BN18" s="9">
        <f t="shared" ca="1" si="21"/>
        <v>0</v>
      </c>
      <c r="BO18" s="9">
        <f t="shared" ca="1" si="21"/>
        <v>0</v>
      </c>
      <c r="BP18" s="9">
        <f t="shared" ca="1" si="21"/>
        <v>0</v>
      </c>
      <c r="BQ18" s="9">
        <f t="shared" ca="1" si="21"/>
        <v>0</v>
      </c>
      <c r="BR18" s="9">
        <f t="shared" ca="1" si="21"/>
        <v>0</v>
      </c>
      <c r="BS18" s="9">
        <f t="shared" ca="1" si="21"/>
        <v>0</v>
      </c>
      <c r="BT18" s="9">
        <f t="shared" ca="1" si="22"/>
        <v>0</v>
      </c>
      <c r="BU18" s="9">
        <f t="shared" ca="1" si="22"/>
        <v>0</v>
      </c>
      <c r="BV18" s="9">
        <f t="shared" ca="1" si="22"/>
        <v>0</v>
      </c>
      <c r="BW18" s="9">
        <f t="shared" ca="1" si="22"/>
        <v>0</v>
      </c>
      <c r="BX18" s="9">
        <f t="shared" ca="1" si="22"/>
        <v>0</v>
      </c>
      <c r="BY18" s="9">
        <f t="shared" ca="1" si="22"/>
        <v>0</v>
      </c>
      <c r="BZ18" s="9">
        <f t="shared" ca="1" si="22"/>
        <v>0</v>
      </c>
      <c r="CA18" s="9">
        <f t="shared" ca="1" si="22"/>
        <v>0</v>
      </c>
      <c r="CB18" s="9">
        <f t="shared" ca="1" si="22"/>
        <v>0</v>
      </c>
      <c r="CC18" s="9">
        <f t="shared" ca="1" si="22"/>
        <v>0</v>
      </c>
      <c r="CD18" s="9">
        <f t="shared" ca="1" si="23"/>
        <v>0</v>
      </c>
      <c r="CE18" s="9">
        <f t="shared" ca="1" si="23"/>
        <v>0</v>
      </c>
      <c r="CF18" s="9">
        <f t="shared" ca="1" si="23"/>
        <v>0</v>
      </c>
      <c r="CG18" s="9">
        <f t="shared" ca="1" si="23"/>
        <v>0</v>
      </c>
      <c r="CH18" s="9">
        <f t="shared" ca="1" si="23"/>
        <v>0</v>
      </c>
      <c r="CI18" s="9">
        <f t="shared" ca="1" si="23"/>
        <v>0</v>
      </c>
      <c r="CJ18" s="9">
        <f t="shared" ca="1" si="23"/>
        <v>0</v>
      </c>
      <c r="CK18" s="30">
        <f t="shared" ca="1" si="23"/>
        <v>0</v>
      </c>
      <c r="CN18" s="9">
        <v>7.5</v>
      </c>
      <c r="CO18" s="17">
        <v>0.05</v>
      </c>
      <c r="CP18" s="17">
        <v>-1.9259284953275595E-2</v>
      </c>
      <c r="CQ18" s="17">
        <v>-1.3764436745970259E-2</v>
      </c>
      <c r="CR18" s="17">
        <v>3.3351065995914438E-4</v>
      </c>
      <c r="CS18" s="17">
        <f t="shared" si="15"/>
        <v>1.7309788960713293E-2</v>
      </c>
      <c r="EC18" s="9">
        <f ca="1"/>
        <v>1.2514999999999974E-2</v>
      </c>
      <c r="ED18" s="9">
        <f ca="1"/>
        <v>1.2409999999999945E-2</v>
      </c>
      <c r="EE18" s="9">
        <f ca="1"/>
        <v>1.2620000000000003E-2</v>
      </c>
    </row>
    <row r="19" spans="1:135" x14ac:dyDescent="0.45">
      <c r="A19" s="8">
        <f ca="1"/>
        <v>2</v>
      </c>
      <c r="B19" s="58">
        <f ca="1"/>
        <v>1E-3</v>
      </c>
      <c r="C19" s="18">
        <f ca="1"/>
        <v>97.453499999999991</v>
      </c>
      <c r="D19" s="18">
        <f t="shared" ca="1" si="0"/>
        <v>97.426083887443596</v>
      </c>
      <c r="E19" s="18">
        <f t="shared" ca="1" si="1"/>
        <v>-2.7416112556394978E-2</v>
      </c>
      <c r="F19" s="18">
        <f t="shared" ca="1" si="2"/>
        <v>2.7416112556394978E-2</v>
      </c>
      <c r="G19" s="19">
        <f t="shared" ca="1" si="3"/>
        <v>7.4858360290590564E-3</v>
      </c>
      <c r="H19" s="19">
        <f ca="1">IFERROR(IRR((J19,L19:CK19),0),0)</f>
        <v>7.5568141599136052E-3</v>
      </c>
      <c r="I19" s="55">
        <f t="shared" ca="1" si="4"/>
        <v>7.0978130854548738E-5</v>
      </c>
      <c r="J19" s="18">
        <f t="shared" ca="1" si="5"/>
        <v>-97.426083887443596</v>
      </c>
      <c r="K19" s="29">
        <f t="shared" ca="1" si="6"/>
        <v>-97.453499999999991</v>
      </c>
      <c r="L19" s="9">
        <f t="shared" ca="1" si="16"/>
        <v>0.1</v>
      </c>
      <c r="M19" s="9">
        <f t="shared" ca="1" si="16"/>
        <v>0.1</v>
      </c>
      <c r="N19" s="9">
        <f t="shared" ca="1" si="16"/>
        <v>0.1</v>
      </c>
      <c r="O19" s="9">
        <f t="shared" ca="1" si="16"/>
        <v>100.1</v>
      </c>
      <c r="P19" s="9">
        <f t="shared" ca="1" si="16"/>
        <v>0</v>
      </c>
      <c r="Q19" s="9">
        <f t="shared" ca="1" si="16"/>
        <v>0</v>
      </c>
      <c r="R19" s="9">
        <f t="shared" ca="1" si="16"/>
        <v>0</v>
      </c>
      <c r="S19" s="9">
        <f t="shared" ca="1" si="16"/>
        <v>0</v>
      </c>
      <c r="T19" s="9">
        <f t="shared" ca="1" si="16"/>
        <v>0</v>
      </c>
      <c r="U19" s="9">
        <f t="shared" ca="1" si="16"/>
        <v>0</v>
      </c>
      <c r="V19" s="9">
        <f t="shared" ca="1" si="17"/>
        <v>0</v>
      </c>
      <c r="W19" s="9">
        <f t="shared" ca="1" si="17"/>
        <v>0</v>
      </c>
      <c r="X19" s="9">
        <f t="shared" ca="1" si="17"/>
        <v>0</v>
      </c>
      <c r="Y19" s="9">
        <f t="shared" ca="1" si="17"/>
        <v>0</v>
      </c>
      <c r="Z19" s="9">
        <f t="shared" ca="1" si="17"/>
        <v>0</v>
      </c>
      <c r="AA19" s="9">
        <f t="shared" ca="1" si="17"/>
        <v>0</v>
      </c>
      <c r="AB19" s="9">
        <f t="shared" ca="1" si="17"/>
        <v>0</v>
      </c>
      <c r="AC19" s="9">
        <f t="shared" ca="1" si="17"/>
        <v>0</v>
      </c>
      <c r="AD19" s="9">
        <f t="shared" ca="1" si="17"/>
        <v>0</v>
      </c>
      <c r="AE19" s="9">
        <f t="shared" ca="1" si="17"/>
        <v>0</v>
      </c>
      <c r="AF19" s="9">
        <f t="shared" ca="1" si="18"/>
        <v>0</v>
      </c>
      <c r="AG19" s="9">
        <f t="shared" ca="1" si="18"/>
        <v>0</v>
      </c>
      <c r="AH19" s="9">
        <f t="shared" ca="1" si="18"/>
        <v>0</v>
      </c>
      <c r="AI19" s="9">
        <f t="shared" ca="1" si="18"/>
        <v>0</v>
      </c>
      <c r="AJ19" s="9">
        <f t="shared" ca="1" si="18"/>
        <v>0</v>
      </c>
      <c r="AK19" s="9">
        <f t="shared" ca="1" si="18"/>
        <v>0</v>
      </c>
      <c r="AL19" s="9">
        <f t="shared" ca="1" si="18"/>
        <v>0</v>
      </c>
      <c r="AM19" s="9">
        <f t="shared" ca="1" si="18"/>
        <v>0</v>
      </c>
      <c r="AN19" s="9">
        <f t="shared" ca="1" si="18"/>
        <v>0</v>
      </c>
      <c r="AO19" s="9">
        <f t="shared" ca="1" si="18"/>
        <v>0</v>
      </c>
      <c r="AP19" s="9">
        <f t="shared" ca="1" si="19"/>
        <v>0</v>
      </c>
      <c r="AQ19" s="9">
        <f t="shared" ca="1" si="19"/>
        <v>0</v>
      </c>
      <c r="AR19" s="9">
        <f t="shared" ca="1" si="19"/>
        <v>0</v>
      </c>
      <c r="AS19" s="9">
        <f t="shared" ca="1" si="19"/>
        <v>0</v>
      </c>
      <c r="AT19" s="9">
        <f t="shared" ca="1" si="19"/>
        <v>0</v>
      </c>
      <c r="AU19" s="9">
        <f t="shared" ca="1" si="19"/>
        <v>0</v>
      </c>
      <c r="AV19" s="9">
        <f t="shared" ca="1" si="19"/>
        <v>0</v>
      </c>
      <c r="AW19" s="9">
        <f t="shared" ca="1" si="19"/>
        <v>0</v>
      </c>
      <c r="AX19" s="9">
        <f t="shared" ca="1" si="19"/>
        <v>0</v>
      </c>
      <c r="AY19" s="9">
        <f t="shared" ca="1" si="19"/>
        <v>0</v>
      </c>
      <c r="AZ19" s="9">
        <f t="shared" ca="1" si="20"/>
        <v>0</v>
      </c>
      <c r="BA19" s="9">
        <f t="shared" ca="1" si="20"/>
        <v>0</v>
      </c>
      <c r="BB19" s="9">
        <f t="shared" ca="1" si="20"/>
        <v>0</v>
      </c>
      <c r="BC19" s="9">
        <f t="shared" ca="1" si="20"/>
        <v>0</v>
      </c>
      <c r="BD19" s="9">
        <f t="shared" ca="1" si="20"/>
        <v>0</v>
      </c>
      <c r="BE19" s="9">
        <f t="shared" ca="1" si="20"/>
        <v>0</v>
      </c>
      <c r="BF19" s="9">
        <f t="shared" ca="1" si="20"/>
        <v>0</v>
      </c>
      <c r="BG19" s="9">
        <f t="shared" ca="1" si="20"/>
        <v>0</v>
      </c>
      <c r="BH19" s="9">
        <f t="shared" ca="1" si="20"/>
        <v>0</v>
      </c>
      <c r="BI19" s="9">
        <f t="shared" ca="1" si="20"/>
        <v>0</v>
      </c>
      <c r="BJ19" s="9">
        <f t="shared" ca="1" si="21"/>
        <v>0</v>
      </c>
      <c r="BK19" s="9">
        <f t="shared" ca="1" si="21"/>
        <v>0</v>
      </c>
      <c r="BL19" s="9">
        <f t="shared" ca="1" si="21"/>
        <v>0</v>
      </c>
      <c r="BM19" s="9">
        <f t="shared" ca="1" si="21"/>
        <v>0</v>
      </c>
      <c r="BN19" s="9">
        <f t="shared" ca="1" si="21"/>
        <v>0</v>
      </c>
      <c r="BO19" s="9">
        <f t="shared" ca="1" si="21"/>
        <v>0</v>
      </c>
      <c r="BP19" s="9">
        <f t="shared" ca="1" si="21"/>
        <v>0</v>
      </c>
      <c r="BQ19" s="9">
        <f t="shared" ca="1" si="21"/>
        <v>0</v>
      </c>
      <c r="BR19" s="9">
        <f t="shared" ca="1" si="21"/>
        <v>0</v>
      </c>
      <c r="BS19" s="9">
        <f t="shared" ca="1" si="21"/>
        <v>0</v>
      </c>
      <c r="BT19" s="9">
        <f t="shared" ca="1" si="22"/>
        <v>0</v>
      </c>
      <c r="BU19" s="9">
        <f t="shared" ca="1" si="22"/>
        <v>0</v>
      </c>
      <c r="BV19" s="9">
        <f t="shared" ca="1" si="22"/>
        <v>0</v>
      </c>
      <c r="BW19" s="9">
        <f t="shared" ca="1" si="22"/>
        <v>0</v>
      </c>
      <c r="BX19" s="9">
        <f t="shared" ca="1" si="22"/>
        <v>0</v>
      </c>
      <c r="BY19" s="9">
        <f t="shared" ca="1" si="22"/>
        <v>0</v>
      </c>
      <c r="BZ19" s="9">
        <f t="shared" ca="1" si="22"/>
        <v>0</v>
      </c>
      <c r="CA19" s="9">
        <f t="shared" ca="1" si="22"/>
        <v>0</v>
      </c>
      <c r="CB19" s="9">
        <f t="shared" ca="1" si="22"/>
        <v>0</v>
      </c>
      <c r="CC19" s="9">
        <f t="shared" ca="1" si="22"/>
        <v>0</v>
      </c>
      <c r="CD19" s="9">
        <f t="shared" ca="1" si="23"/>
        <v>0</v>
      </c>
      <c r="CE19" s="9">
        <f t="shared" ca="1" si="23"/>
        <v>0</v>
      </c>
      <c r="CF19" s="9">
        <f t="shared" ca="1" si="23"/>
        <v>0</v>
      </c>
      <c r="CG19" s="9">
        <f t="shared" ca="1" si="23"/>
        <v>0</v>
      </c>
      <c r="CH19" s="9">
        <f t="shared" ca="1" si="23"/>
        <v>0</v>
      </c>
      <c r="CI19" s="9">
        <f t="shared" ca="1" si="23"/>
        <v>0</v>
      </c>
      <c r="CJ19" s="9">
        <f t="shared" ca="1" si="23"/>
        <v>0</v>
      </c>
      <c r="CK19" s="30">
        <f t="shared" ca="1" si="23"/>
        <v>0</v>
      </c>
      <c r="CN19" s="9">
        <v>8</v>
      </c>
      <c r="CO19" s="17">
        <v>0.05</v>
      </c>
      <c r="CP19" s="17">
        <v>-1.8476309042477396E-2</v>
      </c>
      <c r="CQ19" s="17">
        <v>-1.3762520782674859E-2</v>
      </c>
      <c r="CR19" s="17">
        <v>3.1270923215993498E-4</v>
      </c>
      <c r="CS19" s="17">
        <f t="shared" si="15"/>
        <v>1.8073879407007686E-2</v>
      </c>
      <c r="EC19" s="9">
        <f ca="1"/>
        <v>1.2564999999999873E-2</v>
      </c>
      <c r="ED19" s="9">
        <f ca="1"/>
        <v>1.243999999999985E-2</v>
      </c>
      <c r="EE19" s="9">
        <f ca="1"/>
        <v>1.2689999999999894E-2</v>
      </c>
    </row>
    <row r="20" spans="1:135" x14ac:dyDescent="0.45">
      <c r="A20" s="8">
        <f ca="1"/>
        <v>2</v>
      </c>
      <c r="B20" s="58">
        <f ca="1"/>
        <v>2E-3</v>
      </c>
      <c r="C20" s="18">
        <f ca="1"/>
        <v>97.664000000000001</v>
      </c>
      <c r="D20" s="18">
        <f t="shared" ca="1" si="0"/>
        <v>97.818707463200326</v>
      </c>
      <c r="E20" s="18">
        <f t="shared" ca="1" si="1"/>
        <v>0.15470746320032447</v>
      </c>
      <c r="F20" s="18">
        <f t="shared" ca="1" si="2"/>
        <v>0.15470746320032447</v>
      </c>
      <c r="G20" s="19">
        <f t="shared" ca="1" si="3"/>
        <v>7.95662706586997E-3</v>
      </c>
      <c r="H20" s="19">
        <f ca="1">IFERROR(IRR((J20,L20:CK20),0),0)</f>
        <v>7.5566393725838843E-3</v>
      </c>
      <c r="I20" s="55">
        <f t="shared" ca="1" si="4"/>
        <v>-3.9998769328608574E-4</v>
      </c>
      <c r="J20" s="18">
        <f t="shared" ca="1" si="5"/>
        <v>-97.818707463200326</v>
      </c>
      <c r="K20" s="29">
        <f t="shared" ca="1" si="6"/>
        <v>-97.664000000000001</v>
      </c>
      <c r="L20" s="9">
        <f t="shared" ca="1" si="16"/>
        <v>0.2</v>
      </c>
      <c r="M20" s="9">
        <f t="shared" ca="1" si="16"/>
        <v>0.2</v>
      </c>
      <c r="N20" s="9">
        <f t="shared" ca="1" si="16"/>
        <v>0.2</v>
      </c>
      <c r="O20" s="9">
        <f t="shared" ca="1" si="16"/>
        <v>100.2</v>
      </c>
      <c r="P20" s="9">
        <f t="shared" ca="1" si="16"/>
        <v>0</v>
      </c>
      <c r="Q20" s="9">
        <f t="shared" ca="1" si="16"/>
        <v>0</v>
      </c>
      <c r="R20" s="9">
        <f t="shared" ca="1" si="16"/>
        <v>0</v>
      </c>
      <c r="S20" s="9">
        <f t="shared" ca="1" si="16"/>
        <v>0</v>
      </c>
      <c r="T20" s="9">
        <f t="shared" ca="1" si="16"/>
        <v>0</v>
      </c>
      <c r="U20" s="9">
        <f t="shared" ca="1" si="16"/>
        <v>0</v>
      </c>
      <c r="V20" s="9">
        <f t="shared" ca="1" si="17"/>
        <v>0</v>
      </c>
      <c r="W20" s="9">
        <f t="shared" ca="1" si="17"/>
        <v>0</v>
      </c>
      <c r="X20" s="9">
        <f t="shared" ca="1" si="17"/>
        <v>0</v>
      </c>
      <c r="Y20" s="9">
        <f t="shared" ca="1" si="17"/>
        <v>0</v>
      </c>
      <c r="Z20" s="9">
        <f t="shared" ca="1" si="17"/>
        <v>0</v>
      </c>
      <c r="AA20" s="9">
        <f t="shared" ca="1" si="17"/>
        <v>0</v>
      </c>
      <c r="AB20" s="9">
        <f t="shared" ca="1" si="17"/>
        <v>0</v>
      </c>
      <c r="AC20" s="9">
        <f t="shared" ca="1" si="17"/>
        <v>0</v>
      </c>
      <c r="AD20" s="9">
        <f t="shared" ca="1" si="17"/>
        <v>0</v>
      </c>
      <c r="AE20" s="9">
        <f t="shared" ca="1" si="17"/>
        <v>0</v>
      </c>
      <c r="AF20" s="9">
        <f t="shared" ca="1" si="18"/>
        <v>0</v>
      </c>
      <c r="AG20" s="9">
        <f t="shared" ca="1" si="18"/>
        <v>0</v>
      </c>
      <c r="AH20" s="9">
        <f t="shared" ca="1" si="18"/>
        <v>0</v>
      </c>
      <c r="AI20" s="9">
        <f t="shared" ca="1" si="18"/>
        <v>0</v>
      </c>
      <c r="AJ20" s="9">
        <f t="shared" ca="1" si="18"/>
        <v>0</v>
      </c>
      <c r="AK20" s="9">
        <f t="shared" ca="1" si="18"/>
        <v>0</v>
      </c>
      <c r="AL20" s="9">
        <f t="shared" ca="1" si="18"/>
        <v>0</v>
      </c>
      <c r="AM20" s="9">
        <f t="shared" ca="1" si="18"/>
        <v>0</v>
      </c>
      <c r="AN20" s="9">
        <f t="shared" ca="1" si="18"/>
        <v>0</v>
      </c>
      <c r="AO20" s="9">
        <f t="shared" ca="1" si="18"/>
        <v>0</v>
      </c>
      <c r="AP20" s="9">
        <f t="shared" ca="1" si="19"/>
        <v>0</v>
      </c>
      <c r="AQ20" s="9">
        <f t="shared" ca="1" si="19"/>
        <v>0</v>
      </c>
      <c r="AR20" s="9">
        <f t="shared" ca="1" si="19"/>
        <v>0</v>
      </c>
      <c r="AS20" s="9">
        <f t="shared" ca="1" si="19"/>
        <v>0</v>
      </c>
      <c r="AT20" s="9">
        <f t="shared" ca="1" si="19"/>
        <v>0</v>
      </c>
      <c r="AU20" s="9">
        <f t="shared" ca="1" si="19"/>
        <v>0</v>
      </c>
      <c r="AV20" s="9">
        <f t="shared" ca="1" si="19"/>
        <v>0</v>
      </c>
      <c r="AW20" s="9">
        <f t="shared" ca="1" si="19"/>
        <v>0</v>
      </c>
      <c r="AX20" s="9">
        <f t="shared" ca="1" si="19"/>
        <v>0</v>
      </c>
      <c r="AY20" s="9">
        <f t="shared" ca="1" si="19"/>
        <v>0</v>
      </c>
      <c r="AZ20" s="9">
        <f t="shared" ca="1" si="20"/>
        <v>0</v>
      </c>
      <c r="BA20" s="9">
        <f t="shared" ca="1" si="20"/>
        <v>0</v>
      </c>
      <c r="BB20" s="9">
        <f t="shared" ca="1" si="20"/>
        <v>0</v>
      </c>
      <c r="BC20" s="9">
        <f t="shared" ca="1" si="20"/>
        <v>0</v>
      </c>
      <c r="BD20" s="9">
        <f t="shared" ca="1" si="20"/>
        <v>0</v>
      </c>
      <c r="BE20" s="9">
        <f t="shared" ca="1" si="20"/>
        <v>0</v>
      </c>
      <c r="BF20" s="9">
        <f t="shared" ca="1" si="20"/>
        <v>0</v>
      </c>
      <c r="BG20" s="9">
        <f t="shared" ca="1" si="20"/>
        <v>0</v>
      </c>
      <c r="BH20" s="9">
        <f t="shared" ca="1" si="20"/>
        <v>0</v>
      </c>
      <c r="BI20" s="9">
        <f t="shared" ca="1" si="20"/>
        <v>0</v>
      </c>
      <c r="BJ20" s="9">
        <f t="shared" ca="1" si="21"/>
        <v>0</v>
      </c>
      <c r="BK20" s="9">
        <f t="shared" ca="1" si="21"/>
        <v>0</v>
      </c>
      <c r="BL20" s="9">
        <f t="shared" ca="1" si="21"/>
        <v>0</v>
      </c>
      <c r="BM20" s="9">
        <f t="shared" ca="1" si="21"/>
        <v>0</v>
      </c>
      <c r="BN20" s="9">
        <f t="shared" ca="1" si="21"/>
        <v>0</v>
      </c>
      <c r="BO20" s="9">
        <f t="shared" ca="1" si="21"/>
        <v>0</v>
      </c>
      <c r="BP20" s="9">
        <f t="shared" ca="1" si="21"/>
        <v>0</v>
      </c>
      <c r="BQ20" s="9">
        <f t="shared" ca="1" si="21"/>
        <v>0</v>
      </c>
      <c r="BR20" s="9">
        <f t="shared" ca="1" si="21"/>
        <v>0</v>
      </c>
      <c r="BS20" s="9">
        <f t="shared" ca="1" si="21"/>
        <v>0</v>
      </c>
      <c r="BT20" s="9">
        <f t="shared" ca="1" si="22"/>
        <v>0</v>
      </c>
      <c r="BU20" s="9">
        <f t="shared" ca="1" si="22"/>
        <v>0</v>
      </c>
      <c r="BV20" s="9">
        <f t="shared" ca="1" si="22"/>
        <v>0</v>
      </c>
      <c r="BW20" s="9">
        <f t="shared" ca="1" si="22"/>
        <v>0</v>
      </c>
      <c r="BX20" s="9">
        <f t="shared" ca="1" si="22"/>
        <v>0</v>
      </c>
      <c r="BY20" s="9">
        <f t="shared" ca="1" si="22"/>
        <v>0</v>
      </c>
      <c r="BZ20" s="9">
        <f t="shared" ca="1" si="22"/>
        <v>0</v>
      </c>
      <c r="CA20" s="9">
        <f t="shared" ca="1" si="22"/>
        <v>0</v>
      </c>
      <c r="CB20" s="9">
        <f t="shared" ca="1" si="22"/>
        <v>0</v>
      </c>
      <c r="CC20" s="9">
        <f t="shared" ca="1" si="22"/>
        <v>0</v>
      </c>
      <c r="CD20" s="9">
        <f t="shared" ca="1" si="23"/>
        <v>0</v>
      </c>
      <c r="CE20" s="9">
        <f t="shared" ca="1" si="23"/>
        <v>0</v>
      </c>
      <c r="CF20" s="9">
        <f t="shared" ca="1" si="23"/>
        <v>0</v>
      </c>
      <c r="CG20" s="9">
        <f t="shared" ca="1" si="23"/>
        <v>0</v>
      </c>
      <c r="CH20" s="9">
        <f t="shared" ca="1" si="23"/>
        <v>0</v>
      </c>
      <c r="CI20" s="9">
        <f t="shared" ca="1" si="23"/>
        <v>0</v>
      </c>
      <c r="CJ20" s="9">
        <f t="shared" ca="1" si="23"/>
        <v>0</v>
      </c>
      <c r="CK20" s="30">
        <f t="shared" ca="1" si="23"/>
        <v>0</v>
      </c>
      <c r="CN20" s="9">
        <v>8.5</v>
      </c>
      <c r="CO20" s="17">
        <v>0.05</v>
      </c>
      <c r="CP20" s="17">
        <v>-1.7742056583637006E-2</v>
      </c>
      <c r="CQ20" s="17">
        <v>-1.3718742515826851E-2</v>
      </c>
      <c r="CR20" s="17">
        <v>2.9433581825423006E-4</v>
      </c>
      <c r="CS20" s="17">
        <f t="shared" si="15"/>
        <v>1.8833536718790376E-2</v>
      </c>
      <c r="EC20" s="9">
        <f ca="1"/>
        <v>1.2544999999999983E-2</v>
      </c>
      <c r="ED20" s="9">
        <f ca="1"/>
        <v>1.2420000000000044E-2</v>
      </c>
      <c r="EE20" s="9">
        <f ca="1"/>
        <v>1.2669999999999921E-2</v>
      </c>
    </row>
    <row r="21" spans="1:135" x14ac:dyDescent="0.45">
      <c r="A21" s="8">
        <f ca="1"/>
        <v>2</v>
      </c>
      <c r="B21" s="58">
        <f ca="1"/>
        <v>3.0000000000000001E-3</v>
      </c>
      <c r="C21" s="18">
        <f ca="1"/>
        <v>97.888999999999996</v>
      </c>
      <c r="D21" s="18">
        <f t="shared" ca="1" si="0"/>
        <v>98.211331038957013</v>
      </c>
      <c r="E21" s="18">
        <f t="shared" ca="1" si="1"/>
        <v>0.32233103895701731</v>
      </c>
      <c r="F21" s="18">
        <f t="shared" ca="1" si="2"/>
        <v>0.32233103895701731</v>
      </c>
      <c r="G21" s="19">
        <f t="shared" ca="1" si="3"/>
        <v>8.3886398894845726E-3</v>
      </c>
      <c r="H21" s="19">
        <f ca="1">IFERROR(IRR((J21,L21:CK21),0),0)</f>
        <v>7.5564654593658354E-3</v>
      </c>
      <c r="I21" s="55">
        <f t="shared" ca="1" si="4"/>
        <v>-8.3217443011873726E-4</v>
      </c>
      <c r="J21" s="18">
        <f t="shared" ca="1" si="5"/>
        <v>-98.211331038957013</v>
      </c>
      <c r="K21" s="29">
        <f t="shared" ca="1" si="6"/>
        <v>-97.888999999999996</v>
      </c>
      <c r="L21" s="9">
        <f t="shared" ca="1" si="16"/>
        <v>0.3</v>
      </c>
      <c r="M21" s="9">
        <f t="shared" ca="1" si="16"/>
        <v>0.3</v>
      </c>
      <c r="N21" s="9">
        <f t="shared" ca="1" si="16"/>
        <v>0.3</v>
      </c>
      <c r="O21" s="9">
        <f t="shared" ca="1" si="16"/>
        <v>100.29999999999998</v>
      </c>
      <c r="P21" s="9">
        <f t="shared" ca="1" si="16"/>
        <v>0</v>
      </c>
      <c r="Q21" s="9">
        <f t="shared" ca="1" si="16"/>
        <v>0</v>
      </c>
      <c r="R21" s="9">
        <f t="shared" ca="1" si="16"/>
        <v>0</v>
      </c>
      <c r="S21" s="9">
        <f t="shared" ca="1" si="16"/>
        <v>0</v>
      </c>
      <c r="T21" s="9">
        <f t="shared" ca="1" si="16"/>
        <v>0</v>
      </c>
      <c r="U21" s="9">
        <f t="shared" ca="1" si="16"/>
        <v>0</v>
      </c>
      <c r="V21" s="9">
        <f t="shared" ca="1" si="17"/>
        <v>0</v>
      </c>
      <c r="W21" s="9">
        <f t="shared" ca="1" si="17"/>
        <v>0</v>
      </c>
      <c r="X21" s="9">
        <f t="shared" ca="1" si="17"/>
        <v>0</v>
      </c>
      <c r="Y21" s="9">
        <f t="shared" ca="1" si="17"/>
        <v>0</v>
      </c>
      <c r="Z21" s="9">
        <f t="shared" ca="1" si="17"/>
        <v>0</v>
      </c>
      <c r="AA21" s="9">
        <f t="shared" ca="1" si="17"/>
        <v>0</v>
      </c>
      <c r="AB21" s="9">
        <f t="shared" ca="1" si="17"/>
        <v>0</v>
      </c>
      <c r="AC21" s="9">
        <f t="shared" ca="1" si="17"/>
        <v>0</v>
      </c>
      <c r="AD21" s="9">
        <f t="shared" ca="1" si="17"/>
        <v>0</v>
      </c>
      <c r="AE21" s="9">
        <f t="shared" ca="1" si="17"/>
        <v>0</v>
      </c>
      <c r="AF21" s="9">
        <f t="shared" ca="1" si="18"/>
        <v>0</v>
      </c>
      <c r="AG21" s="9">
        <f t="shared" ca="1" si="18"/>
        <v>0</v>
      </c>
      <c r="AH21" s="9">
        <f t="shared" ca="1" si="18"/>
        <v>0</v>
      </c>
      <c r="AI21" s="9">
        <f t="shared" ca="1" si="18"/>
        <v>0</v>
      </c>
      <c r="AJ21" s="9">
        <f t="shared" ca="1" si="18"/>
        <v>0</v>
      </c>
      <c r="AK21" s="9">
        <f t="shared" ca="1" si="18"/>
        <v>0</v>
      </c>
      <c r="AL21" s="9">
        <f t="shared" ca="1" si="18"/>
        <v>0</v>
      </c>
      <c r="AM21" s="9">
        <f t="shared" ca="1" si="18"/>
        <v>0</v>
      </c>
      <c r="AN21" s="9">
        <f t="shared" ca="1" si="18"/>
        <v>0</v>
      </c>
      <c r="AO21" s="9">
        <f t="shared" ca="1" si="18"/>
        <v>0</v>
      </c>
      <c r="AP21" s="9">
        <f t="shared" ca="1" si="19"/>
        <v>0</v>
      </c>
      <c r="AQ21" s="9">
        <f t="shared" ca="1" si="19"/>
        <v>0</v>
      </c>
      <c r="AR21" s="9">
        <f t="shared" ca="1" si="19"/>
        <v>0</v>
      </c>
      <c r="AS21" s="9">
        <f t="shared" ca="1" si="19"/>
        <v>0</v>
      </c>
      <c r="AT21" s="9">
        <f t="shared" ca="1" si="19"/>
        <v>0</v>
      </c>
      <c r="AU21" s="9">
        <f t="shared" ca="1" si="19"/>
        <v>0</v>
      </c>
      <c r="AV21" s="9">
        <f t="shared" ca="1" si="19"/>
        <v>0</v>
      </c>
      <c r="AW21" s="9">
        <f t="shared" ca="1" si="19"/>
        <v>0</v>
      </c>
      <c r="AX21" s="9">
        <f t="shared" ca="1" si="19"/>
        <v>0</v>
      </c>
      <c r="AY21" s="9">
        <f t="shared" ca="1" si="19"/>
        <v>0</v>
      </c>
      <c r="AZ21" s="9">
        <f t="shared" ca="1" si="20"/>
        <v>0</v>
      </c>
      <c r="BA21" s="9">
        <f t="shared" ca="1" si="20"/>
        <v>0</v>
      </c>
      <c r="BB21" s="9">
        <f t="shared" ca="1" si="20"/>
        <v>0</v>
      </c>
      <c r="BC21" s="9">
        <f t="shared" ca="1" si="20"/>
        <v>0</v>
      </c>
      <c r="BD21" s="9">
        <f t="shared" ca="1" si="20"/>
        <v>0</v>
      </c>
      <c r="BE21" s="9">
        <f t="shared" ca="1" si="20"/>
        <v>0</v>
      </c>
      <c r="BF21" s="9">
        <f t="shared" ca="1" si="20"/>
        <v>0</v>
      </c>
      <c r="BG21" s="9">
        <f t="shared" ca="1" si="20"/>
        <v>0</v>
      </c>
      <c r="BH21" s="9">
        <f t="shared" ca="1" si="20"/>
        <v>0</v>
      </c>
      <c r="BI21" s="9">
        <f t="shared" ca="1" si="20"/>
        <v>0</v>
      </c>
      <c r="BJ21" s="9">
        <f t="shared" ca="1" si="21"/>
        <v>0</v>
      </c>
      <c r="BK21" s="9">
        <f t="shared" ca="1" si="21"/>
        <v>0</v>
      </c>
      <c r="BL21" s="9">
        <f t="shared" ca="1" si="21"/>
        <v>0</v>
      </c>
      <c r="BM21" s="9">
        <f t="shared" ca="1" si="21"/>
        <v>0</v>
      </c>
      <c r="BN21" s="9">
        <f t="shared" ca="1" si="21"/>
        <v>0</v>
      </c>
      <c r="BO21" s="9">
        <f t="shared" ca="1" si="21"/>
        <v>0</v>
      </c>
      <c r="BP21" s="9">
        <f t="shared" ca="1" si="21"/>
        <v>0</v>
      </c>
      <c r="BQ21" s="9">
        <f t="shared" ca="1" si="21"/>
        <v>0</v>
      </c>
      <c r="BR21" s="9">
        <f t="shared" ca="1" si="21"/>
        <v>0</v>
      </c>
      <c r="BS21" s="9">
        <f t="shared" ca="1" si="21"/>
        <v>0</v>
      </c>
      <c r="BT21" s="9">
        <f t="shared" ca="1" si="22"/>
        <v>0</v>
      </c>
      <c r="BU21" s="9">
        <f t="shared" ca="1" si="22"/>
        <v>0</v>
      </c>
      <c r="BV21" s="9">
        <f t="shared" ca="1" si="22"/>
        <v>0</v>
      </c>
      <c r="BW21" s="9">
        <f t="shared" ca="1" si="22"/>
        <v>0</v>
      </c>
      <c r="BX21" s="9">
        <f t="shared" ca="1" si="22"/>
        <v>0</v>
      </c>
      <c r="BY21" s="9">
        <f t="shared" ca="1" si="22"/>
        <v>0</v>
      </c>
      <c r="BZ21" s="9">
        <f t="shared" ca="1" si="22"/>
        <v>0</v>
      </c>
      <c r="CA21" s="9">
        <f t="shared" ca="1" si="22"/>
        <v>0</v>
      </c>
      <c r="CB21" s="9">
        <f t="shared" ca="1" si="22"/>
        <v>0</v>
      </c>
      <c r="CC21" s="9">
        <f t="shared" ca="1" si="22"/>
        <v>0</v>
      </c>
      <c r="CD21" s="9">
        <f t="shared" ca="1" si="23"/>
        <v>0</v>
      </c>
      <c r="CE21" s="9">
        <f t="shared" ca="1" si="23"/>
        <v>0</v>
      </c>
      <c r="CF21" s="9">
        <f t="shared" ca="1" si="23"/>
        <v>0</v>
      </c>
      <c r="CG21" s="9">
        <f t="shared" ca="1" si="23"/>
        <v>0</v>
      </c>
      <c r="CH21" s="9">
        <f t="shared" ca="1" si="23"/>
        <v>0</v>
      </c>
      <c r="CI21" s="9">
        <f t="shared" ca="1" si="23"/>
        <v>0</v>
      </c>
      <c r="CJ21" s="9">
        <f t="shared" ca="1" si="23"/>
        <v>0</v>
      </c>
      <c r="CK21" s="30">
        <f t="shared" ca="1" si="23"/>
        <v>0</v>
      </c>
      <c r="CN21" s="9">
        <v>9</v>
      </c>
      <c r="CO21" s="17">
        <v>0.05</v>
      </c>
      <c r="CP21" s="17">
        <v>-1.7052897649709603E-2</v>
      </c>
      <c r="CQ21" s="17">
        <v>-1.3639628753003001E-2</v>
      </c>
      <c r="CR21" s="17">
        <v>2.7799432695385011E-4</v>
      </c>
      <c r="CS21" s="17">
        <f t="shared" si="15"/>
        <v>1.9585467924241248E-2</v>
      </c>
      <c r="EC21" s="9">
        <f ca="1"/>
        <v>1.2600000000000005E-2</v>
      </c>
      <c r="ED21" s="9">
        <f ca="1"/>
        <v>1.2499999999999907E-2</v>
      </c>
      <c r="EE21" s="9">
        <f ca="1"/>
        <v>1.2700000000000102E-2</v>
      </c>
    </row>
    <row r="22" spans="1:135" x14ac:dyDescent="0.45">
      <c r="A22" s="8">
        <f ca="1"/>
        <v>2</v>
      </c>
      <c r="B22" s="58">
        <f ca="1"/>
        <v>1E-3</v>
      </c>
      <c r="C22" s="18">
        <f ca="1"/>
        <v>97.43549999999999</v>
      </c>
      <c r="D22" s="18">
        <f t="shared" ca="1" si="0"/>
        <v>97.426083887443596</v>
      </c>
      <c r="E22" s="18">
        <f t="shared" ca="1" si="1"/>
        <v>-9.416112556394296E-3</v>
      </c>
      <c r="F22" s="18">
        <f t="shared" ca="1" si="2"/>
        <v>9.416112556394296E-3</v>
      </c>
      <c r="G22" s="19">
        <f t="shared" ca="1" si="3"/>
        <v>7.5324337773083894E-3</v>
      </c>
      <c r="H22" s="19">
        <f ca="1">IFERROR(IRR((J22,L22:CK22),0),0)</f>
        <v>7.5568141599136052E-3</v>
      </c>
      <c r="I22" s="55">
        <f t="shared" ca="1" si="4"/>
        <v>2.43803826052158E-5</v>
      </c>
      <c r="J22" s="18">
        <f t="shared" ca="1" si="5"/>
        <v>-97.426083887443596</v>
      </c>
      <c r="K22" s="29">
        <f t="shared" ca="1" si="6"/>
        <v>-97.43549999999999</v>
      </c>
      <c r="L22" s="9">
        <f t="shared" ca="1" si="16"/>
        <v>0.1</v>
      </c>
      <c r="M22" s="9">
        <f t="shared" ca="1" si="16"/>
        <v>0.1</v>
      </c>
      <c r="N22" s="9">
        <f t="shared" ca="1" si="16"/>
        <v>0.1</v>
      </c>
      <c r="O22" s="9">
        <f t="shared" ca="1" si="16"/>
        <v>100.1</v>
      </c>
      <c r="P22" s="9">
        <f t="shared" ca="1" si="16"/>
        <v>0</v>
      </c>
      <c r="Q22" s="9">
        <f t="shared" ca="1" si="16"/>
        <v>0</v>
      </c>
      <c r="R22" s="9">
        <f t="shared" ca="1" si="16"/>
        <v>0</v>
      </c>
      <c r="S22" s="9">
        <f t="shared" ca="1" si="16"/>
        <v>0</v>
      </c>
      <c r="T22" s="9">
        <f t="shared" ca="1" si="16"/>
        <v>0</v>
      </c>
      <c r="U22" s="9">
        <f t="shared" ca="1" si="16"/>
        <v>0</v>
      </c>
      <c r="V22" s="9">
        <f t="shared" ca="1" si="17"/>
        <v>0</v>
      </c>
      <c r="W22" s="9">
        <f t="shared" ca="1" si="17"/>
        <v>0</v>
      </c>
      <c r="X22" s="9">
        <f t="shared" ca="1" si="17"/>
        <v>0</v>
      </c>
      <c r="Y22" s="9">
        <f t="shared" ca="1" si="17"/>
        <v>0</v>
      </c>
      <c r="Z22" s="9">
        <f t="shared" ca="1" si="17"/>
        <v>0</v>
      </c>
      <c r="AA22" s="9">
        <f t="shared" ca="1" si="17"/>
        <v>0</v>
      </c>
      <c r="AB22" s="9">
        <f t="shared" ca="1" si="17"/>
        <v>0</v>
      </c>
      <c r="AC22" s="9">
        <f t="shared" ca="1" si="17"/>
        <v>0</v>
      </c>
      <c r="AD22" s="9">
        <f t="shared" ca="1" si="17"/>
        <v>0</v>
      </c>
      <c r="AE22" s="9">
        <f t="shared" ca="1" si="17"/>
        <v>0</v>
      </c>
      <c r="AF22" s="9">
        <f t="shared" ca="1" si="18"/>
        <v>0</v>
      </c>
      <c r="AG22" s="9">
        <f t="shared" ca="1" si="18"/>
        <v>0</v>
      </c>
      <c r="AH22" s="9">
        <f t="shared" ca="1" si="18"/>
        <v>0</v>
      </c>
      <c r="AI22" s="9">
        <f t="shared" ca="1" si="18"/>
        <v>0</v>
      </c>
      <c r="AJ22" s="9">
        <f t="shared" ca="1" si="18"/>
        <v>0</v>
      </c>
      <c r="AK22" s="9">
        <f t="shared" ca="1" si="18"/>
        <v>0</v>
      </c>
      <c r="AL22" s="9">
        <f t="shared" ca="1" si="18"/>
        <v>0</v>
      </c>
      <c r="AM22" s="9">
        <f t="shared" ca="1" si="18"/>
        <v>0</v>
      </c>
      <c r="AN22" s="9">
        <f t="shared" ca="1" si="18"/>
        <v>0</v>
      </c>
      <c r="AO22" s="9">
        <f t="shared" ca="1" si="18"/>
        <v>0</v>
      </c>
      <c r="AP22" s="9">
        <f t="shared" ca="1" si="19"/>
        <v>0</v>
      </c>
      <c r="AQ22" s="9">
        <f t="shared" ca="1" si="19"/>
        <v>0</v>
      </c>
      <c r="AR22" s="9">
        <f t="shared" ca="1" si="19"/>
        <v>0</v>
      </c>
      <c r="AS22" s="9">
        <f t="shared" ca="1" si="19"/>
        <v>0</v>
      </c>
      <c r="AT22" s="9">
        <f t="shared" ca="1" si="19"/>
        <v>0</v>
      </c>
      <c r="AU22" s="9">
        <f t="shared" ca="1" si="19"/>
        <v>0</v>
      </c>
      <c r="AV22" s="9">
        <f t="shared" ca="1" si="19"/>
        <v>0</v>
      </c>
      <c r="AW22" s="9">
        <f t="shared" ca="1" si="19"/>
        <v>0</v>
      </c>
      <c r="AX22" s="9">
        <f t="shared" ca="1" si="19"/>
        <v>0</v>
      </c>
      <c r="AY22" s="9">
        <f t="shared" ca="1" si="19"/>
        <v>0</v>
      </c>
      <c r="AZ22" s="9">
        <f t="shared" ca="1" si="20"/>
        <v>0</v>
      </c>
      <c r="BA22" s="9">
        <f t="shared" ca="1" si="20"/>
        <v>0</v>
      </c>
      <c r="BB22" s="9">
        <f t="shared" ca="1" si="20"/>
        <v>0</v>
      </c>
      <c r="BC22" s="9">
        <f t="shared" ca="1" si="20"/>
        <v>0</v>
      </c>
      <c r="BD22" s="9">
        <f t="shared" ca="1" si="20"/>
        <v>0</v>
      </c>
      <c r="BE22" s="9">
        <f t="shared" ca="1" si="20"/>
        <v>0</v>
      </c>
      <c r="BF22" s="9">
        <f t="shared" ca="1" si="20"/>
        <v>0</v>
      </c>
      <c r="BG22" s="9">
        <f t="shared" ca="1" si="20"/>
        <v>0</v>
      </c>
      <c r="BH22" s="9">
        <f t="shared" ca="1" si="20"/>
        <v>0</v>
      </c>
      <c r="BI22" s="9">
        <f t="shared" ca="1" si="20"/>
        <v>0</v>
      </c>
      <c r="BJ22" s="9">
        <f t="shared" ca="1" si="21"/>
        <v>0</v>
      </c>
      <c r="BK22" s="9">
        <f t="shared" ca="1" si="21"/>
        <v>0</v>
      </c>
      <c r="BL22" s="9">
        <f t="shared" ca="1" si="21"/>
        <v>0</v>
      </c>
      <c r="BM22" s="9">
        <f t="shared" ca="1" si="21"/>
        <v>0</v>
      </c>
      <c r="BN22" s="9">
        <f t="shared" ca="1" si="21"/>
        <v>0</v>
      </c>
      <c r="BO22" s="9">
        <f t="shared" ca="1" si="21"/>
        <v>0</v>
      </c>
      <c r="BP22" s="9">
        <f t="shared" ca="1" si="21"/>
        <v>0</v>
      </c>
      <c r="BQ22" s="9">
        <f t="shared" ca="1" si="21"/>
        <v>0</v>
      </c>
      <c r="BR22" s="9">
        <f t="shared" ca="1" si="21"/>
        <v>0</v>
      </c>
      <c r="BS22" s="9">
        <f t="shared" ca="1" si="21"/>
        <v>0</v>
      </c>
      <c r="BT22" s="9">
        <f t="shared" ca="1" si="22"/>
        <v>0</v>
      </c>
      <c r="BU22" s="9">
        <f t="shared" ca="1" si="22"/>
        <v>0</v>
      </c>
      <c r="BV22" s="9">
        <f t="shared" ca="1" si="22"/>
        <v>0</v>
      </c>
      <c r="BW22" s="9">
        <f t="shared" ca="1" si="22"/>
        <v>0</v>
      </c>
      <c r="BX22" s="9">
        <f t="shared" ca="1" si="22"/>
        <v>0</v>
      </c>
      <c r="BY22" s="9">
        <f t="shared" ca="1" si="22"/>
        <v>0</v>
      </c>
      <c r="BZ22" s="9">
        <f t="shared" ca="1" si="22"/>
        <v>0</v>
      </c>
      <c r="CA22" s="9">
        <f t="shared" ca="1" si="22"/>
        <v>0</v>
      </c>
      <c r="CB22" s="9">
        <f t="shared" ca="1" si="22"/>
        <v>0</v>
      </c>
      <c r="CC22" s="9">
        <f t="shared" ca="1" si="22"/>
        <v>0</v>
      </c>
      <c r="CD22" s="9">
        <f t="shared" ca="1" si="23"/>
        <v>0</v>
      </c>
      <c r="CE22" s="9">
        <f t="shared" ca="1" si="23"/>
        <v>0</v>
      </c>
      <c r="CF22" s="9">
        <f t="shared" ca="1" si="23"/>
        <v>0</v>
      </c>
      <c r="CG22" s="9">
        <f t="shared" ca="1" si="23"/>
        <v>0</v>
      </c>
      <c r="CH22" s="9">
        <f t="shared" ca="1" si="23"/>
        <v>0</v>
      </c>
      <c r="CI22" s="9">
        <f t="shared" ca="1" si="23"/>
        <v>0</v>
      </c>
      <c r="CJ22" s="9">
        <f t="shared" ca="1" si="23"/>
        <v>0</v>
      </c>
      <c r="CK22" s="30">
        <f t="shared" ca="1" si="23"/>
        <v>0</v>
      </c>
      <c r="CN22" s="9">
        <v>9.5</v>
      </c>
      <c r="CO22" s="17">
        <v>0.05</v>
      </c>
      <c r="CP22" s="17">
        <v>-1.6405500324888911E-2</v>
      </c>
      <c r="CQ22" s="17">
        <v>-1.3530877896331743E-2</v>
      </c>
      <c r="CR22" s="17">
        <v>2.6336823317628757E-4</v>
      </c>
      <c r="CS22" s="17">
        <f t="shared" si="15"/>
        <v>2.0326990011955638E-2</v>
      </c>
      <c r="EC22" s="9">
        <f ca="1"/>
        <v>1.2834999999999647E-2</v>
      </c>
      <c r="ED22" s="9">
        <f ca="1"/>
        <v>1.271999999999962E-2</v>
      </c>
      <c r="EE22" s="9">
        <f ca="1"/>
        <v>1.2949999999999675E-2</v>
      </c>
    </row>
    <row r="23" spans="1:135" x14ac:dyDescent="0.45">
      <c r="A23" s="8">
        <f ca="1"/>
        <v>2</v>
      </c>
      <c r="B23" s="58">
        <f ca="1"/>
        <v>1E-3</v>
      </c>
      <c r="C23" s="18">
        <f ca="1"/>
        <v>97.103999999999999</v>
      </c>
      <c r="D23" s="18">
        <f t="shared" ca="1" si="0"/>
        <v>97.426083887443596</v>
      </c>
      <c r="E23" s="18">
        <f t="shared" ca="1" si="1"/>
        <v>0.32208388744359695</v>
      </c>
      <c r="F23" s="18">
        <f t="shared" ca="1" si="2"/>
        <v>0.32208388744359695</v>
      </c>
      <c r="G23" s="19">
        <f t="shared" ca="1" si="3"/>
        <v>8.3925397308357574E-3</v>
      </c>
      <c r="H23" s="19">
        <f ca="1">IFERROR(IRR((J23,L23:CK23),0),0)</f>
        <v>7.5568141599136052E-3</v>
      </c>
      <c r="I23" s="55">
        <f t="shared" ca="1" si="4"/>
        <v>-8.3572557092215227E-4</v>
      </c>
      <c r="J23" s="18">
        <f t="shared" ca="1" si="5"/>
        <v>-97.426083887443596</v>
      </c>
      <c r="K23" s="29">
        <f t="shared" ca="1" si="6"/>
        <v>-97.103999999999999</v>
      </c>
      <c r="L23" s="9">
        <f t="shared" ref="L23:U32" ca="1" si="24">$B23*100*(L$2&lt;$A23)+100*(1+$B23)*(L$2=$A23)</f>
        <v>0.1</v>
      </c>
      <c r="M23" s="9">
        <f t="shared" ca="1" si="24"/>
        <v>0.1</v>
      </c>
      <c r="N23" s="9">
        <f t="shared" ca="1" si="24"/>
        <v>0.1</v>
      </c>
      <c r="O23" s="9">
        <f t="shared" ca="1" si="24"/>
        <v>100.1</v>
      </c>
      <c r="P23" s="9">
        <f t="shared" ca="1" si="24"/>
        <v>0</v>
      </c>
      <c r="Q23" s="9">
        <f t="shared" ca="1" si="24"/>
        <v>0</v>
      </c>
      <c r="R23" s="9">
        <f t="shared" ca="1" si="24"/>
        <v>0</v>
      </c>
      <c r="S23" s="9">
        <f t="shared" ca="1" si="24"/>
        <v>0</v>
      </c>
      <c r="T23" s="9">
        <f t="shared" ca="1" si="24"/>
        <v>0</v>
      </c>
      <c r="U23" s="9">
        <f t="shared" ca="1" si="24"/>
        <v>0</v>
      </c>
      <c r="V23" s="9">
        <f t="shared" ref="V23:AE32" ca="1" si="25">$B23*100*(V$2&lt;$A23)+100*(1+$B23)*(V$2=$A23)</f>
        <v>0</v>
      </c>
      <c r="W23" s="9">
        <f t="shared" ca="1" si="25"/>
        <v>0</v>
      </c>
      <c r="X23" s="9">
        <f t="shared" ca="1" si="25"/>
        <v>0</v>
      </c>
      <c r="Y23" s="9">
        <f t="shared" ca="1" si="25"/>
        <v>0</v>
      </c>
      <c r="Z23" s="9">
        <f t="shared" ca="1" si="25"/>
        <v>0</v>
      </c>
      <c r="AA23" s="9">
        <f t="shared" ca="1" si="25"/>
        <v>0</v>
      </c>
      <c r="AB23" s="9">
        <f t="shared" ca="1" si="25"/>
        <v>0</v>
      </c>
      <c r="AC23" s="9">
        <f t="shared" ca="1" si="25"/>
        <v>0</v>
      </c>
      <c r="AD23" s="9">
        <f t="shared" ca="1" si="25"/>
        <v>0</v>
      </c>
      <c r="AE23" s="9">
        <f t="shared" ca="1" si="25"/>
        <v>0</v>
      </c>
      <c r="AF23" s="9">
        <f t="shared" ref="AF23:AO32" ca="1" si="26">$B23*100*(AF$2&lt;$A23)+100*(1+$B23)*(AF$2=$A23)</f>
        <v>0</v>
      </c>
      <c r="AG23" s="9">
        <f t="shared" ca="1" si="26"/>
        <v>0</v>
      </c>
      <c r="AH23" s="9">
        <f t="shared" ca="1" si="26"/>
        <v>0</v>
      </c>
      <c r="AI23" s="9">
        <f t="shared" ca="1" si="26"/>
        <v>0</v>
      </c>
      <c r="AJ23" s="9">
        <f t="shared" ca="1" si="26"/>
        <v>0</v>
      </c>
      <c r="AK23" s="9">
        <f t="shared" ca="1" si="26"/>
        <v>0</v>
      </c>
      <c r="AL23" s="9">
        <f t="shared" ca="1" si="26"/>
        <v>0</v>
      </c>
      <c r="AM23" s="9">
        <f t="shared" ca="1" si="26"/>
        <v>0</v>
      </c>
      <c r="AN23" s="9">
        <f t="shared" ca="1" si="26"/>
        <v>0</v>
      </c>
      <c r="AO23" s="9">
        <f t="shared" ca="1" si="26"/>
        <v>0</v>
      </c>
      <c r="AP23" s="9">
        <f t="shared" ref="AP23:AY32" ca="1" si="27">$B23*100*(AP$2&lt;$A23)+100*(1+$B23)*(AP$2=$A23)</f>
        <v>0</v>
      </c>
      <c r="AQ23" s="9">
        <f t="shared" ca="1" si="27"/>
        <v>0</v>
      </c>
      <c r="AR23" s="9">
        <f t="shared" ca="1" si="27"/>
        <v>0</v>
      </c>
      <c r="AS23" s="9">
        <f t="shared" ca="1" si="27"/>
        <v>0</v>
      </c>
      <c r="AT23" s="9">
        <f t="shared" ca="1" si="27"/>
        <v>0</v>
      </c>
      <c r="AU23" s="9">
        <f t="shared" ca="1" si="27"/>
        <v>0</v>
      </c>
      <c r="AV23" s="9">
        <f t="shared" ca="1" si="27"/>
        <v>0</v>
      </c>
      <c r="AW23" s="9">
        <f t="shared" ca="1" si="27"/>
        <v>0</v>
      </c>
      <c r="AX23" s="9">
        <f t="shared" ca="1" si="27"/>
        <v>0</v>
      </c>
      <c r="AY23" s="9">
        <f t="shared" ca="1" si="27"/>
        <v>0</v>
      </c>
      <c r="AZ23" s="9">
        <f t="shared" ref="AZ23:BI32" ca="1" si="28">$B23*100*(AZ$2&lt;$A23)+100*(1+$B23)*(AZ$2=$A23)</f>
        <v>0</v>
      </c>
      <c r="BA23" s="9">
        <f t="shared" ca="1" si="28"/>
        <v>0</v>
      </c>
      <c r="BB23" s="9">
        <f t="shared" ca="1" si="28"/>
        <v>0</v>
      </c>
      <c r="BC23" s="9">
        <f t="shared" ca="1" si="28"/>
        <v>0</v>
      </c>
      <c r="BD23" s="9">
        <f t="shared" ca="1" si="28"/>
        <v>0</v>
      </c>
      <c r="BE23" s="9">
        <f t="shared" ca="1" si="28"/>
        <v>0</v>
      </c>
      <c r="BF23" s="9">
        <f t="shared" ca="1" si="28"/>
        <v>0</v>
      </c>
      <c r="BG23" s="9">
        <f t="shared" ca="1" si="28"/>
        <v>0</v>
      </c>
      <c r="BH23" s="9">
        <f t="shared" ca="1" si="28"/>
        <v>0</v>
      </c>
      <c r="BI23" s="9">
        <f t="shared" ca="1" si="28"/>
        <v>0</v>
      </c>
      <c r="BJ23" s="9">
        <f t="shared" ref="BJ23:BS32" ca="1" si="29">$B23*100*(BJ$2&lt;$A23)+100*(1+$B23)*(BJ$2=$A23)</f>
        <v>0</v>
      </c>
      <c r="BK23" s="9">
        <f t="shared" ca="1" si="29"/>
        <v>0</v>
      </c>
      <c r="BL23" s="9">
        <f t="shared" ca="1" si="29"/>
        <v>0</v>
      </c>
      <c r="BM23" s="9">
        <f t="shared" ca="1" si="29"/>
        <v>0</v>
      </c>
      <c r="BN23" s="9">
        <f t="shared" ca="1" si="29"/>
        <v>0</v>
      </c>
      <c r="BO23" s="9">
        <f t="shared" ca="1" si="29"/>
        <v>0</v>
      </c>
      <c r="BP23" s="9">
        <f t="shared" ca="1" si="29"/>
        <v>0</v>
      </c>
      <c r="BQ23" s="9">
        <f t="shared" ca="1" si="29"/>
        <v>0</v>
      </c>
      <c r="BR23" s="9">
        <f t="shared" ca="1" si="29"/>
        <v>0</v>
      </c>
      <c r="BS23" s="9">
        <f t="shared" ca="1" si="29"/>
        <v>0</v>
      </c>
      <c r="BT23" s="9">
        <f t="shared" ref="BT23:CC32" ca="1" si="30">$B23*100*(BT$2&lt;$A23)+100*(1+$B23)*(BT$2=$A23)</f>
        <v>0</v>
      </c>
      <c r="BU23" s="9">
        <f t="shared" ca="1" si="30"/>
        <v>0</v>
      </c>
      <c r="BV23" s="9">
        <f t="shared" ca="1" si="30"/>
        <v>0</v>
      </c>
      <c r="BW23" s="9">
        <f t="shared" ca="1" si="30"/>
        <v>0</v>
      </c>
      <c r="BX23" s="9">
        <f t="shared" ca="1" si="30"/>
        <v>0</v>
      </c>
      <c r="BY23" s="9">
        <f t="shared" ca="1" si="30"/>
        <v>0</v>
      </c>
      <c r="BZ23" s="9">
        <f t="shared" ca="1" si="30"/>
        <v>0</v>
      </c>
      <c r="CA23" s="9">
        <f t="shared" ca="1" si="30"/>
        <v>0</v>
      </c>
      <c r="CB23" s="9">
        <f t="shared" ca="1" si="30"/>
        <v>0</v>
      </c>
      <c r="CC23" s="9">
        <f t="shared" ca="1" si="30"/>
        <v>0</v>
      </c>
      <c r="CD23" s="9">
        <f t="shared" ref="CD23:CK32" ca="1" si="31">$B23*100*(CD$2&lt;$A23)+100*(1+$B23)*(CD$2=$A23)</f>
        <v>0</v>
      </c>
      <c r="CE23" s="9">
        <f t="shared" ca="1" si="31"/>
        <v>0</v>
      </c>
      <c r="CF23" s="9">
        <f t="shared" ca="1" si="31"/>
        <v>0</v>
      </c>
      <c r="CG23" s="9">
        <f t="shared" ca="1" si="31"/>
        <v>0</v>
      </c>
      <c r="CH23" s="9">
        <f t="shared" ca="1" si="31"/>
        <v>0</v>
      </c>
      <c r="CI23" s="9">
        <f t="shared" ca="1" si="31"/>
        <v>0</v>
      </c>
      <c r="CJ23" s="9">
        <f t="shared" ca="1" si="31"/>
        <v>0</v>
      </c>
      <c r="CK23" s="30">
        <f t="shared" ca="1" si="31"/>
        <v>0</v>
      </c>
      <c r="CN23" s="9">
        <v>10</v>
      </c>
      <c r="CO23" s="17">
        <v>0.05</v>
      </c>
      <c r="CP23" s="17">
        <v>-1.5796804731793478E-2</v>
      </c>
      <c r="CQ23" s="17">
        <v>-1.3397458302737385E-2</v>
      </c>
      <c r="CR23" s="17">
        <v>2.502023833922866E-4</v>
      </c>
      <c r="CS23" s="17">
        <f t="shared" si="15"/>
        <v>2.1055939348861429E-2</v>
      </c>
      <c r="EC23" s="9">
        <f ca="1"/>
        <v>1.2859999999999972E-2</v>
      </c>
      <c r="ED23" s="9">
        <f ca="1"/>
        <v>1.2739999999999967E-2</v>
      </c>
      <c r="EE23" s="9">
        <f ca="1"/>
        <v>1.2979999999999976E-2</v>
      </c>
    </row>
    <row r="24" spans="1:135" x14ac:dyDescent="0.45">
      <c r="A24" s="8">
        <f ca="1"/>
        <v>2</v>
      </c>
      <c r="B24" s="58">
        <f ca="1"/>
        <v>4.0000000000000001E-3</v>
      </c>
      <c r="C24" s="18">
        <f ca="1"/>
        <v>97.831999999999994</v>
      </c>
      <c r="D24" s="18">
        <f t="shared" ca="1" si="0"/>
        <v>98.603954614713771</v>
      </c>
      <c r="E24" s="18">
        <f t="shared" ca="1" si="1"/>
        <v>0.77195461471377769</v>
      </c>
      <c r="F24" s="18">
        <f t="shared" ca="1" si="2"/>
        <v>0.77195461471377769</v>
      </c>
      <c r="G24" s="19">
        <f t="shared" ca="1" si="3"/>
        <v>9.550017691379864E-3</v>
      </c>
      <c r="H24" s="19">
        <f ca="1">IFERROR(IRR((J24,L24:CK24),0),0)</f>
        <v>7.5562924137180243E-3</v>
      </c>
      <c r="I24" s="55">
        <f t="shared" ca="1" si="4"/>
        <v>-1.9937252776618397E-3</v>
      </c>
      <c r="J24" s="18">
        <f t="shared" ca="1" si="5"/>
        <v>-98.603954614713771</v>
      </c>
      <c r="K24" s="29">
        <f t="shared" ca="1" si="6"/>
        <v>-97.831999999999994</v>
      </c>
      <c r="L24" s="9">
        <f t="shared" ca="1" si="24"/>
        <v>0.4</v>
      </c>
      <c r="M24" s="9">
        <f t="shared" ca="1" si="24"/>
        <v>0.4</v>
      </c>
      <c r="N24" s="9">
        <f t="shared" ca="1" si="24"/>
        <v>0.4</v>
      </c>
      <c r="O24" s="9">
        <f t="shared" ca="1" si="24"/>
        <v>100.4</v>
      </c>
      <c r="P24" s="9">
        <f t="shared" ca="1" si="24"/>
        <v>0</v>
      </c>
      <c r="Q24" s="9">
        <f t="shared" ca="1" si="24"/>
        <v>0</v>
      </c>
      <c r="R24" s="9">
        <f t="shared" ca="1" si="24"/>
        <v>0</v>
      </c>
      <c r="S24" s="9">
        <f t="shared" ca="1" si="24"/>
        <v>0</v>
      </c>
      <c r="T24" s="9">
        <f t="shared" ca="1" si="24"/>
        <v>0</v>
      </c>
      <c r="U24" s="9">
        <f t="shared" ca="1" si="24"/>
        <v>0</v>
      </c>
      <c r="V24" s="9">
        <f t="shared" ca="1" si="25"/>
        <v>0</v>
      </c>
      <c r="W24" s="9">
        <f t="shared" ca="1" si="25"/>
        <v>0</v>
      </c>
      <c r="X24" s="9">
        <f t="shared" ca="1" si="25"/>
        <v>0</v>
      </c>
      <c r="Y24" s="9">
        <f t="shared" ca="1" si="25"/>
        <v>0</v>
      </c>
      <c r="Z24" s="9">
        <f t="shared" ca="1" si="25"/>
        <v>0</v>
      </c>
      <c r="AA24" s="9">
        <f t="shared" ca="1" si="25"/>
        <v>0</v>
      </c>
      <c r="AB24" s="9">
        <f t="shared" ca="1" si="25"/>
        <v>0</v>
      </c>
      <c r="AC24" s="9">
        <f t="shared" ca="1" si="25"/>
        <v>0</v>
      </c>
      <c r="AD24" s="9">
        <f t="shared" ca="1" si="25"/>
        <v>0</v>
      </c>
      <c r="AE24" s="9">
        <f t="shared" ca="1" si="25"/>
        <v>0</v>
      </c>
      <c r="AF24" s="9">
        <f t="shared" ca="1" si="26"/>
        <v>0</v>
      </c>
      <c r="AG24" s="9">
        <f t="shared" ca="1" si="26"/>
        <v>0</v>
      </c>
      <c r="AH24" s="9">
        <f t="shared" ca="1" si="26"/>
        <v>0</v>
      </c>
      <c r="AI24" s="9">
        <f t="shared" ca="1" si="26"/>
        <v>0</v>
      </c>
      <c r="AJ24" s="9">
        <f t="shared" ca="1" si="26"/>
        <v>0</v>
      </c>
      <c r="AK24" s="9">
        <f t="shared" ca="1" si="26"/>
        <v>0</v>
      </c>
      <c r="AL24" s="9">
        <f t="shared" ca="1" si="26"/>
        <v>0</v>
      </c>
      <c r="AM24" s="9">
        <f t="shared" ca="1" si="26"/>
        <v>0</v>
      </c>
      <c r="AN24" s="9">
        <f t="shared" ca="1" si="26"/>
        <v>0</v>
      </c>
      <c r="AO24" s="9">
        <f t="shared" ca="1" si="26"/>
        <v>0</v>
      </c>
      <c r="AP24" s="9">
        <f t="shared" ca="1" si="27"/>
        <v>0</v>
      </c>
      <c r="AQ24" s="9">
        <f t="shared" ca="1" si="27"/>
        <v>0</v>
      </c>
      <c r="AR24" s="9">
        <f t="shared" ca="1" si="27"/>
        <v>0</v>
      </c>
      <c r="AS24" s="9">
        <f t="shared" ca="1" si="27"/>
        <v>0</v>
      </c>
      <c r="AT24" s="9">
        <f t="shared" ca="1" si="27"/>
        <v>0</v>
      </c>
      <c r="AU24" s="9">
        <f t="shared" ca="1" si="27"/>
        <v>0</v>
      </c>
      <c r="AV24" s="9">
        <f t="shared" ca="1" si="27"/>
        <v>0</v>
      </c>
      <c r="AW24" s="9">
        <f t="shared" ca="1" si="27"/>
        <v>0</v>
      </c>
      <c r="AX24" s="9">
        <f t="shared" ca="1" si="27"/>
        <v>0</v>
      </c>
      <c r="AY24" s="9">
        <f t="shared" ca="1" si="27"/>
        <v>0</v>
      </c>
      <c r="AZ24" s="9">
        <f t="shared" ca="1" si="28"/>
        <v>0</v>
      </c>
      <c r="BA24" s="9">
        <f t="shared" ca="1" si="28"/>
        <v>0</v>
      </c>
      <c r="BB24" s="9">
        <f t="shared" ca="1" si="28"/>
        <v>0</v>
      </c>
      <c r="BC24" s="9">
        <f t="shared" ca="1" si="28"/>
        <v>0</v>
      </c>
      <c r="BD24" s="9">
        <f t="shared" ca="1" si="28"/>
        <v>0</v>
      </c>
      <c r="BE24" s="9">
        <f t="shared" ca="1" si="28"/>
        <v>0</v>
      </c>
      <c r="BF24" s="9">
        <f t="shared" ca="1" si="28"/>
        <v>0</v>
      </c>
      <c r="BG24" s="9">
        <f t="shared" ca="1" si="28"/>
        <v>0</v>
      </c>
      <c r="BH24" s="9">
        <f t="shared" ca="1" si="28"/>
        <v>0</v>
      </c>
      <c r="BI24" s="9">
        <f t="shared" ca="1" si="28"/>
        <v>0</v>
      </c>
      <c r="BJ24" s="9">
        <f t="shared" ca="1" si="29"/>
        <v>0</v>
      </c>
      <c r="BK24" s="9">
        <f t="shared" ca="1" si="29"/>
        <v>0</v>
      </c>
      <c r="BL24" s="9">
        <f t="shared" ca="1" si="29"/>
        <v>0</v>
      </c>
      <c r="BM24" s="9">
        <f t="shared" ca="1" si="29"/>
        <v>0</v>
      </c>
      <c r="BN24" s="9">
        <f t="shared" ca="1" si="29"/>
        <v>0</v>
      </c>
      <c r="BO24" s="9">
        <f t="shared" ca="1" si="29"/>
        <v>0</v>
      </c>
      <c r="BP24" s="9">
        <f t="shared" ca="1" si="29"/>
        <v>0</v>
      </c>
      <c r="BQ24" s="9">
        <f t="shared" ca="1" si="29"/>
        <v>0</v>
      </c>
      <c r="BR24" s="9">
        <f t="shared" ca="1" si="29"/>
        <v>0</v>
      </c>
      <c r="BS24" s="9">
        <f t="shared" ca="1" si="29"/>
        <v>0</v>
      </c>
      <c r="BT24" s="9">
        <f t="shared" ca="1" si="30"/>
        <v>0</v>
      </c>
      <c r="BU24" s="9">
        <f t="shared" ca="1" si="30"/>
        <v>0</v>
      </c>
      <c r="BV24" s="9">
        <f t="shared" ca="1" si="30"/>
        <v>0</v>
      </c>
      <c r="BW24" s="9">
        <f t="shared" ca="1" si="30"/>
        <v>0</v>
      </c>
      <c r="BX24" s="9">
        <f t="shared" ca="1" si="30"/>
        <v>0</v>
      </c>
      <c r="BY24" s="9">
        <f t="shared" ca="1" si="30"/>
        <v>0</v>
      </c>
      <c r="BZ24" s="9">
        <f t="shared" ca="1" si="30"/>
        <v>0</v>
      </c>
      <c r="CA24" s="9">
        <f t="shared" ca="1" si="30"/>
        <v>0</v>
      </c>
      <c r="CB24" s="9">
        <f t="shared" ca="1" si="30"/>
        <v>0</v>
      </c>
      <c r="CC24" s="9">
        <f t="shared" ca="1" si="30"/>
        <v>0</v>
      </c>
      <c r="CD24" s="9">
        <f t="shared" ca="1" si="31"/>
        <v>0</v>
      </c>
      <c r="CE24" s="9">
        <f t="shared" ca="1" si="31"/>
        <v>0</v>
      </c>
      <c r="CF24" s="9">
        <f t="shared" ca="1" si="31"/>
        <v>0</v>
      </c>
      <c r="CG24" s="9">
        <f t="shared" ca="1" si="31"/>
        <v>0</v>
      </c>
      <c r="CH24" s="9">
        <f t="shared" ca="1" si="31"/>
        <v>0</v>
      </c>
      <c r="CI24" s="9">
        <f t="shared" ca="1" si="31"/>
        <v>0</v>
      </c>
      <c r="CJ24" s="9">
        <f t="shared" ca="1" si="31"/>
        <v>0</v>
      </c>
      <c r="CK24" s="30">
        <f t="shared" ca="1" si="31"/>
        <v>0</v>
      </c>
      <c r="CN24" s="9">
        <v>10.5</v>
      </c>
      <c r="CO24" s="17">
        <v>0.05</v>
      </c>
      <c r="CP24" s="17">
        <v>-1.5223999414796761E-2</v>
      </c>
      <c r="CQ24" s="17">
        <v>-1.3243695309929091E-2</v>
      </c>
      <c r="CR24" s="17">
        <v>2.3828924941636436E-4</v>
      </c>
      <c r="CS24" s="17">
        <f t="shared" si="15"/>
        <v>2.1770594524690517E-2</v>
      </c>
      <c r="EC24" s="9">
        <f ca="1"/>
        <v>1.2894999999999853E-2</v>
      </c>
      <c r="ED24" s="9">
        <f ca="1"/>
        <v>1.2779999999999857E-2</v>
      </c>
      <c r="EE24" s="9">
        <f ca="1"/>
        <v>1.3009999999999848E-2</v>
      </c>
    </row>
    <row r="25" spans="1:135" x14ac:dyDescent="0.45">
      <c r="A25" s="8">
        <f ca="1"/>
        <v>2</v>
      </c>
      <c r="B25" s="58">
        <f ca="1"/>
        <v>3.0000000000000001E-3</v>
      </c>
      <c r="C25" s="18">
        <f ca="1"/>
        <v>97.578499999999991</v>
      </c>
      <c r="D25" s="18">
        <f t="shared" ca="1" si="0"/>
        <v>98.211331038957013</v>
      </c>
      <c r="E25" s="18">
        <f t="shared" ca="1" si="1"/>
        <v>0.63283103895702197</v>
      </c>
      <c r="F25" s="18">
        <f t="shared" ca="1" si="2"/>
        <v>0.63283103895702197</v>
      </c>
      <c r="G25" s="19">
        <f t="shared" ca="1" si="3"/>
        <v>9.1935249016978915E-3</v>
      </c>
      <c r="H25" s="19">
        <f ca="1">IFERROR(IRR((J25,L25:CK25),0),0)</f>
        <v>7.5564654593658354E-3</v>
      </c>
      <c r="I25" s="55">
        <f t="shared" ca="1" si="4"/>
        <v>-1.6370594423320561E-3</v>
      </c>
      <c r="J25" s="18">
        <f t="shared" ca="1" si="5"/>
        <v>-98.211331038957013</v>
      </c>
      <c r="K25" s="29">
        <f t="shared" ca="1" si="6"/>
        <v>-97.578499999999991</v>
      </c>
      <c r="L25" s="9">
        <f t="shared" ca="1" si="24"/>
        <v>0.3</v>
      </c>
      <c r="M25" s="9">
        <f t="shared" ca="1" si="24"/>
        <v>0.3</v>
      </c>
      <c r="N25" s="9">
        <f t="shared" ca="1" si="24"/>
        <v>0.3</v>
      </c>
      <c r="O25" s="9">
        <f t="shared" ca="1" si="24"/>
        <v>100.29999999999998</v>
      </c>
      <c r="P25" s="9">
        <f t="shared" ca="1" si="24"/>
        <v>0</v>
      </c>
      <c r="Q25" s="9">
        <f t="shared" ca="1" si="24"/>
        <v>0</v>
      </c>
      <c r="R25" s="9">
        <f t="shared" ca="1" si="24"/>
        <v>0</v>
      </c>
      <c r="S25" s="9">
        <f t="shared" ca="1" si="24"/>
        <v>0</v>
      </c>
      <c r="T25" s="9">
        <f t="shared" ca="1" si="24"/>
        <v>0</v>
      </c>
      <c r="U25" s="9">
        <f t="shared" ca="1" si="24"/>
        <v>0</v>
      </c>
      <c r="V25" s="9">
        <f t="shared" ca="1" si="25"/>
        <v>0</v>
      </c>
      <c r="W25" s="9">
        <f t="shared" ca="1" si="25"/>
        <v>0</v>
      </c>
      <c r="X25" s="9">
        <f t="shared" ca="1" si="25"/>
        <v>0</v>
      </c>
      <c r="Y25" s="9">
        <f t="shared" ca="1" si="25"/>
        <v>0</v>
      </c>
      <c r="Z25" s="9">
        <f t="shared" ca="1" si="25"/>
        <v>0</v>
      </c>
      <c r="AA25" s="9">
        <f t="shared" ca="1" si="25"/>
        <v>0</v>
      </c>
      <c r="AB25" s="9">
        <f t="shared" ca="1" si="25"/>
        <v>0</v>
      </c>
      <c r="AC25" s="9">
        <f t="shared" ca="1" si="25"/>
        <v>0</v>
      </c>
      <c r="AD25" s="9">
        <f t="shared" ca="1" si="25"/>
        <v>0</v>
      </c>
      <c r="AE25" s="9">
        <f t="shared" ca="1" si="25"/>
        <v>0</v>
      </c>
      <c r="AF25" s="9">
        <f t="shared" ca="1" si="26"/>
        <v>0</v>
      </c>
      <c r="AG25" s="9">
        <f t="shared" ca="1" si="26"/>
        <v>0</v>
      </c>
      <c r="AH25" s="9">
        <f t="shared" ca="1" si="26"/>
        <v>0</v>
      </c>
      <c r="AI25" s="9">
        <f t="shared" ca="1" si="26"/>
        <v>0</v>
      </c>
      <c r="AJ25" s="9">
        <f t="shared" ca="1" si="26"/>
        <v>0</v>
      </c>
      <c r="AK25" s="9">
        <f t="shared" ca="1" si="26"/>
        <v>0</v>
      </c>
      <c r="AL25" s="9">
        <f t="shared" ca="1" si="26"/>
        <v>0</v>
      </c>
      <c r="AM25" s="9">
        <f t="shared" ca="1" si="26"/>
        <v>0</v>
      </c>
      <c r="AN25" s="9">
        <f t="shared" ca="1" si="26"/>
        <v>0</v>
      </c>
      <c r="AO25" s="9">
        <f t="shared" ca="1" si="26"/>
        <v>0</v>
      </c>
      <c r="AP25" s="9">
        <f t="shared" ca="1" si="27"/>
        <v>0</v>
      </c>
      <c r="AQ25" s="9">
        <f t="shared" ca="1" si="27"/>
        <v>0</v>
      </c>
      <c r="AR25" s="9">
        <f t="shared" ca="1" si="27"/>
        <v>0</v>
      </c>
      <c r="AS25" s="9">
        <f t="shared" ca="1" si="27"/>
        <v>0</v>
      </c>
      <c r="AT25" s="9">
        <f t="shared" ca="1" si="27"/>
        <v>0</v>
      </c>
      <c r="AU25" s="9">
        <f t="shared" ca="1" si="27"/>
        <v>0</v>
      </c>
      <c r="AV25" s="9">
        <f t="shared" ca="1" si="27"/>
        <v>0</v>
      </c>
      <c r="AW25" s="9">
        <f t="shared" ca="1" si="27"/>
        <v>0</v>
      </c>
      <c r="AX25" s="9">
        <f t="shared" ca="1" si="27"/>
        <v>0</v>
      </c>
      <c r="AY25" s="9">
        <f t="shared" ca="1" si="27"/>
        <v>0</v>
      </c>
      <c r="AZ25" s="9">
        <f t="shared" ca="1" si="28"/>
        <v>0</v>
      </c>
      <c r="BA25" s="9">
        <f t="shared" ca="1" si="28"/>
        <v>0</v>
      </c>
      <c r="BB25" s="9">
        <f t="shared" ca="1" si="28"/>
        <v>0</v>
      </c>
      <c r="BC25" s="9">
        <f t="shared" ca="1" si="28"/>
        <v>0</v>
      </c>
      <c r="BD25" s="9">
        <f t="shared" ca="1" si="28"/>
        <v>0</v>
      </c>
      <c r="BE25" s="9">
        <f t="shared" ca="1" si="28"/>
        <v>0</v>
      </c>
      <c r="BF25" s="9">
        <f t="shared" ca="1" si="28"/>
        <v>0</v>
      </c>
      <c r="BG25" s="9">
        <f t="shared" ca="1" si="28"/>
        <v>0</v>
      </c>
      <c r="BH25" s="9">
        <f t="shared" ca="1" si="28"/>
        <v>0</v>
      </c>
      <c r="BI25" s="9">
        <f t="shared" ca="1" si="28"/>
        <v>0</v>
      </c>
      <c r="BJ25" s="9">
        <f t="shared" ca="1" si="29"/>
        <v>0</v>
      </c>
      <c r="BK25" s="9">
        <f t="shared" ca="1" si="29"/>
        <v>0</v>
      </c>
      <c r="BL25" s="9">
        <f t="shared" ca="1" si="29"/>
        <v>0</v>
      </c>
      <c r="BM25" s="9">
        <f t="shared" ca="1" si="29"/>
        <v>0</v>
      </c>
      <c r="BN25" s="9">
        <f t="shared" ca="1" si="29"/>
        <v>0</v>
      </c>
      <c r="BO25" s="9">
        <f t="shared" ca="1" si="29"/>
        <v>0</v>
      </c>
      <c r="BP25" s="9">
        <f t="shared" ca="1" si="29"/>
        <v>0</v>
      </c>
      <c r="BQ25" s="9">
        <f t="shared" ca="1" si="29"/>
        <v>0</v>
      </c>
      <c r="BR25" s="9">
        <f t="shared" ca="1" si="29"/>
        <v>0</v>
      </c>
      <c r="BS25" s="9">
        <f t="shared" ca="1" si="29"/>
        <v>0</v>
      </c>
      <c r="BT25" s="9">
        <f t="shared" ca="1" si="30"/>
        <v>0</v>
      </c>
      <c r="BU25" s="9">
        <f t="shared" ca="1" si="30"/>
        <v>0</v>
      </c>
      <c r="BV25" s="9">
        <f t="shared" ca="1" si="30"/>
        <v>0</v>
      </c>
      <c r="BW25" s="9">
        <f t="shared" ca="1" si="30"/>
        <v>0</v>
      </c>
      <c r="BX25" s="9">
        <f t="shared" ca="1" si="30"/>
        <v>0</v>
      </c>
      <c r="BY25" s="9">
        <f t="shared" ca="1" si="30"/>
        <v>0</v>
      </c>
      <c r="BZ25" s="9">
        <f t="shared" ca="1" si="30"/>
        <v>0</v>
      </c>
      <c r="CA25" s="9">
        <f t="shared" ca="1" si="30"/>
        <v>0</v>
      </c>
      <c r="CB25" s="9">
        <f t="shared" ca="1" si="30"/>
        <v>0</v>
      </c>
      <c r="CC25" s="9">
        <f t="shared" ca="1" si="30"/>
        <v>0</v>
      </c>
      <c r="CD25" s="9">
        <f t="shared" ca="1" si="31"/>
        <v>0</v>
      </c>
      <c r="CE25" s="9">
        <f t="shared" ca="1" si="31"/>
        <v>0</v>
      </c>
      <c r="CF25" s="9">
        <f t="shared" ca="1" si="31"/>
        <v>0</v>
      </c>
      <c r="CG25" s="9">
        <f t="shared" ca="1" si="31"/>
        <v>0</v>
      </c>
      <c r="CH25" s="9">
        <f t="shared" ca="1" si="31"/>
        <v>0</v>
      </c>
      <c r="CI25" s="9">
        <f t="shared" ca="1" si="31"/>
        <v>0</v>
      </c>
      <c r="CJ25" s="9">
        <f t="shared" ca="1" si="31"/>
        <v>0</v>
      </c>
      <c r="CK25" s="30">
        <f t="shared" ca="1" si="31"/>
        <v>0</v>
      </c>
      <c r="CN25" s="9">
        <v>11</v>
      </c>
      <c r="CO25" s="17">
        <v>0.05</v>
      </c>
      <c r="CP25" s="17">
        <v>-1.4684499859575324E-2</v>
      </c>
      <c r="CQ25" s="17">
        <v>-1.3073348213553498E-2</v>
      </c>
      <c r="CR25" s="17">
        <v>2.2745854467958555E-4</v>
      </c>
      <c r="CS25" s="17">
        <f t="shared" si="15"/>
        <v>2.2469610471550765E-2</v>
      </c>
      <c r="EC25" s="9">
        <f ca="1"/>
        <v>1.3329999999999646E-2</v>
      </c>
      <c r="ED25" s="9">
        <f ca="1"/>
        <v>1.3219999999999656E-2</v>
      </c>
      <c r="EE25" s="9">
        <f ca="1"/>
        <v>1.3439999999999635E-2</v>
      </c>
    </row>
    <row r="26" spans="1:135" x14ac:dyDescent="0.45">
      <c r="A26" s="8">
        <f ca="1"/>
        <v>2.5</v>
      </c>
      <c r="B26" s="58">
        <f ca="1"/>
        <v>1E-3</v>
      </c>
      <c r="C26" s="18">
        <f ca="1"/>
        <v>96.6995</v>
      </c>
      <c r="D26" s="18">
        <f t="shared" ca="1" si="0"/>
        <v>96.69821490389225</v>
      </c>
      <c r="E26" s="18">
        <f t="shared" ca="1" si="1"/>
        <v>-1.2850961077504053E-3</v>
      </c>
      <c r="F26" s="18">
        <f t="shared" ca="1" si="2"/>
        <v>1.2850961077504053E-3</v>
      </c>
      <c r="G26" s="19">
        <f t="shared" ca="1" si="3"/>
        <v>7.755370564084263E-3</v>
      </c>
      <c r="H26" s="19">
        <f ca="1">IFERROR(IRR((J26,L26:CK26),0),0)</f>
        <v>7.7580545816633428E-3</v>
      </c>
      <c r="I26" s="55">
        <f t="shared" ca="1" si="4"/>
        <v>2.6840175790798781E-6</v>
      </c>
      <c r="J26" s="18">
        <f t="shared" ca="1" si="5"/>
        <v>-96.69821490389225</v>
      </c>
      <c r="K26" s="29">
        <f t="shared" ca="1" si="6"/>
        <v>-96.6995</v>
      </c>
      <c r="L26" s="9">
        <f t="shared" ca="1" si="24"/>
        <v>0.1</v>
      </c>
      <c r="M26" s="9">
        <f t="shared" ca="1" si="24"/>
        <v>0.1</v>
      </c>
      <c r="N26" s="9">
        <f t="shared" ca="1" si="24"/>
        <v>0.1</v>
      </c>
      <c r="O26" s="9">
        <f t="shared" ca="1" si="24"/>
        <v>0.1</v>
      </c>
      <c r="P26" s="9">
        <f t="shared" ca="1" si="24"/>
        <v>100.1</v>
      </c>
      <c r="Q26" s="9">
        <f t="shared" ca="1" si="24"/>
        <v>0</v>
      </c>
      <c r="R26" s="9">
        <f t="shared" ca="1" si="24"/>
        <v>0</v>
      </c>
      <c r="S26" s="9">
        <f t="shared" ca="1" si="24"/>
        <v>0</v>
      </c>
      <c r="T26" s="9">
        <f t="shared" ca="1" si="24"/>
        <v>0</v>
      </c>
      <c r="U26" s="9">
        <f t="shared" ca="1" si="24"/>
        <v>0</v>
      </c>
      <c r="V26" s="9">
        <f t="shared" ca="1" si="25"/>
        <v>0</v>
      </c>
      <c r="W26" s="9">
        <f t="shared" ca="1" si="25"/>
        <v>0</v>
      </c>
      <c r="X26" s="9">
        <f t="shared" ca="1" si="25"/>
        <v>0</v>
      </c>
      <c r="Y26" s="9">
        <f t="shared" ca="1" si="25"/>
        <v>0</v>
      </c>
      <c r="Z26" s="9">
        <f t="shared" ca="1" si="25"/>
        <v>0</v>
      </c>
      <c r="AA26" s="9">
        <f t="shared" ca="1" si="25"/>
        <v>0</v>
      </c>
      <c r="AB26" s="9">
        <f t="shared" ca="1" si="25"/>
        <v>0</v>
      </c>
      <c r="AC26" s="9">
        <f t="shared" ca="1" si="25"/>
        <v>0</v>
      </c>
      <c r="AD26" s="9">
        <f t="shared" ca="1" si="25"/>
        <v>0</v>
      </c>
      <c r="AE26" s="9">
        <f t="shared" ca="1" si="25"/>
        <v>0</v>
      </c>
      <c r="AF26" s="9">
        <f t="shared" ca="1" si="26"/>
        <v>0</v>
      </c>
      <c r="AG26" s="9">
        <f t="shared" ca="1" si="26"/>
        <v>0</v>
      </c>
      <c r="AH26" s="9">
        <f t="shared" ca="1" si="26"/>
        <v>0</v>
      </c>
      <c r="AI26" s="9">
        <f t="shared" ca="1" si="26"/>
        <v>0</v>
      </c>
      <c r="AJ26" s="9">
        <f t="shared" ca="1" si="26"/>
        <v>0</v>
      </c>
      <c r="AK26" s="9">
        <f t="shared" ca="1" si="26"/>
        <v>0</v>
      </c>
      <c r="AL26" s="9">
        <f t="shared" ca="1" si="26"/>
        <v>0</v>
      </c>
      <c r="AM26" s="9">
        <f t="shared" ca="1" si="26"/>
        <v>0</v>
      </c>
      <c r="AN26" s="9">
        <f t="shared" ca="1" si="26"/>
        <v>0</v>
      </c>
      <c r="AO26" s="9">
        <f t="shared" ca="1" si="26"/>
        <v>0</v>
      </c>
      <c r="AP26" s="9">
        <f t="shared" ca="1" si="27"/>
        <v>0</v>
      </c>
      <c r="AQ26" s="9">
        <f t="shared" ca="1" si="27"/>
        <v>0</v>
      </c>
      <c r="AR26" s="9">
        <f t="shared" ca="1" si="27"/>
        <v>0</v>
      </c>
      <c r="AS26" s="9">
        <f t="shared" ca="1" si="27"/>
        <v>0</v>
      </c>
      <c r="AT26" s="9">
        <f t="shared" ca="1" si="27"/>
        <v>0</v>
      </c>
      <c r="AU26" s="9">
        <f t="shared" ca="1" si="27"/>
        <v>0</v>
      </c>
      <c r="AV26" s="9">
        <f t="shared" ca="1" si="27"/>
        <v>0</v>
      </c>
      <c r="AW26" s="9">
        <f t="shared" ca="1" si="27"/>
        <v>0</v>
      </c>
      <c r="AX26" s="9">
        <f t="shared" ca="1" si="27"/>
        <v>0</v>
      </c>
      <c r="AY26" s="9">
        <f t="shared" ca="1" si="27"/>
        <v>0</v>
      </c>
      <c r="AZ26" s="9">
        <f t="shared" ca="1" si="28"/>
        <v>0</v>
      </c>
      <c r="BA26" s="9">
        <f t="shared" ca="1" si="28"/>
        <v>0</v>
      </c>
      <c r="BB26" s="9">
        <f t="shared" ca="1" si="28"/>
        <v>0</v>
      </c>
      <c r="BC26" s="9">
        <f t="shared" ca="1" si="28"/>
        <v>0</v>
      </c>
      <c r="BD26" s="9">
        <f t="shared" ca="1" si="28"/>
        <v>0</v>
      </c>
      <c r="BE26" s="9">
        <f t="shared" ca="1" si="28"/>
        <v>0</v>
      </c>
      <c r="BF26" s="9">
        <f t="shared" ca="1" si="28"/>
        <v>0</v>
      </c>
      <c r="BG26" s="9">
        <f t="shared" ca="1" si="28"/>
        <v>0</v>
      </c>
      <c r="BH26" s="9">
        <f t="shared" ca="1" si="28"/>
        <v>0</v>
      </c>
      <c r="BI26" s="9">
        <f t="shared" ca="1" si="28"/>
        <v>0</v>
      </c>
      <c r="BJ26" s="9">
        <f t="shared" ca="1" si="29"/>
        <v>0</v>
      </c>
      <c r="BK26" s="9">
        <f t="shared" ca="1" si="29"/>
        <v>0</v>
      </c>
      <c r="BL26" s="9">
        <f t="shared" ca="1" si="29"/>
        <v>0</v>
      </c>
      <c r="BM26" s="9">
        <f t="shared" ca="1" si="29"/>
        <v>0</v>
      </c>
      <c r="BN26" s="9">
        <f t="shared" ca="1" si="29"/>
        <v>0</v>
      </c>
      <c r="BO26" s="9">
        <f t="shared" ca="1" si="29"/>
        <v>0</v>
      </c>
      <c r="BP26" s="9">
        <f t="shared" ca="1" si="29"/>
        <v>0</v>
      </c>
      <c r="BQ26" s="9">
        <f t="shared" ca="1" si="29"/>
        <v>0</v>
      </c>
      <c r="BR26" s="9">
        <f t="shared" ca="1" si="29"/>
        <v>0</v>
      </c>
      <c r="BS26" s="9">
        <f t="shared" ca="1" si="29"/>
        <v>0</v>
      </c>
      <c r="BT26" s="9">
        <f t="shared" ca="1" si="30"/>
        <v>0</v>
      </c>
      <c r="BU26" s="9">
        <f t="shared" ca="1" si="30"/>
        <v>0</v>
      </c>
      <c r="BV26" s="9">
        <f t="shared" ca="1" si="30"/>
        <v>0</v>
      </c>
      <c r="BW26" s="9">
        <f t="shared" ca="1" si="30"/>
        <v>0</v>
      </c>
      <c r="BX26" s="9">
        <f t="shared" ca="1" si="30"/>
        <v>0</v>
      </c>
      <c r="BY26" s="9">
        <f t="shared" ca="1" si="30"/>
        <v>0</v>
      </c>
      <c r="BZ26" s="9">
        <f t="shared" ca="1" si="30"/>
        <v>0</v>
      </c>
      <c r="CA26" s="9">
        <f t="shared" ca="1" si="30"/>
        <v>0</v>
      </c>
      <c r="CB26" s="9">
        <f t="shared" ca="1" si="30"/>
        <v>0</v>
      </c>
      <c r="CC26" s="9">
        <f t="shared" ca="1" si="30"/>
        <v>0</v>
      </c>
      <c r="CD26" s="9">
        <f t="shared" ca="1" si="31"/>
        <v>0</v>
      </c>
      <c r="CE26" s="9">
        <f t="shared" ca="1" si="31"/>
        <v>0</v>
      </c>
      <c r="CF26" s="9">
        <f t="shared" ca="1" si="31"/>
        <v>0</v>
      </c>
      <c r="CG26" s="9">
        <f t="shared" ca="1" si="31"/>
        <v>0</v>
      </c>
      <c r="CH26" s="9">
        <f t="shared" ca="1" si="31"/>
        <v>0</v>
      </c>
      <c r="CI26" s="9">
        <f t="shared" ca="1" si="31"/>
        <v>0</v>
      </c>
      <c r="CJ26" s="9">
        <f t="shared" ca="1" si="31"/>
        <v>0</v>
      </c>
      <c r="CK26" s="30">
        <f t="shared" ca="1" si="31"/>
        <v>0</v>
      </c>
      <c r="CN26" s="9">
        <v>11.5</v>
      </c>
      <c r="CO26" s="17">
        <v>0.05</v>
      </c>
      <c r="CP26" s="17">
        <v>-1.4175928949918915E-2</v>
      </c>
      <c r="CQ26" s="17">
        <v>-1.2889678336522365E-2</v>
      </c>
      <c r="CR26" s="17">
        <v>2.1756935122564029E-4</v>
      </c>
      <c r="CS26" s="17">
        <f t="shared" si="15"/>
        <v>2.3151962064784364E-2</v>
      </c>
      <c r="EC26" s="9">
        <f ca="1"/>
        <v>1.3294999999999849E-2</v>
      </c>
      <c r="ED26" s="9">
        <f ca="1"/>
        <v>1.3179999999999865E-2</v>
      </c>
      <c r="EE26" s="9">
        <f ca="1"/>
        <v>1.3409999999999834E-2</v>
      </c>
    </row>
    <row r="27" spans="1:135" x14ac:dyDescent="0.45">
      <c r="A27" s="8">
        <f ca="1"/>
        <v>2.5</v>
      </c>
      <c r="B27" s="58">
        <f ca="1"/>
        <v>3.0000000000000001E-3</v>
      </c>
      <c r="C27" s="18">
        <f ca="1"/>
        <v>97.244</v>
      </c>
      <c r="D27" s="18">
        <f t="shared" ca="1" si="0"/>
        <v>97.675880819298058</v>
      </c>
      <c r="E27" s="18">
        <f t="shared" ca="1" si="1"/>
        <v>0.43188081929805833</v>
      </c>
      <c r="F27" s="18">
        <f t="shared" ca="1" si="2"/>
        <v>0.43188081929805833</v>
      </c>
      <c r="G27" s="19">
        <f t="shared" ca="1" si="3"/>
        <v>8.6559573090378983E-3</v>
      </c>
      <c r="H27" s="19">
        <f ca="1">IFERROR(IRR((J27,L27:CK27),0),0)</f>
        <v>7.7569642181547493E-3</v>
      </c>
      <c r="I27" s="55">
        <f t="shared" ca="1" si="4"/>
        <v>-8.9899309088314894E-4</v>
      </c>
      <c r="J27" s="18">
        <f t="shared" ca="1" si="5"/>
        <v>-97.675880819298058</v>
      </c>
      <c r="K27" s="29">
        <f t="shared" ca="1" si="6"/>
        <v>-97.244</v>
      </c>
      <c r="L27" s="9">
        <f t="shared" ca="1" si="24"/>
        <v>0.3</v>
      </c>
      <c r="M27" s="9">
        <f t="shared" ca="1" si="24"/>
        <v>0.3</v>
      </c>
      <c r="N27" s="9">
        <f t="shared" ca="1" si="24"/>
        <v>0.3</v>
      </c>
      <c r="O27" s="9">
        <f t="shared" ca="1" si="24"/>
        <v>0.3</v>
      </c>
      <c r="P27" s="9">
        <f t="shared" ca="1" si="24"/>
        <v>100.29999999999998</v>
      </c>
      <c r="Q27" s="9">
        <f t="shared" ca="1" si="24"/>
        <v>0</v>
      </c>
      <c r="R27" s="9">
        <f t="shared" ca="1" si="24"/>
        <v>0</v>
      </c>
      <c r="S27" s="9">
        <f t="shared" ca="1" si="24"/>
        <v>0</v>
      </c>
      <c r="T27" s="9">
        <f t="shared" ca="1" si="24"/>
        <v>0</v>
      </c>
      <c r="U27" s="9">
        <f t="shared" ca="1" si="24"/>
        <v>0</v>
      </c>
      <c r="V27" s="9">
        <f t="shared" ca="1" si="25"/>
        <v>0</v>
      </c>
      <c r="W27" s="9">
        <f t="shared" ca="1" si="25"/>
        <v>0</v>
      </c>
      <c r="X27" s="9">
        <f t="shared" ca="1" si="25"/>
        <v>0</v>
      </c>
      <c r="Y27" s="9">
        <f t="shared" ca="1" si="25"/>
        <v>0</v>
      </c>
      <c r="Z27" s="9">
        <f t="shared" ca="1" si="25"/>
        <v>0</v>
      </c>
      <c r="AA27" s="9">
        <f t="shared" ca="1" si="25"/>
        <v>0</v>
      </c>
      <c r="AB27" s="9">
        <f t="shared" ca="1" si="25"/>
        <v>0</v>
      </c>
      <c r="AC27" s="9">
        <f t="shared" ca="1" si="25"/>
        <v>0</v>
      </c>
      <c r="AD27" s="9">
        <f t="shared" ca="1" si="25"/>
        <v>0</v>
      </c>
      <c r="AE27" s="9">
        <f t="shared" ca="1" si="25"/>
        <v>0</v>
      </c>
      <c r="AF27" s="9">
        <f t="shared" ca="1" si="26"/>
        <v>0</v>
      </c>
      <c r="AG27" s="9">
        <f t="shared" ca="1" si="26"/>
        <v>0</v>
      </c>
      <c r="AH27" s="9">
        <f t="shared" ca="1" si="26"/>
        <v>0</v>
      </c>
      <c r="AI27" s="9">
        <f t="shared" ca="1" si="26"/>
        <v>0</v>
      </c>
      <c r="AJ27" s="9">
        <f t="shared" ca="1" si="26"/>
        <v>0</v>
      </c>
      <c r="AK27" s="9">
        <f t="shared" ca="1" si="26"/>
        <v>0</v>
      </c>
      <c r="AL27" s="9">
        <f t="shared" ca="1" si="26"/>
        <v>0</v>
      </c>
      <c r="AM27" s="9">
        <f t="shared" ca="1" si="26"/>
        <v>0</v>
      </c>
      <c r="AN27" s="9">
        <f t="shared" ca="1" si="26"/>
        <v>0</v>
      </c>
      <c r="AO27" s="9">
        <f t="shared" ca="1" si="26"/>
        <v>0</v>
      </c>
      <c r="AP27" s="9">
        <f t="shared" ca="1" si="27"/>
        <v>0</v>
      </c>
      <c r="AQ27" s="9">
        <f t="shared" ca="1" si="27"/>
        <v>0</v>
      </c>
      <c r="AR27" s="9">
        <f t="shared" ca="1" si="27"/>
        <v>0</v>
      </c>
      <c r="AS27" s="9">
        <f t="shared" ca="1" si="27"/>
        <v>0</v>
      </c>
      <c r="AT27" s="9">
        <f t="shared" ca="1" si="27"/>
        <v>0</v>
      </c>
      <c r="AU27" s="9">
        <f t="shared" ca="1" si="27"/>
        <v>0</v>
      </c>
      <c r="AV27" s="9">
        <f t="shared" ca="1" si="27"/>
        <v>0</v>
      </c>
      <c r="AW27" s="9">
        <f t="shared" ca="1" si="27"/>
        <v>0</v>
      </c>
      <c r="AX27" s="9">
        <f t="shared" ca="1" si="27"/>
        <v>0</v>
      </c>
      <c r="AY27" s="9">
        <f t="shared" ca="1" si="27"/>
        <v>0</v>
      </c>
      <c r="AZ27" s="9">
        <f t="shared" ca="1" si="28"/>
        <v>0</v>
      </c>
      <c r="BA27" s="9">
        <f t="shared" ca="1" si="28"/>
        <v>0</v>
      </c>
      <c r="BB27" s="9">
        <f t="shared" ca="1" si="28"/>
        <v>0</v>
      </c>
      <c r="BC27" s="9">
        <f t="shared" ca="1" si="28"/>
        <v>0</v>
      </c>
      <c r="BD27" s="9">
        <f t="shared" ca="1" si="28"/>
        <v>0</v>
      </c>
      <c r="BE27" s="9">
        <f t="shared" ca="1" si="28"/>
        <v>0</v>
      </c>
      <c r="BF27" s="9">
        <f t="shared" ca="1" si="28"/>
        <v>0</v>
      </c>
      <c r="BG27" s="9">
        <f t="shared" ca="1" si="28"/>
        <v>0</v>
      </c>
      <c r="BH27" s="9">
        <f t="shared" ca="1" si="28"/>
        <v>0</v>
      </c>
      <c r="BI27" s="9">
        <f t="shared" ca="1" si="28"/>
        <v>0</v>
      </c>
      <c r="BJ27" s="9">
        <f t="shared" ca="1" si="29"/>
        <v>0</v>
      </c>
      <c r="BK27" s="9">
        <f t="shared" ca="1" si="29"/>
        <v>0</v>
      </c>
      <c r="BL27" s="9">
        <f t="shared" ca="1" si="29"/>
        <v>0</v>
      </c>
      <c r="BM27" s="9">
        <f t="shared" ca="1" si="29"/>
        <v>0</v>
      </c>
      <c r="BN27" s="9">
        <f t="shared" ca="1" si="29"/>
        <v>0</v>
      </c>
      <c r="BO27" s="9">
        <f t="shared" ca="1" si="29"/>
        <v>0</v>
      </c>
      <c r="BP27" s="9">
        <f t="shared" ca="1" si="29"/>
        <v>0</v>
      </c>
      <c r="BQ27" s="9">
        <f t="shared" ca="1" si="29"/>
        <v>0</v>
      </c>
      <c r="BR27" s="9">
        <f t="shared" ca="1" si="29"/>
        <v>0</v>
      </c>
      <c r="BS27" s="9">
        <f t="shared" ca="1" si="29"/>
        <v>0</v>
      </c>
      <c r="BT27" s="9">
        <f t="shared" ca="1" si="30"/>
        <v>0</v>
      </c>
      <c r="BU27" s="9">
        <f t="shared" ca="1" si="30"/>
        <v>0</v>
      </c>
      <c r="BV27" s="9">
        <f t="shared" ca="1" si="30"/>
        <v>0</v>
      </c>
      <c r="BW27" s="9">
        <f t="shared" ca="1" si="30"/>
        <v>0</v>
      </c>
      <c r="BX27" s="9">
        <f t="shared" ca="1" si="30"/>
        <v>0</v>
      </c>
      <c r="BY27" s="9">
        <f t="shared" ca="1" si="30"/>
        <v>0</v>
      </c>
      <c r="BZ27" s="9">
        <f t="shared" ca="1" si="30"/>
        <v>0</v>
      </c>
      <c r="CA27" s="9">
        <f t="shared" ca="1" si="30"/>
        <v>0</v>
      </c>
      <c r="CB27" s="9">
        <f t="shared" ca="1" si="30"/>
        <v>0</v>
      </c>
      <c r="CC27" s="9">
        <f t="shared" ca="1" si="30"/>
        <v>0</v>
      </c>
      <c r="CD27" s="9">
        <f t="shared" ca="1" si="31"/>
        <v>0</v>
      </c>
      <c r="CE27" s="9">
        <f t="shared" ca="1" si="31"/>
        <v>0</v>
      </c>
      <c r="CF27" s="9">
        <f t="shared" ca="1" si="31"/>
        <v>0</v>
      </c>
      <c r="CG27" s="9">
        <f t="shared" ca="1" si="31"/>
        <v>0</v>
      </c>
      <c r="CH27" s="9">
        <f t="shared" ca="1" si="31"/>
        <v>0</v>
      </c>
      <c r="CI27" s="9">
        <f t="shared" ca="1" si="31"/>
        <v>0</v>
      </c>
      <c r="CJ27" s="9">
        <f t="shared" ca="1" si="31"/>
        <v>0</v>
      </c>
      <c r="CK27" s="30">
        <f t="shared" ca="1" si="31"/>
        <v>0</v>
      </c>
      <c r="CN27" s="9">
        <v>12</v>
      </c>
      <c r="CO27" s="17">
        <v>0.05</v>
      </c>
      <c r="CP27" s="17">
        <v>-1.3696099181782998E-2</v>
      </c>
      <c r="CQ27" s="17">
        <v>-1.2695509203244337E-2</v>
      </c>
      <c r="CR27" s="17">
        <v>2.0850411389418681E-4</v>
      </c>
      <c r="CS27" s="17">
        <f t="shared" si="15"/>
        <v>2.3816895728866857E-2</v>
      </c>
      <c r="EC27" s="9">
        <f ca="1"/>
        <v>1.3309999999999916E-2</v>
      </c>
      <c r="ED27" s="9">
        <f ca="1"/>
        <v>1.3199999999999934E-2</v>
      </c>
      <c r="EE27" s="9">
        <f ca="1"/>
        <v>1.3419999999999899E-2</v>
      </c>
    </row>
    <row r="28" spans="1:135" x14ac:dyDescent="0.45">
      <c r="A28" s="8">
        <f ca="1"/>
        <v>2.5</v>
      </c>
      <c r="B28" s="58">
        <f ca="1"/>
        <v>4.0000000000000001E-3</v>
      </c>
      <c r="C28" s="18">
        <f ca="1"/>
        <v>97.507499999999993</v>
      </c>
      <c r="D28" s="18">
        <f t="shared" ca="1" si="0"/>
        <v>98.164713777000983</v>
      </c>
      <c r="E28" s="18">
        <f t="shared" ca="1" si="1"/>
        <v>0.65721377700099026</v>
      </c>
      <c r="F28" s="18">
        <f t="shared" ca="1" si="2"/>
        <v>0.65721377700099026</v>
      </c>
      <c r="G28" s="19">
        <f t="shared" ca="1" si="3"/>
        <v>9.1222491023135177E-3</v>
      </c>
      <c r="H28" s="19">
        <f ca="1">IFERROR(IRR((J28,L28:CK28),0),0)</f>
        <v>7.7564239373082433E-3</v>
      </c>
      <c r="I28" s="55">
        <f t="shared" ca="1" si="4"/>
        <v>-1.3658251650052744E-3</v>
      </c>
      <c r="J28" s="18">
        <f t="shared" ca="1" si="5"/>
        <v>-98.164713777000983</v>
      </c>
      <c r="K28" s="29">
        <f t="shared" ca="1" si="6"/>
        <v>-97.507499999999993</v>
      </c>
      <c r="L28" s="9">
        <f t="shared" ca="1" si="24"/>
        <v>0.4</v>
      </c>
      <c r="M28" s="9">
        <f t="shared" ca="1" si="24"/>
        <v>0.4</v>
      </c>
      <c r="N28" s="9">
        <f t="shared" ca="1" si="24"/>
        <v>0.4</v>
      </c>
      <c r="O28" s="9">
        <f t="shared" ca="1" si="24"/>
        <v>0.4</v>
      </c>
      <c r="P28" s="9">
        <f t="shared" ca="1" si="24"/>
        <v>100.4</v>
      </c>
      <c r="Q28" s="9">
        <f t="shared" ca="1" si="24"/>
        <v>0</v>
      </c>
      <c r="R28" s="9">
        <f t="shared" ca="1" si="24"/>
        <v>0</v>
      </c>
      <c r="S28" s="9">
        <f t="shared" ca="1" si="24"/>
        <v>0</v>
      </c>
      <c r="T28" s="9">
        <f t="shared" ca="1" si="24"/>
        <v>0</v>
      </c>
      <c r="U28" s="9">
        <f t="shared" ca="1" si="24"/>
        <v>0</v>
      </c>
      <c r="V28" s="9">
        <f t="shared" ca="1" si="25"/>
        <v>0</v>
      </c>
      <c r="W28" s="9">
        <f t="shared" ca="1" si="25"/>
        <v>0</v>
      </c>
      <c r="X28" s="9">
        <f t="shared" ca="1" si="25"/>
        <v>0</v>
      </c>
      <c r="Y28" s="9">
        <f t="shared" ca="1" si="25"/>
        <v>0</v>
      </c>
      <c r="Z28" s="9">
        <f t="shared" ca="1" si="25"/>
        <v>0</v>
      </c>
      <c r="AA28" s="9">
        <f t="shared" ca="1" si="25"/>
        <v>0</v>
      </c>
      <c r="AB28" s="9">
        <f t="shared" ca="1" si="25"/>
        <v>0</v>
      </c>
      <c r="AC28" s="9">
        <f t="shared" ca="1" si="25"/>
        <v>0</v>
      </c>
      <c r="AD28" s="9">
        <f t="shared" ca="1" si="25"/>
        <v>0</v>
      </c>
      <c r="AE28" s="9">
        <f t="shared" ca="1" si="25"/>
        <v>0</v>
      </c>
      <c r="AF28" s="9">
        <f t="shared" ca="1" si="26"/>
        <v>0</v>
      </c>
      <c r="AG28" s="9">
        <f t="shared" ca="1" si="26"/>
        <v>0</v>
      </c>
      <c r="AH28" s="9">
        <f t="shared" ca="1" si="26"/>
        <v>0</v>
      </c>
      <c r="AI28" s="9">
        <f t="shared" ca="1" si="26"/>
        <v>0</v>
      </c>
      <c r="AJ28" s="9">
        <f t="shared" ca="1" si="26"/>
        <v>0</v>
      </c>
      <c r="AK28" s="9">
        <f t="shared" ca="1" si="26"/>
        <v>0</v>
      </c>
      <c r="AL28" s="9">
        <f t="shared" ca="1" si="26"/>
        <v>0</v>
      </c>
      <c r="AM28" s="9">
        <f t="shared" ca="1" si="26"/>
        <v>0</v>
      </c>
      <c r="AN28" s="9">
        <f t="shared" ca="1" si="26"/>
        <v>0</v>
      </c>
      <c r="AO28" s="9">
        <f t="shared" ca="1" si="26"/>
        <v>0</v>
      </c>
      <c r="AP28" s="9">
        <f t="shared" ca="1" si="27"/>
        <v>0</v>
      </c>
      <c r="AQ28" s="9">
        <f t="shared" ca="1" si="27"/>
        <v>0</v>
      </c>
      <c r="AR28" s="9">
        <f t="shared" ca="1" si="27"/>
        <v>0</v>
      </c>
      <c r="AS28" s="9">
        <f t="shared" ca="1" si="27"/>
        <v>0</v>
      </c>
      <c r="AT28" s="9">
        <f t="shared" ca="1" si="27"/>
        <v>0</v>
      </c>
      <c r="AU28" s="9">
        <f t="shared" ca="1" si="27"/>
        <v>0</v>
      </c>
      <c r="AV28" s="9">
        <f t="shared" ca="1" si="27"/>
        <v>0</v>
      </c>
      <c r="AW28" s="9">
        <f t="shared" ca="1" si="27"/>
        <v>0</v>
      </c>
      <c r="AX28" s="9">
        <f t="shared" ca="1" si="27"/>
        <v>0</v>
      </c>
      <c r="AY28" s="9">
        <f t="shared" ca="1" si="27"/>
        <v>0</v>
      </c>
      <c r="AZ28" s="9">
        <f t="shared" ca="1" si="28"/>
        <v>0</v>
      </c>
      <c r="BA28" s="9">
        <f t="shared" ca="1" si="28"/>
        <v>0</v>
      </c>
      <c r="BB28" s="9">
        <f t="shared" ca="1" si="28"/>
        <v>0</v>
      </c>
      <c r="BC28" s="9">
        <f t="shared" ca="1" si="28"/>
        <v>0</v>
      </c>
      <c r="BD28" s="9">
        <f t="shared" ca="1" si="28"/>
        <v>0</v>
      </c>
      <c r="BE28" s="9">
        <f t="shared" ca="1" si="28"/>
        <v>0</v>
      </c>
      <c r="BF28" s="9">
        <f t="shared" ca="1" si="28"/>
        <v>0</v>
      </c>
      <c r="BG28" s="9">
        <f t="shared" ca="1" si="28"/>
        <v>0</v>
      </c>
      <c r="BH28" s="9">
        <f t="shared" ca="1" si="28"/>
        <v>0</v>
      </c>
      <c r="BI28" s="9">
        <f t="shared" ca="1" si="28"/>
        <v>0</v>
      </c>
      <c r="BJ28" s="9">
        <f t="shared" ca="1" si="29"/>
        <v>0</v>
      </c>
      <c r="BK28" s="9">
        <f t="shared" ca="1" si="29"/>
        <v>0</v>
      </c>
      <c r="BL28" s="9">
        <f t="shared" ca="1" si="29"/>
        <v>0</v>
      </c>
      <c r="BM28" s="9">
        <f t="shared" ca="1" si="29"/>
        <v>0</v>
      </c>
      <c r="BN28" s="9">
        <f t="shared" ca="1" si="29"/>
        <v>0</v>
      </c>
      <c r="BO28" s="9">
        <f t="shared" ca="1" si="29"/>
        <v>0</v>
      </c>
      <c r="BP28" s="9">
        <f t="shared" ca="1" si="29"/>
        <v>0</v>
      </c>
      <c r="BQ28" s="9">
        <f t="shared" ca="1" si="29"/>
        <v>0</v>
      </c>
      <c r="BR28" s="9">
        <f t="shared" ca="1" si="29"/>
        <v>0</v>
      </c>
      <c r="BS28" s="9">
        <f t="shared" ca="1" si="29"/>
        <v>0</v>
      </c>
      <c r="BT28" s="9">
        <f t="shared" ca="1" si="30"/>
        <v>0</v>
      </c>
      <c r="BU28" s="9">
        <f t="shared" ca="1" si="30"/>
        <v>0</v>
      </c>
      <c r="BV28" s="9">
        <f t="shared" ca="1" si="30"/>
        <v>0</v>
      </c>
      <c r="BW28" s="9">
        <f t="shared" ca="1" si="30"/>
        <v>0</v>
      </c>
      <c r="BX28" s="9">
        <f t="shared" ca="1" si="30"/>
        <v>0</v>
      </c>
      <c r="BY28" s="9">
        <f t="shared" ca="1" si="30"/>
        <v>0</v>
      </c>
      <c r="BZ28" s="9">
        <f t="shared" ca="1" si="30"/>
        <v>0</v>
      </c>
      <c r="CA28" s="9">
        <f t="shared" ca="1" si="30"/>
        <v>0</v>
      </c>
      <c r="CB28" s="9">
        <f t="shared" ca="1" si="30"/>
        <v>0</v>
      </c>
      <c r="CC28" s="9">
        <f t="shared" ca="1" si="30"/>
        <v>0</v>
      </c>
      <c r="CD28" s="9">
        <f t="shared" ca="1" si="31"/>
        <v>0</v>
      </c>
      <c r="CE28" s="9">
        <f t="shared" ca="1" si="31"/>
        <v>0</v>
      </c>
      <c r="CF28" s="9">
        <f t="shared" ca="1" si="31"/>
        <v>0</v>
      </c>
      <c r="CG28" s="9">
        <f t="shared" ca="1" si="31"/>
        <v>0</v>
      </c>
      <c r="CH28" s="9">
        <f t="shared" ca="1" si="31"/>
        <v>0</v>
      </c>
      <c r="CI28" s="9">
        <f t="shared" ca="1" si="31"/>
        <v>0</v>
      </c>
      <c r="CJ28" s="9">
        <f t="shared" ca="1" si="31"/>
        <v>0</v>
      </c>
      <c r="CK28" s="30">
        <f t="shared" ca="1" si="31"/>
        <v>0</v>
      </c>
      <c r="CN28" s="9">
        <v>12.5</v>
      </c>
      <c r="CO28" s="17">
        <v>0.05</v>
      </c>
      <c r="CP28" s="17">
        <v>-1.3242996471668336E-2</v>
      </c>
      <c r="CQ28" s="17">
        <v>-1.249327971753973E-2</v>
      </c>
      <c r="CR28" s="17">
        <v>2.0016402452511909E-4</v>
      </c>
      <c r="CS28" s="17">
        <f t="shared" si="15"/>
        <v>2.4463887835317055E-2</v>
      </c>
      <c r="CV28" s="56"/>
      <c r="EC28" s="9">
        <f ca="1"/>
        <v>1.3289999999999726E-2</v>
      </c>
      <c r="ED28" s="9">
        <f ca="1"/>
        <v>1.3189999999999751E-2</v>
      </c>
      <c r="EE28" s="9">
        <f ca="1"/>
        <v>1.3389999999999702E-2</v>
      </c>
    </row>
    <row r="29" spans="1:135" x14ac:dyDescent="0.45">
      <c r="A29" s="8">
        <f ca="1"/>
        <v>2.5</v>
      </c>
      <c r="B29" s="58">
        <f ca="1"/>
        <v>2E-3</v>
      </c>
      <c r="C29" s="18">
        <f ca="1"/>
        <v>96.978000000000009</v>
      </c>
      <c r="D29" s="18">
        <f t="shared" ca="1" si="0"/>
        <v>97.187047861595161</v>
      </c>
      <c r="E29" s="18">
        <f t="shared" ca="1" si="1"/>
        <v>0.20904786159515254</v>
      </c>
      <c r="F29" s="18">
        <f t="shared" ca="1" si="2"/>
        <v>0.20904786159515254</v>
      </c>
      <c r="G29" s="19">
        <f t="shared" ca="1" si="3"/>
        <v>8.1933703447927275E-3</v>
      </c>
      <c r="H29" s="19">
        <f ca="1">IFERROR(IRR((J29,L29:CK29),0),0)</f>
        <v>7.7575077564226991E-3</v>
      </c>
      <c r="I29" s="55">
        <f t="shared" ca="1" si="4"/>
        <v>-4.3586258837002845E-4</v>
      </c>
      <c r="J29" s="18">
        <f t="shared" ca="1" si="5"/>
        <v>-97.187047861595161</v>
      </c>
      <c r="K29" s="29">
        <f t="shared" ca="1" si="6"/>
        <v>-96.978000000000009</v>
      </c>
      <c r="L29" s="9">
        <f t="shared" ca="1" si="24"/>
        <v>0.2</v>
      </c>
      <c r="M29" s="9">
        <f t="shared" ca="1" si="24"/>
        <v>0.2</v>
      </c>
      <c r="N29" s="9">
        <f t="shared" ca="1" si="24"/>
        <v>0.2</v>
      </c>
      <c r="O29" s="9">
        <f t="shared" ca="1" si="24"/>
        <v>0.2</v>
      </c>
      <c r="P29" s="9">
        <f t="shared" ca="1" si="24"/>
        <v>100.2</v>
      </c>
      <c r="Q29" s="9">
        <f t="shared" ca="1" si="24"/>
        <v>0</v>
      </c>
      <c r="R29" s="9">
        <f t="shared" ca="1" si="24"/>
        <v>0</v>
      </c>
      <c r="S29" s="9">
        <f t="shared" ca="1" si="24"/>
        <v>0</v>
      </c>
      <c r="T29" s="9">
        <f t="shared" ca="1" si="24"/>
        <v>0</v>
      </c>
      <c r="U29" s="9">
        <f t="shared" ca="1" si="24"/>
        <v>0</v>
      </c>
      <c r="V29" s="9">
        <f t="shared" ca="1" si="25"/>
        <v>0</v>
      </c>
      <c r="W29" s="9">
        <f t="shared" ca="1" si="25"/>
        <v>0</v>
      </c>
      <c r="X29" s="9">
        <f t="shared" ca="1" si="25"/>
        <v>0</v>
      </c>
      <c r="Y29" s="9">
        <f t="shared" ca="1" si="25"/>
        <v>0</v>
      </c>
      <c r="Z29" s="9">
        <f t="shared" ca="1" si="25"/>
        <v>0</v>
      </c>
      <c r="AA29" s="9">
        <f t="shared" ca="1" si="25"/>
        <v>0</v>
      </c>
      <c r="AB29" s="9">
        <f t="shared" ca="1" si="25"/>
        <v>0</v>
      </c>
      <c r="AC29" s="9">
        <f t="shared" ca="1" si="25"/>
        <v>0</v>
      </c>
      <c r="AD29" s="9">
        <f t="shared" ca="1" si="25"/>
        <v>0</v>
      </c>
      <c r="AE29" s="9">
        <f t="shared" ca="1" si="25"/>
        <v>0</v>
      </c>
      <c r="AF29" s="9">
        <f t="shared" ca="1" si="26"/>
        <v>0</v>
      </c>
      <c r="AG29" s="9">
        <f t="shared" ca="1" si="26"/>
        <v>0</v>
      </c>
      <c r="AH29" s="9">
        <f t="shared" ca="1" si="26"/>
        <v>0</v>
      </c>
      <c r="AI29" s="9">
        <f t="shared" ca="1" si="26"/>
        <v>0</v>
      </c>
      <c r="AJ29" s="9">
        <f t="shared" ca="1" si="26"/>
        <v>0</v>
      </c>
      <c r="AK29" s="9">
        <f t="shared" ca="1" si="26"/>
        <v>0</v>
      </c>
      <c r="AL29" s="9">
        <f t="shared" ca="1" si="26"/>
        <v>0</v>
      </c>
      <c r="AM29" s="9">
        <f t="shared" ca="1" si="26"/>
        <v>0</v>
      </c>
      <c r="AN29" s="9">
        <f t="shared" ca="1" si="26"/>
        <v>0</v>
      </c>
      <c r="AO29" s="9">
        <f t="shared" ca="1" si="26"/>
        <v>0</v>
      </c>
      <c r="AP29" s="9">
        <f t="shared" ca="1" si="27"/>
        <v>0</v>
      </c>
      <c r="AQ29" s="9">
        <f t="shared" ca="1" si="27"/>
        <v>0</v>
      </c>
      <c r="AR29" s="9">
        <f t="shared" ca="1" si="27"/>
        <v>0</v>
      </c>
      <c r="AS29" s="9">
        <f t="shared" ca="1" si="27"/>
        <v>0</v>
      </c>
      <c r="AT29" s="9">
        <f t="shared" ca="1" si="27"/>
        <v>0</v>
      </c>
      <c r="AU29" s="9">
        <f t="shared" ca="1" si="27"/>
        <v>0</v>
      </c>
      <c r="AV29" s="9">
        <f t="shared" ca="1" si="27"/>
        <v>0</v>
      </c>
      <c r="AW29" s="9">
        <f t="shared" ca="1" si="27"/>
        <v>0</v>
      </c>
      <c r="AX29" s="9">
        <f t="shared" ca="1" si="27"/>
        <v>0</v>
      </c>
      <c r="AY29" s="9">
        <f t="shared" ca="1" si="27"/>
        <v>0</v>
      </c>
      <c r="AZ29" s="9">
        <f t="shared" ca="1" si="28"/>
        <v>0</v>
      </c>
      <c r="BA29" s="9">
        <f t="shared" ca="1" si="28"/>
        <v>0</v>
      </c>
      <c r="BB29" s="9">
        <f t="shared" ca="1" si="28"/>
        <v>0</v>
      </c>
      <c r="BC29" s="9">
        <f t="shared" ca="1" si="28"/>
        <v>0</v>
      </c>
      <c r="BD29" s="9">
        <f t="shared" ca="1" si="28"/>
        <v>0</v>
      </c>
      <c r="BE29" s="9">
        <f t="shared" ca="1" si="28"/>
        <v>0</v>
      </c>
      <c r="BF29" s="9">
        <f t="shared" ca="1" si="28"/>
        <v>0</v>
      </c>
      <c r="BG29" s="9">
        <f t="shared" ca="1" si="28"/>
        <v>0</v>
      </c>
      <c r="BH29" s="9">
        <f t="shared" ca="1" si="28"/>
        <v>0</v>
      </c>
      <c r="BI29" s="9">
        <f t="shared" ca="1" si="28"/>
        <v>0</v>
      </c>
      <c r="BJ29" s="9">
        <f t="shared" ca="1" si="29"/>
        <v>0</v>
      </c>
      <c r="BK29" s="9">
        <f t="shared" ca="1" si="29"/>
        <v>0</v>
      </c>
      <c r="BL29" s="9">
        <f t="shared" ca="1" si="29"/>
        <v>0</v>
      </c>
      <c r="BM29" s="9">
        <f t="shared" ca="1" si="29"/>
        <v>0</v>
      </c>
      <c r="BN29" s="9">
        <f t="shared" ca="1" si="29"/>
        <v>0</v>
      </c>
      <c r="BO29" s="9">
        <f t="shared" ca="1" si="29"/>
        <v>0</v>
      </c>
      <c r="BP29" s="9">
        <f t="shared" ca="1" si="29"/>
        <v>0</v>
      </c>
      <c r="BQ29" s="9">
        <f t="shared" ca="1" si="29"/>
        <v>0</v>
      </c>
      <c r="BR29" s="9">
        <f t="shared" ca="1" si="29"/>
        <v>0</v>
      </c>
      <c r="BS29" s="9">
        <f t="shared" ca="1" si="29"/>
        <v>0</v>
      </c>
      <c r="BT29" s="9">
        <f t="shared" ca="1" si="30"/>
        <v>0</v>
      </c>
      <c r="BU29" s="9">
        <f t="shared" ca="1" si="30"/>
        <v>0</v>
      </c>
      <c r="BV29" s="9">
        <f t="shared" ca="1" si="30"/>
        <v>0</v>
      </c>
      <c r="BW29" s="9">
        <f t="shared" ca="1" si="30"/>
        <v>0</v>
      </c>
      <c r="BX29" s="9">
        <f t="shared" ca="1" si="30"/>
        <v>0</v>
      </c>
      <c r="BY29" s="9">
        <f t="shared" ca="1" si="30"/>
        <v>0</v>
      </c>
      <c r="BZ29" s="9">
        <f t="shared" ca="1" si="30"/>
        <v>0</v>
      </c>
      <c r="CA29" s="9">
        <f t="shared" ca="1" si="30"/>
        <v>0</v>
      </c>
      <c r="CB29" s="9">
        <f t="shared" ca="1" si="30"/>
        <v>0</v>
      </c>
      <c r="CC29" s="9">
        <f t="shared" ca="1" si="30"/>
        <v>0</v>
      </c>
      <c r="CD29" s="9">
        <f t="shared" ca="1" si="31"/>
        <v>0</v>
      </c>
      <c r="CE29" s="9">
        <f t="shared" ca="1" si="31"/>
        <v>0</v>
      </c>
      <c r="CF29" s="9">
        <f t="shared" ca="1" si="31"/>
        <v>0</v>
      </c>
      <c r="CG29" s="9">
        <f t="shared" ca="1" si="31"/>
        <v>0</v>
      </c>
      <c r="CH29" s="9">
        <f t="shared" ca="1" si="31"/>
        <v>0</v>
      </c>
      <c r="CI29" s="9">
        <f t="shared" ca="1" si="31"/>
        <v>0</v>
      </c>
      <c r="CJ29" s="9">
        <f t="shared" ca="1" si="31"/>
        <v>0</v>
      </c>
      <c r="CK29" s="30">
        <f t="shared" ca="1" si="31"/>
        <v>0</v>
      </c>
      <c r="CN29" s="9">
        <v>13</v>
      </c>
      <c r="CO29" s="17">
        <v>0.05</v>
      </c>
      <c r="CP29" s="17">
        <v>-1.28147654118632E-2</v>
      </c>
      <c r="CQ29" s="17">
        <v>-1.2285091141804452E-2</v>
      </c>
      <c r="CR29" s="17">
        <v>1.9246544531155492E-4</v>
      </c>
      <c r="CS29" s="17">
        <f t="shared" si="15"/>
        <v>2.5092608891643903E-2</v>
      </c>
      <c r="EC29" s="9">
        <f ca="1"/>
        <v>1.3294999999999852E-2</v>
      </c>
      <c r="ED29" s="9">
        <f ca="1"/>
        <v>1.3189999999999882E-2</v>
      </c>
      <c r="EE29" s="9">
        <f ca="1"/>
        <v>1.3399999999999825E-2</v>
      </c>
    </row>
    <row r="30" spans="1:135" x14ac:dyDescent="0.45">
      <c r="A30" s="8">
        <f ca="1"/>
        <v>2.5</v>
      </c>
      <c r="B30" s="58">
        <f ca="1"/>
        <v>3.0000000000000001E-3</v>
      </c>
      <c r="C30" s="18">
        <f ca="1"/>
        <v>97.244</v>
      </c>
      <c r="D30" s="18">
        <f t="shared" ca="1" si="0"/>
        <v>97.675880819298058</v>
      </c>
      <c r="E30" s="18">
        <f t="shared" ca="1" si="1"/>
        <v>0.43188081929805833</v>
      </c>
      <c r="F30" s="18">
        <f t="shared" ca="1" si="2"/>
        <v>0.43188081929805833</v>
      </c>
      <c r="G30" s="19">
        <f t="shared" ca="1" si="3"/>
        <v>8.6559573090378983E-3</v>
      </c>
      <c r="H30" s="19">
        <f ca="1">IFERROR(IRR((J30,L30:CK30),0),0)</f>
        <v>7.7569642181547493E-3</v>
      </c>
      <c r="I30" s="55">
        <f t="shared" ca="1" si="4"/>
        <v>-8.9899309088314894E-4</v>
      </c>
      <c r="J30" s="18">
        <f t="shared" ca="1" si="5"/>
        <v>-97.675880819298058</v>
      </c>
      <c r="K30" s="29">
        <f t="shared" ca="1" si="6"/>
        <v>-97.244</v>
      </c>
      <c r="L30" s="9">
        <f t="shared" ca="1" si="24"/>
        <v>0.3</v>
      </c>
      <c r="M30" s="9">
        <f t="shared" ca="1" si="24"/>
        <v>0.3</v>
      </c>
      <c r="N30" s="9">
        <f t="shared" ca="1" si="24"/>
        <v>0.3</v>
      </c>
      <c r="O30" s="9">
        <f t="shared" ca="1" si="24"/>
        <v>0.3</v>
      </c>
      <c r="P30" s="9">
        <f t="shared" ca="1" si="24"/>
        <v>100.29999999999998</v>
      </c>
      <c r="Q30" s="9">
        <f t="shared" ca="1" si="24"/>
        <v>0</v>
      </c>
      <c r="R30" s="9">
        <f t="shared" ca="1" si="24"/>
        <v>0</v>
      </c>
      <c r="S30" s="9">
        <f t="shared" ca="1" si="24"/>
        <v>0</v>
      </c>
      <c r="T30" s="9">
        <f t="shared" ca="1" si="24"/>
        <v>0</v>
      </c>
      <c r="U30" s="9">
        <f t="shared" ca="1" si="24"/>
        <v>0</v>
      </c>
      <c r="V30" s="9">
        <f t="shared" ca="1" si="25"/>
        <v>0</v>
      </c>
      <c r="W30" s="9">
        <f t="shared" ca="1" si="25"/>
        <v>0</v>
      </c>
      <c r="X30" s="9">
        <f t="shared" ca="1" si="25"/>
        <v>0</v>
      </c>
      <c r="Y30" s="9">
        <f t="shared" ca="1" si="25"/>
        <v>0</v>
      </c>
      <c r="Z30" s="9">
        <f t="shared" ca="1" si="25"/>
        <v>0</v>
      </c>
      <c r="AA30" s="9">
        <f t="shared" ca="1" si="25"/>
        <v>0</v>
      </c>
      <c r="AB30" s="9">
        <f t="shared" ca="1" si="25"/>
        <v>0</v>
      </c>
      <c r="AC30" s="9">
        <f t="shared" ca="1" si="25"/>
        <v>0</v>
      </c>
      <c r="AD30" s="9">
        <f t="shared" ca="1" si="25"/>
        <v>0</v>
      </c>
      <c r="AE30" s="9">
        <f t="shared" ca="1" si="25"/>
        <v>0</v>
      </c>
      <c r="AF30" s="9">
        <f t="shared" ca="1" si="26"/>
        <v>0</v>
      </c>
      <c r="AG30" s="9">
        <f t="shared" ca="1" si="26"/>
        <v>0</v>
      </c>
      <c r="AH30" s="9">
        <f t="shared" ca="1" si="26"/>
        <v>0</v>
      </c>
      <c r="AI30" s="9">
        <f t="shared" ca="1" si="26"/>
        <v>0</v>
      </c>
      <c r="AJ30" s="9">
        <f t="shared" ca="1" si="26"/>
        <v>0</v>
      </c>
      <c r="AK30" s="9">
        <f t="shared" ca="1" si="26"/>
        <v>0</v>
      </c>
      <c r="AL30" s="9">
        <f t="shared" ca="1" si="26"/>
        <v>0</v>
      </c>
      <c r="AM30" s="9">
        <f t="shared" ca="1" si="26"/>
        <v>0</v>
      </c>
      <c r="AN30" s="9">
        <f t="shared" ca="1" si="26"/>
        <v>0</v>
      </c>
      <c r="AO30" s="9">
        <f t="shared" ca="1" si="26"/>
        <v>0</v>
      </c>
      <c r="AP30" s="9">
        <f t="shared" ca="1" si="27"/>
        <v>0</v>
      </c>
      <c r="AQ30" s="9">
        <f t="shared" ca="1" si="27"/>
        <v>0</v>
      </c>
      <c r="AR30" s="9">
        <f t="shared" ca="1" si="27"/>
        <v>0</v>
      </c>
      <c r="AS30" s="9">
        <f t="shared" ca="1" si="27"/>
        <v>0</v>
      </c>
      <c r="AT30" s="9">
        <f t="shared" ca="1" si="27"/>
        <v>0</v>
      </c>
      <c r="AU30" s="9">
        <f t="shared" ca="1" si="27"/>
        <v>0</v>
      </c>
      <c r="AV30" s="9">
        <f t="shared" ca="1" si="27"/>
        <v>0</v>
      </c>
      <c r="AW30" s="9">
        <f t="shared" ca="1" si="27"/>
        <v>0</v>
      </c>
      <c r="AX30" s="9">
        <f t="shared" ca="1" si="27"/>
        <v>0</v>
      </c>
      <c r="AY30" s="9">
        <f t="shared" ca="1" si="27"/>
        <v>0</v>
      </c>
      <c r="AZ30" s="9">
        <f t="shared" ca="1" si="28"/>
        <v>0</v>
      </c>
      <c r="BA30" s="9">
        <f t="shared" ca="1" si="28"/>
        <v>0</v>
      </c>
      <c r="BB30" s="9">
        <f t="shared" ca="1" si="28"/>
        <v>0</v>
      </c>
      <c r="BC30" s="9">
        <f t="shared" ca="1" si="28"/>
        <v>0</v>
      </c>
      <c r="BD30" s="9">
        <f t="shared" ca="1" si="28"/>
        <v>0</v>
      </c>
      <c r="BE30" s="9">
        <f t="shared" ca="1" si="28"/>
        <v>0</v>
      </c>
      <c r="BF30" s="9">
        <f t="shared" ca="1" si="28"/>
        <v>0</v>
      </c>
      <c r="BG30" s="9">
        <f t="shared" ca="1" si="28"/>
        <v>0</v>
      </c>
      <c r="BH30" s="9">
        <f t="shared" ca="1" si="28"/>
        <v>0</v>
      </c>
      <c r="BI30" s="9">
        <f t="shared" ca="1" si="28"/>
        <v>0</v>
      </c>
      <c r="BJ30" s="9">
        <f t="shared" ca="1" si="29"/>
        <v>0</v>
      </c>
      <c r="BK30" s="9">
        <f t="shared" ca="1" si="29"/>
        <v>0</v>
      </c>
      <c r="BL30" s="9">
        <f t="shared" ca="1" si="29"/>
        <v>0</v>
      </c>
      <c r="BM30" s="9">
        <f t="shared" ca="1" si="29"/>
        <v>0</v>
      </c>
      <c r="BN30" s="9">
        <f t="shared" ca="1" si="29"/>
        <v>0</v>
      </c>
      <c r="BO30" s="9">
        <f t="shared" ca="1" si="29"/>
        <v>0</v>
      </c>
      <c r="BP30" s="9">
        <f t="shared" ca="1" si="29"/>
        <v>0</v>
      </c>
      <c r="BQ30" s="9">
        <f t="shared" ca="1" si="29"/>
        <v>0</v>
      </c>
      <c r="BR30" s="9">
        <f t="shared" ca="1" si="29"/>
        <v>0</v>
      </c>
      <c r="BS30" s="9">
        <f t="shared" ca="1" si="29"/>
        <v>0</v>
      </c>
      <c r="BT30" s="9">
        <f t="shared" ca="1" si="30"/>
        <v>0</v>
      </c>
      <c r="BU30" s="9">
        <f t="shared" ca="1" si="30"/>
        <v>0</v>
      </c>
      <c r="BV30" s="9">
        <f t="shared" ca="1" si="30"/>
        <v>0</v>
      </c>
      <c r="BW30" s="9">
        <f t="shared" ca="1" si="30"/>
        <v>0</v>
      </c>
      <c r="BX30" s="9">
        <f t="shared" ca="1" si="30"/>
        <v>0</v>
      </c>
      <c r="BY30" s="9">
        <f t="shared" ca="1" si="30"/>
        <v>0</v>
      </c>
      <c r="BZ30" s="9">
        <f t="shared" ca="1" si="30"/>
        <v>0</v>
      </c>
      <c r="CA30" s="9">
        <f t="shared" ca="1" si="30"/>
        <v>0</v>
      </c>
      <c r="CB30" s="9">
        <f t="shared" ca="1" si="30"/>
        <v>0</v>
      </c>
      <c r="CC30" s="9">
        <f t="shared" ca="1" si="30"/>
        <v>0</v>
      </c>
      <c r="CD30" s="9">
        <f t="shared" ca="1" si="31"/>
        <v>0</v>
      </c>
      <c r="CE30" s="9">
        <f t="shared" ca="1" si="31"/>
        <v>0</v>
      </c>
      <c r="CF30" s="9">
        <f t="shared" ca="1" si="31"/>
        <v>0</v>
      </c>
      <c r="CG30" s="9">
        <f t="shared" ca="1" si="31"/>
        <v>0</v>
      </c>
      <c r="CH30" s="9">
        <f t="shared" ca="1" si="31"/>
        <v>0</v>
      </c>
      <c r="CI30" s="9">
        <f t="shared" ca="1" si="31"/>
        <v>0</v>
      </c>
      <c r="CJ30" s="9">
        <f t="shared" ca="1" si="31"/>
        <v>0</v>
      </c>
      <c r="CK30" s="30">
        <f t="shared" ca="1" si="31"/>
        <v>0</v>
      </c>
      <c r="CN30" s="9">
        <v>13.5</v>
      </c>
      <c r="CO30" s="17">
        <v>0.05</v>
      </c>
      <c r="CP30" s="17">
        <v>-1.2409695839043401E-2</v>
      </c>
      <c r="CQ30" s="17">
        <v>-1.2072748585096408E-2</v>
      </c>
      <c r="CR30" s="17">
        <v>1.8533711380469857E-4</v>
      </c>
      <c r="CS30" s="17">
        <f t="shared" si="15"/>
        <v>2.5702892689664889E-2</v>
      </c>
      <c r="EC30" s="9">
        <f ca="1"/>
        <v>1.3769999999997829E-2</v>
      </c>
      <c r="ED30" s="9">
        <f ca="1"/>
        <v>1.3659999999997967E-2</v>
      </c>
      <c r="EE30" s="9">
        <f ca="1"/>
        <v>1.3879999999997689E-2</v>
      </c>
    </row>
    <row r="31" spans="1:135" x14ac:dyDescent="0.45">
      <c r="A31" s="8">
        <f ca="1"/>
        <v>2.5</v>
      </c>
      <c r="B31" s="58">
        <f ca="1"/>
        <v>1E-3</v>
      </c>
      <c r="C31" s="18">
        <f ca="1"/>
        <v>96.294499999999999</v>
      </c>
      <c r="D31" s="18">
        <f t="shared" ca="1" si="0"/>
        <v>96.69821490389225</v>
      </c>
      <c r="E31" s="18">
        <f t="shared" ca="1" si="1"/>
        <v>0.40371490389225073</v>
      </c>
      <c r="F31" s="18">
        <f t="shared" ca="1" si="2"/>
        <v>0.40371490389225073</v>
      </c>
      <c r="G31" s="19">
        <f t="shared" ca="1" si="3"/>
        <v>8.60337111756726E-3</v>
      </c>
      <c r="H31" s="19">
        <f ca="1">IFERROR(IRR((J31,L31:CK31),0),0)</f>
        <v>7.7580545816633428E-3</v>
      </c>
      <c r="I31" s="55">
        <f t="shared" ca="1" si="4"/>
        <v>-8.453165359039172E-4</v>
      </c>
      <c r="J31" s="18">
        <f t="shared" ca="1" si="5"/>
        <v>-96.69821490389225</v>
      </c>
      <c r="K31" s="29">
        <f t="shared" ca="1" si="6"/>
        <v>-96.294499999999999</v>
      </c>
      <c r="L31" s="9">
        <f t="shared" ca="1" si="24"/>
        <v>0.1</v>
      </c>
      <c r="M31" s="9">
        <f t="shared" ca="1" si="24"/>
        <v>0.1</v>
      </c>
      <c r="N31" s="9">
        <f t="shared" ca="1" si="24"/>
        <v>0.1</v>
      </c>
      <c r="O31" s="9">
        <f t="shared" ca="1" si="24"/>
        <v>0.1</v>
      </c>
      <c r="P31" s="9">
        <f t="shared" ca="1" si="24"/>
        <v>100.1</v>
      </c>
      <c r="Q31" s="9">
        <f t="shared" ca="1" si="24"/>
        <v>0</v>
      </c>
      <c r="R31" s="9">
        <f t="shared" ca="1" si="24"/>
        <v>0</v>
      </c>
      <c r="S31" s="9">
        <f t="shared" ca="1" si="24"/>
        <v>0</v>
      </c>
      <c r="T31" s="9">
        <f t="shared" ca="1" si="24"/>
        <v>0</v>
      </c>
      <c r="U31" s="9">
        <f t="shared" ca="1" si="24"/>
        <v>0</v>
      </c>
      <c r="V31" s="9">
        <f t="shared" ca="1" si="25"/>
        <v>0</v>
      </c>
      <c r="W31" s="9">
        <f t="shared" ca="1" si="25"/>
        <v>0</v>
      </c>
      <c r="X31" s="9">
        <f t="shared" ca="1" si="25"/>
        <v>0</v>
      </c>
      <c r="Y31" s="9">
        <f t="shared" ca="1" si="25"/>
        <v>0</v>
      </c>
      <c r="Z31" s="9">
        <f t="shared" ca="1" si="25"/>
        <v>0</v>
      </c>
      <c r="AA31" s="9">
        <f t="shared" ca="1" si="25"/>
        <v>0</v>
      </c>
      <c r="AB31" s="9">
        <f t="shared" ca="1" si="25"/>
        <v>0</v>
      </c>
      <c r="AC31" s="9">
        <f t="shared" ca="1" si="25"/>
        <v>0</v>
      </c>
      <c r="AD31" s="9">
        <f t="shared" ca="1" si="25"/>
        <v>0</v>
      </c>
      <c r="AE31" s="9">
        <f t="shared" ca="1" si="25"/>
        <v>0</v>
      </c>
      <c r="AF31" s="9">
        <f t="shared" ca="1" si="26"/>
        <v>0</v>
      </c>
      <c r="AG31" s="9">
        <f t="shared" ca="1" si="26"/>
        <v>0</v>
      </c>
      <c r="AH31" s="9">
        <f t="shared" ca="1" si="26"/>
        <v>0</v>
      </c>
      <c r="AI31" s="9">
        <f t="shared" ca="1" si="26"/>
        <v>0</v>
      </c>
      <c r="AJ31" s="9">
        <f t="shared" ca="1" si="26"/>
        <v>0</v>
      </c>
      <c r="AK31" s="9">
        <f t="shared" ca="1" si="26"/>
        <v>0</v>
      </c>
      <c r="AL31" s="9">
        <f t="shared" ca="1" si="26"/>
        <v>0</v>
      </c>
      <c r="AM31" s="9">
        <f t="shared" ca="1" si="26"/>
        <v>0</v>
      </c>
      <c r="AN31" s="9">
        <f t="shared" ca="1" si="26"/>
        <v>0</v>
      </c>
      <c r="AO31" s="9">
        <f t="shared" ca="1" si="26"/>
        <v>0</v>
      </c>
      <c r="AP31" s="9">
        <f t="shared" ca="1" si="27"/>
        <v>0</v>
      </c>
      <c r="AQ31" s="9">
        <f t="shared" ca="1" si="27"/>
        <v>0</v>
      </c>
      <c r="AR31" s="9">
        <f t="shared" ca="1" si="27"/>
        <v>0</v>
      </c>
      <c r="AS31" s="9">
        <f t="shared" ca="1" si="27"/>
        <v>0</v>
      </c>
      <c r="AT31" s="9">
        <f t="shared" ca="1" si="27"/>
        <v>0</v>
      </c>
      <c r="AU31" s="9">
        <f t="shared" ca="1" si="27"/>
        <v>0</v>
      </c>
      <c r="AV31" s="9">
        <f t="shared" ca="1" si="27"/>
        <v>0</v>
      </c>
      <c r="AW31" s="9">
        <f t="shared" ca="1" si="27"/>
        <v>0</v>
      </c>
      <c r="AX31" s="9">
        <f t="shared" ca="1" si="27"/>
        <v>0</v>
      </c>
      <c r="AY31" s="9">
        <f t="shared" ca="1" si="27"/>
        <v>0</v>
      </c>
      <c r="AZ31" s="9">
        <f t="shared" ca="1" si="28"/>
        <v>0</v>
      </c>
      <c r="BA31" s="9">
        <f t="shared" ca="1" si="28"/>
        <v>0</v>
      </c>
      <c r="BB31" s="9">
        <f t="shared" ca="1" si="28"/>
        <v>0</v>
      </c>
      <c r="BC31" s="9">
        <f t="shared" ca="1" si="28"/>
        <v>0</v>
      </c>
      <c r="BD31" s="9">
        <f t="shared" ca="1" si="28"/>
        <v>0</v>
      </c>
      <c r="BE31" s="9">
        <f t="shared" ca="1" si="28"/>
        <v>0</v>
      </c>
      <c r="BF31" s="9">
        <f t="shared" ca="1" si="28"/>
        <v>0</v>
      </c>
      <c r="BG31" s="9">
        <f t="shared" ca="1" si="28"/>
        <v>0</v>
      </c>
      <c r="BH31" s="9">
        <f t="shared" ca="1" si="28"/>
        <v>0</v>
      </c>
      <c r="BI31" s="9">
        <f t="shared" ca="1" si="28"/>
        <v>0</v>
      </c>
      <c r="BJ31" s="9">
        <f t="shared" ca="1" si="29"/>
        <v>0</v>
      </c>
      <c r="BK31" s="9">
        <f t="shared" ca="1" si="29"/>
        <v>0</v>
      </c>
      <c r="BL31" s="9">
        <f t="shared" ca="1" si="29"/>
        <v>0</v>
      </c>
      <c r="BM31" s="9">
        <f t="shared" ca="1" si="29"/>
        <v>0</v>
      </c>
      <c r="BN31" s="9">
        <f t="shared" ca="1" si="29"/>
        <v>0</v>
      </c>
      <c r="BO31" s="9">
        <f t="shared" ca="1" si="29"/>
        <v>0</v>
      </c>
      <c r="BP31" s="9">
        <f t="shared" ca="1" si="29"/>
        <v>0</v>
      </c>
      <c r="BQ31" s="9">
        <f t="shared" ca="1" si="29"/>
        <v>0</v>
      </c>
      <c r="BR31" s="9">
        <f t="shared" ca="1" si="29"/>
        <v>0</v>
      </c>
      <c r="BS31" s="9">
        <f t="shared" ca="1" si="29"/>
        <v>0</v>
      </c>
      <c r="BT31" s="9">
        <f t="shared" ca="1" si="30"/>
        <v>0</v>
      </c>
      <c r="BU31" s="9">
        <f t="shared" ca="1" si="30"/>
        <v>0</v>
      </c>
      <c r="BV31" s="9">
        <f t="shared" ca="1" si="30"/>
        <v>0</v>
      </c>
      <c r="BW31" s="9">
        <f t="shared" ca="1" si="30"/>
        <v>0</v>
      </c>
      <c r="BX31" s="9">
        <f t="shared" ca="1" si="30"/>
        <v>0</v>
      </c>
      <c r="BY31" s="9">
        <f t="shared" ca="1" si="30"/>
        <v>0</v>
      </c>
      <c r="BZ31" s="9">
        <f t="shared" ca="1" si="30"/>
        <v>0</v>
      </c>
      <c r="CA31" s="9">
        <f t="shared" ca="1" si="30"/>
        <v>0</v>
      </c>
      <c r="CB31" s="9">
        <f t="shared" ca="1" si="30"/>
        <v>0</v>
      </c>
      <c r="CC31" s="9">
        <f t="shared" ca="1" si="30"/>
        <v>0</v>
      </c>
      <c r="CD31" s="9">
        <f t="shared" ca="1" si="31"/>
        <v>0</v>
      </c>
      <c r="CE31" s="9">
        <f t="shared" ca="1" si="31"/>
        <v>0</v>
      </c>
      <c r="CF31" s="9">
        <f t="shared" ca="1" si="31"/>
        <v>0</v>
      </c>
      <c r="CG31" s="9">
        <f t="shared" ca="1" si="31"/>
        <v>0</v>
      </c>
      <c r="CH31" s="9">
        <f t="shared" ca="1" si="31"/>
        <v>0</v>
      </c>
      <c r="CI31" s="9">
        <f t="shared" ca="1" si="31"/>
        <v>0</v>
      </c>
      <c r="CJ31" s="9">
        <f t="shared" ca="1" si="31"/>
        <v>0</v>
      </c>
      <c r="CK31" s="30">
        <f t="shared" ca="1" si="31"/>
        <v>0</v>
      </c>
      <c r="CN31" s="9">
        <v>14</v>
      </c>
      <c r="CO31" s="17">
        <v>0.05</v>
      </c>
      <c r="CP31" s="17">
        <v>-1.202621059533994E-2</v>
      </c>
      <c r="CQ31" s="17">
        <v>-1.1857797627984921E-2</v>
      </c>
      <c r="CR31" s="17">
        <v>1.7871794021072447E-4</v>
      </c>
      <c r="CS31" s="17">
        <f t="shared" si="15"/>
        <v>2.6294709716885866E-2</v>
      </c>
      <c r="EC31" s="9">
        <f ca="1"/>
        <v>1.3734999999999635E-2</v>
      </c>
      <c r="ED31" s="9">
        <f ca="1"/>
        <v>1.3629999999999627E-2</v>
      </c>
      <c r="EE31" s="9">
        <f ca="1"/>
        <v>1.3839999999999646E-2</v>
      </c>
    </row>
    <row r="32" spans="1:135" x14ac:dyDescent="0.45">
      <c r="A32" s="8">
        <f ca="1"/>
        <v>2.5</v>
      </c>
      <c r="B32" s="58">
        <f ca="1"/>
        <v>4.0000000000000001E-3</v>
      </c>
      <c r="C32" s="18">
        <f ca="1"/>
        <v>97.174999999999997</v>
      </c>
      <c r="D32" s="18">
        <f t="shared" ca="1" si="0"/>
        <v>98.164713777000983</v>
      </c>
      <c r="E32" s="18">
        <f t="shared" ca="1" si="1"/>
        <v>0.98971377700098628</v>
      </c>
      <c r="F32" s="18">
        <f t="shared" ca="1" si="2"/>
        <v>0.98971377700098628</v>
      </c>
      <c r="G32" s="19">
        <f t="shared" ca="1" si="3"/>
        <v>9.817490232268522E-3</v>
      </c>
      <c r="H32" s="19">
        <f ca="1">IFERROR(IRR((J32,L32:CK32),0),0)</f>
        <v>7.7564239373082433E-3</v>
      </c>
      <c r="I32" s="55">
        <f t="shared" ca="1" si="4"/>
        <v>-2.0610662949602787E-3</v>
      </c>
      <c r="J32" s="18">
        <f t="shared" ca="1" si="5"/>
        <v>-98.164713777000983</v>
      </c>
      <c r="K32" s="29">
        <f t="shared" ca="1" si="6"/>
        <v>-97.174999999999997</v>
      </c>
      <c r="L32" s="9">
        <f t="shared" ca="1" si="24"/>
        <v>0.4</v>
      </c>
      <c r="M32" s="9">
        <f t="shared" ca="1" si="24"/>
        <v>0.4</v>
      </c>
      <c r="N32" s="9">
        <f t="shared" ca="1" si="24"/>
        <v>0.4</v>
      </c>
      <c r="O32" s="9">
        <f t="shared" ca="1" si="24"/>
        <v>0.4</v>
      </c>
      <c r="P32" s="9">
        <f t="shared" ca="1" si="24"/>
        <v>100.4</v>
      </c>
      <c r="Q32" s="9">
        <f t="shared" ca="1" si="24"/>
        <v>0</v>
      </c>
      <c r="R32" s="9">
        <f t="shared" ca="1" si="24"/>
        <v>0</v>
      </c>
      <c r="S32" s="9">
        <f t="shared" ca="1" si="24"/>
        <v>0</v>
      </c>
      <c r="T32" s="9">
        <f t="shared" ca="1" si="24"/>
        <v>0</v>
      </c>
      <c r="U32" s="9">
        <f t="shared" ca="1" si="24"/>
        <v>0</v>
      </c>
      <c r="V32" s="9">
        <f t="shared" ca="1" si="25"/>
        <v>0</v>
      </c>
      <c r="W32" s="9">
        <f t="shared" ca="1" si="25"/>
        <v>0</v>
      </c>
      <c r="X32" s="9">
        <f t="shared" ca="1" si="25"/>
        <v>0</v>
      </c>
      <c r="Y32" s="9">
        <f t="shared" ca="1" si="25"/>
        <v>0</v>
      </c>
      <c r="Z32" s="9">
        <f t="shared" ca="1" si="25"/>
        <v>0</v>
      </c>
      <c r="AA32" s="9">
        <f t="shared" ca="1" si="25"/>
        <v>0</v>
      </c>
      <c r="AB32" s="9">
        <f t="shared" ca="1" si="25"/>
        <v>0</v>
      </c>
      <c r="AC32" s="9">
        <f t="shared" ca="1" si="25"/>
        <v>0</v>
      </c>
      <c r="AD32" s="9">
        <f t="shared" ca="1" si="25"/>
        <v>0</v>
      </c>
      <c r="AE32" s="9">
        <f t="shared" ca="1" si="25"/>
        <v>0</v>
      </c>
      <c r="AF32" s="9">
        <f t="shared" ca="1" si="26"/>
        <v>0</v>
      </c>
      <c r="AG32" s="9">
        <f t="shared" ca="1" si="26"/>
        <v>0</v>
      </c>
      <c r="AH32" s="9">
        <f t="shared" ca="1" si="26"/>
        <v>0</v>
      </c>
      <c r="AI32" s="9">
        <f t="shared" ca="1" si="26"/>
        <v>0</v>
      </c>
      <c r="AJ32" s="9">
        <f t="shared" ca="1" si="26"/>
        <v>0</v>
      </c>
      <c r="AK32" s="9">
        <f t="shared" ca="1" si="26"/>
        <v>0</v>
      </c>
      <c r="AL32" s="9">
        <f t="shared" ca="1" si="26"/>
        <v>0</v>
      </c>
      <c r="AM32" s="9">
        <f t="shared" ca="1" si="26"/>
        <v>0</v>
      </c>
      <c r="AN32" s="9">
        <f t="shared" ca="1" si="26"/>
        <v>0</v>
      </c>
      <c r="AO32" s="9">
        <f t="shared" ca="1" si="26"/>
        <v>0</v>
      </c>
      <c r="AP32" s="9">
        <f t="shared" ca="1" si="27"/>
        <v>0</v>
      </c>
      <c r="AQ32" s="9">
        <f t="shared" ca="1" si="27"/>
        <v>0</v>
      </c>
      <c r="AR32" s="9">
        <f t="shared" ca="1" si="27"/>
        <v>0</v>
      </c>
      <c r="AS32" s="9">
        <f t="shared" ca="1" si="27"/>
        <v>0</v>
      </c>
      <c r="AT32" s="9">
        <f t="shared" ca="1" si="27"/>
        <v>0</v>
      </c>
      <c r="AU32" s="9">
        <f t="shared" ca="1" si="27"/>
        <v>0</v>
      </c>
      <c r="AV32" s="9">
        <f t="shared" ca="1" si="27"/>
        <v>0</v>
      </c>
      <c r="AW32" s="9">
        <f t="shared" ca="1" si="27"/>
        <v>0</v>
      </c>
      <c r="AX32" s="9">
        <f t="shared" ca="1" si="27"/>
        <v>0</v>
      </c>
      <c r="AY32" s="9">
        <f t="shared" ca="1" si="27"/>
        <v>0</v>
      </c>
      <c r="AZ32" s="9">
        <f t="shared" ca="1" si="28"/>
        <v>0</v>
      </c>
      <c r="BA32" s="9">
        <f t="shared" ca="1" si="28"/>
        <v>0</v>
      </c>
      <c r="BB32" s="9">
        <f t="shared" ca="1" si="28"/>
        <v>0</v>
      </c>
      <c r="BC32" s="9">
        <f t="shared" ca="1" si="28"/>
        <v>0</v>
      </c>
      <c r="BD32" s="9">
        <f t="shared" ca="1" si="28"/>
        <v>0</v>
      </c>
      <c r="BE32" s="9">
        <f t="shared" ca="1" si="28"/>
        <v>0</v>
      </c>
      <c r="BF32" s="9">
        <f t="shared" ca="1" si="28"/>
        <v>0</v>
      </c>
      <c r="BG32" s="9">
        <f t="shared" ca="1" si="28"/>
        <v>0</v>
      </c>
      <c r="BH32" s="9">
        <f t="shared" ca="1" si="28"/>
        <v>0</v>
      </c>
      <c r="BI32" s="9">
        <f t="shared" ca="1" si="28"/>
        <v>0</v>
      </c>
      <c r="BJ32" s="9">
        <f t="shared" ca="1" si="29"/>
        <v>0</v>
      </c>
      <c r="BK32" s="9">
        <f t="shared" ca="1" si="29"/>
        <v>0</v>
      </c>
      <c r="BL32" s="9">
        <f t="shared" ca="1" si="29"/>
        <v>0</v>
      </c>
      <c r="BM32" s="9">
        <f t="shared" ca="1" si="29"/>
        <v>0</v>
      </c>
      <c r="BN32" s="9">
        <f t="shared" ca="1" si="29"/>
        <v>0</v>
      </c>
      <c r="BO32" s="9">
        <f t="shared" ca="1" si="29"/>
        <v>0</v>
      </c>
      <c r="BP32" s="9">
        <f t="shared" ca="1" si="29"/>
        <v>0</v>
      </c>
      <c r="BQ32" s="9">
        <f t="shared" ca="1" si="29"/>
        <v>0</v>
      </c>
      <c r="BR32" s="9">
        <f t="shared" ca="1" si="29"/>
        <v>0</v>
      </c>
      <c r="BS32" s="9">
        <f t="shared" ca="1" si="29"/>
        <v>0</v>
      </c>
      <c r="BT32" s="9">
        <f t="shared" ca="1" si="30"/>
        <v>0</v>
      </c>
      <c r="BU32" s="9">
        <f t="shared" ca="1" si="30"/>
        <v>0</v>
      </c>
      <c r="BV32" s="9">
        <f t="shared" ca="1" si="30"/>
        <v>0</v>
      </c>
      <c r="BW32" s="9">
        <f t="shared" ca="1" si="30"/>
        <v>0</v>
      </c>
      <c r="BX32" s="9">
        <f t="shared" ca="1" si="30"/>
        <v>0</v>
      </c>
      <c r="BY32" s="9">
        <f t="shared" ca="1" si="30"/>
        <v>0</v>
      </c>
      <c r="BZ32" s="9">
        <f t="shared" ca="1" si="30"/>
        <v>0</v>
      </c>
      <c r="CA32" s="9">
        <f t="shared" ca="1" si="30"/>
        <v>0</v>
      </c>
      <c r="CB32" s="9">
        <f t="shared" ca="1" si="30"/>
        <v>0</v>
      </c>
      <c r="CC32" s="9">
        <f t="shared" ca="1" si="30"/>
        <v>0</v>
      </c>
      <c r="CD32" s="9">
        <f t="shared" ca="1" si="31"/>
        <v>0</v>
      </c>
      <c r="CE32" s="9">
        <f t="shared" ca="1" si="31"/>
        <v>0</v>
      </c>
      <c r="CF32" s="9">
        <f t="shared" ca="1" si="31"/>
        <v>0</v>
      </c>
      <c r="CG32" s="9">
        <f t="shared" ca="1" si="31"/>
        <v>0</v>
      </c>
      <c r="CH32" s="9">
        <f t="shared" ca="1" si="31"/>
        <v>0</v>
      </c>
      <c r="CI32" s="9">
        <f t="shared" ca="1" si="31"/>
        <v>0</v>
      </c>
      <c r="CJ32" s="9">
        <f t="shared" ca="1" si="31"/>
        <v>0</v>
      </c>
      <c r="CK32" s="30">
        <f t="shared" ca="1" si="31"/>
        <v>0</v>
      </c>
      <c r="CN32" s="9">
        <v>14.5</v>
      </c>
      <c r="CO32" s="17">
        <v>0.05</v>
      </c>
      <c r="CP32" s="17">
        <v>-1.1662854372384715E-2</v>
      </c>
      <c r="CQ32" s="17">
        <v>-1.1641556641109708E-2</v>
      </c>
      <c r="CR32" s="17">
        <v>1.7255525707980847E-4</v>
      </c>
      <c r="CS32" s="17">
        <f t="shared" si="15"/>
        <v>2.6868144243585391E-2</v>
      </c>
      <c r="EC32" s="9">
        <f ca="1"/>
        <v>1.4279999999997571E-2</v>
      </c>
      <c r="ED32" s="9">
        <f ca="1"/>
        <v>1.4159999999997692E-2</v>
      </c>
      <c r="EE32" s="9">
        <f ca="1"/>
        <v>1.439999999999745E-2</v>
      </c>
    </row>
    <row r="33" spans="1:135" x14ac:dyDescent="0.45">
      <c r="A33" s="8">
        <f ca="1"/>
        <v>3</v>
      </c>
      <c r="B33" s="58">
        <f ca="1"/>
        <v>1E-3</v>
      </c>
      <c r="C33" s="18">
        <f ca="1"/>
        <v>95.846000000000004</v>
      </c>
      <c r="D33" s="18">
        <f t="shared" ca="1" si="0"/>
        <v>95.911810247422693</v>
      </c>
      <c r="E33" s="18">
        <f t="shared" ca="1" si="1"/>
        <v>6.5810247422689372E-2</v>
      </c>
      <c r="F33" s="18">
        <f t="shared" ca="1" si="2"/>
        <v>6.5810247422689372E-2</v>
      </c>
      <c r="G33" s="19">
        <f t="shared" ca="1" si="3"/>
        <v>8.1214562148776981E-3</v>
      </c>
      <c r="H33" s="19">
        <f ca="1">IFERROR(IRR((J33,L33:CK33),0),0)</f>
        <v>8.0058396562718848E-3</v>
      </c>
      <c r="I33" s="55">
        <f t="shared" ca="1" si="4"/>
        <v>-1.1561655860581332E-4</v>
      </c>
      <c r="J33" s="18">
        <f t="shared" ca="1" si="5"/>
        <v>-95.911810247422693</v>
      </c>
      <c r="K33" s="29">
        <f t="shared" ca="1" si="6"/>
        <v>-95.846000000000004</v>
      </c>
      <c r="L33" s="9">
        <f t="shared" ref="L33:U42" ca="1" si="32">$B33*100*(L$2&lt;$A33)+100*(1+$B33)*(L$2=$A33)</f>
        <v>0.1</v>
      </c>
      <c r="M33" s="9">
        <f t="shared" ca="1" si="32"/>
        <v>0.1</v>
      </c>
      <c r="N33" s="9">
        <f t="shared" ca="1" si="32"/>
        <v>0.1</v>
      </c>
      <c r="O33" s="9">
        <f t="shared" ca="1" si="32"/>
        <v>0.1</v>
      </c>
      <c r="P33" s="9">
        <f t="shared" ca="1" si="32"/>
        <v>0.1</v>
      </c>
      <c r="Q33" s="9">
        <f t="shared" ca="1" si="32"/>
        <v>100.1</v>
      </c>
      <c r="R33" s="9">
        <f t="shared" ca="1" si="32"/>
        <v>0</v>
      </c>
      <c r="S33" s="9">
        <f t="shared" ca="1" si="32"/>
        <v>0</v>
      </c>
      <c r="T33" s="9">
        <f t="shared" ca="1" si="32"/>
        <v>0</v>
      </c>
      <c r="U33" s="9">
        <f t="shared" ca="1" si="32"/>
        <v>0</v>
      </c>
      <c r="V33" s="9">
        <f t="shared" ref="V33:AE42" ca="1" si="33">$B33*100*(V$2&lt;$A33)+100*(1+$B33)*(V$2=$A33)</f>
        <v>0</v>
      </c>
      <c r="W33" s="9">
        <f t="shared" ca="1" si="33"/>
        <v>0</v>
      </c>
      <c r="X33" s="9">
        <f t="shared" ca="1" si="33"/>
        <v>0</v>
      </c>
      <c r="Y33" s="9">
        <f t="shared" ca="1" si="33"/>
        <v>0</v>
      </c>
      <c r="Z33" s="9">
        <f t="shared" ca="1" si="33"/>
        <v>0</v>
      </c>
      <c r="AA33" s="9">
        <f t="shared" ca="1" si="33"/>
        <v>0</v>
      </c>
      <c r="AB33" s="9">
        <f t="shared" ca="1" si="33"/>
        <v>0</v>
      </c>
      <c r="AC33" s="9">
        <f t="shared" ca="1" si="33"/>
        <v>0</v>
      </c>
      <c r="AD33" s="9">
        <f t="shared" ca="1" si="33"/>
        <v>0</v>
      </c>
      <c r="AE33" s="9">
        <f t="shared" ca="1" si="33"/>
        <v>0</v>
      </c>
      <c r="AF33" s="9">
        <f t="shared" ref="AF33:AO42" ca="1" si="34">$B33*100*(AF$2&lt;$A33)+100*(1+$B33)*(AF$2=$A33)</f>
        <v>0</v>
      </c>
      <c r="AG33" s="9">
        <f t="shared" ca="1" si="34"/>
        <v>0</v>
      </c>
      <c r="AH33" s="9">
        <f t="shared" ca="1" si="34"/>
        <v>0</v>
      </c>
      <c r="AI33" s="9">
        <f t="shared" ca="1" si="34"/>
        <v>0</v>
      </c>
      <c r="AJ33" s="9">
        <f t="shared" ca="1" si="34"/>
        <v>0</v>
      </c>
      <c r="AK33" s="9">
        <f t="shared" ca="1" si="34"/>
        <v>0</v>
      </c>
      <c r="AL33" s="9">
        <f t="shared" ca="1" si="34"/>
        <v>0</v>
      </c>
      <c r="AM33" s="9">
        <f t="shared" ca="1" si="34"/>
        <v>0</v>
      </c>
      <c r="AN33" s="9">
        <f t="shared" ca="1" si="34"/>
        <v>0</v>
      </c>
      <c r="AO33" s="9">
        <f t="shared" ca="1" si="34"/>
        <v>0</v>
      </c>
      <c r="AP33" s="9">
        <f t="shared" ref="AP33:AY42" ca="1" si="35">$B33*100*(AP$2&lt;$A33)+100*(1+$B33)*(AP$2=$A33)</f>
        <v>0</v>
      </c>
      <c r="AQ33" s="9">
        <f t="shared" ca="1" si="35"/>
        <v>0</v>
      </c>
      <c r="AR33" s="9">
        <f t="shared" ca="1" si="35"/>
        <v>0</v>
      </c>
      <c r="AS33" s="9">
        <f t="shared" ca="1" si="35"/>
        <v>0</v>
      </c>
      <c r="AT33" s="9">
        <f t="shared" ca="1" si="35"/>
        <v>0</v>
      </c>
      <c r="AU33" s="9">
        <f t="shared" ca="1" si="35"/>
        <v>0</v>
      </c>
      <c r="AV33" s="9">
        <f t="shared" ca="1" si="35"/>
        <v>0</v>
      </c>
      <c r="AW33" s="9">
        <f t="shared" ca="1" si="35"/>
        <v>0</v>
      </c>
      <c r="AX33" s="9">
        <f t="shared" ca="1" si="35"/>
        <v>0</v>
      </c>
      <c r="AY33" s="9">
        <f t="shared" ca="1" si="35"/>
        <v>0</v>
      </c>
      <c r="AZ33" s="9">
        <f t="shared" ref="AZ33:BI42" ca="1" si="36">$B33*100*(AZ$2&lt;$A33)+100*(1+$B33)*(AZ$2=$A33)</f>
        <v>0</v>
      </c>
      <c r="BA33" s="9">
        <f t="shared" ca="1" si="36"/>
        <v>0</v>
      </c>
      <c r="BB33" s="9">
        <f t="shared" ca="1" si="36"/>
        <v>0</v>
      </c>
      <c r="BC33" s="9">
        <f t="shared" ca="1" si="36"/>
        <v>0</v>
      </c>
      <c r="BD33" s="9">
        <f t="shared" ca="1" si="36"/>
        <v>0</v>
      </c>
      <c r="BE33" s="9">
        <f t="shared" ca="1" si="36"/>
        <v>0</v>
      </c>
      <c r="BF33" s="9">
        <f t="shared" ca="1" si="36"/>
        <v>0</v>
      </c>
      <c r="BG33" s="9">
        <f t="shared" ca="1" si="36"/>
        <v>0</v>
      </c>
      <c r="BH33" s="9">
        <f t="shared" ca="1" si="36"/>
        <v>0</v>
      </c>
      <c r="BI33" s="9">
        <f t="shared" ca="1" si="36"/>
        <v>0</v>
      </c>
      <c r="BJ33" s="9">
        <f t="shared" ref="BJ33:BS42" ca="1" si="37">$B33*100*(BJ$2&lt;$A33)+100*(1+$B33)*(BJ$2=$A33)</f>
        <v>0</v>
      </c>
      <c r="BK33" s="9">
        <f t="shared" ca="1" si="37"/>
        <v>0</v>
      </c>
      <c r="BL33" s="9">
        <f t="shared" ca="1" si="37"/>
        <v>0</v>
      </c>
      <c r="BM33" s="9">
        <f t="shared" ca="1" si="37"/>
        <v>0</v>
      </c>
      <c r="BN33" s="9">
        <f t="shared" ca="1" si="37"/>
        <v>0</v>
      </c>
      <c r="BO33" s="9">
        <f t="shared" ca="1" si="37"/>
        <v>0</v>
      </c>
      <c r="BP33" s="9">
        <f t="shared" ca="1" si="37"/>
        <v>0</v>
      </c>
      <c r="BQ33" s="9">
        <f t="shared" ca="1" si="37"/>
        <v>0</v>
      </c>
      <c r="BR33" s="9">
        <f t="shared" ca="1" si="37"/>
        <v>0</v>
      </c>
      <c r="BS33" s="9">
        <f t="shared" ca="1" si="37"/>
        <v>0</v>
      </c>
      <c r="BT33" s="9">
        <f t="shared" ref="BT33:CC42" ca="1" si="38">$B33*100*(BT$2&lt;$A33)+100*(1+$B33)*(BT$2=$A33)</f>
        <v>0</v>
      </c>
      <c r="BU33" s="9">
        <f t="shared" ca="1" si="38"/>
        <v>0</v>
      </c>
      <c r="BV33" s="9">
        <f t="shared" ca="1" si="38"/>
        <v>0</v>
      </c>
      <c r="BW33" s="9">
        <f t="shared" ca="1" si="38"/>
        <v>0</v>
      </c>
      <c r="BX33" s="9">
        <f t="shared" ca="1" si="38"/>
        <v>0</v>
      </c>
      <c r="BY33" s="9">
        <f t="shared" ca="1" si="38"/>
        <v>0</v>
      </c>
      <c r="BZ33" s="9">
        <f t="shared" ca="1" si="38"/>
        <v>0</v>
      </c>
      <c r="CA33" s="9">
        <f t="shared" ca="1" si="38"/>
        <v>0</v>
      </c>
      <c r="CB33" s="9">
        <f t="shared" ca="1" si="38"/>
        <v>0</v>
      </c>
      <c r="CC33" s="9">
        <f t="shared" ca="1" si="38"/>
        <v>0</v>
      </c>
      <c r="CD33" s="9">
        <f t="shared" ref="CD33:CK42" ca="1" si="39">$B33*100*(CD$2&lt;$A33)+100*(1+$B33)*(CD$2=$A33)</f>
        <v>0</v>
      </c>
      <c r="CE33" s="9">
        <f t="shared" ca="1" si="39"/>
        <v>0</v>
      </c>
      <c r="CF33" s="9">
        <f t="shared" ca="1" si="39"/>
        <v>0</v>
      </c>
      <c r="CG33" s="9">
        <f t="shared" ca="1" si="39"/>
        <v>0</v>
      </c>
      <c r="CH33" s="9">
        <f t="shared" ca="1" si="39"/>
        <v>0</v>
      </c>
      <c r="CI33" s="9">
        <f t="shared" ca="1" si="39"/>
        <v>0</v>
      </c>
      <c r="CJ33" s="9">
        <f t="shared" ca="1" si="39"/>
        <v>0</v>
      </c>
      <c r="CK33" s="30">
        <f t="shared" ca="1" si="39"/>
        <v>0</v>
      </c>
      <c r="CN33" s="9">
        <v>15</v>
      </c>
      <c r="CO33" s="17">
        <v>0.05</v>
      </c>
      <c r="CP33" s="17">
        <v>-1.1318283539150225E-2</v>
      </c>
      <c r="CQ33" s="17">
        <v>-1.1425145291445829E-2</v>
      </c>
      <c r="CR33" s="17">
        <v>1.6680341737950168E-4</v>
      </c>
      <c r="CS33" s="17">
        <f t="shared" si="15"/>
        <v>2.7423374586783452E-2</v>
      </c>
      <c r="EC33" s="9">
        <f ca="1"/>
        <v>1.4229999999999528E-2</v>
      </c>
      <c r="ED33" s="9">
        <f ca="1"/>
        <v>1.4129999999999546E-2</v>
      </c>
      <c r="EE33" s="9">
        <f ca="1"/>
        <v>1.432999999999951E-2</v>
      </c>
    </row>
    <row r="34" spans="1:135" x14ac:dyDescent="0.45">
      <c r="A34" s="8">
        <f ca="1"/>
        <v>3</v>
      </c>
      <c r="B34" s="58">
        <f ca="1"/>
        <v>4.0000000000000001E-3</v>
      </c>
      <c r="C34" s="18">
        <f ca="1"/>
        <v>96.799499999999995</v>
      </c>
      <c r="D34" s="18">
        <f t="shared" ca="1" si="0"/>
        <v>97.664292069451662</v>
      </c>
      <c r="E34" s="18">
        <f t="shared" ca="1" si="1"/>
        <v>0.86479206945166709</v>
      </c>
      <c r="F34" s="18">
        <f t="shared" ca="1" si="2"/>
        <v>0.86479206945166709</v>
      </c>
      <c r="G34" s="19">
        <f t="shared" ca="1" si="3"/>
        <v>9.5131749520340758E-3</v>
      </c>
      <c r="H34" s="19">
        <f ca="1">IFERROR(IRR((J34,L34:CK34),0),0)</f>
        <v>8.0026059763953494E-3</v>
      </c>
      <c r="I34" s="55">
        <f t="shared" ca="1" si="4"/>
        <v>-1.5105689756387264E-3</v>
      </c>
      <c r="J34" s="18">
        <f t="shared" ca="1" si="5"/>
        <v>-97.664292069451662</v>
      </c>
      <c r="K34" s="29">
        <f t="shared" ca="1" si="6"/>
        <v>-96.799499999999995</v>
      </c>
      <c r="L34" s="9">
        <f t="shared" ca="1" si="32"/>
        <v>0.4</v>
      </c>
      <c r="M34" s="9">
        <f t="shared" ca="1" si="32"/>
        <v>0.4</v>
      </c>
      <c r="N34" s="9">
        <f t="shared" ca="1" si="32"/>
        <v>0.4</v>
      </c>
      <c r="O34" s="9">
        <f t="shared" ca="1" si="32"/>
        <v>0.4</v>
      </c>
      <c r="P34" s="9">
        <f t="shared" ca="1" si="32"/>
        <v>0.4</v>
      </c>
      <c r="Q34" s="9">
        <f t="shared" ca="1" si="32"/>
        <v>100.4</v>
      </c>
      <c r="R34" s="9">
        <f t="shared" ca="1" si="32"/>
        <v>0</v>
      </c>
      <c r="S34" s="9">
        <f t="shared" ca="1" si="32"/>
        <v>0</v>
      </c>
      <c r="T34" s="9">
        <f t="shared" ca="1" si="32"/>
        <v>0</v>
      </c>
      <c r="U34" s="9">
        <f t="shared" ca="1" si="32"/>
        <v>0</v>
      </c>
      <c r="V34" s="9">
        <f t="shared" ca="1" si="33"/>
        <v>0</v>
      </c>
      <c r="W34" s="9">
        <f t="shared" ca="1" si="33"/>
        <v>0</v>
      </c>
      <c r="X34" s="9">
        <f t="shared" ca="1" si="33"/>
        <v>0</v>
      </c>
      <c r="Y34" s="9">
        <f t="shared" ca="1" si="33"/>
        <v>0</v>
      </c>
      <c r="Z34" s="9">
        <f t="shared" ca="1" si="33"/>
        <v>0</v>
      </c>
      <c r="AA34" s="9">
        <f t="shared" ca="1" si="33"/>
        <v>0</v>
      </c>
      <c r="AB34" s="9">
        <f t="shared" ca="1" si="33"/>
        <v>0</v>
      </c>
      <c r="AC34" s="9">
        <f t="shared" ca="1" si="33"/>
        <v>0</v>
      </c>
      <c r="AD34" s="9">
        <f t="shared" ca="1" si="33"/>
        <v>0</v>
      </c>
      <c r="AE34" s="9">
        <f t="shared" ca="1" si="33"/>
        <v>0</v>
      </c>
      <c r="AF34" s="9">
        <f t="shared" ca="1" si="34"/>
        <v>0</v>
      </c>
      <c r="AG34" s="9">
        <f t="shared" ca="1" si="34"/>
        <v>0</v>
      </c>
      <c r="AH34" s="9">
        <f t="shared" ca="1" si="34"/>
        <v>0</v>
      </c>
      <c r="AI34" s="9">
        <f t="shared" ca="1" si="34"/>
        <v>0</v>
      </c>
      <c r="AJ34" s="9">
        <f t="shared" ca="1" si="34"/>
        <v>0</v>
      </c>
      <c r="AK34" s="9">
        <f t="shared" ca="1" si="34"/>
        <v>0</v>
      </c>
      <c r="AL34" s="9">
        <f t="shared" ca="1" si="34"/>
        <v>0</v>
      </c>
      <c r="AM34" s="9">
        <f t="shared" ca="1" si="34"/>
        <v>0</v>
      </c>
      <c r="AN34" s="9">
        <f t="shared" ca="1" si="34"/>
        <v>0</v>
      </c>
      <c r="AO34" s="9">
        <f t="shared" ca="1" si="34"/>
        <v>0</v>
      </c>
      <c r="AP34" s="9">
        <f t="shared" ca="1" si="35"/>
        <v>0</v>
      </c>
      <c r="AQ34" s="9">
        <f t="shared" ca="1" si="35"/>
        <v>0</v>
      </c>
      <c r="AR34" s="9">
        <f t="shared" ca="1" si="35"/>
        <v>0</v>
      </c>
      <c r="AS34" s="9">
        <f t="shared" ca="1" si="35"/>
        <v>0</v>
      </c>
      <c r="AT34" s="9">
        <f t="shared" ca="1" si="35"/>
        <v>0</v>
      </c>
      <c r="AU34" s="9">
        <f t="shared" ca="1" si="35"/>
        <v>0</v>
      </c>
      <c r="AV34" s="9">
        <f t="shared" ca="1" si="35"/>
        <v>0</v>
      </c>
      <c r="AW34" s="9">
        <f t="shared" ca="1" si="35"/>
        <v>0</v>
      </c>
      <c r="AX34" s="9">
        <f t="shared" ca="1" si="35"/>
        <v>0</v>
      </c>
      <c r="AY34" s="9">
        <f t="shared" ca="1" si="35"/>
        <v>0</v>
      </c>
      <c r="AZ34" s="9">
        <f t="shared" ca="1" si="36"/>
        <v>0</v>
      </c>
      <c r="BA34" s="9">
        <f t="shared" ca="1" si="36"/>
        <v>0</v>
      </c>
      <c r="BB34" s="9">
        <f t="shared" ca="1" si="36"/>
        <v>0</v>
      </c>
      <c r="BC34" s="9">
        <f t="shared" ca="1" si="36"/>
        <v>0</v>
      </c>
      <c r="BD34" s="9">
        <f t="shared" ca="1" si="36"/>
        <v>0</v>
      </c>
      <c r="BE34" s="9">
        <f t="shared" ca="1" si="36"/>
        <v>0</v>
      </c>
      <c r="BF34" s="9">
        <f t="shared" ca="1" si="36"/>
        <v>0</v>
      </c>
      <c r="BG34" s="9">
        <f t="shared" ca="1" si="36"/>
        <v>0</v>
      </c>
      <c r="BH34" s="9">
        <f t="shared" ca="1" si="36"/>
        <v>0</v>
      </c>
      <c r="BI34" s="9">
        <f t="shared" ca="1" si="36"/>
        <v>0</v>
      </c>
      <c r="BJ34" s="9">
        <f t="shared" ca="1" si="37"/>
        <v>0</v>
      </c>
      <c r="BK34" s="9">
        <f t="shared" ca="1" si="37"/>
        <v>0</v>
      </c>
      <c r="BL34" s="9">
        <f t="shared" ca="1" si="37"/>
        <v>0</v>
      </c>
      <c r="BM34" s="9">
        <f t="shared" ca="1" si="37"/>
        <v>0</v>
      </c>
      <c r="BN34" s="9">
        <f t="shared" ca="1" si="37"/>
        <v>0</v>
      </c>
      <c r="BO34" s="9">
        <f t="shared" ca="1" si="37"/>
        <v>0</v>
      </c>
      <c r="BP34" s="9">
        <f t="shared" ca="1" si="37"/>
        <v>0</v>
      </c>
      <c r="BQ34" s="9">
        <f t="shared" ca="1" si="37"/>
        <v>0</v>
      </c>
      <c r="BR34" s="9">
        <f t="shared" ca="1" si="37"/>
        <v>0</v>
      </c>
      <c r="BS34" s="9">
        <f t="shared" ca="1" si="37"/>
        <v>0</v>
      </c>
      <c r="BT34" s="9">
        <f t="shared" ca="1" si="38"/>
        <v>0</v>
      </c>
      <c r="BU34" s="9">
        <f t="shared" ca="1" si="38"/>
        <v>0</v>
      </c>
      <c r="BV34" s="9">
        <f t="shared" ca="1" si="38"/>
        <v>0</v>
      </c>
      <c r="BW34" s="9">
        <f t="shared" ca="1" si="38"/>
        <v>0</v>
      </c>
      <c r="BX34" s="9">
        <f t="shared" ca="1" si="38"/>
        <v>0</v>
      </c>
      <c r="BY34" s="9">
        <f t="shared" ca="1" si="38"/>
        <v>0</v>
      </c>
      <c r="BZ34" s="9">
        <f t="shared" ca="1" si="38"/>
        <v>0</v>
      </c>
      <c r="CA34" s="9">
        <f t="shared" ca="1" si="38"/>
        <v>0</v>
      </c>
      <c r="CB34" s="9">
        <f t="shared" ca="1" si="38"/>
        <v>0</v>
      </c>
      <c r="CC34" s="9">
        <f t="shared" ca="1" si="38"/>
        <v>0</v>
      </c>
      <c r="CD34" s="9">
        <f t="shared" ca="1" si="39"/>
        <v>0</v>
      </c>
      <c r="CE34" s="9">
        <f t="shared" ca="1" si="39"/>
        <v>0</v>
      </c>
      <c r="CF34" s="9">
        <f t="shared" ca="1" si="39"/>
        <v>0</v>
      </c>
      <c r="CG34" s="9">
        <f t="shared" ca="1" si="39"/>
        <v>0</v>
      </c>
      <c r="CH34" s="9">
        <f t="shared" ca="1" si="39"/>
        <v>0</v>
      </c>
      <c r="CI34" s="9">
        <f t="shared" ca="1" si="39"/>
        <v>0</v>
      </c>
      <c r="CJ34" s="9">
        <f t="shared" ca="1" si="39"/>
        <v>0</v>
      </c>
      <c r="CK34" s="30">
        <f t="shared" ca="1" si="39"/>
        <v>0</v>
      </c>
      <c r="CN34" s="9">
        <v>15.5</v>
      </c>
      <c r="CO34" s="17">
        <v>0.05</v>
      </c>
      <c r="CP34" s="17">
        <v>-1.0991256863715979E-2</v>
      </c>
      <c r="CQ34" s="17">
        <v>-1.1209509674378029E-2</v>
      </c>
      <c r="CR34" s="17">
        <v>1.6142266306701827E-4</v>
      </c>
      <c r="CS34" s="17">
        <f t="shared" si="15"/>
        <v>2.7960656124973015E-2</v>
      </c>
      <c r="EC34" s="9">
        <f ca="1"/>
        <v>1.4709999999990023E-2</v>
      </c>
      <c r="ED34" s="9">
        <f ca="1"/>
        <v>1.4599999999990589E-2</v>
      </c>
      <c r="EE34" s="9">
        <f ca="1"/>
        <v>1.4819999999989454E-2</v>
      </c>
    </row>
    <row r="35" spans="1:135" x14ac:dyDescent="0.45">
      <c r="A35" s="8">
        <f ca="1"/>
        <v>3</v>
      </c>
      <c r="B35" s="58">
        <f ca="1"/>
        <v>1E-3</v>
      </c>
      <c r="C35" s="18">
        <f ca="1"/>
        <v>95.403999999999996</v>
      </c>
      <c r="D35" s="18">
        <f t="shared" ref="D35:D66" ca="1" si="40">SUMPRODUCT(L35:CK35,$L$249:$CK$249)</f>
        <v>95.911810247422693</v>
      </c>
      <c r="E35" s="18">
        <f t="shared" ref="E35:E66" ca="1" si="41">+D35-C35</f>
        <v>0.50781024742269665</v>
      </c>
      <c r="F35" s="18">
        <f t="shared" ref="F35:F66" ca="1" si="42">ABS(C35-D35)</f>
        <v>0.50781024742269665</v>
      </c>
      <c r="G35" s="19">
        <f t="shared" ref="G35:G66" ca="1" si="43">+IFERROR(IRR(K35:CK35,0),0)</f>
        <v>8.9003811382841747E-3</v>
      </c>
      <c r="H35" s="19">
        <f ca="1">IFERROR(IRR((J35,L35:CK35),0),0)</f>
        <v>8.0058396562718848E-3</v>
      </c>
      <c r="I35" s="55">
        <f t="shared" ref="I35:I66" ca="1" si="44">IFERROR(H35-G35,0)</f>
        <v>-8.9454148201228989E-4</v>
      </c>
      <c r="J35" s="18">
        <f t="shared" ref="J35:J66" ca="1" si="45">-D35</f>
        <v>-95.911810247422693</v>
      </c>
      <c r="K35" s="29">
        <f t="shared" ref="K35:K66" ca="1" si="46">-C35</f>
        <v>-95.403999999999996</v>
      </c>
      <c r="L35" s="9">
        <f t="shared" ca="1" si="32"/>
        <v>0.1</v>
      </c>
      <c r="M35" s="9">
        <f t="shared" ca="1" si="32"/>
        <v>0.1</v>
      </c>
      <c r="N35" s="9">
        <f t="shared" ca="1" si="32"/>
        <v>0.1</v>
      </c>
      <c r="O35" s="9">
        <f t="shared" ca="1" si="32"/>
        <v>0.1</v>
      </c>
      <c r="P35" s="9">
        <f t="shared" ca="1" si="32"/>
        <v>0.1</v>
      </c>
      <c r="Q35" s="9">
        <f t="shared" ca="1" si="32"/>
        <v>100.1</v>
      </c>
      <c r="R35" s="9">
        <f t="shared" ca="1" si="32"/>
        <v>0</v>
      </c>
      <c r="S35" s="9">
        <f t="shared" ca="1" si="32"/>
        <v>0</v>
      </c>
      <c r="T35" s="9">
        <f t="shared" ca="1" si="32"/>
        <v>0</v>
      </c>
      <c r="U35" s="9">
        <f t="shared" ca="1" si="32"/>
        <v>0</v>
      </c>
      <c r="V35" s="9">
        <f t="shared" ca="1" si="33"/>
        <v>0</v>
      </c>
      <c r="W35" s="9">
        <f t="shared" ca="1" si="33"/>
        <v>0</v>
      </c>
      <c r="X35" s="9">
        <f t="shared" ca="1" si="33"/>
        <v>0</v>
      </c>
      <c r="Y35" s="9">
        <f t="shared" ca="1" si="33"/>
        <v>0</v>
      </c>
      <c r="Z35" s="9">
        <f t="shared" ca="1" si="33"/>
        <v>0</v>
      </c>
      <c r="AA35" s="9">
        <f t="shared" ca="1" si="33"/>
        <v>0</v>
      </c>
      <c r="AB35" s="9">
        <f t="shared" ca="1" si="33"/>
        <v>0</v>
      </c>
      <c r="AC35" s="9">
        <f t="shared" ca="1" si="33"/>
        <v>0</v>
      </c>
      <c r="AD35" s="9">
        <f t="shared" ca="1" si="33"/>
        <v>0</v>
      </c>
      <c r="AE35" s="9">
        <f t="shared" ca="1" si="33"/>
        <v>0</v>
      </c>
      <c r="AF35" s="9">
        <f t="shared" ca="1" si="34"/>
        <v>0</v>
      </c>
      <c r="AG35" s="9">
        <f t="shared" ca="1" si="34"/>
        <v>0</v>
      </c>
      <c r="AH35" s="9">
        <f t="shared" ca="1" si="34"/>
        <v>0</v>
      </c>
      <c r="AI35" s="9">
        <f t="shared" ca="1" si="34"/>
        <v>0</v>
      </c>
      <c r="AJ35" s="9">
        <f t="shared" ca="1" si="34"/>
        <v>0</v>
      </c>
      <c r="AK35" s="9">
        <f t="shared" ca="1" si="34"/>
        <v>0</v>
      </c>
      <c r="AL35" s="9">
        <f t="shared" ca="1" si="34"/>
        <v>0</v>
      </c>
      <c r="AM35" s="9">
        <f t="shared" ca="1" si="34"/>
        <v>0</v>
      </c>
      <c r="AN35" s="9">
        <f t="shared" ca="1" si="34"/>
        <v>0</v>
      </c>
      <c r="AO35" s="9">
        <f t="shared" ca="1" si="34"/>
        <v>0</v>
      </c>
      <c r="AP35" s="9">
        <f t="shared" ca="1" si="35"/>
        <v>0</v>
      </c>
      <c r="AQ35" s="9">
        <f t="shared" ca="1" si="35"/>
        <v>0</v>
      </c>
      <c r="AR35" s="9">
        <f t="shared" ca="1" si="35"/>
        <v>0</v>
      </c>
      <c r="AS35" s="9">
        <f t="shared" ca="1" si="35"/>
        <v>0</v>
      </c>
      <c r="AT35" s="9">
        <f t="shared" ca="1" si="35"/>
        <v>0</v>
      </c>
      <c r="AU35" s="9">
        <f t="shared" ca="1" si="35"/>
        <v>0</v>
      </c>
      <c r="AV35" s="9">
        <f t="shared" ca="1" si="35"/>
        <v>0</v>
      </c>
      <c r="AW35" s="9">
        <f t="shared" ca="1" si="35"/>
        <v>0</v>
      </c>
      <c r="AX35" s="9">
        <f t="shared" ca="1" si="35"/>
        <v>0</v>
      </c>
      <c r="AY35" s="9">
        <f t="shared" ca="1" si="35"/>
        <v>0</v>
      </c>
      <c r="AZ35" s="9">
        <f t="shared" ca="1" si="36"/>
        <v>0</v>
      </c>
      <c r="BA35" s="9">
        <f t="shared" ca="1" si="36"/>
        <v>0</v>
      </c>
      <c r="BB35" s="9">
        <f t="shared" ca="1" si="36"/>
        <v>0</v>
      </c>
      <c r="BC35" s="9">
        <f t="shared" ca="1" si="36"/>
        <v>0</v>
      </c>
      <c r="BD35" s="9">
        <f t="shared" ca="1" si="36"/>
        <v>0</v>
      </c>
      <c r="BE35" s="9">
        <f t="shared" ca="1" si="36"/>
        <v>0</v>
      </c>
      <c r="BF35" s="9">
        <f t="shared" ca="1" si="36"/>
        <v>0</v>
      </c>
      <c r="BG35" s="9">
        <f t="shared" ca="1" si="36"/>
        <v>0</v>
      </c>
      <c r="BH35" s="9">
        <f t="shared" ca="1" si="36"/>
        <v>0</v>
      </c>
      <c r="BI35" s="9">
        <f t="shared" ca="1" si="36"/>
        <v>0</v>
      </c>
      <c r="BJ35" s="9">
        <f t="shared" ca="1" si="37"/>
        <v>0</v>
      </c>
      <c r="BK35" s="9">
        <f t="shared" ca="1" si="37"/>
        <v>0</v>
      </c>
      <c r="BL35" s="9">
        <f t="shared" ca="1" si="37"/>
        <v>0</v>
      </c>
      <c r="BM35" s="9">
        <f t="shared" ca="1" si="37"/>
        <v>0</v>
      </c>
      <c r="BN35" s="9">
        <f t="shared" ca="1" si="37"/>
        <v>0</v>
      </c>
      <c r="BO35" s="9">
        <f t="shared" ca="1" si="37"/>
        <v>0</v>
      </c>
      <c r="BP35" s="9">
        <f t="shared" ca="1" si="37"/>
        <v>0</v>
      </c>
      <c r="BQ35" s="9">
        <f t="shared" ca="1" si="37"/>
        <v>0</v>
      </c>
      <c r="BR35" s="9">
        <f t="shared" ca="1" si="37"/>
        <v>0</v>
      </c>
      <c r="BS35" s="9">
        <f t="shared" ca="1" si="37"/>
        <v>0</v>
      </c>
      <c r="BT35" s="9">
        <f t="shared" ca="1" si="38"/>
        <v>0</v>
      </c>
      <c r="BU35" s="9">
        <f t="shared" ca="1" si="38"/>
        <v>0</v>
      </c>
      <c r="BV35" s="9">
        <f t="shared" ca="1" si="38"/>
        <v>0</v>
      </c>
      <c r="BW35" s="9">
        <f t="shared" ca="1" si="38"/>
        <v>0</v>
      </c>
      <c r="BX35" s="9">
        <f t="shared" ca="1" si="38"/>
        <v>0</v>
      </c>
      <c r="BY35" s="9">
        <f t="shared" ca="1" si="38"/>
        <v>0</v>
      </c>
      <c r="BZ35" s="9">
        <f t="shared" ca="1" si="38"/>
        <v>0</v>
      </c>
      <c r="CA35" s="9">
        <f t="shared" ca="1" si="38"/>
        <v>0</v>
      </c>
      <c r="CB35" s="9">
        <f t="shared" ca="1" si="38"/>
        <v>0</v>
      </c>
      <c r="CC35" s="9">
        <f t="shared" ca="1" si="38"/>
        <v>0</v>
      </c>
      <c r="CD35" s="9">
        <f t="shared" ca="1" si="39"/>
        <v>0</v>
      </c>
      <c r="CE35" s="9">
        <f t="shared" ca="1" si="39"/>
        <v>0</v>
      </c>
      <c r="CF35" s="9">
        <f t="shared" ca="1" si="39"/>
        <v>0</v>
      </c>
      <c r="CG35" s="9">
        <f t="shared" ca="1" si="39"/>
        <v>0</v>
      </c>
      <c r="CH35" s="9">
        <f t="shared" ca="1" si="39"/>
        <v>0</v>
      </c>
      <c r="CI35" s="9">
        <f t="shared" ca="1" si="39"/>
        <v>0</v>
      </c>
      <c r="CJ35" s="9">
        <f t="shared" ca="1" si="39"/>
        <v>0</v>
      </c>
      <c r="CK35" s="30">
        <f t="shared" ca="1" si="39"/>
        <v>0</v>
      </c>
      <c r="CN35" s="9">
        <v>16</v>
      </c>
      <c r="CO35" s="17">
        <v>0.05</v>
      </c>
      <c r="CP35" s="17">
        <v>-1.0680627047519112E-2</v>
      </c>
      <c r="CQ35" s="17">
        <v>-1.0995444460066133E-2</v>
      </c>
      <c r="CR35" s="17">
        <v>1.5637820538251331E-4</v>
      </c>
      <c r="CS35" s="17">
        <f t="shared" si="15"/>
        <v>2.8480306697797272E-2</v>
      </c>
      <c r="EC35" s="9">
        <f ca="1"/>
        <v>1.5179999999988947E-2</v>
      </c>
      <c r="ED35" s="9">
        <f ca="1"/>
        <v>1.5069999999989467E-2</v>
      </c>
      <c r="EE35" s="9">
        <f ca="1"/>
        <v>1.5289999999988426E-2</v>
      </c>
    </row>
    <row r="36" spans="1:135" x14ac:dyDescent="0.45">
      <c r="A36" s="8">
        <f ca="1"/>
        <v>3.5</v>
      </c>
      <c r="B36" s="58">
        <f ca="1"/>
        <v>1E-3</v>
      </c>
      <c r="C36" s="18">
        <f ca="1"/>
        <v>94.936499999999995</v>
      </c>
      <c r="D36" s="18">
        <f t="shared" ca="1" si="40"/>
        <v>95.061199751567401</v>
      </c>
      <c r="E36" s="18">
        <f t="shared" ca="1" si="41"/>
        <v>0.12469975156740531</v>
      </c>
      <c r="F36" s="18">
        <f t="shared" ca="1" si="42"/>
        <v>0.12469975156740531</v>
      </c>
      <c r="G36" s="19">
        <f t="shared" ca="1" si="43"/>
        <v>8.4810364459806387E-3</v>
      </c>
      <c r="H36" s="19">
        <f ca="1">IFERROR(IRR((J36,L36:CK36),0),0)</f>
        <v>8.2913572929390611E-3</v>
      </c>
      <c r="I36" s="55">
        <f t="shared" ca="1" si="44"/>
        <v>-1.8967915304157756E-4</v>
      </c>
      <c r="J36" s="18">
        <f t="shared" ca="1" si="45"/>
        <v>-95.061199751567401</v>
      </c>
      <c r="K36" s="29">
        <f t="shared" ca="1" si="46"/>
        <v>-94.936499999999995</v>
      </c>
      <c r="L36" s="9">
        <f t="shared" ca="1" si="32"/>
        <v>0.1</v>
      </c>
      <c r="M36" s="9">
        <f t="shared" ca="1" si="32"/>
        <v>0.1</v>
      </c>
      <c r="N36" s="9">
        <f t="shared" ca="1" si="32"/>
        <v>0.1</v>
      </c>
      <c r="O36" s="9">
        <f t="shared" ca="1" si="32"/>
        <v>0.1</v>
      </c>
      <c r="P36" s="9">
        <f t="shared" ca="1" si="32"/>
        <v>0.1</v>
      </c>
      <c r="Q36" s="9">
        <f t="shared" ca="1" si="32"/>
        <v>0.1</v>
      </c>
      <c r="R36" s="9">
        <f t="shared" ca="1" si="32"/>
        <v>100.1</v>
      </c>
      <c r="S36" s="9">
        <f t="shared" ca="1" si="32"/>
        <v>0</v>
      </c>
      <c r="T36" s="9">
        <f t="shared" ca="1" si="32"/>
        <v>0</v>
      </c>
      <c r="U36" s="9">
        <f t="shared" ca="1" si="32"/>
        <v>0</v>
      </c>
      <c r="V36" s="9">
        <f t="shared" ca="1" si="33"/>
        <v>0</v>
      </c>
      <c r="W36" s="9">
        <f t="shared" ca="1" si="33"/>
        <v>0</v>
      </c>
      <c r="X36" s="9">
        <f t="shared" ca="1" si="33"/>
        <v>0</v>
      </c>
      <c r="Y36" s="9">
        <f t="shared" ca="1" si="33"/>
        <v>0</v>
      </c>
      <c r="Z36" s="9">
        <f t="shared" ca="1" si="33"/>
        <v>0</v>
      </c>
      <c r="AA36" s="9">
        <f t="shared" ca="1" si="33"/>
        <v>0</v>
      </c>
      <c r="AB36" s="9">
        <f t="shared" ca="1" si="33"/>
        <v>0</v>
      </c>
      <c r="AC36" s="9">
        <f t="shared" ca="1" si="33"/>
        <v>0</v>
      </c>
      <c r="AD36" s="9">
        <f t="shared" ca="1" si="33"/>
        <v>0</v>
      </c>
      <c r="AE36" s="9">
        <f t="shared" ca="1" si="33"/>
        <v>0</v>
      </c>
      <c r="AF36" s="9">
        <f t="shared" ca="1" si="34"/>
        <v>0</v>
      </c>
      <c r="AG36" s="9">
        <f t="shared" ca="1" si="34"/>
        <v>0</v>
      </c>
      <c r="AH36" s="9">
        <f t="shared" ca="1" si="34"/>
        <v>0</v>
      </c>
      <c r="AI36" s="9">
        <f t="shared" ca="1" si="34"/>
        <v>0</v>
      </c>
      <c r="AJ36" s="9">
        <f t="shared" ca="1" si="34"/>
        <v>0</v>
      </c>
      <c r="AK36" s="9">
        <f t="shared" ca="1" si="34"/>
        <v>0</v>
      </c>
      <c r="AL36" s="9">
        <f t="shared" ca="1" si="34"/>
        <v>0</v>
      </c>
      <c r="AM36" s="9">
        <f t="shared" ca="1" si="34"/>
        <v>0</v>
      </c>
      <c r="AN36" s="9">
        <f t="shared" ca="1" si="34"/>
        <v>0</v>
      </c>
      <c r="AO36" s="9">
        <f t="shared" ca="1" si="34"/>
        <v>0</v>
      </c>
      <c r="AP36" s="9">
        <f t="shared" ca="1" si="35"/>
        <v>0</v>
      </c>
      <c r="AQ36" s="9">
        <f t="shared" ca="1" si="35"/>
        <v>0</v>
      </c>
      <c r="AR36" s="9">
        <f t="shared" ca="1" si="35"/>
        <v>0</v>
      </c>
      <c r="AS36" s="9">
        <f t="shared" ca="1" si="35"/>
        <v>0</v>
      </c>
      <c r="AT36" s="9">
        <f t="shared" ca="1" si="35"/>
        <v>0</v>
      </c>
      <c r="AU36" s="9">
        <f t="shared" ca="1" si="35"/>
        <v>0</v>
      </c>
      <c r="AV36" s="9">
        <f t="shared" ca="1" si="35"/>
        <v>0</v>
      </c>
      <c r="AW36" s="9">
        <f t="shared" ca="1" si="35"/>
        <v>0</v>
      </c>
      <c r="AX36" s="9">
        <f t="shared" ca="1" si="35"/>
        <v>0</v>
      </c>
      <c r="AY36" s="9">
        <f t="shared" ca="1" si="35"/>
        <v>0</v>
      </c>
      <c r="AZ36" s="9">
        <f t="shared" ca="1" si="36"/>
        <v>0</v>
      </c>
      <c r="BA36" s="9">
        <f t="shared" ca="1" si="36"/>
        <v>0</v>
      </c>
      <c r="BB36" s="9">
        <f t="shared" ca="1" si="36"/>
        <v>0</v>
      </c>
      <c r="BC36" s="9">
        <f t="shared" ca="1" si="36"/>
        <v>0</v>
      </c>
      <c r="BD36" s="9">
        <f t="shared" ca="1" si="36"/>
        <v>0</v>
      </c>
      <c r="BE36" s="9">
        <f t="shared" ca="1" si="36"/>
        <v>0</v>
      </c>
      <c r="BF36" s="9">
        <f t="shared" ca="1" si="36"/>
        <v>0</v>
      </c>
      <c r="BG36" s="9">
        <f t="shared" ca="1" si="36"/>
        <v>0</v>
      </c>
      <c r="BH36" s="9">
        <f t="shared" ca="1" si="36"/>
        <v>0</v>
      </c>
      <c r="BI36" s="9">
        <f t="shared" ca="1" si="36"/>
        <v>0</v>
      </c>
      <c r="BJ36" s="9">
        <f t="shared" ca="1" si="37"/>
        <v>0</v>
      </c>
      <c r="BK36" s="9">
        <f t="shared" ca="1" si="37"/>
        <v>0</v>
      </c>
      <c r="BL36" s="9">
        <f t="shared" ca="1" si="37"/>
        <v>0</v>
      </c>
      <c r="BM36" s="9">
        <f t="shared" ca="1" si="37"/>
        <v>0</v>
      </c>
      <c r="BN36" s="9">
        <f t="shared" ca="1" si="37"/>
        <v>0</v>
      </c>
      <c r="BO36" s="9">
        <f t="shared" ca="1" si="37"/>
        <v>0</v>
      </c>
      <c r="BP36" s="9">
        <f t="shared" ca="1" si="37"/>
        <v>0</v>
      </c>
      <c r="BQ36" s="9">
        <f t="shared" ca="1" si="37"/>
        <v>0</v>
      </c>
      <c r="BR36" s="9">
        <f t="shared" ca="1" si="37"/>
        <v>0</v>
      </c>
      <c r="BS36" s="9">
        <f t="shared" ca="1" si="37"/>
        <v>0</v>
      </c>
      <c r="BT36" s="9">
        <f t="shared" ca="1" si="38"/>
        <v>0</v>
      </c>
      <c r="BU36" s="9">
        <f t="shared" ca="1" si="38"/>
        <v>0</v>
      </c>
      <c r="BV36" s="9">
        <f t="shared" ca="1" si="38"/>
        <v>0</v>
      </c>
      <c r="BW36" s="9">
        <f t="shared" ca="1" si="38"/>
        <v>0</v>
      </c>
      <c r="BX36" s="9">
        <f t="shared" ca="1" si="38"/>
        <v>0</v>
      </c>
      <c r="BY36" s="9">
        <f t="shared" ca="1" si="38"/>
        <v>0</v>
      </c>
      <c r="BZ36" s="9">
        <f t="shared" ca="1" si="38"/>
        <v>0</v>
      </c>
      <c r="CA36" s="9">
        <f t="shared" ca="1" si="38"/>
        <v>0</v>
      </c>
      <c r="CB36" s="9">
        <f t="shared" ca="1" si="38"/>
        <v>0</v>
      </c>
      <c r="CC36" s="9">
        <f t="shared" ca="1" si="38"/>
        <v>0</v>
      </c>
      <c r="CD36" s="9">
        <f t="shared" ca="1" si="39"/>
        <v>0</v>
      </c>
      <c r="CE36" s="9">
        <f t="shared" ca="1" si="39"/>
        <v>0</v>
      </c>
      <c r="CF36" s="9">
        <f t="shared" ca="1" si="39"/>
        <v>0</v>
      </c>
      <c r="CG36" s="9">
        <f t="shared" ca="1" si="39"/>
        <v>0</v>
      </c>
      <c r="CH36" s="9">
        <f t="shared" ca="1" si="39"/>
        <v>0</v>
      </c>
      <c r="CI36" s="9">
        <f t="shared" ca="1" si="39"/>
        <v>0</v>
      </c>
      <c r="CJ36" s="9">
        <f t="shared" ca="1" si="39"/>
        <v>0</v>
      </c>
      <c r="CK36" s="30">
        <f t="shared" ca="1" si="39"/>
        <v>0</v>
      </c>
      <c r="CN36" s="9">
        <v>16.5</v>
      </c>
      <c r="CO36" s="17">
        <v>0.05</v>
      </c>
      <c r="CP36" s="17">
        <v>-1.0385332998265644E-2</v>
      </c>
      <c r="CQ36" s="17">
        <v>-1.0783612398532171E-2</v>
      </c>
      <c r="CR36" s="17">
        <v>1.5163947215073606E-4</v>
      </c>
      <c r="CS36" s="17">
        <f t="shared" si="15"/>
        <v>2.8982694075352922E-2</v>
      </c>
      <c r="EC36" s="9">
        <f ca="1"/>
        <v>1.5569999999962772E-2</v>
      </c>
      <c r="ED36" s="9">
        <f ca="1"/>
        <v>1.5469999999964401E-2</v>
      </c>
      <c r="EE36" s="9">
        <f ca="1"/>
        <v>1.5669999999961146E-2</v>
      </c>
    </row>
    <row r="37" spans="1:135" x14ac:dyDescent="0.45">
      <c r="A37" s="8">
        <f ca="1"/>
        <v>3.5</v>
      </c>
      <c r="B37" s="58">
        <f ca="1"/>
        <v>1E-3</v>
      </c>
      <c r="C37" s="18">
        <f ca="1"/>
        <v>94.484999999999999</v>
      </c>
      <c r="D37" s="18">
        <f t="shared" ca="1" si="40"/>
        <v>95.061199751567401</v>
      </c>
      <c r="E37" s="18">
        <f t="shared" ca="1" si="41"/>
        <v>0.57619975156740111</v>
      </c>
      <c r="F37" s="18">
        <f t="shared" ca="1" si="42"/>
        <v>0.57619975156740111</v>
      </c>
      <c r="G37" s="19">
        <f t="shared" ca="1" si="43"/>
        <v>9.1702016406884912E-3</v>
      </c>
      <c r="H37" s="19">
        <f ca="1">IFERROR(IRR((J37,L37:CK37),0),0)</f>
        <v>8.2913572929390611E-3</v>
      </c>
      <c r="I37" s="55">
        <f t="shared" ca="1" si="44"/>
        <v>-8.788443477494301E-4</v>
      </c>
      <c r="J37" s="18">
        <f t="shared" ca="1" si="45"/>
        <v>-95.061199751567401</v>
      </c>
      <c r="K37" s="29">
        <f t="shared" ca="1" si="46"/>
        <v>-94.484999999999999</v>
      </c>
      <c r="L37" s="9">
        <f t="shared" ca="1" si="32"/>
        <v>0.1</v>
      </c>
      <c r="M37" s="9">
        <f t="shared" ca="1" si="32"/>
        <v>0.1</v>
      </c>
      <c r="N37" s="9">
        <f t="shared" ca="1" si="32"/>
        <v>0.1</v>
      </c>
      <c r="O37" s="9">
        <f t="shared" ca="1" si="32"/>
        <v>0.1</v>
      </c>
      <c r="P37" s="9">
        <f t="shared" ca="1" si="32"/>
        <v>0.1</v>
      </c>
      <c r="Q37" s="9">
        <f t="shared" ca="1" si="32"/>
        <v>0.1</v>
      </c>
      <c r="R37" s="9">
        <f t="shared" ca="1" si="32"/>
        <v>100.1</v>
      </c>
      <c r="S37" s="9">
        <f t="shared" ca="1" si="32"/>
        <v>0</v>
      </c>
      <c r="T37" s="9">
        <f t="shared" ca="1" si="32"/>
        <v>0</v>
      </c>
      <c r="U37" s="9">
        <f t="shared" ca="1" si="32"/>
        <v>0</v>
      </c>
      <c r="V37" s="9">
        <f t="shared" ca="1" si="33"/>
        <v>0</v>
      </c>
      <c r="W37" s="9">
        <f t="shared" ca="1" si="33"/>
        <v>0</v>
      </c>
      <c r="X37" s="9">
        <f t="shared" ca="1" si="33"/>
        <v>0</v>
      </c>
      <c r="Y37" s="9">
        <f t="shared" ca="1" si="33"/>
        <v>0</v>
      </c>
      <c r="Z37" s="9">
        <f t="shared" ca="1" si="33"/>
        <v>0</v>
      </c>
      <c r="AA37" s="9">
        <f t="shared" ca="1" si="33"/>
        <v>0</v>
      </c>
      <c r="AB37" s="9">
        <f t="shared" ca="1" si="33"/>
        <v>0</v>
      </c>
      <c r="AC37" s="9">
        <f t="shared" ca="1" si="33"/>
        <v>0</v>
      </c>
      <c r="AD37" s="9">
        <f t="shared" ca="1" si="33"/>
        <v>0</v>
      </c>
      <c r="AE37" s="9">
        <f t="shared" ca="1" si="33"/>
        <v>0</v>
      </c>
      <c r="AF37" s="9">
        <f t="shared" ca="1" si="34"/>
        <v>0</v>
      </c>
      <c r="AG37" s="9">
        <f t="shared" ca="1" si="34"/>
        <v>0</v>
      </c>
      <c r="AH37" s="9">
        <f t="shared" ca="1" si="34"/>
        <v>0</v>
      </c>
      <c r="AI37" s="9">
        <f t="shared" ca="1" si="34"/>
        <v>0</v>
      </c>
      <c r="AJ37" s="9">
        <f t="shared" ca="1" si="34"/>
        <v>0</v>
      </c>
      <c r="AK37" s="9">
        <f t="shared" ca="1" si="34"/>
        <v>0</v>
      </c>
      <c r="AL37" s="9">
        <f t="shared" ca="1" si="34"/>
        <v>0</v>
      </c>
      <c r="AM37" s="9">
        <f t="shared" ca="1" si="34"/>
        <v>0</v>
      </c>
      <c r="AN37" s="9">
        <f t="shared" ca="1" si="34"/>
        <v>0</v>
      </c>
      <c r="AO37" s="9">
        <f t="shared" ca="1" si="34"/>
        <v>0</v>
      </c>
      <c r="AP37" s="9">
        <f t="shared" ca="1" si="35"/>
        <v>0</v>
      </c>
      <c r="AQ37" s="9">
        <f t="shared" ca="1" si="35"/>
        <v>0</v>
      </c>
      <c r="AR37" s="9">
        <f t="shared" ca="1" si="35"/>
        <v>0</v>
      </c>
      <c r="AS37" s="9">
        <f t="shared" ca="1" si="35"/>
        <v>0</v>
      </c>
      <c r="AT37" s="9">
        <f t="shared" ca="1" si="35"/>
        <v>0</v>
      </c>
      <c r="AU37" s="9">
        <f t="shared" ca="1" si="35"/>
        <v>0</v>
      </c>
      <c r="AV37" s="9">
        <f t="shared" ca="1" si="35"/>
        <v>0</v>
      </c>
      <c r="AW37" s="9">
        <f t="shared" ca="1" si="35"/>
        <v>0</v>
      </c>
      <c r="AX37" s="9">
        <f t="shared" ca="1" si="35"/>
        <v>0</v>
      </c>
      <c r="AY37" s="9">
        <f t="shared" ca="1" si="35"/>
        <v>0</v>
      </c>
      <c r="AZ37" s="9">
        <f t="shared" ca="1" si="36"/>
        <v>0</v>
      </c>
      <c r="BA37" s="9">
        <f t="shared" ca="1" si="36"/>
        <v>0</v>
      </c>
      <c r="BB37" s="9">
        <f t="shared" ca="1" si="36"/>
        <v>0</v>
      </c>
      <c r="BC37" s="9">
        <f t="shared" ca="1" si="36"/>
        <v>0</v>
      </c>
      <c r="BD37" s="9">
        <f t="shared" ca="1" si="36"/>
        <v>0</v>
      </c>
      <c r="BE37" s="9">
        <f t="shared" ca="1" si="36"/>
        <v>0</v>
      </c>
      <c r="BF37" s="9">
        <f t="shared" ca="1" si="36"/>
        <v>0</v>
      </c>
      <c r="BG37" s="9">
        <f t="shared" ca="1" si="36"/>
        <v>0</v>
      </c>
      <c r="BH37" s="9">
        <f t="shared" ca="1" si="36"/>
        <v>0</v>
      </c>
      <c r="BI37" s="9">
        <f t="shared" ca="1" si="36"/>
        <v>0</v>
      </c>
      <c r="BJ37" s="9">
        <f t="shared" ca="1" si="37"/>
        <v>0</v>
      </c>
      <c r="BK37" s="9">
        <f t="shared" ca="1" si="37"/>
        <v>0</v>
      </c>
      <c r="BL37" s="9">
        <f t="shared" ca="1" si="37"/>
        <v>0</v>
      </c>
      <c r="BM37" s="9">
        <f t="shared" ca="1" si="37"/>
        <v>0</v>
      </c>
      <c r="BN37" s="9">
        <f t="shared" ca="1" si="37"/>
        <v>0</v>
      </c>
      <c r="BO37" s="9">
        <f t="shared" ca="1" si="37"/>
        <v>0</v>
      </c>
      <c r="BP37" s="9">
        <f t="shared" ca="1" si="37"/>
        <v>0</v>
      </c>
      <c r="BQ37" s="9">
        <f t="shared" ca="1" si="37"/>
        <v>0</v>
      </c>
      <c r="BR37" s="9">
        <f t="shared" ca="1" si="37"/>
        <v>0</v>
      </c>
      <c r="BS37" s="9">
        <f t="shared" ca="1" si="37"/>
        <v>0</v>
      </c>
      <c r="BT37" s="9">
        <f t="shared" ca="1" si="38"/>
        <v>0</v>
      </c>
      <c r="BU37" s="9">
        <f t="shared" ca="1" si="38"/>
        <v>0</v>
      </c>
      <c r="BV37" s="9">
        <f t="shared" ca="1" si="38"/>
        <v>0</v>
      </c>
      <c r="BW37" s="9">
        <f t="shared" ca="1" si="38"/>
        <v>0</v>
      </c>
      <c r="BX37" s="9">
        <f t="shared" ca="1" si="38"/>
        <v>0</v>
      </c>
      <c r="BY37" s="9">
        <f t="shared" ca="1" si="38"/>
        <v>0</v>
      </c>
      <c r="BZ37" s="9">
        <f t="shared" ca="1" si="38"/>
        <v>0</v>
      </c>
      <c r="CA37" s="9">
        <f t="shared" ca="1" si="38"/>
        <v>0</v>
      </c>
      <c r="CB37" s="9">
        <f t="shared" ca="1" si="38"/>
        <v>0</v>
      </c>
      <c r="CC37" s="9">
        <f t="shared" ca="1" si="38"/>
        <v>0</v>
      </c>
      <c r="CD37" s="9">
        <f t="shared" ca="1" si="39"/>
        <v>0</v>
      </c>
      <c r="CE37" s="9">
        <f t="shared" ca="1" si="39"/>
        <v>0</v>
      </c>
      <c r="CF37" s="9">
        <f t="shared" ca="1" si="39"/>
        <v>0</v>
      </c>
      <c r="CG37" s="9">
        <f t="shared" ca="1" si="39"/>
        <v>0</v>
      </c>
      <c r="CH37" s="9">
        <f t="shared" ca="1" si="39"/>
        <v>0</v>
      </c>
      <c r="CI37" s="9">
        <f t="shared" ca="1" si="39"/>
        <v>0</v>
      </c>
      <c r="CJ37" s="9">
        <f t="shared" ca="1" si="39"/>
        <v>0</v>
      </c>
      <c r="CK37" s="30">
        <f t="shared" ca="1" si="39"/>
        <v>0</v>
      </c>
      <c r="CN37" s="9">
        <v>17</v>
      </c>
      <c r="CO37" s="17">
        <v>0.05</v>
      </c>
      <c r="CP37" s="17">
        <v>-1.0104392774570741E-2</v>
      </c>
      <c r="CQ37" s="17">
        <v>-1.0574561488798137E-2</v>
      </c>
      <c r="CR37" s="17">
        <v>1.4717948780631088E-4</v>
      </c>
      <c r="CS37" s="17">
        <f t="shared" si="15"/>
        <v>2.9468225224437431E-2</v>
      </c>
      <c r="EC37" s="9">
        <f ca="1"/>
        <v>1.5914999999960624E-2</v>
      </c>
      <c r="ED37" s="9">
        <f ca="1"/>
        <v>1.579999999996257E-2</v>
      </c>
      <c r="EE37" s="9">
        <f ca="1"/>
        <v>1.6029999999958678E-2</v>
      </c>
    </row>
    <row r="38" spans="1:135" x14ac:dyDescent="0.45">
      <c r="A38" s="8">
        <f ca="1"/>
        <v>4</v>
      </c>
      <c r="B38" s="58">
        <f ca="1"/>
        <v>1E-3</v>
      </c>
      <c r="C38" s="18">
        <f ca="1"/>
        <v>94.031000000000006</v>
      </c>
      <c r="D38" s="18">
        <f t="shared" ca="1" si="40"/>
        <v>94.14349817334616</v>
      </c>
      <c r="E38" s="18">
        <f t="shared" ca="1" si="41"/>
        <v>0.11249817334615386</v>
      </c>
      <c r="F38" s="18">
        <f t="shared" ca="1" si="42"/>
        <v>0.11249817334615386</v>
      </c>
      <c r="G38" s="19">
        <f t="shared" ca="1" si="43"/>
        <v>8.7583070751955372E-3</v>
      </c>
      <c r="H38" s="19">
        <f ca="1">IFERROR(IRR((J38,L38:CK38),0),0)</f>
        <v>8.607000937336462E-3</v>
      </c>
      <c r="I38" s="55">
        <f t="shared" ca="1" si="44"/>
        <v>-1.5130613785907521E-4</v>
      </c>
      <c r="J38" s="18">
        <f t="shared" ca="1" si="45"/>
        <v>-94.14349817334616</v>
      </c>
      <c r="K38" s="29">
        <f t="shared" ca="1" si="46"/>
        <v>-94.031000000000006</v>
      </c>
      <c r="L38" s="9">
        <f t="shared" ca="1" si="32"/>
        <v>0.1</v>
      </c>
      <c r="M38" s="9">
        <f t="shared" ca="1" si="32"/>
        <v>0.1</v>
      </c>
      <c r="N38" s="9">
        <f t="shared" ca="1" si="32"/>
        <v>0.1</v>
      </c>
      <c r="O38" s="9">
        <f t="shared" ca="1" si="32"/>
        <v>0.1</v>
      </c>
      <c r="P38" s="9">
        <f t="shared" ca="1" si="32"/>
        <v>0.1</v>
      </c>
      <c r="Q38" s="9">
        <f t="shared" ca="1" si="32"/>
        <v>0.1</v>
      </c>
      <c r="R38" s="9">
        <f t="shared" ca="1" si="32"/>
        <v>0.1</v>
      </c>
      <c r="S38" s="9">
        <f t="shared" ca="1" si="32"/>
        <v>100.1</v>
      </c>
      <c r="T38" s="9">
        <f t="shared" ca="1" si="32"/>
        <v>0</v>
      </c>
      <c r="U38" s="9">
        <f t="shared" ca="1" si="32"/>
        <v>0</v>
      </c>
      <c r="V38" s="9">
        <f t="shared" ca="1" si="33"/>
        <v>0</v>
      </c>
      <c r="W38" s="9">
        <f t="shared" ca="1" si="33"/>
        <v>0</v>
      </c>
      <c r="X38" s="9">
        <f t="shared" ca="1" si="33"/>
        <v>0</v>
      </c>
      <c r="Y38" s="9">
        <f t="shared" ca="1" si="33"/>
        <v>0</v>
      </c>
      <c r="Z38" s="9">
        <f t="shared" ca="1" si="33"/>
        <v>0</v>
      </c>
      <c r="AA38" s="9">
        <f t="shared" ca="1" si="33"/>
        <v>0</v>
      </c>
      <c r="AB38" s="9">
        <f t="shared" ca="1" si="33"/>
        <v>0</v>
      </c>
      <c r="AC38" s="9">
        <f t="shared" ca="1" si="33"/>
        <v>0</v>
      </c>
      <c r="AD38" s="9">
        <f t="shared" ca="1" si="33"/>
        <v>0</v>
      </c>
      <c r="AE38" s="9">
        <f t="shared" ca="1" si="33"/>
        <v>0</v>
      </c>
      <c r="AF38" s="9">
        <f t="shared" ca="1" si="34"/>
        <v>0</v>
      </c>
      <c r="AG38" s="9">
        <f t="shared" ca="1" si="34"/>
        <v>0</v>
      </c>
      <c r="AH38" s="9">
        <f t="shared" ca="1" si="34"/>
        <v>0</v>
      </c>
      <c r="AI38" s="9">
        <f t="shared" ca="1" si="34"/>
        <v>0</v>
      </c>
      <c r="AJ38" s="9">
        <f t="shared" ca="1" si="34"/>
        <v>0</v>
      </c>
      <c r="AK38" s="9">
        <f t="shared" ca="1" si="34"/>
        <v>0</v>
      </c>
      <c r="AL38" s="9">
        <f t="shared" ca="1" si="34"/>
        <v>0</v>
      </c>
      <c r="AM38" s="9">
        <f t="shared" ca="1" si="34"/>
        <v>0</v>
      </c>
      <c r="AN38" s="9">
        <f t="shared" ca="1" si="34"/>
        <v>0</v>
      </c>
      <c r="AO38" s="9">
        <f t="shared" ca="1" si="34"/>
        <v>0</v>
      </c>
      <c r="AP38" s="9">
        <f t="shared" ca="1" si="35"/>
        <v>0</v>
      </c>
      <c r="AQ38" s="9">
        <f t="shared" ca="1" si="35"/>
        <v>0</v>
      </c>
      <c r="AR38" s="9">
        <f t="shared" ca="1" si="35"/>
        <v>0</v>
      </c>
      <c r="AS38" s="9">
        <f t="shared" ca="1" si="35"/>
        <v>0</v>
      </c>
      <c r="AT38" s="9">
        <f t="shared" ca="1" si="35"/>
        <v>0</v>
      </c>
      <c r="AU38" s="9">
        <f t="shared" ca="1" si="35"/>
        <v>0</v>
      </c>
      <c r="AV38" s="9">
        <f t="shared" ca="1" si="35"/>
        <v>0</v>
      </c>
      <c r="AW38" s="9">
        <f t="shared" ca="1" si="35"/>
        <v>0</v>
      </c>
      <c r="AX38" s="9">
        <f t="shared" ca="1" si="35"/>
        <v>0</v>
      </c>
      <c r="AY38" s="9">
        <f t="shared" ca="1" si="35"/>
        <v>0</v>
      </c>
      <c r="AZ38" s="9">
        <f t="shared" ca="1" si="36"/>
        <v>0</v>
      </c>
      <c r="BA38" s="9">
        <f t="shared" ca="1" si="36"/>
        <v>0</v>
      </c>
      <c r="BB38" s="9">
        <f t="shared" ca="1" si="36"/>
        <v>0</v>
      </c>
      <c r="BC38" s="9">
        <f t="shared" ca="1" si="36"/>
        <v>0</v>
      </c>
      <c r="BD38" s="9">
        <f t="shared" ca="1" si="36"/>
        <v>0</v>
      </c>
      <c r="BE38" s="9">
        <f t="shared" ca="1" si="36"/>
        <v>0</v>
      </c>
      <c r="BF38" s="9">
        <f t="shared" ca="1" si="36"/>
        <v>0</v>
      </c>
      <c r="BG38" s="9">
        <f t="shared" ca="1" si="36"/>
        <v>0</v>
      </c>
      <c r="BH38" s="9">
        <f t="shared" ca="1" si="36"/>
        <v>0</v>
      </c>
      <c r="BI38" s="9">
        <f t="shared" ca="1" si="36"/>
        <v>0</v>
      </c>
      <c r="BJ38" s="9">
        <f t="shared" ca="1" si="37"/>
        <v>0</v>
      </c>
      <c r="BK38" s="9">
        <f t="shared" ca="1" si="37"/>
        <v>0</v>
      </c>
      <c r="BL38" s="9">
        <f t="shared" ca="1" si="37"/>
        <v>0</v>
      </c>
      <c r="BM38" s="9">
        <f t="shared" ca="1" si="37"/>
        <v>0</v>
      </c>
      <c r="BN38" s="9">
        <f t="shared" ca="1" si="37"/>
        <v>0</v>
      </c>
      <c r="BO38" s="9">
        <f t="shared" ca="1" si="37"/>
        <v>0</v>
      </c>
      <c r="BP38" s="9">
        <f t="shared" ca="1" si="37"/>
        <v>0</v>
      </c>
      <c r="BQ38" s="9">
        <f t="shared" ca="1" si="37"/>
        <v>0</v>
      </c>
      <c r="BR38" s="9">
        <f t="shared" ca="1" si="37"/>
        <v>0</v>
      </c>
      <c r="BS38" s="9">
        <f t="shared" ca="1" si="37"/>
        <v>0</v>
      </c>
      <c r="BT38" s="9">
        <f t="shared" ca="1" si="38"/>
        <v>0</v>
      </c>
      <c r="BU38" s="9">
        <f t="shared" ca="1" si="38"/>
        <v>0</v>
      </c>
      <c r="BV38" s="9">
        <f t="shared" ca="1" si="38"/>
        <v>0</v>
      </c>
      <c r="BW38" s="9">
        <f t="shared" ca="1" si="38"/>
        <v>0</v>
      </c>
      <c r="BX38" s="9">
        <f t="shared" ca="1" si="38"/>
        <v>0</v>
      </c>
      <c r="BY38" s="9">
        <f t="shared" ca="1" si="38"/>
        <v>0</v>
      </c>
      <c r="BZ38" s="9">
        <f t="shared" ca="1" si="38"/>
        <v>0</v>
      </c>
      <c r="CA38" s="9">
        <f t="shared" ca="1" si="38"/>
        <v>0</v>
      </c>
      <c r="CB38" s="9">
        <f t="shared" ca="1" si="38"/>
        <v>0</v>
      </c>
      <c r="CC38" s="9">
        <f t="shared" ca="1" si="38"/>
        <v>0</v>
      </c>
      <c r="CD38" s="9">
        <f t="shared" ca="1" si="39"/>
        <v>0</v>
      </c>
      <c r="CE38" s="9">
        <f t="shared" ca="1" si="39"/>
        <v>0</v>
      </c>
      <c r="CF38" s="9">
        <f t="shared" ca="1" si="39"/>
        <v>0</v>
      </c>
      <c r="CG38" s="9">
        <f t="shared" ca="1" si="39"/>
        <v>0</v>
      </c>
      <c r="CH38" s="9">
        <f t="shared" ca="1" si="39"/>
        <v>0</v>
      </c>
      <c r="CI38" s="9">
        <f t="shared" ca="1" si="39"/>
        <v>0</v>
      </c>
      <c r="CJ38" s="9">
        <f t="shared" ca="1" si="39"/>
        <v>0</v>
      </c>
      <c r="CK38" s="30">
        <f t="shared" ca="1" si="39"/>
        <v>0</v>
      </c>
      <c r="CN38" s="9">
        <v>17.5</v>
      </c>
      <c r="CO38" s="17">
        <v>0.05</v>
      </c>
      <c r="CP38" s="17">
        <v>-9.8368971416313306E-3</v>
      </c>
      <c r="CQ38" s="17">
        <v>-1.0368740082698093E-2</v>
      </c>
      <c r="CR38" s="17">
        <v>1.4297435964771374E-4</v>
      </c>
      <c r="CS38" s="17">
        <f t="shared" si="15"/>
        <v>2.9937337135318296E-2</v>
      </c>
      <c r="EC38" s="9">
        <f ca="1"/>
        <v>1.6184999999890533E-2</v>
      </c>
      <c r="ED38" s="9">
        <f ca="1"/>
        <v>1.6079999999895414E-2</v>
      </c>
      <c r="EE38" s="9">
        <f ca="1"/>
        <v>1.6289999999885653E-2</v>
      </c>
    </row>
    <row r="39" spans="1:135" x14ac:dyDescent="0.45">
      <c r="A39" s="8">
        <f ca="1"/>
        <v>4</v>
      </c>
      <c r="B39" s="58">
        <f ca="1"/>
        <v>1E-3</v>
      </c>
      <c r="C39" s="18">
        <f ca="1"/>
        <v>93.595500000000001</v>
      </c>
      <c r="D39" s="18">
        <f t="shared" ca="1" si="40"/>
        <v>94.14349817334616</v>
      </c>
      <c r="E39" s="18">
        <f t="shared" ca="1" si="41"/>
        <v>0.54799817334615852</v>
      </c>
      <c r="F39" s="18">
        <f t="shared" ca="1" si="42"/>
        <v>0.54799817334615852</v>
      </c>
      <c r="G39" s="19">
        <f t="shared" ca="1" si="43"/>
        <v>9.3459702675131595E-3</v>
      </c>
      <c r="H39" s="19">
        <f ca="1">IFERROR(IRR((J39,L39:CK39),0),0)</f>
        <v>8.607000937336462E-3</v>
      </c>
      <c r="I39" s="55">
        <f t="shared" ca="1" si="44"/>
        <v>-7.3896933017669753E-4</v>
      </c>
      <c r="J39" s="18">
        <f t="shared" ca="1" si="45"/>
        <v>-94.14349817334616</v>
      </c>
      <c r="K39" s="29">
        <f t="shared" ca="1" si="46"/>
        <v>-93.595500000000001</v>
      </c>
      <c r="L39" s="9">
        <f t="shared" ca="1" si="32"/>
        <v>0.1</v>
      </c>
      <c r="M39" s="9">
        <f t="shared" ca="1" si="32"/>
        <v>0.1</v>
      </c>
      <c r="N39" s="9">
        <f t="shared" ca="1" si="32"/>
        <v>0.1</v>
      </c>
      <c r="O39" s="9">
        <f t="shared" ca="1" si="32"/>
        <v>0.1</v>
      </c>
      <c r="P39" s="9">
        <f t="shared" ca="1" si="32"/>
        <v>0.1</v>
      </c>
      <c r="Q39" s="9">
        <f t="shared" ca="1" si="32"/>
        <v>0.1</v>
      </c>
      <c r="R39" s="9">
        <f t="shared" ca="1" si="32"/>
        <v>0.1</v>
      </c>
      <c r="S39" s="9">
        <f t="shared" ca="1" si="32"/>
        <v>100.1</v>
      </c>
      <c r="T39" s="9">
        <f t="shared" ca="1" si="32"/>
        <v>0</v>
      </c>
      <c r="U39" s="9">
        <f t="shared" ca="1" si="32"/>
        <v>0</v>
      </c>
      <c r="V39" s="9">
        <f t="shared" ca="1" si="33"/>
        <v>0</v>
      </c>
      <c r="W39" s="9">
        <f t="shared" ca="1" si="33"/>
        <v>0</v>
      </c>
      <c r="X39" s="9">
        <f t="shared" ca="1" si="33"/>
        <v>0</v>
      </c>
      <c r="Y39" s="9">
        <f t="shared" ca="1" si="33"/>
        <v>0</v>
      </c>
      <c r="Z39" s="9">
        <f t="shared" ca="1" si="33"/>
        <v>0</v>
      </c>
      <c r="AA39" s="9">
        <f t="shared" ca="1" si="33"/>
        <v>0</v>
      </c>
      <c r="AB39" s="9">
        <f t="shared" ca="1" si="33"/>
        <v>0</v>
      </c>
      <c r="AC39" s="9">
        <f t="shared" ca="1" si="33"/>
        <v>0</v>
      </c>
      <c r="AD39" s="9">
        <f t="shared" ca="1" si="33"/>
        <v>0</v>
      </c>
      <c r="AE39" s="9">
        <f t="shared" ca="1" si="33"/>
        <v>0</v>
      </c>
      <c r="AF39" s="9">
        <f t="shared" ca="1" si="34"/>
        <v>0</v>
      </c>
      <c r="AG39" s="9">
        <f t="shared" ca="1" si="34"/>
        <v>0</v>
      </c>
      <c r="AH39" s="9">
        <f t="shared" ca="1" si="34"/>
        <v>0</v>
      </c>
      <c r="AI39" s="9">
        <f t="shared" ca="1" si="34"/>
        <v>0</v>
      </c>
      <c r="AJ39" s="9">
        <f t="shared" ca="1" si="34"/>
        <v>0</v>
      </c>
      <c r="AK39" s="9">
        <f t="shared" ca="1" si="34"/>
        <v>0</v>
      </c>
      <c r="AL39" s="9">
        <f t="shared" ca="1" si="34"/>
        <v>0</v>
      </c>
      <c r="AM39" s="9">
        <f t="shared" ca="1" si="34"/>
        <v>0</v>
      </c>
      <c r="AN39" s="9">
        <f t="shared" ca="1" si="34"/>
        <v>0</v>
      </c>
      <c r="AO39" s="9">
        <f t="shared" ca="1" si="34"/>
        <v>0</v>
      </c>
      <c r="AP39" s="9">
        <f t="shared" ca="1" si="35"/>
        <v>0</v>
      </c>
      <c r="AQ39" s="9">
        <f t="shared" ca="1" si="35"/>
        <v>0</v>
      </c>
      <c r="AR39" s="9">
        <f t="shared" ca="1" si="35"/>
        <v>0</v>
      </c>
      <c r="AS39" s="9">
        <f t="shared" ca="1" si="35"/>
        <v>0</v>
      </c>
      <c r="AT39" s="9">
        <f t="shared" ca="1" si="35"/>
        <v>0</v>
      </c>
      <c r="AU39" s="9">
        <f t="shared" ca="1" si="35"/>
        <v>0</v>
      </c>
      <c r="AV39" s="9">
        <f t="shared" ca="1" si="35"/>
        <v>0</v>
      </c>
      <c r="AW39" s="9">
        <f t="shared" ca="1" si="35"/>
        <v>0</v>
      </c>
      <c r="AX39" s="9">
        <f t="shared" ca="1" si="35"/>
        <v>0</v>
      </c>
      <c r="AY39" s="9">
        <f t="shared" ca="1" si="35"/>
        <v>0</v>
      </c>
      <c r="AZ39" s="9">
        <f t="shared" ca="1" si="36"/>
        <v>0</v>
      </c>
      <c r="BA39" s="9">
        <f t="shared" ca="1" si="36"/>
        <v>0</v>
      </c>
      <c r="BB39" s="9">
        <f t="shared" ca="1" si="36"/>
        <v>0</v>
      </c>
      <c r="BC39" s="9">
        <f t="shared" ca="1" si="36"/>
        <v>0</v>
      </c>
      <c r="BD39" s="9">
        <f t="shared" ca="1" si="36"/>
        <v>0</v>
      </c>
      <c r="BE39" s="9">
        <f t="shared" ca="1" si="36"/>
        <v>0</v>
      </c>
      <c r="BF39" s="9">
        <f t="shared" ca="1" si="36"/>
        <v>0</v>
      </c>
      <c r="BG39" s="9">
        <f t="shared" ca="1" si="36"/>
        <v>0</v>
      </c>
      <c r="BH39" s="9">
        <f t="shared" ca="1" si="36"/>
        <v>0</v>
      </c>
      <c r="BI39" s="9">
        <f t="shared" ca="1" si="36"/>
        <v>0</v>
      </c>
      <c r="BJ39" s="9">
        <f t="shared" ca="1" si="37"/>
        <v>0</v>
      </c>
      <c r="BK39" s="9">
        <f t="shared" ca="1" si="37"/>
        <v>0</v>
      </c>
      <c r="BL39" s="9">
        <f t="shared" ca="1" si="37"/>
        <v>0</v>
      </c>
      <c r="BM39" s="9">
        <f t="shared" ca="1" si="37"/>
        <v>0</v>
      </c>
      <c r="BN39" s="9">
        <f t="shared" ca="1" si="37"/>
        <v>0</v>
      </c>
      <c r="BO39" s="9">
        <f t="shared" ca="1" si="37"/>
        <v>0</v>
      </c>
      <c r="BP39" s="9">
        <f t="shared" ca="1" si="37"/>
        <v>0</v>
      </c>
      <c r="BQ39" s="9">
        <f t="shared" ca="1" si="37"/>
        <v>0</v>
      </c>
      <c r="BR39" s="9">
        <f t="shared" ca="1" si="37"/>
        <v>0</v>
      </c>
      <c r="BS39" s="9">
        <f t="shared" ca="1" si="37"/>
        <v>0</v>
      </c>
      <c r="BT39" s="9">
        <f t="shared" ca="1" si="38"/>
        <v>0</v>
      </c>
      <c r="BU39" s="9">
        <f t="shared" ca="1" si="38"/>
        <v>0</v>
      </c>
      <c r="BV39" s="9">
        <f t="shared" ca="1" si="38"/>
        <v>0</v>
      </c>
      <c r="BW39" s="9">
        <f t="shared" ca="1" si="38"/>
        <v>0</v>
      </c>
      <c r="BX39" s="9">
        <f t="shared" ca="1" si="38"/>
        <v>0</v>
      </c>
      <c r="BY39" s="9">
        <f t="shared" ca="1" si="38"/>
        <v>0</v>
      </c>
      <c r="BZ39" s="9">
        <f t="shared" ca="1" si="38"/>
        <v>0</v>
      </c>
      <c r="CA39" s="9">
        <f t="shared" ca="1" si="38"/>
        <v>0</v>
      </c>
      <c r="CB39" s="9">
        <f t="shared" ca="1" si="38"/>
        <v>0</v>
      </c>
      <c r="CC39" s="9">
        <f t="shared" ca="1" si="38"/>
        <v>0</v>
      </c>
      <c r="CD39" s="9">
        <f t="shared" ca="1" si="39"/>
        <v>0</v>
      </c>
      <c r="CE39" s="9">
        <f t="shared" ca="1" si="39"/>
        <v>0</v>
      </c>
      <c r="CF39" s="9">
        <f t="shared" ca="1" si="39"/>
        <v>0</v>
      </c>
      <c r="CG39" s="9">
        <f t="shared" ca="1" si="39"/>
        <v>0</v>
      </c>
      <c r="CH39" s="9">
        <f t="shared" ca="1" si="39"/>
        <v>0</v>
      </c>
      <c r="CI39" s="9">
        <f t="shared" ca="1" si="39"/>
        <v>0</v>
      </c>
      <c r="CJ39" s="9">
        <f t="shared" ca="1" si="39"/>
        <v>0</v>
      </c>
      <c r="CK39" s="30">
        <f t="shared" ca="1" si="39"/>
        <v>0</v>
      </c>
      <c r="CN39" s="9">
        <v>18</v>
      </c>
      <c r="CO39" s="17">
        <v>0.05</v>
      </c>
      <c r="CP39" s="17">
        <v>-9.582003682876308E-3</v>
      </c>
      <c r="CQ39" s="17">
        <v>-1.0166510163188178E-2</v>
      </c>
      <c r="CR39" s="17">
        <v>1.3900284968929543E-4</v>
      </c>
      <c r="CS39" s="17">
        <f t="shared" si="15"/>
        <v>3.0390489003624808E-2</v>
      </c>
      <c r="EC39" s="9">
        <f ca="1"/>
        <v>1.6544999999882348E-2</v>
      </c>
      <c r="ED39" s="9">
        <f ca="1"/>
        <v>1.6439999999887493E-2</v>
      </c>
      <c r="EE39" s="9">
        <f ca="1"/>
        <v>1.6649999999877207E-2</v>
      </c>
    </row>
    <row r="40" spans="1:135" x14ac:dyDescent="0.45">
      <c r="A40" s="8">
        <f ca="1"/>
        <v>4.5</v>
      </c>
      <c r="B40" s="58">
        <f ca="1"/>
        <v>1E-3</v>
      </c>
      <c r="C40" s="18">
        <f ca="1"/>
        <v>93.12</v>
      </c>
      <c r="D40" s="18">
        <f t="shared" ca="1" si="40"/>
        <v>93.158081769023724</v>
      </c>
      <c r="E40" s="18">
        <f t="shared" ca="1" si="41"/>
        <v>3.8081769023719403E-2</v>
      </c>
      <c r="F40" s="18">
        <f t="shared" ca="1" si="42"/>
        <v>3.8081769023719403E-2</v>
      </c>
      <c r="G40" s="19">
        <f t="shared" ca="1" si="43"/>
        <v>8.9922502580710439E-3</v>
      </c>
      <c r="H40" s="19">
        <f ca="1">IFERROR(IRR((J40,L40:CK40),0),0)</f>
        <v>8.9462208608999116E-3</v>
      </c>
      <c r="I40" s="55">
        <f t="shared" ca="1" si="44"/>
        <v>-4.6029397171132302E-5</v>
      </c>
      <c r="J40" s="18">
        <f t="shared" ca="1" si="45"/>
        <v>-93.158081769023724</v>
      </c>
      <c r="K40" s="29">
        <f t="shared" ca="1" si="46"/>
        <v>-93.12</v>
      </c>
      <c r="L40" s="9">
        <f t="shared" ca="1" si="32"/>
        <v>0.1</v>
      </c>
      <c r="M40" s="9">
        <f t="shared" ca="1" si="32"/>
        <v>0.1</v>
      </c>
      <c r="N40" s="9">
        <f t="shared" ca="1" si="32"/>
        <v>0.1</v>
      </c>
      <c r="O40" s="9">
        <f t="shared" ca="1" si="32"/>
        <v>0.1</v>
      </c>
      <c r="P40" s="9">
        <f t="shared" ca="1" si="32"/>
        <v>0.1</v>
      </c>
      <c r="Q40" s="9">
        <f t="shared" ca="1" si="32"/>
        <v>0.1</v>
      </c>
      <c r="R40" s="9">
        <f t="shared" ca="1" si="32"/>
        <v>0.1</v>
      </c>
      <c r="S40" s="9">
        <f t="shared" ca="1" si="32"/>
        <v>0.1</v>
      </c>
      <c r="T40" s="9">
        <f t="shared" ca="1" si="32"/>
        <v>100.1</v>
      </c>
      <c r="U40" s="9">
        <f t="shared" ca="1" si="32"/>
        <v>0</v>
      </c>
      <c r="V40" s="9">
        <f t="shared" ca="1" si="33"/>
        <v>0</v>
      </c>
      <c r="W40" s="9">
        <f t="shared" ca="1" si="33"/>
        <v>0</v>
      </c>
      <c r="X40" s="9">
        <f t="shared" ca="1" si="33"/>
        <v>0</v>
      </c>
      <c r="Y40" s="9">
        <f t="shared" ca="1" si="33"/>
        <v>0</v>
      </c>
      <c r="Z40" s="9">
        <f t="shared" ca="1" si="33"/>
        <v>0</v>
      </c>
      <c r="AA40" s="9">
        <f t="shared" ca="1" si="33"/>
        <v>0</v>
      </c>
      <c r="AB40" s="9">
        <f t="shared" ca="1" si="33"/>
        <v>0</v>
      </c>
      <c r="AC40" s="9">
        <f t="shared" ca="1" si="33"/>
        <v>0</v>
      </c>
      <c r="AD40" s="9">
        <f t="shared" ca="1" si="33"/>
        <v>0</v>
      </c>
      <c r="AE40" s="9">
        <f t="shared" ca="1" si="33"/>
        <v>0</v>
      </c>
      <c r="AF40" s="9">
        <f t="shared" ca="1" si="34"/>
        <v>0</v>
      </c>
      <c r="AG40" s="9">
        <f t="shared" ca="1" si="34"/>
        <v>0</v>
      </c>
      <c r="AH40" s="9">
        <f t="shared" ca="1" si="34"/>
        <v>0</v>
      </c>
      <c r="AI40" s="9">
        <f t="shared" ca="1" si="34"/>
        <v>0</v>
      </c>
      <c r="AJ40" s="9">
        <f t="shared" ca="1" si="34"/>
        <v>0</v>
      </c>
      <c r="AK40" s="9">
        <f t="shared" ca="1" si="34"/>
        <v>0</v>
      </c>
      <c r="AL40" s="9">
        <f t="shared" ca="1" si="34"/>
        <v>0</v>
      </c>
      <c r="AM40" s="9">
        <f t="shared" ca="1" si="34"/>
        <v>0</v>
      </c>
      <c r="AN40" s="9">
        <f t="shared" ca="1" si="34"/>
        <v>0</v>
      </c>
      <c r="AO40" s="9">
        <f t="shared" ca="1" si="34"/>
        <v>0</v>
      </c>
      <c r="AP40" s="9">
        <f t="shared" ca="1" si="35"/>
        <v>0</v>
      </c>
      <c r="AQ40" s="9">
        <f t="shared" ca="1" si="35"/>
        <v>0</v>
      </c>
      <c r="AR40" s="9">
        <f t="shared" ca="1" si="35"/>
        <v>0</v>
      </c>
      <c r="AS40" s="9">
        <f t="shared" ca="1" si="35"/>
        <v>0</v>
      </c>
      <c r="AT40" s="9">
        <f t="shared" ca="1" si="35"/>
        <v>0</v>
      </c>
      <c r="AU40" s="9">
        <f t="shared" ca="1" si="35"/>
        <v>0</v>
      </c>
      <c r="AV40" s="9">
        <f t="shared" ca="1" si="35"/>
        <v>0</v>
      </c>
      <c r="AW40" s="9">
        <f t="shared" ca="1" si="35"/>
        <v>0</v>
      </c>
      <c r="AX40" s="9">
        <f t="shared" ca="1" si="35"/>
        <v>0</v>
      </c>
      <c r="AY40" s="9">
        <f t="shared" ca="1" si="35"/>
        <v>0</v>
      </c>
      <c r="AZ40" s="9">
        <f t="shared" ca="1" si="36"/>
        <v>0</v>
      </c>
      <c r="BA40" s="9">
        <f t="shared" ca="1" si="36"/>
        <v>0</v>
      </c>
      <c r="BB40" s="9">
        <f t="shared" ca="1" si="36"/>
        <v>0</v>
      </c>
      <c r="BC40" s="9">
        <f t="shared" ca="1" si="36"/>
        <v>0</v>
      </c>
      <c r="BD40" s="9">
        <f t="shared" ca="1" si="36"/>
        <v>0</v>
      </c>
      <c r="BE40" s="9">
        <f t="shared" ca="1" si="36"/>
        <v>0</v>
      </c>
      <c r="BF40" s="9">
        <f t="shared" ca="1" si="36"/>
        <v>0</v>
      </c>
      <c r="BG40" s="9">
        <f t="shared" ca="1" si="36"/>
        <v>0</v>
      </c>
      <c r="BH40" s="9">
        <f t="shared" ca="1" si="36"/>
        <v>0</v>
      </c>
      <c r="BI40" s="9">
        <f t="shared" ca="1" si="36"/>
        <v>0</v>
      </c>
      <c r="BJ40" s="9">
        <f t="shared" ca="1" si="37"/>
        <v>0</v>
      </c>
      <c r="BK40" s="9">
        <f t="shared" ca="1" si="37"/>
        <v>0</v>
      </c>
      <c r="BL40" s="9">
        <f t="shared" ca="1" si="37"/>
        <v>0</v>
      </c>
      <c r="BM40" s="9">
        <f t="shared" ca="1" si="37"/>
        <v>0</v>
      </c>
      <c r="BN40" s="9">
        <f t="shared" ca="1" si="37"/>
        <v>0</v>
      </c>
      <c r="BO40" s="9">
        <f t="shared" ca="1" si="37"/>
        <v>0</v>
      </c>
      <c r="BP40" s="9">
        <f t="shared" ca="1" si="37"/>
        <v>0</v>
      </c>
      <c r="BQ40" s="9">
        <f t="shared" ca="1" si="37"/>
        <v>0</v>
      </c>
      <c r="BR40" s="9">
        <f t="shared" ca="1" si="37"/>
        <v>0</v>
      </c>
      <c r="BS40" s="9">
        <f t="shared" ca="1" si="37"/>
        <v>0</v>
      </c>
      <c r="BT40" s="9">
        <f t="shared" ca="1" si="38"/>
        <v>0</v>
      </c>
      <c r="BU40" s="9">
        <f t="shared" ca="1" si="38"/>
        <v>0</v>
      </c>
      <c r="BV40" s="9">
        <f t="shared" ca="1" si="38"/>
        <v>0</v>
      </c>
      <c r="BW40" s="9">
        <f t="shared" ca="1" si="38"/>
        <v>0</v>
      </c>
      <c r="BX40" s="9">
        <f t="shared" ca="1" si="38"/>
        <v>0</v>
      </c>
      <c r="BY40" s="9">
        <f t="shared" ca="1" si="38"/>
        <v>0</v>
      </c>
      <c r="BZ40" s="9">
        <f t="shared" ca="1" si="38"/>
        <v>0</v>
      </c>
      <c r="CA40" s="9">
        <f t="shared" ca="1" si="38"/>
        <v>0</v>
      </c>
      <c r="CB40" s="9">
        <f t="shared" ca="1" si="38"/>
        <v>0</v>
      </c>
      <c r="CC40" s="9">
        <f t="shared" ca="1" si="38"/>
        <v>0</v>
      </c>
      <c r="CD40" s="9">
        <f t="shared" ca="1" si="39"/>
        <v>0</v>
      </c>
      <c r="CE40" s="9">
        <f t="shared" ca="1" si="39"/>
        <v>0</v>
      </c>
      <c r="CF40" s="9">
        <f t="shared" ca="1" si="39"/>
        <v>0</v>
      </c>
      <c r="CG40" s="9">
        <f t="shared" ca="1" si="39"/>
        <v>0</v>
      </c>
      <c r="CH40" s="9">
        <f t="shared" ca="1" si="39"/>
        <v>0</v>
      </c>
      <c r="CI40" s="9">
        <f t="shared" ca="1" si="39"/>
        <v>0</v>
      </c>
      <c r="CJ40" s="9">
        <f t="shared" ca="1" si="39"/>
        <v>0</v>
      </c>
      <c r="CK40" s="30">
        <f t="shared" ca="1" si="39"/>
        <v>0</v>
      </c>
      <c r="CN40" s="9">
        <v>18.5</v>
      </c>
      <c r="CO40" s="17">
        <v>0.05</v>
      </c>
      <c r="CP40" s="17">
        <v>-9.3389314176456802E-3</v>
      </c>
      <c r="CQ40" s="17">
        <v>-9.9681590096466783E-3</v>
      </c>
      <c r="CR40" s="17">
        <v>1.3524601592959738E-4</v>
      </c>
      <c r="CS40" s="17">
        <f t="shared" si="15"/>
        <v>3.0828155588637246E-2</v>
      </c>
      <c r="EC40" s="9">
        <f ca="1"/>
        <v>1.6864999999699783E-2</v>
      </c>
      <c r="ED40" s="9">
        <f ca="1"/>
        <v>1.6779999999710235E-2</v>
      </c>
      <c r="EE40" s="9">
        <f ca="1"/>
        <v>1.6949999999689332E-2</v>
      </c>
    </row>
    <row r="41" spans="1:135" x14ac:dyDescent="0.45">
      <c r="A41" s="8">
        <f ca="1"/>
        <v>4.5</v>
      </c>
      <c r="B41" s="58">
        <f ca="1"/>
        <v>1E-3</v>
      </c>
      <c r="C41" s="18">
        <f ca="1"/>
        <v>92.654499999999999</v>
      </c>
      <c r="D41" s="18">
        <f t="shared" ca="1" si="40"/>
        <v>93.158081769023724</v>
      </c>
      <c r="E41" s="18">
        <f t="shared" ca="1" si="41"/>
        <v>0.5035817690237252</v>
      </c>
      <c r="F41" s="18">
        <f t="shared" ca="1" si="42"/>
        <v>0.5035817690237252</v>
      </c>
      <c r="G41" s="19">
        <f t="shared" ca="1" si="43"/>
        <v>9.5566006975049689E-3</v>
      </c>
      <c r="H41" s="19">
        <f ca="1">IFERROR(IRR((J41,L41:CK41),0),0)</f>
        <v>8.9462208608999116E-3</v>
      </c>
      <c r="I41" s="55">
        <f t="shared" ca="1" si="44"/>
        <v>-6.1037983660505724E-4</v>
      </c>
      <c r="J41" s="18">
        <f t="shared" ca="1" si="45"/>
        <v>-93.158081769023724</v>
      </c>
      <c r="K41" s="29">
        <f t="shared" ca="1" si="46"/>
        <v>-92.654499999999999</v>
      </c>
      <c r="L41" s="9">
        <f t="shared" ca="1" si="32"/>
        <v>0.1</v>
      </c>
      <c r="M41" s="9">
        <f t="shared" ca="1" si="32"/>
        <v>0.1</v>
      </c>
      <c r="N41" s="9">
        <f t="shared" ca="1" si="32"/>
        <v>0.1</v>
      </c>
      <c r="O41" s="9">
        <f t="shared" ca="1" si="32"/>
        <v>0.1</v>
      </c>
      <c r="P41" s="9">
        <f t="shared" ca="1" si="32"/>
        <v>0.1</v>
      </c>
      <c r="Q41" s="9">
        <f t="shared" ca="1" si="32"/>
        <v>0.1</v>
      </c>
      <c r="R41" s="9">
        <f t="shared" ca="1" si="32"/>
        <v>0.1</v>
      </c>
      <c r="S41" s="9">
        <f t="shared" ca="1" si="32"/>
        <v>0.1</v>
      </c>
      <c r="T41" s="9">
        <f t="shared" ca="1" si="32"/>
        <v>100.1</v>
      </c>
      <c r="U41" s="9">
        <f t="shared" ca="1" si="32"/>
        <v>0</v>
      </c>
      <c r="V41" s="9">
        <f t="shared" ca="1" si="33"/>
        <v>0</v>
      </c>
      <c r="W41" s="9">
        <f t="shared" ca="1" si="33"/>
        <v>0</v>
      </c>
      <c r="X41" s="9">
        <f t="shared" ca="1" si="33"/>
        <v>0</v>
      </c>
      <c r="Y41" s="9">
        <f t="shared" ca="1" si="33"/>
        <v>0</v>
      </c>
      <c r="Z41" s="9">
        <f t="shared" ca="1" si="33"/>
        <v>0</v>
      </c>
      <c r="AA41" s="9">
        <f t="shared" ca="1" si="33"/>
        <v>0</v>
      </c>
      <c r="AB41" s="9">
        <f t="shared" ca="1" si="33"/>
        <v>0</v>
      </c>
      <c r="AC41" s="9">
        <f t="shared" ca="1" si="33"/>
        <v>0</v>
      </c>
      <c r="AD41" s="9">
        <f t="shared" ca="1" si="33"/>
        <v>0</v>
      </c>
      <c r="AE41" s="9">
        <f t="shared" ca="1" si="33"/>
        <v>0</v>
      </c>
      <c r="AF41" s="9">
        <f t="shared" ca="1" si="34"/>
        <v>0</v>
      </c>
      <c r="AG41" s="9">
        <f t="shared" ca="1" si="34"/>
        <v>0</v>
      </c>
      <c r="AH41" s="9">
        <f t="shared" ca="1" si="34"/>
        <v>0</v>
      </c>
      <c r="AI41" s="9">
        <f t="shared" ca="1" si="34"/>
        <v>0</v>
      </c>
      <c r="AJ41" s="9">
        <f t="shared" ca="1" si="34"/>
        <v>0</v>
      </c>
      <c r="AK41" s="9">
        <f t="shared" ca="1" si="34"/>
        <v>0</v>
      </c>
      <c r="AL41" s="9">
        <f t="shared" ca="1" si="34"/>
        <v>0</v>
      </c>
      <c r="AM41" s="9">
        <f t="shared" ca="1" si="34"/>
        <v>0</v>
      </c>
      <c r="AN41" s="9">
        <f t="shared" ca="1" si="34"/>
        <v>0</v>
      </c>
      <c r="AO41" s="9">
        <f t="shared" ca="1" si="34"/>
        <v>0</v>
      </c>
      <c r="AP41" s="9">
        <f t="shared" ca="1" si="35"/>
        <v>0</v>
      </c>
      <c r="AQ41" s="9">
        <f t="shared" ca="1" si="35"/>
        <v>0</v>
      </c>
      <c r="AR41" s="9">
        <f t="shared" ca="1" si="35"/>
        <v>0</v>
      </c>
      <c r="AS41" s="9">
        <f t="shared" ca="1" si="35"/>
        <v>0</v>
      </c>
      <c r="AT41" s="9">
        <f t="shared" ca="1" si="35"/>
        <v>0</v>
      </c>
      <c r="AU41" s="9">
        <f t="shared" ca="1" si="35"/>
        <v>0</v>
      </c>
      <c r="AV41" s="9">
        <f t="shared" ca="1" si="35"/>
        <v>0</v>
      </c>
      <c r="AW41" s="9">
        <f t="shared" ca="1" si="35"/>
        <v>0</v>
      </c>
      <c r="AX41" s="9">
        <f t="shared" ca="1" si="35"/>
        <v>0</v>
      </c>
      <c r="AY41" s="9">
        <f t="shared" ca="1" si="35"/>
        <v>0</v>
      </c>
      <c r="AZ41" s="9">
        <f t="shared" ca="1" si="36"/>
        <v>0</v>
      </c>
      <c r="BA41" s="9">
        <f t="shared" ca="1" si="36"/>
        <v>0</v>
      </c>
      <c r="BB41" s="9">
        <f t="shared" ca="1" si="36"/>
        <v>0</v>
      </c>
      <c r="BC41" s="9">
        <f t="shared" ca="1" si="36"/>
        <v>0</v>
      </c>
      <c r="BD41" s="9">
        <f t="shared" ca="1" si="36"/>
        <v>0</v>
      </c>
      <c r="BE41" s="9">
        <f t="shared" ca="1" si="36"/>
        <v>0</v>
      </c>
      <c r="BF41" s="9">
        <f t="shared" ca="1" si="36"/>
        <v>0</v>
      </c>
      <c r="BG41" s="9">
        <f t="shared" ca="1" si="36"/>
        <v>0</v>
      </c>
      <c r="BH41" s="9">
        <f t="shared" ca="1" si="36"/>
        <v>0</v>
      </c>
      <c r="BI41" s="9">
        <f t="shared" ca="1" si="36"/>
        <v>0</v>
      </c>
      <c r="BJ41" s="9">
        <f t="shared" ca="1" si="37"/>
        <v>0</v>
      </c>
      <c r="BK41" s="9">
        <f t="shared" ca="1" si="37"/>
        <v>0</v>
      </c>
      <c r="BL41" s="9">
        <f t="shared" ca="1" si="37"/>
        <v>0</v>
      </c>
      <c r="BM41" s="9">
        <f t="shared" ca="1" si="37"/>
        <v>0</v>
      </c>
      <c r="BN41" s="9">
        <f t="shared" ca="1" si="37"/>
        <v>0</v>
      </c>
      <c r="BO41" s="9">
        <f t="shared" ca="1" si="37"/>
        <v>0</v>
      </c>
      <c r="BP41" s="9">
        <f t="shared" ca="1" si="37"/>
        <v>0</v>
      </c>
      <c r="BQ41" s="9">
        <f t="shared" ca="1" si="37"/>
        <v>0</v>
      </c>
      <c r="BR41" s="9">
        <f t="shared" ca="1" si="37"/>
        <v>0</v>
      </c>
      <c r="BS41" s="9">
        <f t="shared" ca="1" si="37"/>
        <v>0</v>
      </c>
      <c r="BT41" s="9">
        <f t="shared" ca="1" si="38"/>
        <v>0</v>
      </c>
      <c r="BU41" s="9">
        <f t="shared" ca="1" si="38"/>
        <v>0</v>
      </c>
      <c r="BV41" s="9">
        <f t="shared" ca="1" si="38"/>
        <v>0</v>
      </c>
      <c r="BW41" s="9">
        <f t="shared" ca="1" si="38"/>
        <v>0</v>
      </c>
      <c r="BX41" s="9">
        <f t="shared" ca="1" si="38"/>
        <v>0</v>
      </c>
      <c r="BY41" s="9">
        <f t="shared" ca="1" si="38"/>
        <v>0</v>
      </c>
      <c r="BZ41" s="9">
        <f t="shared" ca="1" si="38"/>
        <v>0</v>
      </c>
      <c r="CA41" s="9">
        <f t="shared" ca="1" si="38"/>
        <v>0</v>
      </c>
      <c r="CB41" s="9">
        <f t="shared" ca="1" si="38"/>
        <v>0</v>
      </c>
      <c r="CC41" s="9">
        <f t="shared" ca="1" si="38"/>
        <v>0</v>
      </c>
      <c r="CD41" s="9">
        <f t="shared" ca="1" si="39"/>
        <v>0</v>
      </c>
      <c r="CE41" s="9">
        <f t="shared" ca="1" si="39"/>
        <v>0</v>
      </c>
      <c r="CF41" s="9">
        <f t="shared" ca="1" si="39"/>
        <v>0</v>
      </c>
      <c r="CG41" s="9">
        <f t="shared" ca="1" si="39"/>
        <v>0</v>
      </c>
      <c r="CH41" s="9">
        <f t="shared" ca="1" si="39"/>
        <v>0</v>
      </c>
      <c r="CI41" s="9">
        <f t="shared" ca="1" si="39"/>
        <v>0</v>
      </c>
      <c r="CJ41" s="9">
        <f t="shared" ca="1" si="39"/>
        <v>0</v>
      </c>
      <c r="CK41" s="30">
        <f t="shared" ca="1" si="39"/>
        <v>0</v>
      </c>
      <c r="CN41" s="9">
        <v>19</v>
      </c>
      <c r="CO41" s="17">
        <v>0.05</v>
      </c>
      <c r="CP41" s="17">
        <v>-9.1069558795719707E-3</v>
      </c>
      <c r="CQ41" s="17">
        <v>-9.7739094384053701E-3</v>
      </c>
      <c r="CR41" s="17">
        <v>1.3168691025498011E-4</v>
      </c>
      <c r="CS41" s="17">
        <f t="shared" si="15"/>
        <v>3.1250821592277642E-2</v>
      </c>
      <c r="EC41" s="9">
        <f ca="1"/>
        <v>1.7184999999680466E-2</v>
      </c>
      <c r="ED41" s="9">
        <f ca="1"/>
        <v>1.7099999999691317E-2</v>
      </c>
      <c r="EE41" s="9">
        <f ca="1"/>
        <v>1.7269999999669616E-2</v>
      </c>
    </row>
    <row r="42" spans="1:135" x14ac:dyDescent="0.45">
      <c r="A42" s="8">
        <f ca="1"/>
        <v>5</v>
      </c>
      <c r="B42" s="58">
        <f ca="1"/>
        <v>1E-3</v>
      </c>
      <c r="C42" s="18">
        <f ca="1"/>
        <v>92.173000000000002</v>
      </c>
      <c r="D42" s="18">
        <f t="shared" ca="1" si="40"/>
        <v>92.106135419155692</v>
      </c>
      <c r="E42" s="18">
        <f t="shared" ca="1" si="41"/>
        <v>-6.686458084431024E-2</v>
      </c>
      <c r="F42" s="18">
        <f t="shared" ca="1" si="42"/>
        <v>6.686458084431024E-2</v>
      </c>
      <c r="G42" s="19">
        <f t="shared" ca="1" si="43"/>
        <v>9.2298041172713674E-3</v>
      </c>
      <c r="H42" s="19">
        <f ca="1">IFERROR(IRR((J42,L42:CK42),0),0)</f>
        <v>9.3033929085899469E-3</v>
      </c>
      <c r="I42" s="55">
        <f t="shared" ca="1" si="44"/>
        <v>7.3588791318579538E-5</v>
      </c>
      <c r="J42" s="18">
        <f t="shared" ca="1" si="45"/>
        <v>-92.106135419155692</v>
      </c>
      <c r="K42" s="29">
        <f t="shared" ca="1" si="46"/>
        <v>-92.173000000000002</v>
      </c>
      <c r="L42" s="9">
        <f t="shared" ca="1" si="32"/>
        <v>0.1</v>
      </c>
      <c r="M42" s="9">
        <f t="shared" ca="1" si="32"/>
        <v>0.1</v>
      </c>
      <c r="N42" s="9">
        <f t="shared" ca="1" si="32"/>
        <v>0.1</v>
      </c>
      <c r="O42" s="9">
        <f t="shared" ca="1" si="32"/>
        <v>0.1</v>
      </c>
      <c r="P42" s="9">
        <f t="shared" ca="1" si="32"/>
        <v>0.1</v>
      </c>
      <c r="Q42" s="9">
        <f t="shared" ca="1" si="32"/>
        <v>0.1</v>
      </c>
      <c r="R42" s="9">
        <f t="shared" ca="1" si="32"/>
        <v>0.1</v>
      </c>
      <c r="S42" s="9">
        <f t="shared" ca="1" si="32"/>
        <v>0.1</v>
      </c>
      <c r="T42" s="9">
        <f t="shared" ca="1" si="32"/>
        <v>0.1</v>
      </c>
      <c r="U42" s="9">
        <f t="shared" ca="1" si="32"/>
        <v>100.1</v>
      </c>
      <c r="V42" s="9">
        <f t="shared" ca="1" si="33"/>
        <v>0</v>
      </c>
      <c r="W42" s="9">
        <f t="shared" ca="1" si="33"/>
        <v>0</v>
      </c>
      <c r="X42" s="9">
        <f t="shared" ca="1" si="33"/>
        <v>0</v>
      </c>
      <c r="Y42" s="9">
        <f t="shared" ca="1" si="33"/>
        <v>0</v>
      </c>
      <c r="Z42" s="9">
        <f t="shared" ca="1" si="33"/>
        <v>0</v>
      </c>
      <c r="AA42" s="9">
        <f t="shared" ca="1" si="33"/>
        <v>0</v>
      </c>
      <c r="AB42" s="9">
        <f t="shared" ca="1" si="33"/>
        <v>0</v>
      </c>
      <c r="AC42" s="9">
        <f t="shared" ca="1" si="33"/>
        <v>0</v>
      </c>
      <c r="AD42" s="9">
        <f t="shared" ca="1" si="33"/>
        <v>0</v>
      </c>
      <c r="AE42" s="9">
        <f t="shared" ca="1" si="33"/>
        <v>0</v>
      </c>
      <c r="AF42" s="9">
        <f t="shared" ca="1" si="34"/>
        <v>0</v>
      </c>
      <c r="AG42" s="9">
        <f t="shared" ca="1" si="34"/>
        <v>0</v>
      </c>
      <c r="AH42" s="9">
        <f t="shared" ca="1" si="34"/>
        <v>0</v>
      </c>
      <c r="AI42" s="9">
        <f t="shared" ca="1" si="34"/>
        <v>0</v>
      </c>
      <c r="AJ42" s="9">
        <f t="shared" ca="1" si="34"/>
        <v>0</v>
      </c>
      <c r="AK42" s="9">
        <f t="shared" ca="1" si="34"/>
        <v>0</v>
      </c>
      <c r="AL42" s="9">
        <f t="shared" ca="1" si="34"/>
        <v>0</v>
      </c>
      <c r="AM42" s="9">
        <f t="shared" ca="1" si="34"/>
        <v>0</v>
      </c>
      <c r="AN42" s="9">
        <f t="shared" ca="1" si="34"/>
        <v>0</v>
      </c>
      <c r="AO42" s="9">
        <f t="shared" ca="1" si="34"/>
        <v>0</v>
      </c>
      <c r="AP42" s="9">
        <f t="shared" ca="1" si="35"/>
        <v>0</v>
      </c>
      <c r="AQ42" s="9">
        <f t="shared" ca="1" si="35"/>
        <v>0</v>
      </c>
      <c r="AR42" s="9">
        <f t="shared" ca="1" si="35"/>
        <v>0</v>
      </c>
      <c r="AS42" s="9">
        <f t="shared" ca="1" si="35"/>
        <v>0</v>
      </c>
      <c r="AT42" s="9">
        <f t="shared" ca="1" si="35"/>
        <v>0</v>
      </c>
      <c r="AU42" s="9">
        <f t="shared" ca="1" si="35"/>
        <v>0</v>
      </c>
      <c r="AV42" s="9">
        <f t="shared" ca="1" si="35"/>
        <v>0</v>
      </c>
      <c r="AW42" s="9">
        <f t="shared" ca="1" si="35"/>
        <v>0</v>
      </c>
      <c r="AX42" s="9">
        <f t="shared" ca="1" si="35"/>
        <v>0</v>
      </c>
      <c r="AY42" s="9">
        <f t="shared" ca="1" si="35"/>
        <v>0</v>
      </c>
      <c r="AZ42" s="9">
        <f t="shared" ca="1" si="36"/>
        <v>0</v>
      </c>
      <c r="BA42" s="9">
        <f t="shared" ca="1" si="36"/>
        <v>0</v>
      </c>
      <c r="BB42" s="9">
        <f t="shared" ca="1" si="36"/>
        <v>0</v>
      </c>
      <c r="BC42" s="9">
        <f t="shared" ca="1" si="36"/>
        <v>0</v>
      </c>
      <c r="BD42" s="9">
        <f t="shared" ca="1" si="36"/>
        <v>0</v>
      </c>
      <c r="BE42" s="9">
        <f t="shared" ca="1" si="36"/>
        <v>0</v>
      </c>
      <c r="BF42" s="9">
        <f t="shared" ca="1" si="36"/>
        <v>0</v>
      </c>
      <c r="BG42" s="9">
        <f t="shared" ca="1" si="36"/>
        <v>0</v>
      </c>
      <c r="BH42" s="9">
        <f t="shared" ca="1" si="36"/>
        <v>0</v>
      </c>
      <c r="BI42" s="9">
        <f t="shared" ca="1" si="36"/>
        <v>0</v>
      </c>
      <c r="BJ42" s="9">
        <f t="shared" ca="1" si="37"/>
        <v>0</v>
      </c>
      <c r="BK42" s="9">
        <f t="shared" ca="1" si="37"/>
        <v>0</v>
      </c>
      <c r="BL42" s="9">
        <f t="shared" ca="1" si="37"/>
        <v>0</v>
      </c>
      <c r="BM42" s="9">
        <f t="shared" ca="1" si="37"/>
        <v>0</v>
      </c>
      <c r="BN42" s="9">
        <f t="shared" ca="1" si="37"/>
        <v>0</v>
      </c>
      <c r="BO42" s="9">
        <f t="shared" ca="1" si="37"/>
        <v>0</v>
      </c>
      <c r="BP42" s="9">
        <f t="shared" ca="1" si="37"/>
        <v>0</v>
      </c>
      <c r="BQ42" s="9">
        <f t="shared" ca="1" si="37"/>
        <v>0</v>
      </c>
      <c r="BR42" s="9">
        <f t="shared" ca="1" si="37"/>
        <v>0</v>
      </c>
      <c r="BS42" s="9">
        <f t="shared" ca="1" si="37"/>
        <v>0</v>
      </c>
      <c r="BT42" s="9">
        <f t="shared" ca="1" si="38"/>
        <v>0</v>
      </c>
      <c r="BU42" s="9">
        <f t="shared" ca="1" si="38"/>
        <v>0</v>
      </c>
      <c r="BV42" s="9">
        <f t="shared" ca="1" si="38"/>
        <v>0</v>
      </c>
      <c r="BW42" s="9">
        <f t="shared" ca="1" si="38"/>
        <v>0</v>
      </c>
      <c r="BX42" s="9">
        <f t="shared" ca="1" si="38"/>
        <v>0</v>
      </c>
      <c r="BY42" s="9">
        <f t="shared" ca="1" si="38"/>
        <v>0</v>
      </c>
      <c r="BZ42" s="9">
        <f t="shared" ca="1" si="38"/>
        <v>0</v>
      </c>
      <c r="CA42" s="9">
        <f t="shared" ca="1" si="38"/>
        <v>0</v>
      </c>
      <c r="CB42" s="9">
        <f t="shared" ca="1" si="38"/>
        <v>0</v>
      </c>
      <c r="CC42" s="9">
        <f t="shared" ca="1" si="38"/>
        <v>0</v>
      </c>
      <c r="CD42" s="9">
        <f t="shared" ca="1" si="39"/>
        <v>0</v>
      </c>
      <c r="CE42" s="9">
        <f t="shared" ca="1" si="39"/>
        <v>0</v>
      </c>
      <c r="CF42" s="9">
        <f t="shared" ca="1" si="39"/>
        <v>0</v>
      </c>
      <c r="CG42" s="9">
        <f t="shared" ca="1" si="39"/>
        <v>0</v>
      </c>
      <c r="CH42" s="9">
        <f t="shared" ca="1" si="39"/>
        <v>0</v>
      </c>
      <c r="CI42" s="9">
        <f t="shared" ca="1" si="39"/>
        <v>0</v>
      </c>
      <c r="CJ42" s="9">
        <f t="shared" ca="1" si="39"/>
        <v>0</v>
      </c>
      <c r="CK42" s="30">
        <f t="shared" ca="1" si="39"/>
        <v>0</v>
      </c>
      <c r="CN42" s="9">
        <v>19.5</v>
      </c>
      <c r="CO42" s="17">
        <v>0.05</v>
      </c>
      <c r="CP42" s="17">
        <v>-8.885404614521945E-3</v>
      </c>
      <c r="CQ42" s="17">
        <v>-9.5839287852384075E-3</v>
      </c>
      <c r="CR42" s="17">
        <v>1.2831032281636378E-4</v>
      </c>
      <c r="CS42" s="17">
        <f t="shared" si="15"/>
        <v>3.1658976923056012E-2</v>
      </c>
      <c r="EC42" s="9">
        <f ca="1"/>
        <v>1.7574999999233384E-2</v>
      </c>
      <c r="ED42" s="9">
        <f ca="1"/>
        <v>1.7499999999255948E-2</v>
      </c>
      <c r="EE42" s="9">
        <f ca="1"/>
        <v>1.7649999999210818E-2</v>
      </c>
    </row>
    <row r="43" spans="1:135" x14ac:dyDescent="0.45">
      <c r="A43" s="8">
        <f ca="1"/>
        <v>5</v>
      </c>
      <c r="B43" s="58">
        <f ca="1"/>
        <v>1E-3</v>
      </c>
      <c r="C43" s="18">
        <f ca="1"/>
        <v>91.65100000000001</v>
      </c>
      <c r="D43" s="18">
        <f t="shared" ca="1" si="40"/>
        <v>92.106135419155692</v>
      </c>
      <c r="E43" s="18">
        <f t="shared" ca="1" si="41"/>
        <v>0.45513541915568112</v>
      </c>
      <c r="F43" s="18">
        <f t="shared" ca="1" si="42"/>
        <v>0.45513541915568112</v>
      </c>
      <c r="G43" s="19">
        <f t="shared" ca="1" si="43"/>
        <v>9.8058704360266535E-3</v>
      </c>
      <c r="H43" s="19">
        <f ca="1">IFERROR(IRR((J43,L43:CK43),0),0)</f>
        <v>9.3033929085899469E-3</v>
      </c>
      <c r="I43" s="55">
        <f t="shared" ca="1" si="44"/>
        <v>-5.0247752743670659E-4</v>
      </c>
      <c r="J43" s="18">
        <f t="shared" ca="1" si="45"/>
        <v>-92.106135419155692</v>
      </c>
      <c r="K43" s="29">
        <f t="shared" ca="1" si="46"/>
        <v>-91.65100000000001</v>
      </c>
      <c r="L43" s="9">
        <f t="shared" ref="L43:U52" ca="1" si="47">$B43*100*(L$2&lt;$A43)+100*(1+$B43)*(L$2=$A43)</f>
        <v>0.1</v>
      </c>
      <c r="M43" s="9">
        <f t="shared" ca="1" si="47"/>
        <v>0.1</v>
      </c>
      <c r="N43" s="9">
        <f t="shared" ca="1" si="47"/>
        <v>0.1</v>
      </c>
      <c r="O43" s="9">
        <f t="shared" ca="1" si="47"/>
        <v>0.1</v>
      </c>
      <c r="P43" s="9">
        <f t="shared" ca="1" si="47"/>
        <v>0.1</v>
      </c>
      <c r="Q43" s="9">
        <f t="shared" ca="1" si="47"/>
        <v>0.1</v>
      </c>
      <c r="R43" s="9">
        <f t="shared" ca="1" si="47"/>
        <v>0.1</v>
      </c>
      <c r="S43" s="9">
        <f t="shared" ca="1" si="47"/>
        <v>0.1</v>
      </c>
      <c r="T43" s="9">
        <f t="shared" ca="1" si="47"/>
        <v>0.1</v>
      </c>
      <c r="U43" s="9">
        <f t="shared" ca="1" si="47"/>
        <v>100.1</v>
      </c>
      <c r="V43" s="9">
        <f t="shared" ref="V43:AE52" ca="1" si="48">$B43*100*(V$2&lt;$A43)+100*(1+$B43)*(V$2=$A43)</f>
        <v>0</v>
      </c>
      <c r="W43" s="9">
        <f t="shared" ca="1" si="48"/>
        <v>0</v>
      </c>
      <c r="X43" s="9">
        <f t="shared" ca="1" si="48"/>
        <v>0</v>
      </c>
      <c r="Y43" s="9">
        <f t="shared" ca="1" si="48"/>
        <v>0</v>
      </c>
      <c r="Z43" s="9">
        <f t="shared" ca="1" si="48"/>
        <v>0</v>
      </c>
      <c r="AA43" s="9">
        <f t="shared" ca="1" si="48"/>
        <v>0</v>
      </c>
      <c r="AB43" s="9">
        <f t="shared" ca="1" si="48"/>
        <v>0</v>
      </c>
      <c r="AC43" s="9">
        <f t="shared" ca="1" si="48"/>
        <v>0</v>
      </c>
      <c r="AD43" s="9">
        <f t="shared" ca="1" si="48"/>
        <v>0</v>
      </c>
      <c r="AE43" s="9">
        <f t="shared" ca="1" si="48"/>
        <v>0</v>
      </c>
      <c r="AF43" s="9">
        <f t="shared" ref="AF43:AO52" ca="1" si="49">$B43*100*(AF$2&lt;$A43)+100*(1+$B43)*(AF$2=$A43)</f>
        <v>0</v>
      </c>
      <c r="AG43" s="9">
        <f t="shared" ca="1" si="49"/>
        <v>0</v>
      </c>
      <c r="AH43" s="9">
        <f t="shared" ca="1" si="49"/>
        <v>0</v>
      </c>
      <c r="AI43" s="9">
        <f t="shared" ca="1" si="49"/>
        <v>0</v>
      </c>
      <c r="AJ43" s="9">
        <f t="shared" ca="1" si="49"/>
        <v>0</v>
      </c>
      <c r="AK43" s="9">
        <f t="shared" ca="1" si="49"/>
        <v>0</v>
      </c>
      <c r="AL43" s="9">
        <f t="shared" ca="1" si="49"/>
        <v>0</v>
      </c>
      <c r="AM43" s="9">
        <f t="shared" ca="1" si="49"/>
        <v>0</v>
      </c>
      <c r="AN43" s="9">
        <f t="shared" ca="1" si="49"/>
        <v>0</v>
      </c>
      <c r="AO43" s="9">
        <f t="shared" ca="1" si="49"/>
        <v>0</v>
      </c>
      <c r="AP43" s="9">
        <f t="shared" ref="AP43:AY52" ca="1" si="50">$B43*100*(AP$2&lt;$A43)+100*(1+$B43)*(AP$2=$A43)</f>
        <v>0</v>
      </c>
      <c r="AQ43" s="9">
        <f t="shared" ca="1" si="50"/>
        <v>0</v>
      </c>
      <c r="AR43" s="9">
        <f t="shared" ca="1" si="50"/>
        <v>0</v>
      </c>
      <c r="AS43" s="9">
        <f t="shared" ca="1" si="50"/>
        <v>0</v>
      </c>
      <c r="AT43" s="9">
        <f t="shared" ca="1" si="50"/>
        <v>0</v>
      </c>
      <c r="AU43" s="9">
        <f t="shared" ca="1" si="50"/>
        <v>0</v>
      </c>
      <c r="AV43" s="9">
        <f t="shared" ca="1" si="50"/>
        <v>0</v>
      </c>
      <c r="AW43" s="9">
        <f t="shared" ca="1" si="50"/>
        <v>0</v>
      </c>
      <c r="AX43" s="9">
        <f t="shared" ca="1" si="50"/>
        <v>0</v>
      </c>
      <c r="AY43" s="9">
        <f t="shared" ca="1" si="50"/>
        <v>0</v>
      </c>
      <c r="AZ43" s="9">
        <f t="shared" ref="AZ43:BI52" ca="1" si="51">$B43*100*(AZ$2&lt;$A43)+100*(1+$B43)*(AZ$2=$A43)</f>
        <v>0</v>
      </c>
      <c r="BA43" s="9">
        <f t="shared" ca="1" si="51"/>
        <v>0</v>
      </c>
      <c r="BB43" s="9">
        <f t="shared" ca="1" si="51"/>
        <v>0</v>
      </c>
      <c r="BC43" s="9">
        <f t="shared" ca="1" si="51"/>
        <v>0</v>
      </c>
      <c r="BD43" s="9">
        <f t="shared" ca="1" si="51"/>
        <v>0</v>
      </c>
      <c r="BE43" s="9">
        <f t="shared" ca="1" si="51"/>
        <v>0</v>
      </c>
      <c r="BF43" s="9">
        <f t="shared" ca="1" si="51"/>
        <v>0</v>
      </c>
      <c r="BG43" s="9">
        <f t="shared" ca="1" si="51"/>
        <v>0</v>
      </c>
      <c r="BH43" s="9">
        <f t="shared" ca="1" si="51"/>
        <v>0</v>
      </c>
      <c r="BI43" s="9">
        <f t="shared" ca="1" si="51"/>
        <v>0</v>
      </c>
      <c r="BJ43" s="9">
        <f t="shared" ref="BJ43:BS52" ca="1" si="52">$B43*100*(BJ$2&lt;$A43)+100*(1+$B43)*(BJ$2=$A43)</f>
        <v>0</v>
      </c>
      <c r="BK43" s="9">
        <f t="shared" ca="1" si="52"/>
        <v>0</v>
      </c>
      <c r="BL43" s="9">
        <f t="shared" ca="1" si="52"/>
        <v>0</v>
      </c>
      <c r="BM43" s="9">
        <f t="shared" ca="1" si="52"/>
        <v>0</v>
      </c>
      <c r="BN43" s="9">
        <f t="shared" ca="1" si="52"/>
        <v>0</v>
      </c>
      <c r="BO43" s="9">
        <f t="shared" ca="1" si="52"/>
        <v>0</v>
      </c>
      <c r="BP43" s="9">
        <f t="shared" ca="1" si="52"/>
        <v>0</v>
      </c>
      <c r="BQ43" s="9">
        <f t="shared" ca="1" si="52"/>
        <v>0</v>
      </c>
      <c r="BR43" s="9">
        <f t="shared" ca="1" si="52"/>
        <v>0</v>
      </c>
      <c r="BS43" s="9">
        <f t="shared" ca="1" si="52"/>
        <v>0</v>
      </c>
      <c r="BT43" s="9">
        <f t="shared" ref="BT43:CC52" ca="1" si="53">$B43*100*(BT$2&lt;$A43)+100*(1+$B43)*(BT$2=$A43)</f>
        <v>0</v>
      </c>
      <c r="BU43" s="9">
        <f t="shared" ca="1" si="53"/>
        <v>0</v>
      </c>
      <c r="BV43" s="9">
        <f t="shared" ca="1" si="53"/>
        <v>0</v>
      </c>
      <c r="BW43" s="9">
        <f t="shared" ca="1" si="53"/>
        <v>0</v>
      </c>
      <c r="BX43" s="9">
        <f t="shared" ca="1" si="53"/>
        <v>0</v>
      </c>
      <c r="BY43" s="9">
        <f t="shared" ca="1" si="53"/>
        <v>0</v>
      </c>
      <c r="BZ43" s="9">
        <f t="shared" ca="1" si="53"/>
        <v>0</v>
      </c>
      <c r="CA43" s="9">
        <f t="shared" ca="1" si="53"/>
        <v>0</v>
      </c>
      <c r="CB43" s="9">
        <f t="shared" ca="1" si="53"/>
        <v>0</v>
      </c>
      <c r="CC43" s="9">
        <f t="shared" ca="1" si="53"/>
        <v>0</v>
      </c>
      <c r="CD43" s="9">
        <f t="shared" ref="CD43:CK52" ca="1" si="54">$B43*100*(CD$2&lt;$A43)+100*(1+$B43)*(CD$2=$A43)</f>
        <v>0</v>
      </c>
      <c r="CE43" s="9">
        <f t="shared" ca="1" si="54"/>
        <v>0</v>
      </c>
      <c r="CF43" s="9">
        <f t="shared" ca="1" si="54"/>
        <v>0</v>
      </c>
      <c r="CG43" s="9">
        <f t="shared" ca="1" si="54"/>
        <v>0</v>
      </c>
      <c r="CH43" s="9">
        <f t="shared" ca="1" si="54"/>
        <v>0</v>
      </c>
      <c r="CI43" s="9">
        <f t="shared" ca="1" si="54"/>
        <v>0</v>
      </c>
      <c r="CJ43" s="9">
        <f t="shared" ca="1" si="54"/>
        <v>0</v>
      </c>
      <c r="CK43" s="30">
        <f t="shared" ca="1" si="54"/>
        <v>0</v>
      </c>
      <c r="CN43" s="9">
        <v>20</v>
      </c>
      <c r="CO43" s="17">
        <v>0.05</v>
      </c>
      <c r="CP43" s="17">
        <v>-8.6736530607460054E-3</v>
      </c>
      <c r="CQ43" s="17">
        <v>-9.3983367774493065E-3</v>
      </c>
      <c r="CR43" s="17">
        <v>1.2510256474783892E-4</v>
      </c>
      <c r="CS43" s="17">
        <f t="shared" si="15"/>
        <v>3.2053112726552528E-2</v>
      </c>
      <c r="EC43" s="9">
        <f ca="1"/>
        <v>1.7834999999198426E-2</v>
      </c>
      <c r="ED43" s="9">
        <f ca="1"/>
        <v>1.7749999999224803E-2</v>
      </c>
      <c r="EE43" s="9">
        <f ca="1"/>
        <v>1.791999999917205E-2</v>
      </c>
    </row>
    <row r="44" spans="1:135" x14ac:dyDescent="0.45">
      <c r="A44" s="8">
        <f ca="1"/>
        <v>5.5</v>
      </c>
      <c r="B44" s="58">
        <f ca="1"/>
        <v>1E-3</v>
      </c>
      <c r="C44" s="18">
        <f ca="1"/>
        <v>91.1845</v>
      </c>
      <c r="D44" s="18">
        <f t="shared" ca="1" si="40"/>
        <v>90.990261557176908</v>
      </c>
      <c r="E44" s="18">
        <f t="shared" ca="1" si="41"/>
        <v>-0.19423844282309233</v>
      </c>
      <c r="F44" s="18">
        <f t="shared" ca="1" si="42"/>
        <v>0.19423844282309233</v>
      </c>
      <c r="G44" s="19">
        <f t="shared" ca="1" si="43"/>
        <v>9.4769481162588765E-3</v>
      </c>
      <c r="H44" s="19">
        <f ca="1">IFERROR(IRR((J44,L44:CK44),0),0)</f>
        <v>9.6737026139985804E-3</v>
      </c>
      <c r="I44" s="55">
        <f t="shared" ca="1" si="44"/>
        <v>1.9675449773970399E-4</v>
      </c>
      <c r="J44" s="18">
        <f t="shared" ca="1" si="45"/>
        <v>-90.990261557176908</v>
      </c>
      <c r="K44" s="29">
        <f t="shared" ca="1" si="46"/>
        <v>-91.1845</v>
      </c>
      <c r="L44" s="9">
        <f t="shared" ca="1" si="47"/>
        <v>0.1</v>
      </c>
      <c r="M44" s="9">
        <f t="shared" ca="1" si="47"/>
        <v>0.1</v>
      </c>
      <c r="N44" s="9">
        <f t="shared" ca="1" si="47"/>
        <v>0.1</v>
      </c>
      <c r="O44" s="9">
        <f t="shared" ca="1" si="47"/>
        <v>0.1</v>
      </c>
      <c r="P44" s="9">
        <f t="shared" ca="1" si="47"/>
        <v>0.1</v>
      </c>
      <c r="Q44" s="9">
        <f t="shared" ca="1" si="47"/>
        <v>0.1</v>
      </c>
      <c r="R44" s="9">
        <f t="shared" ca="1" si="47"/>
        <v>0.1</v>
      </c>
      <c r="S44" s="9">
        <f t="shared" ca="1" si="47"/>
        <v>0.1</v>
      </c>
      <c r="T44" s="9">
        <f t="shared" ca="1" si="47"/>
        <v>0.1</v>
      </c>
      <c r="U44" s="9">
        <f t="shared" ca="1" si="47"/>
        <v>0.1</v>
      </c>
      <c r="V44" s="9">
        <f t="shared" ca="1" si="48"/>
        <v>100.1</v>
      </c>
      <c r="W44" s="9">
        <f t="shared" ca="1" si="48"/>
        <v>0</v>
      </c>
      <c r="X44" s="9">
        <f t="shared" ca="1" si="48"/>
        <v>0</v>
      </c>
      <c r="Y44" s="9">
        <f t="shared" ca="1" si="48"/>
        <v>0</v>
      </c>
      <c r="Z44" s="9">
        <f t="shared" ca="1" si="48"/>
        <v>0</v>
      </c>
      <c r="AA44" s="9">
        <f t="shared" ca="1" si="48"/>
        <v>0</v>
      </c>
      <c r="AB44" s="9">
        <f t="shared" ca="1" si="48"/>
        <v>0</v>
      </c>
      <c r="AC44" s="9">
        <f t="shared" ca="1" si="48"/>
        <v>0</v>
      </c>
      <c r="AD44" s="9">
        <f t="shared" ca="1" si="48"/>
        <v>0</v>
      </c>
      <c r="AE44" s="9">
        <f t="shared" ca="1" si="48"/>
        <v>0</v>
      </c>
      <c r="AF44" s="9">
        <f t="shared" ca="1" si="49"/>
        <v>0</v>
      </c>
      <c r="AG44" s="9">
        <f t="shared" ca="1" si="49"/>
        <v>0</v>
      </c>
      <c r="AH44" s="9">
        <f t="shared" ca="1" si="49"/>
        <v>0</v>
      </c>
      <c r="AI44" s="9">
        <f t="shared" ca="1" si="49"/>
        <v>0</v>
      </c>
      <c r="AJ44" s="9">
        <f t="shared" ca="1" si="49"/>
        <v>0</v>
      </c>
      <c r="AK44" s="9">
        <f t="shared" ca="1" si="49"/>
        <v>0</v>
      </c>
      <c r="AL44" s="9">
        <f t="shared" ca="1" si="49"/>
        <v>0</v>
      </c>
      <c r="AM44" s="9">
        <f t="shared" ca="1" si="49"/>
        <v>0</v>
      </c>
      <c r="AN44" s="9">
        <f t="shared" ca="1" si="49"/>
        <v>0</v>
      </c>
      <c r="AO44" s="9">
        <f t="shared" ca="1" si="49"/>
        <v>0</v>
      </c>
      <c r="AP44" s="9">
        <f t="shared" ca="1" si="50"/>
        <v>0</v>
      </c>
      <c r="AQ44" s="9">
        <f t="shared" ca="1" si="50"/>
        <v>0</v>
      </c>
      <c r="AR44" s="9">
        <f t="shared" ca="1" si="50"/>
        <v>0</v>
      </c>
      <c r="AS44" s="9">
        <f t="shared" ca="1" si="50"/>
        <v>0</v>
      </c>
      <c r="AT44" s="9">
        <f t="shared" ca="1" si="50"/>
        <v>0</v>
      </c>
      <c r="AU44" s="9">
        <f t="shared" ca="1" si="50"/>
        <v>0</v>
      </c>
      <c r="AV44" s="9">
        <f t="shared" ca="1" si="50"/>
        <v>0</v>
      </c>
      <c r="AW44" s="9">
        <f t="shared" ca="1" si="50"/>
        <v>0</v>
      </c>
      <c r="AX44" s="9">
        <f t="shared" ca="1" si="50"/>
        <v>0</v>
      </c>
      <c r="AY44" s="9">
        <f t="shared" ca="1" si="50"/>
        <v>0</v>
      </c>
      <c r="AZ44" s="9">
        <f t="shared" ca="1" si="51"/>
        <v>0</v>
      </c>
      <c r="BA44" s="9">
        <f t="shared" ca="1" si="51"/>
        <v>0</v>
      </c>
      <c r="BB44" s="9">
        <f t="shared" ca="1" si="51"/>
        <v>0</v>
      </c>
      <c r="BC44" s="9">
        <f t="shared" ca="1" si="51"/>
        <v>0</v>
      </c>
      <c r="BD44" s="9">
        <f t="shared" ca="1" si="51"/>
        <v>0</v>
      </c>
      <c r="BE44" s="9">
        <f t="shared" ca="1" si="51"/>
        <v>0</v>
      </c>
      <c r="BF44" s="9">
        <f t="shared" ca="1" si="51"/>
        <v>0</v>
      </c>
      <c r="BG44" s="9">
        <f t="shared" ca="1" si="51"/>
        <v>0</v>
      </c>
      <c r="BH44" s="9">
        <f t="shared" ca="1" si="51"/>
        <v>0</v>
      </c>
      <c r="BI44" s="9">
        <f t="shared" ca="1" si="51"/>
        <v>0</v>
      </c>
      <c r="BJ44" s="9">
        <f t="shared" ca="1" si="52"/>
        <v>0</v>
      </c>
      <c r="BK44" s="9">
        <f t="shared" ca="1" si="52"/>
        <v>0</v>
      </c>
      <c r="BL44" s="9">
        <f t="shared" ca="1" si="52"/>
        <v>0</v>
      </c>
      <c r="BM44" s="9">
        <f t="shared" ca="1" si="52"/>
        <v>0</v>
      </c>
      <c r="BN44" s="9">
        <f t="shared" ca="1" si="52"/>
        <v>0</v>
      </c>
      <c r="BO44" s="9">
        <f t="shared" ca="1" si="52"/>
        <v>0</v>
      </c>
      <c r="BP44" s="9">
        <f t="shared" ca="1" si="52"/>
        <v>0</v>
      </c>
      <c r="BQ44" s="9">
        <f t="shared" ca="1" si="52"/>
        <v>0</v>
      </c>
      <c r="BR44" s="9">
        <f t="shared" ca="1" si="52"/>
        <v>0</v>
      </c>
      <c r="BS44" s="9">
        <f t="shared" ca="1" si="52"/>
        <v>0</v>
      </c>
      <c r="BT44" s="9">
        <f t="shared" ca="1" si="53"/>
        <v>0</v>
      </c>
      <c r="BU44" s="9">
        <f t="shared" ca="1" si="53"/>
        <v>0</v>
      </c>
      <c r="BV44" s="9">
        <f t="shared" ca="1" si="53"/>
        <v>0</v>
      </c>
      <c r="BW44" s="9">
        <f t="shared" ca="1" si="53"/>
        <v>0</v>
      </c>
      <c r="BX44" s="9">
        <f t="shared" ca="1" si="53"/>
        <v>0</v>
      </c>
      <c r="BY44" s="9">
        <f t="shared" ca="1" si="53"/>
        <v>0</v>
      </c>
      <c r="BZ44" s="9">
        <f t="shared" ca="1" si="53"/>
        <v>0</v>
      </c>
      <c r="CA44" s="9">
        <f t="shared" ca="1" si="53"/>
        <v>0</v>
      </c>
      <c r="CB44" s="9">
        <f t="shared" ca="1" si="53"/>
        <v>0</v>
      </c>
      <c r="CC44" s="9">
        <f t="shared" ca="1" si="53"/>
        <v>0</v>
      </c>
      <c r="CD44" s="9">
        <f t="shared" ca="1" si="54"/>
        <v>0</v>
      </c>
      <c r="CE44" s="9">
        <f t="shared" ca="1" si="54"/>
        <v>0</v>
      </c>
      <c r="CF44" s="9">
        <f t="shared" ca="1" si="54"/>
        <v>0</v>
      </c>
      <c r="CG44" s="9">
        <f t="shared" ca="1" si="54"/>
        <v>0</v>
      </c>
      <c r="CH44" s="9">
        <f t="shared" ca="1" si="54"/>
        <v>0</v>
      </c>
      <c r="CI44" s="9">
        <f t="shared" ca="1" si="54"/>
        <v>0</v>
      </c>
      <c r="CJ44" s="9">
        <f t="shared" ca="1" si="54"/>
        <v>0</v>
      </c>
      <c r="CK44" s="30">
        <f t="shared" ca="1" si="54"/>
        <v>0</v>
      </c>
      <c r="CN44" s="9">
        <v>20.5</v>
      </c>
      <c r="CO44" s="17">
        <v>0.05</v>
      </c>
      <c r="CP44" s="17">
        <v>-8.4711207773148153E-3</v>
      </c>
      <c r="CQ44" s="17">
        <v>-9.2172124262682228E-3</v>
      </c>
      <c r="CR44" s="17">
        <v>1.2205128268174806E-4</v>
      </c>
      <c r="CS44" s="17">
        <f t="shared" si="15"/>
        <v>3.2433718079098714E-2</v>
      </c>
      <c r="EC44" s="9">
        <f ca="1"/>
        <v>1.8149999998915634E-2</v>
      </c>
      <c r="ED44" s="9">
        <f ca="1"/>
        <v>1.8069999998950457E-2</v>
      </c>
      <c r="EE44" s="9">
        <f ca="1"/>
        <v>1.8229999998880819E-2</v>
      </c>
    </row>
    <row r="45" spans="1:135" x14ac:dyDescent="0.45">
      <c r="A45" s="8">
        <f ca="1"/>
        <v>5.5</v>
      </c>
      <c r="B45" s="58">
        <f ca="1"/>
        <v>2E-3</v>
      </c>
      <c r="C45" s="18">
        <f ca="1"/>
        <v>91.232500000000002</v>
      </c>
      <c r="D45" s="18">
        <f t="shared" ca="1" si="40"/>
        <v>92.035566010409624</v>
      </c>
      <c r="E45" s="18">
        <f t="shared" ca="1" si="41"/>
        <v>0.80306601040962278</v>
      </c>
      <c r="F45" s="18">
        <f t="shared" ca="1" si="42"/>
        <v>0.80306601040962278</v>
      </c>
      <c r="G45" s="19">
        <f t="shared" ca="1" si="43"/>
        <v>1.0480361084790779E-2</v>
      </c>
      <c r="H45" s="19">
        <f ca="1">IFERROR(IRR((J45,L45:CK45),0),0)</f>
        <v>9.6670883017064835E-3</v>
      </c>
      <c r="I45" s="55">
        <f t="shared" ca="1" si="44"/>
        <v>-8.1327278308429563E-4</v>
      </c>
      <c r="J45" s="18">
        <f t="shared" ca="1" si="45"/>
        <v>-92.035566010409624</v>
      </c>
      <c r="K45" s="29">
        <f t="shared" ca="1" si="46"/>
        <v>-91.232500000000002</v>
      </c>
      <c r="L45" s="9">
        <f t="shared" ca="1" si="47"/>
        <v>0.2</v>
      </c>
      <c r="M45" s="9">
        <f t="shared" ca="1" si="47"/>
        <v>0.2</v>
      </c>
      <c r="N45" s="9">
        <f t="shared" ca="1" si="47"/>
        <v>0.2</v>
      </c>
      <c r="O45" s="9">
        <f t="shared" ca="1" si="47"/>
        <v>0.2</v>
      </c>
      <c r="P45" s="9">
        <f t="shared" ca="1" si="47"/>
        <v>0.2</v>
      </c>
      <c r="Q45" s="9">
        <f t="shared" ca="1" si="47"/>
        <v>0.2</v>
      </c>
      <c r="R45" s="9">
        <f t="shared" ca="1" si="47"/>
        <v>0.2</v>
      </c>
      <c r="S45" s="9">
        <f t="shared" ca="1" si="47"/>
        <v>0.2</v>
      </c>
      <c r="T45" s="9">
        <f t="shared" ca="1" si="47"/>
        <v>0.2</v>
      </c>
      <c r="U45" s="9">
        <f t="shared" ca="1" si="47"/>
        <v>0.2</v>
      </c>
      <c r="V45" s="9">
        <f t="shared" ca="1" si="48"/>
        <v>100.2</v>
      </c>
      <c r="W45" s="9">
        <f t="shared" ca="1" si="48"/>
        <v>0</v>
      </c>
      <c r="X45" s="9">
        <f t="shared" ca="1" si="48"/>
        <v>0</v>
      </c>
      <c r="Y45" s="9">
        <f t="shared" ca="1" si="48"/>
        <v>0</v>
      </c>
      <c r="Z45" s="9">
        <f t="shared" ca="1" si="48"/>
        <v>0</v>
      </c>
      <c r="AA45" s="9">
        <f t="shared" ca="1" si="48"/>
        <v>0</v>
      </c>
      <c r="AB45" s="9">
        <f t="shared" ca="1" si="48"/>
        <v>0</v>
      </c>
      <c r="AC45" s="9">
        <f t="shared" ca="1" si="48"/>
        <v>0</v>
      </c>
      <c r="AD45" s="9">
        <f t="shared" ca="1" si="48"/>
        <v>0</v>
      </c>
      <c r="AE45" s="9">
        <f t="shared" ca="1" si="48"/>
        <v>0</v>
      </c>
      <c r="AF45" s="9">
        <f t="shared" ca="1" si="49"/>
        <v>0</v>
      </c>
      <c r="AG45" s="9">
        <f t="shared" ca="1" si="49"/>
        <v>0</v>
      </c>
      <c r="AH45" s="9">
        <f t="shared" ca="1" si="49"/>
        <v>0</v>
      </c>
      <c r="AI45" s="9">
        <f t="shared" ca="1" si="49"/>
        <v>0</v>
      </c>
      <c r="AJ45" s="9">
        <f t="shared" ca="1" si="49"/>
        <v>0</v>
      </c>
      <c r="AK45" s="9">
        <f t="shared" ca="1" si="49"/>
        <v>0</v>
      </c>
      <c r="AL45" s="9">
        <f t="shared" ca="1" si="49"/>
        <v>0</v>
      </c>
      <c r="AM45" s="9">
        <f t="shared" ca="1" si="49"/>
        <v>0</v>
      </c>
      <c r="AN45" s="9">
        <f t="shared" ca="1" si="49"/>
        <v>0</v>
      </c>
      <c r="AO45" s="9">
        <f t="shared" ca="1" si="49"/>
        <v>0</v>
      </c>
      <c r="AP45" s="9">
        <f t="shared" ca="1" si="50"/>
        <v>0</v>
      </c>
      <c r="AQ45" s="9">
        <f t="shared" ca="1" si="50"/>
        <v>0</v>
      </c>
      <c r="AR45" s="9">
        <f t="shared" ca="1" si="50"/>
        <v>0</v>
      </c>
      <c r="AS45" s="9">
        <f t="shared" ca="1" si="50"/>
        <v>0</v>
      </c>
      <c r="AT45" s="9">
        <f t="shared" ca="1" si="50"/>
        <v>0</v>
      </c>
      <c r="AU45" s="9">
        <f t="shared" ca="1" si="50"/>
        <v>0</v>
      </c>
      <c r="AV45" s="9">
        <f t="shared" ca="1" si="50"/>
        <v>0</v>
      </c>
      <c r="AW45" s="9">
        <f t="shared" ca="1" si="50"/>
        <v>0</v>
      </c>
      <c r="AX45" s="9">
        <f t="shared" ca="1" si="50"/>
        <v>0</v>
      </c>
      <c r="AY45" s="9">
        <f t="shared" ca="1" si="50"/>
        <v>0</v>
      </c>
      <c r="AZ45" s="9">
        <f t="shared" ca="1" si="51"/>
        <v>0</v>
      </c>
      <c r="BA45" s="9">
        <f t="shared" ca="1" si="51"/>
        <v>0</v>
      </c>
      <c r="BB45" s="9">
        <f t="shared" ca="1" si="51"/>
        <v>0</v>
      </c>
      <c r="BC45" s="9">
        <f t="shared" ca="1" si="51"/>
        <v>0</v>
      </c>
      <c r="BD45" s="9">
        <f t="shared" ca="1" si="51"/>
        <v>0</v>
      </c>
      <c r="BE45" s="9">
        <f t="shared" ca="1" si="51"/>
        <v>0</v>
      </c>
      <c r="BF45" s="9">
        <f t="shared" ca="1" si="51"/>
        <v>0</v>
      </c>
      <c r="BG45" s="9">
        <f t="shared" ca="1" si="51"/>
        <v>0</v>
      </c>
      <c r="BH45" s="9">
        <f t="shared" ca="1" si="51"/>
        <v>0</v>
      </c>
      <c r="BI45" s="9">
        <f t="shared" ca="1" si="51"/>
        <v>0</v>
      </c>
      <c r="BJ45" s="9">
        <f t="shared" ca="1" si="52"/>
        <v>0</v>
      </c>
      <c r="BK45" s="9">
        <f t="shared" ca="1" si="52"/>
        <v>0</v>
      </c>
      <c r="BL45" s="9">
        <f t="shared" ca="1" si="52"/>
        <v>0</v>
      </c>
      <c r="BM45" s="9">
        <f t="shared" ca="1" si="52"/>
        <v>0</v>
      </c>
      <c r="BN45" s="9">
        <f t="shared" ca="1" si="52"/>
        <v>0</v>
      </c>
      <c r="BO45" s="9">
        <f t="shared" ca="1" si="52"/>
        <v>0</v>
      </c>
      <c r="BP45" s="9">
        <f t="shared" ca="1" si="52"/>
        <v>0</v>
      </c>
      <c r="BQ45" s="9">
        <f t="shared" ca="1" si="52"/>
        <v>0</v>
      </c>
      <c r="BR45" s="9">
        <f t="shared" ca="1" si="52"/>
        <v>0</v>
      </c>
      <c r="BS45" s="9">
        <f t="shared" ca="1" si="52"/>
        <v>0</v>
      </c>
      <c r="BT45" s="9">
        <f t="shared" ca="1" si="53"/>
        <v>0</v>
      </c>
      <c r="BU45" s="9">
        <f t="shared" ca="1" si="53"/>
        <v>0</v>
      </c>
      <c r="BV45" s="9">
        <f t="shared" ca="1" si="53"/>
        <v>0</v>
      </c>
      <c r="BW45" s="9">
        <f t="shared" ca="1" si="53"/>
        <v>0</v>
      </c>
      <c r="BX45" s="9">
        <f t="shared" ca="1" si="53"/>
        <v>0</v>
      </c>
      <c r="BY45" s="9">
        <f t="shared" ca="1" si="53"/>
        <v>0</v>
      </c>
      <c r="BZ45" s="9">
        <f t="shared" ca="1" si="53"/>
        <v>0</v>
      </c>
      <c r="CA45" s="9">
        <f t="shared" ca="1" si="53"/>
        <v>0</v>
      </c>
      <c r="CB45" s="9">
        <f t="shared" ca="1" si="53"/>
        <v>0</v>
      </c>
      <c r="CC45" s="9">
        <f t="shared" ca="1" si="53"/>
        <v>0</v>
      </c>
      <c r="CD45" s="9">
        <f t="shared" ca="1" si="54"/>
        <v>0</v>
      </c>
      <c r="CE45" s="9">
        <f t="shared" ca="1" si="54"/>
        <v>0</v>
      </c>
      <c r="CF45" s="9">
        <f t="shared" ca="1" si="54"/>
        <v>0</v>
      </c>
      <c r="CG45" s="9">
        <f t="shared" ca="1" si="54"/>
        <v>0</v>
      </c>
      <c r="CH45" s="9">
        <f t="shared" ca="1" si="54"/>
        <v>0</v>
      </c>
      <c r="CI45" s="9">
        <f t="shared" ca="1" si="54"/>
        <v>0</v>
      </c>
      <c r="CJ45" s="9">
        <f t="shared" ca="1" si="54"/>
        <v>0</v>
      </c>
      <c r="CK45" s="30">
        <f t="shared" ca="1" si="54"/>
        <v>0</v>
      </c>
      <c r="CN45" s="9">
        <v>21</v>
      </c>
      <c r="CO45" s="17">
        <v>0.05</v>
      </c>
      <c r="CP45" s="17">
        <v>-8.2772679900318738E-3</v>
      </c>
      <c r="CQ45" s="17">
        <v>-9.0406000552585922E-3</v>
      </c>
      <c r="CR45" s="17">
        <v>1.1914529976121266E-4</v>
      </c>
      <c r="CS45" s="17">
        <f t="shared" si="15"/>
        <v>3.2801277254470747E-2</v>
      </c>
      <c r="EC45" s="9">
        <f ca="1"/>
        <v>1.8434999998847193E-2</v>
      </c>
      <c r="ED45" s="9">
        <f ca="1"/>
        <v>1.8349999998885896E-2</v>
      </c>
      <c r="EE45" s="9">
        <f ca="1"/>
        <v>1.8519999998808493E-2</v>
      </c>
    </row>
    <row r="46" spans="1:135" x14ac:dyDescent="0.45">
      <c r="A46" s="8">
        <f ca="1"/>
        <v>6</v>
      </c>
      <c r="B46" s="58">
        <f ca="1"/>
        <v>2E-3</v>
      </c>
      <c r="C46" s="18">
        <f ca="1"/>
        <v>90.757499999999993</v>
      </c>
      <c r="D46" s="18">
        <f t="shared" ca="1" si="40"/>
        <v>90.948128619015407</v>
      </c>
      <c r="E46" s="18">
        <f t="shared" ca="1" si="41"/>
        <v>0.19062861901541339</v>
      </c>
      <c r="F46" s="18">
        <f t="shared" ca="1" si="42"/>
        <v>0.19062861901541339</v>
      </c>
      <c r="G46" s="19">
        <f t="shared" ca="1" si="43"/>
        <v>1.022344729451885E-2</v>
      </c>
      <c r="H46" s="19">
        <f ca="1">IFERROR(IRR((J46,L46:CK46),0),0)</f>
        <v>1.0044752321114236E-2</v>
      </c>
      <c r="I46" s="55">
        <f t="shared" ca="1" si="44"/>
        <v>-1.7869497340461393E-4</v>
      </c>
      <c r="J46" s="18">
        <f t="shared" ca="1" si="45"/>
        <v>-90.948128619015407</v>
      </c>
      <c r="K46" s="29">
        <f t="shared" ca="1" si="46"/>
        <v>-90.757499999999993</v>
      </c>
      <c r="L46" s="9">
        <f t="shared" ca="1" si="47"/>
        <v>0.2</v>
      </c>
      <c r="M46" s="9">
        <f t="shared" ca="1" si="47"/>
        <v>0.2</v>
      </c>
      <c r="N46" s="9">
        <f t="shared" ca="1" si="47"/>
        <v>0.2</v>
      </c>
      <c r="O46" s="9">
        <f t="shared" ca="1" si="47"/>
        <v>0.2</v>
      </c>
      <c r="P46" s="9">
        <f t="shared" ca="1" si="47"/>
        <v>0.2</v>
      </c>
      <c r="Q46" s="9">
        <f t="shared" ca="1" si="47"/>
        <v>0.2</v>
      </c>
      <c r="R46" s="9">
        <f t="shared" ca="1" si="47"/>
        <v>0.2</v>
      </c>
      <c r="S46" s="9">
        <f t="shared" ca="1" si="47"/>
        <v>0.2</v>
      </c>
      <c r="T46" s="9">
        <f t="shared" ca="1" si="47"/>
        <v>0.2</v>
      </c>
      <c r="U46" s="9">
        <f t="shared" ca="1" si="47"/>
        <v>0.2</v>
      </c>
      <c r="V46" s="9">
        <f t="shared" ca="1" si="48"/>
        <v>0.2</v>
      </c>
      <c r="W46" s="9">
        <f t="shared" ca="1" si="48"/>
        <v>100.2</v>
      </c>
      <c r="X46" s="9">
        <f t="shared" ca="1" si="48"/>
        <v>0</v>
      </c>
      <c r="Y46" s="9">
        <f t="shared" ca="1" si="48"/>
        <v>0</v>
      </c>
      <c r="Z46" s="9">
        <f t="shared" ca="1" si="48"/>
        <v>0</v>
      </c>
      <c r="AA46" s="9">
        <f t="shared" ca="1" si="48"/>
        <v>0</v>
      </c>
      <c r="AB46" s="9">
        <f t="shared" ca="1" si="48"/>
        <v>0</v>
      </c>
      <c r="AC46" s="9">
        <f t="shared" ca="1" si="48"/>
        <v>0</v>
      </c>
      <c r="AD46" s="9">
        <f t="shared" ca="1" si="48"/>
        <v>0</v>
      </c>
      <c r="AE46" s="9">
        <f t="shared" ca="1" si="48"/>
        <v>0</v>
      </c>
      <c r="AF46" s="9">
        <f t="shared" ca="1" si="49"/>
        <v>0</v>
      </c>
      <c r="AG46" s="9">
        <f t="shared" ca="1" si="49"/>
        <v>0</v>
      </c>
      <c r="AH46" s="9">
        <f t="shared" ca="1" si="49"/>
        <v>0</v>
      </c>
      <c r="AI46" s="9">
        <f t="shared" ca="1" si="49"/>
        <v>0</v>
      </c>
      <c r="AJ46" s="9">
        <f t="shared" ca="1" si="49"/>
        <v>0</v>
      </c>
      <c r="AK46" s="9">
        <f t="shared" ca="1" si="49"/>
        <v>0</v>
      </c>
      <c r="AL46" s="9">
        <f t="shared" ca="1" si="49"/>
        <v>0</v>
      </c>
      <c r="AM46" s="9">
        <f t="shared" ca="1" si="49"/>
        <v>0</v>
      </c>
      <c r="AN46" s="9">
        <f t="shared" ca="1" si="49"/>
        <v>0</v>
      </c>
      <c r="AO46" s="9">
        <f t="shared" ca="1" si="49"/>
        <v>0</v>
      </c>
      <c r="AP46" s="9">
        <f t="shared" ca="1" si="50"/>
        <v>0</v>
      </c>
      <c r="AQ46" s="9">
        <f t="shared" ca="1" si="50"/>
        <v>0</v>
      </c>
      <c r="AR46" s="9">
        <f t="shared" ca="1" si="50"/>
        <v>0</v>
      </c>
      <c r="AS46" s="9">
        <f t="shared" ca="1" si="50"/>
        <v>0</v>
      </c>
      <c r="AT46" s="9">
        <f t="shared" ca="1" si="50"/>
        <v>0</v>
      </c>
      <c r="AU46" s="9">
        <f t="shared" ca="1" si="50"/>
        <v>0</v>
      </c>
      <c r="AV46" s="9">
        <f t="shared" ca="1" si="50"/>
        <v>0</v>
      </c>
      <c r="AW46" s="9">
        <f t="shared" ca="1" si="50"/>
        <v>0</v>
      </c>
      <c r="AX46" s="9">
        <f t="shared" ca="1" si="50"/>
        <v>0</v>
      </c>
      <c r="AY46" s="9">
        <f t="shared" ca="1" si="50"/>
        <v>0</v>
      </c>
      <c r="AZ46" s="9">
        <f t="shared" ca="1" si="51"/>
        <v>0</v>
      </c>
      <c r="BA46" s="9">
        <f t="shared" ca="1" si="51"/>
        <v>0</v>
      </c>
      <c r="BB46" s="9">
        <f t="shared" ca="1" si="51"/>
        <v>0</v>
      </c>
      <c r="BC46" s="9">
        <f t="shared" ca="1" si="51"/>
        <v>0</v>
      </c>
      <c r="BD46" s="9">
        <f t="shared" ca="1" si="51"/>
        <v>0</v>
      </c>
      <c r="BE46" s="9">
        <f t="shared" ca="1" si="51"/>
        <v>0</v>
      </c>
      <c r="BF46" s="9">
        <f t="shared" ca="1" si="51"/>
        <v>0</v>
      </c>
      <c r="BG46" s="9">
        <f t="shared" ca="1" si="51"/>
        <v>0</v>
      </c>
      <c r="BH46" s="9">
        <f t="shared" ca="1" si="51"/>
        <v>0</v>
      </c>
      <c r="BI46" s="9">
        <f t="shared" ca="1" si="51"/>
        <v>0</v>
      </c>
      <c r="BJ46" s="9">
        <f t="shared" ca="1" si="52"/>
        <v>0</v>
      </c>
      <c r="BK46" s="9">
        <f t="shared" ca="1" si="52"/>
        <v>0</v>
      </c>
      <c r="BL46" s="9">
        <f t="shared" ca="1" si="52"/>
        <v>0</v>
      </c>
      <c r="BM46" s="9">
        <f t="shared" ca="1" si="52"/>
        <v>0</v>
      </c>
      <c r="BN46" s="9">
        <f t="shared" ca="1" si="52"/>
        <v>0</v>
      </c>
      <c r="BO46" s="9">
        <f t="shared" ca="1" si="52"/>
        <v>0</v>
      </c>
      <c r="BP46" s="9">
        <f t="shared" ca="1" si="52"/>
        <v>0</v>
      </c>
      <c r="BQ46" s="9">
        <f t="shared" ca="1" si="52"/>
        <v>0</v>
      </c>
      <c r="BR46" s="9">
        <f t="shared" ca="1" si="52"/>
        <v>0</v>
      </c>
      <c r="BS46" s="9">
        <f t="shared" ca="1" si="52"/>
        <v>0</v>
      </c>
      <c r="BT46" s="9">
        <f t="shared" ca="1" si="53"/>
        <v>0</v>
      </c>
      <c r="BU46" s="9">
        <f t="shared" ca="1" si="53"/>
        <v>0</v>
      </c>
      <c r="BV46" s="9">
        <f t="shared" ca="1" si="53"/>
        <v>0</v>
      </c>
      <c r="BW46" s="9">
        <f t="shared" ca="1" si="53"/>
        <v>0</v>
      </c>
      <c r="BX46" s="9">
        <f t="shared" ca="1" si="53"/>
        <v>0</v>
      </c>
      <c r="BY46" s="9">
        <f t="shared" ca="1" si="53"/>
        <v>0</v>
      </c>
      <c r="BZ46" s="9">
        <f t="shared" ca="1" si="53"/>
        <v>0</v>
      </c>
      <c r="CA46" s="9">
        <f t="shared" ca="1" si="53"/>
        <v>0</v>
      </c>
      <c r="CB46" s="9">
        <f t="shared" ca="1" si="53"/>
        <v>0</v>
      </c>
      <c r="CC46" s="9">
        <f t="shared" ca="1" si="53"/>
        <v>0</v>
      </c>
      <c r="CD46" s="9">
        <f t="shared" ca="1" si="54"/>
        <v>0</v>
      </c>
      <c r="CE46" s="9">
        <f t="shared" ca="1" si="54"/>
        <v>0</v>
      </c>
      <c r="CF46" s="9">
        <f t="shared" ca="1" si="54"/>
        <v>0</v>
      </c>
      <c r="CG46" s="9">
        <f t="shared" ca="1" si="54"/>
        <v>0</v>
      </c>
      <c r="CH46" s="9">
        <f t="shared" ca="1" si="54"/>
        <v>0</v>
      </c>
      <c r="CI46" s="9">
        <f t="shared" ca="1" si="54"/>
        <v>0</v>
      </c>
      <c r="CJ46" s="9">
        <f t="shared" ca="1" si="54"/>
        <v>0</v>
      </c>
      <c r="CK46" s="30">
        <f t="shared" ca="1" si="54"/>
        <v>0</v>
      </c>
      <c r="CN46" s="9">
        <v>21.5</v>
      </c>
      <c r="CO46" s="17">
        <v>0.05</v>
      </c>
      <c r="CP46" s="17">
        <v>-8.0915924268278976E-3</v>
      </c>
      <c r="CQ46" s="17">
        <v>-8.8685145671194374E-3</v>
      </c>
      <c r="CR46" s="17">
        <v>1.1637447883675957E-4</v>
      </c>
      <c r="CS46" s="17">
        <f t="shared" si="15"/>
        <v>3.3156267484889423E-2</v>
      </c>
      <c r="EC46" s="9">
        <f ca="1"/>
        <v>1.872999999999999E-2</v>
      </c>
      <c r="ED46" s="9">
        <f ca="1"/>
        <v>1.8649999999999976E-2</v>
      </c>
      <c r="EE46" s="9">
        <f ca="1"/>
        <v>1.8810000000000004E-2</v>
      </c>
    </row>
    <row r="47" spans="1:135" x14ac:dyDescent="0.45">
      <c r="A47" s="8">
        <f ca="1"/>
        <v>6</v>
      </c>
      <c r="B47" s="58">
        <f ca="1"/>
        <v>2E-3</v>
      </c>
      <c r="C47" s="18">
        <f ca="1"/>
        <v>90.271000000000001</v>
      </c>
      <c r="D47" s="18">
        <f t="shared" ca="1" si="40"/>
        <v>90.948128619015407</v>
      </c>
      <c r="E47" s="18">
        <f t="shared" ca="1" si="41"/>
        <v>0.67712861901540577</v>
      </c>
      <c r="F47" s="18">
        <f t="shared" ca="1" si="42"/>
        <v>0.67712861901540577</v>
      </c>
      <c r="G47" s="19">
        <f t="shared" ca="1" si="43"/>
        <v>1.0681355504725154E-2</v>
      </c>
      <c r="H47" s="19">
        <f ca="1">IFERROR(IRR((J47,L47:CK47),0),0)</f>
        <v>1.0044752321114236E-2</v>
      </c>
      <c r="I47" s="55">
        <f t="shared" ca="1" si="44"/>
        <v>-6.3660318361091761E-4</v>
      </c>
      <c r="J47" s="18">
        <f t="shared" ca="1" si="45"/>
        <v>-90.948128619015407</v>
      </c>
      <c r="K47" s="29">
        <f t="shared" ca="1" si="46"/>
        <v>-90.271000000000001</v>
      </c>
      <c r="L47" s="9">
        <f t="shared" ca="1" si="47"/>
        <v>0.2</v>
      </c>
      <c r="M47" s="9">
        <f t="shared" ca="1" si="47"/>
        <v>0.2</v>
      </c>
      <c r="N47" s="9">
        <f t="shared" ca="1" si="47"/>
        <v>0.2</v>
      </c>
      <c r="O47" s="9">
        <f t="shared" ca="1" si="47"/>
        <v>0.2</v>
      </c>
      <c r="P47" s="9">
        <f t="shared" ca="1" si="47"/>
        <v>0.2</v>
      </c>
      <c r="Q47" s="9">
        <f t="shared" ca="1" si="47"/>
        <v>0.2</v>
      </c>
      <c r="R47" s="9">
        <f t="shared" ca="1" si="47"/>
        <v>0.2</v>
      </c>
      <c r="S47" s="9">
        <f t="shared" ca="1" si="47"/>
        <v>0.2</v>
      </c>
      <c r="T47" s="9">
        <f t="shared" ca="1" si="47"/>
        <v>0.2</v>
      </c>
      <c r="U47" s="9">
        <f t="shared" ca="1" si="47"/>
        <v>0.2</v>
      </c>
      <c r="V47" s="9">
        <f t="shared" ca="1" si="48"/>
        <v>0.2</v>
      </c>
      <c r="W47" s="9">
        <f t="shared" ca="1" si="48"/>
        <v>100.2</v>
      </c>
      <c r="X47" s="9">
        <f t="shared" ca="1" si="48"/>
        <v>0</v>
      </c>
      <c r="Y47" s="9">
        <f t="shared" ca="1" si="48"/>
        <v>0</v>
      </c>
      <c r="Z47" s="9">
        <f t="shared" ca="1" si="48"/>
        <v>0</v>
      </c>
      <c r="AA47" s="9">
        <f t="shared" ca="1" si="48"/>
        <v>0</v>
      </c>
      <c r="AB47" s="9">
        <f t="shared" ca="1" si="48"/>
        <v>0</v>
      </c>
      <c r="AC47" s="9">
        <f t="shared" ca="1" si="48"/>
        <v>0</v>
      </c>
      <c r="AD47" s="9">
        <f t="shared" ca="1" si="48"/>
        <v>0</v>
      </c>
      <c r="AE47" s="9">
        <f t="shared" ca="1" si="48"/>
        <v>0</v>
      </c>
      <c r="AF47" s="9">
        <f t="shared" ca="1" si="49"/>
        <v>0</v>
      </c>
      <c r="AG47" s="9">
        <f t="shared" ca="1" si="49"/>
        <v>0</v>
      </c>
      <c r="AH47" s="9">
        <f t="shared" ca="1" si="49"/>
        <v>0</v>
      </c>
      <c r="AI47" s="9">
        <f t="shared" ca="1" si="49"/>
        <v>0</v>
      </c>
      <c r="AJ47" s="9">
        <f t="shared" ca="1" si="49"/>
        <v>0</v>
      </c>
      <c r="AK47" s="9">
        <f t="shared" ca="1" si="49"/>
        <v>0</v>
      </c>
      <c r="AL47" s="9">
        <f t="shared" ca="1" si="49"/>
        <v>0</v>
      </c>
      <c r="AM47" s="9">
        <f t="shared" ca="1" si="49"/>
        <v>0</v>
      </c>
      <c r="AN47" s="9">
        <f t="shared" ca="1" si="49"/>
        <v>0</v>
      </c>
      <c r="AO47" s="9">
        <f t="shared" ca="1" si="49"/>
        <v>0</v>
      </c>
      <c r="AP47" s="9">
        <f t="shared" ca="1" si="50"/>
        <v>0</v>
      </c>
      <c r="AQ47" s="9">
        <f t="shared" ca="1" si="50"/>
        <v>0</v>
      </c>
      <c r="AR47" s="9">
        <f t="shared" ca="1" si="50"/>
        <v>0</v>
      </c>
      <c r="AS47" s="9">
        <f t="shared" ca="1" si="50"/>
        <v>0</v>
      </c>
      <c r="AT47" s="9">
        <f t="shared" ca="1" si="50"/>
        <v>0</v>
      </c>
      <c r="AU47" s="9">
        <f t="shared" ca="1" si="50"/>
        <v>0</v>
      </c>
      <c r="AV47" s="9">
        <f t="shared" ca="1" si="50"/>
        <v>0</v>
      </c>
      <c r="AW47" s="9">
        <f t="shared" ca="1" si="50"/>
        <v>0</v>
      </c>
      <c r="AX47" s="9">
        <f t="shared" ca="1" si="50"/>
        <v>0</v>
      </c>
      <c r="AY47" s="9">
        <f t="shared" ca="1" si="50"/>
        <v>0</v>
      </c>
      <c r="AZ47" s="9">
        <f t="shared" ca="1" si="51"/>
        <v>0</v>
      </c>
      <c r="BA47" s="9">
        <f t="shared" ca="1" si="51"/>
        <v>0</v>
      </c>
      <c r="BB47" s="9">
        <f t="shared" ca="1" si="51"/>
        <v>0</v>
      </c>
      <c r="BC47" s="9">
        <f t="shared" ca="1" si="51"/>
        <v>0</v>
      </c>
      <c r="BD47" s="9">
        <f t="shared" ca="1" si="51"/>
        <v>0</v>
      </c>
      <c r="BE47" s="9">
        <f t="shared" ca="1" si="51"/>
        <v>0</v>
      </c>
      <c r="BF47" s="9">
        <f t="shared" ca="1" si="51"/>
        <v>0</v>
      </c>
      <c r="BG47" s="9">
        <f t="shared" ca="1" si="51"/>
        <v>0</v>
      </c>
      <c r="BH47" s="9">
        <f t="shared" ca="1" si="51"/>
        <v>0</v>
      </c>
      <c r="BI47" s="9">
        <f t="shared" ca="1" si="51"/>
        <v>0</v>
      </c>
      <c r="BJ47" s="9">
        <f t="shared" ca="1" si="52"/>
        <v>0</v>
      </c>
      <c r="BK47" s="9">
        <f t="shared" ca="1" si="52"/>
        <v>0</v>
      </c>
      <c r="BL47" s="9">
        <f t="shared" ca="1" si="52"/>
        <v>0</v>
      </c>
      <c r="BM47" s="9">
        <f t="shared" ca="1" si="52"/>
        <v>0</v>
      </c>
      <c r="BN47" s="9">
        <f t="shared" ca="1" si="52"/>
        <v>0</v>
      </c>
      <c r="BO47" s="9">
        <f t="shared" ca="1" si="52"/>
        <v>0</v>
      </c>
      <c r="BP47" s="9">
        <f t="shared" ca="1" si="52"/>
        <v>0</v>
      </c>
      <c r="BQ47" s="9">
        <f t="shared" ca="1" si="52"/>
        <v>0</v>
      </c>
      <c r="BR47" s="9">
        <f t="shared" ca="1" si="52"/>
        <v>0</v>
      </c>
      <c r="BS47" s="9">
        <f t="shared" ca="1" si="52"/>
        <v>0</v>
      </c>
      <c r="BT47" s="9">
        <f t="shared" ca="1" si="53"/>
        <v>0</v>
      </c>
      <c r="BU47" s="9">
        <f t="shared" ca="1" si="53"/>
        <v>0</v>
      </c>
      <c r="BV47" s="9">
        <f t="shared" ca="1" si="53"/>
        <v>0</v>
      </c>
      <c r="BW47" s="9">
        <f t="shared" ca="1" si="53"/>
        <v>0</v>
      </c>
      <c r="BX47" s="9">
        <f t="shared" ca="1" si="53"/>
        <v>0</v>
      </c>
      <c r="BY47" s="9">
        <f t="shared" ca="1" si="53"/>
        <v>0</v>
      </c>
      <c r="BZ47" s="9">
        <f t="shared" ca="1" si="53"/>
        <v>0</v>
      </c>
      <c r="CA47" s="9">
        <f t="shared" ca="1" si="53"/>
        <v>0</v>
      </c>
      <c r="CB47" s="9">
        <f t="shared" ca="1" si="53"/>
        <v>0</v>
      </c>
      <c r="CC47" s="9">
        <f t="shared" ca="1" si="53"/>
        <v>0</v>
      </c>
      <c r="CD47" s="9">
        <f t="shared" ca="1" si="54"/>
        <v>0</v>
      </c>
      <c r="CE47" s="9">
        <f t="shared" ca="1" si="54"/>
        <v>0</v>
      </c>
      <c r="CF47" s="9">
        <f t="shared" ca="1" si="54"/>
        <v>0</v>
      </c>
      <c r="CG47" s="9">
        <f t="shared" ca="1" si="54"/>
        <v>0</v>
      </c>
      <c r="CH47" s="9">
        <f t="shared" ca="1" si="54"/>
        <v>0</v>
      </c>
      <c r="CI47" s="9">
        <f t="shared" ca="1" si="54"/>
        <v>0</v>
      </c>
      <c r="CJ47" s="9">
        <f t="shared" ca="1" si="54"/>
        <v>0</v>
      </c>
      <c r="CK47" s="30">
        <f t="shared" ca="1" si="54"/>
        <v>0</v>
      </c>
      <c r="CN47" s="9">
        <v>22</v>
      </c>
      <c r="CO47" s="17">
        <v>0.05</v>
      </c>
      <c r="CP47" s="17">
        <v>-7.9136264171960052E-3</v>
      </c>
      <c r="CQ47" s="17">
        <v>-8.7009460394663913E-3</v>
      </c>
      <c r="CR47" s="17">
        <v>1.1372960431785393E-4</v>
      </c>
      <c r="CS47" s="17">
        <f t="shared" si="15"/>
        <v>3.3499157147655459E-2</v>
      </c>
      <c r="EC47" s="9">
        <f ca="1"/>
        <v>1.9519999999999999E-2</v>
      </c>
      <c r="ED47" s="9">
        <f ca="1"/>
        <v>1.9430000000000006E-2</v>
      </c>
      <c r="EE47" s="9">
        <f ca="1"/>
        <v>1.9609999999999995E-2</v>
      </c>
    </row>
    <row r="48" spans="1:135" x14ac:dyDescent="0.45">
      <c r="A48" s="8">
        <f ca="1"/>
        <v>7</v>
      </c>
      <c r="B48" s="58">
        <f ca="1"/>
        <v>4.0000000000000001E-3</v>
      </c>
      <c r="C48" s="18">
        <f ca="1"/>
        <v>90.114000000000004</v>
      </c>
      <c r="D48" s="18">
        <f t="shared" ca="1" si="40"/>
        <v>91.221655589458493</v>
      </c>
      <c r="E48" s="18">
        <f t="shared" ca="1" si="41"/>
        <v>1.1076555894584885</v>
      </c>
      <c r="F48" s="18">
        <f t="shared" ca="1" si="42"/>
        <v>1.1076555894584885</v>
      </c>
      <c r="G48" s="19">
        <f t="shared" ca="1" si="43"/>
        <v>1.1696483087877629E-2</v>
      </c>
      <c r="H48" s="19">
        <f ca="1">IFERROR(IRR((J48,L48:CK48),0),0)</f>
        <v>1.0789432358103479E-2</v>
      </c>
      <c r="I48" s="55">
        <f t="shared" ca="1" si="44"/>
        <v>-9.0705072977415035E-4</v>
      </c>
      <c r="J48" s="18">
        <f t="shared" ca="1" si="45"/>
        <v>-91.221655589458493</v>
      </c>
      <c r="K48" s="29">
        <f t="shared" ca="1" si="46"/>
        <v>-90.114000000000004</v>
      </c>
      <c r="L48" s="9">
        <f t="shared" ca="1" si="47"/>
        <v>0.4</v>
      </c>
      <c r="M48" s="9">
        <f t="shared" ca="1" si="47"/>
        <v>0.4</v>
      </c>
      <c r="N48" s="9">
        <f t="shared" ca="1" si="47"/>
        <v>0.4</v>
      </c>
      <c r="O48" s="9">
        <f t="shared" ca="1" si="47"/>
        <v>0.4</v>
      </c>
      <c r="P48" s="9">
        <f t="shared" ca="1" si="47"/>
        <v>0.4</v>
      </c>
      <c r="Q48" s="9">
        <f t="shared" ca="1" si="47"/>
        <v>0.4</v>
      </c>
      <c r="R48" s="9">
        <f t="shared" ca="1" si="47"/>
        <v>0.4</v>
      </c>
      <c r="S48" s="9">
        <f t="shared" ca="1" si="47"/>
        <v>0.4</v>
      </c>
      <c r="T48" s="9">
        <f t="shared" ca="1" si="47"/>
        <v>0.4</v>
      </c>
      <c r="U48" s="9">
        <f t="shared" ca="1" si="47"/>
        <v>0.4</v>
      </c>
      <c r="V48" s="9">
        <f t="shared" ca="1" si="48"/>
        <v>0.4</v>
      </c>
      <c r="W48" s="9">
        <f t="shared" ca="1" si="48"/>
        <v>0.4</v>
      </c>
      <c r="X48" s="9">
        <f t="shared" ca="1" si="48"/>
        <v>0.4</v>
      </c>
      <c r="Y48" s="9">
        <f t="shared" ca="1" si="48"/>
        <v>100.4</v>
      </c>
      <c r="Z48" s="9">
        <f t="shared" ca="1" si="48"/>
        <v>0</v>
      </c>
      <c r="AA48" s="9">
        <f t="shared" ca="1" si="48"/>
        <v>0</v>
      </c>
      <c r="AB48" s="9">
        <f t="shared" ca="1" si="48"/>
        <v>0</v>
      </c>
      <c r="AC48" s="9">
        <f t="shared" ca="1" si="48"/>
        <v>0</v>
      </c>
      <c r="AD48" s="9">
        <f t="shared" ca="1" si="48"/>
        <v>0</v>
      </c>
      <c r="AE48" s="9">
        <f t="shared" ca="1" si="48"/>
        <v>0</v>
      </c>
      <c r="AF48" s="9">
        <f t="shared" ca="1" si="49"/>
        <v>0</v>
      </c>
      <c r="AG48" s="9">
        <f t="shared" ca="1" si="49"/>
        <v>0</v>
      </c>
      <c r="AH48" s="9">
        <f t="shared" ca="1" si="49"/>
        <v>0</v>
      </c>
      <c r="AI48" s="9">
        <f t="shared" ca="1" si="49"/>
        <v>0</v>
      </c>
      <c r="AJ48" s="9">
        <f t="shared" ca="1" si="49"/>
        <v>0</v>
      </c>
      <c r="AK48" s="9">
        <f t="shared" ca="1" si="49"/>
        <v>0</v>
      </c>
      <c r="AL48" s="9">
        <f t="shared" ca="1" si="49"/>
        <v>0</v>
      </c>
      <c r="AM48" s="9">
        <f t="shared" ca="1" si="49"/>
        <v>0</v>
      </c>
      <c r="AN48" s="9">
        <f t="shared" ca="1" si="49"/>
        <v>0</v>
      </c>
      <c r="AO48" s="9">
        <f t="shared" ca="1" si="49"/>
        <v>0</v>
      </c>
      <c r="AP48" s="9">
        <f t="shared" ca="1" si="50"/>
        <v>0</v>
      </c>
      <c r="AQ48" s="9">
        <f t="shared" ca="1" si="50"/>
        <v>0</v>
      </c>
      <c r="AR48" s="9">
        <f t="shared" ca="1" si="50"/>
        <v>0</v>
      </c>
      <c r="AS48" s="9">
        <f t="shared" ca="1" si="50"/>
        <v>0</v>
      </c>
      <c r="AT48" s="9">
        <f t="shared" ca="1" si="50"/>
        <v>0</v>
      </c>
      <c r="AU48" s="9">
        <f t="shared" ca="1" si="50"/>
        <v>0</v>
      </c>
      <c r="AV48" s="9">
        <f t="shared" ca="1" si="50"/>
        <v>0</v>
      </c>
      <c r="AW48" s="9">
        <f t="shared" ca="1" si="50"/>
        <v>0</v>
      </c>
      <c r="AX48" s="9">
        <f t="shared" ca="1" si="50"/>
        <v>0</v>
      </c>
      <c r="AY48" s="9">
        <f t="shared" ca="1" si="50"/>
        <v>0</v>
      </c>
      <c r="AZ48" s="9">
        <f t="shared" ca="1" si="51"/>
        <v>0</v>
      </c>
      <c r="BA48" s="9">
        <f t="shared" ca="1" si="51"/>
        <v>0</v>
      </c>
      <c r="BB48" s="9">
        <f t="shared" ca="1" si="51"/>
        <v>0</v>
      </c>
      <c r="BC48" s="9">
        <f t="shared" ca="1" si="51"/>
        <v>0</v>
      </c>
      <c r="BD48" s="9">
        <f t="shared" ca="1" si="51"/>
        <v>0</v>
      </c>
      <c r="BE48" s="9">
        <f t="shared" ca="1" si="51"/>
        <v>0</v>
      </c>
      <c r="BF48" s="9">
        <f t="shared" ca="1" si="51"/>
        <v>0</v>
      </c>
      <c r="BG48" s="9">
        <f t="shared" ca="1" si="51"/>
        <v>0</v>
      </c>
      <c r="BH48" s="9">
        <f t="shared" ca="1" si="51"/>
        <v>0</v>
      </c>
      <c r="BI48" s="9">
        <f t="shared" ca="1" si="51"/>
        <v>0</v>
      </c>
      <c r="BJ48" s="9">
        <f t="shared" ca="1" si="52"/>
        <v>0</v>
      </c>
      <c r="BK48" s="9">
        <f t="shared" ca="1" si="52"/>
        <v>0</v>
      </c>
      <c r="BL48" s="9">
        <f t="shared" ca="1" si="52"/>
        <v>0</v>
      </c>
      <c r="BM48" s="9">
        <f t="shared" ca="1" si="52"/>
        <v>0</v>
      </c>
      <c r="BN48" s="9">
        <f t="shared" ca="1" si="52"/>
        <v>0</v>
      </c>
      <c r="BO48" s="9">
        <f t="shared" ca="1" si="52"/>
        <v>0</v>
      </c>
      <c r="BP48" s="9">
        <f t="shared" ca="1" si="52"/>
        <v>0</v>
      </c>
      <c r="BQ48" s="9">
        <f t="shared" ca="1" si="52"/>
        <v>0</v>
      </c>
      <c r="BR48" s="9">
        <f t="shared" ca="1" si="52"/>
        <v>0</v>
      </c>
      <c r="BS48" s="9">
        <f t="shared" ca="1" si="52"/>
        <v>0</v>
      </c>
      <c r="BT48" s="9">
        <f t="shared" ca="1" si="53"/>
        <v>0</v>
      </c>
      <c r="BU48" s="9">
        <f t="shared" ca="1" si="53"/>
        <v>0</v>
      </c>
      <c r="BV48" s="9">
        <f t="shared" ca="1" si="53"/>
        <v>0</v>
      </c>
      <c r="BW48" s="9">
        <f t="shared" ca="1" si="53"/>
        <v>0</v>
      </c>
      <c r="BX48" s="9">
        <f t="shared" ca="1" si="53"/>
        <v>0</v>
      </c>
      <c r="BY48" s="9">
        <f t="shared" ca="1" si="53"/>
        <v>0</v>
      </c>
      <c r="BZ48" s="9">
        <f t="shared" ca="1" si="53"/>
        <v>0</v>
      </c>
      <c r="CA48" s="9">
        <f t="shared" ca="1" si="53"/>
        <v>0</v>
      </c>
      <c r="CB48" s="9">
        <f t="shared" ca="1" si="53"/>
        <v>0</v>
      </c>
      <c r="CC48" s="9">
        <f t="shared" ca="1" si="53"/>
        <v>0</v>
      </c>
      <c r="CD48" s="9">
        <f t="shared" ca="1" si="54"/>
        <v>0</v>
      </c>
      <c r="CE48" s="9">
        <f t="shared" ca="1" si="54"/>
        <v>0</v>
      </c>
      <c r="CF48" s="9">
        <f t="shared" ca="1" si="54"/>
        <v>0</v>
      </c>
      <c r="CG48" s="9">
        <f t="shared" ca="1" si="54"/>
        <v>0</v>
      </c>
      <c r="CH48" s="9">
        <f t="shared" ca="1" si="54"/>
        <v>0</v>
      </c>
      <c r="CI48" s="9">
        <f t="shared" ca="1" si="54"/>
        <v>0</v>
      </c>
      <c r="CJ48" s="9">
        <f t="shared" ca="1" si="54"/>
        <v>0</v>
      </c>
      <c r="CK48" s="30">
        <f t="shared" ca="1" si="54"/>
        <v>0</v>
      </c>
      <c r="CN48" s="9">
        <v>22.5</v>
      </c>
      <c r="CO48" s="17">
        <v>0.05</v>
      </c>
      <c r="CP48" s="17">
        <v>-7.7429342325409959E-3</v>
      </c>
      <c r="CQ48" s="17">
        <v>-8.5378637297111645E-3</v>
      </c>
      <c r="CR48" s="17">
        <v>1.1120227977751224E-4</v>
      </c>
      <c r="CS48" s="17">
        <f t="shared" si="15"/>
        <v>3.3830404317525355E-2</v>
      </c>
      <c r="EC48" s="9">
        <f ca="1"/>
        <v>2.3859999999999798E-2</v>
      </c>
      <c r="ED48" s="9">
        <f ca="1"/>
        <v>2.3739999999999813E-2</v>
      </c>
      <c r="EE48" s="9">
        <f ca="1"/>
        <v>2.3979999999999783E-2</v>
      </c>
    </row>
    <row r="49" spans="1:135" x14ac:dyDescent="0.45">
      <c r="A49" s="8">
        <f ca="1"/>
        <v>9.5</v>
      </c>
      <c r="B49" s="58">
        <f ca="1"/>
        <v>4.0000000000000001E-3</v>
      </c>
      <c r="C49" s="18">
        <f ca="1"/>
        <v>83.936999999999998</v>
      </c>
      <c r="D49" s="18">
        <f t="shared" ca="1" si="40"/>
        <v>85.463612555251927</v>
      </c>
      <c r="E49" s="18">
        <f t="shared" ca="1" si="41"/>
        <v>1.5266125552519298</v>
      </c>
      <c r="F49" s="18">
        <f t="shared" ca="1" si="42"/>
        <v>1.5266125552519298</v>
      </c>
      <c r="G49" s="19">
        <f t="shared" ca="1" si="43"/>
        <v>1.3655607378297185E-2</v>
      </c>
      <c r="H49" s="19">
        <f ca="1">IFERROR(IRR((J49,L49:CK49),0),0)</f>
        <v>1.2655460266826513E-2</v>
      </c>
      <c r="I49" s="55">
        <f t="shared" ca="1" si="44"/>
        <v>-1.0001471114706728E-3</v>
      </c>
      <c r="J49" s="18">
        <f t="shared" ca="1" si="45"/>
        <v>-85.463612555251927</v>
      </c>
      <c r="K49" s="29">
        <f t="shared" ca="1" si="46"/>
        <v>-83.936999999999998</v>
      </c>
      <c r="L49" s="9">
        <f t="shared" ca="1" si="47"/>
        <v>0.4</v>
      </c>
      <c r="M49" s="9">
        <f t="shared" ca="1" si="47"/>
        <v>0.4</v>
      </c>
      <c r="N49" s="9">
        <f t="shared" ca="1" si="47"/>
        <v>0.4</v>
      </c>
      <c r="O49" s="9">
        <f t="shared" ca="1" si="47"/>
        <v>0.4</v>
      </c>
      <c r="P49" s="9">
        <f t="shared" ca="1" si="47"/>
        <v>0.4</v>
      </c>
      <c r="Q49" s="9">
        <f t="shared" ca="1" si="47"/>
        <v>0.4</v>
      </c>
      <c r="R49" s="9">
        <f t="shared" ca="1" si="47"/>
        <v>0.4</v>
      </c>
      <c r="S49" s="9">
        <f t="shared" ca="1" si="47"/>
        <v>0.4</v>
      </c>
      <c r="T49" s="9">
        <f t="shared" ca="1" si="47"/>
        <v>0.4</v>
      </c>
      <c r="U49" s="9">
        <f t="shared" ca="1" si="47"/>
        <v>0.4</v>
      </c>
      <c r="V49" s="9">
        <f t="shared" ca="1" si="48"/>
        <v>0.4</v>
      </c>
      <c r="W49" s="9">
        <f t="shared" ca="1" si="48"/>
        <v>0.4</v>
      </c>
      <c r="X49" s="9">
        <f t="shared" ca="1" si="48"/>
        <v>0.4</v>
      </c>
      <c r="Y49" s="9">
        <f t="shared" ca="1" si="48"/>
        <v>0.4</v>
      </c>
      <c r="Z49" s="9">
        <f t="shared" ca="1" si="48"/>
        <v>0.4</v>
      </c>
      <c r="AA49" s="9">
        <f t="shared" ca="1" si="48"/>
        <v>0.4</v>
      </c>
      <c r="AB49" s="9">
        <f t="shared" ca="1" si="48"/>
        <v>0.4</v>
      </c>
      <c r="AC49" s="9">
        <f t="shared" ca="1" si="48"/>
        <v>0.4</v>
      </c>
      <c r="AD49" s="9">
        <f t="shared" ca="1" si="48"/>
        <v>100.4</v>
      </c>
      <c r="AE49" s="9">
        <f t="shared" ca="1" si="48"/>
        <v>0</v>
      </c>
      <c r="AF49" s="9">
        <f t="shared" ca="1" si="49"/>
        <v>0</v>
      </c>
      <c r="AG49" s="9">
        <f t="shared" ca="1" si="49"/>
        <v>0</v>
      </c>
      <c r="AH49" s="9">
        <f t="shared" ca="1" si="49"/>
        <v>0</v>
      </c>
      <c r="AI49" s="9">
        <f t="shared" ca="1" si="49"/>
        <v>0</v>
      </c>
      <c r="AJ49" s="9">
        <f t="shared" ca="1" si="49"/>
        <v>0</v>
      </c>
      <c r="AK49" s="9">
        <f t="shared" ca="1" si="49"/>
        <v>0</v>
      </c>
      <c r="AL49" s="9">
        <f t="shared" ca="1" si="49"/>
        <v>0</v>
      </c>
      <c r="AM49" s="9">
        <f t="shared" ca="1" si="49"/>
        <v>0</v>
      </c>
      <c r="AN49" s="9">
        <f t="shared" ca="1" si="49"/>
        <v>0</v>
      </c>
      <c r="AO49" s="9">
        <f t="shared" ca="1" si="49"/>
        <v>0</v>
      </c>
      <c r="AP49" s="9">
        <f t="shared" ca="1" si="50"/>
        <v>0</v>
      </c>
      <c r="AQ49" s="9">
        <f t="shared" ca="1" si="50"/>
        <v>0</v>
      </c>
      <c r="AR49" s="9">
        <f t="shared" ca="1" si="50"/>
        <v>0</v>
      </c>
      <c r="AS49" s="9">
        <f t="shared" ca="1" si="50"/>
        <v>0</v>
      </c>
      <c r="AT49" s="9">
        <f t="shared" ca="1" si="50"/>
        <v>0</v>
      </c>
      <c r="AU49" s="9">
        <f t="shared" ca="1" si="50"/>
        <v>0</v>
      </c>
      <c r="AV49" s="9">
        <f t="shared" ca="1" si="50"/>
        <v>0</v>
      </c>
      <c r="AW49" s="9">
        <f t="shared" ca="1" si="50"/>
        <v>0</v>
      </c>
      <c r="AX49" s="9">
        <f t="shared" ca="1" si="50"/>
        <v>0</v>
      </c>
      <c r="AY49" s="9">
        <f t="shared" ca="1" si="50"/>
        <v>0</v>
      </c>
      <c r="AZ49" s="9">
        <f t="shared" ca="1" si="51"/>
        <v>0</v>
      </c>
      <c r="BA49" s="9">
        <f t="shared" ca="1" si="51"/>
        <v>0</v>
      </c>
      <c r="BB49" s="9">
        <f t="shared" ca="1" si="51"/>
        <v>0</v>
      </c>
      <c r="BC49" s="9">
        <f t="shared" ca="1" si="51"/>
        <v>0</v>
      </c>
      <c r="BD49" s="9">
        <f t="shared" ca="1" si="51"/>
        <v>0</v>
      </c>
      <c r="BE49" s="9">
        <f t="shared" ca="1" si="51"/>
        <v>0</v>
      </c>
      <c r="BF49" s="9">
        <f t="shared" ca="1" si="51"/>
        <v>0</v>
      </c>
      <c r="BG49" s="9">
        <f t="shared" ca="1" si="51"/>
        <v>0</v>
      </c>
      <c r="BH49" s="9">
        <f t="shared" ca="1" si="51"/>
        <v>0</v>
      </c>
      <c r="BI49" s="9">
        <f t="shared" ca="1" si="51"/>
        <v>0</v>
      </c>
      <c r="BJ49" s="9">
        <f t="shared" ca="1" si="52"/>
        <v>0</v>
      </c>
      <c r="BK49" s="9">
        <f t="shared" ca="1" si="52"/>
        <v>0</v>
      </c>
      <c r="BL49" s="9">
        <f t="shared" ca="1" si="52"/>
        <v>0</v>
      </c>
      <c r="BM49" s="9">
        <f t="shared" ca="1" si="52"/>
        <v>0</v>
      </c>
      <c r="BN49" s="9">
        <f t="shared" ca="1" si="52"/>
        <v>0</v>
      </c>
      <c r="BO49" s="9">
        <f t="shared" ca="1" si="52"/>
        <v>0</v>
      </c>
      <c r="BP49" s="9">
        <f t="shared" ca="1" si="52"/>
        <v>0</v>
      </c>
      <c r="BQ49" s="9">
        <f t="shared" ca="1" si="52"/>
        <v>0</v>
      </c>
      <c r="BR49" s="9">
        <f t="shared" ca="1" si="52"/>
        <v>0</v>
      </c>
      <c r="BS49" s="9">
        <f t="shared" ca="1" si="52"/>
        <v>0</v>
      </c>
      <c r="BT49" s="9">
        <f t="shared" ca="1" si="53"/>
        <v>0</v>
      </c>
      <c r="BU49" s="9">
        <f t="shared" ca="1" si="53"/>
        <v>0</v>
      </c>
      <c r="BV49" s="9">
        <f t="shared" ca="1" si="53"/>
        <v>0</v>
      </c>
      <c r="BW49" s="9">
        <f t="shared" ca="1" si="53"/>
        <v>0</v>
      </c>
      <c r="BX49" s="9">
        <f t="shared" ca="1" si="53"/>
        <v>0</v>
      </c>
      <c r="BY49" s="9">
        <f t="shared" ca="1" si="53"/>
        <v>0</v>
      </c>
      <c r="BZ49" s="9">
        <f t="shared" ca="1" si="53"/>
        <v>0</v>
      </c>
      <c r="CA49" s="9">
        <f t="shared" ca="1" si="53"/>
        <v>0</v>
      </c>
      <c r="CB49" s="9">
        <f t="shared" ca="1" si="53"/>
        <v>0</v>
      </c>
      <c r="CC49" s="9">
        <f t="shared" ca="1" si="53"/>
        <v>0</v>
      </c>
      <c r="CD49" s="9">
        <f t="shared" ca="1" si="54"/>
        <v>0</v>
      </c>
      <c r="CE49" s="9">
        <f t="shared" ca="1" si="54"/>
        <v>0</v>
      </c>
      <c r="CF49" s="9">
        <f t="shared" ca="1" si="54"/>
        <v>0</v>
      </c>
      <c r="CG49" s="9">
        <f t="shared" ca="1" si="54"/>
        <v>0</v>
      </c>
      <c r="CH49" s="9">
        <f t="shared" ca="1" si="54"/>
        <v>0</v>
      </c>
      <c r="CI49" s="9">
        <f t="shared" ca="1" si="54"/>
        <v>0</v>
      </c>
      <c r="CJ49" s="9">
        <f t="shared" ca="1" si="54"/>
        <v>0</v>
      </c>
      <c r="CK49" s="30">
        <f t="shared" ca="1" si="54"/>
        <v>0</v>
      </c>
      <c r="CN49" s="9">
        <v>23</v>
      </c>
      <c r="CO49" s="17">
        <v>0.05</v>
      </c>
      <c r="CP49" s="17">
        <v>-7.5791096464142456E-3</v>
      </c>
      <c r="CQ49" s="17">
        <v>-8.3792195598847968E-3</v>
      </c>
      <c r="CR49" s="17">
        <v>1.087848389128109E-4</v>
      </c>
      <c r="CS49" s="17">
        <f t="shared" si="15"/>
        <v>3.415045563261377E-2</v>
      </c>
      <c r="EC49" s="9">
        <f ca="1"/>
        <v>2.4524999999998826E-2</v>
      </c>
      <c r="ED49" s="9">
        <f ca="1"/>
        <v>2.4399999999998895E-2</v>
      </c>
      <c r="EE49" s="9">
        <f ca="1"/>
        <v>2.464999999999876E-2</v>
      </c>
    </row>
    <row r="50" spans="1:135" x14ac:dyDescent="0.45">
      <c r="A50" s="8">
        <f ca="1"/>
        <v>10</v>
      </c>
      <c r="B50" s="58">
        <f ca="1"/>
        <v>2E-3</v>
      </c>
      <c r="C50" s="18">
        <f ca="1"/>
        <v>81.515000000000001</v>
      </c>
      <c r="D50" s="18">
        <f t="shared" ca="1" si="40"/>
        <v>80.6377488146193</v>
      </c>
      <c r="E50" s="18">
        <f t="shared" ca="1" si="41"/>
        <v>-0.87725118538070035</v>
      </c>
      <c r="F50" s="18">
        <f t="shared" ca="1" si="42"/>
        <v>0.87725118538070035</v>
      </c>
      <c r="G50" s="19">
        <f t="shared" ca="1" si="43"/>
        <v>1.2503628747419837E-2</v>
      </c>
      <c r="H50" s="19">
        <f ca="1">IFERROR(IRR((J50,L50:CK50),0),0)</f>
        <v>1.3063579186474605E-2</v>
      </c>
      <c r="I50" s="55">
        <f t="shared" ca="1" si="44"/>
        <v>5.5995043905476827E-4</v>
      </c>
      <c r="J50" s="18">
        <f t="shared" ca="1" si="45"/>
        <v>-80.6377488146193</v>
      </c>
      <c r="K50" s="29">
        <f t="shared" ca="1" si="46"/>
        <v>-81.515000000000001</v>
      </c>
      <c r="L50" s="9">
        <f t="shared" ca="1" si="47"/>
        <v>0.2</v>
      </c>
      <c r="M50" s="9">
        <f t="shared" ca="1" si="47"/>
        <v>0.2</v>
      </c>
      <c r="N50" s="9">
        <f t="shared" ca="1" si="47"/>
        <v>0.2</v>
      </c>
      <c r="O50" s="9">
        <f t="shared" ca="1" si="47"/>
        <v>0.2</v>
      </c>
      <c r="P50" s="9">
        <f t="shared" ca="1" si="47"/>
        <v>0.2</v>
      </c>
      <c r="Q50" s="9">
        <f t="shared" ca="1" si="47"/>
        <v>0.2</v>
      </c>
      <c r="R50" s="9">
        <f t="shared" ca="1" si="47"/>
        <v>0.2</v>
      </c>
      <c r="S50" s="9">
        <f t="shared" ca="1" si="47"/>
        <v>0.2</v>
      </c>
      <c r="T50" s="9">
        <f t="shared" ca="1" si="47"/>
        <v>0.2</v>
      </c>
      <c r="U50" s="9">
        <f t="shared" ca="1" si="47"/>
        <v>0.2</v>
      </c>
      <c r="V50" s="9">
        <f t="shared" ca="1" si="48"/>
        <v>0.2</v>
      </c>
      <c r="W50" s="9">
        <f t="shared" ca="1" si="48"/>
        <v>0.2</v>
      </c>
      <c r="X50" s="9">
        <f t="shared" ca="1" si="48"/>
        <v>0.2</v>
      </c>
      <c r="Y50" s="9">
        <f t="shared" ca="1" si="48"/>
        <v>0.2</v>
      </c>
      <c r="Z50" s="9">
        <f t="shared" ca="1" si="48"/>
        <v>0.2</v>
      </c>
      <c r="AA50" s="9">
        <f t="shared" ca="1" si="48"/>
        <v>0.2</v>
      </c>
      <c r="AB50" s="9">
        <f t="shared" ca="1" si="48"/>
        <v>0.2</v>
      </c>
      <c r="AC50" s="9">
        <f t="shared" ca="1" si="48"/>
        <v>0.2</v>
      </c>
      <c r="AD50" s="9">
        <f t="shared" ca="1" si="48"/>
        <v>0.2</v>
      </c>
      <c r="AE50" s="9">
        <f t="shared" ca="1" si="48"/>
        <v>100.2</v>
      </c>
      <c r="AF50" s="9">
        <f t="shared" ca="1" si="49"/>
        <v>0</v>
      </c>
      <c r="AG50" s="9">
        <f t="shared" ca="1" si="49"/>
        <v>0</v>
      </c>
      <c r="AH50" s="9">
        <f t="shared" ca="1" si="49"/>
        <v>0</v>
      </c>
      <c r="AI50" s="9">
        <f t="shared" ca="1" si="49"/>
        <v>0</v>
      </c>
      <c r="AJ50" s="9">
        <f t="shared" ca="1" si="49"/>
        <v>0</v>
      </c>
      <c r="AK50" s="9">
        <f t="shared" ca="1" si="49"/>
        <v>0</v>
      </c>
      <c r="AL50" s="9">
        <f t="shared" ca="1" si="49"/>
        <v>0</v>
      </c>
      <c r="AM50" s="9">
        <f t="shared" ca="1" si="49"/>
        <v>0</v>
      </c>
      <c r="AN50" s="9">
        <f t="shared" ca="1" si="49"/>
        <v>0</v>
      </c>
      <c r="AO50" s="9">
        <f t="shared" ca="1" si="49"/>
        <v>0</v>
      </c>
      <c r="AP50" s="9">
        <f t="shared" ca="1" si="50"/>
        <v>0</v>
      </c>
      <c r="AQ50" s="9">
        <f t="shared" ca="1" si="50"/>
        <v>0</v>
      </c>
      <c r="AR50" s="9">
        <f t="shared" ca="1" si="50"/>
        <v>0</v>
      </c>
      <c r="AS50" s="9">
        <f t="shared" ca="1" si="50"/>
        <v>0</v>
      </c>
      <c r="AT50" s="9">
        <f t="shared" ca="1" si="50"/>
        <v>0</v>
      </c>
      <c r="AU50" s="9">
        <f t="shared" ca="1" si="50"/>
        <v>0</v>
      </c>
      <c r="AV50" s="9">
        <f t="shared" ca="1" si="50"/>
        <v>0</v>
      </c>
      <c r="AW50" s="9">
        <f t="shared" ca="1" si="50"/>
        <v>0</v>
      </c>
      <c r="AX50" s="9">
        <f t="shared" ca="1" si="50"/>
        <v>0</v>
      </c>
      <c r="AY50" s="9">
        <f t="shared" ca="1" si="50"/>
        <v>0</v>
      </c>
      <c r="AZ50" s="9">
        <f t="shared" ca="1" si="51"/>
        <v>0</v>
      </c>
      <c r="BA50" s="9">
        <f t="shared" ca="1" si="51"/>
        <v>0</v>
      </c>
      <c r="BB50" s="9">
        <f t="shared" ca="1" si="51"/>
        <v>0</v>
      </c>
      <c r="BC50" s="9">
        <f t="shared" ca="1" si="51"/>
        <v>0</v>
      </c>
      <c r="BD50" s="9">
        <f t="shared" ca="1" si="51"/>
        <v>0</v>
      </c>
      <c r="BE50" s="9">
        <f t="shared" ca="1" si="51"/>
        <v>0</v>
      </c>
      <c r="BF50" s="9">
        <f t="shared" ca="1" si="51"/>
        <v>0</v>
      </c>
      <c r="BG50" s="9">
        <f t="shared" ca="1" si="51"/>
        <v>0</v>
      </c>
      <c r="BH50" s="9">
        <f t="shared" ca="1" si="51"/>
        <v>0</v>
      </c>
      <c r="BI50" s="9">
        <f t="shared" ca="1" si="51"/>
        <v>0</v>
      </c>
      <c r="BJ50" s="9">
        <f t="shared" ca="1" si="52"/>
        <v>0</v>
      </c>
      <c r="BK50" s="9">
        <f t="shared" ca="1" si="52"/>
        <v>0</v>
      </c>
      <c r="BL50" s="9">
        <f t="shared" ca="1" si="52"/>
        <v>0</v>
      </c>
      <c r="BM50" s="9">
        <f t="shared" ca="1" si="52"/>
        <v>0</v>
      </c>
      <c r="BN50" s="9">
        <f t="shared" ca="1" si="52"/>
        <v>0</v>
      </c>
      <c r="BO50" s="9">
        <f t="shared" ca="1" si="52"/>
        <v>0</v>
      </c>
      <c r="BP50" s="9">
        <f t="shared" ca="1" si="52"/>
        <v>0</v>
      </c>
      <c r="BQ50" s="9">
        <f t="shared" ca="1" si="52"/>
        <v>0</v>
      </c>
      <c r="BR50" s="9">
        <f t="shared" ca="1" si="52"/>
        <v>0</v>
      </c>
      <c r="BS50" s="9">
        <f t="shared" ca="1" si="52"/>
        <v>0</v>
      </c>
      <c r="BT50" s="9">
        <f t="shared" ca="1" si="53"/>
        <v>0</v>
      </c>
      <c r="BU50" s="9">
        <f t="shared" ca="1" si="53"/>
        <v>0</v>
      </c>
      <c r="BV50" s="9">
        <f t="shared" ca="1" si="53"/>
        <v>0</v>
      </c>
      <c r="BW50" s="9">
        <f t="shared" ca="1" si="53"/>
        <v>0</v>
      </c>
      <c r="BX50" s="9">
        <f t="shared" ca="1" si="53"/>
        <v>0</v>
      </c>
      <c r="BY50" s="9">
        <f t="shared" ca="1" si="53"/>
        <v>0</v>
      </c>
      <c r="BZ50" s="9">
        <f t="shared" ca="1" si="53"/>
        <v>0</v>
      </c>
      <c r="CA50" s="9">
        <f t="shared" ca="1" si="53"/>
        <v>0</v>
      </c>
      <c r="CB50" s="9">
        <f t="shared" ca="1" si="53"/>
        <v>0</v>
      </c>
      <c r="CC50" s="9">
        <f t="shared" ca="1" si="53"/>
        <v>0</v>
      </c>
      <c r="CD50" s="9">
        <f t="shared" ca="1" si="54"/>
        <v>0</v>
      </c>
      <c r="CE50" s="9">
        <f t="shared" ca="1" si="54"/>
        <v>0</v>
      </c>
      <c r="CF50" s="9">
        <f t="shared" ca="1" si="54"/>
        <v>0</v>
      </c>
      <c r="CG50" s="9">
        <f t="shared" ca="1" si="54"/>
        <v>0</v>
      </c>
      <c r="CH50" s="9">
        <f t="shared" ca="1" si="54"/>
        <v>0</v>
      </c>
      <c r="CI50" s="9">
        <f t="shared" ca="1" si="54"/>
        <v>0</v>
      </c>
      <c r="CJ50" s="9">
        <f t="shared" ca="1" si="54"/>
        <v>0</v>
      </c>
      <c r="CK50" s="30">
        <f t="shared" ca="1" si="54"/>
        <v>0</v>
      </c>
      <c r="CN50" s="9">
        <v>23.5</v>
      </c>
      <c r="CO50" s="17">
        <v>0.05</v>
      </c>
      <c r="CP50" s="17">
        <v>-7.4217736955084984E-3</v>
      </c>
      <c r="CQ50" s="17">
        <v>-8.2249511440314112E-3</v>
      </c>
      <c r="CR50" s="17">
        <v>1.0647026787212616E-4</v>
      </c>
      <c r="CS50" s="17">
        <f t="shared" si="15"/>
        <v>3.4459745428332217E-2</v>
      </c>
      <c r="EC50" s="9">
        <f ca="1"/>
        <v>2.881499999996814E-2</v>
      </c>
      <c r="ED50" s="9">
        <f ca="1"/>
        <v>2.8679999999969941E-2</v>
      </c>
      <c r="EE50" s="9">
        <f ca="1"/>
        <v>2.8949999999966343E-2</v>
      </c>
    </row>
    <row r="51" spans="1:135" x14ac:dyDescent="0.45">
      <c r="A51" s="8">
        <f ca="1"/>
        <v>12.5</v>
      </c>
      <c r="B51" s="58">
        <f ca="1"/>
        <v>4.0000000000000001E-3</v>
      </c>
      <c r="C51" s="18">
        <f ca="1"/>
        <v>76.502499999999998</v>
      </c>
      <c r="D51" s="18">
        <f t="shared" ca="1" si="40"/>
        <v>77.836267317130577</v>
      </c>
      <c r="E51" s="18">
        <f t="shared" ca="1" si="41"/>
        <v>1.3337673171305795</v>
      </c>
      <c r="F51" s="18">
        <f t="shared" ca="1" si="42"/>
        <v>1.3337673171305795</v>
      </c>
      <c r="G51" s="19">
        <f t="shared" ca="1" si="43"/>
        <v>1.5394702787180359E-2</v>
      </c>
      <c r="H51" s="19">
        <f ca="1">IFERROR(IRR((J51,L51:CK51),0),0)</f>
        <v>1.4652219953803725E-2</v>
      </c>
      <c r="I51" s="55">
        <f t="shared" ca="1" si="44"/>
        <v>-7.4248283337663423E-4</v>
      </c>
      <c r="J51" s="18">
        <f t="shared" ca="1" si="45"/>
        <v>-77.836267317130577</v>
      </c>
      <c r="K51" s="29">
        <f t="shared" ca="1" si="46"/>
        <v>-76.502499999999998</v>
      </c>
      <c r="L51" s="9">
        <f t="shared" ca="1" si="47"/>
        <v>0.4</v>
      </c>
      <c r="M51" s="9">
        <f t="shared" ca="1" si="47"/>
        <v>0.4</v>
      </c>
      <c r="N51" s="9">
        <f t="shared" ca="1" si="47"/>
        <v>0.4</v>
      </c>
      <c r="O51" s="9">
        <f t="shared" ca="1" si="47"/>
        <v>0.4</v>
      </c>
      <c r="P51" s="9">
        <f t="shared" ca="1" si="47"/>
        <v>0.4</v>
      </c>
      <c r="Q51" s="9">
        <f t="shared" ca="1" si="47"/>
        <v>0.4</v>
      </c>
      <c r="R51" s="9">
        <f t="shared" ca="1" si="47"/>
        <v>0.4</v>
      </c>
      <c r="S51" s="9">
        <f t="shared" ca="1" si="47"/>
        <v>0.4</v>
      </c>
      <c r="T51" s="9">
        <f t="shared" ca="1" si="47"/>
        <v>0.4</v>
      </c>
      <c r="U51" s="9">
        <f t="shared" ca="1" si="47"/>
        <v>0.4</v>
      </c>
      <c r="V51" s="9">
        <f t="shared" ca="1" si="48"/>
        <v>0.4</v>
      </c>
      <c r="W51" s="9">
        <f t="shared" ca="1" si="48"/>
        <v>0.4</v>
      </c>
      <c r="X51" s="9">
        <f t="shared" ca="1" si="48"/>
        <v>0.4</v>
      </c>
      <c r="Y51" s="9">
        <f t="shared" ca="1" si="48"/>
        <v>0.4</v>
      </c>
      <c r="Z51" s="9">
        <f t="shared" ca="1" si="48"/>
        <v>0.4</v>
      </c>
      <c r="AA51" s="9">
        <f t="shared" ca="1" si="48"/>
        <v>0.4</v>
      </c>
      <c r="AB51" s="9">
        <f t="shared" ca="1" si="48"/>
        <v>0.4</v>
      </c>
      <c r="AC51" s="9">
        <f t="shared" ca="1" si="48"/>
        <v>0.4</v>
      </c>
      <c r="AD51" s="9">
        <f t="shared" ca="1" si="48"/>
        <v>0.4</v>
      </c>
      <c r="AE51" s="9">
        <f t="shared" ca="1" si="48"/>
        <v>0.4</v>
      </c>
      <c r="AF51" s="9">
        <f t="shared" ca="1" si="49"/>
        <v>0.4</v>
      </c>
      <c r="AG51" s="9">
        <f t="shared" ca="1" si="49"/>
        <v>0.4</v>
      </c>
      <c r="AH51" s="9">
        <f t="shared" ca="1" si="49"/>
        <v>0.4</v>
      </c>
      <c r="AI51" s="9">
        <f t="shared" ca="1" si="49"/>
        <v>0.4</v>
      </c>
      <c r="AJ51" s="9">
        <f t="shared" ca="1" si="49"/>
        <v>100.4</v>
      </c>
      <c r="AK51" s="9">
        <f t="shared" ca="1" si="49"/>
        <v>0</v>
      </c>
      <c r="AL51" s="9">
        <f t="shared" ca="1" si="49"/>
        <v>0</v>
      </c>
      <c r="AM51" s="9">
        <f t="shared" ca="1" si="49"/>
        <v>0</v>
      </c>
      <c r="AN51" s="9">
        <f t="shared" ca="1" si="49"/>
        <v>0</v>
      </c>
      <c r="AO51" s="9">
        <f t="shared" ca="1" si="49"/>
        <v>0</v>
      </c>
      <c r="AP51" s="9">
        <f t="shared" ca="1" si="50"/>
        <v>0</v>
      </c>
      <c r="AQ51" s="9">
        <f t="shared" ca="1" si="50"/>
        <v>0</v>
      </c>
      <c r="AR51" s="9">
        <f t="shared" ca="1" si="50"/>
        <v>0</v>
      </c>
      <c r="AS51" s="9">
        <f t="shared" ca="1" si="50"/>
        <v>0</v>
      </c>
      <c r="AT51" s="9">
        <f t="shared" ca="1" si="50"/>
        <v>0</v>
      </c>
      <c r="AU51" s="9">
        <f t="shared" ca="1" si="50"/>
        <v>0</v>
      </c>
      <c r="AV51" s="9">
        <f t="shared" ca="1" si="50"/>
        <v>0</v>
      </c>
      <c r="AW51" s="9">
        <f t="shared" ca="1" si="50"/>
        <v>0</v>
      </c>
      <c r="AX51" s="9">
        <f t="shared" ca="1" si="50"/>
        <v>0</v>
      </c>
      <c r="AY51" s="9">
        <f t="shared" ca="1" si="50"/>
        <v>0</v>
      </c>
      <c r="AZ51" s="9">
        <f t="shared" ca="1" si="51"/>
        <v>0</v>
      </c>
      <c r="BA51" s="9">
        <f t="shared" ca="1" si="51"/>
        <v>0</v>
      </c>
      <c r="BB51" s="9">
        <f t="shared" ca="1" si="51"/>
        <v>0</v>
      </c>
      <c r="BC51" s="9">
        <f t="shared" ca="1" si="51"/>
        <v>0</v>
      </c>
      <c r="BD51" s="9">
        <f t="shared" ca="1" si="51"/>
        <v>0</v>
      </c>
      <c r="BE51" s="9">
        <f t="shared" ca="1" si="51"/>
        <v>0</v>
      </c>
      <c r="BF51" s="9">
        <f t="shared" ca="1" si="51"/>
        <v>0</v>
      </c>
      <c r="BG51" s="9">
        <f t="shared" ca="1" si="51"/>
        <v>0</v>
      </c>
      <c r="BH51" s="9">
        <f t="shared" ca="1" si="51"/>
        <v>0</v>
      </c>
      <c r="BI51" s="9">
        <f t="shared" ca="1" si="51"/>
        <v>0</v>
      </c>
      <c r="BJ51" s="9">
        <f t="shared" ca="1" si="52"/>
        <v>0</v>
      </c>
      <c r="BK51" s="9">
        <f t="shared" ca="1" si="52"/>
        <v>0</v>
      </c>
      <c r="BL51" s="9">
        <f t="shared" ca="1" si="52"/>
        <v>0</v>
      </c>
      <c r="BM51" s="9">
        <f t="shared" ca="1" si="52"/>
        <v>0</v>
      </c>
      <c r="BN51" s="9">
        <f t="shared" ca="1" si="52"/>
        <v>0</v>
      </c>
      <c r="BO51" s="9">
        <f t="shared" ca="1" si="52"/>
        <v>0</v>
      </c>
      <c r="BP51" s="9">
        <f t="shared" ca="1" si="52"/>
        <v>0</v>
      </c>
      <c r="BQ51" s="9">
        <f t="shared" ca="1" si="52"/>
        <v>0</v>
      </c>
      <c r="BR51" s="9">
        <f t="shared" ca="1" si="52"/>
        <v>0</v>
      </c>
      <c r="BS51" s="9">
        <f t="shared" ca="1" si="52"/>
        <v>0</v>
      </c>
      <c r="BT51" s="9">
        <f t="shared" ca="1" si="53"/>
        <v>0</v>
      </c>
      <c r="BU51" s="9">
        <f t="shared" ca="1" si="53"/>
        <v>0</v>
      </c>
      <c r="BV51" s="9">
        <f t="shared" ca="1" si="53"/>
        <v>0</v>
      </c>
      <c r="BW51" s="9">
        <f t="shared" ca="1" si="53"/>
        <v>0</v>
      </c>
      <c r="BX51" s="9">
        <f t="shared" ca="1" si="53"/>
        <v>0</v>
      </c>
      <c r="BY51" s="9">
        <f t="shared" ca="1" si="53"/>
        <v>0</v>
      </c>
      <c r="BZ51" s="9">
        <f t="shared" ca="1" si="53"/>
        <v>0</v>
      </c>
      <c r="CA51" s="9">
        <f t="shared" ca="1" si="53"/>
        <v>0</v>
      </c>
      <c r="CB51" s="9">
        <f t="shared" ca="1" si="53"/>
        <v>0</v>
      </c>
      <c r="CC51" s="9">
        <f t="shared" ca="1" si="53"/>
        <v>0</v>
      </c>
      <c r="CD51" s="9">
        <f t="shared" ca="1" si="54"/>
        <v>0</v>
      </c>
      <c r="CE51" s="9">
        <f t="shared" ca="1" si="54"/>
        <v>0</v>
      </c>
      <c r="CF51" s="9">
        <f t="shared" ca="1" si="54"/>
        <v>0</v>
      </c>
      <c r="CG51" s="9">
        <f t="shared" ca="1" si="54"/>
        <v>0</v>
      </c>
      <c r="CH51" s="9">
        <f t="shared" ca="1" si="54"/>
        <v>0</v>
      </c>
      <c r="CI51" s="9">
        <f t="shared" ca="1" si="54"/>
        <v>0</v>
      </c>
      <c r="CJ51" s="9">
        <f t="shared" ca="1" si="54"/>
        <v>0</v>
      </c>
      <c r="CK51" s="30">
        <f t="shared" ca="1" si="54"/>
        <v>0</v>
      </c>
      <c r="CN51" s="9">
        <v>24</v>
      </c>
      <c r="CO51" s="17">
        <v>0.05</v>
      </c>
      <c r="CP51" s="17">
        <v>-7.2705726240127689E-3</v>
      </c>
      <c r="CQ51" s="17">
        <v>-8.0749844135166223E-3</v>
      </c>
      <c r="CR51" s="17">
        <v>1.0425213729146349E-4</v>
      </c>
      <c r="CS51" s="17">
        <f t="shared" si="15"/>
        <v>3.4758695099762073E-2</v>
      </c>
      <c r="EC51" s="9">
        <f ca="1"/>
        <v>2.9534999999916014E-2</v>
      </c>
      <c r="ED51" s="9">
        <f ca="1"/>
        <v>2.9409999999920132E-2</v>
      </c>
      <c r="EE51" s="9">
        <f ca="1"/>
        <v>2.9659999999911889E-2</v>
      </c>
    </row>
    <row r="52" spans="1:135" x14ac:dyDescent="0.45">
      <c r="A52" s="8">
        <f ca="1"/>
        <v>13</v>
      </c>
      <c r="B52" s="58">
        <f ca="1"/>
        <v>3.0000000000000001E-3</v>
      </c>
      <c r="C52" s="18">
        <f ca="1"/>
        <v>74.697000000000003</v>
      </c>
      <c r="D52" s="18">
        <f t="shared" ca="1" si="40"/>
        <v>74.328266109513365</v>
      </c>
      <c r="E52" s="18">
        <f t="shared" ca="1" si="41"/>
        <v>-0.36873389048663796</v>
      </c>
      <c r="F52" s="18">
        <f t="shared" ca="1" si="42"/>
        <v>0.36873389048663796</v>
      </c>
      <c r="G52" s="19">
        <f t="shared" ca="1" si="43"/>
        <v>1.4794254292094022E-2</v>
      </c>
      <c r="H52" s="19">
        <f ca="1">IFERROR(IRR((J52,L52:CK52),0),0)</f>
        <v>1.4996359426170391E-2</v>
      </c>
      <c r="I52" s="55">
        <f t="shared" ca="1" si="44"/>
        <v>2.021051340763691E-4</v>
      </c>
      <c r="J52" s="18">
        <f t="shared" ca="1" si="45"/>
        <v>-74.328266109513365</v>
      </c>
      <c r="K52" s="29">
        <f t="shared" ca="1" si="46"/>
        <v>-74.697000000000003</v>
      </c>
      <c r="L52" s="9">
        <f t="shared" ca="1" si="47"/>
        <v>0.3</v>
      </c>
      <c r="M52" s="9">
        <f t="shared" ca="1" si="47"/>
        <v>0.3</v>
      </c>
      <c r="N52" s="9">
        <f t="shared" ca="1" si="47"/>
        <v>0.3</v>
      </c>
      <c r="O52" s="9">
        <f t="shared" ca="1" si="47"/>
        <v>0.3</v>
      </c>
      <c r="P52" s="9">
        <f t="shared" ca="1" si="47"/>
        <v>0.3</v>
      </c>
      <c r="Q52" s="9">
        <f t="shared" ca="1" si="47"/>
        <v>0.3</v>
      </c>
      <c r="R52" s="9">
        <f t="shared" ca="1" si="47"/>
        <v>0.3</v>
      </c>
      <c r="S52" s="9">
        <f t="shared" ca="1" si="47"/>
        <v>0.3</v>
      </c>
      <c r="T52" s="9">
        <f t="shared" ca="1" si="47"/>
        <v>0.3</v>
      </c>
      <c r="U52" s="9">
        <f t="shared" ca="1" si="47"/>
        <v>0.3</v>
      </c>
      <c r="V52" s="9">
        <f t="shared" ca="1" si="48"/>
        <v>0.3</v>
      </c>
      <c r="W52" s="9">
        <f t="shared" ca="1" si="48"/>
        <v>0.3</v>
      </c>
      <c r="X52" s="9">
        <f t="shared" ca="1" si="48"/>
        <v>0.3</v>
      </c>
      <c r="Y52" s="9">
        <f t="shared" ca="1" si="48"/>
        <v>0.3</v>
      </c>
      <c r="Z52" s="9">
        <f t="shared" ca="1" si="48"/>
        <v>0.3</v>
      </c>
      <c r="AA52" s="9">
        <f t="shared" ca="1" si="48"/>
        <v>0.3</v>
      </c>
      <c r="AB52" s="9">
        <f t="shared" ca="1" si="48"/>
        <v>0.3</v>
      </c>
      <c r="AC52" s="9">
        <f t="shared" ca="1" si="48"/>
        <v>0.3</v>
      </c>
      <c r="AD52" s="9">
        <f t="shared" ca="1" si="48"/>
        <v>0.3</v>
      </c>
      <c r="AE52" s="9">
        <f t="shared" ca="1" si="48"/>
        <v>0.3</v>
      </c>
      <c r="AF52" s="9">
        <f t="shared" ca="1" si="49"/>
        <v>0.3</v>
      </c>
      <c r="AG52" s="9">
        <f t="shared" ca="1" si="49"/>
        <v>0.3</v>
      </c>
      <c r="AH52" s="9">
        <f t="shared" ca="1" si="49"/>
        <v>0.3</v>
      </c>
      <c r="AI52" s="9">
        <f t="shared" ca="1" si="49"/>
        <v>0.3</v>
      </c>
      <c r="AJ52" s="9">
        <f t="shared" ca="1" si="49"/>
        <v>0.3</v>
      </c>
      <c r="AK52" s="9">
        <f t="shared" ca="1" si="49"/>
        <v>100.29999999999998</v>
      </c>
      <c r="AL52" s="9">
        <f t="shared" ca="1" si="49"/>
        <v>0</v>
      </c>
      <c r="AM52" s="9">
        <f t="shared" ca="1" si="49"/>
        <v>0</v>
      </c>
      <c r="AN52" s="9">
        <f t="shared" ca="1" si="49"/>
        <v>0</v>
      </c>
      <c r="AO52" s="9">
        <f t="shared" ca="1" si="49"/>
        <v>0</v>
      </c>
      <c r="AP52" s="9">
        <f t="shared" ca="1" si="50"/>
        <v>0</v>
      </c>
      <c r="AQ52" s="9">
        <f t="shared" ca="1" si="50"/>
        <v>0</v>
      </c>
      <c r="AR52" s="9">
        <f t="shared" ca="1" si="50"/>
        <v>0</v>
      </c>
      <c r="AS52" s="9">
        <f t="shared" ca="1" si="50"/>
        <v>0</v>
      </c>
      <c r="AT52" s="9">
        <f t="shared" ca="1" si="50"/>
        <v>0</v>
      </c>
      <c r="AU52" s="9">
        <f t="shared" ca="1" si="50"/>
        <v>0</v>
      </c>
      <c r="AV52" s="9">
        <f t="shared" ca="1" si="50"/>
        <v>0</v>
      </c>
      <c r="AW52" s="9">
        <f t="shared" ca="1" si="50"/>
        <v>0</v>
      </c>
      <c r="AX52" s="9">
        <f t="shared" ca="1" si="50"/>
        <v>0</v>
      </c>
      <c r="AY52" s="9">
        <f t="shared" ca="1" si="50"/>
        <v>0</v>
      </c>
      <c r="AZ52" s="9">
        <f t="shared" ca="1" si="51"/>
        <v>0</v>
      </c>
      <c r="BA52" s="9">
        <f t="shared" ca="1" si="51"/>
        <v>0</v>
      </c>
      <c r="BB52" s="9">
        <f t="shared" ca="1" si="51"/>
        <v>0</v>
      </c>
      <c r="BC52" s="9">
        <f t="shared" ca="1" si="51"/>
        <v>0</v>
      </c>
      <c r="BD52" s="9">
        <f t="shared" ca="1" si="51"/>
        <v>0</v>
      </c>
      <c r="BE52" s="9">
        <f t="shared" ca="1" si="51"/>
        <v>0</v>
      </c>
      <c r="BF52" s="9">
        <f t="shared" ca="1" si="51"/>
        <v>0</v>
      </c>
      <c r="BG52" s="9">
        <f t="shared" ca="1" si="51"/>
        <v>0</v>
      </c>
      <c r="BH52" s="9">
        <f t="shared" ca="1" si="51"/>
        <v>0</v>
      </c>
      <c r="BI52" s="9">
        <f t="shared" ca="1" si="51"/>
        <v>0</v>
      </c>
      <c r="BJ52" s="9">
        <f t="shared" ca="1" si="52"/>
        <v>0</v>
      </c>
      <c r="BK52" s="9">
        <f t="shared" ca="1" si="52"/>
        <v>0</v>
      </c>
      <c r="BL52" s="9">
        <f t="shared" ca="1" si="52"/>
        <v>0</v>
      </c>
      <c r="BM52" s="9">
        <f t="shared" ca="1" si="52"/>
        <v>0</v>
      </c>
      <c r="BN52" s="9">
        <f t="shared" ca="1" si="52"/>
        <v>0</v>
      </c>
      <c r="BO52" s="9">
        <f t="shared" ca="1" si="52"/>
        <v>0</v>
      </c>
      <c r="BP52" s="9">
        <f t="shared" ca="1" si="52"/>
        <v>0</v>
      </c>
      <c r="BQ52" s="9">
        <f t="shared" ca="1" si="52"/>
        <v>0</v>
      </c>
      <c r="BR52" s="9">
        <f t="shared" ca="1" si="52"/>
        <v>0</v>
      </c>
      <c r="BS52" s="9">
        <f t="shared" ca="1" si="52"/>
        <v>0</v>
      </c>
      <c r="BT52" s="9">
        <f t="shared" ca="1" si="53"/>
        <v>0</v>
      </c>
      <c r="BU52" s="9">
        <f t="shared" ca="1" si="53"/>
        <v>0</v>
      </c>
      <c r="BV52" s="9">
        <f t="shared" ca="1" si="53"/>
        <v>0</v>
      </c>
      <c r="BW52" s="9">
        <f t="shared" ca="1" si="53"/>
        <v>0</v>
      </c>
      <c r="BX52" s="9">
        <f t="shared" ca="1" si="53"/>
        <v>0</v>
      </c>
      <c r="BY52" s="9">
        <f t="shared" ca="1" si="53"/>
        <v>0</v>
      </c>
      <c r="BZ52" s="9">
        <f t="shared" ca="1" si="53"/>
        <v>0</v>
      </c>
      <c r="CA52" s="9">
        <f t="shared" ca="1" si="53"/>
        <v>0</v>
      </c>
      <c r="CB52" s="9">
        <f t="shared" ca="1" si="53"/>
        <v>0</v>
      </c>
      <c r="CC52" s="9">
        <f t="shared" ca="1" si="53"/>
        <v>0</v>
      </c>
      <c r="CD52" s="9">
        <f t="shared" ca="1" si="54"/>
        <v>0</v>
      </c>
      <c r="CE52" s="9">
        <f t="shared" ca="1" si="54"/>
        <v>0</v>
      </c>
      <c r="CF52" s="9">
        <f t="shared" ca="1" si="54"/>
        <v>0</v>
      </c>
      <c r="CG52" s="9">
        <f t="shared" ca="1" si="54"/>
        <v>0</v>
      </c>
      <c r="CH52" s="9">
        <f t="shared" ca="1" si="54"/>
        <v>0</v>
      </c>
      <c r="CI52" s="9">
        <f t="shared" ca="1" si="54"/>
        <v>0</v>
      </c>
      <c r="CJ52" s="9">
        <f t="shared" ca="1" si="54"/>
        <v>0</v>
      </c>
      <c r="CK52" s="30">
        <f t="shared" ca="1" si="54"/>
        <v>0</v>
      </c>
      <c r="CN52" s="9">
        <v>24.5</v>
      </c>
      <c r="CO52" s="17">
        <v>0.05</v>
      </c>
      <c r="CP52" s="17">
        <v>-7.1251759954933267E-3</v>
      </c>
      <c r="CQ52" s="17">
        <v>-7.9292358891435103E-3</v>
      </c>
      <c r="CR52" s="17">
        <v>1.0212454265286546E-4</v>
      </c>
      <c r="CS52" s="17">
        <f t="shared" si="15"/>
        <v>3.5047712658016032E-2</v>
      </c>
      <c r="EC52" s="9">
        <f ca="1"/>
        <v>2.9979999999852493E-2</v>
      </c>
      <c r="ED52" s="9">
        <f ca="1"/>
        <v>2.9849999999859871E-2</v>
      </c>
      <c r="EE52" s="9">
        <f ca="1"/>
        <v>3.0109999999845115E-2</v>
      </c>
    </row>
    <row r="53" spans="1:135" x14ac:dyDescent="0.45">
      <c r="A53" s="8">
        <f ca="1"/>
        <v>13</v>
      </c>
      <c r="B53" s="58">
        <f ca="1"/>
        <v>3.0000000000000001E-3</v>
      </c>
      <c r="C53" s="18">
        <f ca="1"/>
        <v>74.035499999999999</v>
      </c>
      <c r="D53" s="18">
        <f t="shared" ca="1" si="40"/>
        <v>74.328266109513365</v>
      </c>
      <c r="E53" s="18">
        <f t="shared" ca="1" si="41"/>
        <v>0.29276610951336579</v>
      </c>
      <c r="F53" s="18">
        <f t="shared" ca="1" si="42"/>
        <v>0.29276610951336579</v>
      </c>
      <c r="G53" s="19">
        <f t="shared" ca="1" si="43"/>
        <v>1.5157592275728549E-2</v>
      </c>
      <c r="H53" s="19">
        <f ca="1">IFERROR(IRR((J53,L53:CK53),0),0)</f>
        <v>1.4996359426170391E-2</v>
      </c>
      <c r="I53" s="55">
        <f t="shared" ca="1" si="44"/>
        <v>-1.612328495581572E-4</v>
      </c>
      <c r="J53" s="18">
        <f t="shared" ca="1" si="45"/>
        <v>-74.328266109513365</v>
      </c>
      <c r="K53" s="29">
        <f t="shared" ca="1" si="46"/>
        <v>-74.035499999999999</v>
      </c>
      <c r="L53" s="9">
        <f t="shared" ref="L53:U66" ca="1" si="55">$B53*100*(L$2&lt;$A53)+100*(1+$B53)*(L$2=$A53)</f>
        <v>0.3</v>
      </c>
      <c r="M53" s="9">
        <f t="shared" ca="1" si="55"/>
        <v>0.3</v>
      </c>
      <c r="N53" s="9">
        <f t="shared" ca="1" si="55"/>
        <v>0.3</v>
      </c>
      <c r="O53" s="9">
        <f t="shared" ca="1" si="55"/>
        <v>0.3</v>
      </c>
      <c r="P53" s="9">
        <f t="shared" ca="1" si="55"/>
        <v>0.3</v>
      </c>
      <c r="Q53" s="9">
        <f t="shared" ca="1" si="55"/>
        <v>0.3</v>
      </c>
      <c r="R53" s="9">
        <f t="shared" ca="1" si="55"/>
        <v>0.3</v>
      </c>
      <c r="S53" s="9">
        <f t="shared" ca="1" si="55"/>
        <v>0.3</v>
      </c>
      <c r="T53" s="9">
        <f t="shared" ca="1" si="55"/>
        <v>0.3</v>
      </c>
      <c r="U53" s="9">
        <f t="shared" ca="1" si="55"/>
        <v>0.3</v>
      </c>
      <c r="V53" s="9">
        <f t="shared" ref="V53:AE66" ca="1" si="56">$B53*100*(V$2&lt;$A53)+100*(1+$B53)*(V$2=$A53)</f>
        <v>0.3</v>
      </c>
      <c r="W53" s="9">
        <f t="shared" ca="1" si="56"/>
        <v>0.3</v>
      </c>
      <c r="X53" s="9">
        <f t="shared" ca="1" si="56"/>
        <v>0.3</v>
      </c>
      <c r="Y53" s="9">
        <f t="shared" ca="1" si="56"/>
        <v>0.3</v>
      </c>
      <c r="Z53" s="9">
        <f t="shared" ca="1" si="56"/>
        <v>0.3</v>
      </c>
      <c r="AA53" s="9">
        <f t="shared" ca="1" si="56"/>
        <v>0.3</v>
      </c>
      <c r="AB53" s="9">
        <f t="shared" ca="1" si="56"/>
        <v>0.3</v>
      </c>
      <c r="AC53" s="9">
        <f t="shared" ca="1" si="56"/>
        <v>0.3</v>
      </c>
      <c r="AD53" s="9">
        <f t="shared" ca="1" si="56"/>
        <v>0.3</v>
      </c>
      <c r="AE53" s="9">
        <f t="shared" ca="1" si="56"/>
        <v>0.3</v>
      </c>
      <c r="AF53" s="9">
        <f t="shared" ref="AF53:AO66" ca="1" si="57">$B53*100*(AF$2&lt;$A53)+100*(1+$B53)*(AF$2=$A53)</f>
        <v>0.3</v>
      </c>
      <c r="AG53" s="9">
        <f t="shared" ca="1" si="57"/>
        <v>0.3</v>
      </c>
      <c r="AH53" s="9">
        <f t="shared" ca="1" si="57"/>
        <v>0.3</v>
      </c>
      <c r="AI53" s="9">
        <f t="shared" ca="1" si="57"/>
        <v>0.3</v>
      </c>
      <c r="AJ53" s="9">
        <f t="shared" ca="1" si="57"/>
        <v>0.3</v>
      </c>
      <c r="AK53" s="9">
        <f t="shared" ca="1" si="57"/>
        <v>100.29999999999998</v>
      </c>
      <c r="AL53" s="9">
        <f t="shared" ca="1" si="57"/>
        <v>0</v>
      </c>
      <c r="AM53" s="9">
        <f t="shared" ca="1" si="57"/>
        <v>0</v>
      </c>
      <c r="AN53" s="9">
        <f t="shared" ca="1" si="57"/>
        <v>0</v>
      </c>
      <c r="AO53" s="9">
        <f t="shared" ca="1" si="57"/>
        <v>0</v>
      </c>
      <c r="AP53" s="9">
        <f t="shared" ref="AP53:AY66" ca="1" si="58">$B53*100*(AP$2&lt;$A53)+100*(1+$B53)*(AP$2=$A53)</f>
        <v>0</v>
      </c>
      <c r="AQ53" s="9">
        <f t="shared" ca="1" si="58"/>
        <v>0</v>
      </c>
      <c r="AR53" s="9">
        <f t="shared" ca="1" si="58"/>
        <v>0</v>
      </c>
      <c r="AS53" s="9">
        <f t="shared" ca="1" si="58"/>
        <v>0</v>
      </c>
      <c r="AT53" s="9">
        <f t="shared" ca="1" si="58"/>
        <v>0</v>
      </c>
      <c r="AU53" s="9">
        <f t="shared" ca="1" si="58"/>
        <v>0</v>
      </c>
      <c r="AV53" s="9">
        <f t="shared" ca="1" si="58"/>
        <v>0</v>
      </c>
      <c r="AW53" s="9">
        <f t="shared" ca="1" si="58"/>
        <v>0</v>
      </c>
      <c r="AX53" s="9">
        <f t="shared" ca="1" si="58"/>
        <v>0</v>
      </c>
      <c r="AY53" s="9">
        <f t="shared" ca="1" si="58"/>
        <v>0</v>
      </c>
      <c r="AZ53" s="9">
        <f t="shared" ref="AZ53:BI66" ca="1" si="59">$B53*100*(AZ$2&lt;$A53)+100*(1+$B53)*(AZ$2=$A53)</f>
        <v>0</v>
      </c>
      <c r="BA53" s="9">
        <f t="shared" ca="1" si="59"/>
        <v>0</v>
      </c>
      <c r="BB53" s="9">
        <f t="shared" ca="1" si="59"/>
        <v>0</v>
      </c>
      <c r="BC53" s="9">
        <f t="shared" ca="1" si="59"/>
        <v>0</v>
      </c>
      <c r="BD53" s="9">
        <f t="shared" ca="1" si="59"/>
        <v>0</v>
      </c>
      <c r="BE53" s="9">
        <f t="shared" ca="1" si="59"/>
        <v>0</v>
      </c>
      <c r="BF53" s="9">
        <f t="shared" ca="1" si="59"/>
        <v>0</v>
      </c>
      <c r="BG53" s="9">
        <f t="shared" ca="1" si="59"/>
        <v>0</v>
      </c>
      <c r="BH53" s="9">
        <f t="shared" ca="1" si="59"/>
        <v>0</v>
      </c>
      <c r="BI53" s="9">
        <f t="shared" ca="1" si="59"/>
        <v>0</v>
      </c>
      <c r="BJ53" s="9">
        <f t="shared" ref="BJ53:BS66" ca="1" si="60">$B53*100*(BJ$2&lt;$A53)+100*(1+$B53)*(BJ$2=$A53)</f>
        <v>0</v>
      </c>
      <c r="BK53" s="9">
        <f t="shared" ca="1" si="60"/>
        <v>0</v>
      </c>
      <c r="BL53" s="9">
        <f t="shared" ca="1" si="60"/>
        <v>0</v>
      </c>
      <c r="BM53" s="9">
        <f t="shared" ca="1" si="60"/>
        <v>0</v>
      </c>
      <c r="BN53" s="9">
        <f t="shared" ca="1" si="60"/>
        <v>0</v>
      </c>
      <c r="BO53" s="9">
        <f t="shared" ca="1" si="60"/>
        <v>0</v>
      </c>
      <c r="BP53" s="9">
        <f t="shared" ca="1" si="60"/>
        <v>0</v>
      </c>
      <c r="BQ53" s="9">
        <f t="shared" ca="1" si="60"/>
        <v>0</v>
      </c>
      <c r="BR53" s="9">
        <f t="shared" ca="1" si="60"/>
        <v>0</v>
      </c>
      <c r="BS53" s="9">
        <f t="shared" ca="1" si="60"/>
        <v>0</v>
      </c>
      <c r="BT53" s="9">
        <f t="shared" ref="BT53:CC66" ca="1" si="61">$B53*100*(BT$2&lt;$A53)+100*(1+$B53)*(BT$2=$A53)</f>
        <v>0</v>
      </c>
      <c r="BU53" s="9">
        <f t="shared" ca="1" si="61"/>
        <v>0</v>
      </c>
      <c r="BV53" s="9">
        <f t="shared" ca="1" si="61"/>
        <v>0</v>
      </c>
      <c r="BW53" s="9">
        <f t="shared" ca="1" si="61"/>
        <v>0</v>
      </c>
      <c r="BX53" s="9">
        <f t="shared" ca="1" si="61"/>
        <v>0</v>
      </c>
      <c r="BY53" s="9">
        <f t="shared" ca="1" si="61"/>
        <v>0</v>
      </c>
      <c r="BZ53" s="9">
        <f t="shared" ca="1" si="61"/>
        <v>0</v>
      </c>
      <c r="CA53" s="9">
        <f t="shared" ca="1" si="61"/>
        <v>0</v>
      </c>
      <c r="CB53" s="9">
        <f t="shared" ca="1" si="61"/>
        <v>0</v>
      </c>
      <c r="CC53" s="9">
        <f t="shared" ca="1" si="61"/>
        <v>0</v>
      </c>
      <c r="CD53" s="9">
        <f t="shared" ref="CD53:CK66" ca="1" si="62">$B53*100*(CD$2&lt;$A53)+100*(1+$B53)*(CD$2=$A53)</f>
        <v>0</v>
      </c>
      <c r="CE53" s="9">
        <f t="shared" ca="1" si="62"/>
        <v>0</v>
      </c>
      <c r="CF53" s="9">
        <f t="shared" ca="1" si="62"/>
        <v>0</v>
      </c>
      <c r="CG53" s="9">
        <f t="shared" ca="1" si="62"/>
        <v>0</v>
      </c>
      <c r="CH53" s="9">
        <f t="shared" ca="1" si="62"/>
        <v>0</v>
      </c>
      <c r="CI53" s="9">
        <f t="shared" ca="1" si="62"/>
        <v>0</v>
      </c>
      <c r="CJ53" s="9">
        <f t="shared" ca="1" si="62"/>
        <v>0</v>
      </c>
      <c r="CK53" s="30">
        <f t="shared" ca="1" si="62"/>
        <v>0</v>
      </c>
      <c r="CN53" s="9">
        <v>25</v>
      </c>
      <c r="CO53" s="17">
        <v>0.05</v>
      </c>
      <c r="CP53" s="17">
        <v>-6.98527495788763E-3</v>
      </c>
      <c r="CQ53" s="17">
        <v>-7.7876146432547507E-3</v>
      </c>
      <c r="CR53" s="17">
        <v>1.0008205179980977E-4</v>
      </c>
      <c r="CS53" s="17">
        <f t="shared" si="15"/>
        <v>3.5327192450657428E-2</v>
      </c>
      <c r="EC53" s="9">
        <f ca="1"/>
        <v>3.0399999999827666E-2</v>
      </c>
      <c r="ED53" s="9">
        <f ca="1"/>
        <v>3.0269999999836164E-2</v>
      </c>
      <c r="EE53" s="9">
        <f ca="1"/>
        <v>3.0529999999819167E-2</v>
      </c>
    </row>
    <row r="54" spans="1:135" x14ac:dyDescent="0.45">
      <c r="A54" s="8">
        <f ca="1"/>
        <v>13.5</v>
      </c>
      <c r="B54" s="58">
        <f ca="1"/>
        <v>3.0000000000000001E-3</v>
      </c>
      <c r="C54" s="18">
        <f ca="1"/>
        <v>73.396000000000001</v>
      </c>
      <c r="D54" s="18">
        <f t="shared" ca="1" si="40"/>
        <v>72.980836539405729</v>
      </c>
      <c r="E54" s="18">
        <f t="shared" ca="1" si="41"/>
        <v>-0.41516346059427178</v>
      </c>
      <c r="F54" s="18">
        <f t="shared" ca="1" si="42"/>
        <v>0.41516346059427178</v>
      </c>
      <c r="G54" s="19">
        <f t="shared" ca="1" si="43"/>
        <v>1.5065934941609793E-2</v>
      </c>
      <c r="H54" s="19">
        <f ca="1">IFERROR(IRR((J54,L54:CK54),0),0)</f>
        <v>1.5289619103089569E-2</v>
      </c>
      <c r="I54" s="55">
        <f t="shared" ca="1" si="44"/>
        <v>2.2368416147977577E-4</v>
      </c>
      <c r="J54" s="18">
        <f t="shared" ca="1" si="45"/>
        <v>-72.980836539405729</v>
      </c>
      <c r="K54" s="29">
        <f t="shared" ca="1" si="46"/>
        <v>-73.396000000000001</v>
      </c>
      <c r="L54" s="9">
        <f t="shared" ca="1" si="55"/>
        <v>0.3</v>
      </c>
      <c r="M54" s="9">
        <f t="shared" ca="1" si="55"/>
        <v>0.3</v>
      </c>
      <c r="N54" s="9">
        <f t="shared" ca="1" si="55"/>
        <v>0.3</v>
      </c>
      <c r="O54" s="9">
        <f t="shared" ca="1" si="55"/>
        <v>0.3</v>
      </c>
      <c r="P54" s="9">
        <f t="shared" ca="1" si="55"/>
        <v>0.3</v>
      </c>
      <c r="Q54" s="9">
        <f t="shared" ca="1" si="55"/>
        <v>0.3</v>
      </c>
      <c r="R54" s="9">
        <f t="shared" ca="1" si="55"/>
        <v>0.3</v>
      </c>
      <c r="S54" s="9">
        <f t="shared" ca="1" si="55"/>
        <v>0.3</v>
      </c>
      <c r="T54" s="9">
        <f t="shared" ca="1" si="55"/>
        <v>0.3</v>
      </c>
      <c r="U54" s="9">
        <f t="shared" ca="1" si="55"/>
        <v>0.3</v>
      </c>
      <c r="V54" s="9">
        <f t="shared" ca="1" si="56"/>
        <v>0.3</v>
      </c>
      <c r="W54" s="9">
        <f t="shared" ca="1" si="56"/>
        <v>0.3</v>
      </c>
      <c r="X54" s="9">
        <f t="shared" ca="1" si="56"/>
        <v>0.3</v>
      </c>
      <c r="Y54" s="9">
        <f t="shared" ca="1" si="56"/>
        <v>0.3</v>
      </c>
      <c r="Z54" s="9">
        <f t="shared" ca="1" si="56"/>
        <v>0.3</v>
      </c>
      <c r="AA54" s="9">
        <f t="shared" ca="1" si="56"/>
        <v>0.3</v>
      </c>
      <c r="AB54" s="9">
        <f t="shared" ca="1" si="56"/>
        <v>0.3</v>
      </c>
      <c r="AC54" s="9">
        <f t="shared" ca="1" si="56"/>
        <v>0.3</v>
      </c>
      <c r="AD54" s="9">
        <f t="shared" ca="1" si="56"/>
        <v>0.3</v>
      </c>
      <c r="AE54" s="9">
        <f t="shared" ca="1" si="56"/>
        <v>0.3</v>
      </c>
      <c r="AF54" s="9">
        <f t="shared" ca="1" si="57"/>
        <v>0.3</v>
      </c>
      <c r="AG54" s="9">
        <f t="shared" ca="1" si="57"/>
        <v>0.3</v>
      </c>
      <c r="AH54" s="9">
        <f t="shared" ca="1" si="57"/>
        <v>0.3</v>
      </c>
      <c r="AI54" s="9">
        <f t="shared" ca="1" si="57"/>
        <v>0.3</v>
      </c>
      <c r="AJ54" s="9">
        <f t="shared" ca="1" si="57"/>
        <v>0.3</v>
      </c>
      <c r="AK54" s="9">
        <f t="shared" ca="1" si="57"/>
        <v>0.3</v>
      </c>
      <c r="AL54" s="9">
        <f t="shared" ca="1" si="57"/>
        <v>100.29999999999998</v>
      </c>
      <c r="AM54" s="9">
        <f t="shared" ca="1" si="57"/>
        <v>0</v>
      </c>
      <c r="AN54" s="9">
        <f t="shared" ca="1" si="57"/>
        <v>0</v>
      </c>
      <c r="AO54" s="9">
        <f t="shared" ca="1" si="57"/>
        <v>0</v>
      </c>
      <c r="AP54" s="9">
        <f t="shared" ca="1" si="58"/>
        <v>0</v>
      </c>
      <c r="AQ54" s="9">
        <f t="shared" ca="1" si="58"/>
        <v>0</v>
      </c>
      <c r="AR54" s="9">
        <f t="shared" ca="1" si="58"/>
        <v>0</v>
      </c>
      <c r="AS54" s="9">
        <f t="shared" ca="1" si="58"/>
        <v>0</v>
      </c>
      <c r="AT54" s="9">
        <f t="shared" ca="1" si="58"/>
        <v>0</v>
      </c>
      <c r="AU54" s="9">
        <f t="shared" ca="1" si="58"/>
        <v>0</v>
      </c>
      <c r="AV54" s="9">
        <f t="shared" ca="1" si="58"/>
        <v>0</v>
      </c>
      <c r="AW54" s="9">
        <f t="shared" ca="1" si="58"/>
        <v>0</v>
      </c>
      <c r="AX54" s="9">
        <f t="shared" ca="1" si="58"/>
        <v>0</v>
      </c>
      <c r="AY54" s="9">
        <f t="shared" ca="1" si="58"/>
        <v>0</v>
      </c>
      <c r="AZ54" s="9">
        <f t="shared" ca="1" si="59"/>
        <v>0</v>
      </c>
      <c r="BA54" s="9">
        <f t="shared" ca="1" si="59"/>
        <v>0</v>
      </c>
      <c r="BB54" s="9">
        <f t="shared" ca="1" si="59"/>
        <v>0</v>
      </c>
      <c r="BC54" s="9">
        <f t="shared" ca="1" si="59"/>
        <v>0</v>
      </c>
      <c r="BD54" s="9">
        <f t="shared" ca="1" si="59"/>
        <v>0</v>
      </c>
      <c r="BE54" s="9">
        <f t="shared" ca="1" si="59"/>
        <v>0</v>
      </c>
      <c r="BF54" s="9">
        <f t="shared" ca="1" si="59"/>
        <v>0</v>
      </c>
      <c r="BG54" s="9">
        <f t="shared" ca="1" si="59"/>
        <v>0</v>
      </c>
      <c r="BH54" s="9">
        <f t="shared" ca="1" si="59"/>
        <v>0</v>
      </c>
      <c r="BI54" s="9">
        <f t="shared" ca="1" si="59"/>
        <v>0</v>
      </c>
      <c r="BJ54" s="9">
        <f t="shared" ca="1" si="60"/>
        <v>0</v>
      </c>
      <c r="BK54" s="9">
        <f t="shared" ca="1" si="60"/>
        <v>0</v>
      </c>
      <c r="BL54" s="9">
        <f t="shared" ca="1" si="60"/>
        <v>0</v>
      </c>
      <c r="BM54" s="9">
        <f t="shared" ca="1" si="60"/>
        <v>0</v>
      </c>
      <c r="BN54" s="9">
        <f t="shared" ca="1" si="60"/>
        <v>0</v>
      </c>
      <c r="BO54" s="9">
        <f t="shared" ca="1" si="60"/>
        <v>0</v>
      </c>
      <c r="BP54" s="9">
        <f t="shared" ca="1" si="60"/>
        <v>0</v>
      </c>
      <c r="BQ54" s="9">
        <f t="shared" ca="1" si="60"/>
        <v>0</v>
      </c>
      <c r="BR54" s="9">
        <f t="shared" ca="1" si="60"/>
        <v>0</v>
      </c>
      <c r="BS54" s="9">
        <f t="shared" ca="1" si="60"/>
        <v>0</v>
      </c>
      <c r="BT54" s="9">
        <f t="shared" ca="1" si="61"/>
        <v>0</v>
      </c>
      <c r="BU54" s="9">
        <f t="shared" ca="1" si="61"/>
        <v>0</v>
      </c>
      <c r="BV54" s="9">
        <f t="shared" ca="1" si="61"/>
        <v>0</v>
      </c>
      <c r="BW54" s="9">
        <f t="shared" ca="1" si="61"/>
        <v>0</v>
      </c>
      <c r="BX54" s="9">
        <f t="shared" ca="1" si="61"/>
        <v>0</v>
      </c>
      <c r="BY54" s="9">
        <f t="shared" ca="1" si="61"/>
        <v>0</v>
      </c>
      <c r="BZ54" s="9">
        <f t="shared" ca="1" si="61"/>
        <v>0</v>
      </c>
      <c r="CA54" s="9">
        <f t="shared" ca="1" si="61"/>
        <v>0</v>
      </c>
      <c r="CB54" s="9">
        <f t="shared" ca="1" si="61"/>
        <v>0</v>
      </c>
      <c r="CC54" s="9">
        <f t="shared" ca="1" si="61"/>
        <v>0</v>
      </c>
      <c r="CD54" s="9">
        <f t="shared" ca="1" si="62"/>
        <v>0</v>
      </c>
      <c r="CE54" s="9">
        <f t="shared" ca="1" si="62"/>
        <v>0</v>
      </c>
      <c r="CF54" s="9">
        <f t="shared" ca="1" si="62"/>
        <v>0</v>
      </c>
      <c r="CG54" s="9">
        <f t="shared" ca="1" si="62"/>
        <v>0</v>
      </c>
      <c r="CH54" s="9">
        <f t="shared" ca="1" si="62"/>
        <v>0</v>
      </c>
      <c r="CI54" s="9">
        <f t="shared" ca="1" si="62"/>
        <v>0</v>
      </c>
      <c r="CJ54" s="9">
        <f t="shared" ca="1" si="62"/>
        <v>0</v>
      </c>
      <c r="CK54" s="30">
        <f t="shared" ca="1" si="62"/>
        <v>0</v>
      </c>
      <c r="CN54" s="9">
        <v>25.5</v>
      </c>
      <c r="CO54" s="17">
        <v>0.05</v>
      </c>
      <c r="CP54" s="17">
        <v>-6.8505806484877082E-3</v>
      </c>
      <c r="CQ54" s="17">
        <v>-7.6500239899392588E-3</v>
      </c>
      <c r="CR54" s="17">
        <v>9.8119658627265276E-5</v>
      </c>
      <c r="CS54" s="17">
        <f t="shared" si="15"/>
        <v>3.5597515020200296E-2</v>
      </c>
      <c r="EC54" s="9">
        <f ca="1"/>
        <v>3.0579999999864667E-2</v>
      </c>
      <c r="ED54" s="9">
        <f ca="1"/>
        <v>3.0449999999871497E-2</v>
      </c>
      <c r="EE54" s="9">
        <f ca="1"/>
        <v>3.0709999999857841E-2</v>
      </c>
    </row>
    <row r="55" spans="1:135" x14ac:dyDescent="0.45">
      <c r="A55" s="8">
        <f ca="1"/>
        <v>13.5</v>
      </c>
      <c r="B55" s="58">
        <f ca="1"/>
        <v>4.0000000000000001E-3</v>
      </c>
      <c r="C55" s="18">
        <f ca="1"/>
        <v>73.914500000000004</v>
      </c>
      <c r="D55" s="18">
        <f t="shared" ca="1" si="40"/>
        <v>75.268869466847789</v>
      </c>
      <c r="E55" s="18">
        <f t="shared" ca="1" si="41"/>
        <v>1.3543694668477855</v>
      </c>
      <c r="F55" s="18">
        <f t="shared" ca="1" si="42"/>
        <v>1.3543694668477855</v>
      </c>
      <c r="G55" s="19">
        <f t="shared" ca="1" si="43"/>
        <v>1.5969079697907063E-2</v>
      </c>
      <c r="H55" s="19">
        <f ca="1">IFERROR(IRR((J55,L55:CK55),0),0)</f>
        <v>1.524201231010891E-2</v>
      </c>
      <c r="I55" s="55">
        <f t="shared" ca="1" si="44"/>
        <v>-7.2706738779815261E-4</v>
      </c>
      <c r="J55" s="18">
        <f t="shared" ca="1" si="45"/>
        <v>-75.268869466847789</v>
      </c>
      <c r="K55" s="29">
        <f t="shared" ca="1" si="46"/>
        <v>-73.914500000000004</v>
      </c>
      <c r="L55" s="9">
        <f t="shared" ca="1" si="55"/>
        <v>0.4</v>
      </c>
      <c r="M55" s="9">
        <f t="shared" ca="1" si="55"/>
        <v>0.4</v>
      </c>
      <c r="N55" s="9">
        <f t="shared" ca="1" si="55"/>
        <v>0.4</v>
      </c>
      <c r="O55" s="9">
        <f t="shared" ca="1" si="55"/>
        <v>0.4</v>
      </c>
      <c r="P55" s="9">
        <f t="shared" ca="1" si="55"/>
        <v>0.4</v>
      </c>
      <c r="Q55" s="9">
        <f t="shared" ca="1" si="55"/>
        <v>0.4</v>
      </c>
      <c r="R55" s="9">
        <f t="shared" ca="1" si="55"/>
        <v>0.4</v>
      </c>
      <c r="S55" s="9">
        <f t="shared" ca="1" si="55"/>
        <v>0.4</v>
      </c>
      <c r="T55" s="9">
        <f t="shared" ca="1" si="55"/>
        <v>0.4</v>
      </c>
      <c r="U55" s="9">
        <f t="shared" ca="1" si="55"/>
        <v>0.4</v>
      </c>
      <c r="V55" s="9">
        <f t="shared" ca="1" si="56"/>
        <v>0.4</v>
      </c>
      <c r="W55" s="9">
        <f t="shared" ca="1" si="56"/>
        <v>0.4</v>
      </c>
      <c r="X55" s="9">
        <f t="shared" ca="1" si="56"/>
        <v>0.4</v>
      </c>
      <c r="Y55" s="9">
        <f t="shared" ca="1" si="56"/>
        <v>0.4</v>
      </c>
      <c r="Z55" s="9">
        <f t="shared" ca="1" si="56"/>
        <v>0.4</v>
      </c>
      <c r="AA55" s="9">
        <f t="shared" ca="1" si="56"/>
        <v>0.4</v>
      </c>
      <c r="AB55" s="9">
        <f t="shared" ca="1" si="56"/>
        <v>0.4</v>
      </c>
      <c r="AC55" s="9">
        <f t="shared" ca="1" si="56"/>
        <v>0.4</v>
      </c>
      <c r="AD55" s="9">
        <f t="shared" ca="1" si="56"/>
        <v>0.4</v>
      </c>
      <c r="AE55" s="9">
        <f t="shared" ca="1" si="56"/>
        <v>0.4</v>
      </c>
      <c r="AF55" s="9">
        <f t="shared" ca="1" si="57"/>
        <v>0.4</v>
      </c>
      <c r="AG55" s="9">
        <f t="shared" ca="1" si="57"/>
        <v>0.4</v>
      </c>
      <c r="AH55" s="9">
        <f t="shared" ca="1" si="57"/>
        <v>0.4</v>
      </c>
      <c r="AI55" s="9">
        <f t="shared" ca="1" si="57"/>
        <v>0.4</v>
      </c>
      <c r="AJ55" s="9">
        <f t="shared" ca="1" si="57"/>
        <v>0.4</v>
      </c>
      <c r="AK55" s="9">
        <f t="shared" ca="1" si="57"/>
        <v>0.4</v>
      </c>
      <c r="AL55" s="9">
        <f t="shared" ca="1" si="57"/>
        <v>100.4</v>
      </c>
      <c r="AM55" s="9">
        <f t="shared" ca="1" si="57"/>
        <v>0</v>
      </c>
      <c r="AN55" s="9">
        <f t="shared" ca="1" si="57"/>
        <v>0</v>
      </c>
      <c r="AO55" s="9">
        <f t="shared" ca="1" si="57"/>
        <v>0</v>
      </c>
      <c r="AP55" s="9">
        <f t="shared" ca="1" si="58"/>
        <v>0</v>
      </c>
      <c r="AQ55" s="9">
        <f t="shared" ca="1" si="58"/>
        <v>0</v>
      </c>
      <c r="AR55" s="9">
        <f t="shared" ca="1" si="58"/>
        <v>0</v>
      </c>
      <c r="AS55" s="9">
        <f t="shared" ca="1" si="58"/>
        <v>0</v>
      </c>
      <c r="AT55" s="9">
        <f t="shared" ca="1" si="58"/>
        <v>0</v>
      </c>
      <c r="AU55" s="9">
        <f t="shared" ca="1" si="58"/>
        <v>0</v>
      </c>
      <c r="AV55" s="9">
        <f t="shared" ca="1" si="58"/>
        <v>0</v>
      </c>
      <c r="AW55" s="9">
        <f t="shared" ca="1" si="58"/>
        <v>0</v>
      </c>
      <c r="AX55" s="9">
        <f t="shared" ca="1" si="58"/>
        <v>0</v>
      </c>
      <c r="AY55" s="9">
        <f t="shared" ca="1" si="58"/>
        <v>0</v>
      </c>
      <c r="AZ55" s="9">
        <f t="shared" ca="1" si="59"/>
        <v>0</v>
      </c>
      <c r="BA55" s="9">
        <f t="shared" ca="1" si="59"/>
        <v>0</v>
      </c>
      <c r="BB55" s="9">
        <f t="shared" ca="1" si="59"/>
        <v>0</v>
      </c>
      <c r="BC55" s="9">
        <f t="shared" ca="1" si="59"/>
        <v>0</v>
      </c>
      <c r="BD55" s="9">
        <f t="shared" ca="1" si="59"/>
        <v>0</v>
      </c>
      <c r="BE55" s="9">
        <f t="shared" ca="1" si="59"/>
        <v>0</v>
      </c>
      <c r="BF55" s="9">
        <f t="shared" ca="1" si="59"/>
        <v>0</v>
      </c>
      <c r="BG55" s="9">
        <f t="shared" ca="1" si="59"/>
        <v>0</v>
      </c>
      <c r="BH55" s="9">
        <f t="shared" ca="1" si="59"/>
        <v>0</v>
      </c>
      <c r="BI55" s="9">
        <f t="shared" ca="1" si="59"/>
        <v>0</v>
      </c>
      <c r="BJ55" s="9">
        <f t="shared" ca="1" si="60"/>
        <v>0</v>
      </c>
      <c r="BK55" s="9">
        <f t="shared" ca="1" si="60"/>
        <v>0</v>
      </c>
      <c r="BL55" s="9">
        <f t="shared" ca="1" si="60"/>
        <v>0</v>
      </c>
      <c r="BM55" s="9">
        <f t="shared" ca="1" si="60"/>
        <v>0</v>
      </c>
      <c r="BN55" s="9">
        <f t="shared" ca="1" si="60"/>
        <v>0</v>
      </c>
      <c r="BO55" s="9">
        <f t="shared" ca="1" si="60"/>
        <v>0</v>
      </c>
      <c r="BP55" s="9">
        <f t="shared" ca="1" si="60"/>
        <v>0</v>
      </c>
      <c r="BQ55" s="9">
        <f t="shared" ca="1" si="60"/>
        <v>0</v>
      </c>
      <c r="BR55" s="9">
        <f t="shared" ca="1" si="60"/>
        <v>0</v>
      </c>
      <c r="BS55" s="9">
        <f t="shared" ca="1" si="60"/>
        <v>0</v>
      </c>
      <c r="BT55" s="9">
        <f t="shared" ca="1" si="61"/>
        <v>0</v>
      </c>
      <c r="BU55" s="9">
        <f t="shared" ca="1" si="61"/>
        <v>0</v>
      </c>
      <c r="BV55" s="9">
        <f t="shared" ca="1" si="61"/>
        <v>0</v>
      </c>
      <c r="BW55" s="9">
        <f t="shared" ca="1" si="61"/>
        <v>0</v>
      </c>
      <c r="BX55" s="9">
        <f t="shared" ca="1" si="61"/>
        <v>0</v>
      </c>
      <c r="BY55" s="9">
        <f t="shared" ca="1" si="61"/>
        <v>0</v>
      </c>
      <c r="BZ55" s="9">
        <f t="shared" ca="1" si="61"/>
        <v>0</v>
      </c>
      <c r="CA55" s="9">
        <f t="shared" ca="1" si="61"/>
        <v>0</v>
      </c>
      <c r="CB55" s="9">
        <f t="shared" ca="1" si="61"/>
        <v>0</v>
      </c>
      <c r="CC55" s="9">
        <f t="shared" ca="1" si="61"/>
        <v>0</v>
      </c>
      <c r="CD55" s="9">
        <f t="shared" ca="1" si="62"/>
        <v>0</v>
      </c>
      <c r="CE55" s="9">
        <f t="shared" ca="1" si="62"/>
        <v>0</v>
      </c>
      <c r="CF55" s="9">
        <f t="shared" ca="1" si="62"/>
        <v>0</v>
      </c>
      <c r="CG55" s="9">
        <f t="shared" ca="1" si="62"/>
        <v>0</v>
      </c>
      <c r="CH55" s="9">
        <f t="shared" ca="1" si="62"/>
        <v>0</v>
      </c>
      <c r="CI55" s="9">
        <f t="shared" ca="1" si="62"/>
        <v>0</v>
      </c>
      <c r="CJ55" s="9">
        <f t="shared" ca="1" si="62"/>
        <v>0</v>
      </c>
      <c r="CK55" s="30">
        <f t="shared" ca="1" si="62"/>
        <v>0</v>
      </c>
      <c r="CN55" s="9">
        <v>26</v>
      </c>
      <c r="CO55" s="17">
        <v>0.05</v>
      </c>
      <c r="CP55" s="17">
        <v>-6.7208227269603682E-3</v>
      </c>
      <c r="CQ55" s="17">
        <v>-7.5163629369814425E-3</v>
      </c>
      <c r="CR55" s="17">
        <v>9.6232742115202877E-5</v>
      </c>
      <c r="CS55" s="17">
        <f t="shared" si="15"/>
        <v>3.5859047078173396E-2</v>
      </c>
      <c r="EC55" s="9">
        <f ca="1"/>
        <v>3.0929999999846559E-2</v>
      </c>
      <c r="ED55" s="9">
        <f ca="1"/>
        <v>3.0809999999853628E-2</v>
      </c>
      <c r="EE55" s="9">
        <f ca="1"/>
        <v>3.1049999999839487E-2</v>
      </c>
    </row>
    <row r="56" spans="1:135" x14ac:dyDescent="0.45">
      <c r="A56" s="8">
        <f ca="1"/>
        <v>14</v>
      </c>
      <c r="B56" s="58">
        <f ca="1"/>
        <v>4.0000000000000001E-3</v>
      </c>
      <c r="C56" s="18">
        <f ca="1"/>
        <v>73.332999999999998</v>
      </c>
      <c r="D56" s="18">
        <f t="shared" ca="1" si="40"/>
        <v>73.995009124093059</v>
      </c>
      <c r="E56" s="18">
        <f t="shared" ca="1" si="41"/>
        <v>0.66200912409306056</v>
      </c>
      <c r="F56" s="18">
        <f t="shared" ca="1" si="42"/>
        <v>0.66200912409306056</v>
      </c>
      <c r="G56" s="19">
        <f t="shared" ca="1" si="43"/>
        <v>1.5870368081413844E-2</v>
      </c>
      <c r="H56" s="19">
        <f ca="1">IFERROR(IRR((J56,L56:CK56),0),0)</f>
        <v>1.5522309772036946E-2</v>
      </c>
      <c r="I56" s="55">
        <f t="shared" ca="1" si="44"/>
        <v>-3.4805830937689741E-4</v>
      </c>
      <c r="J56" s="18">
        <f t="shared" ca="1" si="45"/>
        <v>-73.995009124093059</v>
      </c>
      <c r="K56" s="29">
        <f t="shared" ca="1" si="46"/>
        <v>-73.332999999999998</v>
      </c>
      <c r="L56" s="9">
        <f t="shared" ca="1" si="55"/>
        <v>0.4</v>
      </c>
      <c r="M56" s="9">
        <f t="shared" ca="1" si="55"/>
        <v>0.4</v>
      </c>
      <c r="N56" s="9">
        <f t="shared" ca="1" si="55"/>
        <v>0.4</v>
      </c>
      <c r="O56" s="9">
        <f t="shared" ca="1" si="55"/>
        <v>0.4</v>
      </c>
      <c r="P56" s="9">
        <f t="shared" ca="1" si="55"/>
        <v>0.4</v>
      </c>
      <c r="Q56" s="9">
        <f t="shared" ca="1" si="55"/>
        <v>0.4</v>
      </c>
      <c r="R56" s="9">
        <f t="shared" ca="1" si="55"/>
        <v>0.4</v>
      </c>
      <c r="S56" s="9">
        <f t="shared" ca="1" si="55"/>
        <v>0.4</v>
      </c>
      <c r="T56" s="9">
        <f t="shared" ca="1" si="55"/>
        <v>0.4</v>
      </c>
      <c r="U56" s="9">
        <f t="shared" ca="1" si="55"/>
        <v>0.4</v>
      </c>
      <c r="V56" s="9">
        <f t="shared" ca="1" si="56"/>
        <v>0.4</v>
      </c>
      <c r="W56" s="9">
        <f t="shared" ca="1" si="56"/>
        <v>0.4</v>
      </c>
      <c r="X56" s="9">
        <f t="shared" ca="1" si="56"/>
        <v>0.4</v>
      </c>
      <c r="Y56" s="9">
        <f t="shared" ca="1" si="56"/>
        <v>0.4</v>
      </c>
      <c r="Z56" s="9">
        <f t="shared" ca="1" si="56"/>
        <v>0.4</v>
      </c>
      <c r="AA56" s="9">
        <f t="shared" ca="1" si="56"/>
        <v>0.4</v>
      </c>
      <c r="AB56" s="9">
        <f t="shared" ca="1" si="56"/>
        <v>0.4</v>
      </c>
      <c r="AC56" s="9">
        <f t="shared" ca="1" si="56"/>
        <v>0.4</v>
      </c>
      <c r="AD56" s="9">
        <f t="shared" ca="1" si="56"/>
        <v>0.4</v>
      </c>
      <c r="AE56" s="9">
        <f t="shared" ca="1" si="56"/>
        <v>0.4</v>
      </c>
      <c r="AF56" s="9">
        <f t="shared" ca="1" si="57"/>
        <v>0.4</v>
      </c>
      <c r="AG56" s="9">
        <f t="shared" ca="1" si="57"/>
        <v>0.4</v>
      </c>
      <c r="AH56" s="9">
        <f t="shared" ca="1" si="57"/>
        <v>0.4</v>
      </c>
      <c r="AI56" s="9">
        <f t="shared" ca="1" si="57"/>
        <v>0.4</v>
      </c>
      <c r="AJ56" s="9">
        <f t="shared" ca="1" si="57"/>
        <v>0.4</v>
      </c>
      <c r="AK56" s="9">
        <f t="shared" ca="1" si="57"/>
        <v>0.4</v>
      </c>
      <c r="AL56" s="9">
        <f t="shared" ca="1" si="57"/>
        <v>0.4</v>
      </c>
      <c r="AM56" s="9">
        <f t="shared" ca="1" si="57"/>
        <v>100.4</v>
      </c>
      <c r="AN56" s="9">
        <f t="shared" ca="1" si="57"/>
        <v>0</v>
      </c>
      <c r="AO56" s="9">
        <f t="shared" ca="1" si="57"/>
        <v>0</v>
      </c>
      <c r="AP56" s="9">
        <f t="shared" ca="1" si="58"/>
        <v>0</v>
      </c>
      <c r="AQ56" s="9">
        <f t="shared" ca="1" si="58"/>
        <v>0</v>
      </c>
      <c r="AR56" s="9">
        <f t="shared" ca="1" si="58"/>
        <v>0</v>
      </c>
      <c r="AS56" s="9">
        <f t="shared" ca="1" si="58"/>
        <v>0</v>
      </c>
      <c r="AT56" s="9">
        <f t="shared" ca="1" si="58"/>
        <v>0</v>
      </c>
      <c r="AU56" s="9">
        <f t="shared" ca="1" si="58"/>
        <v>0</v>
      </c>
      <c r="AV56" s="9">
        <f t="shared" ca="1" si="58"/>
        <v>0</v>
      </c>
      <c r="AW56" s="9">
        <f t="shared" ca="1" si="58"/>
        <v>0</v>
      </c>
      <c r="AX56" s="9">
        <f t="shared" ca="1" si="58"/>
        <v>0</v>
      </c>
      <c r="AY56" s="9">
        <f t="shared" ca="1" si="58"/>
        <v>0</v>
      </c>
      <c r="AZ56" s="9">
        <f t="shared" ca="1" si="59"/>
        <v>0</v>
      </c>
      <c r="BA56" s="9">
        <f t="shared" ca="1" si="59"/>
        <v>0</v>
      </c>
      <c r="BB56" s="9">
        <f t="shared" ca="1" si="59"/>
        <v>0</v>
      </c>
      <c r="BC56" s="9">
        <f t="shared" ca="1" si="59"/>
        <v>0</v>
      </c>
      <c r="BD56" s="9">
        <f t="shared" ca="1" si="59"/>
        <v>0</v>
      </c>
      <c r="BE56" s="9">
        <f t="shared" ca="1" si="59"/>
        <v>0</v>
      </c>
      <c r="BF56" s="9">
        <f t="shared" ca="1" si="59"/>
        <v>0</v>
      </c>
      <c r="BG56" s="9">
        <f t="shared" ca="1" si="59"/>
        <v>0</v>
      </c>
      <c r="BH56" s="9">
        <f t="shared" ca="1" si="59"/>
        <v>0</v>
      </c>
      <c r="BI56" s="9">
        <f t="shared" ca="1" si="59"/>
        <v>0</v>
      </c>
      <c r="BJ56" s="9">
        <f t="shared" ca="1" si="60"/>
        <v>0</v>
      </c>
      <c r="BK56" s="9">
        <f t="shared" ca="1" si="60"/>
        <v>0</v>
      </c>
      <c r="BL56" s="9">
        <f t="shared" ca="1" si="60"/>
        <v>0</v>
      </c>
      <c r="BM56" s="9">
        <f t="shared" ca="1" si="60"/>
        <v>0</v>
      </c>
      <c r="BN56" s="9">
        <f t="shared" ca="1" si="60"/>
        <v>0</v>
      </c>
      <c r="BO56" s="9">
        <f t="shared" ca="1" si="60"/>
        <v>0</v>
      </c>
      <c r="BP56" s="9">
        <f t="shared" ca="1" si="60"/>
        <v>0</v>
      </c>
      <c r="BQ56" s="9">
        <f t="shared" ca="1" si="60"/>
        <v>0</v>
      </c>
      <c r="BR56" s="9">
        <f t="shared" ca="1" si="60"/>
        <v>0</v>
      </c>
      <c r="BS56" s="9">
        <f t="shared" ca="1" si="60"/>
        <v>0</v>
      </c>
      <c r="BT56" s="9">
        <f t="shared" ca="1" si="61"/>
        <v>0</v>
      </c>
      <c r="BU56" s="9">
        <f t="shared" ca="1" si="61"/>
        <v>0</v>
      </c>
      <c r="BV56" s="9">
        <f t="shared" ca="1" si="61"/>
        <v>0</v>
      </c>
      <c r="BW56" s="9">
        <f t="shared" ca="1" si="61"/>
        <v>0</v>
      </c>
      <c r="BX56" s="9">
        <f t="shared" ca="1" si="61"/>
        <v>0</v>
      </c>
      <c r="BY56" s="9">
        <f t="shared" ca="1" si="61"/>
        <v>0</v>
      </c>
      <c r="BZ56" s="9">
        <f t="shared" ca="1" si="61"/>
        <v>0</v>
      </c>
      <c r="CA56" s="9">
        <f t="shared" ca="1" si="61"/>
        <v>0</v>
      </c>
      <c r="CB56" s="9">
        <f t="shared" ca="1" si="61"/>
        <v>0</v>
      </c>
      <c r="CC56" s="9">
        <f t="shared" ca="1" si="61"/>
        <v>0</v>
      </c>
      <c r="CD56" s="9">
        <f t="shared" ca="1" si="62"/>
        <v>0</v>
      </c>
      <c r="CE56" s="9">
        <f t="shared" ca="1" si="62"/>
        <v>0</v>
      </c>
      <c r="CF56" s="9">
        <f t="shared" ca="1" si="62"/>
        <v>0</v>
      </c>
      <c r="CG56" s="9">
        <f t="shared" ca="1" si="62"/>
        <v>0</v>
      </c>
      <c r="CH56" s="9">
        <f t="shared" ca="1" si="62"/>
        <v>0</v>
      </c>
      <c r="CI56" s="9">
        <f t="shared" ca="1" si="62"/>
        <v>0</v>
      </c>
      <c r="CJ56" s="9">
        <f t="shared" ca="1" si="62"/>
        <v>0</v>
      </c>
      <c r="CK56" s="30">
        <f t="shared" ca="1" si="62"/>
        <v>0</v>
      </c>
      <c r="CN56" s="9">
        <v>26.5</v>
      </c>
      <c r="CO56" s="17">
        <v>0.05</v>
      </c>
      <c r="CP56" s="17">
        <v>-6.5957480255147156E-3</v>
      </c>
      <c r="CQ56" s="17">
        <v>-7.3865274292252963E-3</v>
      </c>
      <c r="CR56" s="17">
        <v>9.4417029999821896E-5</v>
      </c>
      <c r="CS56" s="17">
        <f t="shared" si="15"/>
        <v>3.6112141575259812E-2</v>
      </c>
      <c r="EC56" s="9">
        <f ca="1"/>
        <v>3.1309999999748157E-2</v>
      </c>
      <c r="ED56" s="9">
        <f ca="1"/>
        <v>3.117999999976049E-2</v>
      </c>
      <c r="EE56" s="9">
        <f ca="1"/>
        <v>3.1439999999735832E-2</v>
      </c>
    </row>
    <row r="57" spans="1:135" x14ac:dyDescent="0.45">
      <c r="A57" s="8">
        <f ca="1"/>
        <v>14</v>
      </c>
      <c r="B57" s="58">
        <f ca="1"/>
        <v>4.0000000000000001E-3</v>
      </c>
      <c r="C57" s="18">
        <f ca="1"/>
        <v>72.730999999999995</v>
      </c>
      <c r="D57" s="18">
        <f t="shared" ca="1" si="40"/>
        <v>73.995009124093059</v>
      </c>
      <c r="E57" s="18">
        <f t="shared" ca="1" si="41"/>
        <v>1.2640091240930644</v>
      </c>
      <c r="F57" s="18">
        <f t="shared" ca="1" si="42"/>
        <v>1.2640091240930644</v>
      </c>
      <c r="G57" s="19">
        <f t="shared" ca="1" si="43"/>
        <v>1.6189841975948527E-2</v>
      </c>
      <c r="H57" s="19">
        <f ca="1">IFERROR(IRR((J57,L57:CK57),0),0)</f>
        <v>1.5522309772036946E-2</v>
      </c>
      <c r="I57" s="55">
        <f t="shared" ca="1" si="44"/>
        <v>-6.6753220391158052E-4</v>
      </c>
      <c r="J57" s="18">
        <f t="shared" ca="1" si="45"/>
        <v>-73.995009124093059</v>
      </c>
      <c r="K57" s="29">
        <f t="shared" ca="1" si="46"/>
        <v>-72.730999999999995</v>
      </c>
      <c r="L57" s="9">
        <f t="shared" ca="1" si="55"/>
        <v>0.4</v>
      </c>
      <c r="M57" s="9">
        <f t="shared" ca="1" si="55"/>
        <v>0.4</v>
      </c>
      <c r="N57" s="9">
        <f t="shared" ca="1" si="55"/>
        <v>0.4</v>
      </c>
      <c r="O57" s="9">
        <f t="shared" ca="1" si="55"/>
        <v>0.4</v>
      </c>
      <c r="P57" s="9">
        <f t="shared" ca="1" si="55"/>
        <v>0.4</v>
      </c>
      <c r="Q57" s="9">
        <f t="shared" ca="1" si="55"/>
        <v>0.4</v>
      </c>
      <c r="R57" s="9">
        <f t="shared" ca="1" si="55"/>
        <v>0.4</v>
      </c>
      <c r="S57" s="9">
        <f t="shared" ca="1" si="55"/>
        <v>0.4</v>
      </c>
      <c r="T57" s="9">
        <f t="shared" ca="1" si="55"/>
        <v>0.4</v>
      </c>
      <c r="U57" s="9">
        <f t="shared" ca="1" si="55"/>
        <v>0.4</v>
      </c>
      <c r="V57" s="9">
        <f t="shared" ca="1" si="56"/>
        <v>0.4</v>
      </c>
      <c r="W57" s="9">
        <f t="shared" ca="1" si="56"/>
        <v>0.4</v>
      </c>
      <c r="X57" s="9">
        <f t="shared" ca="1" si="56"/>
        <v>0.4</v>
      </c>
      <c r="Y57" s="9">
        <f t="shared" ca="1" si="56"/>
        <v>0.4</v>
      </c>
      <c r="Z57" s="9">
        <f t="shared" ca="1" si="56"/>
        <v>0.4</v>
      </c>
      <c r="AA57" s="9">
        <f t="shared" ca="1" si="56"/>
        <v>0.4</v>
      </c>
      <c r="AB57" s="9">
        <f t="shared" ca="1" si="56"/>
        <v>0.4</v>
      </c>
      <c r="AC57" s="9">
        <f t="shared" ca="1" si="56"/>
        <v>0.4</v>
      </c>
      <c r="AD57" s="9">
        <f t="shared" ca="1" si="56"/>
        <v>0.4</v>
      </c>
      <c r="AE57" s="9">
        <f t="shared" ca="1" si="56"/>
        <v>0.4</v>
      </c>
      <c r="AF57" s="9">
        <f t="shared" ca="1" si="57"/>
        <v>0.4</v>
      </c>
      <c r="AG57" s="9">
        <f t="shared" ca="1" si="57"/>
        <v>0.4</v>
      </c>
      <c r="AH57" s="9">
        <f t="shared" ca="1" si="57"/>
        <v>0.4</v>
      </c>
      <c r="AI57" s="9">
        <f t="shared" ca="1" si="57"/>
        <v>0.4</v>
      </c>
      <c r="AJ57" s="9">
        <f t="shared" ca="1" si="57"/>
        <v>0.4</v>
      </c>
      <c r="AK57" s="9">
        <f t="shared" ca="1" si="57"/>
        <v>0.4</v>
      </c>
      <c r="AL57" s="9">
        <f t="shared" ca="1" si="57"/>
        <v>0.4</v>
      </c>
      <c r="AM57" s="9">
        <f t="shared" ca="1" si="57"/>
        <v>100.4</v>
      </c>
      <c r="AN57" s="9">
        <f t="shared" ca="1" si="57"/>
        <v>0</v>
      </c>
      <c r="AO57" s="9">
        <f t="shared" ca="1" si="57"/>
        <v>0</v>
      </c>
      <c r="AP57" s="9">
        <f t="shared" ca="1" si="58"/>
        <v>0</v>
      </c>
      <c r="AQ57" s="9">
        <f t="shared" ca="1" si="58"/>
        <v>0</v>
      </c>
      <c r="AR57" s="9">
        <f t="shared" ca="1" si="58"/>
        <v>0</v>
      </c>
      <c r="AS57" s="9">
        <f t="shared" ca="1" si="58"/>
        <v>0</v>
      </c>
      <c r="AT57" s="9">
        <f t="shared" ca="1" si="58"/>
        <v>0</v>
      </c>
      <c r="AU57" s="9">
        <f t="shared" ca="1" si="58"/>
        <v>0</v>
      </c>
      <c r="AV57" s="9">
        <f t="shared" ca="1" si="58"/>
        <v>0</v>
      </c>
      <c r="AW57" s="9">
        <f t="shared" ca="1" si="58"/>
        <v>0</v>
      </c>
      <c r="AX57" s="9">
        <f t="shared" ca="1" si="58"/>
        <v>0</v>
      </c>
      <c r="AY57" s="9">
        <f t="shared" ca="1" si="58"/>
        <v>0</v>
      </c>
      <c r="AZ57" s="9">
        <f t="shared" ca="1" si="59"/>
        <v>0</v>
      </c>
      <c r="BA57" s="9">
        <f t="shared" ca="1" si="59"/>
        <v>0</v>
      </c>
      <c r="BB57" s="9">
        <f t="shared" ca="1" si="59"/>
        <v>0</v>
      </c>
      <c r="BC57" s="9">
        <f t="shared" ca="1" si="59"/>
        <v>0</v>
      </c>
      <c r="BD57" s="9">
        <f t="shared" ca="1" si="59"/>
        <v>0</v>
      </c>
      <c r="BE57" s="9">
        <f t="shared" ca="1" si="59"/>
        <v>0</v>
      </c>
      <c r="BF57" s="9">
        <f t="shared" ca="1" si="59"/>
        <v>0</v>
      </c>
      <c r="BG57" s="9">
        <f t="shared" ca="1" si="59"/>
        <v>0</v>
      </c>
      <c r="BH57" s="9">
        <f t="shared" ca="1" si="59"/>
        <v>0</v>
      </c>
      <c r="BI57" s="9">
        <f t="shared" ca="1" si="59"/>
        <v>0</v>
      </c>
      <c r="BJ57" s="9">
        <f t="shared" ca="1" si="60"/>
        <v>0</v>
      </c>
      <c r="BK57" s="9">
        <f t="shared" ca="1" si="60"/>
        <v>0</v>
      </c>
      <c r="BL57" s="9">
        <f t="shared" ca="1" si="60"/>
        <v>0</v>
      </c>
      <c r="BM57" s="9">
        <f t="shared" ca="1" si="60"/>
        <v>0</v>
      </c>
      <c r="BN57" s="9">
        <f t="shared" ca="1" si="60"/>
        <v>0</v>
      </c>
      <c r="BO57" s="9">
        <f t="shared" ca="1" si="60"/>
        <v>0</v>
      </c>
      <c r="BP57" s="9">
        <f t="shared" ca="1" si="60"/>
        <v>0</v>
      </c>
      <c r="BQ57" s="9">
        <f t="shared" ca="1" si="60"/>
        <v>0</v>
      </c>
      <c r="BR57" s="9">
        <f t="shared" ca="1" si="60"/>
        <v>0</v>
      </c>
      <c r="BS57" s="9">
        <f t="shared" ca="1" si="60"/>
        <v>0</v>
      </c>
      <c r="BT57" s="9">
        <f t="shared" ca="1" si="61"/>
        <v>0</v>
      </c>
      <c r="BU57" s="9">
        <f t="shared" ca="1" si="61"/>
        <v>0</v>
      </c>
      <c r="BV57" s="9">
        <f t="shared" ca="1" si="61"/>
        <v>0</v>
      </c>
      <c r="BW57" s="9">
        <f t="shared" ca="1" si="61"/>
        <v>0</v>
      </c>
      <c r="BX57" s="9">
        <f t="shared" ca="1" si="61"/>
        <v>0</v>
      </c>
      <c r="BY57" s="9">
        <f t="shared" ca="1" si="61"/>
        <v>0</v>
      </c>
      <c r="BZ57" s="9">
        <f t="shared" ca="1" si="61"/>
        <v>0</v>
      </c>
      <c r="CA57" s="9">
        <f t="shared" ca="1" si="61"/>
        <v>0</v>
      </c>
      <c r="CB57" s="9">
        <f t="shared" ca="1" si="61"/>
        <v>0</v>
      </c>
      <c r="CC57" s="9">
        <f t="shared" ca="1" si="61"/>
        <v>0</v>
      </c>
      <c r="CD57" s="9">
        <f t="shared" ca="1" si="62"/>
        <v>0</v>
      </c>
      <c r="CE57" s="9">
        <f t="shared" ca="1" si="62"/>
        <v>0</v>
      </c>
      <c r="CF57" s="9">
        <f t="shared" ca="1" si="62"/>
        <v>0</v>
      </c>
      <c r="CG57" s="9">
        <f t="shared" ca="1" si="62"/>
        <v>0</v>
      </c>
      <c r="CH57" s="9">
        <f t="shared" ca="1" si="62"/>
        <v>0</v>
      </c>
      <c r="CI57" s="9">
        <f t="shared" ca="1" si="62"/>
        <v>0</v>
      </c>
      <c r="CJ57" s="9">
        <f t="shared" ca="1" si="62"/>
        <v>0</v>
      </c>
      <c r="CK57" s="30">
        <f t="shared" ca="1" si="62"/>
        <v>0</v>
      </c>
      <c r="CN57" s="9">
        <v>27</v>
      </c>
      <c r="CO57" s="17">
        <v>0.05</v>
      </c>
      <c r="CP57" s="17">
        <v>-6.4751193062932352E-3</v>
      </c>
      <c r="CQ57" s="17">
        <v>-7.2604114095158601E-3</v>
      </c>
      <c r="CR57" s="17">
        <v>9.2668566481306756E-5</v>
      </c>
      <c r="CS57" s="17">
        <f t="shared" si="15"/>
        <v>3.6357137850672211E-2</v>
      </c>
      <c r="EC57" s="9">
        <f ca="1"/>
        <v>3.2569999999449255E-2</v>
      </c>
      <c r="ED57" s="9">
        <f ca="1"/>
        <v>3.2449999999473012E-2</v>
      </c>
      <c r="EE57" s="9">
        <f ca="1"/>
        <v>3.2689999999425498E-2</v>
      </c>
    </row>
    <row r="58" spans="1:135" x14ac:dyDescent="0.45">
      <c r="A58" s="8">
        <f ca="1"/>
        <v>15</v>
      </c>
      <c r="B58" s="58">
        <f ca="1"/>
        <v>4.0000000000000001E-3</v>
      </c>
      <c r="C58" s="18">
        <f ca="1"/>
        <v>70.858499999999992</v>
      </c>
      <c r="D58" s="18">
        <f t="shared" ca="1" si="40"/>
        <v>71.478934804159081</v>
      </c>
      <c r="E58" s="18">
        <f t="shared" ca="1" si="41"/>
        <v>0.62043480415908903</v>
      </c>
      <c r="F58" s="18">
        <f t="shared" ca="1" si="42"/>
        <v>0.62043480415908903</v>
      </c>
      <c r="G58" s="19">
        <f t="shared" ca="1" si="43"/>
        <v>1.6371509048000776E-2</v>
      </c>
      <c r="H58" s="19">
        <f ca="1">IFERROR(IRR((J58,L58:CK58),0),0)</f>
        <v>1.6054165648516916E-2</v>
      </c>
      <c r="I58" s="55">
        <f t="shared" ca="1" si="44"/>
        <v>-3.1734339948386037E-4</v>
      </c>
      <c r="J58" s="18">
        <f t="shared" ca="1" si="45"/>
        <v>-71.478934804159081</v>
      </c>
      <c r="K58" s="29">
        <f t="shared" ca="1" si="46"/>
        <v>-70.858499999999992</v>
      </c>
      <c r="L58" s="9">
        <f t="shared" ca="1" si="55"/>
        <v>0.4</v>
      </c>
      <c r="M58" s="9">
        <f t="shared" ca="1" si="55"/>
        <v>0.4</v>
      </c>
      <c r="N58" s="9">
        <f t="shared" ca="1" si="55"/>
        <v>0.4</v>
      </c>
      <c r="O58" s="9">
        <f t="shared" ca="1" si="55"/>
        <v>0.4</v>
      </c>
      <c r="P58" s="9">
        <f t="shared" ca="1" si="55"/>
        <v>0.4</v>
      </c>
      <c r="Q58" s="9">
        <f t="shared" ca="1" si="55"/>
        <v>0.4</v>
      </c>
      <c r="R58" s="9">
        <f t="shared" ca="1" si="55"/>
        <v>0.4</v>
      </c>
      <c r="S58" s="9">
        <f t="shared" ca="1" si="55"/>
        <v>0.4</v>
      </c>
      <c r="T58" s="9">
        <f t="shared" ca="1" si="55"/>
        <v>0.4</v>
      </c>
      <c r="U58" s="9">
        <f t="shared" ca="1" si="55"/>
        <v>0.4</v>
      </c>
      <c r="V58" s="9">
        <f t="shared" ca="1" si="56"/>
        <v>0.4</v>
      </c>
      <c r="W58" s="9">
        <f t="shared" ca="1" si="56"/>
        <v>0.4</v>
      </c>
      <c r="X58" s="9">
        <f t="shared" ca="1" si="56"/>
        <v>0.4</v>
      </c>
      <c r="Y58" s="9">
        <f t="shared" ca="1" si="56"/>
        <v>0.4</v>
      </c>
      <c r="Z58" s="9">
        <f t="shared" ca="1" si="56"/>
        <v>0.4</v>
      </c>
      <c r="AA58" s="9">
        <f t="shared" ca="1" si="56"/>
        <v>0.4</v>
      </c>
      <c r="AB58" s="9">
        <f t="shared" ca="1" si="56"/>
        <v>0.4</v>
      </c>
      <c r="AC58" s="9">
        <f t="shared" ca="1" si="56"/>
        <v>0.4</v>
      </c>
      <c r="AD58" s="9">
        <f t="shared" ca="1" si="56"/>
        <v>0.4</v>
      </c>
      <c r="AE58" s="9">
        <f t="shared" ca="1" si="56"/>
        <v>0.4</v>
      </c>
      <c r="AF58" s="9">
        <f t="shared" ca="1" si="57"/>
        <v>0.4</v>
      </c>
      <c r="AG58" s="9">
        <f t="shared" ca="1" si="57"/>
        <v>0.4</v>
      </c>
      <c r="AH58" s="9">
        <f t="shared" ca="1" si="57"/>
        <v>0.4</v>
      </c>
      <c r="AI58" s="9">
        <f t="shared" ca="1" si="57"/>
        <v>0.4</v>
      </c>
      <c r="AJ58" s="9">
        <f t="shared" ca="1" si="57"/>
        <v>0.4</v>
      </c>
      <c r="AK58" s="9">
        <f t="shared" ca="1" si="57"/>
        <v>0.4</v>
      </c>
      <c r="AL58" s="9">
        <f t="shared" ca="1" si="57"/>
        <v>0.4</v>
      </c>
      <c r="AM58" s="9">
        <f t="shared" ca="1" si="57"/>
        <v>0.4</v>
      </c>
      <c r="AN58" s="9">
        <f t="shared" ca="1" si="57"/>
        <v>0.4</v>
      </c>
      <c r="AO58" s="9">
        <f t="shared" ca="1" si="57"/>
        <v>100.4</v>
      </c>
      <c r="AP58" s="9">
        <f t="shared" ca="1" si="58"/>
        <v>0</v>
      </c>
      <c r="AQ58" s="9">
        <f t="shared" ca="1" si="58"/>
        <v>0</v>
      </c>
      <c r="AR58" s="9">
        <f t="shared" ca="1" si="58"/>
        <v>0</v>
      </c>
      <c r="AS58" s="9">
        <f t="shared" ca="1" si="58"/>
        <v>0</v>
      </c>
      <c r="AT58" s="9">
        <f t="shared" ca="1" si="58"/>
        <v>0</v>
      </c>
      <c r="AU58" s="9">
        <f t="shared" ca="1" si="58"/>
        <v>0</v>
      </c>
      <c r="AV58" s="9">
        <f t="shared" ca="1" si="58"/>
        <v>0</v>
      </c>
      <c r="AW58" s="9">
        <f t="shared" ca="1" si="58"/>
        <v>0</v>
      </c>
      <c r="AX58" s="9">
        <f t="shared" ca="1" si="58"/>
        <v>0</v>
      </c>
      <c r="AY58" s="9">
        <f t="shared" ca="1" si="58"/>
        <v>0</v>
      </c>
      <c r="AZ58" s="9">
        <f t="shared" ca="1" si="59"/>
        <v>0</v>
      </c>
      <c r="BA58" s="9">
        <f t="shared" ca="1" si="59"/>
        <v>0</v>
      </c>
      <c r="BB58" s="9">
        <f t="shared" ca="1" si="59"/>
        <v>0</v>
      </c>
      <c r="BC58" s="9">
        <f t="shared" ca="1" si="59"/>
        <v>0</v>
      </c>
      <c r="BD58" s="9">
        <f t="shared" ca="1" si="59"/>
        <v>0</v>
      </c>
      <c r="BE58" s="9">
        <f t="shared" ca="1" si="59"/>
        <v>0</v>
      </c>
      <c r="BF58" s="9">
        <f t="shared" ca="1" si="59"/>
        <v>0</v>
      </c>
      <c r="BG58" s="9">
        <f t="shared" ca="1" si="59"/>
        <v>0</v>
      </c>
      <c r="BH58" s="9">
        <f t="shared" ca="1" si="59"/>
        <v>0</v>
      </c>
      <c r="BI58" s="9">
        <f t="shared" ca="1" si="59"/>
        <v>0</v>
      </c>
      <c r="BJ58" s="9">
        <f t="shared" ca="1" si="60"/>
        <v>0</v>
      </c>
      <c r="BK58" s="9">
        <f t="shared" ca="1" si="60"/>
        <v>0</v>
      </c>
      <c r="BL58" s="9">
        <f t="shared" ca="1" si="60"/>
        <v>0</v>
      </c>
      <c r="BM58" s="9">
        <f t="shared" ca="1" si="60"/>
        <v>0</v>
      </c>
      <c r="BN58" s="9">
        <f t="shared" ca="1" si="60"/>
        <v>0</v>
      </c>
      <c r="BO58" s="9">
        <f t="shared" ca="1" si="60"/>
        <v>0</v>
      </c>
      <c r="BP58" s="9">
        <f t="shared" ca="1" si="60"/>
        <v>0</v>
      </c>
      <c r="BQ58" s="9">
        <f t="shared" ca="1" si="60"/>
        <v>0</v>
      </c>
      <c r="BR58" s="9">
        <f t="shared" ca="1" si="60"/>
        <v>0</v>
      </c>
      <c r="BS58" s="9">
        <f t="shared" ca="1" si="60"/>
        <v>0</v>
      </c>
      <c r="BT58" s="9">
        <f t="shared" ca="1" si="61"/>
        <v>0</v>
      </c>
      <c r="BU58" s="9">
        <f t="shared" ca="1" si="61"/>
        <v>0</v>
      </c>
      <c r="BV58" s="9">
        <f t="shared" ca="1" si="61"/>
        <v>0</v>
      </c>
      <c r="BW58" s="9">
        <f t="shared" ca="1" si="61"/>
        <v>0</v>
      </c>
      <c r="BX58" s="9">
        <f t="shared" ca="1" si="61"/>
        <v>0</v>
      </c>
      <c r="BY58" s="9">
        <f t="shared" ca="1" si="61"/>
        <v>0</v>
      </c>
      <c r="BZ58" s="9">
        <f t="shared" ca="1" si="61"/>
        <v>0</v>
      </c>
      <c r="CA58" s="9">
        <f t="shared" ca="1" si="61"/>
        <v>0</v>
      </c>
      <c r="CB58" s="9">
        <f t="shared" ca="1" si="61"/>
        <v>0</v>
      </c>
      <c r="CC58" s="9">
        <f t="shared" ca="1" si="61"/>
        <v>0</v>
      </c>
      <c r="CD58" s="9">
        <f t="shared" ca="1" si="62"/>
        <v>0</v>
      </c>
      <c r="CE58" s="9">
        <f t="shared" ca="1" si="62"/>
        <v>0</v>
      </c>
      <c r="CF58" s="9">
        <f t="shared" ca="1" si="62"/>
        <v>0</v>
      </c>
      <c r="CG58" s="9">
        <f t="shared" ca="1" si="62"/>
        <v>0</v>
      </c>
      <c r="CH58" s="9">
        <f t="shared" ca="1" si="62"/>
        <v>0</v>
      </c>
      <c r="CI58" s="9">
        <f t="shared" ca="1" si="62"/>
        <v>0</v>
      </c>
      <c r="CJ58" s="9">
        <f t="shared" ca="1" si="62"/>
        <v>0</v>
      </c>
      <c r="CK58" s="30">
        <f t="shared" ca="1" si="62"/>
        <v>0</v>
      </c>
      <c r="CN58" s="9">
        <v>27.5</v>
      </c>
      <c r="CO58" s="17">
        <v>0.05</v>
      </c>
      <c r="CP58" s="17">
        <v>-6.3587141169399999E-3</v>
      </c>
      <c r="CQ58" s="17">
        <v>-7.1379077202752489E-3</v>
      </c>
      <c r="CR58" s="17">
        <v>9.0983683454373953E-5</v>
      </c>
      <c r="CS58" s="17">
        <f t="shared" si="15"/>
        <v>3.6594361846239126E-2</v>
      </c>
      <c r="EC58" s="9">
        <f ca="1"/>
        <v>4.0529999999999317E-2</v>
      </c>
      <c r="ED58" s="9">
        <f ca="1"/>
        <v>4.0339999999999369E-2</v>
      </c>
      <c r="EE58" s="9">
        <f ca="1"/>
        <v>4.0719999999999257E-2</v>
      </c>
    </row>
    <row r="59" spans="1:135" x14ac:dyDescent="0.45">
      <c r="A59" s="8">
        <f ca="1"/>
        <v>20</v>
      </c>
      <c r="B59" s="58">
        <f ca="1"/>
        <v>3.0000000000000001E-3</v>
      </c>
      <c r="C59" s="18">
        <f ca="1"/>
        <v>58.231999999999999</v>
      </c>
      <c r="D59" s="18">
        <f t="shared" ca="1" si="40"/>
        <v>56.905273383756573</v>
      </c>
      <c r="E59" s="18">
        <f t="shared" ca="1" si="41"/>
        <v>-1.3267266162434268</v>
      </c>
      <c r="F59" s="18">
        <f t="shared" ca="1" si="42"/>
        <v>1.3267266162434268</v>
      </c>
      <c r="G59" s="19">
        <f t="shared" ca="1" si="43"/>
        <v>1.7645093813446255E-2</v>
      </c>
      <c r="H59" s="19">
        <f ca="1">IFERROR(IRR((J59,L59:CK59),0),0)</f>
        <v>1.8283135676863793E-2</v>
      </c>
      <c r="I59" s="55">
        <f t="shared" ca="1" si="44"/>
        <v>6.3804186341753777E-4</v>
      </c>
      <c r="J59" s="18">
        <f t="shared" ca="1" si="45"/>
        <v>-56.905273383756573</v>
      </c>
      <c r="K59" s="29">
        <f t="shared" ca="1" si="46"/>
        <v>-58.231999999999999</v>
      </c>
      <c r="L59" s="9">
        <f t="shared" ca="1" si="55"/>
        <v>0.3</v>
      </c>
      <c r="M59" s="9">
        <f t="shared" ca="1" si="55"/>
        <v>0.3</v>
      </c>
      <c r="N59" s="9">
        <f t="shared" ca="1" si="55"/>
        <v>0.3</v>
      </c>
      <c r="O59" s="9">
        <f t="shared" ca="1" si="55"/>
        <v>0.3</v>
      </c>
      <c r="P59" s="9">
        <f t="shared" ca="1" si="55"/>
        <v>0.3</v>
      </c>
      <c r="Q59" s="9">
        <f t="shared" ca="1" si="55"/>
        <v>0.3</v>
      </c>
      <c r="R59" s="9">
        <f t="shared" ca="1" si="55"/>
        <v>0.3</v>
      </c>
      <c r="S59" s="9">
        <f t="shared" ca="1" si="55"/>
        <v>0.3</v>
      </c>
      <c r="T59" s="9">
        <f t="shared" ca="1" si="55"/>
        <v>0.3</v>
      </c>
      <c r="U59" s="9">
        <f t="shared" ca="1" si="55"/>
        <v>0.3</v>
      </c>
      <c r="V59" s="9">
        <f t="shared" ca="1" si="56"/>
        <v>0.3</v>
      </c>
      <c r="W59" s="9">
        <f t="shared" ca="1" si="56"/>
        <v>0.3</v>
      </c>
      <c r="X59" s="9">
        <f t="shared" ca="1" si="56"/>
        <v>0.3</v>
      </c>
      <c r="Y59" s="9">
        <f t="shared" ca="1" si="56"/>
        <v>0.3</v>
      </c>
      <c r="Z59" s="9">
        <f t="shared" ca="1" si="56"/>
        <v>0.3</v>
      </c>
      <c r="AA59" s="9">
        <f t="shared" ca="1" si="56"/>
        <v>0.3</v>
      </c>
      <c r="AB59" s="9">
        <f t="shared" ca="1" si="56"/>
        <v>0.3</v>
      </c>
      <c r="AC59" s="9">
        <f t="shared" ca="1" si="56"/>
        <v>0.3</v>
      </c>
      <c r="AD59" s="9">
        <f t="shared" ca="1" si="56"/>
        <v>0.3</v>
      </c>
      <c r="AE59" s="9">
        <f t="shared" ca="1" si="56"/>
        <v>0.3</v>
      </c>
      <c r="AF59" s="9">
        <f t="shared" ca="1" si="57"/>
        <v>0.3</v>
      </c>
      <c r="AG59" s="9">
        <f t="shared" ca="1" si="57"/>
        <v>0.3</v>
      </c>
      <c r="AH59" s="9">
        <f t="shared" ca="1" si="57"/>
        <v>0.3</v>
      </c>
      <c r="AI59" s="9">
        <f t="shared" ca="1" si="57"/>
        <v>0.3</v>
      </c>
      <c r="AJ59" s="9">
        <f t="shared" ca="1" si="57"/>
        <v>0.3</v>
      </c>
      <c r="AK59" s="9">
        <f t="shared" ca="1" si="57"/>
        <v>0.3</v>
      </c>
      <c r="AL59" s="9">
        <f t="shared" ca="1" si="57"/>
        <v>0.3</v>
      </c>
      <c r="AM59" s="9">
        <f t="shared" ca="1" si="57"/>
        <v>0.3</v>
      </c>
      <c r="AN59" s="9">
        <f t="shared" ca="1" si="57"/>
        <v>0.3</v>
      </c>
      <c r="AO59" s="9">
        <f t="shared" ca="1" si="57"/>
        <v>0.3</v>
      </c>
      <c r="AP59" s="9">
        <f t="shared" ca="1" si="58"/>
        <v>0.3</v>
      </c>
      <c r="AQ59" s="9">
        <f t="shared" ca="1" si="58"/>
        <v>0.3</v>
      </c>
      <c r="AR59" s="9">
        <f t="shared" ca="1" si="58"/>
        <v>0.3</v>
      </c>
      <c r="AS59" s="9">
        <f t="shared" ca="1" si="58"/>
        <v>0.3</v>
      </c>
      <c r="AT59" s="9">
        <f t="shared" ca="1" si="58"/>
        <v>0.3</v>
      </c>
      <c r="AU59" s="9">
        <f t="shared" ca="1" si="58"/>
        <v>0.3</v>
      </c>
      <c r="AV59" s="9">
        <f t="shared" ca="1" si="58"/>
        <v>0.3</v>
      </c>
      <c r="AW59" s="9">
        <f t="shared" ca="1" si="58"/>
        <v>0.3</v>
      </c>
      <c r="AX59" s="9">
        <f t="shared" ca="1" si="58"/>
        <v>0.3</v>
      </c>
      <c r="AY59" s="9">
        <f t="shared" ca="1" si="58"/>
        <v>100.29999999999998</v>
      </c>
      <c r="AZ59" s="9">
        <f t="shared" ca="1" si="59"/>
        <v>0</v>
      </c>
      <c r="BA59" s="9">
        <f t="shared" ca="1" si="59"/>
        <v>0</v>
      </c>
      <c r="BB59" s="9">
        <f t="shared" ca="1" si="59"/>
        <v>0</v>
      </c>
      <c r="BC59" s="9">
        <f t="shared" ca="1" si="59"/>
        <v>0</v>
      </c>
      <c r="BD59" s="9">
        <f t="shared" ca="1" si="59"/>
        <v>0</v>
      </c>
      <c r="BE59" s="9">
        <f t="shared" ca="1" si="59"/>
        <v>0</v>
      </c>
      <c r="BF59" s="9">
        <f t="shared" ca="1" si="59"/>
        <v>0</v>
      </c>
      <c r="BG59" s="9">
        <f t="shared" ca="1" si="59"/>
        <v>0</v>
      </c>
      <c r="BH59" s="9">
        <f t="shared" ca="1" si="59"/>
        <v>0</v>
      </c>
      <c r="BI59" s="9">
        <f t="shared" ca="1" si="59"/>
        <v>0</v>
      </c>
      <c r="BJ59" s="9">
        <f t="shared" ca="1" si="60"/>
        <v>0</v>
      </c>
      <c r="BK59" s="9">
        <f t="shared" ca="1" si="60"/>
        <v>0</v>
      </c>
      <c r="BL59" s="9">
        <f t="shared" ca="1" si="60"/>
        <v>0</v>
      </c>
      <c r="BM59" s="9">
        <f t="shared" ca="1" si="60"/>
        <v>0</v>
      </c>
      <c r="BN59" s="9">
        <f t="shared" ca="1" si="60"/>
        <v>0</v>
      </c>
      <c r="BO59" s="9">
        <f t="shared" ca="1" si="60"/>
        <v>0</v>
      </c>
      <c r="BP59" s="9">
        <f t="shared" ca="1" si="60"/>
        <v>0</v>
      </c>
      <c r="BQ59" s="9">
        <f t="shared" ca="1" si="60"/>
        <v>0</v>
      </c>
      <c r="BR59" s="9">
        <f t="shared" ca="1" si="60"/>
        <v>0</v>
      </c>
      <c r="BS59" s="9">
        <f t="shared" ca="1" si="60"/>
        <v>0</v>
      </c>
      <c r="BT59" s="9">
        <f t="shared" ca="1" si="61"/>
        <v>0</v>
      </c>
      <c r="BU59" s="9">
        <f t="shared" ca="1" si="61"/>
        <v>0</v>
      </c>
      <c r="BV59" s="9">
        <f t="shared" ca="1" si="61"/>
        <v>0</v>
      </c>
      <c r="BW59" s="9">
        <f t="shared" ca="1" si="61"/>
        <v>0</v>
      </c>
      <c r="BX59" s="9">
        <f t="shared" ca="1" si="61"/>
        <v>0</v>
      </c>
      <c r="BY59" s="9">
        <f t="shared" ca="1" si="61"/>
        <v>0</v>
      </c>
      <c r="BZ59" s="9">
        <f t="shared" ca="1" si="61"/>
        <v>0</v>
      </c>
      <c r="CA59" s="9">
        <f t="shared" ca="1" si="61"/>
        <v>0</v>
      </c>
      <c r="CB59" s="9">
        <f t="shared" ca="1" si="61"/>
        <v>0</v>
      </c>
      <c r="CC59" s="9">
        <f t="shared" ca="1" si="61"/>
        <v>0</v>
      </c>
      <c r="CD59" s="9">
        <f t="shared" ca="1" si="62"/>
        <v>0</v>
      </c>
      <c r="CE59" s="9">
        <f t="shared" ca="1" si="62"/>
        <v>0</v>
      </c>
      <c r="CF59" s="9">
        <f t="shared" ca="1" si="62"/>
        <v>0</v>
      </c>
      <c r="CG59" s="9">
        <f t="shared" ca="1" si="62"/>
        <v>0</v>
      </c>
      <c r="CH59" s="9">
        <f t="shared" ca="1" si="62"/>
        <v>0</v>
      </c>
      <c r="CI59" s="9">
        <f t="shared" ca="1" si="62"/>
        <v>0</v>
      </c>
      <c r="CJ59" s="9">
        <f t="shared" ca="1" si="62"/>
        <v>0</v>
      </c>
      <c r="CK59" s="30">
        <f t="shared" ca="1" si="62"/>
        <v>0</v>
      </c>
      <c r="CN59" s="9">
        <v>28</v>
      </c>
      <c r="CO59" s="17">
        <v>0.05</v>
      </c>
      <c r="CP59" s="17">
        <v>-6.2463237360967979E-3</v>
      </c>
      <c r="CQ59" s="17">
        <v>-7.0189088660236893E-3</v>
      </c>
      <c r="CR59" s="17">
        <v>8.9358974821260139E-5</v>
      </c>
      <c r="CS59" s="17">
        <f t="shared" si="15"/>
        <v>3.6824126372700779E-2</v>
      </c>
      <c r="EC59" s="9">
        <f ca="1"/>
        <v>4.4499999999993128E-2</v>
      </c>
      <c r="ED59" s="9">
        <f ca="1"/>
        <v>4.4309999999993605E-2</v>
      </c>
      <c r="EE59" s="9">
        <f ca="1"/>
        <v>4.4689999999992652E-2</v>
      </c>
    </row>
    <row r="60" spans="1:135" x14ac:dyDescent="0.45">
      <c r="A60" s="8">
        <f ca="1"/>
        <v>23</v>
      </c>
      <c r="B60" s="58">
        <f ca="1"/>
        <v>4.0000000000000001E-3</v>
      </c>
      <c r="C60" s="18">
        <f ca="1"/>
        <v>53.6965</v>
      </c>
      <c r="D60" s="18">
        <f t="shared" ca="1" si="40"/>
        <v>54.002142317115748</v>
      </c>
      <c r="E60" s="18">
        <f t="shared" ca="1" si="41"/>
        <v>0.30564231711574763</v>
      </c>
      <c r="F60" s="18">
        <f t="shared" ca="1" si="42"/>
        <v>0.30564231711574763</v>
      </c>
      <c r="G60" s="19">
        <f t="shared" ca="1" si="43"/>
        <v>1.9267986398877168E-2</v>
      </c>
      <c r="H60" s="19">
        <f ca="1">IFERROR(IRR((J60,L60:CK60),0),0)</f>
        <v>1.9124004115934623E-2</v>
      </c>
      <c r="I60" s="55">
        <f t="shared" ca="1" si="44"/>
        <v>-1.4398228294254523E-4</v>
      </c>
      <c r="J60" s="18">
        <f t="shared" ca="1" si="45"/>
        <v>-54.002142317115748</v>
      </c>
      <c r="K60" s="29">
        <f t="shared" ca="1" si="46"/>
        <v>-53.6965</v>
      </c>
      <c r="L60" s="9">
        <f t="shared" ca="1" si="55"/>
        <v>0.4</v>
      </c>
      <c r="M60" s="9">
        <f t="shared" ca="1" si="55"/>
        <v>0.4</v>
      </c>
      <c r="N60" s="9">
        <f t="shared" ca="1" si="55"/>
        <v>0.4</v>
      </c>
      <c r="O60" s="9">
        <f t="shared" ca="1" si="55"/>
        <v>0.4</v>
      </c>
      <c r="P60" s="9">
        <f t="shared" ca="1" si="55"/>
        <v>0.4</v>
      </c>
      <c r="Q60" s="9">
        <f t="shared" ca="1" si="55"/>
        <v>0.4</v>
      </c>
      <c r="R60" s="9">
        <f t="shared" ca="1" si="55"/>
        <v>0.4</v>
      </c>
      <c r="S60" s="9">
        <f t="shared" ca="1" si="55"/>
        <v>0.4</v>
      </c>
      <c r="T60" s="9">
        <f t="shared" ca="1" si="55"/>
        <v>0.4</v>
      </c>
      <c r="U60" s="9">
        <f t="shared" ca="1" si="55"/>
        <v>0.4</v>
      </c>
      <c r="V60" s="9">
        <f t="shared" ca="1" si="56"/>
        <v>0.4</v>
      </c>
      <c r="W60" s="9">
        <f t="shared" ca="1" si="56"/>
        <v>0.4</v>
      </c>
      <c r="X60" s="9">
        <f t="shared" ca="1" si="56"/>
        <v>0.4</v>
      </c>
      <c r="Y60" s="9">
        <f t="shared" ca="1" si="56"/>
        <v>0.4</v>
      </c>
      <c r="Z60" s="9">
        <f t="shared" ca="1" si="56"/>
        <v>0.4</v>
      </c>
      <c r="AA60" s="9">
        <f t="shared" ca="1" si="56"/>
        <v>0.4</v>
      </c>
      <c r="AB60" s="9">
        <f t="shared" ca="1" si="56"/>
        <v>0.4</v>
      </c>
      <c r="AC60" s="9">
        <f t="shared" ca="1" si="56"/>
        <v>0.4</v>
      </c>
      <c r="AD60" s="9">
        <f t="shared" ca="1" si="56"/>
        <v>0.4</v>
      </c>
      <c r="AE60" s="9">
        <f t="shared" ca="1" si="56"/>
        <v>0.4</v>
      </c>
      <c r="AF60" s="9">
        <f t="shared" ca="1" si="57"/>
        <v>0.4</v>
      </c>
      <c r="AG60" s="9">
        <f t="shared" ca="1" si="57"/>
        <v>0.4</v>
      </c>
      <c r="AH60" s="9">
        <f t="shared" ca="1" si="57"/>
        <v>0.4</v>
      </c>
      <c r="AI60" s="9">
        <f t="shared" ca="1" si="57"/>
        <v>0.4</v>
      </c>
      <c r="AJ60" s="9">
        <f t="shared" ca="1" si="57"/>
        <v>0.4</v>
      </c>
      <c r="AK60" s="9">
        <f t="shared" ca="1" si="57"/>
        <v>0.4</v>
      </c>
      <c r="AL60" s="9">
        <f t="shared" ca="1" si="57"/>
        <v>0.4</v>
      </c>
      <c r="AM60" s="9">
        <f t="shared" ca="1" si="57"/>
        <v>0.4</v>
      </c>
      <c r="AN60" s="9">
        <f t="shared" ca="1" si="57"/>
        <v>0.4</v>
      </c>
      <c r="AO60" s="9">
        <f t="shared" ca="1" si="57"/>
        <v>0.4</v>
      </c>
      <c r="AP60" s="9">
        <f t="shared" ca="1" si="58"/>
        <v>0.4</v>
      </c>
      <c r="AQ60" s="9">
        <f t="shared" ca="1" si="58"/>
        <v>0.4</v>
      </c>
      <c r="AR60" s="9">
        <f t="shared" ca="1" si="58"/>
        <v>0.4</v>
      </c>
      <c r="AS60" s="9">
        <f t="shared" ca="1" si="58"/>
        <v>0.4</v>
      </c>
      <c r="AT60" s="9">
        <f t="shared" ca="1" si="58"/>
        <v>0.4</v>
      </c>
      <c r="AU60" s="9">
        <f t="shared" ca="1" si="58"/>
        <v>0.4</v>
      </c>
      <c r="AV60" s="9">
        <f t="shared" ca="1" si="58"/>
        <v>0.4</v>
      </c>
      <c r="AW60" s="9">
        <f t="shared" ca="1" si="58"/>
        <v>0.4</v>
      </c>
      <c r="AX60" s="9">
        <f t="shared" ca="1" si="58"/>
        <v>0.4</v>
      </c>
      <c r="AY60" s="9">
        <f t="shared" ca="1" si="58"/>
        <v>0.4</v>
      </c>
      <c r="AZ60" s="9">
        <f t="shared" ca="1" si="59"/>
        <v>0.4</v>
      </c>
      <c r="BA60" s="9">
        <f t="shared" ca="1" si="59"/>
        <v>0.4</v>
      </c>
      <c r="BB60" s="9">
        <f t="shared" ca="1" si="59"/>
        <v>0.4</v>
      </c>
      <c r="BC60" s="9">
        <f t="shared" ca="1" si="59"/>
        <v>0.4</v>
      </c>
      <c r="BD60" s="9">
        <f t="shared" ca="1" si="59"/>
        <v>0.4</v>
      </c>
      <c r="BE60" s="9">
        <f t="shared" ca="1" si="59"/>
        <v>100.4</v>
      </c>
      <c r="BF60" s="9">
        <f t="shared" ca="1" si="59"/>
        <v>0</v>
      </c>
      <c r="BG60" s="9">
        <f t="shared" ca="1" si="59"/>
        <v>0</v>
      </c>
      <c r="BH60" s="9">
        <f t="shared" ca="1" si="59"/>
        <v>0</v>
      </c>
      <c r="BI60" s="9">
        <f t="shared" ca="1" si="59"/>
        <v>0</v>
      </c>
      <c r="BJ60" s="9">
        <f t="shared" ca="1" si="60"/>
        <v>0</v>
      </c>
      <c r="BK60" s="9">
        <f t="shared" ca="1" si="60"/>
        <v>0</v>
      </c>
      <c r="BL60" s="9">
        <f t="shared" ca="1" si="60"/>
        <v>0</v>
      </c>
      <c r="BM60" s="9">
        <f t="shared" ca="1" si="60"/>
        <v>0</v>
      </c>
      <c r="BN60" s="9">
        <f t="shared" ca="1" si="60"/>
        <v>0</v>
      </c>
      <c r="BO60" s="9">
        <f t="shared" ca="1" si="60"/>
        <v>0</v>
      </c>
      <c r="BP60" s="9">
        <f t="shared" ca="1" si="60"/>
        <v>0</v>
      </c>
      <c r="BQ60" s="9">
        <f t="shared" ca="1" si="60"/>
        <v>0</v>
      </c>
      <c r="BR60" s="9">
        <f t="shared" ca="1" si="60"/>
        <v>0</v>
      </c>
      <c r="BS60" s="9">
        <f t="shared" ca="1" si="60"/>
        <v>0</v>
      </c>
      <c r="BT60" s="9">
        <f t="shared" ca="1" si="61"/>
        <v>0</v>
      </c>
      <c r="BU60" s="9">
        <f t="shared" ca="1" si="61"/>
        <v>0</v>
      </c>
      <c r="BV60" s="9">
        <f t="shared" ca="1" si="61"/>
        <v>0</v>
      </c>
      <c r="BW60" s="9">
        <f t="shared" ca="1" si="61"/>
        <v>0</v>
      </c>
      <c r="BX60" s="9">
        <f t="shared" ca="1" si="61"/>
        <v>0</v>
      </c>
      <c r="BY60" s="9">
        <f t="shared" ca="1" si="61"/>
        <v>0</v>
      </c>
      <c r="BZ60" s="9">
        <f t="shared" ca="1" si="61"/>
        <v>0</v>
      </c>
      <c r="CA60" s="9">
        <f t="shared" ca="1" si="61"/>
        <v>0</v>
      </c>
      <c r="CB60" s="9">
        <f t="shared" ca="1" si="61"/>
        <v>0</v>
      </c>
      <c r="CC60" s="9">
        <f t="shared" ca="1" si="61"/>
        <v>0</v>
      </c>
      <c r="CD60" s="9">
        <f t="shared" ca="1" si="62"/>
        <v>0</v>
      </c>
      <c r="CE60" s="9">
        <f t="shared" ca="1" si="62"/>
        <v>0</v>
      </c>
      <c r="CF60" s="9">
        <f t="shared" ca="1" si="62"/>
        <v>0</v>
      </c>
      <c r="CG60" s="9">
        <f t="shared" ca="1" si="62"/>
        <v>0</v>
      </c>
      <c r="CH60" s="9">
        <f t="shared" ca="1" si="62"/>
        <v>0</v>
      </c>
      <c r="CI60" s="9">
        <f t="shared" ca="1" si="62"/>
        <v>0</v>
      </c>
      <c r="CJ60" s="9">
        <f t="shared" ca="1" si="62"/>
        <v>0</v>
      </c>
      <c r="CK60" s="30">
        <f t="shared" ca="1" si="62"/>
        <v>0</v>
      </c>
      <c r="CN60" s="9">
        <v>28.5</v>
      </c>
      <c r="CO60" s="17">
        <v>0.05</v>
      </c>
      <c r="CP60" s="17">
        <v>-6.1377522013027208E-3</v>
      </c>
      <c r="CQ60" s="17">
        <v>-6.9033076547269272E-3</v>
      </c>
      <c r="CR60" s="17">
        <v>8.779127350860647E-5</v>
      </c>
      <c r="CS60" s="17">
        <f t="shared" si="15"/>
        <v>3.7046731417478961E-2</v>
      </c>
      <c r="EC60" s="9">
        <f ca="1"/>
        <v>4.4954999999989483E-2</v>
      </c>
      <c r="ED60" s="9">
        <f ca="1"/>
        <v>4.4759999999990231E-2</v>
      </c>
      <c r="EE60" s="9">
        <f ca="1"/>
        <v>4.5149999999988727E-2</v>
      </c>
    </row>
    <row r="61" spans="1:135" x14ac:dyDescent="0.45">
      <c r="A61" s="8">
        <f ca="1"/>
        <v>23</v>
      </c>
      <c r="B61" s="58">
        <f ca="1"/>
        <v>4.0000000000000001E-3</v>
      </c>
      <c r="C61" s="18">
        <f ca="1"/>
        <v>53.173500000000004</v>
      </c>
      <c r="D61" s="18">
        <f t="shared" ca="1" si="40"/>
        <v>54.002142317115748</v>
      </c>
      <c r="E61" s="18">
        <f t="shared" ca="1" si="41"/>
        <v>0.82864231711574377</v>
      </c>
      <c r="F61" s="18">
        <f t="shared" ca="1" si="42"/>
        <v>0.82864231711574377</v>
      </c>
      <c r="G61" s="19">
        <f t="shared" ca="1" si="43"/>
        <v>1.9516505901645331E-2</v>
      </c>
      <c r="H61" s="19">
        <f ca="1">IFERROR(IRR((J61,L61:CK61),0),0)</f>
        <v>1.9124004115934623E-2</v>
      </c>
      <c r="I61" s="55">
        <f t="shared" ca="1" si="44"/>
        <v>-3.9250178571070826E-4</v>
      </c>
      <c r="J61" s="18">
        <f t="shared" ca="1" si="45"/>
        <v>-54.002142317115748</v>
      </c>
      <c r="K61" s="29">
        <f t="shared" ca="1" si="46"/>
        <v>-53.173500000000004</v>
      </c>
      <c r="L61" s="9">
        <f t="shared" ca="1" si="55"/>
        <v>0.4</v>
      </c>
      <c r="M61" s="9">
        <f t="shared" ca="1" si="55"/>
        <v>0.4</v>
      </c>
      <c r="N61" s="9">
        <f t="shared" ca="1" si="55"/>
        <v>0.4</v>
      </c>
      <c r="O61" s="9">
        <f t="shared" ca="1" si="55"/>
        <v>0.4</v>
      </c>
      <c r="P61" s="9">
        <f t="shared" ca="1" si="55"/>
        <v>0.4</v>
      </c>
      <c r="Q61" s="9">
        <f t="shared" ca="1" si="55"/>
        <v>0.4</v>
      </c>
      <c r="R61" s="9">
        <f t="shared" ca="1" si="55"/>
        <v>0.4</v>
      </c>
      <c r="S61" s="9">
        <f t="shared" ca="1" si="55"/>
        <v>0.4</v>
      </c>
      <c r="T61" s="9">
        <f t="shared" ca="1" si="55"/>
        <v>0.4</v>
      </c>
      <c r="U61" s="9">
        <f t="shared" ca="1" si="55"/>
        <v>0.4</v>
      </c>
      <c r="V61" s="9">
        <f t="shared" ca="1" si="56"/>
        <v>0.4</v>
      </c>
      <c r="W61" s="9">
        <f t="shared" ca="1" si="56"/>
        <v>0.4</v>
      </c>
      <c r="X61" s="9">
        <f t="shared" ca="1" si="56"/>
        <v>0.4</v>
      </c>
      <c r="Y61" s="9">
        <f t="shared" ca="1" si="56"/>
        <v>0.4</v>
      </c>
      <c r="Z61" s="9">
        <f t="shared" ca="1" si="56"/>
        <v>0.4</v>
      </c>
      <c r="AA61" s="9">
        <f t="shared" ca="1" si="56"/>
        <v>0.4</v>
      </c>
      <c r="AB61" s="9">
        <f t="shared" ca="1" si="56"/>
        <v>0.4</v>
      </c>
      <c r="AC61" s="9">
        <f t="shared" ca="1" si="56"/>
        <v>0.4</v>
      </c>
      <c r="AD61" s="9">
        <f t="shared" ca="1" si="56"/>
        <v>0.4</v>
      </c>
      <c r="AE61" s="9">
        <f t="shared" ca="1" si="56"/>
        <v>0.4</v>
      </c>
      <c r="AF61" s="9">
        <f t="shared" ca="1" si="57"/>
        <v>0.4</v>
      </c>
      <c r="AG61" s="9">
        <f t="shared" ca="1" si="57"/>
        <v>0.4</v>
      </c>
      <c r="AH61" s="9">
        <f t="shared" ca="1" si="57"/>
        <v>0.4</v>
      </c>
      <c r="AI61" s="9">
        <f t="shared" ca="1" si="57"/>
        <v>0.4</v>
      </c>
      <c r="AJ61" s="9">
        <f t="shared" ca="1" si="57"/>
        <v>0.4</v>
      </c>
      <c r="AK61" s="9">
        <f t="shared" ca="1" si="57"/>
        <v>0.4</v>
      </c>
      <c r="AL61" s="9">
        <f t="shared" ca="1" si="57"/>
        <v>0.4</v>
      </c>
      <c r="AM61" s="9">
        <f t="shared" ca="1" si="57"/>
        <v>0.4</v>
      </c>
      <c r="AN61" s="9">
        <f t="shared" ca="1" si="57"/>
        <v>0.4</v>
      </c>
      <c r="AO61" s="9">
        <f t="shared" ca="1" si="57"/>
        <v>0.4</v>
      </c>
      <c r="AP61" s="9">
        <f t="shared" ca="1" si="58"/>
        <v>0.4</v>
      </c>
      <c r="AQ61" s="9">
        <f t="shared" ca="1" si="58"/>
        <v>0.4</v>
      </c>
      <c r="AR61" s="9">
        <f t="shared" ca="1" si="58"/>
        <v>0.4</v>
      </c>
      <c r="AS61" s="9">
        <f t="shared" ca="1" si="58"/>
        <v>0.4</v>
      </c>
      <c r="AT61" s="9">
        <f t="shared" ca="1" si="58"/>
        <v>0.4</v>
      </c>
      <c r="AU61" s="9">
        <f t="shared" ca="1" si="58"/>
        <v>0.4</v>
      </c>
      <c r="AV61" s="9">
        <f t="shared" ca="1" si="58"/>
        <v>0.4</v>
      </c>
      <c r="AW61" s="9">
        <f t="shared" ca="1" si="58"/>
        <v>0.4</v>
      </c>
      <c r="AX61" s="9">
        <f t="shared" ca="1" si="58"/>
        <v>0.4</v>
      </c>
      <c r="AY61" s="9">
        <f t="shared" ca="1" si="58"/>
        <v>0.4</v>
      </c>
      <c r="AZ61" s="9">
        <f t="shared" ca="1" si="59"/>
        <v>0.4</v>
      </c>
      <c r="BA61" s="9">
        <f t="shared" ca="1" si="59"/>
        <v>0.4</v>
      </c>
      <c r="BB61" s="9">
        <f t="shared" ca="1" si="59"/>
        <v>0.4</v>
      </c>
      <c r="BC61" s="9">
        <f t="shared" ca="1" si="59"/>
        <v>0.4</v>
      </c>
      <c r="BD61" s="9">
        <f t="shared" ca="1" si="59"/>
        <v>0.4</v>
      </c>
      <c r="BE61" s="9">
        <f t="shared" ca="1" si="59"/>
        <v>100.4</v>
      </c>
      <c r="BF61" s="9">
        <f t="shared" ca="1" si="59"/>
        <v>0</v>
      </c>
      <c r="BG61" s="9">
        <f t="shared" ca="1" si="59"/>
        <v>0</v>
      </c>
      <c r="BH61" s="9">
        <f t="shared" ca="1" si="59"/>
        <v>0</v>
      </c>
      <c r="BI61" s="9">
        <f t="shared" ca="1" si="59"/>
        <v>0</v>
      </c>
      <c r="BJ61" s="9">
        <f t="shared" ca="1" si="60"/>
        <v>0</v>
      </c>
      <c r="BK61" s="9">
        <f t="shared" ca="1" si="60"/>
        <v>0</v>
      </c>
      <c r="BL61" s="9">
        <f t="shared" ca="1" si="60"/>
        <v>0</v>
      </c>
      <c r="BM61" s="9">
        <f t="shared" ca="1" si="60"/>
        <v>0</v>
      </c>
      <c r="BN61" s="9">
        <f t="shared" ca="1" si="60"/>
        <v>0</v>
      </c>
      <c r="BO61" s="9">
        <f t="shared" ca="1" si="60"/>
        <v>0</v>
      </c>
      <c r="BP61" s="9">
        <f t="shared" ca="1" si="60"/>
        <v>0</v>
      </c>
      <c r="BQ61" s="9">
        <f t="shared" ca="1" si="60"/>
        <v>0</v>
      </c>
      <c r="BR61" s="9">
        <f t="shared" ca="1" si="60"/>
        <v>0</v>
      </c>
      <c r="BS61" s="9">
        <f t="shared" ca="1" si="60"/>
        <v>0</v>
      </c>
      <c r="BT61" s="9">
        <f t="shared" ca="1" si="61"/>
        <v>0</v>
      </c>
      <c r="BU61" s="9">
        <f t="shared" ca="1" si="61"/>
        <v>0</v>
      </c>
      <c r="BV61" s="9">
        <f t="shared" ca="1" si="61"/>
        <v>0</v>
      </c>
      <c r="BW61" s="9">
        <f t="shared" ca="1" si="61"/>
        <v>0</v>
      </c>
      <c r="BX61" s="9">
        <f t="shared" ca="1" si="61"/>
        <v>0</v>
      </c>
      <c r="BY61" s="9">
        <f t="shared" ca="1" si="61"/>
        <v>0</v>
      </c>
      <c r="BZ61" s="9">
        <f t="shared" ca="1" si="61"/>
        <v>0</v>
      </c>
      <c r="CA61" s="9">
        <f t="shared" ca="1" si="61"/>
        <v>0</v>
      </c>
      <c r="CB61" s="9">
        <f t="shared" ca="1" si="61"/>
        <v>0</v>
      </c>
      <c r="CC61" s="9">
        <f t="shared" ca="1" si="61"/>
        <v>0</v>
      </c>
      <c r="CD61" s="9">
        <f t="shared" ca="1" si="62"/>
        <v>0</v>
      </c>
      <c r="CE61" s="9">
        <f t="shared" ca="1" si="62"/>
        <v>0</v>
      </c>
      <c r="CF61" s="9">
        <f t="shared" ca="1" si="62"/>
        <v>0</v>
      </c>
      <c r="CG61" s="9">
        <f t="shared" ca="1" si="62"/>
        <v>0</v>
      </c>
      <c r="CH61" s="9">
        <f t="shared" ca="1" si="62"/>
        <v>0</v>
      </c>
      <c r="CI61" s="9">
        <f t="shared" ca="1" si="62"/>
        <v>0</v>
      </c>
      <c r="CJ61" s="9">
        <f t="shared" ca="1" si="62"/>
        <v>0</v>
      </c>
      <c r="CK61" s="30">
        <f t="shared" ca="1" si="62"/>
        <v>0</v>
      </c>
      <c r="CN61" s="9">
        <v>29</v>
      </c>
      <c r="CO61" s="17">
        <v>0.05</v>
      </c>
      <c r="CP61" s="17">
        <v>-6.032815412431539E-3</v>
      </c>
      <c r="CQ61" s="17">
        <v>-6.7909977337039743E-3</v>
      </c>
      <c r="CR61" s="17">
        <v>8.6277630861906376E-5</v>
      </c>
      <c r="CS61" s="17">
        <f t="shared" si="15"/>
        <v>3.72624644847264E-2</v>
      </c>
      <c r="EC61" s="9">
        <f ca="1"/>
        <v>4.5409999999987585E-2</v>
      </c>
      <c r="ED61" s="9">
        <f ca="1"/>
        <v>4.5229999999988377E-2</v>
      </c>
      <c r="EE61" s="9">
        <f ca="1"/>
        <v>4.5589999999986787E-2</v>
      </c>
    </row>
    <row r="62" spans="1:135" x14ac:dyDescent="0.45">
      <c r="A62" s="8">
        <f ca="1"/>
        <v>23.5</v>
      </c>
      <c r="B62" s="58">
        <f ca="1"/>
        <v>4.0000000000000001E-3</v>
      </c>
      <c r="C62" s="18">
        <f ca="1"/>
        <v>52.658000000000001</v>
      </c>
      <c r="D62" s="18">
        <f t="shared" ca="1" si="40"/>
        <v>53.092735337682633</v>
      </c>
      <c r="E62" s="18">
        <f t="shared" ca="1" si="41"/>
        <v>0.43473533768263195</v>
      </c>
      <c r="F62" s="18">
        <f t="shared" ca="1" si="42"/>
        <v>0.43473533768263195</v>
      </c>
      <c r="G62" s="19">
        <f t="shared" ca="1" si="43"/>
        <v>1.9464271428665247E-2</v>
      </c>
      <c r="H62" s="19">
        <f ca="1">IFERROR(IRR((J62,L62:CK62),0),0)</f>
        <v>1.9259124902114788E-2</v>
      </c>
      <c r="I62" s="55">
        <f t="shared" ca="1" si="44"/>
        <v>-2.0514652655045928E-4</v>
      </c>
      <c r="J62" s="18">
        <f t="shared" ca="1" si="45"/>
        <v>-53.092735337682633</v>
      </c>
      <c r="K62" s="29">
        <f t="shared" ca="1" si="46"/>
        <v>-52.658000000000001</v>
      </c>
      <c r="L62" s="9">
        <f t="shared" ca="1" si="55"/>
        <v>0.4</v>
      </c>
      <c r="M62" s="9">
        <f t="shared" ca="1" si="55"/>
        <v>0.4</v>
      </c>
      <c r="N62" s="9">
        <f t="shared" ca="1" si="55"/>
        <v>0.4</v>
      </c>
      <c r="O62" s="9">
        <f t="shared" ca="1" si="55"/>
        <v>0.4</v>
      </c>
      <c r="P62" s="9">
        <f t="shared" ca="1" si="55"/>
        <v>0.4</v>
      </c>
      <c r="Q62" s="9">
        <f t="shared" ca="1" si="55"/>
        <v>0.4</v>
      </c>
      <c r="R62" s="9">
        <f t="shared" ca="1" si="55"/>
        <v>0.4</v>
      </c>
      <c r="S62" s="9">
        <f t="shared" ca="1" si="55"/>
        <v>0.4</v>
      </c>
      <c r="T62" s="9">
        <f t="shared" ca="1" si="55"/>
        <v>0.4</v>
      </c>
      <c r="U62" s="9">
        <f t="shared" ca="1" si="55"/>
        <v>0.4</v>
      </c>
      <c r="V62" s="9">
        <f t="shared" ca="1" si="56"/>
        <v>0.4</v>
      </c>
      <c r="W62" s="9">
        <f t="shared" ca="1" si="56"/>
        <v>0.4</v>
      </c>
      <c r="X62" s="9">
        <f t="shared" ca="1" si="56"/>
        <v>0.4</v>
      </c>
      <c r="Y62" s="9">
        <f t="shared" ca="1" si="56"/>
        <v>0.4</v>
      </c>
      <c r="Z62" s="9">
        <f t="shared" ca="1" si="56"/>
        <v>0.4</v>
      </c>
      <c r="AA62" s="9">
        <f t="shared" ca="1" si="56"/>
        <v>0.4</v>
      </c>
      <c r="AB62" s="9">
        <f t="shared" ca="1" si="56"/>
        <v>0.4</v>
      </c>
      <c r="AC62" s="9">
        <f t="shared" ca="1" si="56"/>
        <v>0.4</v>
      </c>
      <c r="AD62" s="9">
        <f t="shared" ca="1" si="56"/>
        <v>0.4</v>
      </c>
      <c r="AE62" s="9">
        <f t="shared" ca="1" si="56"/>
        <v>0.4</v>
      </c>
      <c r="AF62" s="9">
        <f t="shared" ca="1" si="57"/>
        <v>0.4</v>
      </c>
      <c r="AG62" s="9">
        <f t="shared" ca="1" si="57"/>
        <v>0.4</v>
      </c>
      <c r="AH62" s="9">
        <f t="shared" ca="1" si="57"/>
        <v>0.4</v>
      </c>
      <c r="AI62" s="9">
        <f t="shared" ca="1" si="57"/>
        <v>0.4</v>
      </c>
      <c r="AJ62" s="9">
        <f t="shared" ca="1" si="57"/>
        <v>0.4</v>
      </c>
      <c r="AK62" s="9">
        <f t="shared" ca="1" si="57"/>
        <v>0.4</v>
      </c>
      <c r="AL62" s="9">
        <f t="shared" ca="1" si="57"/>
        <v>0.4</v>
      </c>
      <c r="AM62" s="9">
        <f t="shared" ca="1" si="57"/>
        <v>0.4</v>
      </c>
      <c r="AN62" s="9">
        <f t="shared" ca="1" si="57"/>
        <v>0.4</v>
      </c>
      <c r="AO62" s="9">
        <f t="shared" ca="1" si="57"/>
        <v>0.4</v>
      </c>
      <c r="AP62" s="9">
        <f t="shared" ca="1" si="58"/>
        <v>0.4</v>
      </c>
      <c r="AQ62" s="9">
        <f t="shared" ca="1" si="58"/>
        <v>0.4</v>
      </c>
      <c r="AR62" s="9">
        <f t="shared" ca="1" si="58"/>
        <v>0.4</v>
      </c>
      <c r="AS62" s="9">
        <f t="shared" ca="1" si="58"/>
        <v>0.4</v>
      </c>
      <c r="AT62" s="9">
        <f t="shared" ca="1" si="58"/>
        <v>0.4</v>
      </c>
      <c r="AU62" s="9">
        <f t="shared" ca="1" si="58"/>
        <v>0.4</v>
      </c>
      <c r="AV62" s="9">
        <f t="shared" ca="1" si="58"/>
        <v>0.4</v>
      </c>
      <c r="AW62" s="9">
        <f t="shared" ca="1" si="58"/>
        <v>0.4</v>
      </c>
      <c r="AX62" s="9">
        <f t="shared" ca="1" si="58"/>
        <v>0.4</v>
      </c>
      <c r="AY62" s="9">
        <f t="shared" ca="1" si="58"/>
        <v>0.4</v>
      </c>
      <c r="AZ62" s="9">
        <f t="shared" ca="1" si="59"/>
        <v>0.4</v>
      </c>
      <c r="BA62" s="9">
        <f t="shared" ca="1" si="59"/>
        <v>0.4</v>
      </c>
      <c r="BB62" s="9">
        <f t="shared" ca="1" si="59"/>
        <v>0.4</v>
      </c>
      <c r="BC62" s="9">
        <f t="shared" ca="1" si="59"/>
        <v>0.4</v>
      </c>
      <c r="BD62" s="9">
        <f t="shared" ca="1" si="59"/>
        <v>0.4</v>
      </c>
      <c r="BE62" s="9">
        <f t="shared" ca="1" si="59"/>
        <v>0.4</v>
      </c>
      <c r="BF62" s="9">
        <f t="shared" ca="1" si="59"/>
        <v>100.4</v>
      </c>
      <c r="BG62" s="9">
        <f t="shared" ca="1" si="59"/>
        <v>0</v>
      </c>
      <c r="BH62" s="9">
        <f t="shared" ca="1" si="59"/>
        <v>0</v>
      </c>
      <c r="BI62" s="9">
        <f t="shared" ca="1" si="59"/>
        <v>0</v>
      </c>
      <c r="BJ62" s="9">
        <f t="shared" ca="1" si="60"/>
        <v>0</v>
      </c>
      <c r="BK62" s="9">
        <f t="shared" ca="1" si="60"/>
        <v>0</v>
      </c>
      <c r="BL62" s="9">
        <f t="shared" ca="1" si="60"/>
        <v>0</v>
      </c>
      <c r="BM62" s="9">
        <f t="shared" ca="1" si="60"/>
        <v>0</v>
      </c>
      <c r="BN62" s="9">
        <f t="shared" ca="1" si="60"/>
        <v>0</v>
      </c>
      <c r="BO62" s="9">
        <f t="shared" ca="1" si="60"/>
        <v>0</v>
      </c>
      <c r="BP62" s="9">
        <f t="shared" ca="1" si="60"/>
        <v>0</v>
      </c>
      <c r="BQ62" s="9">
        <f t="shared" ca="1" si="60"/>
        <v>0</v>
      </c>
      <c r="BR62" s="9">
        <f t="shared" ca="1" si="60"/>
        <v>0</v>
      </c>
      <c r="BS62" s="9">
        <f t="shared" ca="1" si="60"/>
        <v>0</v>
      </c>
      <c r="BT62" s="9">
        <f t="shared" ca="1" si="61"/>
        <v>0</v>
      </c>
      <c r="BU62" s="9">
        <f t="shared" ca="1" si="61"/>
        <v>0</v>
      </c>
      <c r="BV62" s="9">
        <f t="shared" ca="1" si="61"/>
        <v>0</v>
      </c>
      <c r="BW62" s="9">
        <f t="shared" ca="1" si="61"/>
        <v>0</v>
      </c>
      <c r="BX62" s="9">
        <f t="shared" ca="1" si="61"/>
        <v>0</v>
      </c>
      <c r="BY62" s="9">
        <f t="shared" ca="1" si="61"/>
        <v>0</v>
      </c>
      <c r="BZ62" s="9">
        <f t="shared" ca="1" si="61"/>
        <v>0</v>
      </c>
      <c r="CA62" s="9">
        <f t="shared" ca="1" si="61"/>
        <v>0</v>
      </c>
      <c r="CB62" s="9">
        <f t="shared" ca="1" si="61"/>
        <v>0</v>
      </c>
      <c r="CC62" s="9">
        <f t="shared" ca="1" si="61"/>
        <v>0</v>
      </c>
      <c r="CD62" s="9">
        <f t="shared" ca="1" si="62"/>
        <v>0</v>
      </c>
      <c r="CE62" s="9">
        <f t="shared" ca="1" si="62"/>
        <v>0</v>
      </c>
      <c r="CF62" s="9">
        <f t="shared" ca="1" si="62"/>
        <v>0</v>
      </c>
      <c r="CG62" s="9">
        <f t="shared" ca="1" si="62"/>
        <v>0</v>
      </c>
      <c r="CH62" s="9">
        <f t="shared" ca="1" si="62"/>
        <v>0</v>
      </c>
      <c r="CI62" s="9">
        <f t="shared" ca="1" si="62"/>
        <v>0</v>
      </c>
      <c r="CJ62" s="9">
        <f t="shared" ca="1" si="62"/>
        <v>0</v>
      </c>
      <c r="CK62" s="30">
        <f t="shared" ca="1" si="62"/>
        <v>0</v>
      </c>
      <c r="CN62" s="9">
        <v>29.5</v>
      </c>
      <c r="CO62" s="17">
        <v>0.05</v>
      </c>
      <c r="CP62" s="17">
        <v>-5.9313403044004651E-3</v>
      </c>
      <c r="CQ62" s="17">
        <v>-6.681874033931271E-3</v>
      </c>
      <c r="CR62" s="17">
        <v>8.4815298135433394E-5</v>
      </c>
      <c r="CS62" s="17">
        <f t="shared" si="15"/>
        <v>3.7471600959803703E-2</v>
      </c>
      <c r="EC62" s="9">
        <f ca="1"/>
        <v>4.5784999999981764E-2</v>
      </c>
      <c r="ED62" s="9">
        <f ca="1"/>
        <v>4.5589999999982991E-2</v>
      </c>
      <c r="EE62" s="9">
        <f ca="1"/>
        <v>4.5979999999980536E-2</v>
      </c>
    </row>
    <row r="63" spans="1:135" x14ac:dyDescent="0.45">
      <c r="A63" s="8">
        <f ca="1"/>
        <v>23.5</v>
      </c>
      <c r="B63" s="58">
        <f ca="1"/>
        <v>4.0000000000000001E-3</v>
      </c>
      <c r="C63" s="18">
        <f ca="1"/>
        <v>52.198499999999996</v>
      </c>
      <c r="D63" s="18">
        <f t="shared" ca="1" si="40"/>
        <v>53.092735337682633</v>
      </c>
      <c r="E63" s="18">
        <f t="shared" ca="1" si="41"/>
        <v>0.89423533768263752</v>
      </c>
      <c r="F63" s="18">
        <f t="shared" ca="1" si="42"/>
        <v>0.89423533768263752</v>
      </c>
      <c r="G63" s="19">
        <f t="shared" ca="1" si="43"/>
        <v>1.9683184429168055E-2</v>
      </c>
      <c r="H63" s="19">
        <f ca="1">IFERROR(IRR((J63,L63:CK63),0),0)</f>
        <v>1.9259124902114788E-2</v>
      </c>
      <c r="I63" s="55">
        <f t="shared" ca="1" si="44"/>
        <v>-4.2405952705326655E-4</v>
      </c>
      <c r="J63" s="18">
        <f t="shared" ca="1" si="45"/>
        <v>-53.092735337682633</v>
      </c>
      <c r="K63" s="29">
        <f t="shared" ca="1" si="46"/>
        <v>-52.198499999999996</v>
      </c>
      <c r="L63" s="9">
        <f t="shared" ca="1" si="55"/>
        <v>0.4</v>
      </c>
      <c r="M63" s="9">
        <f t="shared" ca="1" si="55"/>
        <v>0.4</v>
      </c>
      <c r="N63" s="9">
        <f t="shared" ca="1" si="55"/>
        <v>0.4</v>
      </c>
      <c r="O63" s="9">
        <f t="shared" ca="1" si="55"/>
        <v>0.4</v>
      </c>
      <c r="P63" s="9">
        <f t="shared" ca="1" si="55"/>
        <v>0.4</v>
      </c>
      <c r="Q63" s="9">
        <f t="shared" ca="1" si="55"/>
        <v>0.4</v>
      </c>
      <c r="R63" s="9">
        <f t="shared" ca="1" si="55"/>
        <v>0.4</v>
      </c>
      <c r="S63" s="9">
        <f t="shared" ca="1" si="55"/>
        <v>0.4</v>
      </c>
      <c r="T63" s="9">
        <f t="shared" ca="1" si="55"/>
        <v>0.4</v>
      </c>
      <c r="U63" s="9">
        <f t="shared" ca="1" si="55"/>
        <v>0.4</v>
      </c>
      <c r="V63" s="9">
        <f t="shared" ca="1" si="56"/>
        <v>0.4</v>
      </c>
      <c r="W63" s="9">
        <f t="shared" ca="1" si="56"/>
        <v>0.4</v>
      </c>
      <c r="X63" s="9">
        <f t="shared" ca="1" si="56"/>
        <v>0.4</v>
      </c>
      <c r="Y63" s="9">
        <f t="shared" ca="1" si="56"/>
        <v>0.4</v>
      </c>
      <c r="Z63" s="9">
        <f t="shared" ca="1" si="56"/>
        <v>0.4</v>
      </c>
      <c r="AA63" s="9">
        <f t="shared" ca="1" si="56"/>
        <v>0.4</v>
      </c>
      <c r="AB63" s="9">
        <f t="shared" ca="1" si="56"/>
        <v>0.4</v>
      </c>
      <c r="AC63" s="9">
        <f t="shared" ca="1" si="56"/>
        <v>0.4</v>
      </c>
      <c r="AD63" s="9">
        <f t="shared" ca="1" si="56"/>
        <v>0.4</v>
      </c>
      <c r="AE63" s="9">
        <f t="shared" ca="1" si="56"/>
        <v>0.4</v>
      </c>
      <c r="AF63" s="9">
        <f t="shared" ca="1" si="57"/>
        <v>0.4</v>
      </c>
      <c r="AG63" s="9">
        <f t="shared" ca="1" si="57"/>
        <v>0.4</v>
      </c>
      <c r="AH63" s="9">
        <f t="shared" ca="1" si="57"/>
        <v>0.4</v>
      </c>
      <c r="AI63" s="9">
        <f t="shared" ca="1" si="57"/>
        <v>0.4</v>
      </c>
      <c r="AJ63" s="9">
        <f t="shared" ca="1" si="57"/>
        <v>0.4</v>
      </c>
      <c r="AK63" s="9">
        <f t="shared" ca="1" si="57"/>
        <v>0.4</v>
      </c>
      <c r="AL63" s="9">
        <f t="shared" ca="1" si="57"/>
        <v>0.4</v>
      </c>
      <c r="AM63" s="9">
        <f t="shared" ca="1" si="57"/>
        <v>0.4</v>
      </c>
      <c r="AN63" s="9">
        <f t="shared" ca="1" si="57"/>
        <v>0.4</v>
      </c>
      <c r="AO63" s="9">
        <f t="shared" ca="1" si="57"/>
        <v>0.4</v>
      </c>
      <c r="AP63" s="9">
        <f t="shared" ca="1" si="58"/>
        <v>0.4</v>
      </c>
      <c r="AQ63" s="9">
        <f t="shared" ca="1" si="58"/>
        <v>0.4</v>
      </c>
      <c r="AR63" s="9">
        <f t="shared" ca="1" si="58"/>
        <v>0.4</v>
      </c>
      <c r="AS63" s="9">
        <f t="shared" ca="1" si="58"/>
        <v>0.4</v>
      </c>
      <c r="AT63" s="9">
        <f t="shared" ca="1" si="58"/>
        <v>0.4</v>
      </c>
      <c r="AU63" s="9">
        <f t="shared" ca="1" si="58"/>
        <v>0.4</v>
      </c>
      <c r="AV63" s="9">
        <f t="shared" ca="1" si="58"/>
        <v>0.4</v>
      </c>
      <c r="AW63" s="9">
        <f t="shared" ca="1" si="58"/>
        <v>0.4</v>
      </c>
      <c r="AX63" s="9">
        <f t="shared" ca="1" si="58"/>
        <v>0.4</v>
      </c>
      <c r="AY63" s="9">
        <f t="shared" ca="1" si="58"/>
        <v>0.4</v>
      </c>
      <c r="AZ63" s="9">
        <f t="shared" ca="1" si="59"/>
        <v>0.4</v>
      </c>
      <c r="BA63" s="9">
        <f t="shared" ca="1" si="59"/>
        <v>0.4</v>
      </c>
      <c r="BB63" s="9">
        <f t="shared" ca="1" si="59"/>
        <v>0.4</v>
      </c>
      <c r="BC63" s="9">
        <f t="shared" ca="1" si="59"/>
        <v>0.4</v>
      </c>
      <c r="BD63" s="9">
        <f t="shared" ca="1" si="59"/>
        <v>0.4</v>
      </c>
      <c r="BE63" s="9">
        <f t="shared" ca="1" si="59"/>
        <v>0.4</v>
      </c>
      <c r="BF63" s="9">
        <f t="shared" ca="1" si="59"/>
        <v>100.4</v>
      </c>
      <c r="BG63" s="9">
        <f t="shared" ca="1" si="59"/>
        <v>0</v>
      </c>
      <c r="BH63" s="9">
        <f t="shared" ca="1" si="59"/>
        <v>0</v>
      </c>
      <c r="BI63" s="9">
        <f t="shared" ca="1" si="59"/>
        <v>0</v>
      </c>
      <c r="BJ63" s="9">
        <f t="shared" ca="1" si="60"/>
        <v>0</v>
      </c>
      <c r="BK63" s="9">
        <f t="shared" ca="1" si="60"/>
        <v>0</v>
      </c>
      <c r="BL63" s="9">
        <f t="shared" ca="1" si="60"/>
        <v>0</v>
      </c>
      <c r="BM63" s="9">
        <f t="shared" ca="1" si="60"/>
        <v>0</v>
      </c>
      <c r="BN63" s="9">
        <f t="shared" ca="1" si="60"/>
        <v>0</v>
      </c>
      <c r="BO63" s="9">
        <f t="shared" ca="1" si="60"/>
        <v>0</v>
      </c>
      <c r="BP63" s="9">
        <f t="shared" ca="1" si="60"/>
        <v>0</v>
      </c>
      <c r="BQ63" s="9">
        <f t="shared" ca="1" si="60"/>
        <v>0</v>
      </c>
      <c r="BR63" s="9">
        <f t="shared" ca="1" si="60"/>
        <v>0</v>
      </c>
      <c r="BS63" s="9">
        <f t="shared" ca="1" si="60"/>
        <v>0</v>
      </c>
      <c r="BT63" s="9">
        <f t="shared" ca="1" si="61"/>
        <v>0</v>
      </c>
      <c r="BU63" s="9">
        <f t="shared" ca="1" si="61"/>
        <v>0</v>
      </c>
      <c r="BV63" s="9">
        <f t="shared" ca="1" si="61"/>
        <v>0</v>
      </c>
      <c r="BW63" s="9">
        <f t="shared" ca="1" si="61"/>
        <v>0</v>
      </c>
      <c r="BX63" s="9">
        <f t="shared" ca="1" si="61"/>
        <v>0</v>
      </c>
      <c r="BY63" s="9">
        <f t="shared" ca="1" si="61"/>
        <v>0</v>
      </c>
      <c r="BZ63" s="9">
        <f t="shared" ca="1" si="61"/>
        <v>0</v>
      </c>
      <c r="CA63" s="9">
        <f t="shared" ca="1" si="61"/>
        <v>0</v>
      </c>
      <c r="CB63" s="9">
        <f t="shared" ca="1" si="61"/>
        <v>0</v>
      </c>
      <c r="CC63" s="9">
        <f t="shared" ca="1" si="61"/>
        <v>0</v>
      </c>
      <c r="CD63" s="9">
        <f t="shared" ca="1" si="62"/>
        <v>0</v>
      </c>
      <c r="CE63" s="9">
        <f t="shared" ca="1" si="62"/>
        <v>0</v>
      </c>
      <c r="CF63" s="9">
        <f t="shared" ca="1" si="62"/>
        <v>0</v>
      </c>
      <c r="CG63" s="9">
        <f t="shared" ca="1" si="62"/>
        <v>0</v>
      </c>
      <c r="CH63" s="9">
        <f t="shared" ca="1" si="62"/>
        <v>0</v>
      </c>
      <c r="CI63" s="9">
        <f t="shared" ca="1" si="62"/>
        <v>0</v>
      </c>
      <c r="CJ63" s="9">
        <f t="shared" ca="1" si="62"/>
        <v>0</v>
      </c>
      <c r="CK63" s="30">
        <f t="shared" ca="1" si="62"/>
        <v>0</v>
      </c>
      <c r="CN63" s="9">
        <v>30</v>
      </c>
      <c r="CO63" s="17">
        <v>0.05</v>
      </c>
      <c r="CP63" s="17">
        <v>-5.8331640834288949E-3</v>
      </c>
      <c r="CQ63" s="17">
        <v>-6.5758331349024274E-3</v>
      </c>
      <c r="CR63" s="17">
        <v>8.3401709833176162E-5</v>
      </c>
      <c r="CS63" s="17">
        <f t="shared" si="15"/>
        <v>3.7674404491501855E-2</v>
      </c>
      <c r="EC63" s="9">
        <f ca="1"/>
        <v>5.1824999998614382E-2</v>
      </c>
      <c r="ED63" s="9">
        <f ca="1"/>
        <v>5.1529999998726123E-2</v>
      </c>
      <c r="EE63" s="9">
        <f ca="1"/>
        <v>5.2119999998502642E-2</v>
      </c>
    </row>
    <row r="64" spans="1:135" x14ac:dyDescent="0.45">
      <c r="A64" s="8">
        <f ca="1"/>
        <v>29.5</v>
      </c>
      <c r="B64" s="58">
        <f ca="1"/>
        <v>4.0000000000000001E-3</v>
      </c>
      <c r="C64" s="18">
        <f ca="1"/>
        <v>43.823999999999998</v>
      </c>
      <c r="D64" s="18">
        <f t="shared" ca="1" si="40"/>
        <v>43.772110780008816</v>
      </c>
      <c r="E64" s="18">
        <f t="shared" ca="1" si="41"/>
        <v>-5.188921999118179E-2</v>
      </c>
      <c r="F64" s="18">
        <f t="shared" ca="1" si="42"/>
        <v>5.188921999118179E-2</v>
      </c>
      <c r="G64" s="19">
        <f t="shared" ca="1" si="43"/>
        <v>2.0498521986018536E-2</v>
      </c>
      <c r="H64" s="19">
        <f ca="1">IFERROR(IRR((J64,L64:CK64),0),0)</f>
        <v>2.0523607520992027E-2</v>
      </c>
      <c r="I64" s="55">
        <f t="shared" ca="1" si="44"/>
        <v>2.5085534973490198E-5</v>
      </c>
      <c r="J64" s="18">
        <f t="shared" ca="1" si="45"/>
        <v>-43.772110780008816</v>
      </c>
      <c r="K64" s="29">
        <f t="shared" ca="1" si="46"/>
        <v>-43.823999999999998</v>
      </c>
      <c r="L64" s="9">
        <f t="shared" ca="1" si="55"/>
        <v>0.4</v>
      </c>
      <c r="M64" s="9">
        <f t="shared" ca="1" si="55"/>
        <v>0.4</v>
      </c>
      <c r="N64" s="9">
        <f t="shared" ca="1" si="55"/>
        <v>0.4</v>
      </c>
      <c r="O64" s="9">
        <f t="shared" ca="1" si="55"/>
        <v>0.4</v>
      </c>
      <c r="P64" s="9">
        <f t="shared" ca="1" si="55"/>
        <v>0.4</v>
      </c>
      <c r="Q64" s="9">
        <f t="shared" ca="1" si="55"/>
        <v>0.4</v>
      </c>
      <c r="R64" s="9">
        <f t="shared" ca="1" si="55"/>
        <v>0.4</v>
      </c>
      <c r="S64" s="9">
        <f t="shared" ca="1" si="55"/>
        <v>0.4</v>
      </c>
      <c r="T64" s="9">
        <f t="shared" ca="1" si="55"/>
        <v>0.4</v>
      </c>
      <c r="U64" s="9">
        <f t="shared" ca="1" si="55"/>
        <v>0.4</v>
      </c>
      <c r="V64" s="9">
        <f t="shared" ca="1" si="56"/>
        <v>0.4</v>
      </c>
      <c r="W64" s="9">
        <f t="shared" ca="1" si="56"/>
        <v>0.4</v>
      </c>
      <c r="X64" s="9">
        <f t="shared" ca="1" si="56"/>
        <v>0.4</v>
      </c>
      <c r="Y64" s="9">
        <f t="shared" ca="1" si="56"/>
        <v>0.4</v>
      </c>
      <c r="Z64" s="9">
        <f t="shared" ca="1" si="56"/>
        <v>0.4</v>
      </c>
      <c r="AA64" s="9">
        <f t="shared" ca="1" si="56"/>
        <v>0.4</v>
      </c>
      <c r="AB64" s="9">
        <f t="shared" ca="1" si="56"/>
        <v>0.4</v>
      </c>
      <c r="AC64" s="9">
        <f t="shared" ca="1" si="56"/>
        <v>0.4</v>
      </c>
      <c r="AD64" s="9">
        <f t="shared" ca="1" si="56"/>
        <v>0.4</v>
      </c>
      <c r="AE64" s="9">
        <f t="shared" ca="1" si="56"/>
        <v>0.4</v>
      </c>
      <c r="AF64" s="9">
        <f t="shared" ca="1" si="57"/>
        <v>0.4</v>
      </c>
      <c r="AG64" s="9">
        <f t="shared" ca="1" si="57"/>
        <v>0.4</v>
      </c>
      <c r="AH64" s="9">
        <f t="shared" ca="1" si="57"/>
        <v>0.4</v>
      </c>
      <c r="AI64" s="9">
        <f t="shared" ca="1" si="57"/>
        <v>0.4</v>
      </c>
      <c r="AJ64" s="9">
        <f t="shared" ca="1" si="57"/>
        <v>0.4</v>
      </c>
      <c r="AK64" s="9">
        <f t="shared" ca="1" si="57"/>
        <v>0.4</v>
      </c>
      <c r="AL64" s="9">
        <f t="shared" ca="1" si="57"/>
        <v>0.4</v>
      </c>
      <c r="AM64" s="9">
        <f t="shared" ca="1" si="57"/>
        <v>0.4</v>
      </c>
      <c r="AN64" s="9">
        <f t="shared" ca="1" si="57"/>
        <v>0.4</v>
      </c>
      <c r="AO64" s="9">
        <f t="shared" ca="1" si="57"/>
        <v>0.4</v>
      </c>
      <c r="AP64" s="9">
        <f t="shared" ca="1" si="58"/>
        <v>0.4</v>
      </c>
      <c r="AQ64" s="9">
        <f t="shared" ca="1" si="58"/>
        <v>0.4</v>
      </c>
      <c r="AR64" s="9">
        <f t="shared" ca="1" si="58"/>
        <v>0.4</v>
      </c>
      <c r="AS64" s="9">
        <f t="shared" ca="1" si="58"/>
        <v>0.4</v>
      </c>
      <c r="AT64" s="9">
        <f t="shared" ca="1" si="58"/>
        <v>0.4</v>
      </c>
      <c r="AU64" s="9">
        <f t="shared" ca="1" si="58"/>
        <v>0.4</v>
      </c>
      <c r="AV64" s="9">
        <f t="shared" ca="1" si="58"/>
        <v>0.4</v>
      </c>
      <c r="AW64" s="9">
        <f t="shared" ca="1" si="58"/>
        <v>0.4</v>
      </c>
      <c r="AX64" s="9">
        <f t="shared" ca="1" si="58"/>
        <v>0.4</v>
      </c>
      <c r="AY64" s="9">
        <f t="shared" ca="1" si="58"/>
        <v>0.4</v>
      </c>
      <c r="AZ64" s="9">
        <f t="shared" ca="1" si="59"/>
        <v>0.4</v>
      </c>
      <c r="BA64" s="9">
        <f t="shared" ca="1" si="59"/>
        <v>0.4</v>
      </c>
      <c r="BB64" s="9">
        <f t="shared" ca="1" si="59"/>
        <v>0.4</v>
      </c>
      <c r="BC64" s="9">
        <f t="shared" ca="1" si="59"/>
        <v>0.4</v>
      </c>
      <c r="BD64" s="9">
        <f t="shared" ca="1" si="59"/>
        <v>0.4</v>
      </c>
      <c r="BE64" s="9">
        <f t="shared" ca="1" si="59"/>
        <v>0.4</v>
      </c>
      <c r="BF64" s="9">
        <f t="shared" ca="1" si="59"/>
        <v>0.4</v>
      </c>
      <c r="BG64" s="9">
        <f t="shared" ca="1" si="59"/>
        <v>0.4</v>
      </c>
      <c r="BH64" s="9">
        <f t="shared" ca="1" si="59"/>
        <v>0.4</v>
      </c>
      <c r="BI64" s="9">
        <f t="shared" ca="1" si="59"/>
        <v>0.4</v>
      </c>
      <c r="BJ64" s="9">
        <f t="shared" ca="1" si="60"/>
        <v>0.4</v>
      </c>
      <c r="BK64" s="9">
        <f t="shared" ca="1" si="60"/>
        <v>0.4</v>
      </c>
      <c r="BL64" s="9">
        <f t="shared" ca="1" si="60"/>
        <v>0.4</v>
      </c>
      <c r="BM64" s="9">
        <f t="shared" ca="1" si="60"/>
        <v>0.4</v>
      </c>
      <c r="BN64" s="9">
        <f t="shared" ca="1" si="60"/>
        <v>0.4</v>
      </c>
      <c r="BO64" s="9">
        <f t="shared" ca="1" si="60"/>
        <v>0.4</v>
      </c>
      <c r="BP64" s="9">
        <f t="shared" ca="1" si="60"/>
        <v>0.4</v>
      </c>
      <c r="BQ64" s="9">
        <f t="shared" ca="1" si="60"/>
        <v>0.4</v>
      </c>
      <c r="BR64" s="9">
        <f t="shared" ca="1" si="60"/>
        <v>100.4</v>
      </c>
      <c r="BS64" s="9">
        <f t="shared" ca="1" si="60"/>
        <v>0</v>
      </c>
      <c r="BT64" s="9">
        <f t="shared" ca="1" si="61"/>
        <v>0</v>
      </c>
      <c r="BU64" s="9">
        <f t="shared" ca="1" si="61"/>
        <v>0</v>
      </c>
      <c r="BV64" s="9">
        <f t="shared" ca="1" si="61"/>
        <v>0</v>
      </c>
      <c r="BW64" s="9">
        <f t="shared" ca="1" si="61"/>
        <v>0</v>
      </c>
      <c r="BX64" s="9">
        <f t="shared" ca="1" si="61"/>
        <v>0</v>
      </c>
      <c r="BY64" s="9">
        <f t="shared" ca="1" si="61"/>
        <v>0</v>
      </c>
      <c r="BZ64" s="9">
        <f t="shared" ca="1" si="61"/>
        <v>0</v>
      </c>
      <c r="CA64" s="9">
        <f t="shared" ca="1" si="61"/>
        <v>0</v>
      </c>
      <c r="CB64" s="9">
        <f t="shared" ca="1" si="61"/>
        <v>0</v>
      </c>
      <c r="CC64" s="9">
        <f t="shared" ca="1" si="61"/>
        <v>0</v>
      </c>
      <c r="CD64" s="9">
        <f t="shared" ca="1" si="62"/>
        <v>0</v>
      </c>
      <c r="CE64" s="9">
        <f t="shared" ca="1" si="62"/>
        <v>0</v>
      </c>
      <c r="CF64" s="9">
        <f t="shared" ca="1" si="62"/>
        <v>0</v>
      </c>
      <c r="CG64" s="9">
        <f t="shared" ca="1" si="62"/>
        <v>0</v>
      </c>
      <c r="CH64" s="9">
        <f t="shared" ca="1" si="62"/>
        <v>0</v>
      </c>
      <c r="CI64" s="9">
        <f t="shared" ca="1" si="62"/>
        <v>0</v>
      </c>
      <c r="CJ64" s="9">
        <f t="shared" ca="1" si="62"/>
        <v>0</v>
      </c>
      <c r="CK64" s="30">
        <f t="shared" ca="1" si="62"/>
        <v>0</v>
      </c>
      <c r="CN64" s="9">
        <v>30.5</v>
      </c>
      <c r="CO64" s="17">
        <v>0.05</v>
      </c>
      <c r="CP64" s="17">
        <v>-5.738133521621714E-3</v>
      </c>
      <c r="CQ64" s="17">
        <v>-6.4727735607217323E-3</v>
      </c>
      <c r="CR64" s="17">
        <v>8.2034468688369996E-5</v>
      </c>
      <c r="CS64" s="17">
        <f t="shared" si="15"/>
        <v>3.7871127386344926E-2</v>
      </c>
    </row>
    <row r="65" spans="1:99" x14ac:dyDescent="0.45">
      <c r="A65" s="8"/>
      <c r="B65" s="58"/>
      <c r="C65" s="18"/>
      <c r="D65" s="18">
        <f t="shared" si="40"/>
        <v>0</v>
      </c>
      <c r="E65" s="18">
        <f t="shared" si="41"/>
        <v>0</v>
      </c>
      <c r="F65" s="18">
        <f t="shared" si="42"/>
        <v>0</v>
      </c>
      <c r="G65" s="19">
        <f t="shared" si="43"/>
        <v>0</v>
      </c>
      <c r="H65" s="19">
        <f>IFERROR(IRR((J65,L65:CK65),0),0)</f>
        <v>0</v>
      </c>
      <c r="I65" s="55">
        <f t="shared" si="44"/>
        <v>0</v>
      </c>
      <c r="J65" s="18">
        <f t="shared" si="45"/>
        <v>0</v>
      </c>
      <c r="K65" s="29">
        <f t="shared" si="46"/>
        <v>0</v>
      </c>
      <c r="L65" s="9">
        <f t="shared" si="55"/>
        <v>0</v>
      </c>
      <c r="M65" s="9">
        <f t="shared" si="55"/>
        <v>0</v>
      </c>
      <c r="N65" s="9">
        <f t="shared" si="55"/>
        <v>0</v>
      </c>
      <c r="O65" s="9">
        <f t="shared" si="55"/>
        <v>0</v>
      </c>
      <c r="P65" s="9">
        <f t="shared" si="55"/>
        <v>0</v>
      </c>
      <c r="Q65" s="9">
        <f t="shared" si="55"/>
        <v>0</v>
      </c>
      <c r="R65" s="9">
        <f t="shared" si="55"/>
        <v>0</v>
      </c>
      <c r="S65" s="9">
        <f t="shared" si="55"/>
        <v>0</v>
      </c>
      <c r="T65" s="9">
        <f t="shared" si="55"/>
        <v>0</v>
      </c>
      <c r="U65" s="9">
        <f t="shared" si="55"/>
        <v>0</v>
      </c>
      <c r="V65" s="9">
        <f t="shared" si="56"/>
        <v>0</v>
      </c>
      <c r="W65" s="9">
        <f t="shared" si="56"/>
        <v>0</v>
      </c>
      <c r="X65" s="9">
        <f t="shared" si="56"/>
        <v>0</v>
      </c>
      <c r="Y65" s="9">
        <f t="shared" si="56"/>
        <v>0</v>
      </c>
      <c r="Z65" s="9">
        <f t="shared" si="56"/>
        <v>0</v>
      </c>
      <c r="AA65" s="9">
        <f t="shared" si="56"/>
        <v>0</v>
      </c>
      <c r="AB65" s="9">
        <f t="shared" si="56"/>
        <v>0</v>
      </c>
      <c r="AC65" s="9">
        <f t="shared" si="56"/>
        <v>0</v>
      </c>
      <c r="AD65" s="9">
        <f t="shared" si="56"/>
        <v>0</v>
      </c>
      <c r="AE65" s="9">
        <f t="shared" si="56"/>
        <v>0</v>
      </c>
      <c r="AF65" s="9">
        <f t="shared" si="57"/>
        <v>0</v>
      </c>
      <c r="AG65" s="9">
        <f t="shared" si="57"/>
        <v>0</v>
      </c>
      <c r="AH65" s="9">
        <f t="shared" si="57"/>
        <v>0</v>
      </c>
      <c r="AI65" s="9">
        <f t="shared" si="57"/>
        <v>0</v>
      </c>
      <c r="AJ65" s="9">
        <f t="shared" si="57"/>
        <v>0</v>
      </c>
      <c r="AK65" s="9">
        <f t="shared" si="57"/>
        <v>0</v>
      </c>
      <c r="AL65" s="9">
        <f t="shared" si="57"/>
        <v>0</v>
      </c>
      <c r="AM65" s="9">
        <f t="shared" si="57"/>
        <v>0</v>
      </c>
      <c r="AN65" s="9">
        <f t="shared" si="57"/>
        <v>0</v>
      </c>
      <c r="AO65" s="9">
        <f t="shared" si="57"/>
        <v>0</v>
      </c>
      <c r="AP65" s="9">
        <f t="shared" si="58"/>
        <v>0</v>
      </c>
      <c r="AQ65" s="9">
        <f t="shared" si="58"/>
        <v>0</v>
      </c>
      <c r="AR65" s="9">
        <f t="shared" si="58"/>
        <v>0</v>
      </c>
      <c r="AS65" s="9">
        <f t="shared" si="58"/>
        <v>0</v>
      </c>
      <c r="AT65" s="9">
        <f t="shared" si="58"/>
        <v>0</v>
      </c>
      <c r="AU65" s="9">
        <f t="shared" si="58"/>
        <v>0</v>
      </c>
      <c r="AV65" s="9">
        <f t="shared" si="58"/>
        <v>0</v>
      </c>
      <c r="AW65" s="9">
        <f t="shared" si="58"/>
        <v>0</v>
      </c>
      <c r="AX65" s="9">
        <f t="shared" si="58"/>
        <v>0</v>
      </c>
      <c r="AY65" s="9">
        <f t="shared" si="58"/>
        <v>0</v>
      </c>
      <c r="AZ65" s="9">
        <f t="shared" si="59"/>
        <v>0</v>
      </c>
      <c r="BA65" s="9">
        <f t="shared" si="59"/>
        <v>0</v>
      </c>
      <c r="BB65" s="9">
        <f t="shared" si="59"/>
        <v>0</v>
      </c>
      <c r="BC65" s="9">
        <f t="shared" si="59"/>
        <v>0</v>
      </c>
      <c r="BD65" s="9">
        <f t="shared" si="59"/>
        <v>0</v>
      </c>
      <c r="BE65" s="9">
        <f t="shared" si="59"/>
        <v>0</v>
      </c>
      <c r="BF65" s="9">
        <f t="shared" si="59"/>
        <v>0</v>
      </c>
      <c r="BG65" s="9">
        <f t="shared" si="59"/>
        <v>0</v>
      </c>
      <c r="BH65" s="9">
        <f t="shared" si="59"/>
        <v>0</v>
      </c>
      <c r="BI65" s="9">
        <f t="shared" si="59"/>
        <v>0</v>
      </c>
      <c r="BJ65" s="9">
        <f t="shared" si="60"/>
        <v>0</v>
      </c>
      <c r="BK65" s="9">
        <f t="shared" si="60"/>
        <v>0</v>
      </c>
      <c r="BL65" s="9">
        <f t="shared" si="60"/>
        <v>0</v>
      </c>
      <c r="BM65" s="9">
        <f t="shared" si="60"/>
        <v>0</v>
      </c>
      <c r="BN65" s="9">
        <f t="shared" si="60"/>
        <v>0</v>
      </c>
      <c r="BO65" s="9">
        <f t="shared" si="60"/>
        <v>0</v>
      </c>
      <c r="BP65" s="9">
        <f t="shared" si="60"/>
        <v>0</v>
      </c>
      <c r="BQ65" s="9">
        <f t="shared" si="60"/>
        <v>0</v>
      </c>
      <c r="BR65" s="9">
        <f t="shared" si="60"/>
        <v>0</v>
      </c>
      <c r="BS65" s="9">
        <f t="shared" si="60"/>
        <v>0</v>
      </c>
      <c r="BT65" s="9">
        <f t="shared" si="61"/>
        <v>0</v>
      </c>
      <c r="BU65" s="9">
        <f t="shared" si="61"/>
        <v>0</v>
      </c>
      <c r="BV65" s="9">
        <f t="shared" si="61"/>
        <v>0</v>
      </c>
      <c r="BW65" s="9">
        <f t="shared" si="61"/>
        <v>0</v>
      </c>
      <c r="BX65" s="9">
        <f t="shared" si="61"/>
        <v>0</v>
      </c>
      <c r="BY65" s="9">
        <f t="shared" si="61"/>
        <v>0</v>
      </c>
      <c r="BZ65" s="9">
        <f t="shared" si="61"/>
        <v>0</v>
      </c>
      <c r="CA65" s="9">
        <f t="shared" si="61"/>
        <v>0</v>
      </c>
      <c r="CB65" s="9">
        <f t="shared" si="61"/>
        <v>0</v>
      </c>
      <c r="CC65" s="9">
        <f t="shared" si="61"/>
        <v>0</v>
      </c>
      <c r="CD65" s="9">
        <f t="shared" si="62"/>
        <v>0</v>
      </c>
      <c r="CE65" s="9">
        <f t="shared" si="62"/>
        <v>0</v>
      </c>
      <c r="CF65" s="9">
        <f t="shared" si="62"/>
        <v>0</v>
      </c>
      <c r="CG65" s="9">
        <f t="shared" si="62"/>
        <v>0</v>
      </c>
      <c r="CH65" s="9">
        <f t="shared" si="62"/>
        <v>0</v>
      </c>
      <c r="CI65" s="9">
        <f t="shared" si="62"/>
        <v>0</v>
      </c>
      <c r="CJ65" s="9">
        <f t="shared" si="62"/>
        <v>0</v>
      </c>
      <c r="CK65" s="30">
        <f t="shared" si="62"/>
        <v>0</v>
      </c>
      <c r="CN65" s="9">
        <v>31</v>
      </c>
      <c r="CO65" s="17">
        <v>0.05</v>
      </c>
      <c r="CP65" s="17">
        <v>-5.6461043051030876E-3</v>
      </c>
      <c r="CQ65" s="17">
        <v>-6.3725960168018684E-3</v>
      </c>
      <c r="CR65" s="17">
        <v>8.07113320966221E-5</v>
      </c>
      <c r="CS65" s="17">
        <f t="shared" si="15"/>
        <v>3.8062011010191674E-2</v>
      </c>
    </row>
    <row r="66" spans="1:99" x14ac:dyDescent="0.45">
      <c r="A66" s="8"/>
      <c r="B66" s="58"/>
      <c r="C66" s="18"/>
      <c r="D66" s="18">
        <f t="shared" si="40"/>
        <v>0</v>
      </c>
      <c r="E66" s="18">
        <f t="shared" si="41"/>
        <v>0</v>
      </c>
      <c r="F66" s="18">
        <f t="shared" si="42"/>
        <v>0</v>
      </c>
      <c r="G66" s="19">
        <f t="shared" si="43"/>
        <v>0</v>
      </c>
      <c r="H66" s="19">
        <f>IFERROR(IRR((J66,L66:CK66),0),0)</f>
        <v>0</v>
      </c>
      <c r="I66" s="55">
        <f t="shared" si="44"/>
        <v>0</v>
      </c>
      <c r="J66" s="18">
        <f t="shared" si="45"/>
        <v>0</v>
      </c>
      <c r="K66" s="29">
        <f t="shared" si="46"/>
        <v>0</v>
      </c>
      <c r="L66" s="9">
        <f>$B66*100*(L$2&lt;$A66)+100*(1+$B66)*(L$2=$A66)</f>
        <v>0</v>
      </c>
      <c r="M66" s="9">
        <f t="shared" si="55"/>
        <v>0</v>
      </c>
      <c r="N66" s="9">
        <f t="shared" si="55"/>
        <v>0</v>
      </c>
      <c r="O66" s="9">
        <f t="shared" si="55"/>
        <v>0</v>
      </c>
      <c r="P66" s="9">
        <f t="shared" si="55"/>
        <v>0</v>
      </c>
      <c r="Q66" s="9">
        <f t="shared" si="55"/>
        <v>0</v>
      </c>
      <c r="R66" s="9">
        <f t="shared" si="55"/>
        <v>0</v>
      </c>
      <c r="S66" s="9">
        <f t="shared" si="55"/>
        <v>0</v>
      </c>
      <c r="T66" s="9">
        <f t="shared" si="55"/>
        <v>0</v>
      </c>
      <c r="U66" s="9">
        <f t="shared" si="55"/>
        <v>0</v>
      </c>
      <c r="V66" s="9">
        <f t="shared" si="56"/>
        <v>0</v>
      </c>
      <c r="W66" s="9">
        <f t="shared" si="56"/>
        <v>0</v>
      </c>
      <c r="X66" s="9">
        <f t="shared" si="56"/>
        <v>0</v>
      </c>
      <c r="Y66" s="9">
        <f t="shared" si="56"/>
        <v>0</v>
      </c>
      <c r="Z66" s="9">
        <f t="shared" si="56"/>
        <v>0</v>
      </c>
      <c r="AA66" s="9">
        <f t="shared" si="56"/>
        <v>0</v>
      </c>
      <c r="AB66" s="9">
        <f t="shared" si="56"/>
        <v>0</v>
      </c>
      <c r="AC66" s="9">
        <f t="shared" si="56"/>
        <v>0</v>
      </c>
      <c r="AD66" s="9">
        <f t="shared" si="56"/>
        <v>0</v>
      </c>
      <c r="AE66" s="9">
        <f t="shared" si="56"/>
        <v>0</v>
      </c>
      <c r="AF66" s="9">
        <f t="shared" si="57"/>
        <v>0</v>
      </c>
      <c r="AG66" s="9">
        <f t="shared" si="57"/>
        <v>0</v>
      </c>
      <c r="AH66" s="9">
        <f t="shared" si="57"/>
        <v>0</v>
      </c>
      <c r="AI66" s="9">
        <f t="shared" si="57"/>
        <v>0</v>
      </c>
      <c r="AJ66" s="9">
        <f t="shared" si="57"/>
        <v>0</v>
      </c>
      <c r="AK66" s="9">
        <f t="shared" si="57"/>
        <v>0</v>
      </c>
      <c r="AL66" s="9">
        <f t="shared" si="57"/>
        <v>0</v>
      </c>
      <c r="AM66" s="9">
        <f t="shared" si="57"/>
        <v>0</v>
      </c>
      <c r="AN66" s="9">
        <f t="shared" si="57"/>
        <v>0</v>
      </c>
      <c r="AO66" s="9">
        <f t="shared" si="57"/>
        <v>0</v>
      </c>
      <c r="AP66" s="9">
        <f t="shared" si="58"/>
        <v>0</v>
      </c>
      <c r="AQ66" s="9">
        <f t="shared" si="58"/>
        <v>0</v>
      </c>
      <c r="AR66" s="9">
        <f t="shared" si="58"/>
        <v>0</v>
      </c>
      <c r="AS66" s="9">
        <f t="shared" si="58"/>
        <v>0</v>
      </c>
      <c r="AT66" s="9">
        <f t="shared" si="58"/>
        <v>0</v>
      </c>
      <c r="AU66" s="9">
        <f t="shared" si="58"/>
        <v>0</v>
      </c>
      <c r="AV66" s="9">
        <f t="shared" si="58"/>
        <v>0</v>
      </c>
      <c r="AW66" s="9">
        <f t="shared" si="58"/>
        <v>0</v>
      </c>
      <c r="AX66" s="9">
        <f t="shared" si="58"/>
        <v>0</v>
      </c>
      <c r="AY66" s="9">
        <f t="shared" si="58"/>
        <v>0</v>
      </c>
      <c r="AZ66" s="9">
        <f t="shared" si="59"/>
        <v>0</v>
      </c>
      <c r="BA66" s="9">
        <f t="shared" si="59"/>
        <v>0</v>
      </c>
      <c r="BB66" s="9">
        <f t="shared" si="59"/>
        <v>0</v>
      </c>
      <c r="BC66" s="9">
        <f t="shared" si="59"/>
        <v>0</v>
      </c>
      <c r="BD66" s="9">
        <f t="shared" si="59"/>
        <v>0</v>
      </c>
      <c r="BE66" s="9">
        <f t="shared" si="59"/>
        <v>0</v>
      </c>
      <c r="BF66" s="9">
        <f t="shared" si="59"/>
        <v>0</v>
      </c>
      <c r="BG66" s="9">
        <f t="shared" si="59"/>
        <v>0</v>
      </c>
      <c r="BH66" s="9">
        <f t="shared" si="59"/>
        <v>0</v>
      </c>
      <c r="BI66" s="9">
        <f t="shared" si="59"/>
        <v>0</v>
      </c>
      <c r="BJ66" s="9">
        <f t="shared" si="60"/>
        <v>0</v>
      </c>
      <c r="BK66" s="9">
        <f t="shared" si="60"/>
        <v>0</v>
      </c>
      <c r="BL66" s="9">
        <f t="shared" si="60"/>
        <v>0</v>
      </c>
      <c r="BM66" s="9">
        <f t="shared" si="60"/>
        <v>0</v>
      </c>
      <c r="BN66" s="9">
        <f t="shared" si="60"/>
        <v>0</v>
      </c>
      <c r="BO66" s="9">
        <f t="shared" si="60"/>
        <v>0</v>
      </c>
      <c r="BP66" s="9">
        <f t="shared" si="60"/>
        <v>0</v>
      </c>
      <c r="BQ66" s="9">
        <f t="shared" si="60"/>
        <v>0</v>
      </c>
      <c r="BR66" s="9">
        <f t="shared" si="60"/>
        <v>0</v>
      </c>
      <c r="BS66" s="9">
        <f t="shared" si="60"/>
        <v>0</v>
      </c>
      <c r="BT66" s="9">
        <f t="shared" si="61"/>
        <v>0</v>
      </c>
      <c r="BU66" s="9">
        <f t="shared" si="61"/>
        <v>0</v>
      </c>
      <c r="BV66" s="9">
        <f t="shared" si="61"/>
        <v>0</v>
      </c>
      <c r="BW66" s="9">
        <f t="shared" si="61"/>
        <v>0</v>
      </c>
      <c r="BX66" s="9">
        <f t="shared" si="61"/>
        <v>0</v>
      </c>
      <c r="BY66" s="9">
        <f t="shared" si="61"/>
        <v>0</v>
      </c>
      <c r="BZ66" s="9">
        <f t="shared" si="61"/>
        <v>0</v>
      </c>
      <c r="CA66" s="9">
        <f t="shared" si="61"/>
        <v>0</v>
      </c>
      <c r="CB66" s="9">
        <f t="shared" si="61"/>
        <v>0</v>
      </c>
      <c r="CC66" s="9">
        <f t="shared" si="61"/>
        <v>0</v>
      </c>
      <c r="CD66" s="9">
        <f t="shared" si="62"/>
        <v>0</v>
      </c>
      <c r="CE66" s="9">
        <f t="shared" si="62"/>
        <v>0</v>
      </c>
      <c r="CF66" s="9">
        <f t="shared" si="62"/>
        <v>0</v>
      </c>
      <c r="CG66" s="9">
        <f t="shared" si="62"/>
        <v>0</v>
      </c>
      <c r="CH66" s="9">
        <f t="shared" si="62"/>
        <v>0</v>
      </c>
      <c r="CI66" s="9">
        <f t="shared" si="62"/>
        <v>0</v>
      </c>
      <c r="CJ66" s="9">
        <f t="shared" si="62"/>
        <v>0</v>
      </c>
      <c r="CK66" s="30">
        <f t="shared" si="62"/>
        <v>0</v>
      </c>
      <c r="CN66" s="9">
        <v>31.5</v>
      </c>
      <c r="CO66" s="17">
        <v>0.05</v>
      </c>
      <c r="CP66" s="17">
        <v>-5.5569404313376572E-3</v>
      </c>
      <c r="CQ66" s="17">
        <v>-6.2752035753822089E-3</v>
      </c>
      <c r="CR66" s="17">
        <v>7.9430199841120164E-5</v>
      </c>
      <c r="CS66" s="17">
        <f t="shared" si="15"/>
        <v>3.824728619312126E-2</v>
      </c>
    </row>
    <row r="67" spans="1:99" x14ac:dyDescent="0.45">
      <c r="A67" s="8"/>
      <c r="B67" s="58"/>
      <c r="C67" s="18"/>
      <c r="D67" s="18"/>
      <c r="E67" s="18"/>
      <c r="G67" s="19"/>
      <c r="H67" s="19"/>
      <c r="I67" s="55"/>
      <c r="J67" s="18"/>
      <c r="K67" s="29"/>
      <c r="CK67" s="30"/>
      <c r="CN67" s="8">
        <v>32</v>
      </c>
      <c r="CO67" s="17">
        <v>0.05</v>
      </c>
      <c r="CP67" s="17">
        <v>-5.4705136516501858E-3</v>
      </c>
      <c r="CQ67" s="17">
        <v>-6.1805018170657585E-3</v>
      </c>
      <c r="CR67" s="17">
        <v>7.8189102968602658E-5</v>
      </c>
      <c r="CS67" s="17">
        <f t="shared" si="15"/>
        <v>3.8427173634252659E-2</v>
      </c>
      <c r="CT67" s="19"/>
      <c r="CU67" s="19"/>
    </row>
    <row r="68" spans="1:99" x14ac:dyDescent="0.45">
      <c r="A68" s="8"/>
      <c r="B68" s="58"/>
      <c r="C68" s="18"/>
      <c r="D68" s="18"/>
      <c r="E68" s="18"/>
      <c r="G68" s="19"/>
      <c r="H68" s="19"/>
      <c r="I68" s="55"/>
      <c r="J68" s="18"/>
      <c r="K68" s="29"/>
      <c r="CK68" s="30"/>
      <c r="CN68" s="8">
        <v>32.5</v>
      </c>
      <c r="CO68" s="17">
        <v>0.05</v>
      </c>
      <c r="CP68" s="17">
        <v>-5.3867029552956526E-3</v>
      </c>
      <c r="CQ68" s="17">
        <v>-6.0883989346748844E-3</v>
      </c>
      <c r="CR68" s="17">
        <v>7.6986193692162608E-5</v>
      </c>
      <c r="CS68" s="17">
        <f t="shared" ref="CS68:CS131" si="63">SUM(CO68:CR68)</f>
        <v>3.860188430372162E-2</v>
      </c>
      <c r="CT68" s="19"/>
      <c r="CU68" s="19"/>
    </row>
    <row r="69" spans="1:99" x14ac:dyDescent="0.45">
      <c r="A69" s="8"/>
      <c r="B69" s="58"/>
      <c r="C69" s="18"/>
      <c r="D69" s="18"/>
      <c r="E69" s="18"/>
      <c r="G69" s="19"/>
      <c r="H69" s="19"/>
      <c r="I69" s="55"/>
      <c r="J69" s="18"/>
      <c r="K69" s="29"/>
      <c r="CK69" s="30"/>
      <c r="CN69" s="8">
        <v>33</v>
      </c>
      <c r="CO69" s="17">
        <v>0.05</v>
      </c>
      <c r="CP69" s="17">
        <v>-5.3053940917423071E-3</v>
      </c>
      <c r="CQ69" s="17">
        <v>-5.9988058049343755E-3</v>
      </c>
      <c r="CR69" s="17">
        <v>7.5819736211978317E-5</v>
      </c>
      <c r="CS69" s="17">
        <f t="shared" si="63"/>
        <v>3.8771619839535303E-2</v>
      </c>
      <c r="CT69" s="19"/>
      <c r="CU69" s="19"/>
    </row>
    <row r="70" spans="1:99" x14ac:dyDescent="0.45">
      <c r="A70" s="8"/>
      <c r="B70" s="58"/>
      <c r="C70" s="18"/>
      <c r="D70" s="18"/>
      <c r="E70" s="18"/>
      <c r="G70" s="19"/>
      <c r="H70" s="19"/>
      <c r="I70" s="55"/>
      <c r="J70" s="18"/>
      <c r="K70" s="29"/>
      <c r="CK70" s="30"/>
      <c r="CN70" s="8">
        <v>33.5</v>
      </c>
      <c r="CO70" s="17">
        <v>0.05</v>
      </c>
      <c r="CP70" s="17">
        <v>-5.226479128113309E-3</v>
      </c>
      <c r="CQ70" s="17">
        <v>-5.9116360327930188E-3</v>
      </c>
      <c r="CR70" s="17">
        <v>7.4688098358068205E-5</v>
      </c>
      <c r="CS70" s="17">
        <f t="shared" si="63"/>
        <v>3.8936572937451744E-2</v>
      </c>
      <c r="CT70" s="19"/>
      <c r="CU70" s="19"/>
    </row>
    <row r="71" spans="1:99" x14ac:dyDescent="0.45">
      <c r="A71" s="8"/>
      <c r="B71" s="58"/>
      <c r="C71" s="18"/>
      <c r="D71" s="18"/>
      <c r="E71" s="18"/>
      <c r="G71" s="19"/>
      <c r="H71" s="19"/>
      <c r="I71" s="55"/>
      <c r="J71" s="18"/>
      <c r="K71" s="29"/>
      <c r="CK71" s="30"/>
      <c r="CN71" s="8">
        <v>34</v>
      </c>
      <c r="CO71" s="17">
        <v>0.05</v>
      </c>
      <c r="CP71" s="17">
        <v>-5.149856038990608E-3</v>
      </c>
      <c r="CQ71" s="17">
        <v>-5.8268059725806419E-3</v>
      </c>
      <c r="CR71" s="17">
        <v>7.3589743970449553E-5</v>
      </c>
      <c r="CS71" s="17">
        <f t="shared" si="63"/>
        <v>3.9096927732399193E-2</v>
      </c>
      <c r="CT71" s="19"/>
      <c r="CU71" s="19"/>
    </row>
    <row r="72" spans="1:99" x14ac:dyDescent="0.45">
      <c r="A72" s="8"/>
      <c r="B72" s="58"/>
      <c r="C72" s="18"/>
      <c r="D72" s="18"/>
      <c r="E72" s="18"/>
      <c r="G72" s="19"/>
      <c r="H72" s="19"/>
      <c r="I72" s="55"/>
      <c r="J72" s="18"/>
      <c r="K72" s="29"/>
      <c r="CK72" s="30"/>
      <c r="CN72" s="8">
        <v>34.5</v>
      </c>
      <c r="CO72" s="17">
        <v>0.05</v>
      </c>
      <c r="CP72" s="17">
        <v>-5.0754283260200945E-3</v>
      </c>
      <c r="CQ72" s="17">
        <v>-5.7442347296570431E-3</v>
      </c>
      <c r="CR72" s="17">
        <v>7.2523225941892322E-5</v>
      </c>
      <c r="CS72" s="17">
        <f t="shared" si="63"/>
        <v>3.9252860170264761E-2</v>
      </c>
      <c r="CT72" s="19"/>
      <c r="CU72" s="19"/>
    </row>
    <row r="73" spans="1:99" x14ac:dyDescent="0.45">
      <c r="A73" s="8"/>
      <c r="B73" s="58"/>
      <c r="C73" s="18"/>
      <c r="D73" s="18"/>
      <c r="E73" s="18"/>
      <c r="G73" s="19"/>
      <c r="H73" s="19"/>
      <c r="I73" s="55"/>
      <c r="J73" s="18"/>
      <c r="K73" s="29"/>
      <c r="CK73" s="30"/>
      <c r="CN73" s="8">
        <v>35</v>
      </c>
      <c r="CO73" s="17">
        <v>0.05</v>
      </c>
      <c r="CP73" s="17">
        <v>-5.0031046649717031E-3</v>
      </c>
      <c r="CQ73" s="17">
        <v>-5.6638441457337639E-3</v>
      </c>
      <c r="CR73" s="17">
        <v>7.1487179857008141E-5</v>
      </c>
      <c r="CS73" s="17">
        <f t="shared" si="63"/>
        <v>3.9404538369151539E-2</v>
      </c>
      <c r="CT73" s="19"/>
      <c r="CU73" s="19"/>
    </row>
    <row r="74" spans="1:99" x14ac:dyDescent="0.45">
      <c r="A74" s="8"/>
      <c r="B74" s="58"/>
      <c r="C74" s="18"/>
      <c r="D74" s="18"/>
      <c r="E74" s="18"/>
      <c r="G74" s="19"/>
      <c r="H74" s="19"/>
      <c r="I74" s="55"/>
      <c r="J74" s="18"/>
      <c r="K74" s="29"/>
      <c r="CK74" s="30"/>
      <c r="CN74" s="8">
        <v>35.5</v>
      </c>
      <c r="CO74" s="17">
        <v>0.05</v>
      </c>
      <c r="CP74" s="17">
        <v>-4.9327985781040763E-3</v>
      </c>
      <c r="CQ74" s="17">
        <v>-5.5855587706315308E-3</v>
      </c>
      <c r="CR74" s="17">
        <v>7.0480318168881272E-5</v>
      </c>
      <c r="CS74" s="17">
        <f t="shared" si="63"/>
        <v>3.9552122969433279E-2</v>
      </c>
      <c r="CT74" s="19"/>
      <c r="CU74" s="19"/>
    </row>
    <row r="75" spans="1:99" x14ac:dyDescent="0.45">
      <c r="A75" s="8"/>
      <c r="B75" s="58"/>
      <c r="C75" s="18"/>
      <c r="D75" s="18"/>
      <c r="E75" s="18"/>
      <c r="G75" s="19"/>
      <c r="H75" s="19"/>
      <c r="I75" s="55"/>
      <c r="J75" s="18"/>
      <c r="K75" s="29"/>
      <c r="CK75" s="30"/>
      <c r="CN75" s="8">
        <v>36</v>
      </c>
      <c r="CO75" s="17">
        <v>0.05</v>
      </c>
      <c r="CP75" s="17">
        <v>-4.8644281298621684E-3</v>
      </c>
      <c r="CQ75" s="17">
        <v>-5.5093058228690549E-3</v>
      </c>
      <c r="CR75" s="17">
        <v>6.9501424860980135E-5</v>
      </c>
      <c r="CS75" s="17">
        <f t="shared" si="63"/>
        <v>3.9695767472129759E-2</v>
      </c>
      <c r="CT75" s="19"/>
      <c r="CU75" s="19"/>
    </row>
    <row r="76" spans="1:99" x14ac:dyDescent="0.45">
      <c r="A76" s="8"/>
      <c r="B76" s="58"/>
      <c r="C76" s="18"/>
      <c r="D76" s="18"/>
      <c r="E76" s="18"/>
      <c r="G76" s="19"/>
      <c r="H76" s="19"/>
      <c r="I76" s="55"/>
      <c r="J76" s="18"/>
      <c r="K76" s="29"/>
      <c r="CK76" s="30"/>
      <c r="CN76" s="8">
        <v>36.5</v>
      </c>
      <c r="CO76" s="17">
        <v>0.05</v>
      </c>
      <c r="CP76" s="17">
        <v>-4.7979156440994836E-3</v>
      </c>
      <c r="CQ76" s="17">
        <v>-5.4350151411563926E-3</v>
      </c>
      <c r="CR76" s="17">
        <v>6.8549350547816019E-5</v>
      </c>
      <c r="CS76" s="17">
        <f t="shared" si="63"/>
        <v>3.9835618565291941E-2</v>
      </c>
      <c r="CT76" s="19"/>
      <c r="CU76" s="19"/>
    </row>
    <row r="77" spans="1:99" x14ac:dyDescent="0.45">
      <c r="A77" s="8"/>
      <c r="B77" s="58"/>
      <c r="C77" s="18"/>
      <c r="D77" s="18"/>
      <c r="E77" s="18"/>
      <c r="G77" s="19"/>
      <c r="H77" s="19"/>
      <c r="I77" s="55"/>
      <c r="J77" s="18"/>
      <c r="K77" s="29"/>
      <c r="CK77" s="30"/>
      <c r="CN77" s="8">
        <v>37</v>
      </c>
      <c r="CO77" s="17">
        <v>0.05</v>
      </c>
      <c r="CP77" s="17">
        <v>-4.733187441165701E-3</v>
      </c>
      <c r="CQ77" s="17">
        <v>-5.3626191285832672E-3</v>
      </c>
      <c r="CR77" s="17">
        <v>6.7623007972845528E-5</v>
      </c>
      <c r="CS77" s="17">
        <f t="shared" si="63"/>
        <v>3.9971816438223881E-2</v>
      </c>
      <c r="CT77" s="19"/>
      <c r="CU77" s="19"/>
    </row>
    <row r="78" spans="1:99" x14ac:dyDescent="0.45">
      <c r="A78" s="8"/>
      <c r="B78" s="58"/>
      <c r="C78" s="18"/>
      <c r="D78" s="18"/>
      <c r="E78" s="18"/>
      <c r="G78" s="19"/>
      <c r="H78" s="19"/>
      <c r="I78" s="55"/>
      <c r="J78" s="18"/>
      <c r="K78" s="29"/>
      <c r="CK78" s="30"/>
      <c r="CN78" s="8">
        <v>37.5</v>
      </c>
      <c r="CO78" s="17">
        <v>0.05</v>
      </c>
      <c r="CP78" s="17">
        <v>-4.6701735933367076E-3</v>
      </c>
      <c r="CQ78" s="17">
        <v>-5.2920526910448162E-3</v>
      </c>
      <c r="CR78" s="17">
        <v>6.6721367866540927E-5</v>
      </c>
      <c r="CS78" s="17">
        <f t="shared" si="63"/>
        <v>4.0104495083485021E-2</v>
      </c>
    </row>
    <row r="79" spans="1:99" x14ac:dyDescent="0.45">
      <c r="A79" s="8"/>
      <c r="B79" s="58"/>
      <c r="C79" s="18"/>
      <c r="D79" s="18"/>
      <c r="E79" s="18"/>
      <c r="G79" s="19"/>
      <c r="H79" s="19"/>
      <c r="I79" s="55"/>
      <c r="J79" s="18"/>
      <c r="K79" s="29"/>
      <c r="CK79" s="30"/>
      <c r="CN79" s="8">
        <v>38</v>
      </c>
      <c r="CO79" s="17">
        <v>0.05</v>
      </c>
      <c r="CP79" s="17">
        <v>-4.608807697188559E-3</v>
      </c>
      <c r="CQ79" s="17">
        <v>-5.2232531712301349E-3</v>
      </c>
      <c r="CR79" s="17">
        <v>6.5843455131454876E-5</v>
      </c>
      <c r="CS79" s="17">
        <f t="shared" si="63"/>
        <v>4.0233782586712771E-2</v>
      </c>
    </row>
    <row r="80" spans="1:99" x14ac:dyDescent="0.45">
      <c r="A80" s="8"/>
      <c r="B80" s="58"/>
      <c r="C80" s="18"/>
      <c r="D80" s="18"/>
      <c r="E80" s="18"/>
      <c r="G80" s="19"/>
      <c r="H80" s="19"/>
      <c r="I80" s="55"/>
      <c r="J80" s="18"/>
      <c r="K80" s="29"/>
      <c r="CK80" s="30"/>
      <c r="CN80" s="8">
        <v>38.5</v>
      </c>
      <c r="CO80" s="17">
        <v>0.05</v>
      </c>
      <c r="CP80" s="17">
        <v>-4.5490266616307262E-3</v>
      </c>
      <c r="CQ80" s="17">
        <v>-5.1561602793089968E-3</v>
      </c>
      <c r="CR80" s="17">
        <v>6.4988345324552856E-5</v>
      </c>
      <c r="CS80" s="17">
        <f t="shared" si="63"/>
        <v>4.0359801404384832E-2</v>
      </c>
    </row>
    <row r="81" spans="1:97" x14ac:dyDescent="0.45">
      <c r="A81" s="8"/>
      <c r="B81" s="58"/>
      <c r="C81" s="18"/>
      <c r="D81" s="18"/>
      <c r="E81" s="18"/>
      <c r="G81" s="19"/>
      <c r="H81" s="19"/>
      <c r="I81" s="55"/>
      <c r="J81" s="18"/>
      <c r="K81" s="29"/>
      <c r="CK81" s="30"/>
      <c r="CN81" s="8">
        <v>39</v>
      </c>
      <c r="CO81" s="17">
        <v>0.05</v>
      </c>
      <c r="CP81" s="17">
        <v>-4.4907705104180583E-3</v>
      </c>
      <c r="CQ81" s="17">
        <v>-5.090716021286132E-3</v>
      </c>
      <c r="CR81" s="17">
        <v>6.4155161410135513E-5</v>
      </c>
      <c r="CS81" s="17">
        <f t="shared" si="63"/>
        <v>4.0482668629705947E-2</v>
      </c>
    </row>
    <row r="82" spans="1:97" x14ac:dyDescent="0.45">
      <c r="A82" s="8"/>
      <c r="B82" s="58"/>
      <c r="C82" s="18"/>
      <c r="D82" s="18"/>
      <c r="E82" s="18"/>
      <c r="G82" s="19"/>
      <c r="H82" s="19"/>
      <c r="I82" s="55"/>
      <c r="J82" s="18"/>
      <c r="K82" s="29"/>
      <c r="CK82" s="30"/>
      <c r="CN82" s="8">
        <v>39.5</v>
      </c>
      <c r="CO82" s="17">
        <v>0.05</v>
      </c>
      <c r="CP82" s="17">
        <v>-4.4339821980561534E-3</v>
      </c>
      <c r="CQ82" s="17">
        <v>-5.0268646258474501E-3</v>
      </c>
      <c r="CR82" s="17">
        <v>6.3343070759374292E-5</v>
      </c>
      <c r="CS82" s="17">
        <f t="shared" si="63"/>
        <v>4.0602496246855774E-2</v>
      </c>
    </row>
    <row r="83" spans="1:97" x14ac:dyDescent="0.45">
      <c r="A83" s="8"/>
      <c r="B83" s="58"/>
      <c r="C83" s="18"/>
      <c r="D83" s="18"/>
      <c r="E83" s="18"/>
      <c r="G83" s="19"/>
      <c r="H83" s="19"/>
      <c r="I83" s="55"/>
      <c r="J83" s="18"/>
      <c r="K83" s="29"/>
      <c r="CK83" s="30"/>
      <c r="CN83" s="8">
        <v>40</v>
      </c>
      <c r="CO83" s="17">
        <v>0.05</v>
      </c>
      <c r="CP83" s="17">
        <v>-4.3786074381019658E-3</v>
      </c>
      <c r="CQ83" s="17">
        <v>-4.9645524703962312E-3</v>
      </c>
      <c r="CR83" s="17">
        <v>6.2551282374882121E-5</v>
      </c>
      <c r="CS83" s="17">
        <f t="shared" si="63"/>
        <v>4.0719391373876687E-2</v>
      </c>
    </row>
    <row r="84" spans="1:97" x14ac:dyDescent="0.45">
      <c r="A84" s="8"/>
      <c r="B84" s="58"/>
      <c r="C84" s="18"/>
      <c r="D84" s="18"/>
      <c r="E84" s="18"/>
      <c r="G84" s="19"/>
      <c r="H84" s="19"/>
      <c r="I84" s="55"/>
      <c r="J84" s="18"/>
      <c r="K84" s="29"/>
      <c r="CK84" s="30"/>
      <c r="CN84" s="8">
        <v>40.5</v>
      </c>
      <c r="CO84" s="17">
        <v>0.05</v>
      </c>
      <c r="CP84" s="17">
        <v>-4.3245945429412408E-3</v>
      </c>
      <c r="CQ84" s="17">
        <v>-4.9037280068672008E-3</v>
      </c>
      <c r="CR84" s="17">
        <v>6.1779044320871239E-5</v>
      </c>
      <c r="CS84" s="17">
        <f t="shared" si="63"/>
        <v>4.0833456494512428E-2</v>
      </c>
    </row>
    <row r="85" spans="1:97" x14ac:dyDescent="0.45">
      <c r="A85" s="8"/>
      <c r="B85" s="58"/>
      <c r="C85" s="18"/>
      <c r="D85" s="18"/>
      <c r="E85" s="18"/>
      <c r="G85" s="19"/>
      <c r="H85" s="19"/>
      <c r="I85" s="55"/>
      <c r="J85" s="18"/>
      <c r="K85" s="29"/>
      <c r="CK85" s="30"/>
      <c r="CN85" s="8">
        <v>41</v>
      </c>
      <c r="CO85" s="17">
        <v>0.05</v>
      </c>
      <c r="CP85" s="17">
        <v>-4.2718942741974747E-3</v>
      </c>
      <c r="CQ85" s="17">
        <v>-4.8443416878107097E-3</v>
      </c>
      <c r="CR85" s="17">
        <v>6.1025641341348416E-5</v>
      </c>
      <c r="CS85" s="17">
        <f t="shared" si="63"/>
        <v>4.0944789679333168E-2</v>
      </c>
    </row>
    <row r="86" spans="1:97" x14ac:dyDescent="0.45">
      <c r="A86" s="8"/>
      <c r="B86" s="58"/>
      <c r="C86" s="18"/>
      <c r="D86" s="18"/>
      <c r="E86" s="18"/>
      <c r="G86" s="19"/>
      <c r="H86" s="19"/>
      <c r="I86" s="55"/>
      <c r="J86" s="18"/>
      <c r="K86" s="29"/>
      <c r="CK86" s="30"/>
      <c r="CN86" s="48">
        <v>41.5</v>
      </c>
      <c r="CO86" s="17">
        <v>0.05</v>
      </c>
      <c r="CP86" s="17">
        <v>-4.2204597029939662E-3</v>
      </c>
      <c r="CQ86" s="17">
        <v>-4.786345893156115E-3</v>
      </c>
      <c r="CR86" s="17">
        <v>6.0290392650488784E-5</v>
      </c>
      <c r="CS86" s="17">
        <f t="shared" si="63"/>
        <v>4.1053484796500408E-2</v>
      </c>
    </row>
    <row r="87" spans="1:97" x14ac:dyDescent="0.45">
      <c r="A87" s="8"/>
      <c r="B87" s="58"/>
      <c r="C87" s="18"/>
      <c r="D87" s="18"/>
      <c r="E87" s="18"/>
      <c r="G87" s="19"/>
      <c r="H87" s="19"/>
      <c r="I87" s="55"/>
      <c r="J87" s="18"/>
      <c r="K87" s="29"/>
      <c r="CK87" s="30"/>
      <c r="CN87" s="9">
        <v>42</v>
      </c>
      <c r="CO87" s="17">
        <v>0.05</v>
      </c>
      <c r="CP87" s="17">
        <v>-4.1702460793519103E-3</v>
      </c>
      <c r="CQ87" s="17">
        <v>-4.7296948579914509E-3</v>
      </c>
      <c r="CR87" s="17">
        <v>5.9572649880840113E-5</v>
      </c>
      <c r="CS87" s="17">
        <f t="shared" si="63"/>
        <v>4.1159631712537482E-2</v>
      </c>
    </row>
    <row r="88" spans="1:97" x14ac:dyDescent="0.45">
      <c r="A88" s="8"/>
      <c r="B88" s="58"/>
      <c r="C88" s="18"/>
      <c r="D88" s="18"/>
      <c r="E88" s="18"/>
      <c r="G88" s="19"/>
      <c r="H88" s="19"/>
      <c r="I88" s="55"/>
      <c r="J88" s="18"/>
      <c r="K88" s="29"/>
      <c r="CK88" s="30"/>
      <c r="CN88" s="9">
        <v>42.5</v>
      </c>
      <c r="CO88" s="17">
        <v>0.05</v>
      </c>
      <c r="CP88" s="17">
        <v>-4.1212107100636703E-3</v>
      </c>
      <c r="CQ88" s="17">
        <v>-4.6743446016341604E-3</v>
      </c>
      <c r="CR88" s="17">
        <v>5.8871795176359646E-5</v>
      </c>
      <c r="CS88" s="17">
        <f t="shared" si="63"/>
        <v>4.1263316483478529E-2</v>
      </c>
    </row>
    <row r="89" spans="1:97" x14ac:dyDescent="0.45">
      <c r="A89" s="8"/>
      <c r="B89" s="58"/>
      <c r="C89" s="18"/>
      <c r="D89" s="18"/>
      <c r="E89" s="18"/>
      <c r="G89" s="19"/>
      <c r="H89" s="19"/>
      <c r="I89" s="55"/>
      <c r="J89" s="18"/>
      <c r="K89" s="29"/>
      <c r="CK89" s="30"/>
      <c r="CN89" s="9">
        <v>43</v>
      </c>
      <c r="CO89" s="17">
        <v>0.05</v>
      </c>
      <c r="CP89" s="17">
        <v>-4.073312844431954E-3</v>
      </c>
      <c r="CQ89" s="17">
        <v>-4.6202528582139028E-3</v>
      </c>
      <c r="CR89" s="17">
        <v>5.8187239418494996E-5</v>
      </c>
      <c r="CS89" s="17">
        <f t="shared" si="63"/>
        <v>4.1364621536772644E-2</v>
      </c>
    </row>
    <row r="90" spans="1:97" x14ac:dyDescent="0.45">
      <c r="A90" s="8"/>
      <c r="B90" s="58"/>
      <c r="C90" s="18"/>
      <c r="D90" s="18"/>
      <c r="E90" s="18"/>
      <c r="G90" s="19"/>
      <c r="H90" s="19"/>
      <c r="I90" s="55"/>
      <c r="J90" s="18"/>
      <c r="K90" s="29"/>
      <c r="CK90" s="30"/>
      <c r="CN90" s="9">
        <v>43.5</v>
      </c>
      <c r="CO90" s="17">
        <v>0.05</v>
      </c>
      <c r="CP90" s="17">
        <v>-4.0265135673129091E-3</v>
      </c>
      <c r="CQ90" s="17">
        <v>-4.5673790089421256E-3</v>
      </c>
      <c r="CR90" s="17">
        <v>5.751842057460425E-5</v>
      </c>
      <c r="CS90" s="17">
        <f t="shared" si="63"/>
        <v>4.146362584431957E-2</v>
      </c>
    </row>
    <row r="91" spans="1:97" x14ac:dyDescent="0.45">
      <c r="A91" s="8"/>
      <c r="B91" s="58"/>
      <c r="C91" s="18"/>
      <c r="D91" s="18"/>
      <c r="E91" s="18"/>
      <c r="G91" s="19"/>
      <c r="H91" s="19"/>
      <c r="I91" s="55"/>
      <c r="J91" s="18"/>
      <c r="K91" s="29"/>
      <c r="CK91" s="30"/>
      <c r="CN91" s="9">
        <v>44</v>
      </c>
      <c r="CO91" s="17">
        <v>0.05</v>
      </c>
      <c r="CP91" s="17">
        <v>-3.98077569894454E-3</v>
      </c>
      <c r="CQ91" s="17">
        <v>-4.5156840162033293E-3</v>
      </c>
      <c r="CR91" s="17">
        <v>5.6864802158983751E-5</v>
      </c>
      <c r="CS91" s="17">
        <f t="shared" si="63"/>
        <v>4.1560405087011115E-2</v>
      </c>
    </row>
    <row r="92" spans="1:97" x14ac:dyDescent="0.45">
      <c r="A92" s="8"/>
      <c r="B92" s="58"/>
      <c r="C92" s="18"/>
      <c r="D92" s="18"/>
      <c r="E92" s="18"/>
      <c r="G92" s="19"/>
      <c r="H92" s="19"/>
      <c r="I92" s="55"/>
      <c r="J92" s="18"/>
      <c r="K92" s="29"/>
      <c r="CK92" s="30"/>
      <c r="CN92" s="9">
        <v>44.5</v>
      </c>
      <c r="CO92" s="17">
        <v>0.05</v>
      </c>
      <c r="CP92" s="17">
        <v>-3.9360637010817578E-3</v>
      </c>
      <c r="CQ92" s="17">
        <v>-4.4651303595689175E-3</v>
      </c>
      <c r="CR92" s="17">
        <v>5.6225871797646848E-5</v>
      </c>
      <c r="CS92" s="17">
        <f t="shared" si="63"/>
        <v>4.1655031811146971E-2</v>
      </c>
    </row>
    <row r="93" spans="1:97" x14ac:dyDescent="0.45">
      <c r="A93" s="8"/>
      <c r="B93" s="58"/>
      <c r="C93" s="18"/>
      <c r="D93" s="18"/>
      <c r="E93" s="18"/>
      <c r="G93" s="19"/>
      <c r="H93" s="19"/>
      <c r="I93" s="55"/>
      <c r="J93" s="18"/>
      <c r="K93" s="29"/>
      <c r="CK93" s="30"/>
      <c r="CN93" s="9">
        <v>45</v>
      </c>
      <c r="CO93" s="17">
        <v>0.05</v>
      </c>
      <c r="CP93" s="17">
        <v>-3.8923435889958889E-3</v>
      </c>
      <c r="CQ93" s="17">
        <v>-4.415681973805455E-3</v>
      </c>
      <c r="CR93" s="17">
        <v>5.5601139888784101E-5</v>
      </c>
      <c r="CS93" s="17">
        <f t="shared" si="63"/>
        <v>4.1747575577087442E-2</v>
      </c>
    </row>
    <row r="94" spans="1:97" x14ac:dyDescent="0.45">
      <c r="A94" s="8"/>
      <c r="B94" s="58"/>
      <c r="C94" s="18"/>
      <c r="D94" s="18"/>
      <c r="E94" s="18"/>
      <c r="G94" s="19"/>
      <c r="H94" s="19"/>
      <c r="I94" s="55"/>
      <c r="J94" s="18"/>
      <c r="K94" s="29"/>
      <c r="CK94" s="30"/>
      <c r="CN94" s="9">
        <v>45.5</v>
      </c>
      <c r="CO94" s="17">
        <v>0.05</v>
      </c>
      <c r="CP94" s="17">
        <v>-3.8495828489301894E-3</v>
      </c>
      <c r="CQ94" s="17">
        <v>-4.3673041889244774E-3</v>
      </c>
      <c r="CR94" s="17">
        <v>5.4990138351544726E-5</v>
      </c>
      <c r="CS94" s="17">
        <f t="shared" si="63"/>
        <v>4.1838103100496883E-2</v>
      </c>
    </row>
    <row r="95" spans="1:97" x14ac:dyDescent="0.45">
      <c r="A95" s="8"/>
      <c r="B95" s="58"/>
      <c r="C95" s="18"/>
      <c r="D95" s="18"/>
      <c r="E95" s="18"/>
      <c r="G95" s="19"/>
      <c r="H95" s="19"/>
      <c r="I95" s="55"/>
      <c r="J95" s="18"/>
      <c r="K95" s="29"/>
      <c r="CK95" s="30"/>
      <c r="CN95" s="9">
        <v>46</v>
      </c>
      <c r="CO95" s="17">
        <v>0.05</v>
      </c>
      <c r="CP95" s="17">
        <v>-3.8077503606337203E-3</v>
      </c>
      <c r="CQ95" s="17">
        <v>-4.319963672300085E-3</v>
      </c>
      <c r="CR95" s="17">
        <v>5.4392419456419248E-5</v>
      </c>
      <c r="CS95" s="17">
        <f t="shared" si="63"/>
        <v>4.1926678386522614E-2</v>
      </c>
    </row>
    <row r="96" spans="1:97" x14ac:dyDescent="0.45">
      <c r="A96" s="8"/>
      <c r="B96" s="58"/>
      <c r="C96" s="18"/>
      <c r="D96" s="18"/>
      <c r="E96" s="18"/>
      <c r="G96" s="19"/>
      <c r="H96" s="19"/>
      <c r="I96" s="55"/>
      <c r="J96" s="18"/>
      <c r="K96" s="29"/>
      <c r="CK96" s="30"/>
      <c r="CN96" s="9">
        <v>46.5</v>
      </c>
      <c r="CO96" s="17">
        <v>0.05</v>
      </c>
      <c r="CP96" s="17">
        <v>-3.7668163246244242E-3</v>
      </c>
      <c r="CQ96" s="17">
        <v>-4.2736283728629842E-3</v>
      </c>
      <c r="CR96" s="17">
        <v>5.3807554731081405E-5</v>
      </c>
      <c r="CS96" s="17">
        <f t="shared" si="63"/>
        <v>4.2013362857243677E-2</v>
      </c>
    </row>
    <row r="97" spans="1:97" x14ac:dyDescent="0.45">
      <c r="A97" s="8"/>
      <c r="B97" s="58"/>
      <c r="C97" s="18"/>
      <c r="D97" s="18"/>
      <c r="E97" s="18"/>
      <c r="G97" s="19"/>
      <c r="H97" s="19"/>
      <c r="I97" s="55"/>
      <c r="J97" s="18"/>
      <c r="K97" s="29"/>
      <c r="CK97" s="30"/>
      <c r="CN97" s="9">
        <v>47</v>
      </c>
      <c r="CO97" s="17">
        <v>0.05</v>
      </c>
      <c r="CP97" s="17">
        <v>-3.7267521938583524E-3</v>
      </c>
      <c r="CQ97" s="17">
        <v>-4.2282674673649323E-3</v>
      </c>
      <c r="CR97" s="17">
        <v>5.3235133936069884E-5</v>
      </c>
      <c r="CS97" s="17">
        <f t="shared" si="63"/>
        <v>4.2098215472712787E-2</v>
      </c>
    </row>
    <row r="98" spans="1:97" x14ac:dyDescent="0.45">
      <c r="A98" s="8"/>
      <c r="B98" s="58"/>
      <c r="C98" s="18"/>
      <c r="D98" s="18"/>
      <c r="E98" s="18"/>
      <c r="G98" s="19"/>
      <c r="H98" s="19"/>
      <c r="I98" s="55"/>
      <c r="J98" s="18"/>
      <c r="K98" s="29"/>
      <c r="CK98" s="30"/>
      <c r="CN98" s="9">
        <v>47.5</v>
      </c>
      <c r="CO98" s="17">
        <v>0.05</v>
      </c>
      <c r="CP98" s="17">
        <v>-3.6875306095060156E-3</v>
      </c>
      <c r="CQ98" s="17">
        <v>-4.1838513086952739E-3</v>
      </c>
      <c r="CR98" s="17">
        <v>5.2674764105163891E-5</v>
      </c>
      <c r="CS98" s="17">
        <f t="shared" si="63"/>
        <v>4.2181292845903877E-2</v>
      </c>
    </row>
    <row r="99" spans="1:97" x14ac:dyDescent="0.45">
      <c r="A99" s="8"/>
      <c r="B99" s="58"/>
      <c r="C99" s="18"/>
      <c r="D99" s="18"/>
      <c r="E99" s="18"/>
      <c r="G99" s="19"/>
      <c r="H99" s="19"/>
      <c r="I99" s="55"/>
      <c r="J99" s="18"/>
      <c r="K99" s="29"/>
      <c r="CK99" s="30"/>
      <c r="CN99" s="9">
        <v>48</v>
      </c>
      <c r="CO99" s="17">
        <v>0.05</v>
      </c>
      <c r="CP99" s="17">
        <v>-3.6491253405590142E-3</v>
      </c>
      <c r="CQ99" s="17">
        <v>-4.140351376221282E-3</v>
      </c>
      <c r="CR99" s="17">
        <v>5.2126068645735094E-5</v>
      </c>
      <c r="CS99" s="17">
        <f t="shared" si="63"/>
        <v>4.2262649351865439E-2</v>
      </c>
    </row>
    <row r="100" spans="1:97" x14ac:dyDescent="0.45">
      <c r="A100" s="8"/>
      <c r="B100" s="58"/>
      <c r="C100" s="18"/>
      <c r="D100" s="18"/>
      <c r="E100" s="18"/>
      <c r="G100" s="19"/>
      <c r="H100" s="19"/>
      <c r="I100" s="55"/>
      <c r="J100" s="18"/>
      <c r="K100" s="29"/>
      <c r="CK100" s="30"/>
      <c r="CN100" s="9">
        <v>48.5</v>
      </c>
      <c r="CO100" s="17">
        <v>0.05</v>
      </c>
      <c r="CP100" s="17">
        <v>-3.6115112270104369E-3</v>
      </c>
      <c r="CQ100" s="17">
        <v>-4.0977402281157189E-3</v>
      </c>
      <c r="CR100" s="17">
        <v>5.1588686494748141E-5</v>
      </c>
      <c r="CS100" s="17">
        <f t="shared" si="63"/>
        <v>4.2342337231368599E-2</v>
      </c>
    </row>
    <row r="101" spans="1:97" x14ac:dyDescent="0.45">
      <c r="A101" s="8"/>
      <c r="B101" s="58"/>
      <c r="C101" s="18"/>
      <c r="D101" s="18"/>
      <c r="E101" s="18"/>
      <c r="G101" s="19"/>
      <c r="H101" s="19"/>
      <c r="I101" s="55"/>
      <c r="J101" s="18"/>
      <c r="K101" s="29"/>
      <c r="CK101" s="30"/>
      <c r="CN101" s="9">
        <v>49</v>
      </c>
      <c r="CO101" s="17">
        <v>0.05</v>
      </c>
      <c r="CP101" s="17">
        <v>-3.5746641263713387E-3</v>
      </c>
      <c r="CQ101" s="17">
        <v>-4.0559914556285567E-3</v>
      </c>
      <c r="CR101" s="17">
        <v>5.1062271326434383E-5</v>
      </c>
      <c r="CS101" s="17">
        <f t="shared" si="63"/>
        <v>4.2420406689326541E-2</v>
      </c>
    </row>
    <row r="102" spans="1:97" x14ac:dyDescent="0.45">
      <c r="A102" s="8"/>
      <c r="B102" s="58"/>
      <c r="C102" s="18"/>
      <c r="D102" s="18"/>
      <c r="E102" s="18"/>
      <c r="G102" s="19"/>
      <c r="H102" s="19"/>
      <c r="I102" s="55"/>
      <c r="J102" s="18"/>
      <c r="K102" s="29"/>
      <c r="CK102" s="30"/>
      <c r="CN102" s="9">
        <v>49.5</v>
      </c>
      <c r="CO102" s="17">
        <v>0.05</v>
      </c>
      <c r="CP102" s="17">
        <v>-3.5385608633028728E-3</v>
      </c>
      <c r="CQ102" s="17">
        <v>-4.0150796392544978E-3</v>
      </c>
      <c r="CR102" s="17">
        <v>5.0546490807985556E-5</v>
      </c>
      <c r="CS102" s="17">
        <f t="shared" si="63"/>
        <v>4.2496905988250615E-2</v>
      </c>
    </row>
    <row r="103" spans="1:97" x14ac:dyDescent="0.45">
      <c r="A103" s="8"/>
      <c r="B103" s="58"/>
      <c r="C103" s="18"/>
      <c r="D103" s="18"/>
      <c r="E103" s="18"/>
      <c r="G103" s="19"/>
      <c r="H103" s="19"/>
      <c r="I103" s="55"/>
      <c r="J103" s="18"/>
      <c r="K103" s="29"/>
      <c r="CK103" s="30"/>
      <c r="CN103" s="9">
        <v>50</v>
      </c>
      <c r="CO103" s="17">
        <v>0.05</v>
      </c>
      <c r="CP103" s="17">
        <v>-3.5031791821596337E-3</v>
      </c>
      <c r="CQ103" s="17">
        <v>-3.974980306744009E-3</v>
      </c>
      <c r="CR103" s="17">
        <v>5.0041025899905698E-5</v>
      </c>
      <c r="CS103" s="17">
        <f t="shared" si="63"/>
        <v>4.2571881536996266E-2</v>
      </c>
    </row>
    <row r="104" spans="1:97" x14ac:dyDescent="0.45">
      <c r="A104" s="8"/>
      <c r="B104" s="58"/>
      <c r="C104" s="18"/>
      <c r="D104" s="18"/>
      <c r="E104" s="18"/>
      <c r="G104" s="19"/>
      <c r="H104" s="19"/>
      <c r="I104" s="55"/>
      <c r="J104" s="18"/>
      <c r="K104" s="29"/>
      <c r="CK104" s="30"/>
      <c r="CN104" s="9">
        <v>50.5</v>
      </c>
      <c r="CO104" s="17">
        <v>0.05</v>
      </c>
      <c r="CP104" s="17">
        <v>-3.4684977022544743E-3</v>
      </c>
      <c r="CQ104" s="17">
        <v>-3.9356698929025385E-3</v>
      </c>
      <c r="CR104" s="17">
        <v>4.9545570197926433E-5</v>
      </c>
      <c r="CS104" s="17">
        <f t="shared" si="63"/>
        <v>4.2645377975040914E-2</v>
      </c>
    </row>
    <row r="105" spans="1:97" x14ac:dyDescent="0.45">
      <c r="A105" s="8"/>
      <c r="B105" s="58"/>
      <c r="C105" s="18"/>
      <c r="D105" s="18"/>
      <c r="E105" s="18"/>
      <c r="G105" s="19"/>
      <c r="H105" s="19"/>
      <c r="I105" s="55"/>
      <c r="J105" s="18"/>
      <c r="K105" s="29"/>
      <c r="CK105" s="30"/>
      <c r="CN105" s="9">
        <v>51</v>
      </c>
      <c r="CO105" s="17">
        <v>0.05</v>
      </c>
      <c r="CP105" s="17">
        <v>-3.4344958756686236E-3</v>
      </c>
      <c r="CQ105" s="17">
        <v>-3.897125701120475E-3</v>
      </c>
      <c r="CR105" s="17">
        <v>4.9059829313633038E-5</v>
      </c>
      <c r="CS105" s="17">
        <f t="shared" si="63"/>
        <v>4.2717438252524539E-2</v>
      </c>
    </row>
    <row r="106" spans="1:97" x14ac:dyDescent="0.45">
      <c r="A106" s="8"/>
      <c r="B106" s="58"/>
      <c r="C106" s="18"/>
      <c r="D106" s="18"/>
      <c r="E106" s="18"/>
      <c r="G106" s="19"/>
      <c r="H106" s="19"/>
      <c r="I106" s="55"/>
      <c r="J106" s="18"/>
      <c r="K106" s="29"/>
      <c r="CK106" s="30"/>
      <c r="CN106" s="9">
        <v>51.5</v>
      </c>
      <c r="CO106" s="17">
        <v>0.05</v>
      </c>
      <c r="CP106" s="17">
        <v>-3.4011539474434883E-3</v>
      </c>
      <c r="CQ106" s="17">
        <v>-3.859325866575019E-3</v>
      </c>
      <c r="CR106" s="17">
        <v>4.8583520291170579E-5</v>
      </c>
      <c r="CS106" s="17">
        <f t="shared" si="63"/>
        <v>4.2788103706272666E-2</v>
      </c>
    </row>
    <row r="107" spans="1:97" x14ac:dyDescent="0.45">
      <c r="A107" s="8"/>
      <c r="B107" s="58"/>
      <c r="C107" s="18"/>
      <c r="D107" s="18"/>
      <c r="E107" s="18"/>
      <c r="G107" s="19"/>
      <c r="H107" s="19"/>
      <c r="I107" s="55"/>
      <c r="J107" s="18"/>
      <c r="K107" s="29"/>
      <c r="CK107" s="30"/>
      <c r="CN107" s="9">
        <v>52</v>
      </c>
      <c r="CO107" s="17">
        <v>0.05</v>
      </c>
      <c r="CP107" s="17">
        <v>-3.3684529180020677E-3</v>
      </c>
      <c r="CQ107" s="17">
        <v>-3.8222493210443727E-3</v>
      </c>
      <c r="CR107" s="17">
        <v>4.8116371057601635E-5</v>
      </c>
      <c r="CS107" s="17">
        <f t="shared" si="63"/>
        <v>4.2857414132011162E-2</v>
      </c>
    </row>
    <row r="108" spans="1:97" x14ac:dyDescent="0.45">
      <c r="A108" s="8"/>
      <c r="B108" s="58"/>
      <c r="C108" s="18"/>
      <c r="D108" s="18"/>
      <c r="E108" s="18"/>
      <c r="G108" s="19"/>
      <c r="H108" s="19"/>
      <c r="I108" s="55"/>
      <c r="J108" s="18"/>
      <c r="K108" s="29"/>
      <c r="CK108" s="30"/>
      <c r="CN108" s="9">
        <v>52.5</v>
      </c>
      <c r="CO108" s="17">
        <v>0.05</v>
      </c>
      <c r="CP108" s="17">
        <v>-3.3363745076586179E-3</v>
      </c>
      <c r="CQ108" s="17">
        <v>-3.7858757592743901E-3</v>
      </c>
      <c r="CR108" s="17">
        <v>4.7658119904672092E-5</v>
      </c>
      <c r="CS108" s="17">
        <f t="shared" si="63"/>
        <v>4.2925407852971671E-2</v>
      </c>
    </row>
    <row r="109" spans="1:97" x14ac:dyDescent="0.45">
      <c r="A109" s="8"/>
      <c r="B109" s="58"/>
      <c r="C109" s="18"/>
      <c r="D109" s="18"/>
      <c r="E109" s="18"/>
      <c r="G109" s="19"/>
      <c r="H109" s="19"/>
      <c r="I109" s="55"/>
      <c r="J109" s="18"/>
      <c r="K109" s="29"/>
      <c r="CK109" s="30"/>
      <c r="CN109" s="9">
        <v>53</v>
      </c>
      <c r="CO109" s="17">
        <v>0.05</v>
      </c>
      <c r="CP109" s="17">
        <v>-3.3049011230850806E-3</v>
      </c>
      <c r="CQ109" s="17">
        <v>-3.7501856068380373E-3</v>
      </c>
      <c r="CR109" s="17">
        <v>4.7208514999911043E-5</v>
      </c>
      <c r="CS109" s="17">
        <f t="shared" si="63"/>
        <v>4.2992121785076796E-2</v>
      </c>
    </row>
    <row r="110" spans="1:97" x14ac:dyDescent="0.45">
      <c r="A110" s="8"/>
      <c r="B110" s="58"/>
      <c r="C110" s="18"/>
      <c r="D110" s="18"/>
      <c r="E110" s="18"/>
      <c r="G110" s="19"/>
      <c r="H110" s="19"/>
      <c r="I110" s="55"/>
      <c r="J110" s="18"/>
      <c r="K110" s="29"/>
      <c r="CK110" s="30"/>
      <c r="CN110" s="9">
        <v>53.5</v>
      </c>
      <c r="CO110" s="17">
        <v>0.05</v>
      </c>
      <c r="CP110" s="17">
        <v>-3.2740158256119182E-3</v>
      </c>
      <c r="CQ110" s="17">
        <v>-3.7151599894285634E-3</v>
      </c>
      <c r="CR110" s="17">
        <v>4.6767313925145517E-5</v>
      </c>
      <c r="CS110" s="17">
        <f t="shared" si="63"/>
        <v>4.3057591498884669E-2</v>
      </c>
    </row>
    <row r="111" spans="1:97" x14ac:dyDescent="0.45">
      <c r="A111" s="8"/>
      <c r="B111" s="58"/>
      <c r="C111" s="18"/>
      <c r="D111" s="18"/>
      <c r="E111" s="18"/>
      <c r="G111" s="19"/>
      <c r="H111" s="19"/>
      <c r="I111" s="55"/>
      <c r="J111" s="18"/>
      <c r="K111" s="29"/>
      <c r="CK111" s="30"/>
      <c r="CN111" s="9">
        <v>54</v>
      </c>
      <c r="CO111" s="17">
        <v>0.05</v>
      </c>
      <c r="CP111" s="17">
        <v>-3.2437023012494488E-3</v>
      </c>
      <c r="CQ111" s="17">
        <v>-3.6807807035281197E-3</v>
      </c>
      <c r="CR111" s="17">
        <v>4.6334283240653432E-5</v>
      </c>
      <c r="CS111" s="17">
        <f t="shared" si="63"/>
        <v>4.3121851278463089E-2</v>
      </c>
    </row>
    <row r="112" spans="1:97" x14ac:dyDescent="0.45">
      <c r="A112" s="8"/>
      <c r="B112" s="58"/>
      <c r="C112" s="18"/>
      <c r="D112" s="18"/>
      <c r="E112" s="18"/>
      <c r="G112" s="19"/>
      <c r="H112" s="19"/>
      <c r="I112" s="55"/>
      <c r="J112" s="18"/>
      <c r="K112" s="29"/>
      <c r="CK112" s="30"/>
      <c r="CN112" s="9">
        <v>54.5</v>
      </c>
      <c r="CO112" s="17">
        <v>0.05</v>
      </c>
      <c r="CP112" s="17">
        <v>-3.2139448323235992E-3</v>
      </c>
      <c r="CQ112" s="17">
        <v>-3.6470301883946687E-3</v>
      </c>
      <c r="CR112" s="17">
        <v>4.5909198073307983E-5</v>
      </c>
      <c r="CS112" s="17">
        <f t="shared" si="63"/>
        <v>4.3184934177355042E-2</v>
      </c>
    </row>
    <row r="113" spans="1:97" x14ac:dyDescent="0.45">
      <c r="A113" s="8"/>
      <c r="B113" s="58"/>
      <c r="C113" s="18"/>
      <c r="D113" s="18"/>
      <c r="E113" s="18"/>
      <c r="G113" s="19"/>
      <c r="H113" s="19"/>
      <c r="I113" s="55"/>
      <c r="J113" s="18"/>
      <c r="K113" s="29"/>
      <c r="CK113" s="30"/>
      <c r="CN113" s="9">
        <v>55</v>
      </c>
      <c r="CO113" s="17">
        <v>0.05</v>
      </c>
      <c r="CP113" s="17">
        <v>-3.1847282706272228E-3</v>
      </c>
      <c r="CQ113" s="17">
        <v>-3.6138914993112982E-3</v>
      </c>
      <c r="CR113" s="17">
        <v>4.5491841727187004E-5</v>
      </c>
      <c r="CS113" s="17">
        <f t="shared" si="63"/>
        <v>4.3246872071788671E-2</v>
      </c>
    </row>
    <row r="114" spans="1:97" x14ac:dyDescent="0.45">
      <c r="A114" s="8"/>
      <c r="B114" s="58"/>
      <c r="C114" s="18"/>
      <c r="D114" s="18"/>
      <c r="E114" s="18"/>
      <c r="G114" s="19"/>
      <c r="H114" s="19"/>
      <c r="I114" s="55"/>
      <c r="J114" s="18"/>
      <c r="K114" s="29"/>
      <c r="CK114" s="30"/>
      <c r="CN114" s="9">
        <v>55.5</v>
      </c>
      <c r="CO114" s="17">
        <v>0.05</v>
      </c>
      <c r="CP114" s="17">
        <v>-3.156038011994836E-3</v>
      </c>
      <c r="CQ114" s="17">
        <v>-3.5813482820435177E-3</v>
      </c>
      <c r="CR114" s="17">
        <v>4.5082005315230352E-5</v>
      </c>
      <c r="CS114" s="17">
        <f t="shared" si="63"/>
        <v>4.3307695711276878E-2</v>
      </c>
    </row>
    <row r="115" spans="1:97" x14ac:dyDescent="0.45">
      <c r="A115" s="8"/>
      <c r="B115" s="58"/>
      <c r="C115" s="18"/>
      <c r="D115" s="18"/>
      <c r="E115" s="18"/>
      <c r="G115" s="19"/>
      <c r="H115" s="19"/>
      <c r="I115" s="55"/>
      <c r="J115" s="18"/>
      <c r="K115" s="29"/>
      <c r="CK115" s="30"/>
      <c r="CN115" s="9">
        <v>56</v>
      </c>
      <c r="CO115" s="17">
        <v>0.05</v>
      </c>
      <c r="CP115" s="17">
        <v>-3.1278599722148357E-3</v>
      </c>
      <c r="CQ115" s="17">
        <v>-3.549384748451618E-3</v>
      </c>
      <c r="CR115" s="17">
        <v>4.4679487410630083E-5</v>
      </c>
      <c r="CS115" s="17">
        <f t="shared" si="63"/>
        <v>4.3367434766744185E-2</v>
      </c>
    </row>
    <row r="116" spans="1:97" x14ac:dyDescent="0.45">
      <c r="A116" s="8"/>
      <c r="B116" s="58"/>
      <c r="C116" s="18"/>
      <c r="D116" s="18"/>
      <c r="E116" s="18"/>
      <c r="G116" s="19"/>
      <c r="H116" s="19"/>
      <c r="I116" s="55"/>
      <c r="J116" s="18"/>
      <c r="K116" s="29"/>
      <c r="CK116" s="30"/>
      <c r="CN116" s="9">
        <v>56.5</v>
      </c>
      <c r="CO116" s="17">
        <v>0.05</v>
      </c>
      <c r="CP116" s="17">
        <v>-3.1001805641990101E-3</v>
      </c>
      <c r="CQ116" s="17">
        <v>-3.5179856532068805E-3</v>
      </c>
      <c r="CR116" s="17">
        <v>4.4284093716730704E-5</v>
      </c>
      <c r="CS116" s="17">
        <f t="shared" si="63"/>
        <v>4.3426117876310844E-2</v>
      </c>
    </row>
    <row r="117" spans="1:97" x14ac:dyDescent="0.45">
      <c r="A117" s="8"/>
      <c r="B117" s="58"/>
      <c r="C117" s="18"/>
      <c r="D117" s="18"/>
      <c r="E117" s="18"/>
      <c r="G117" s="19"/>
      <c r="H117" s="19"/>
      <c r="I117" s="55"/>
      <c r="J117" s="18"/>
      <c r="K117" s="29"/>
      <c r="CK117" s="30"/>
      <c r="CN117" s="9">
        <v>57</v>
      </c>
      <c r="CO117" s="17">
        <v>0.05</v>
      </c>
      <c r="CP117" s="17">
        <v>-3.0729866763345107E-3</v>
      </c>
      <c r="CQ117" s="17">
        <v>-3.4871362715620624E-3</v>
      </c>
      <c r="CR117" s="17">
        <v>4.3895636754303242E-5</v>
      </c>
      <c r="CS117" s="17">
        <f t="shared" si="63"/>
        <v>4.3483772688857739E-2</v>
      </c>
    </row>
    <row r="118" spans="1:97" x14ac:dyDescent="0.45">
      <c r="A118" s="8"/>
      <c r="B118" s="58"/>
      <c r="C118" s="18"/>
      <c r="D118" s="18"/>
      <c r="E118" s="18"/>
      <c r="G118" s="19"/>
      <c r="H118" s="19"/>
      <c r="I118" s="55"/>
      <c r="J118" s="18"/>
      <c r="K118" s="29"/>
      <c r="CK118" s="30"/>
      <c r="CN118" s="9">
        <v>57.5</v>
      </c>
      <c r="CO118" s="17">
        <v>0.05</v>
      </c>
      <c r="CP118" s="17">
        <v>-3.0462656519483766E-3</v>
      </c>
      <c r="CQ118" s="17">
        <v>-3.4568223781283693E-3</v>
      </c>
      <c r="CR118" s="17">
        <v>4.3513935565135388E-5</v>
      </c>
      <c r="CS118" s="17">
        <f t="shared" si="63"/>
        <v>4.3540425905488393E-2</v>
      </c>
    </row>
    <row r="119" spans="1:97" x14ac:dyDescent="0.45">
      <c r="A119" s="8"/>
      <c r="B119" s="58"/>
      <c r="C119" s="18"/>
      <c r="D119" s="18"/>
      <c r="E119" s="18"/>
      <c r="G119" s="19"/>
      <c r="H119" s="19"/>
      <c r="I119" s="55"/>
      <c r="J119" s="18"/>
      <c r="K119" s="29"/>
      <c r="CK119" s="30"/>
      <c r="CN119" s="9">
        <v>58</v>
      </c>
      <c r="CO119" s="17">
        <v>0.05</v>
      </c>
      <c r="CP119" s="17">
        <v>-3.0200052698193111E-3</v>
      </c>
      <c r="CQ119" s="17">
        <v>-3.4270302266128589E-3</v>
      </c>
      <c r="CR119" s="17">
        <v>4.3138815430953188E-5</v>
      </c>
      <c r="CS119" s="17">
        <f t="shared" si="63"/>
        <v>4.3596103318998783E-2</v>
      </c>
    </row>
    <row r="120" spans="1:97" x14ac:dyDescent="0.45">
      <c r="A120" s="8"/>
      <c r="B120" s="58"/>
      <c r="C120" s="18"/>
      <c r="D120" s="18"/>
      <c r="E120" s="18"/>
      <c r="G120" s="19"/>
      <c r="H120" s="19"/>
      <c r="I120" s="55"/>
      <c r="J120" s="18"/>
      <c r="K120" s="29"/>
      <c r="CK120" s="30"/>
      <c r="CN120" s="9">
        <v>58.5</v>
      </c>
      <c r="CO120" s="17">
        <v>0.05</v>
      </c>
      <c r="CP120" s="17">
        <v>-2.9941937256756927E-3</v>
      </c>
      <c r="CQ120" s="17">
        <v>-3.3977465304720054E-3</v>
      </c>
      <c r="CR120" s="17">
        <v>4.2770107606757007E-5</v>
      </c>
      <c r="CS120" s="17">
        <f t="shared" si="63"/>
        <v>4.3650829851459058E-2</v>
      </c>
    </row>
    <row r="121" spans="1:97" x14ac:dyDescent="0.45">
      <c r="A121" s="8"/>
      <c r="B121" s="58"/>
      <c r="C121" s="18"/>
      <c r="D121" s="18"/>
      <c r="E121" s="18"/>
      <c r="G121" s="19"/>
      <c r="H121" s="19"/>
      <c r="I121" s="55"/>
      <c r="J121" s="18"/>
      <c r="K121" s="29"/>
      <c r="CK121" s="30"/>
      <c r="CN121" s="9">
        <v>59</v>
      </c>
      <c r="CO121" s="17">
        <v>0.05</v>
      </c>
      <c r="CP121" s="17">
        <v>-2.9688196146227218E-3</v>
      </c>
      <c r="CQ121" s="17">
        <v>-3.368958444438895E-3</v>
      </c>
      <c r="CR121" s="17">
        <v>4.2407649067716697E-5</v>
      </c>
      <c r="CS121" s="17">
        <f t="shared" si="63"/>
        <v>4.3704629590006101E-2</v>
      </c>
    </row>
    <row r="122" spans="1:97" x14ac:dyDescent="0.45">
      <c r="A122" s="8"/>
      <c r="B122" s="58"/>
      <c r="C122" s="18"/>
      <c r="D122" s="18"/>
      <c r="E122" s="18"/>
      <c r="G122" s="19"/>
      <c r="H122" s="19"/>
      <c r="I122" s="55"/>
      <c r="J122" s="18"/>
      <c r="K122" s="29"/>
      <c r="CK122" s="30"/>
      <c r="CN122" s="9">
        <v>59.5</v>
      </c>
      <c r="CO122" s="17">
        <v>0.05</v>
      </c>
      <c r="CP122" s="17">
        <v>-2.9438719144453305E-3</v>
      </c>
      <c r="CQ122" s="17">
        <v>-3.3406535468832742E-3</v>
      </c>
      <c r="CR122" s="17">
        <v>4.2051282268828321E-5</v>
      </c>
      <c r="CS122" s="17">
        <f t="shared" si="63"/>
        <v>4.3757525820940224E-2</v>
      </c>
    </row>
    <row r="123" spans="1:97" x14ac:dyDescent="0.45">
      <c r="A123" s="8"/>
      <c r="B123" s="58"/>
      <c r="C123" s="18"/>
      <c r="D123" s="18"/>
      <c r="E123" s="18"/>
      <c r="G123" s="19"/>
      <c r="H123" s="19"/>
      <c r="I123" s="55"/>
      <c r="J123" s="18"/>
      <c r="K123" s="29"/>
      <c r="CK123" s="30"/>
      <c r="CN123" s="9">
        <v>60</v>
      </c>
      <c r="CO123" s="17">
        <v>0.05</v>
      </c>
      <c r="CP123" s="17">
        <v>-2.9193399697368793E-3</v>
      </c>
      <c r="CQ123" s="17">
        <v>-3.3128198229653862E-3</v>
      </c>
      <c r="CR123" s="17">
        <v>4.1700854916588081E-5</v>
      </c>
      <c r="CS123" s="17">
        <f t="shared" si="63"/>
        <v>4.3809541062214324E-2</v>
      </c>
    </row>
    <row r="124" spans="1:97" x14ac:dyDescent="0.45">
      <c r="A124" s="8"/>
      <c r="B124" s="58"/>
      <c r="C124" s="18"/>
      <c r="D124" s="18"/>
      <c r="E124" s="18"/>
      <c r="G124" s="19"/>
      <c r="H124" s="19"/>
      <c r="I124" s="55"/>
      <c r="J124" s="18"/>
      <c r="K124" s="29"/>
      <c r="CK124" s="30"/>
      <c r="CN124" s="9">
        <v>60.5</v>
      </c>
      <c r="CO124" s="17">
        <v>0.05</v>
      </c>
      <c r="CP124" s="17">
        <v>-2.8952134768068516E-3</v>
      </c>
      <c r="CQ124" s="17">
        <v>-3.2854456485461978E-3</v>
      </c>
      <c r="CR124" s="17">
        <v>4.1356219751988181E-5</v>
      </c>
      <c r="CS124" s="17">
        <f t="shared" si="63"/>
        <v>4.3860697094398937E-2</v>
      </c>
    </row>
    <row r="125" spans="1:97" x14ac:dyDescent="0.45">
      <c r="A125" s="8"/>
      <c r="B125" s="58"/>
      <c r="C125" s="18"/>
      <c r="D125" s="18"/>
      <c r="E125" s="18"/>
      <c r="G125" s="19"/>
      <c r="H125" s="19"/>
      <c r="I125" s="55"/>
      <c r="J125" s="18"/>
      <c r="K125" s="29"/>
      <c r="CK125" s="30"/>
      <c r="CN125" s="9">
        <v>61</v>
      </c>
      <c r="CO125" s="17">
        <v>0.05</v>
      </c>
      <c r="CP125" s="17">
        <v>-2.8714824693237173E-3</v>
      </c>
      <c r="CQ125" s="17">
        <v>-3.2585197748182752E-3</v>
      </c>
      <c r="CR125" s="17">
        <v>4.1017234344184998E-5</v>
      </c>
      <c r="CS125" s="17">
        <f t="shared" si="63"/>
        <v>4.3911014990202196E-2</v>
      </c>
    </row>
    <row r="126" spans="1:97" x14ac:dyDescent="0.45">
      <c r="A126" s="8"/>
      <c r="B126" s="58"/>
      <c r="C126" s="18"/>
      <c r="D126" s="18"/>
      <c r="E126" s="18"/>
      <c r="G126" s="19"/>
      <c r="H126" s="19"/>
      <c r="I126" s="55"/>
      <c r="J126" s="18"/>
      <c r="K126" s="29"/>
      <c r="CK126" s="30"/>
      <c r="CN126" s="9">
        <v>61.5</v>
      </c>
      <c r="CO126" s="17">
        <v>0.05</v>
      </c>
      <c r="CP126" s="17">
        <v>-2.8481373046519089E-3</v>
      </c>
      <c r="CQ126" s="17">
        <v>-3.2320313136231476E-3</v>
      </c>
      <c r="CR126" s="17">
        <v>4.0683760894232275E-5</v>
      </c>
      <c r="CS126" s="17">
        <f t="shared" si="63"/>
        <v>4.3960515142619179E-2</v>
      </c>
    </row>
    <row r="127" spans="1:97" x14ac:dyDescent="0.45">
      <c r="A127" s="8"/>
      <c r="B127" s="58"/>
      <c r="C127" s="18"/>
      <c r="D127" s="18"/>
      <c r="E127" s="18"/>
      <c r="G127" s="19"/>
      <c r="H127" s="19"/>
      <c r="I127" s="55"/>
      <c r="J127" s="18"/>
      <c r="K127" s="29"/>
      <c r="CK127" s="30"/>
      <c r="CN127" s="9">
        <v>62</v>
      </c>
      <c r="CO127" s="17">
        <v>0.05</v>
      </c>
      <c r="CP127" s="17">
        <v>-2.8251686508443826E-3</v>
      </c>
      <c r="CQ127" s="17">
        <v>-3.2059697234225479E-3</v>
      </c>
      <c r="CR127" s="17">
        <v>4.035566604831105E-5</v>
      </c>
      <c r="CS127" s="17">
        <f t="shared" si="63"/>
        <v>4.4009217291781387E-2</v>
      </c>
    </row>
    <row r="128" spans="1:97" x14ac:dyDescent="0.45">
      <c r="A128" s="8"/>
      <c r="B128" s="58"/>
      <c r="C128" s="18"/>
      <c r="D128" s="18"/>
      <c r="E128" s="18"/>
      <c r="G128" s="19"/>
      <c r="H128" s="19"/>
      <c r="I128" s="55"/>
      <c r="J128" s="18"/>
      <c r="K128" s="29"/>
      <c r="CK128" s="30"/>
      <c r="CN128" s="9">
        <v>62.5</v>
      </c>
      <c r="CO128" s="17">
        <v>0.05</v>
      </c>
      <c r="CP128" s="17">
        <v>-2.8025674742546769E-3</v>
      </c>
      <c r="CQ128" s="17">
        <v>-3.1803247958924344E-3</v>
      </c>
      <c r="CR128" s="17">
        <v>4.0032820719924563E-5</v>
      </c>
      <c r="CS128" s="17">
        <f t="shared" si="63"/>
        <v>4.4057140550572818E-2</v>
      </c>
    </row>
    <row r="129" spans="1:97" x14ac:dyDescent="0.45">
      <c r="A129" s="8"/>
      <c r="B129" s="58"/>
      <c r="C129" s="18"/>
      <c r="D129" s="18"/>
      <c r="E129" s="18"/>
      <c r="G129" s="19"/>
      <c r="H129" s="19"/>
      <c r="I129" s="55"/>
      <c r="J129" s="18"/>
      <c r="K129" s="29"/>
      <c r="CK129" s="30"/>
      <c r="CN129" s="9">
        <v>63</v>
      </c>
      <c r="CO129" s="17">
        <v>0.05</v>
      </c>
      <c r="CP129" s="17">
        <v>-2.7803250277345583E-3</v>
      </c>
      <c r="CQ129" s="17">
        <v>-3.1550866431101091E-3</v>
      </c>
      <c r="CR129" s="17">
        <v>3.9715099920560082E-5</v>
      </c>
      <c r="CS129" s="17">
        <f t="shared" si="63"/>
        <v>4.4104303429075897E-2</v>
      </c>
    </row>
    <row r="130" spans="1:97" x14ac:dyDescent="0.45">
      <c r="A130" s="8"/>
      <c r="B130" s="58"/>
      <c r="C130" s="18"/>
      <c r="D130" s="18"/>
      <c r="E130" s="18"/>
      <c r="G130" s="19"/>
      <c r="H130" s="19"/>
      <c r="I130" s="55"/>
      <c r="J130" s="18"/>
      <c r="K130" s="29"/>
      <c r="CK130" s="30"/>
      <c r="CN130" s="9">
        <v>63.5</v>
      </c>
      <c r="CO130" s="17">
        <v>0.05</v>
      </c>
      <c r="CP130" s="17">
        <v>-2.7584328393854625E-3</v>
      </c>
      <c r="CQ130" s="17">
        <v>-3.1302456853061853E-3</v>
      </c>
      <c r="CR130" s="17">
        <v>3.9402382598350943E-5</v>
      </c>
      <c r="CS130" s="17">
        <f t="shared" si="63"/>
        <v>4.4150723857906707E-2</v>
      </c>
    </row>
    <row r="131" spans="1:97" x14ac:dyDescent="0.45">
      <c r="A131" s="8"/>
      <c r="B131" s="58"/>
      <c r="C131" s="18"/>
      <c r="D131" s="18"/>
      <c r="E131" s="18"/>
      <c r="G131" s="19"/>
      <c r="H131" s="19"/>
      <c r="I131" s="55"/>
      <c r="J131" s="18"/>
      <c r="K131" s="29"/>
      <c r="CK131" s="30"/>
      <c r="CN131" s="9">
        <v>64</v>
      </c>
      <c r="CO131" s="17">
        <v>0.05</v>
      </c>
      <c r="CP131" s="17">
        <v>-2.7368827018338492E-3</v>
      </c>
      <c r="CQ131" s="17">
        <v>-3.1057926391544516E-3</v>
      </c>
      <c r="CR131" s="17">
        <v>3.9094551484301329E-5</v>
      </c>
      <c r="CS131" s="17">
        <f t="shared" si="63"/>
        <v>4.4196419210495996E-2</v>
      </c>
    </row>
    <row r="132" spans="1:97" x14ac:dyDescent="0.45">
      <c r="A132" s="8"/>
      <c r="B132" s="58"/>
      <c r="C132" s="18"/>
      <c r="D132" s="18"/>
      <c r="E132" s="18"/>
      <c r="G132" s="19"/>
      <c r="H132" s="19"/>
      <c r="I132" s="55"/>
      <c r="J132" s="18"/>
      <c r="K132" s="29"/>
      <c r="CK132" s="30"/>
      <c r="CN132" s="9">
        <v>64.5</v>
      </c>
      <c r="CO132" s="17">
        <v>0.05</v>
      </c>
      <c r="CP132" s="17">
        <v>-2.7156666620024115E-3</v>
      </c>
      <c r="CQ132" s="17">
        <v>-3.0817185065740143E-3</v>
      </c>
      <c r="CR132" s="17">
        <v>3.8791492945663328E-5</v>
      </c>
      <c r="CS132" s="17">
        <f t="shared" ref="CS132:CS195" si="64">SUM(CO132:CR132)</f>
        <v>4.4241406324369244E-2</v>
      </c>
    </row>
    <row r="133" spans="1:97" x14ac:dyDescent="0.45">
      <c r="A133" s="8"/>
      <c r="B133" s="58"/>
      <c r="C133" s="18"/>
      <c r="D133" s="18"/>
      <c r="E133" s="18"/>
      <c r="G133" s="19"/>
      <c r="H133" s="19"/>
      <c r="I133" s="47"/>
      <c r="J133" s="18"/>
      <c r="K133" s="29"/>
      <c r="CK133" s="30"/>
      <c r="CN133" s="9">
        <v>65</v>
      </c>
      <c r="CO133" s="17">
        <v>0.05</v>
      </c>
      <c r="CP133" s="17">
        <v>-2.6947770113507638E-3</v>
      </c>
      <c r="CQ133" s="17">
        <v>-3.0580145640192952E-3</v>
      </c>
      <c r="CR133" s="17">
        <v>3.8493096846081304E-5</v>
      </c>
      <c r="CS133" s="17">
        <f t="shared" si="64"/>
        <v>4.4285701521476026E-2</v>
      </c>
    </row>
    <row r="134" spans="1:97" x14ac:dyDescent="0.45">
      <c r="A134" s="8"/>
      <c r="B134" s="58"/>
      <c r="C134" s="18"/>
      <c r="D134" s="18"/>
      <c r="E134" s="18"/>
      <c r="G134" s="19"/>
      <c r="H134" s="19"/>
      <c r="I134" s="47"/>
      <c r="J134" s="18"/>
      <c r="K134" s="29"/>
      <c r="CK134" s="30"/>
      <c r="CN134" s="9">
        <v>65.5</v>
      </c>
      <c r="CO134" s="17">
        <v>0.05</v>
      </c>
      <c r="CP134" s="17">
        <v>-2.6742062765607953E-3</v>
      </c>
      <c r="CQ134" s="17">
        <v>-3.0346723522346611E-3</v>
      </c>
      <c r="CR134" s="17">
        <v>3.8199256412141755E-5</v>
      </c>
      <c r="CS134" s="17">
        <f t="shared" si="64"/>
        <v>4.4329320627616693E-2</v>
      </c>
    </row>
    <row r="135" spans="1:97" x14ac:dyDescent="0.45">
      <c r="A135" s="8"/>
      <c r="B135" s="58"/>
      <c r="C135" s="18"/>
      <c r="D135" s="18"/>
      <c r="E135" s="18"/>
      <c r="G135" s="19"/>
      <c r="H135" s="19"/>
      <c r="I135" s="47"/>
      <c r="J135" s="18"/>
      <c r="K135" s="29"/>
      <c r="CK135" s="30"/>
      <c r="CN135" s="9">
        <v>66</v>
      </c>
      <c r="CO135" s="17">
        <v>0.05</v>
      </c>
      <c r="CP135" s="17">
        <v>-2.6539472106433776E-3</v>
      </c>
      <c r="CQ135" s="17">
        <v>-3.0116836664515986E-3</v>
      </c>
      <c r="CR135" s="17">
        <v>3.7909868105989158E-5</v>
      </c>
      <c r="CS135" s="17">
        <f t="shared" si="64"/>
        <v>4.4372278991011024E-2</v>
      </c>
    </row>
    <row r="136" spans="1:97" x14ac:dyDescent="0.45">
      <c r="A136" s="8"/>
      <c r="B136" s="58"/>
      <c r="C136" s="18"/>
      <c r="D136" s="18"/>
      <c r="E136" s="18"/>
      <c r="G136" s="19"/>
      <c r="H136" s="19"/>
      <c r="I136" s="47"/>
      <c r="J136" s="18"/>
      <c r="K136" s="29"/>
      <c r="CK136" s="30"/>
      <c r="CN136" s="9">
        <v>66.5</v>
      </c>
      <c r="CO136" s="17">
        <v>0.05</v>
      </c>
      <c r="CP136" s="17">
        <v>-2.633992784444459E-3</v>
      </c>
      <c r="CQ136" s="17">
        <v>-2.989040547007429E-3</v>
      </c>
      <c r="CR136" s="17">
        <v>3.7624831503688492E-5</v>
      </c>
      <c r="CS136" s="17">
        <f t="shared" si="64"/>
        <v>4.4414591500051802E-2</v>
      </c>
    </row>
    <row r="137" spans="1:97" x14ac:dyDescent="0.45">
      <c r="A137" s="8"/>
      <c r="B137" s="58"/>
      <c r="C137" s="18"/>
      <c r="D137" s="18"/>
      <c r="E137" s="18"/>
      <c r="G137" s="19"/>
      <c r="H137" s="19"/>
      <c r="I137" s="47"/>
      <c r="J137" s="18"/>
      <c r="K137" s="29"/>
      <c r="CK137" s="30"/>
      <c r="CN137" s="9">
        <v>67</v>
      </c>
      <c r="CO137" s="17">
        <v>0.05</v>
      </c>
      <c r="CP137" s="17">
        <v>-2.6143361785298871E-3</v>
      </c>
      <c r="CQ137" s="17">
        <v>-2.9667352703655549E-3</v>
      </c>
      <c r="CR137" s="17">
        <v>3.7344049179034102E-5</v>
      </c>
      <c r="CS137" s="17">
        <f t="shared" si="64"/>
        <v>4.4456272600283599E-2</v>
      </c>
    </row>
    <row r="138" spans="1:97" x14ac:dyDescent="0.45">
      <c r="A138" s="8"/>
      <c r="B138" s="58"/>
      <c r="C138" s="18"/>
      <c r="D138" s="18"/>
      <c r="E138" s="18"/>
      <c r="G138" s="19"/>
      <c r="H138" s="19"/>
      <c r="I138" s="47"/>
      <c r="J138" s="18"/>
      <c r="K138" s="29"/>
      <c r="CK138" s="30"/>
      <c r="CN138" s="9">
        <v>67.5</v>
      </c>
      <c r="CO138" s="17">
        <v>0.05</v>
      </c>
      <c r="CP138" s="17">
        <v>-2.5949707754294887E-3</v>
      </c>
      <c r="CQ138" s="17">
        <v>-2.9447603405182857E-3</v>
      </c>
      <c r="CR138" s="17">
        <v>3.7067426592522743E-5</v>
      </c>
      <c r="CS138" s="17">
        <f t="shared" si="64"/>
        <v>4.4497336310644751E-2</v>
      </c>
    </row>
    <row r="139" spans="1:97" x14ac:dyDescent="0.45">
      <c r="A139" s="8"/>
      <c r="B139" s="58"/>
      <c r="C139" s="18"/>
      <c r="D139" s="18"/>
      <c r="E139" s="18"/>
      <c r="G139" s="19"/>
      <c r="H139" s="19"/>
      <c r="I139" s="47"/>
      <c r="J139" s="18"/>
      <c r="K139" s="29"/>
      <c r="CK139" s="30"/>
      <c r="CN139" s="9">
        <v>68</v>
      </c>
      <c r="CO139" s="17">
        <v>0.05</v>
      </c>
      <c r="CP139" s="17">
        <v>-2.5758901522220747E-3</v>
      </c>
      <c r="CQ139" s="17">
        <v>-2.9231084807541459E-3</v>
      </c>
      <c r="CR139" s="17">
        <v>3.6794871985224776E-5</v>
      </c>
      <c r="CS139" s="17">
        <f t="shared" si="64"/>
        <v>4.4537796239009012E-2</v>
      </c>
    </row>
    <row r="140" spans="1:97" x14ac:dyDescent="0.45">
      <c r="A140" s="8"/>
      <c r="B140" s="58"/>
      <c r="C140" s="18"/>
      <c r="D140" s="18"/>
      <c r="E140" s="18"/>
      <c r="G140" s="19"/>
      <c r="H140" s="19"/>
      <c r="I140" s="47"/>
      <c r="J140" s="18"/>
      <c r="K140" s="29"/>
      <c r="CK140" s="30"/>
      <c r="CN140" s="9">
        <v>68.5</v>
      </c>
      <c r="CO140" s="17">
        <v>0.05</v>
      </c>
      <c r="CP140" s="17">
        <v>-2.5570880734440879E-3</v>
      </c>
      <c r="CQ140" s="17">
        <v>-2.9017726257725383E-3</v>
      </c>
      <c r="CR140" s="17">
        <v>3.6526296277303434E-5</v>
      </c>
      <c r="CS140" s="17">
        <f t="shared" si="64"/>
        <v>4.4577665597060681E-2</v>
      </c>
    </row>
    <row r="141" spans="1:97" x14ac:dyDescent="0.45">
      <c r="A141" s="8"/>
      <c r="B141" s="58"/>
      <c r="C141" s="18"/>
      <c r="D141" s="18"/>
      <c r="E141" s="18"/>
      <c r="G141" s="19"/>
      <c r="H141" s="19"/>
      <c r="I141" s="47"/>
      <c r="J141" s="18"/>
      <c r="K141" s="29"/>
      <c r="CK141" s="30"/>
      <c r="CN141" s="9">
        <v>69</v>
      </c>
      <c r="CO141" s="17">
        <v>0.05</v>
      </c>
      <c r="CP141" s="17">
        <v>-2.5385584843055902E-3</v>
      </c>
      <c r="CQ141" s="17">
        <v>-2.8807459141294289E-3</v>
      </c>
      <c r="CR141" s="17">
        <v>3.6261612970946161E-5</v>
      </c>
      <c r="CS141" s="17">
        <f t="shared" si="64"/>
        <v>4.4616957214535929E-2</v>
      </c>
    </row>
    <row r="142" spans="1:97" x14ac:dyDescent="0.45">
      <c r="A142" s="8"/>
      <c r="B142" s="58"/>
      <c r="C142" s="18"/>
      <c r="D142" s="18"/>
      <c r="E142" s="18"/>
      <c r="G142" s="19"/>
      <c r="H142" s="19"/>
      <c r="I142" s="47"/>
      <c r="J142" s="18"/>
      <c r="K142" s="29"/>
      <c r="CK142" s="30"/>
      <c r="CN142" s="9">
        <v>69.5</v>
      </c>
      <c r="CO142" s="17">
        <v>0.05</v>
      </c>
      <c r="CP142" s="17">
        <v>-2.5202955041982236E-3</v>
      </c>
      <c r="CQ142" s="17">
        <v>-2.8600216809985678E-3</v>
      </c>
      <c r="CR142" s="17">
        <v>3.600073805748612E-5</v>
      </c>
      <c r="CS142" s="17">
        <f t="shared" si="64"/>
        <v>4.4655683552860696E-2</v>
      </c>
    </row>
    <row r="143" spans="1:97" x14ac:dyDescent="0.45">
      <c r="A143" s="8"/>
      <c r="B143" s="58"/>
      <c r="C143" s="18"/>
      <c r="D143" s="18"/>
      <c r="E143" s="18"/>
      <c r="G143" s="19"/>
      <c r="H143" s="19"/>
      <c r="I143" s="47"/>
      <c r="J143" s="18"/>
      <c r="K143" s="29"/>
      <c r="CK143" s="30"/>
      <c r="CN143" s="9">
        <v>70</v>
      </c>
      <c r="CO143" s="17">
        <v>0.05</v>
      </c>
      <c r="CP143" s="17">
        <v>-2.5022934204806399E-3</v>
      </c>
      <c r="CQ143" s="17">
        <v>-2.8395934512335072E-3</v>
      </c>
      <c r="CR143" s="17">
        <v>3.574358992850407E-5</v>
      </c>
      <c r="CS143" s="17">
        <f t="shared" si="64"/>
        <v>4.469385671821436E-2</v>
      </c>
    </row>
    <row r="144" spans="1:97" x14ac:dyDescent="0.45">
      <c r="A144" s="8"/>
      <c r="B144" s="58"/>
      <c r="C144" s="18"/>
      <c r="D144" s="18"/>
      <c r="E144" s="18"/>
      <c r="G144" s="19"/>
      <c r="H144" s="19"/>
      <c r="I144" s="47"/>
      <c r="J144" s="18"/>
      <c r="K144" s="29"/>
      <c r="CK144" s="30"/>
      <c r="CN144" s="9">
        <v>70.5</v>
      </c>
      <c r="CO144" s="17">
        <v>0.05</v>
      </c>
      <c r="CP144" s="17">
        <v>-2.484546682527703E-3</v>
      </c>
      <c r="CQ144" s="17">
        <v>-2.8194549327164331E-3</v>
      </c>
      <c r="CR144" s="17">
        <v>3.5490089290713258E-5</v>
      </c>
      <c r="CS144" s="17">
        <f t="shared" si="64"/>
        <v>4.473148847404658E-2</v>
      </c>
    </row>
    <row r="145" spans="1:97" x14ac:dyDescent="0.45">
      <c r="A145" s="8"/>
      <c r="B145" s="58"/>
      <c r="C145" s="18"/>
      <c r="D145" s="18"/>
      <c r="E145" s="18"/>
      <c r="G145" s="19"/>
      <c r="H145" s="19"/>
      <c r="I145" s="47"/>
      <c r="J145" s="18"/>
      <c r="K145" s="29"/>
      <c r="CK145" s="30"/>
      <c r="CN145" s="9">
        <v>71</v>
      </c>
      <c r="CO145" s="17">
        <v>0.05</v>
      </c>
      <c r="CP145" s="17">
        <v>-2.4670498960305386E-3</v>
      </c>
      <c r="CQ145" s="17">
        <v>-2.7996000099804975E-3</v>
      </c>
      <c r="CR145" s="17">
        <v>3.5240159084440636E-5</v>
      </c>
      <c r="CS145" s="17">
        <f t="shared" si="64"/>
        <v>4.4768590253073406E-2</v>
      </c>
    </row>
    <row r="146" spans="1:97" x14ac:dyDescent="0.45">
      <c r="A146" s="8"/>
      <c r="B146" s="58"/>
      <c r="C146" s="18"/>
      <c r="D146" s="18"/>
      <c r="E146" s="18"/>
      <c r="G146" s="19"/>
      <c r="H146" s="19"/>
      <c r="I146" s="47"/>
      <c r="J146" s="18"/>
      <c r="K146" s="29"/>
      <c r="CK146" s="30"/>
      <c r="CN146" s="9">
        <v>71.5</v>
      </c>
      <c r="CO146" s="17">
        <v>0.05</v>
      </c>
      <c r="CP146" s="17">
        <v>-2.4497978175352163E-3</v>
      </c>
      <c r="CQ146" s="17">
        <v>-2.7800227380930186E-3</v>
      </c>
      <c r="CR146" s="17">
        <v>3.4993724405528457E-5</v>
      </c>
      <c r="CS146" s="17">
        <f t="shared" si="64"/>
        <v>4.4805173168777294E-2</v>
      </c>
    </row>
    <row r="147" spans="1:97" x14ac:dyDescent="0.45">
      <c r="A147" s="8"/>
      <c r="B147" s="58"/>
      <c r="C147" s="18"/>
      <c r="D147" s="18"/>
      <c r="E147" s="18"/>
      <c r="G147" s="19"/>
      <c r="H147" s="19"/>
      <c r="I147" s="47"/>
      <c r="J147" s="18"/>
      <c r="K147" s="29"/>
      <c r="CK147" s="30"/>
      <c r="CN147" s="9">
        <v>72</v>
      </c>
      <c r="CO147" s="17">
        <v>0.05</v>
      </c>
      <c r="CP147" s="17">
        <v>-2.4327853492085187E-3</v>
      </c>
      <c r="CQ147" s="17">
        <v>-2.7607173367875442E-3</v>
      </c>
      <c r="CR147" s="17">
        <v>3.4750712430490067E-5</v>
      </c>
      <c r="CS147" s="17">
        <f t="shared" si="64"/>
        <v>4.4841248026434431E-2</v>
      </c>
    </row>
    <row r="148" spans="1:97" x14ac:dyDescent="0.45">
      <c r="A148" s="8"/>
      <c r="B148" s="58"/>
      <c r="C148" s="18"/>
      <c r="D148" s="18"/>
      <c r="E148" s="18"/>
      <c r="G148" s="19"/>
      <c r="H148" s="19"/>
      <c r="I148" s="47"/>
      <c r="J148" s="18"/>
      <c r="K148" s="29"/>
      <c r="CK148" s="30"/>
      <c r="CN148" s="9">
        <v>72.5</v>
      </c>
      <c r="CO148" s="17">
        <v>0.05</v>
      </c>
      <c r="CP148" s="17">
        <v>-2.4160075338198871E-3</v>
      </c>
      <c r="CQ148" s="17">
        <v>-2.7416781848333504E-3</v>
      </c>
      <c r="CR148" s="17">
        <v>3.4511052344762553E-5</v>
      </c>
      <c r="CS148" s="17">
        <f t="shared" si="64"/>
        <v>4.4876825333691528E-2</v>
      </c>
    </row>
    <row r="149" spans="1:97" x14ac:dyDescent="0.45">
      <c r="A149" s="8"/>
      <c r="B149" s="58"/>
      <c r="C149" s="18"/>
      <c r="D149" s="18"/>
      <c r="E149" s="18"/>
      <c r="G149" s="19"/>
      <c r="H149" s="19"/>
      <c r="I149" s="47"/>
      <c r="J149" s="18"/>
      <c r="K149" s="29"/>
      <c r="CK149" s="30"/>
      <c r="CN149" s="9">
        <v>73</v>
      </c>
      <c r="CO149" s="17">
        <v>0.05</v>
      </c>
      <c r="CP149" s="17">
        <v>-2.3994595499292246E-3</v>
      </c>
      <c r="CQ149" s="17">
        <v>-2.7228998146315393E-3</v>
      </c>
      <c r="CR149" s="17">
        <v>3.4274675273908009E-5</v>
      </c>
      <c r="CS149" s="17">
        <f t="shared" si="64"/>
        <v>4.4911915310713146E-2</v>
      </c>
    </row>
    <row r="150" spans="1:97" x14ac:dyDescent="0.45">
      <c r="A150" s="8"/>
      <c r="B150" s="58"/>
      <c r="C150" s="18"/>
      <c r="D150" s="18"/>
      <c r="E150" s="18"/>
      <c r="G150" s="19"/>
      <c r="H150" s="19"/>
      <c r="I150" s="47"/>
      <c r="J150" s="18"/>
      <c r="K150" s="29"/>
      <c r="CK150" s="30"/>
      <c r="CN150" s="9">
        <v>73.5</v>
      </c>
      <c r="CO150" s="17">
        <v>0.05</v>
      </c>
      <c r="CP150" s="17">
        <v>-2.3831367072707941E-3</v>
      </c>
      <c r="CQ150" s="17">
        <v>-2.7043769070274216E-3</v>
      </c>
      <c r="CR150" s="17">
        <v>3.4041514217622924E-5</v>
      </c>
      <c r="CS150" s="17">
        <f t="shared" si="64"/>
        <v>4.4946527899919417E-2</v>
      </c>
    </row>
    <row r="151" spans="1:97" x14ac:dyDescent="0.45">
      <c r="A151" s="8"/>
      <c r="B151" s="58"/>
      <c r="C151" s="18"/>
      <c r="D151" s="18"/>
      <c r="E151" s="18"/>
      <c r="G151" s="19"/>
      <c r="H151" s="19"/>
      <c r="I151" s="47"/>
      <c r="J151" s="18"/>
      <c r="K151" s="29"/>
      <c r="CK151" s="30"/>
      <c r="CN151" s="9">
        <v>74</v>
      </c>
      <c r="CO151" s="17">
        <v>0.05</v>
      </c>
      <c r="CP151" s="17">
        <v>-2.3670344423239692E-3</v>
      </c>
      <c r="CQ151" s="17">
        <v>-2.6861042863293811E-3</v>
      </c>
      <c r="CR151" s="17">
        <v>3.3811503986422764E-5</v>
      </c>
      <c r="CS151" s="17">
        <f t="shared" si="64"/>
        <v>4.4980672775333082E-2</v>
      </c>
    </row>
    <row r="152" spans="1:97" x14ac:dyDescent="0.45">
      <c r="A152" s="8"/>
      <c r="B152" s="58"/>
      <c r="C152" s="18"/>
      <c r="D152" s="18"/>
      <c r="E152" s="18"/>
      <c r="G152" s="19"/>
      <c r="H152" s="19"/>
      <c r="I152" s="47"/>
      <c r="J152" s="18"/>
      <c r="K152" s="29"/>
      <c r="CK152" s="30"/>
      <c r="CN152" s="9">
        <v>74.5</v>
      </c>
      <c r="CO152" s="17">
        <v>0.05</v>
      </c>
      <c r="CP152" s="17">
        <v>-2.3511483140620892E-3</v>
      </c>
      <c r="CQ152" s="17">
        <v>-2.6680769155249038E-3</v>
      </c>
      <c r="CR152" s="17">
        <v>3.3584581140876309E-5</v>
      </c>
      <c r="CS152" s="17">
        <f t="shared" si="64"/>
        <v>4.5014359351553887E-2</v>
      </c>
    </row>
    <row r="153" spans="1:97" x14ac:dyDescent="0.45">
      <c r="A153" s="8"/>
      <c r="B153" s="58"/>
      <c r="C153" s="18"/>
      <c r="D153" s="18"/>
      <c r="E153" s="18"/>
      <c r="G153" s="19"/>
      <c r="H153" s="19"/>
      <c r="I153" s="47"/>
      <c r="J153" s="18"/>
      <c r="K153" s="29"/>
      <c r="CK153" s="30"/>
      <c r="CN153" s="9">
        <v>75</v>
      </c>
      <c r="CO153" s="17">
        <v>0.05</v>
      </c>
      <c r="CP153" s="17">
        <v>-2.3354739998711436E-3</v>
      </c>
      <c r="CQ153" s="17">
        <v>-2.6502898916849166E-3</v>
      </c>
      <c r="CR153" s="17">
        <v>3.3360683933270463E-5</v>
      </c>
      <c r="CS153" s="17">
        <f t="shared" si="64"/>
        <v>4.5047596792377215E-2</v>
      </c>
    </row>
    <row r="154" spans="1:97" x14ac:dyDescent="0.45">
      <c r="A154" s="8"/>
      <c r="B154" s="58"/>
      <c r="C154" s="18"/>
      <c r="D154" s="18"/>
      <c r="E154" s="18"/>
      <c r="G154" s="19"/>
      <c r="H154" s="19"/>
      <c r="I154" s="47"/>
      <c r="J154" s="18"/>
      <c r="K154" s="29"/>
      <c r="CK154" s="30"/>
      <c r="CN154" s="9">
        <v>75.5</v>
      </c>
      <c r="CO154" s="17">
        <v>0.05</v>
      </c>
      <c r="CP154" s="17">
        <v>-2.3200072916304236E-3</v>
      </c>
      <c r="CQ154" s="17">
        <v>-2.6327384415480086E-3</v>
      </c>
      <c r="CR154" s="17">
        <v>3.3139752251593179E-5</v>
      </c>
      <c r="CS154" s="17">
        <f t="shared" si="64"/>
        <v>4.5080394019073163E-2</v>
      </c>
    </row>
    <row r="155" spans="1:97" x14ac:dyDescent="0.45">
      <c r="A155" s="8"/>
      <c r="B155" s="58"/>
      <c r="C155" s="18"/>
      <c r="D155" s="18"/>
      <c r="E155" s="18"/>
      <c r="G155" s="19"/>
      <c r="H155" s="19"/>
      <c r="I155" s="47"/>
      <c r="J155" s="18"/>
      <c r="K155" s="29"/>
      <c r="CK155" s="30"/>
      <c r="CN155" s="9">
        <v>76</v>
      </c>
      <c r="CO155" s="17">
        <v>0.05</v>
      </c>
      <c r="CP155" s="17">
        <v>-2.304744091947716E-3</v>
      </c>
      <c r="CQ155" s="17">
        <v>-2.6154179172765287E-3</v>
      </c>
      <c r="CR155" s="17">
        <v>3.2921727565727438E-5</v>
      </c>
      <c r="CS155" s="17">
        <f t="shared" si="64"/>
        <v>4.5112759718341486E-2</v>
      </c>
    </row>
    <row r="156" spans="1:97" x14ac:dyDescent="0.45">
      <c r="A156" s="8"/>
      <c r="B156" s="58"/>
      <c r="C156" s="18"/>
      <c r="D156" s="18"/>
      <c r="E156" s="18"/>
      <c r="G156" s="19"/>
      <c r="H156" s="19"/>
      <c r="I156" s="47"/>
      <c r="J156" s="18"/>
      <c r="K156" s="29"/>
      <c r="CK156" s="30"/>
      <c r="CN156" s="9">
        <v>76.5</v>
      </c>
      <c r="CO156" s="17">
        <v>0.05</v>
      </c>
      <c r="CP156" s="17">
        <v>-2.2896804105419768E-3</v>
      </c>
      <c r="CQ156" s="17">
        <v>-2.598323792376931E-3</v>
      </c>
      <c r="CR156" s="17">
        <v>3.2706552875755358E-5</v>
      </c>
      <c r="CS156" s="17">
        <f t="shared" si="64"/>
        <v>4.514470234995685E-2</v>
      </c>
    </row>
    <row r="157" spans="1:97" x14ac:dyDescent="0.45">
      <c r="A157" s="8"/>
      <c r="B157" s="58"/>
      <c r="C157" s="18"/>
      <c r="D157" s="18"/>
      <c r="E157" s="18"/>
      <c r="G157" s="19"/>
      <c r="H157" s="19"/>
      <c r="I157" s="47"/>
      <c r="J157" s="18"/>
      <c r="K157" s="29"/>
      <c r="CK157" s="30"/>
      <c r="CN157" s="9">
        <v>77</v>
      </c>
      <c r="CO157" s="17">
        <v>0.05</v>
      </c>
      <c r="CP157" s="17">
        <v>-2.2748123607668064E-3</v>
      </c>
      <c r="CQ157" s="17">
        <v>-2.5814516577771346E-3</v>
      </c>
      <c r="CR157" s="17">
        <v>3.2494172662276428E-5</v>
      </c>
      <c r="CS157" s="17">
        <f t="shared" si="64"/>
        <v>4.5176230154118334E-2</v>
      </c>
    </row>
    <row r="158" spans="1:97" x14ac:dyDescent="0.45">
      <c r="A158" s="8"/>
      <c r="B158" s="58"/>
      <c r="C158" s="18"/>
      <c r="D158" s="18"/>
      <c r="E158" s="18"/>
      <c r="G158" s="19"/>
      <c r="H158" s="19"/>
      <c r="I158" s="47"/>
      <c r="J158" s="18"/>
      <c r="K158" s="29"/>
      <c r="CK158" s="30"/>
      <c r="CN158" s="9">
        <v>77.5</v>
      </c>
      <c r="CO158" s="17">
        <v>0.05</v>
      </c>
      <c r="CP158" s="17">
        <v>-2.2601361562683817E-3</v>
      </c>
      <c r="CQ158" s="17">
        <v>-2.5647972180539939E-3</v>
      </c>
      <c r="CR158" s="17">
        <v>3.2284532838648839E-5</v>
      </c>
      <c r="CS158" s="17">
        <f t="shared" si="64"/>
        <v>4.5207351158516276E-2</v>
      </c>
    </row>
    <row r="159" spans="1:97" x14ac:dyDescent="0.45">
      <c r="A159" s="8"/>
      <c r="B159" s="58"/>
      <c r="C159" s="18"/>
      <c r="D159" s="18"/>
      <c r="E159" s="18"/>
      <c r="G159" s="19"/>
      <c r="H159" s="19"/>
      <c r="I159" s="47"/>
      <c r="J159" s="18"/>
      <c r="K159" s="29"/>
      <c r="CK159" s="30"/>
      <c r="CN159" s="9">
        <v>78</v>
      </c>
      <c r="CO159" s="17">
        <v>0.05</v>
      </c>
      <c r="CP159" s="17">
        <v>-2.245648107771813E-3</v>
      </c>
      <c r="CQ159" s="17">
        <v>-2.5483562878043133E-3</v>
      </c>
      <c r="CR159" s="17">
        <v>3.2077580705067757E-5</v>
      </c>
      <c r="CS159" s="17">
        <f t="shared" si="64"/>
        <v>4.5238073185128937E-2</v>
      </c>
    </row>
    <row r="160" spans="1:97" x14ac:dyDescent="0.45">
      <c r="A160" s="8"/>
      <c r="B160" s="58"/>
      <c r="C160" s="18"/>
      <c r="D160" s="18"/>
      <c r="E160" s="18"/>
      <c r="G160" s="19"/>
      <c r="H160" s="19"/>
      <c r="I160" s="47"/>
      <c r="J160" s="18"/>
      <c r="K160" s="29"/>
      <c r="CK160" s="30"/>
      <c r="CN160" s="9">
        <v>78.5</v>
      </c>
      <c r="CO160" s="17">
        <v>0.05</v>
      </c>
      <c r="CP160" s="17">
        <v>-2.2313446199902329E-3</v>
      </c>
      <c r="CQ160" s="17">
        <v>-2.532124788153177E-3</v>
      </c>
      <c r="CR160" s="17">
        <v>3.1873264904398538E-5</v>
      </c>
      <c r="CS160" s="17">
        <f t="shared" si="64"/>
        <v>4.5268403856760987E-2</v>
      </c>
    </row>
    <row r="161" spans="1:97" x14ac:dyDescent="0.45">
      <c r="A161" s="8"/>
      <c r="B161" s="58"/>
      <c r="C161" s="18"/>
      <c r="D161" s="18"/>
      <c r="E161" s="18"/>
      <c r="G161" s="19"/>
      <c r="H161" s="19"/>
      <c r="I161" s="47"/>
      <c r="J161" s="18"/>
      <c r="K161" s="29"/>
      <c r="CK161" s="30"/>
      <c r="CN161" s="9">
        <v>79</v>
      </c>
      <c r="CO161" s="17">
        <v>0.05</v>
      </c>
      <c r="CP161" s="17">
        <v>-2.2172221886511676E-3</v>
      </c>
      <c r="CQ161" s="17">
        <v>-2.516098743393634E-3</v>
      </c>
      <c r="CR161" s="17">
        <v>3.1671535379687146E-5</v>
      </c>
      <c r="CS161" s="17">
        <f t="shared" si="64"/>
        <v>4.529835060333489E-2</v>
      </c>
    </row>
    <row r="162" spans="1:97" x14ac:dyDescent="0.45">
      <c r="A162" s="8"/>
      <c r="B162" s="58"/>
      <c r="C162" s="18"/>
      <c r="D162" s="18"/>
      <c r="E162" s="18"/>
      <c r="G162" s="19"/>
      <c r="H162" s="19"/>
      <c r="I162" s="47"/>
      <c r="J162" s="18"/>
      <c r="K162" s="29"/>
      <c r="CK162" s="30"/>
      <c r="CN162" s="9">
        <v>79.5</v>
      </c>
      <c r="CO162" s="17">
        <v>0.05</v>
      </c>
      <c r="CP162" s="17">
        <v>-2.2032773976350529E-3</v>
      </c>
      <c r="CQ162" s="17">
        <v>-2.5002742777520902E-3</v>
      </c>
      <c r="CR162" s="17">
        <v>3.1472343333274022E-5</v>
      </c>
      <c r="CS162" s="17">
        <f t="shared" si="64"/>
        <v>4.5327920667946137E-2</v>
      </c>
    </row>
    <row r="163" spans="1:97" x14ac:dyDescent="0.45">
      <c r="A163" s="8"/>
      <c r="B163" s="58"/>
      <c r="C163" s="18"/>
      <c r="D163" s="18"/>
      <c r="E163" s="18"/>
      <c r="G163" s="19"/>
      <c r="H163" s="19"/>
      <c r="I163" s="47"/>
      <c r="J163" s="18"/>
      <c r="K163" s="29"/>
      <c r="CK163" s="30"/>
      <c r="CN163" s="9">
        <v>80</v>
      </c>
      <c r="CO163" s="17">
        <v>0.05</v>
      </c>
      <c r="CP163" s="17">
        <v>-2.189506916220987E-3</v>
      </c>
      <c r="CQ163" s="17">
        <v>-2.4846476122740153E-3</v>
      </c>
      <c r="CR163" s="17">
        <v>3.1275641187441061E-5</v>
      </c>
      <c r="CS163" s="17">
        <f t="shared" si="64"/>
        <v>4.5357121112692439E-2</v>
      </c>
    </row>
    <row r="164" spans="1:97" x14ac:dyDescent="0.45">
      <c r="A164" s="8"/>
      <c r="B164" s="58"/>
      <c r="C164" s="18"/>
      <c r="D164" s="18"/>
      <c r="E164" s="18"/>
      <c r="G164" s="19"/>
      <c r="H164" s="19"/>
      <c r="I164" s="47"/>
      <c r="J164" s="18"/>
      <c r="K164" s="29"/>
      <c r="CK164" s="30"/>
      <c r="CN164" s="9">
        <v>80.5</v>
      </c>
      <c r="CO164" s="17">
        <v>0.05</v>
      </c>
      <c r="CP164" s="17">
        <v>-2.1759074964350701E-3</v>
      </c>
      <c r="CQ164" s="17">
        <v>-2.469215061824832E-3</v>
      </c>
      <c r="CR164" s="17">
        <v>3.1081382546525276E-5</v>
      </c>
      <c r="CS164" s="17">
        <f t="shared" si="64"/>
        <v>4.5385958824286622E-2</v>
      </c>
    </row>
    <row r="165" spans="1:97" x14ac:dyDescent="0.45">
      <c r="A165" s="8"/>
      <c r="B165" s="58"/>
      <c r="C165" s="18"/>
      <c r="D165" s="18"/>
      <c r="E165" s="18"/>
      <c r="G165" s="19"/>
      <c r="H165" s="19"/>
      <c r="I165" s="47"/>
      <c r="J165" s="18"/>
      <c r="K165" s="29"/>
      <c r="CK165" s="30"/>
      <c r="CN165" s="9">
        <v>81</v>
      </c>
      <c r="CO165" s="17">
        <v>0.05</v>
      </c>
      <c r="CP165" s="17">
        <v>-2.1624759704969017E-3</v>
      </c>
      <c r="CQ165" s="17">
        <v>-2.4539730322011045E-3</v>
      </c>
      <c r="CR165" s="17">
        <v>3.0889522160435619E-5</v>
      </c>
      <c r="CS165" s="17">
        <f t="shared" si="64"/>
        <v>4.5414440519462432E-2</v>
      </c>
    </row>
    <row r="166" spans="1:97" x14ac:dyDescent="0.45">
      <c r="A166" s="8"/>
      <c r="B166" s="58"/>
      <c r="C166" s="18"/>
      <c r="D166" s="18"/>
      <c r="E166" s="18"/>
      <c r="G166" s="19"/>
      <c r="H166" s="19"/>
      <c r="I166" s="47"/>
      <c r="J166" s="18"/>
      <c r="K166" s="29"/>
      <c r="CK166" s="30"/>
      <c r="CN166" s="9">
        <v>81.5</v>
      </c>
      <c r="CO166" s="17">
        <v>0.05</v>
      </c>
      <c r="CP166" s="17">
        <v>-2.149209248360024E-3</v>
      </c>
      <c r="CQ166" s="17">
        <v>-2.4389180173473549E-3</v>
      </c>
      <c r="CR166" s="17">
        <v>3.0700015889512695E-5</v>
      </c>
      <c r="CS166" s="17">
        <f t="shared" si="64"/>
        <v>4.5442572750182132E-2</v>
      </c>
    </row>
    <row r="167" spans="1:97" x14ac:dyDescent="0.45">
      <c r="A167" s="8"/>
      <c r="B167" s="58"/>
      <c r="C167" s="18"/>
      <c r="D167" s="18"/>
      <c r="E167" s="18"/>
      <c r="G167" s="19"/>
      <c r="H167" s="19"/>
      <c r="I167" s="47"/>
      <c r="J167" s="18"/>
      <c r="K167" s="29"/>
      <c r="CK167" s="30"/>
      <c r="CN167" s="9">
        <v>82</v>
      </c>
      <c r="CO167" s="17">
        <v>0.05</v>
      </c>
      <c r="CP167" s="17">
        <v>-2.1361043153423141E-3</v>
      </c>
      <c r="CQ167" s="17">
        <v>-2.4240465966740934E-3</v>
      </c>
      <c r="CR167" s="17">
        <v>3.0512820670674208E-5</v>
      </c>
      <c r="CS167" s="17">
        <f t="shared" si="64"/>
        <v>4.5470361908654271E-2</v>
      </c>
    </row>
    <row r="168" spans="1:97" x14ac:dyDescent="0.45">
      <c r="A168" s="8"/>
      <c r="B168" s="58"/>
      <c r="C168" s="18"/>
      <c r="D168" s="18"/>
      <c r="E168" s="18"/>
      <c r="G168" s="19"/>
      <c r="H168" s="19"/>
      <c r="I168" s="47"/>
      <c r="J168" s="18"/>
      <c r="K168" s="29"/>
      <c r="CK168" s="30"/>
      <c r="CN168" s="9">
        <v>82.5</v>
      </c>
      <c r="CO168" s="17">
        <v>0.05</v>
      </c>
      <c r="CP168" s="17">
        <v>-2.1231582298425044E-3</v>
      </c>
      <c r="CQ168" s="17">
        <v>-2.4093554324728082E-3</v>
      </c>
      <c r="CR168" s="17">
        <v>3.032789448479133E-5</v>
      </c>
      <c r="CS168" s="17">
        <f t="shared" si="64"/>
        <v>4.5497814232169476E-2</v>
      </c>
    </row>
    <row r="169" spans="1:97" x14ac:dyDescent="0.45">
      <c r="A169" s="8"/>
      <c r="B169" s="58"/>
      <c r="C169" s="18"/>
      <c r="D169" s="18"/>
      <c r="E169" s="18"/>
      <c r="G169" s="19"/>
      <c r="H169" s="19"/>
      <c r="I169" s="47"/>
      <c r="J169" s="18"/>
      <c r="K169" s="29"/>
      <c r="CK169" s="30"/>
      <c r="CN169" s="9">
        <v>83</v>
      </c>
      <c r="CO169" s="17">
        <v>0.05</v>
      </c>
      <c r="CP169" s="17">
        <v>-2.1103681211392064E-3</v>
      </c>
      <c r="CQ169" s="17">
        <v>-2.3948412674238933E-3</v>
      </c>
      <c r="CR169" s="17">
        <v>3.0145196325244392E-5</v>
      </c>
      <c r="CS169" s="17">
        <f t="shared" si="64"/>
        <v>4.5524935807762151E-2</v>
      </c>
    </row>
    <row r="170" spans="1:97" x14ac:dyDescent="0.45">
      <c r="A170" s="8"/>
      <c r="B170" s="58"/>
      <c r="C170" s="18"/>
      <c r="D170" s="18"/>
      <c r="E170" s="18"/>
      <c r="G170" s="19"/>
      <c r="H170" s="19"/>
      <c r="I170" s="47"/>
      <c r="J170" s="18"/>
      <c r="K170" s="29"/>
      <c r="CK170" s="30"/>
      <c r="CN170" s="9">
        <v>83.5</v>
      </c>
      <c r="CO170" s="17">
        <v>0.05</v>
      </c>
      <c r="CP170" s="17">
        <v>-2.0977311872689853E-3</v>
      </c>
      <c r="CQ170" s="17">
        <v>-2.380500922193675E-3</v>
      </c>
      <c r="CR170" s="17">
        <v>2.9964686167608199E-5</v>
      </c>
      <c r="CS170" s="17">
        <f t="shared" si="64"/>
        <v>4.5551732576704952E-2</v>
      </c>
    </row>
    <row r="171" spans="1:97" x14ac:dyDescent="0.45">
      <c r="A171" s="8"/>
      <c r="B171" s="58"/>
      <c r="C171" s="18"/>
      <c r="D171" s="18"/>
      <c r="E171" s="18"/>
      <c r="G171" s="19"/>
      <c r="H171" s="19"/>
      <c r="I171" s="47"/>
      <c r="J171" s="18"/>
      <c r="K171" s="29"/>
      <c r="CK171" s="30"/>
      <c r="CN171" s="9">
        <v>84</v>
      </c>
      <c r="CO171" s="17">
        <v>0.05</v>
      </c>
      <c r="CP171" s="17">
        <v>-2.0852446929801958E-3</v>
      </c>
      <c r="CQ171" s="17">
        <v>-2.3663312931168539E-3</v>
      </c>
      <c r="CR171" s="17">
        <v>2.9786324940420056E-5</v>
      </c>
      <c r="CS171" s="17">
        <f t="shared" si="64"/>
        <v>4.5578210338843371E-2</v>
      </c>
    </row>
    <row r="172" spans="1:97" x14ac:dyDescent="0.45">
      <c r="A172" s="8"/>
      <c r="B172" s="58"/>
      <c r="C172" s="18"/>
      <c r="D172" s="18"/>
      <c r="E172" s="18"/>
      <c r="G172" s="19"/>
      <c r="H172" s="19"/>
      <c r="I172" s="47"/>
      <c r="J172" s="18"/>
      <c r="K172" s="29"/>
      <c r="CK172" s="30"/>
      <c r="CN172" s="9">
        <v>84.5</v>
      </c>
      <c r="CO172" s="17">
        <v>0.05</v>
      </c>
      <c r="CP172" s="17">
        <v>-2.0729059677594332E-3</v>
      </c>
      <c r="CQ172" s="17">
        <v>-2.3523293499608821E-3</v>
      </c>
      <c r="CR172" s="17">
        <v>2.961007449698562E-5</v>
      </c>
      <c r="CS172" s="17">
        <f t="shared" si="64"/>
        <v>4.5604374756776672E-2</v>
      </c>
    </row>
    <row r="173" spans="1:97" x14ac:dyDescent="0.45">
      <c r="A173" s="8"/>
      <c r="B173" s="58"/>
      <c r="C173" s="18"/>
      <c r="D173" s="18"/>
      <c r="E173" s="18"/>
      <c r="G173" s="19"/>
      <c r="H173" s="19"/>
      <c r="I173" s="47"/>
      <c r="J173" s="18"/>
      <c r="K173" s="29"/>
      <c r="CK173" s="30"/>
      <c r="CN173" s="9">
        <v>85</v>
      </c>
      <c r="CO173" s="17">
        <v>0.05</v>
      </c>
      <c r="CP173" s="17">
        <v>-2.0607124039276267E-3</v>
      </c>
      <c r="CQ173" s="17">
        <v>-2.3384921337689236E-3</v>
      </c>
      <c r="CR173" s="17">
        <v>2.9435897588179823E-5</v>
      </c>
      <c r="CS173" s="17">
        <f t="shared" si="64"/>
        <v>4.5630231359891631E-2</v>
      </c>
    </row>
    <row r="174" spans="1:97" x14ac:dyDescent="0.45">
      <c r="A174" s="8"/>
      <c r="B174" s="58"/>
      <c r="C174" s="18"/>
      <c r="D174" s="18"/>
      <c r="E174" s="18"/>
      <c r="G174" s="19"/>
      <c r="H174" s="19"/>
      <c r="I174" s="47"/>
      <c r="J174" s="18"/>
      <c r="K174" s="29"/>
      <c r="CK174" s="30"/>
      <c r="CN174" s="9">
        <v>85.5</v>
      </c>
      <c r="CO174" s="17">
        <v>0.05</v>
      </c>
      <c r="CP174" s="17">
        <v>-2.0486614548029186E-3</v>
      </c>
      <c r="CQ174" s="17">
        <v>-2.3248167547782221E-3</v>
      </c>
      <c r="CR174" s="17">
        <v>2.9263757836202166E-5</v>
      </c>
      <c r="CS174" s="17">
        <f t="shared" si="64"/>
        <v>4.5655785548255071E-2</v>
      </c>
    </row>
    <row r="175" spans="1:97" x14ac:dyDescent="0.45">
      <c r="A175" s="8"/>
      <c r="B175" s="58"/>
      <c r="C175" s="18"/>
      <c r="D175" s="18"/>
      <c r="E175" s="18"/>
      <c r="G175" s="19"/>
      <c r="H175" s="19"/>
      <c r="I175" s="47"/>
      <c r="J175" s="18"/>
      <c r="K175" s="29"/>
      <c r="CK175" s="30"/>
      <c r="CN175" s="9">
        <v>86</v>
      </c>
      <c r="CO175" s="17">
        <v>0.05</v>
      </c>
      <c r="CP175" s="17">
        <v>-2.03675063292761E-3</v>
      </c>
      <c r="CQ175" s="17">
        <v>-2.3113003904108357E-3</v>
      </c>
      <c r="CR175" s="17">
        <v>2.9093619709247498E-5</v>
      </c>
      <c r="CS175" s="17">
        <f t="shared" si="64"/>
        <v>4.5681042596370805E-2</v>
      </c>
    </row>
    <row r="176" spans="1:97" x14ac:dyDescent="0.45">
      <c r="A176" s="8"/>
      <c r="B176" s="58"/>
      <c r="C176" s="18"/>
      <c r="D176" s="18"/>
      <c r="E176" s="18"/>
      <c r="G176" s="19"/>
      <c r="H176" s="19"/>
      <c r="I176" s="47"/>
      <c r="J176" s="18"/>
      <c r="K176" s="29"/>
      <c r="CK176" s="30"/>
      <c r="CN176" s="9">
        <v>86.5</v>
      </c>
      <c r="CO176" s="17">
        <v>0.05</v>
      </c>
      <c r="CP176" s="17">
        <v>-2.0249775083565902E-3</v>
      </c>
      <c r="CQ176" s="17">
        <v>-2.297940283333823E-3</v>
      </c>
      <c r="CR176" s="17">
        <v>2.8925448497055319E-5</v>
      </c>
      <c r="CS176" s="17">
        <f t="shared" si="64"/>
        <v>4.5706007656806651E-2</v>
      </c>
    </row>
    <row r="177" spans="1:97" x14ac:dyDescent="0.45">
      <c r="A177" s="8"/>
      <c r="B177" s="58"/>
      <c r="C177" s="18"/>
      <c r="D177" s="18"/>
      <c r="E177" s="18"/>
      <c r="G177" s="19"/>
      <c r="H177" s="19"/>
      <c r="I177" s="47"/>
      <c r="J177" s="18"/>
      <c r="K177" s="29"/>
      <c r="CK177" s="30"/>
      <c r="CN177" s="9">
        <v>87</v>
      </c>
      <c r="CO177" s="17">
        <v>0.05</v>
      </c>
      <c r="CP177" s="17">
        <v>-2.013339707004771E-3</v>
      </c>
      <c r="CQ177" s="17">
        <v>-2.284733739586133E-3</v>
      </c>
      <c r="CR177" s="17">
        <v>2.8759210287302125E-5</v>
      </c>
      <c r="CS177" s="17">
        <f t="shared" si="64"/>
        <v>4.5730685763696405E-2</v>
      </c>
    </row>
    <row r="178" spans="1:97" x14ac:dyDescent="0.45">
      <c r="A178" s="8"/>
      <c r="B178" s="58"/>
      <c r="C178" s="18"/>
      <c r="D178" s="18"/>
      <c r="E178" s="18"/>
      <c r="G178" s="19"/>
      <c r="H178" s="19"/>
      <c r="I178" s="47"/>
      <c r="J178" s="18"/>
      <c r="K178" s="29"/>
      <c r="CK178" s="30"/>
      <c r="CN178" s="9">
        <v>87.5</v>
      </c>
      <c r="CO178" s="17">
        <v>0.05</v>
      </c>
      <c r="CP178" s="17">
        <v>-2.0018349090511751E-3</v>
      </c>
      <c r="CQ178" s="17">
        <v>-2.2716781267695264E-3</v>
      </c>
      <c r="CR178" s="17">
        <v>2.8594871942803256E-5</v>
      </c>
      <c r="CS178" s="17">
        <f t="shared" si="64"/>
        <v>4.5755081836122105E-2</v>
      </c>
    </row>
    <row r="179" spans="1:97" x14ac:dyDescent="0.45">
      <c r="A179" s="8"/>
      <c r="B179" s="58"/>
      <c r="C179" s="18"/>
      <c r="D179" s="18"/>
      <c r="E179" s="18"/>
      <c r="G179" s="19"/>
      <c r="H179" s="19"/>
      <c r="I179" s="47"/>
      <c r="J179" s="18"/>
      <c r="K179" s="29"/>
      <c r="CK179" s="30"/>
      <c r="CN179" s="9">
        <v>88</v>
      </c>
      <c r="CO179" s="17">
        <v>0.05</v>
      </c>
      <c r="CP179" s="17">
        <v>-1.990460847397413E-3</v>
      </c>
      <c r="CQ179" s="17">
        <v>-2.2587708723010181E-3</v>
      </c>
      <c r="CR179" s="17">
        <v>2.8432401079491876E-5</v>
      </c>
      <c r="CS179" s="17">
        <f t="shared" si="64"/>
        <v>4.5779200681381062E-2</v>
      </c>
    </row>
    <row r="180" spans="1:97" x14ac:dyDescent="0.45">
      <c r="A180" s="8"/>
      <c r="B180" s="58"/>
      <c r="C180" s="18"/>
      <c r="D180" s="18"/>
      <c r="E180" s="18"/>
      <c r="G180" s="19"/>
      <c r="H180" s="19"/>
      <c r="I180" s="47"/>
      <c r="J180" s="18"/>
      <c r="K180" s="29"/>
      <c r="CK180" s="30"/>
      <c r="CN180" s="9">
        <v>88.5</v>
      </c>
      <c r="CO180" s="17">
        <v>0.05</v>
      </c>
      <c r="CP180" s="17">
        <v>-1.9792153061784145E-3</v>
      </c>
      <c r="CQ180" s="17">
        <v>-2.2460094617244132E-3</v>
      </c>
      <c r="CR180" s="17">
        <v>2.8271766045144464E-5</v>
      </c>
      <c r="CS180" s="17">
        <f t="shared" si="64"/>
        <v>4.5803046998142319E-2</v>
      </c>
    </row>
    <row r="181" spans="1:97" x14ac:dyDescent="0.45">
      <c r="A181" s="8"/>
      <c r="B181" s="58"/>
      <c r="C181" s="18"/>
      <c r="D181" s="18"/>
      <c r="E181" s="18"/>
      <c r="G181" s="19"/>
      <c r="H181" s="19"/>
      <c r="I181" s="47"/>
      <c r="J181" s="18"/>
      <c r="K181" s="29"/>
      <c r="CK181" s="30"/>
      <c r="CN181" s="9">
        <v>89</v>
      </c>
      <c r="CO181" s="17">
        <v>0.05</v>
      </c>
      <c r="CP181" s="17">
        <v>-1.968096119323348E-3</v>
      </c>
      <c r="CQ181" s="17">
        <v>-2.2333914370786315E-3</v>
      </c>
      <c r="CR181" s="17">
        <v>2.8112935898823424E-5</v>
      </c>
      <c r="CS181" s="17">
        <f t="shared" si="64"/>
        <v>4.5826625379496846E-2</v>
      </c>
    </row>
    <row r="182" spans="1:97" x14ac:dyDescent="0.45">
      <c r="A182" s="8"/>
      <c r="B182" s="58"/>
      <c r="C182" s="18"/>
      <c r="D182" s="18"/>
      <c r="E182" s="18"/>
      <c r="G182" s="19"/>
      <c r="H182" s="19"/>
      <c r="I182" s="47"/>
      <c r="J182" s="18"/>
      <c r="K182" s="29"/>
      <c r="CK182" s="30"/>
      <c r="CN182" s="9">
        <v>89.5</v>
      </c>
      <c r="CO182" s="17">
        <v>0.05</v>
      </c>
      <c r="CP182" s="17">
        <v>-1.9571011691647731E-3</v>
      </c>
      <c r="CQ182" s="17">
        <v>-2.220914395320617E-3</v>
      </c>
      <c r="CR182" s="17">
        <v>2.7955880391008768E-5</v>
      </c>
      <c r="CS182" s="17">
        <f t="shared" si="64"/>
        <v>4.584994031590562E-2</v>
      </c>
    </row>
    <row r="183" spans="1:97" x14ac:dyDescent="0.45">
      <c r="A183" s="8"/>
      <c r="B183" s="58"/>
      <c r="C183" s="18"/>
      <c r="D183" s="18"/>
      <c r="E183" s="18"/>
      <c r="G183" s="19"/>
      <c r="H183" s="19"/>
      <c r="I183" s="47"/>
      <c r="J183" s="18"/>
      <c r="K183" s="29"/>
      <c r="CK183" s="30"/>
      <c r="CN183" s="9">
        <v>90</v>
      </c>
      <c r="CO183" s="17">
        <v>0.05</v>
      </c>
      <c r="CP183" s="17">
        <v>-1.946228385094149E-3</v>
      </c>
      <c r="CQ183" s="17">
        <v>-2.2085759868007032E-3</v>
      </c>
      <c r="CR183" s="17">
        <v>2.7800569944392051E-5</v>
      </c>
      <c r="CS183" s="17">
        <f t="shared" si="64"/>
        <v>4.5872996198049541E-2</v>
      </c>
    </row>
    <row r="184" spans="1:97" x14ac:dyDescent="0.45">
      <c r="A184" s="8"/>
      <c r="B184" s="58"/>
      <c r="C184" s="18"/>
      <c r="D184" s="18"/>
      <c r="E184" s="18"/>
      <c r="G184" s="19"/>
      <c r="H184" s="19"/>
      <c r="I184" s="47"/>
      <c r="J184" s="18"/>
      <c r="K184" s="29"/>
      <c r="CK184" s="30"/>
      <c r="CN184" s="9">
        <v>90.5</v>
      </c>
      <c r="CO184" s="17">
        <v>0.05</v>
      </c>
      <c r="CP184" s="17">
        <v>-1.9354757422619055E-3</v>
      </c>
      <c r="CQ184" s="17">
        <v>-2.1963739137884487E-3</v>
      </c>
      <c r="CR184" s="17">
        <v>2.7646975635307016E-5</v>
      </c>
      <c r="CS184" s="17">
        <f t="shared" si="64"/>
        <v>4.5895797319584958E-2</v>
      </c>
    </row>
    <row r="185" spans="1:97" x14ac:dyDescent="0.45">
      <c r="A185" s="8"/>
      <c r="B185" s="58"/>
      <c r="C185" s="18"/>
      <c r="D185" s="18"/>
      <c r="E185" s="18"/>
      <c r="G185" s="19"/>
      <c r="H185" s="19"/>
      <c r="I185" s="47"/>
      <c r="J185" s="18"/>
      <c r="K185" s="29"/>
      <c r="CK185" s="30"/>
      <c r="CN185" s="9">
        <v>91</v>
      </c>
      <c r="CO185" s="17">
        <v>0.05</v>
      </c>
      <c r="CP185" s="17">
        <v>-1.9248412603203632E-3</v>
      </c>
      <c r="CQ185" s="17">
        <v>-2.1843059290469701E-3</v>
      </c>
      <c r="CR185" s="17">
        <v>2.7495069175772363E-5</v>
      </c>
      <c r="CS185" s="17">
        <f t="shared" si="64"/>
        <v>4.591834787980844E-2</v>
      </c>
    </row>
    <row r="186" spans="1:97" x14ac:dyDescent="0.45">
      <c r="A186" s="8"/>
      <c r="B186" s="58"/>
      <c r="C186" s="18"/>
      <c r="D186" s="18"/>
      <c r="E186" s="18"/>
      <c r="G186" s="19"/>
      <c r="H186" s="19"/>
      <c r="I186" s="47"/>
      <c r="J186" s="18"/>
      <c r="K186" s="29"/>
      <c r="CK186" s="30"/>
      <c r="CN186" s="9">
        <v>91.5</v>
      </c>
      <c r="CO186" s="17">
        <v>0.05</v>
      </c>
      <c r="CP186" s="17">
        <v>-1.9143230022078711E-3</v>
      </c>
      <c r="CQ186" s="17">
        <v>-2.1723698344539642E-3</v>
      </c>
      <c r="CR186" s="17">
        <v>2.7344822896123334E-5</v>
      </c>
      <c r="CS186" s="17">
        <f t="shared" si="64"/>
        <v>4.5940651986234295E-2</v>
      </c>
    </row>
    <row r="187" spans="1:97" x14ac:dyDescent="0.45">
      <c r="A187" s="8"/>
      <c r="B187" s="58"/>
      <c r="C187" s="18"/>
      <c r="D187" s="18"/>
      <c r="E187" s="18"/>
      <c r="G187" s="19"/>
      <c r="H187" s="19"/>
      <c r="I187" s="47"/>
      <c r="J187" s="18"/>
      <c r="K187" s="29"/>
      <c r="CK187" s="30"/>
      <c r="CN187" s="9">
        <v>92</v>
      </c>
      <c r="CO187" s="17">
        <v>0.05</v>
      </c>
      <c r="CP187" s="17">
        <v>-1.90391907297258E-3</v>
      </c>
      <c r="CQ187" s="17">
        <v>-2.1605634796676224E-3</v>
      </c>
      <c r="CR187" s="17">
        <v>2.7196209728209624E-5</v>
      </c>
      <c r="CS187" s="17">
        <f t="shared" si="64"/>
        <v>4.5962713657088004E-2</v>
      </c>
    </row>
    <row r="188" spans="1:97" x14ac:dyDescent="0.45">
      <c r="A188" s="8"/>
      <c r="B188" s="58"/>
      <c r="C188" s="18"/>
      <c r="D188" s="18"/>
      <c r="E188" s="18"/>
      <c r="G188" s="19"/>
      <c r="H188" s="19"/>
      <c r="I188" s="47"/>
      <c r="J188" s="18"/>
      <c r="K188" s="29"/>
      <c r="CK188" s="30"/>
      <c r="CN188" s="9">
        <v>92.5</v>
      </c>
      <c r="CO188" s="17">
        <v>0.05</v>
      </c>
      <c r="CP188" s="17">
        <v>-1.8936276186343685E-3</v>
      </c>
      <c r="CQ188" s="17">
        <v>-2.1488847608357579E-3</v>
      </c>
      <c r="CR188" s="17">
        <v>2.7049203189138219E-5</v>
      </c>
      <c r="CS188" s="17">
        <f t="shared" si="64"/>
        <v>4.5984536823719016E-2</v>
      </c>
    </row>
    <row r="189" spans="1:97" x14ac:dyDescent="0.45">
      <c r="A189" s="8"/>
      <c r="B189" s="58"/>
      <c r="C189" s="18"/>
      <c r="D189" s="18"/>
      <c r="E189" s="18"/>
      <c r="G189" s="19"/>
      <c r="H189" s="19"/>
      <c r="I189" s="47"/>
      <c r="J189" s="18"/>
      <c r="K189" s="29"/>
      <c r="CK189" s="30"/>
      <c r="CN189" s="9">
        <v>93</v>
      </c>
      <c r="CO189" s="17">
        <v>0.05</v>
      </c>
      <c r="CP189" s="17">
        <v>-1.8834468250834716E-3</v>
      </c>
      <c r="CQ189" s="17">
        <v>-2.1373316193465282E-3</v>
      </c>
      <c r="CR189" s="17">
        <v>2.6903777365540702E-5</v>
      </c>
      <c r="CS189" s="17">
        <f t="shared" si="64"/>
        <v>4.6006125332935549E-2</v>
      </c>
    </row>
    <row r="190" spans="1:97" x14ac:dyDescent="0.45">
      <c r="A190" s="8"/>
      <c r="B190" s="58"/>
      <c r="C190" s="18"/>
      <c r="D190" s="18"/>
      <c r="E190" s="18"/>
      <c r="G190" s="19"/>
      <c r="H190" s="19"/>
      <c r="I190" s="47"/>
      <c r="J190" s="18"/>
      <c r="K190" s="29"/>
      <c r="CK190" s="30"/>
      <c r="CN190" s="9">
        <v>93.5</v>
      </c>
      <c r="CO190" s="17">
        <v>0.05</v>
      </c>
      <c r="CP190" s="17">
        <v>-1.8733749170144521E-3</v>
      </c>
      <c r="CQ190" s="17">
        <v>-2.125902040619188E-3</v>
      </c>
      <c r="CR190" s="17">
        <v>2.6759906898345289E-5</v>
      </c>
      <c r="CS190" s="17">
        <f t="shared" si="64"/>
        <v>4.6027482949264703E-2</v>
      </c>
    </row>
    <row r="191" spans="1:97" x14ac:dyDescent="0.45">
      <c r="A191" s="8"/>
      <c r="B191" s="58"/>
      <c r="C191" s="18"/>
      <c r="D191" s="18"/>
      <c r="E191" s="18"/>
      <c r="G191" s="19"/>
      <c r="H191" s="19"/>
      <c r="I191" s="47"/>
      <c r="J191" s="18"/>
      <c r="K191" s="29"/>
      <c r="CK191" s="30"/>
      <c r="CN191" s="9">
        <v>94</v>
      </c>
      <c r="CO191" s="17">
        <v>0.05</v>
      </c>
      <c r="CP191" s="17">
        <v>-1.8634101568941845E-3</v>
      </c>
      <c r="CQ191" s="17">
        <v>-2.114594052933402E-3</v>
      </c>
      <c r="CR191" s="17">
        <v>2.6617566968034942E-5</v>
      </c>
      <c r="CS191" s="17">
        <f t="shared" si="64"/>
        <v>4.6048613357140444E-2</v>
      </c>
    </row>
    <row r="192" spans="1:97" x14ac:dyDescent="0.45">
      <c r="A192" s="8"/>
      <c r="B192" s="58"/>
      <c r="C192" s="18"/>
      <c r="D192" s="18"/>
      <c r="E192" s="18"/>
      <c r="G192" s="19"/>
      <c r="H192" s="19"/>
      <c r="I192" s="47"/>
      <c r="J192" s="18"/>
      <c r="K192" s="29"/>
      <c r="CK192" s="30"/>
      <c r="CN192" s="9">
        <v>94.5</v>
      </c>
      <c r="CO192" s="17">
        <v>0.05</v>
      </c>
      <c r="CP192" s="17">
        <v>-1.8535508439626058E-3</v>
      </c>
      <c r="CQ192" s="17">
        <v>-2.1034057262956812E-3</v>
      </c>
      <c r="CR192" s="17">
        <v>2.6476733280373381E-5</v>
      </c>
      <c r="CS192" s="17">
        <f t="shared" si="64"/>
        <v>4.6069520163022092E-2</v>
      </c>
    </row>
    <row r="193" spans="1:97" x14ac:dyDescent="0.45">
      <c r="A193" s="8"/>
      <c r="B193" s="58"/>
      <c r="C193" s="18"/>
      <c r="D193" s="18"/>
      <c r="E193" s="18"/>
      <c r="G193" s="19"/>
      <c r="H193" s="19"/>
      <c r="I193" s="47"/>
      <c r="J193" s="18"/>
      <c r="K193" s="29"/>
      <c r="CK193" s="30"/>
      <c r="CN193" s="9">
        <v>95</v>
      </c>
      <c r="CO193" s="17">
        <v>0.05</v>
      </c>
      <c r="CP193" s="17">
        <v>-1.8437953132650145E-3</v>
      </c>
      <c r="CQ193" s="17">
        <v>-2.0923351713415862E-3</v>
      </c>
      <c r="CR193" s="17">
        <v>2.6337382052581946E-5</v>
      </c>
      <c r="CS193" s="17">
        <f t="shared" si="64"/>
        <v>4.6090206897445987E-2</v>
      </c>
    </row>
    <row r="194" spans="1:97" x14ac:dyDescent="0.45">
      <c r="A194" s="8"/>
      <c r="B194" s="58"/>
      <c r="C194" s="18"/>
      <c r="D194" s="18"/>
      <c r="E194" s="18"/>
      <c r="G194" s="19"/>
      <c r="H194" s="19"/>
      <c r="I194" s="47"/>
      <c r="J194" s="18"/>
      <c r="K194" s="29"/>
      <c r="CK194" s="30"/>
      <c r="CN194" s="9">
        <v>95.5</v>
      </c>
      <c r="CO194" s="17">
        <v>0.05</v>
      </c>
      <c r="CP194" s="17">
        <v>-1.8341419347147731E-3</v>
      </c>
      <c r="CQ194" s="17">
        <v>-2.0813805382723888E-3</v>
      </c>
      <c r="CR194" s="17">
        <v>2.6199489999950623E-5</v>
      </c>
      <c r="CS194" s="17">
        <f t="shared" si="64"/>
        <v>4.611067701701279E-2</v>
      </c>
    </row>
    <row r="195" spans="1:97" x14ac:dyDescent="0.45">
      <c r="A195" s="8"/>
      <c r="B195" s="58"/>
      <c r="C195" s="18"/>
      <c r="D195" s="18"/>
      <c r="E195" s="18"/>
      <c r="G195" s="19"/>
      <c r="H195" s="19"/>
      <c r="I195" s="47"/>
      <c r="J195" s="18"/>
      <c r="K195" s="29"/>
      <c r="CK195" s="30"/>
      <c r="CN195" s="9">
        <v>96</v>
      </c>
      <c r="CO195" s="17">
        <v>0.05</v>
      </c>
      <c r="CP195" s="17">
        <v>-1.8245891121852929E-3</v>
      </c>
      <c r="CQ195" s="17">
        <v>-2.0705400158249334E-3</v>
      </c>
      <c r="CR195" s="17">
        <v>2.6063034322867547E-5</v>
      </c>
      <c r="CS195" s="17">
        <f t="shared" si="64"/>
        <v>4.6130933906312649E-2</v>
      </c>
    </row>
    <row r="196" spans="1:97" x14ac:dyDescent="0.45">
      <c r="A196" s="8"/>
      <c r="B196" s="58"/>
      <c r="C196" s="18"/>
      <c r="D196" s="18"/>
      <c r="E196" s="18"/>
      <c r="G196" s="19"/>
      <c r="H196" s="19"/>
      <c r="I196" s="47"/>
      <c r="J196" s="18"/>
      <c r="K196" s="29"/>
      <c r="CK196" s="30"/>
      <c r="CN196" s="9">
        <v>96.5</v>
      </c>
      <c r="CO196" s="17">
        <v>0.05</v>
      </c>
      <c r="CP196" s="17">
        <v>-1.8151352826302517E-3</v>
      </c>
      <c r="CQ196" s="17">
        <v>-2.0598118302735044E-3</v>
      </c>
      <c r="CR196" s="17">
        <v>2.5927992694251657E-5</v>
      </c>
      <c r="CS196" s="17">
        <f t="shared" ref="CS196:CS259" si="65">SUM(CO196:CR196)</f>
        <v>4.6150980879790492E-2</v>
      </c>
    </row>
    <row r="197" spans="1:97" x14ac:dyDescent="0.45">
      <c r="A197" s="8"/>
      <c r="B197" s="58"/>
      <c r="C197" s="18"/>
      <c r="D197" s="18"/>
      <c r="E197" s="18"/>
      <c r="G197" s="19"/>
      <c r="H197" s="19"/>
      <c r="I197" s="47"/>
      <c r="J197" s="18"/>
      <c r="K197" s="29"/>
      <c r="CK197" s="30"/>
      <c r="CN197" s="9">
        <v>97</v>
      </c>
      <c r="CO197" s="17">
        <v>0.05</v>
      </c>
      <c r="CP197" s="17">
        <v>-1.805778915231018E-3</v>
      </c>
      <c r="CQ197" s="17">
        <v>-2.0491942444625416E-3</v>
      </c>
      <c r="CR197" s="17">
        <v>2.579434324737407E-5</v>
      </c>
      <c r="CS197" s="17">
        <f t="shared" si="65"/>
        <v>4.6170821183553812E-2</v>
      </c>
    </row>
    <row r="198" spans="1:97" x14ac:dyDescent="0.45">
      <c r="A198" s="8"/>
      <c r="B198" s="58"/>
      <c r="C198" s="18"/>
      <c r="D198" s="18"/>
      <c r="E198" s="18"/>
      <c r="G198" s="19"/>
      <c r="H198" s="19"/>
      <c r="I198" s="47"/>
      <c r="J198" s="18"/>
      <c r="K198" s="29"/>
      <c r="CK198" s="30"/>
      <c r="CN198" s="9">
        <v>97.5</v>
      </c>
      <c r="CO198" s="17">
        <v>0.05</v>
      </c>
      <c r="CP198" s="17">
        <v>-1.7965185105703063E-3</v>
      </c>
      <c r="CQ198" s="17">
        <v>-2.0386855568691E-3</v>
      </c>
      <c r="CR198" s="17">
        <v>2.5662064564054203E-5</v>
      </c>
      <c r="CS198" s="17">
        <f t="shared" si="65"/>
        <v>4.6190457997124651E-2</v>
      </c>
    </row>
    <row r="199" spans="1:97" x14ac:dyDescent="0.45">
      <c r="A199" s="8"/>
      <c r="B199" s="58"/>
      <c r="C199" s="18"/>
      <c r="D199" s="18"/>
      <c r="E199" s="18"/>
      <c r="G199" s="19"/>
      <c r="H199" s="19"/>
      <c r="I199" s="47"/>
      <c r="J199" s="18"/>
      <c r="K199" s="29"/>
      <c r="CK199" s="30"/>
      <c r="CN199" s="9">
        <v>98</v>
      </c>
      <c r="CO199" s="17">
        <v>0.05</v>
      </c>
      <c r="CP199" s="17">
        <v>-1.7873525998311306E-3</v>
      </c>
      <c r="CQ199" s="17">
        <v>-2.0282841006939944E-3</v>
      </c>
      <c r="CR199" s="17">
        <v>2.5531135663217192E-5</v>
      </c>
      <c r="CS199" s="17">
        <f t="shared" si="65"/>
        <v>4.6209894435138101E-2</v>
      </c>
    </row>
    <row r="200" spans="1:97" x14ac:dyDescent="0.45">
      <c r="A200" s="8"/>
      <c r="B200" s="58"/>
      <c r="C200" s="18"/>
      <c r="D200" s="18"/>
      <c r="E200" s="18"/>
      <c r="G200" s="19"/>
      <c r="H200" s="19"/>
      <c r="I200" s="47"/>
      <c r="J200" s="18"/>
      <c r="K200" s="29"/>
      <c r="CK200" s="30"/>
      <c r="CN200" s="9">
        <v>98.5</v>
      </c>
      <c r="CO200" s="17">
        <v>0.05</v>
      </c>
      <c r="CP200" s="17">
        <v>-1.7782797440201504E-3</v>
      </c>
      <c r="CQ200" s="17">
        <v>-2.0179882429806088E-3</v>
      </c>
      <c r="CR200" s="17">
        <v>2.5401535989799845E-5</v>
      </c>
      <c r="CS200" s="17">
        <f t="shared" si="65"/>
        <v>4.6229133548989047E-2</v>
      </c>
    </row>
    <row r="201" spans="1:97" x14ac:dyDescent="0.45">
      <c r="A201" s="8"/>
      <c r="B201" s="58"/>
      <c r="C201" s="18"/>
      <c r="D201" s="18"/>
      <c r="E201" s="18"/>
      <c r="G201" s="19"/>
      <c r="H201" s="19"/>
      <c r="I201" s="47"/>
      <c r="J201" s="18"/>
      <c r="K201" s="29"/>
      <c r="CK201" s="30"/>
      <c r="CN201" s="9">
        <v>99</v>
      </c>
      <c r="CO201" s="17">
        <v>0.05</v>
      </c>
      <c r="CP201" s="17">
        <v>-1.7692985332145577E-3</v>
      </c>
      <c r="CQ201" s="17">
        <v>-2.0077963837604011E-3</v>
      </c>
      <c r="CR201" s="17">
        <v>2.5273245403992778E-5</v>
      </c>
      <c r="CS201" s="17">
        <f t="shared" si="65"/>
        <v>4.6248178328429035E-2</v>
      </c>
    </row>
    <row r="202" spans="1:97" x14ac:dyDescent="0.45">
      <c r="A202" s="8"/>
      <c r="B202" s="58"/>
      <c r="C202" s="18"/>
      <c r="D202" s="18"/>
      <c r="E202" s="18"/>
      <c r="G202" s="19"/>
      <c r="H202" s="19"/>
      <c r="I202" s="47"/>
      <c r="J202" s="18"/>
      <c r="K202" s="29"/>
      <c r="CK202" s="30"/>
      <c r="CN202" s="9">
        <v>99.5</v>
      </c>
      <c r="CO202" s="17">
        <v>0.05</v>
      </c>
      <c r="CP202" s="17">
        <v>-1.7604075858316615E-3</v>
      </c>
      <c r="CQ202" s="17">
        <v>-1.997706955224149E-3</v>
      </c>
      <c r="CR202" s="17">
        <v>2.5146244170806881E-5</v>
      </c>
      <c r="CS202" s="17">
        <f t="shared" si="65"/>
        <v>4.6267031703114997E-2</v>
      </c>
    </row>
    <row r="203" spans="1:97" x14ac:dyDescent="0.45">
      <c r="A203" s="8"/>
      <c r="B203" s="58"/>
      <c r="C203" s="18"/>
      <c r="D203" s="18"/>
      <c r="E203" s="18"/>
      <c r="G203" s="19"/>
      <c r="H203" s="19"/>
      <c r="I203" s="47"/>
      <c r="J203" s="18"/>
      <c r="K203" s="29"/>
      <c r="CK203" s="30"/>
      <c r="CN203" s="9">
        <v>100</v>
      </c>
      <c r="CO203" s="17">
        <v>0.05</v>
      </c>
      <c r="CP203" s="17">
        <v>-1.7516055479203931E-3</v>
      </c>
      <c r="CQ203" s="17">
        <v>-1.9877184209180611E-3</v>
      </c>
      <c r="CR203" s="17">
        <v>2.5020512949952849E-5</v>
      </c>
      <c r="CS203" s="17">
        <f t="shared" si="65"/>
        <v>4.62856965441115E-2</v>
      </c>
    </row>
    <row r="204" spans="1:97" x14ac:dyDescent="0.45">
      <c r="A204" s="8"/>
      <c r="B204" s="58"/>
      <c r="C204" s="18"/>
      <c r="D204" s="18"/>
      <c r="E204" s="18"/>
      <c r="G204" s="19"/>
      <c r="H204" s="19"/>
      <c r="I204" s="47"/>
      <c r="J204" s="18"/>
      <c r="K204" s="29"/>
      <c r="CK204" s="30"/>
      <c r="CN204" s="9">
        <v>100.5</v>
      </c>
      <c r="CO204" s="17">
        <v>0.05</v>
      </c>
      <c r="CP204" s="17">
        <v>-1.7428910924739524E-3</v>
      </c>
      <c r="CQ204" s="17">
        <v>-1.9778292749638663E-3</v>
      </c>
      <c r="CR204" s="17">
        <v>2.4896032786022737E-5</v>
      </c>
      <c r="CS204" s="17">
        <f t="shared" si="65"/>
        <v>4.6304175665348203E-2</v>
      </c>
    </row>
    <row r="205" spans="1:97" x14ac:dyDescent="0.45">
      <c r="A205" s="8"/>
      <c r="B205" s="58"/>
      <c r="C205" s="18"/>
      <c r="D205" s="18"/>
      <c r="E205" s="18"/>
      <c r="G205" s="19"/>
      <c r="H205" s="19"/>
      <c r="I205" s="47"/>
      <c r="J205" s="18"/>
      <c r="K205" s="29"/>
      <c r="CK205" s="30"/>
      <c r="CN205" s="9">
        <v>101</v>
      </c>
      <c r="CO205" s="17">
        <v>0.05</v>
      </c>
      <c r="CP205" s="17">
        <v>-1.7342629187628768E-3</v>
      </c>
      <c r="CQ205" s="17">
        <v>-1.968038041302066E-3</v>
      </c>
      <c r="CR205" s="17">
        <v>2.4772785098963216E-5</v>
      </c>
      <c r="CS205" s="17">
        <f t="shared" si="65"/>
        <v>4.6322471825034024E-2</v>
      </c>
    </row>
    <row r="206" spans="1:97" x14ac:dyDescent="0.45">
      <c r="A206" s="8"/>
      <c r="B206" s="58"/>
      <c r="C206" s="18"/>
      <c r="D206" s="18"/>
      <c r="E206" s="18"/>
      <c r="G206" s="19"/>
      <c r="H206" s="19"/>
      <c r="I206" s="47"/>
      <c r="J206" s="18"/>
      <c r="K206" s="29"/>
      <c r="CK206" s="30"/>
      <c r="CN206" s="9">
        <v>101.5</v>
      </c>
      <c r="CO206" s="17">
        <v>0.05</v>
      </c>
      <c r="CP206" s="17">
        <v>-1.725719751687818E-3</v>
      </c>
      <c r="CQ206" s="17">
        <v>-1.958343272957542E-3</v>
      </c>
      <c r="CR206" s="17">
        <v>2.4650751674830394E-5</v>
      </c>
      <c r="CS206" s="17">
        <f t="shared" si="65"/>
        <v>4.6340587727029474E-2</v>
      </c>
    </row>
    <row r="207" spans="1:97" x14ac:dyDescent="0.45">
      <c r="A207" s="8"/>
      <c r="B207" s="58"/>
      <c r="C207" s="18"/>
      <c r="D207" s="18"/>
      <c r="E207" s="18"/>
      <c r="G207" s="19"/>
      <c r="H207" s="19"/>
      <c r="I207" s="47"/>
      <c r="J207" s="18"/>
      <c r="K207" s="29"/>
      <c r="CK207" s="30"/>
      <c r="CN207" s="9">
        <v>102</v>
      </c>
      <c r="CO207" s="17">
        <v>0.05</v>
      </c>
      <c r="CP207" s="17">
        <v>-1.7172603411513537E-3</v>
      </c>
      <c r="CQ207" s="17">
        <v>-1.9487435513267611E-3</v>
      </c>
      <c r="CR207" s="17">
        <v>2.4529914656816519E-5</v>
      </c>
      <c r="CS207" s="17">
        <f t="shared" si="65"/>
        <v>4.6358526022178707E-2</v>
      </c>
    </row>
    <row r="208" spans="1:97" x14ac:dyDescent="0.45">
      <c r="A208" s="8"/>
      <c r="B208" s="58"/>
      <c r="C208" s="18"/>
      <c r="D208" s="18"/>
      <c r="E208" s="18"/>
      <c r="G208" s="19"/>
      <c r="H208" s="19"/>
      <c r="I208" s="47"/>
      <c r="J208" s="18"/>
      <c r="K208" s="29"/>
      <c r="CK208" s="30"/>
      <c r="CN208" s="9">
        <v>102.5</v>
      </c>
      <c r="CO208" s="17">
        <v>0.05</v>
      </c>
      <c r="CP208" s="17">
        <v>-1.7088834614481894E-3</v>
      </c>
      <c r="CQ208" s="17">
        <v>-1.9392374854858342E-3</v>
      </c>
      <c r="CR208" s="17">
        <v>2.4410256536539365E-5</v>
      </c>
      <c r="CS208" s="17">
        <f t="shared" si="65"/>
        <v>4.6376289309602518E-2</v>
      </c>
    </row>
    <row r="209" spans="1:97" x14ac:dyDescent="0.45">
      <c r="A209" s="8"/>
      <c r="B209" s="58"/>
      <c r="C209" s="18"/>
      <c r="D209" s="18"/>
      <c r="E209" s="18"/>
      <c r="G209" s="19"/>
      <c r="H209" s="19"/>
      <c r="I209" s="47"/>
      <c r="J209" s="18"/>
      <c r="K209" s="29"/>
      <c r="CK209" s="30"/>
      <c r="CN209" s="9">
        <v>103</v>
      </c>
      <c r="CO209" s="17">
        <v>0.05</v>
      </c>
      <c r="CP209" s="17">
        <v>-1.7005879106731167E-3</v>
      </c>
      <c r="CQ209" s="17">
        <v>-1.9298237115187246E-3</v>
      </c>
      <c r="CR209" s="17">
        <v>2.4291760145585289E-5</v>
      </c>
      <c r="CS209" s="17">
        <f t="shared" si="65"/>
        <v>4.6393880137953751E-2</v>
      </c>
    </row>
    <row r="210" spans="1:97" x14ac:dyDescent="0.45">
      <c r="A210" s="8"/>
      <c r="B210" s="58"/>
      <c r="C210" s="18"/>
      <c r="D210" s="18"/>
      <c r="E210" s="18"/>
      <c r="G210" s="19"/>
      <c r="H210" s="19"/>
      <c r="I210" s="47"/>
      <c r="J210" s="18"/>
      <c r="K210" s="29"/>
      <c r="CK210" s="30"/>
      <c r="CN210" s="9">
        <v>103.5</v>
      </c>
      <c r="CO210" s="17">
        <v>0.05</v>
      </c>
      <c r="CP210" s="17">
        <v>-1.6923725101461343E-3</v>
      </c>
      <c r="CQ210" s="17">
        <v>-1.9205008918649236E-3</v>
      </c>
      <c r="CR210" s="17">
        <v>2.4174408647297441E-5</v>
      </c>
      <c r="CS210" s="17">
        <f t="shared" si="65"/>
        <v>4.6411301006636249E-2</v>
      </c>
    </row>
    <row r="211" spans="1:97" x14ac:dyDescent="0.45">
      <c r="A211" s="8"/>
      <c r="B211" s="58"/>
      <c r="C211" s="18"/>
      <c r="D211" s="18"/>
      <c r="E211" s="18"/>
      <c r="G211" s="19"/>
      <c r="H211" s="19"/>
      <c r="I211" s="47"/>
      <c r="J211" s="18"/>
      <c r="K211" s="29"/>
      <c r="CK211" s="30"/>
      <c r="CN211" s="9">
        <v>104</v>
      </c>
      <c r="CO211" s="17">
        <v>0.05</v>
      </c>
      <c r="CP211" s="17">
        <v>-1.684236103854152E-3</v>
      </c>
      <c r="CQ211" s="17">
        <v>-1.9112677146859395E-3</v>
      </c>
      <c r="CR211" s="17">
        <v>2.4058185528800817E-5</v>
      </c>
      <c r="CS211" s="17">
        <f t="shared" si="65"/>
        <v>4.6428554366988714E-2</v>
      </c>
    </row>
    <row r="212" spans="1:97" x14ac:dyDescent="0.45">
      <c r="A212" s="8"/>
      <c r="B212" s="58"/>
      <c r="C212" s="18"/>
      <c r="D212" s="18"/>
      <c r="E212" s="18"/>
      <c r="G212" s="19"/>
      <c r="H212" s="19"/>
      <c r="I212" s="47"/>
      <c r="J212" s="18"/>
      <c r="K212" s="29"/>
      <c r="CK212" s="30"/>
      <c r="CN212" s="9">
        <v>104.5</v>
      </c>
      <c r="CO212" s="17">
        <v>0.05</v>
      </c>
      <c r="CP212" s="17">
        <v>-1.6761775579087201E-3</v>
      </c>
      <c r="CQ212" s="17">
        <v>-1.9021228932499703E-3</v>
      </c>
      <c r="CR212" s="17">
        <v>2.3943074593256316E-5</v>
      </c>
      <c r="CS212" s="17">
        <f t="shared" si="65"/>
        <v>4.6445642623434563E-2</v>
      </c>
    </row>
    <row r="213" spans="1:97" x14ac:dyDescent="0.45">
      <c r="A213" s="8"/>
      <c r="B213" s="58"/>
      <c r="C213" s="18"/>
      <c r="D213" s="18"/>
      <c r="E213" s="18"/>
      <c r="G213" s="19"/>
      <c r="H213" s="19"/>
      <c r="I213" s="47"/>
      <c r="J213" s="18"/>
      <c r="K213" s="29"/>
      <c r="CK213" s="30"/>
      <c r="CN213" s="9">
        <v>105</v>
      </c>
      <c r="CO213" s="17">
        <v>0.05</v>
      </c>
      <c r="CP213" s="17">
        <v>-1.6681957600192545E-3</v>
      </c>
      <c r="CQ213" s="17">
        <v>-1.8930651653341513E-3</v>
      </c>
      <c r="CR213" s="17">
        <v>2.3829059952336046E-5</v>
      </c>
      <c r="CS213" s="17">
        <f t="shared" si="65"/>
        <v>4.6462568134598939E-2</v>
      </c>
    </row>
    <row r="214" spans="1:97" x14ac:dyDescent="0.45">
      <c r="A214" s="8"/>
      <c r="B214" s="58"/>
      <c r="C214" s="18"/>
      <c r="D214" s="18"/>
      <c r="E214" s="18"/>
      <c r="G214" s="19"/>
      <c r="H214" s="19"/>
      <c r="I214" s="47"/>
      <c r="J214" s="18"/>
      <c r="K214" s="29"/>
      <c r="CK214" s="30"/>
      <c r="CN214" s="9">
        <v>105.5</v>
      </c>
      <c r="CO214" s="17">
        <v>0.05</v>
      </c>
      <c r="CP214" s="17">
        <v>-1.6602896189812392E-3</v>
      </c>
      <c r="CQ214" s="17">
        <v>-1.8840932926438014E-3</v>
      </c>
      <c r="CR214" s="17">
        <v>2.3716126018912656E-5</v>
      </c>
      <c r="CS214" s="17">
        <f t="shared" si="65"/>
        <v>4.6479333214393875E-2</v>
      </c>
    </row>
    <row r="215" spans="1:97" x14ac:dyDescent="0.45">
      <c r="A215" s="8"/>
      <c r="B215" s="58"/>
      <c r="C215" s="18"/>
      <c r="D215" s="18"/>
      <c r="E215" s="18"/>
      <c r="G215" s="19"/>
      <c r="H215" s="19"/>
      <c r="I215" s="47"/>
      <c r="J215" s="18"/>
      <c r="K215" s="29"/>
      <c r="CK215" s="30"/>
      <c r="CN215" s="9">
        <v>106</v>
      </c>
      <c r="CO215" s="17">
        <v>0.05</v>
      </c>
      <c r="CP215" s="17">
        <v>-1.6524580641789164E-3</v>
      </c>
      <c r="CQ215" s="17">
        <v>-1.8752060602481009E-3</v>
      </c>
      <c r="CR215" s="17">
        <v>2.3604257499955521E-5</v>
      </c>
      <c r="CS215" s="17">
        <f t="shared" si="65"/>
        <v>4.6495940133072941E-2</v>
      </c>
    </row>
    <row r="216" spans="1:97" x14ac:dyDescent="0.45">
      <c r="A216" s="8"/>
      <c r="B216" s="58"/>
      <c r="C216" s="18"/>
      <c r="D216" s="18"/>
      <c r="E216" s="18"/>
      <c r="G216" s="19"/>
      <c r="H216" s="19"/>
      <c r="I216" s="47"/>
      <c r="J216" s="18"/>
      <c r="K216" s="29"/>
      <c r="CK216" s="30"/>
      <c r="CN216" s="9">
        <v>106.5</v>
      </c>
      <c r="CO216" s="17">
        <v>0.05</v>
      </c>
      <c r="CP216" s="17">
        <v>-1.6447000451019795E-3</v>
      </c>
      <c r="CQ216" s="17">
        <v>-1.8664022760316633E-3</v>
      </c>
      <c r="CR216" s="17">
        <v>2.349343938962709E-5</v>
      </c>
      <c r="CS216" s="17">
        <f t="shared" si="65"/>
        <v>4.6512391118255988E-2</v>
      </c>
    </row>
    <row r="217" spans="1:97" x14ac:dyDescent="0.45">
      <c r="A217" s="8"/>
      <c r="B217" s="58"/>
      <c r="C217" s="18"/>
      <c r="D217" s="18"/>
      <c r="E217" s="18"/>
      <c r="G217" s="19"/>
      <c r="H217" s="19"/>
      <c r="I217" s="47"/>
      <c r="J217" s="18"/>
      <c r="K217" s="29"/>
      <c r="CK217" s="30"/>
      <c r="CN217" s="9">
        <v>107</v>
      </c>
      <c r="CO217" s="17">
        <v>0.05</v>
      </c>
      <c r="CP217" s="17">
        <v>-1.6370145308758236E-3</v>
      </c>
      <c r="CQ217" s="17">
        <v>-1.8576807701614817E-3</v>
      </c>
      <c r="CR217" s="17">
        <v>2.3383656962572758E-5</v>
      </c>
      <c r="CS217" s="17">
        <f t="shared" si="65"/>
        <v>4.6528688355925267E-2</v>
      </c>
    </row>
    <row r="218" spans="1:97" x14ac:dyDescent="0.45">
      <c r="A218" s="8"/>
      <c r="B218" s="58"/>
      <c r="C218" s="18"/>
      <c r="D218" s="18"/>
      <c r="E218" s="18"/>
      <c r="G218" s="19"/>
      <c r="H218" s="19"/>
      <c r="I218" s="47"/>
      <c r="J218" s="18"/>
      <c r="K218" s="29"/>
      <c r="CK218" s="30"/>
      <c r="CN218" s="9">
        <v>107.5</v>
      </c>
      <c r="CO218" s="17">
        <v>0.05</v>
      </c>
      <c r="CP218" s="17">
        <v>-1.6294005098049006E-3</v>
      </c>
      <c r="CQ218" s="17">
        <v>-1.8490403945687511E-3</v>
      </c>
      <c r="CR218" s="17">
        <v>2.3274895767397999E-5</v>
      </c>
      <c r="CS218" s="17">
        <f t="shared" si="65"/>
        <v>4.6544833991393753E-2</v>
      </c>
    </row>
    <row r="219" spans="1:97" x14ac:dyDescent="0.45">
      <c r="A219" s="8"/>
      <c r="B219" s="58"/>
      <c r="C219" s="18"/>
      <c r="D219" s="18"/>
      <c r="E219" s="18"/>
      <c r="G219" s="19"/>
      <c r="H219" s="19"/>
      <c r="I219" s="47"/>
      <c r="J219" s="18"/>
      <c r="K219" s="29"/>
      <c r="CK219" s="30"/>
      <c r="CN219" s="9">
        <v>108</v>
      </c>
      <c r="CO219" s="17">
        <v>0.05</v>
      </c>
      <c r="CP219" s="17">
        <v>-1.6218569889287608E-3</v>
      </c>
      <c r="CQ219" s="17">
        <v>-1.8404800224450797E-3</v>
      </c>
      <c r="CR219" s="17">
        <v>2.3167141620326716E-5</v>
      </c>
      <c r="CS219" s="17">
        <f t="shared" si="65"/>
        <v>4.6560830130246485E-2</v>
      </c>
    </row>
    <row r="220" spans="1:97" x14ac:dyDescent="0.45">
      <c r="A220" s="8"/>
      <c r="B220" s="58"/>
      <c r="C220" s="18"/>
      <c r="D220" s="18"/>
      <c r="E220" s="18"/>
      <c r="G220" s="19"/>
      <c r="H220" s="19"/>
      <c r="I220" s="47"/>
      <c r="J220" s="18"/>
      <c r="K220" s="29"/>
      <c r="CK220" s="30"/>
      <c r="CN220" s="9">
        <v>108.5</v>
      </c>
      <c r="CO220" s="17">
        <v>0.05</v>
      </c>
      <c r="CP220" s="17">
        <v>-1.6143829935903677E-3</v>
      </c>
      <c r="CQ220" s="17">
        <v>-1.8319985477526315E-3</v>
      </c>
      <c r="CR220" s="17">
        <v>2.3060380599034886E-5</v>
      </c>
      <c r="CS220" s="17">
        <f t="shared" si="65"/>
        <v>4.6576678839256043E-2</v>
      </c>
    </row>
    <row r="221" spans="1:97" x14ac:dyDescent="0.45">
      <c r="A221" s="8"/>
      <c r="B221" s="58"/>
      <c r="C221" s="18"/>
      <c r="D221" s="18"/>
      <c r="E221" s="18"/>
      <c r="G221" s="19"/>
      <c r="H221" s="19"/>
      <c r="I221" s="47"/>
      <c r="J221" s="18"/>
      <c r="K221" s="29"/>
      <c r="CK221" s="30"/>
      <c r="CN221" s="9">
        <v>109</v>
      </c>
      <c r="CO221" s="17">
        <v>0.05</v>
      </c>
      <c r="CP221" s="17">
        <v>-1.6069775670162969E-3</v>
      </c>
      <c r="CQ221" s="17">
        <v>-1.8235948847477473E-3</v>
      </c>
      <c r="CR221" s="17">
        <v>2.2954599036653991E-5</v>
      </c>
      <c r="CS221" s="17">
        <f t="shared" si="65"/>
        <v>4.6592382147272612E-2</v>
      </c>
    </row>
    <row r="222" spans="1:97" x14ac:dyDescent="0.45">
      <c r="A222" s="8"/>
      <c r="B222" s="58"/>
      <c r="C222" s="18"/>
      <c r="D222" s="18"/>
      <c r="E222" s="18"/>
      <c r="G222" s="19"/>
      <c r="H222" s="19"/>
      <c r="I222" s="47"/>
      <c r="J222" s="18"/>
      <c r="K222" s="29"/>
      <c r="CK222" s="30"/>
      <c r="CN222" s="9">
        <v>109.5</v>
      </c>
      <c r="CO222" s="17">
        <v>0.05</v>
      </c>
      <c r="CP222" s="17">
        <v>-1.599639769908434E-3</v>
      </c>
      <c r="CQ222" s="17">
        <v>-1.8152679675176183E-3</v>
      </c>
      <c r="CR222" s="17">
        <v>2.2849783515938677E-5</v>
      </c>
      <c r="CS222" s="17">
        <f t="shared" si="65"/>
        <v>4.6607942046089888E-2</v>
      </c>
    </row>
    <row r="223" spans="1:97" x14ac:dyDescent="0.45">
      <c r="A223" s="8"/>
      <c r="B223" s="58"/>
      <c r="C223" s="18"/>
      <c r="D223" s="18"/>
      <c r="E223" s="18"/>
      <c r="G223" s="19"/>
      <c r="H223" s="19"/>
      <c r="I223" s="47"/>
      <c r="J223" s="18"/>
      <c r="K223" s="29"/>
      <c r="CK223" s="30"/>
      <c r="CN223" s="9">
        <v>110</v>
      </c>
      <c r="CO223" s="17">
        <v>0.05</v>
      </c>
      <c r="CP223" s="17">
        <v>-1.5923686800468104E-3</v>
      </c>
      <c r="CQ223" s="17">
        <v>-1.8070167495295927E-3</v>
      </c>
      <c r="CR223" s="17">
        <v>2.2745920863593502E-5</v>
      </c>
      <c r="CS223" s="17">
        <f t="shared" si="65"/>
        <v>4.6623360491287194E-2</v>
      </c>
    </row>
    <row r="224" spans="1:97" x14ac:dyDescent="0.45">
      <c r="A224" s="8"/>
      <c r="B224" s="58"/>
      <c r="C224" s="18"/>
      <c r="D224" s="18"/>
      <c r="E224" s="18"/>
      <c r="G224" s="19"/>
      <c r="H224" s="19"/>
      <c r="I224" s="47"/>
      <c r="J224" s="18"/>
      <c r="K224" s="29"/>
      <c r="CK224" s="30"/>
      <c r="CN224" s="9">
        <v>110.5</v>
      </c>
      <c r="CO224" s="17">
        <v>0.05</v>
      </c>
      <c r="CP224" s="17">
        <v>-1.5851633919032172E-3</v>
      </c>
      <c r="CQ224" s="17">
        <v>-1.7988402031927204E-3</v>
      </c>
      <c r="CR224" s="17">
        <v>2.2642998144753707E-5</v>
      </c>
      <c r="CS224" s="17">
        <f t="shared" si="65"/>
        <v>4.6638639403048812E-2</v>
      </c>
    </row>
    <row r="225" spans="1:97" x14ac:dyDescent="0.45">
      <c r="A225" s="8"/>
      <c r="B225" s="58"/>
      <c r="C225" s="18"/>
      <c r="D225" s="18"/>
      <c r="E225" s="18"/>
      <c r="G225" s="19"/>
      <c r="H225" s="19"/>
      <c r="I225" s="47"/>
      <c r="J225" s="18"/>
      <c r="K225" s="29"/>
      <c r="CK225" s="30"/>
      <c r="CN225" s="9">
        <v>111</v>
      </c>
      <c r="CO225" s="17">
        <v>0.05</v>
      </c>
      <c r="CP225" s="17">
        <v>-1.5780230162652676E-3</v>
      </c>
      <c r="CQ225" s="17">
        <v>-1.7907373194311425E-3</v>
      </c>
      <c r="CR225" s="17">
        <v>2.2541002657615176E-5</v>
      </c>
      <c r="CS225" s="17">
        <f t="shared" si="65"/>
        <v>4.6653780666961214E-2</v>
      </c>
    </row>
    <row r="226" spans="1:97" x14ac:dyDescent="0.45">
      <c r="A226" s="8"/>
      <c r="B226" s="58"/>
      <c r="C226" s="18"/>
      <c r="D226" s="18"/>
      <c r="E226" s="18"/>
      <c r="G226" s="19"/>
      <c r="H226" s="19"/>
      <c r="I226" s="47"/>
      <c r="J226" s="18"/>
      <c r="K226" s="29"/>
      <c r="CK226" s="30"/>
      <c r="CN226" s="9">
        <v>111.5</v>
      </c>
      <c r="CO226" s="17">
        <v>0.05</v>
      </c>
      <c r="CP226" s="17">
        <v>-1.570946679870571E-3</v>
      </c>
      <c r="CQ226" s="17">
        <v>-1.7827071072689627E-3</v>
      </c>
      <c r="CR226" s="17">
        <v>2.2439921928208833E-5</v>
      </c>
      <c r="CS226" s="17">
        <f t="shared" si="65"/>
        <v>4.666878613478867E-2</v>
      </c>
    </row>
    <row r="227" spans="1:97" x14ac:dyDescent="0.45">
      <c r="A227" s="8"/>
      <c r="B227" s="58"/>
      <c r="C227" s="18"/>
      <c r="D227" s="18"/>
      <c r="E227" s="18"/>
      <c r="G227" s="19"/>
      <c r="H227" s="19"/>
      <c r="I227" s="47"/>
      <c r="J227" s="18"/>
      <c r="K227" s="29"/>
      <c r="CK227" s="30"/>
      <c r="CN227" s="9">
        <v>112</v>
      </c>
      <c r="CO227" s="17">
        <v>0.05</v>
      </c>
      <c r="CP227" s="17">
        <v>-1.5639335250507058E-3</v>
      </c>
      <c r="CQ227" s="17">
        <v>-1.7747485934262348E-3</v>
      </c>
      <c r="CR227" s="17">
        <v>2.2339743705315041E-5</v>
      </c>
      <c r="CS227" s="17">
        <f t="shared" si="65"/>
        <v>4.6683657625228372E-2</v>
      </c>
    </row>
    <row r="228" spans="1:97" x14ac:dyDescent="0.45">
      <c r="A228" s="8"/>
      <c r="B228" s="58"/>
      <c r="C228" s="18"/>
      <c r="D228" s="18"/>
      <c r="E228" s="18"/>
      <c r="G228" s="19"/>
      <c r="H228" s="19"/>
      <c r="I228" s="47"/>
      <c r="J228" s="18"/>
      <c r="K228" s="29"/>
      <c r="CK228" s="30"/>
      <c r="CN228" s="9">
        <v>112.5</v>
      </c>
      <c r="CO228" s="17">
        <v>0.05</v>
      </c>
      <c r="CP228" s="17">
        <v>-1.5569827093846874E-3</v>
      </c>
      <c r="CQ228" s="17">
        <v>-1.7668608219257264E-3</v>
      </c>
      <c r="CR228" s="17">
        <v>2.2240455955513641E-5</v>
      </c>
      <c r="CS228" s="17">
        <f t="shared" si="65"/>
        <v>4.6698396924645107E-2</v>
      </c>
    </row>
    <row r="229" spans="1:97" x14ac:dyDescent="0.45">
      <c r="A229" s="8"/>
      <c r="B229" s="58"/>
      <c r="C229" s="18"/>
      <c r="D229" s="18"/>
      <c r="E229" s="18"/>
      <c r="G229" s="19"/>
      <c r="H229" s="19"/>
      <c r="I229" s="47"/>
      <c r="J229" s="18"/>
      <c r="K229" s="29"/>
      <c r="CK229" s="30"/>
      <c r="CN229" s="9">
        <v>113</v>
      </c>
      <c r="CO229" s="17">
        <v>0.05</v>
      </c>
      <c r="CP229" s="17">
        <v>-1.550093405361636E-3</v>
      </c>
      <c r="CQ229" s="17">
        <v>-1.7590428537101171E-3</v>
      </c>
      <c r="CR229" s="17">
        <v>2.2142046858365352E-5</v>
      </c>
      <c r="CS229" s="17">
        <f t="shared" si="65"/>
        <v>4.6713005787786616E-2</v>
      </c>
    </row>
    <row r="230" spans="1:97" x14ac:dyDescent="0.45">
      <c r="A230" s="8"/>
      <c r="B230" s="58"/>
      <c r="C230" s="18"/>
      <c r="D230" s="18"/>
      <c r="E230" s="18"/>
      <c r="G230" s="19"/>
      <c r="H230" s="19"/>
      <c r="I230" s="47"/>
      <c r="J230" s="18"/>
      <c r="K230" s="29"/>
      <c r="CK230" s="30"/>
      <c r="CN230" s="9">
        <v>113.5</v>
      </c>
      <c r="CO230" s="17">
        <v>0.05</v>
      </c>
      <c r="CP230" s="17">
        <v>-1.5432648000523591E-3</v>
      </c>
      <c r="CQ230" s="17">
        <v>-1.751293766269319E-3</v>
      </c>
      <c r="CR230" s="17">
        <v>2.204450480172057E-5</v>
      </c>
      <c r="CS230" s="17">
        <f t="shared" si="65"/>
        <v>4.6727485938480043E-2</v>
      </c>
    </row>
    <row r="231" spans="1:97" x14ac:dyDescent="0.45">
      <c r="A231" s="8"/>
      <c r="B231" s="58"/>
      <c r="C231" s="18"/>
      <c r="D231" s="18"/>
      <c r="E231" s="18"/>
      <c r="G231" s="19"/>
      <c r="H231" s="19"/>
      <c r="I231" s="47"/>
      <c r="J231" s="18"/>
      <c r="K231" s="29"/>
      <c r="CK231" s="30"/>
      <c r="CN231" s="9">
        <v>114</v>
      </c>
      <c r="CO231" s="17">
        <v>0.05</v>
      </c>
      <c r="CP231" s="17">
        <v>-1.5364960947895805E-3</v>
      </c>
      <c r="CQ231" s="17">
        <v>-1.7436126532776018E-3</v>
      </c>
      <c r="CR231" s="17">
        <v>2.1947818377151621E-5</v>
      </c>
      <c r="CS231" s="17">
        <f t="shared" si="65"/>
        <v>4.6741839070309973E-2</v>
      </c>
    </row>
    <row r="232" spans="1:97" x14ac:dyDescent="0.45">
      <c r="A232" s="8"/>
      <c r="B232" s="52"/>
      <c r="C232" s="18"/>
      <c r="D232" s="18"/>
      <c r="E232" s="18"/>
      <c r="G232" s="19"/>
      <c r="H232" s="19"/>
      <c r="I232" s="47"/>
      <c r="J232" s="18"/>
      <c r="K232" s="29"/>
      <c r="CK232" s="30"/>
      <c r="CN232" s="9">
        <v>114.5</v>
      </c>
      <c r="CO232" s="17">
        <v>0.05</v>
      </c>
      <c r="CP232" s="17">
        <v>-1.5297865048565409E-3</v>
      </c>
      <c r="CQ232" s="17">
        <v>-1.7359986242402256E-3</v>
      </c>
      <c r="CR232" s="17">
        <v>2.1851976375504672E-5</v>
      </c>
      <c r="CS232" s="17">
        <f t="shared" si="65"/>
        <v>4.6756066847278739E-2</v>
      </c>
    </row>
    <row r="233" spans="1:97" x14ac:dyDescent="0.45">
      <c r="A233" s="8"/>
      <c r="B233" s="52"/>
      <c r="C233" s="18"/>
      <c r="D233" s="18"/>
      <c r="E233" s="18"/>
      <c r="G233" s="19"/>
      <c r="H233" s="19"/>
      <c r="I233" s="47"/>
      <c r="J233" s="18"/>
      <c r="K233" s="29"/>
      <c r="CK233" s="30"/>
      <c r="CL233" s="21"/>
      <c r="CN233" s="9">
        <v>115</v>
      </c>
      <c r="CO233" s="17">
        <v>0.05</v>
      </c>
      <c r="CP233" s="17">
        <v>-1.5231352591837299E-3</v>
      </c>
      <c r="CQ233" s="17">
        <v>-1.7284508041492919E-3</v>
      </c>
      <c r="CR233" s="17">
        <v>2.1756967782567694E-5</v>
      </c>
      <c r="CS233" s="17">
        <f t="shared" si="65"/>
        <v>4.6770170904449543E-2</v>
      </c>
    </row>
    <row r="234" spans="1:97" x14ac:dyDescent="0.45">
      <c r="A234" s="8"/>
      <c r="B234" s="52"/>
      <c r="C234" s="18"/>
      <c r="D234" s="18"/>
      <c r="E234" s="18"/>
      <c r="G234" s="19"/>
      <c r="H234" s="19"/>
      <c r="I234" s="47"/>
      <c r="J234" s="18"/>
      <c r="K234" s="29"/>
      <c r="CK234" s="30"/>
      <c r="CL234" s="16"/>
      <c r="CN234" s="9">
        <v>115.5</v>
      </c>
      <c r="CO234" s="17">
        <v>0.05</v>
      </c>
      <c r="CP234" s="17">
        <v>-1.5165416000534886E-3</v>
      </c>
      <c r="CQ234" s="17">
        <v>-1.7209683331485329E-3</v>
      </c>
      <c r="CR234" s="17">
        <v>2.1662781774850951E-5</v>
      </c>
      <c r="CS234" s="17">
        <f t="shared" si="65"/>
        <v>4.6784152848572833E-2</v>
      </c>
    </row>
    <row r="235" spans="1:97" x14ac:dyDescent="0.45">
      <c r="A235" s="8"/>
      <c r="B235" s="52"/>
      <c r="C235" s="18"/>
      <c r="D235" s="18"/>
      <c r="E235" s="18"/>
      <c r="G235" s="19"/>
      <c r="H235" s="19"/>
      <c r="I235" s="47"/>
      <c r="J235" s="18"/>
      <c r="K235" s="29"/>
      <c r="CK235" s="30"/>
      <c r="CL235" s="19"/>
      <c r="CN235" s="9">
        <v>116</v>
      </c>
      <c r="CO235" s="17">
        <v>0.05</v>
      </c>
      <c r="CP235" s="17">
        <v>-1.5100047828122546E-3</v>
      </c>
      <c r="CQ235" s="17">
        <v>-1.7135503662067703E-3</v>
      </c>
      <c r="CR235" s="17">
        <v>2.1569407715476594E-5</v>
      </c>
      <c r="CS235" s="17">
        <f t="shared" si="65"/>
        <v>4.6798014258696459E-2</v>
      </c>
    </row>
    <row r="236" spans="1:97" x14ac:dyDescent="0.45">
      <c r="A236" s="8"/>
      <c r="B236" s="52"/>
      <c r="D236" s="18"/>
      <c r="E236" s="18"/>
      <c r="G236" s="19"/>
      <c r="H236" s="19"/>
      <c r="I236" s="47"/>
      <c r="J236" s="18"/>
      <c r="K236" s="29"/>
      <c r="CK236" s="30"/>
      <c r="CN236" s="9">
        <v>116.5</v>
      </c>
      <c r="CO236" s="17">
        <v>0.05</v>
      </c>
      <c r="CP236" s="17">
        <v>-1.5035240755902177E-3</v>
      </c>
      <c r="CQ236" s="17">
        <v>-1.7061960727997815E-3</v>
      </c>
      <c r="CR236" s="17">
        <v>2.147683515017412E-5</v>
      </c>
      <c r="CS236" s="17">
        <f t="shared" si="65"/>
        <v>4.6811756686760173E-2</v>
      </c>
    </row>
    <row r="237" spans="1:97" ht="14.65" thickBot="1" x14ac:dyDescent="0.5">
      <c r="A237" s="8"/>
      <c r="B237" s="52"/>
      <c r="D237" s="18"/>
      <c r="E237" s="18"/>
      <c r="G237" s="19"/>
      <c r="H237" s="19"/>
      <c r="I237" s="47"/>
      <c r="J237" s="18"/>
      <c r="K237" s="64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  <c r="BD237" s="65"/>
      <c r="BE237" s="65"/>
      <c r="BF237" s="65"/>
      <c r="BG237" s="65"/>
      <c r="BH237" s="65"/>
      <c r="BI237" s="65"/>
      <c r="BJ237" s="65"/>
      <c r="BK237" s="65"/>
      <c r="BL237" s="65"/>
      <c r="BM237" s="65"/>
      <c r="BN237" s="65"/>
      <c r="BO237" s="65"/>
      <c r="BP237" s="65"/>
      <c r="BQ237" s="65"/>
      <c r="BR237" s="65"/>
      <c r="BS237" s="65"/>
      <c r="BT237" s="65"/>
      <c r="BU237" s="65"/>
      <c r="BV237" s="65"/>
      <c r="BW237" s="65"/>
      <c r="BX237" s="65"/>
      <c r="BY237" s="65"/>
      <c r="BZ237" s="65"/>
      <c r="CA237" s="65"/>
      <c r="CB237" s="65"/>
      <c r="CC237" s="65"/>
      <c r="CD237" s="65"/>
      <c r="CE237" s="65"/>
      <c r="CF237" s="65"/>
      <c r="CG237" s="65"/>
      <c r="CH237" s="65"/>
      <c r="CI237" s="65"/>
      <c r="CJ237" s="65"/>
      <c r="CK237" s="66"/>
      <c r="CN237" s="9">
        <v>117</v>
      </c>
      <c r="CO237" s="17">
        <v>0.05</v>
      </c>
      <c r="CP237" s="17">
        <v>-1.4970987590281622E-3</v>
      </c>
      <c r="CQ237" s="17">
        <v>-1.6989046366003245E-3</v>
      </c>
      <c r="CR237" s="17">
        <v>2.1385053803378503E-5</v>
      </c>
      <c r="CS237" s="17">
        <f t="shared" si="65"/>
        <v>4.6825381658174896E-2</v>
      </c>
    </row>
    <row r="238" spans="1:97" x14ac:dyDescent="0.45">
      <c r="A238" s="8"/>
      <c r="B238" s="52"/>
      <c r="I238" s="19"/>
      <c r="J238" s="18"/>
      <c r="CN238" s="9">
        <v>117.5</v>
      </c>
      <c r="CO238" s="17">
        <v>0.05</v>
      </c>
      <c r="CP238" s="17">
        <v>-1.4907281260112832E-3</v>
      </c>
      <c r="CQ238" s="17">
        <v>-1.6916752551760759E-3</v>
      </c>
      <c r="CR238" s="17">
        <v>2.1294053574427958E-5</v>
      </c>
      <c r="CS238" s="17">
        <f t="shared" si="65"/>
        <v>4.6838890672387071E-2</v>
      </c>
    </row>
    <row r="239" spans="1:97" x14ac:dyDescent="0.45">
      <c r="A239" s="8"/>
      <c r="B239" s="52"/>
      <c r="I239" s="19"/>
      <c r="J239" s="18"/>
      <c r="CN239" s="9">
        <v>118</v>
      </c>
      <c r="CO239" s="17">
        <v>0.05</v>
      </c>
      <c r="CP239" s="17">
        <v>-1.4844114814097727E-3</v>
      </c>
      <c r="CQ239" s="17">
        <v>-1.6845071396952482E-3</v>
      </c>
      <c r="CR239" s="17">
        <v>2.1203824533858349E-5</v>
      </c>
      <c r="CS239" s="17">
        <f t="shared" si="65"/>
        <v>4.6852285203428837E-2</v>
      </c>
    </row>
    <row r="240" spans="1:97" x14ac:dyDescent="0.45">
      <c r="A240" s="8"/>
      <c r="B240" s="52"/>
      <c r="E240" s="44"/>
      <c r="I240" s="19"/>
      <c r="J240" s="18"/>
      <c r="CN240" s="9">
        <v>118.5</v>
      </c>
      <c r="CO240" s="17">
        <v>0.05</v>
      </c>
      <c r="CP240" s="17">
        <v>-1.4781481418259714E-3</v>
      </c>
      <c r="CQ240" s="17">
        <v>-1.6773995146396599E-3</v>
      </c>
      <c r="CR240" s="17">
        <v>2.1114356919791433E-5</v>
      </c>
      <c r="CS240" s="17">
        <f t="shared" si="65"/>
        <v>4.6865566700454157E-2</v>
      </c>
    </row>
    <row r="241" spans="1:97" x14ac:dyDescent="0.45">
      <c r="A241" s="8"/>
      <c r="B241" s="52"/>
      <c r="E241" s="63"/>
      <c r="I241" s="19"/>
      <c r="J241" s="18"/>
      <c r="CN241" s="9">
        <v>119</v>
      </c>
      <c r="CO241" s="17">
        <v>0.05</v>
      </c>
      <c r="CP241" s="17">
        <v>-1.4719374353478936E-3</v>
      </c>
      <c r="CQ241" s="17">
        <v>-1.670351617525039E-3</v>
      </c>
      <c r="CR241" s="17">
        <v>2.102564113441416E-5</v>
      </c>
      <c r="CS241" s="17">
        <f t="shared" si="65"/>
        <v>4.6878736588261485E-2</v>
      </c>
    </row>
    <row r="242" spans="1:97" x14ac:dyDescent="0.45">
      <c r="A242" s="8"/>
      <c r="B242" s="52"/>
      <c r="E242" s="10" t="str">
        <f>_xlfn.CONCAT("Value = c(",ROUND(C248,5),",",ROUND(C249,5),",",ROUND(C250,5),",",ROUND(C251,5),",",ROUND(C252,5),",",ROUND(C253,5),"),")</f>
        <v>Value = c(0.0556,-0.04066,-0.04614,0.00354,4.30806,0.70736),</v>
      </c>
      <c r="I242" s="19"/>
      <c r="J242" s="18"/>
      <c r="CN242" s="9">
        <v>119.5</v>
      </c>
      <c r="CO242" s="17">
        <v>0.05</v>
      </c>
      <c r="CP242" s="17">
        <v>-1.4657787013089428E-3</v>
      </c>
      <c r="CQ242" s="17">
        <v>-1.6633626986283481E-3</v>
      </c>
      <c r="CR242" s="17">
        <v>2.0937667740546317E-5</v>
      </c>
      <c r="CS242" s="17">
        <f t="shared" si="65"/>
        <v>4.6891796267803258E-2</v>
      </c>
    </row>
    <row r="243" spans="1:97" x14ac:dyDescent="0.45">
      <c r="A243" s="8"/>
      <c r="B243" s="52"/>
      <c r="E243" s="10" t="str">
        <f ca="1">_xlfn.CONCAT("Value = c(""",ROUND(E249,2),""",""",ROUND(E255,0),""",""",ROUND(E251,2),""",""",ROUND(E253,0),"""),")</f>
        <v>Value = c("0.44","709","0.58","966"),</v>
      </c>
      <c r="I243" s="19"/>
      <c r="J243" s="18"/>
      <c r="CN243" s="9">
        <v>120</v>
      </c>
      <c r="CO243" s="17">
        <v>0.05</v>
      </c>
      <c r="CP243" s="17">
        <v>-1.4596712900536326E-3</v>
      </c>
      <c r="CQ243" s="17">
        <v>-1.656432020721927E-3</v>
      </c>
      <c r="CR243" s="17">
        <v>2.085042745829404E-5</v>
      </c>
      <c r="CS243" s="17">
        <f t="shared" si="65"/>
        <v>4.6904747116682743E-2</v>
      </c>
    </row>
    <row r="244" spans="1:97" x14ac:dyDescent="0.45">
      <c r="A244" s="8"/>
      <c r="B244" s="52"/>
      <c r="I244" s="19"/>
      <c r="J244" s="18"/>
      <c r="CN244" s="9">
        <v>120.5</v>
      </c>
      <c r="CO244" s="17">
        <v>0.05</v>
      </c>
      <c r="CP244" s="17">
        <v>-1.4536145627091393E-3</v>
      </c>
      <c r="CQ244" s="17">
        <v>-1.6495588588142517E-3</v>
      </c>
      <c r="CR244" s="17">
        <v>2.0763911161786599E-5</v>
      </c>
      <c r="CS244" s="17">
        <f t="shared" si="65"/>
        <v>4.6917590489638394E-2</v>
      </c>
    </row>
    <row r="245" spans="1:97" x14ac:dyDescent="0.45">
      <c r="A245" s="8"/>
      <c r="B245" s="52"/>
      <c r="I245" s="19"/>
      <c r="J245" s="18"/>
      <c r="CN245" s="9">
        <v>121</v>
      </c>
      <c r="CO245" s="17">
        <v>0.05</v>
      </c>
      <c r="CP245" s="17">
        <v>-1.44760789096252E-3</v>
      </c>
      <c r="CQ245" s="17">
        <v>-1.6427424998971232E-3</v>
      </c>
      <c r="CR245" s="17">
        <v>2.067810987599409E-5</v>
      </c>
      <c r="CS245" s="17">
        <f t="shared" si="65"/>
        <v>4.6930327719016347E-2</v>
      </c>
    </row>
    <row r="246" spans="1:97" x14ac:dyDescent="0.45">
      <c r="B246" s="53"/>
      <c r="C246" s="24"/>
      <c r="D246" s="23"/>
      <c r="E246" s="25"/>
      <c r="CN246" s="9">
        <v>121.5</v>
      </c>
      <c r="CO246" s="17">
        <v>0.05</v>
      </c>
      <c r="CP246" s="17">
        <v>-1.441650656843433E-3</v>
      </c>
      <c r="CQ246" s="17">
        <v>-1.6359822426990989E-3</v>
      </c>
      <c r="CR246" s="17">
        <v>2.0593014773623745E-5</v>
      </c>
      <c r="CS246" s="17">
        <f t="shared" si="65"/>
        <v>4.6942960115231101E-2</v>
      </c>
    </row>
    <row r="247" spans="1:97" x14ac:dyDescent="0.45">
      <c r="B247" s="32" t="s">
        <v>24</v>
      </c>
      <c r="C247" s="33" t="s">
        <v>25</v>
      </c>
      <c r="D247" s="32" t="s">
        <v>26</v>
      </c>
      <c r="E247" s="34" t="s">
        <v>27</v>
      </c>
      <c r="CN247" s="9">
        <v>122</v>
      </c>
      <c r="CO247" s="17">
        <v>0.05</v>
      </c>
      <c r="CP247" s="17">
        <v>-1.4357422525121961E-3</v>
      </c>
      <c r="CQ247" s="17">
        <v>-1.6292773974449835E-3</v>
      </c>
      <c r="CR247" s="17">
        <v>2.0508617172092499E-5</v>
      </c>
      <c r="CS247" s="17">
        <f t="shared" si="65"/>
        <v>4.6955488967214916E-2</v>
      </c>
    </row>
    <row r="248" spans="1:97" ht="15.75" x14ac:dyDescent="0.5">
      <c r="A248" s="50" t="s">
        <v>28</v>
      </c>
      <c r="B248" s="35">
        <v>0.05</v>
      </c>
      <c r="C248" s="36">
        <v>5.560494859187675E-2</v>
      </c>
      <c r="D248" s="37" t="s">
        <v>29</v>
      </c>
      <c r="E248" s="38" t="s">
        <v>1222</v>
      </c>
      <c r="I248" s="18" t="s">
        <v>30</v>
      </c>
      <c r="J248" s="18" t="s">
        <v>31</v>
      </c>
      <c r="K248" s="9" t="s">
        <v>32</v>
      </c>
      <c r="L248" s="17">
        <f>+b0+b1_*((1-EXP(-L2/tau1_))*tau1_/L2)+b2_*((1-EXP(-L2/tau1_))*tau1_/L2-EXP(-L2/tau1_))+b3_*((1-EXP(-L2/tau2_))*tau2_/L2-EXP(-L2/tau2_))</f>
        <v>1.5529446517495061E-2</v>
      </c>
      <c r="M248" s="21">
        <f t="shared" ref="M248:AR248" si="66">+b0+b1_*((1-EXP(-M2/tau1_))*tau1_/M2)+b2_*((1-EXP(-M2/tau1_))*tau1_/M2-EXP(-M2/tau1_))</f>
        <v>1.4725990403566053E-2</v>
      </c>
      <c r="N248" s="21">
        <f t="shared" si="66"/>
        <v>1.4879436232653665E-2</v>
      </c>
      <c r="O248" s="21">
        <f t="shared" si="66"/>
        <v>1.5171087751184311E-2</v>
      </c>
      <c r="P248" s="21">
        <f t="shared" si="66"/>
        <v>1.5577405394840455E-2</v>
      </c>
      <c r="Q248" s="21">
        <f t="shared" si="66"/>
        <v>1.6077976692702285E-2</v>
      </c>
      <c r="R248" s="21">
        <f t="shared" si="66"/>
        <v>1.6655133820386362E-2</v>
      </c>
      <c r="S248" s="21">
        <f t="shared" si="66"/>
        <v>1.7293616162044036E-2</v>
      </c>
      <c r="T248" s="21">
        <f t="shared" si="66"/>
        <v>1.7980272695201128E-2</v>
      </c>
      <c r="U248" s="21">
        <f t="shared" si="66"/>
        <v>1.8703799602288781E-2</v>
      </c>
      <c r="V248" s="21">
        <f t="shared" si="66"/>
        <v>1.9454509036059713E-2</v>
      </c>
      <c r="W248" s="21">
        <f t="shared" si="66"/>
        <v>2.0224125430359719E-2</v>
      </c>
      <c r="X248" s="21">
        <f t="shared" si="66"/>
        <v>2.1005606159559848E-2</v>
      </c>
      <c r="Y248" s="21">
        <f t="shared" si="66"/>
        <v>2.1792983715235283E-2</v>
      </c>
      <c r="Z248" s="21">
        <f t="shared" si="66"/>
        <v>2.2581226892630899E-2</v>
      </c>
      <c r="AA248" s="21">
        <f t="shared" si="66"/>
        <v>2.3366118766724491E-2</v>
      </c>
      <c r="AB248" s="21">
        <f t="shared" si="66"/>
        <v>2.4144149492412906E-2</v>
      </c>
      <c r="AC248" s="21">
        <f t="shared" si="66"/>
        <v>2.4912422189164146E-2</v>
      </c>
      <c r="AD248" s="21">
        <f t="shared" si="66"/>
        <v>2.5668570370656105E-2</v>
      </c>
      <c r="AE248" s="21">
        <f t="shared" si="66"/>
        <v>2.6410685557345888E-2</v>
      </c>
      <c r="AF248" s="21">
        <f t="shared" si="66"/>
        <v>2.71372538671509E-2</v>
      </c>
      <c r="AG248" s="21">
        <f t="shared" si="66"/>
        <v>2.7847100518747926E-2</v>
      </c>
      <c r="AH248" s="21">
        <f t="shared" si="66"/>
        <v>2.8539341305435464E-2</v>
      </c>
      <c r="AI248" s="21">
        <f t="shared" si="66"/>
        <v>2.9213340206849417E-2</v>
      </c>
      <c r="AJ248" s="21">
        <f t="shared" si="66"/>
        <v>2.9868672402668682E-2</v>
      </c>
      <c r="AK248" s="21">
        <f t="shared" si="66"/>
        <v>3.0505092038209097E-2</v>
      </c>
      <c r="AL248" s="21">
        <f t="shared" si="66"/>
        <v>3.1122504167736938E-2</v>
      </c>
      <c r="AM248" s="21">
        <f t="shared" si="66"/>
        <v>3.1720940368551886E-2</v>
      </c>
      <c r="AN248" s="21">
        <f t="shared" si="66"/>
        <v>3.2300537578382332E-2</v>
      </c>
      <c r="AO248" s="21">
        <f t="shared" si="66"/>
        <v>3.2861519761280704E-2</v>
      </c>
      <c r="AP248" s="21">
        <f t="shared" si="66"/>
        <v>3.3404182053782747E-2</v>
      </c>
      <c r="AQ248" s="21">
        <f t="shared" si="66"/>
        <v>3.3928877084291507E-2</v>
      </c>
      <c r="AR248" s="21">
        <f t="shared" si="66"/>
        <v>3.4436003195078932E-2</v>
      </c>
      <c r="AS248" s="21">
        <f t="shared" ref="AS248:BX248" si="67">+b0+b1_*((1-EXP(-AS2/tau1_))*tau1_/AS2)+b2_*((1-EXP(-AS2/tau1_))*tau1_/AS2-EXP(-AS2/tau1_))</f>
        <v>3.4925994328507876E-2</v>
      </c>
      <c r="AT248" s="21">
        <f t="shared" si="67"/>
        <v>3.5399311367547329E-2</v>
      </c>
      <c r="AU248" s="21">
        <f t="shared" si="67"/>
        <v>3.5856434745812266E-2</v>
      </c>
      <c r="AV248" s="21">
        <f t="shared" si="67"/>
        <v>3.629785816458439E-2</v>
      </c>
      <c r="AW248" s="21">
        <f t="shared" si="67"/>
        <v>3.6724083273899408E-2</v>
      </c>
      <c r="AX248" s="21">
        <f t="shared" si="67"/>
        <v>3.7135615192116396E-2</v>
      </c>
      <c r="AY248" s="21">
        <f t="shared" si="67"/>
        <v>3.7532958753681442E-2</v>
      </c>
      <c r="AZ248" s="21">
        <f t="shared" si="67"/>
        <v>3.791661538829371E-2</v>
      </c>
      <c r="BA248" s="21">
        <f t="shared" si="67"/>
        <v>3.8287080546586284E-2</v>
      </c>
      <c r="BB248" s="21">
        <f t="shared" si="67"/>
        <v>3.864484159792942E-2</v>
      </c>
      <c r="BC248" s="21">
        <f t="shared" si="67"/>
        <v>3.8990376135214347E-2</v>
      </c>
      <c r="BD248" s="21">
        <f t="shared" si="67"/>
        <v>3.9324150629624591E-2</v>
      </c>
      <c r="BE248" s="21">
        <f t="shared" si="67"/>
        <v>3.9646619385577703E-2</v>
      </c>
      <c r="BF248" s="21">
        <f t="shared" si="67"/>
        <v>3.995822375233684E-2</v>
      </c>
      <c r="BG248" s="21">
        <f t="shared" si="67"/>
        <v>4.0259391554347358E-2</v>
      </c>
      <c r="BH248" s="21">
        <f t="shared" si="67"/>
        <v>4.0550536707239911E-2</v>
      </c>
      <c r="BI248" s="21">
        <f t="shared" si="67"/>
        <v>4.0832058990734367E-2</v>
      </c>
      <c r="BJ248" s="21">
        <f t="shared" si="67"/>
        <v>4.1104343953449779E-2</v>
      </c>
      <c r="BK248" s="21">
        <f t="shared" si="67"/>
        <v>4.136776292793494E-2</v>
      </c>
      <c r="BL248" s="21">
        <f t="shared" si="67"/>
        <v>4.1622673137136738E-2</v>
      </c>
      <c r="BM248" s="21">
        <f t="shared" si="67"/>
        <v>4.1869417876067655E-2</v>
      </c>
      <c r="BN248" s="21">
        <f t="shared" si="67"/>
        <v>4.2108326754661501E-2</v>
      </c>
      <c r="BO248" s="21">
        <f t="shared" si="67"/>
        <v>4.2339715989756263E-2</v>
      </c>
      <c r="BP248" s="21">
        <f t="shared" si="67"/>
        <v>4.25638887358471E-2</v>
      </c>
      <c r="BQ248" s="21">
        <f t="shared" si="67"/>
        <v>4.278113544574124E-2</v>
      </c>
      <c r="BR248" s="21">
        <f t="shared" si="67"/>
        <v>4.2991734253545015E-2</v>
      </c>
      <c r="BS248" s="21">
        <f t="shared" si="67"/>
        <v>4.3195951373545427E-2</v>
      </c>
      <c r="BT248" s="21">
        <f t="shared" si="67"/>
        <v>4.3394041509533306E-2</v>
      </c>
      <c r="BU248" s="21">
        <f t="shared" si="67"/>
        <v>4.3586248269971796E-2</v>
      </c>
      <c r="BV248" s="21">
        <f t="shared" si="67"/>
        <v>4.3772804585156887E-2</v>
      </c>
      <c r="BW248" s="21">
        <f t="shared" si="67"/>
        <v>4.3953933123160802E-2</v>
      </c>
      <c r="BX248" s="21">
        <f t="shared" si="67"/>
        <v>4.4129846701906221E-2</v>
      </c>
      <c r="BY248" s="21">
        <f t="shared" ref="BY248:CK248" si="68">+b0+b1_*((1-EXP(-BY2/tau1_))*tau1_/BY2)+b2_*((1-EXP(-BY2/tau1_))*tau1_/BY2-EXP(-BY2/tau1_))</f>
        <v>4.4300748695200065E-2</v>
      </c>
      <c r="BZ248" s="21">
        <f t="shared" si="68"/>
        <v>4.4466833430970423E-2</v>
      </c>
      <c r="CA248" s="21">
        <f t="shared" si="68"/>
        <v>4.4628286580305501E-2</v>
      </c>
      <c r="CB248" s="21">
        <f t="shared" si="68"/>
        <v>4.4785285536199614E-2</v>
      </c>
      <c r="CC248" s="21">
        <f t="shared" si="68"/>
        <v>4.493799978117128E-2</v>
      </c>
      <c r="CD248" s="21">
        <f t="shared" si="68"/>
        <v>4.5086591243141148E-2</v>
      </c>
      <c r="CE248" s="21">
        <f t="shared" si="68"/>
        <v>4.5231214639145527E-2</v>
      </c>
      <c r="CF248" s="21">
        <f t="shared" si="68"/>
        <v>4.5372017806620875E-2</v>
      </c>
      <c r="CG248" s="21">
        <f t="shared" si="68"/>
        <v>4.5509142022127781E-2</v>
      </c>
      <c r="CH248" s="21">
        <f t="shared" si="68"/>
        <v>4.5642722307495227E-2</v>
      </c>
      <c r="CI248" s="21">
        <f t="shared" si="68"/>
        <v>4.5772887723458056E-2</v>
      </c>
      <c r="CJ248" s="21">
        <f t="shared" si="68"/>
        <v>4.5899761650937024E-2</v>
      </c>
      <c r="CK248" s="21">
        <f t="shared" si="68"/>
        <v>4.6023462060172556E-2</v>
      </c>
      <c r="CN248" s="9">
        <v>122.5</v>
      </c>
      <c r="CO248" s="17">
        <v>0.05</v>
      </c>
      <c r="CP248" s="17">
        <v>-1.4298820800530416E-3</v>
      </c>
      <c r="CQ248" s="17">
        <v>-1.6226272856212131E-3</v>
      </c>
      <c r="CR248" s="17">
        <v>2.0424908530573754E-5</v>
      </c>
      <c r="CS248" s="17">
        <f t="shared" si="65"/>
        <v>4.6967915542856321E-2</v>
      </c>
    </row>
    <row r="249" spans="1:97" ht="15.75" x14ac:dyDescent="0.5">
      <c r="A249" s="50" t="s">
        <v>33</v>
      </c>
      <c r="B249" s="35">
        <v>-0.04</v>
      </c>
      <c r="C249" s="36">
        <v>-4.0658781755070171E-2</v>
      </c>
      <c r="D249" s="39">
        <v>6.6983366234326303</v>
      </c>
      <c r="E249" s="38">
        <f ca="1">AVERAGE(F3:F231)</f>
        <v>0.43541403950227175</v>
      </c>
      <c r="I249" s="18" t="s">
        <v>34</v>
      </c>
      <c r="J249" s="73" t="s">
        <v>35</v>
      </c>
      <c r="K249" s="73"/>
      <c r="L249" s="22">
        <f t="shared" ref="L249:AQ249" si="69">+(1+L248)^(-L2)</f>
        <v>0.99232455846022272</v>
      </c>
      <c r="M249" s="16">
        <f t="shared" si="69"/>
        <v>0.98548771733174045</v>
      </c>
      <c r="N249" s="16">
        <f>+(1+N248)^(-N2)</f>
        <v>0.97808887865833294</v>
      </c>
      <c r="O249" s="16">
        <f t="shared" si="69"/>
        <v>0.97033460311686892</v>
      </c>
      <c r="P249" s="16">
        <f t="shared" si="69"/>
        <v>0.96209381946189354</v>
      </c>
      <c r="Q249" s="16">
        <f t="shared" si="69"/>
        <v>0.95327649640079704</v>
      </c>
      <c r="R249" s="16">
        <f t="shared" si="69"/>
        <v>0.94382656487736694</v>
      </c>
      <c r="S249" s="16">
        <f t="shared" si="69"/>
        <v>0.93371583326189256</v>
      </c>
      <c r="T249" s="16">
        <f t="shared" si="69"/>
        <v>0.92293873048818009</v>
      </c>
      <c r="U249" s="16">
        <f t="shared" si="69"/>
        <v>0.91150775923026939</v>
      </c>
      <c r="V249" s="16">
        <f t="shared" si="69"/>
        <v>0.89944957103944223</v>
      </c>
      <c r="W249" s="16">
        <f t="shared" si="69"/>
        <v>0.8868015939376247</v>
      </c>
      <c r="X249" s="16">
        <f t="shared" si="69"/>
        <v>0.87360915438631592</v>
      </c>
      <c r="Y249" s="16">
        <f t="shared" si="69"/>
        <v>0.85992304260157482</v>
      </c>
      <c r="Z249" s="16">
        <f t="shared" si="69"/>
        <v>0.84579747471373279</v>
      </c>
      <c r="AA249" s="16">
        <f t="shared" si="69"/>
        <v>0.83128840846720131</v>
      </c>
      <c r="AB249" s="16">
        <f t="shared" si="69"/>
        <v>0.81645217175573614</v>
      </c>
      <c r="AC249" s="16">
        <f t="shared" si="69"/>
        <v>0.80134436571387979</v>
      </c>
      <c r="AD249" s="16">
        <f t="shared" si="69"/>
        <v>0.78601900655070411</v>
      </c>
      <c r="AE249" s="16">
        <f t="shared" si="69"/>
        <v>0.77052787289948643</v>
      </c>
      <c r="AF249" s="16">
        <f t="shared" si="69"/>
        <v>0.75492002816942338</v>
      </c>
      <c r="AG249" s="16">
        <f t="shared" si="69"/>
        <v>0.73924149018270524</v>
      </c>
      <c r="AH249" s="16">
        <f t="shared" si="69"/>
        <v>0.72353502320335739</v>
      </c>
      <c r="AI249" s="16">
        <f t="shared" si="69"/>
        <v>0.70784003025092279</v>
      </c>
      <c r="AJ249" s="16">
        <f t="shared" si="69"/>
        <v>0.69219252628552497</v>
      </c>
      <c r="AK249" s="16">
        <f t="shared" si="69"/>
        <v>0.67662517540458433</v>
      </c>
      <c r="AL249" s="16">
        <f t="shared" si="69"/>
        <v>0.66116737757079558</v>
      </c>
      <c r="AM249" s="16">
        <f t="shared" si="69"/>
        <v>0.64584539257295648</v>
      </c>
      <c r="AN249" s="16">
        <f t="shared" si="69"/>
        <v>0.6306824908937656</v>
      </c>
      <c r="AO249" s="16">
        <f t="shared" si="69"/>
        <v>0.61569912291836804</v>
      </c>
      <c r="AP249" s="16">
        <f t="shared" si="69"/>
        <v>0.60091309946812577</v>
      </c>
      <c r="AQ249" s="16">
        <f t="shared" si="69"/>
        <v>0.58633977799500925</v>
      </c>
      <c r="AR249" s="16">
        <f t="shared" ref="AR249:BW249" si="70">+(1+AR248)^(-AR2)</f>
        <v>0.57199224993605591</v>
      </c>
      <c r="AS249" s="16">
        <f t="shared" si="70"/>
        <v>0.55788152571967753</v>
      </c>
      <c r="AT249" s="16">
        <f t="shared" si="70"/>
        <v>0.54401671475287883</v>
      </c>
      <c r="AU249" s="16">
        <f t="shared" si="70"/>
        <v>0.53040519841725864</v>
      </c>
      <c r="AV249" s="16">
        <f t="shared" si="70"/>
        <v>0.51705279467873899</v>
      </c>
      <c r="AW249" s="16">
        <f t="shared" si="70"/>
        <v>0.50396391338688873</v>
      </c>
      <c r="AX249" s="16">
        <f t="shared" si="70"/>
        <v>0.4911417017193454</v>
      </c>
      <c r="AY249" s="16">
        <f t="shared" si="70"/>
        <v>0.47858817952834187</v>
      </c>
      <c r="AZ249" s="16">
        <f t="shared" si="70"/>
        <v>0.4663043645820949</v>
      </c>
      <c r="BA249" s="16">
        <f t="shared" si="70"/>
        <v>0.45429038787439785</v>
      </c>
      <c r="BB249" s="16">
        <f t="shared" si="70"/>
        <v>0.44254559931049814</v>
      </c>
      <c r="BC249" s="16">
        <f t="shared" si="70"/>
        <v>0.43106866417470491</v>
      </c>
      <c r="BD249" s="16">
        <f t="shared" si="70"/>
        <v>0.41985765085185667</v>
      </c>
      <c r="BE249" s="16">
        <f t="shared" si="70"/>
        <v>0.40891011031708296</v>
      </c>
      <c r="BF249" s="16">
        <f t="shared" si="70"/>
        <v>0.39822314793102764</v>
      </c>
      <c r="BG249" s="16">
        <f t="shared" si="70"/>
        <v>0.38779348808531322</v>
      </c>
      <c r="BH249" s="16">
        <f t="shared" si="70"/>
        <v>0.37761753223890976</v>
      </c>
      <c r="BI249" s="16">
        <f t="shared" si="70"/>
        <v>0.36769141087314883</v>
      </c>
      <c r="BJ249" s="16">
        <f t="shared" si="70"/>
        <v>0.35801102987388539</v>
      </c>
      <c r="BK249" s="16">
        <f t="shared" si="70"/>
        <v>0.34857211182545411</v>
      </c>
      <c r="BL249" s="16">
        <f t="shared" si="70"/>
        <v>0.33937023267437599</v>
      </c>
      <c r="BM249" s="16">
        <f t="shared" si="70"/>
        <v>0.33040085419226783</v>
      </c>
      <c r="BN249" s="16">
        <f t="shared" si="70"/>
        <v>0.32165935263816986</v>
      </c>
      <c r="BO249" s="16">
        <f t="shared" si="70"/>
        <v>0.31314104399117904</v>
      </c>
      <c r="BP249" s="16">
        <f t="shared" si="70"/>
        <v>0.3048412060954877</v>
      </c>
      <c r="BQ249" s="16">
        <f t="shared" si="70"/>
        <v>0.29675509803202421</v>
      </c>
      <c r="BR249" s="16">
        <f t="shared" si="70"/>
        <v>0.28887797700419193</v>
      </c>
      <c r="BS249" s="16">
        <f t="shared" si="70"/>
        <v>0.28120511299988371</v>
      </c>
      <c r="BT249" s="16">
        <f t="shared" si="70"/>
        <v>0.27373180146815596</v>
      </c>
      <c r="BU249" s="16">
        <f t="shared" si="70"/>
        <v>0.26645337422673415</v>
      </c>
      <c r="BV249" s="16">
        <f t="shared" si="70"/>
        <v>0.25936520879582631</v>
      </c>
      <c r="BW249" s="16">
        <f t="shared" si="70"/>
        <v>0.25246273633470739</v>
      </c>
      <c r="BX249" s="16">
        <f t="shared" ref="BX249:CK249" si="71">+(1+BX248)^(-BX2)</f>
        <v>0.24574144833996217</v>
      </c>
      <c r="BY249" s="16">
        <f t="shared" si="71"/>
        <v>0.23919690224819129</v>
      </c>
      <c r="BZ249" s="16">
        <f t="shared" si="71"/>
        <v>0.23282472607133251</v>
      </c>
      <c r="CA249" s="16">
        <f t="shared" si="71"/>
        <v>0.22662062217935525</v>
      </c>
      <c r="CB249" s="16">
        <f t="shared" si="71"/>
        <v>0.22058037033297662</v>
      </c>
      <c r="CC249" s="16">
        <f t="shared" si="71"/>
        <v>0.21469983005802756</v>
      </c>
      <c r="CD249" s="16">
        <f t="shared" si="71"/>
        <v>0.20897494244320555</v>
      </c>
      <c r="CE249" s="16">
        <f t="shared" si="71"/>
        <v>0.20340173143397397</v>
      </c>
      <c r="CF249" s="16">
        <f t="shared" si="71"/>
        <v>0.19797630468730451</v>
      </c>
      <c r="CG249" s="16">
        <f t="shared" si="71"/>
        <v>0.19269485404472234</v>
      </c>
      <c r="CH249" s="16">
        <f t="shared" si="71"/>
        <v>0.18755365567465584</v>
      </c>
      <c r="CI249" s="16">
        <f t="shared" si="71"/>
        <v>0.18254906992919592</v>
      </c>
      <c r="CJ249" s="16">
        <f t="shared" si="71"/>
        <v>0.17767754095524391</v>
      </c>
      <c r="CK249" s="16">
        <f t="shared" si="71"/>
        <v>0.17293559609535278</v>
      </c>
      <c r="CN249" s="9">
        <v>123</v>
      </c>
      <c r="CO249" s="17">
        <v>0.05</v>
      </c>
      <c r="CP249" s="17">
        <v>-1.424069551272408E-3</v>
      </c>
      <c r="CQ249" s="17">
        <v>-1.6160312397469618E-3</v>
      </c>
      <c r="CR249" s="17">
        <v>2.0341880447116137E-5</v>
      </c>
      <c r="CS249" s="17">
        <f t="shared" si="65"/>
        <v>4.6980241089427749E-2</v>
      </c>
    </row>
    <row r="250" spans="1:97" ht="15.75" x14ac:dyDescent="0.5">
      <c r="A250" s="50" t="s">
        <v>36</v>
      </c>
      <c r="B250" s="35">
        <v>0.05</v>
      </c>
      <c r="C250" s="36">
        <v>-4.6139503108037438E-2</v>
      </c>
      <c r="D250" s="39" t="s">
        <v>37</v>
      </c>
      <c r="E250" s="38" t="s">
        <v>37</v>
      </c>
      <c r="I250" s="18" t="s">
        <v>38</v>
      </c>
      <c r="J250" s="73" t="s">
        <v>39</v>
      </c>
      <c r="K250" s="73"/>
      <c r="L250" s="19"/>
      <c r="M250" s="19"/>
      <c r="N250" s="19">
        <f>L249/N249-1</f>
        <v>1.4554587126496266E-2</v>
      </c>
      <c r="O250" s="19">
        <f t="shared" ref="O250:AS250" si="72">M249/O249-1</f>
        <v>1.5616380335399027E-2</v>
      </c>
      <c r="P250" s="19">
        <f t="shared" si="72"/>
        <v>1.6625259276050075E-2</v>
      </c>
      <c r="Q250" s="19">
        <f t="shared" si="72"/>
        <v>1.7894185769266935E-2</v>
      </c>
      <c r="R250" s="19">
        <f t="shared" si="72"/>
        <v>1.93544611524048E-2</v>
      </c>
      <c r="S250" s="19">
        <f t="shared" si="72"/>
        <v>2.094926790581475E-2</v>
      </c>
      <c r="T250" s="19">
        <f t="shared" si="72"/>
        <v>2.2631875442195915E-2</v>
      </c>
      <c r="U250" s="19">
        <f t="shared" si="72"/>
        <v>2.4364108595605449E-2</v>
      </c>
      <c r="V250" s="19">
        <f t="shared" si="72"/>
        <v>2.6115037690876752E-2</v>
      </c>
      <c r="W250" s="19">
        <f t="shared" si="72"/>
        <v>2.7859856659642412E-2</v>
      </c>
      <c r="X250" s="19">
        <f t="shared" si="72"/>
        <v>2.9578921561643323E-2</v>
      </c>
      <c r="Y250" s="19">
        <f t="shared" si="72"/>
        <v>3.1256926497437165E-2</v>
      </c>
      <c r="Z250" s="19">
        <f t="shared" si="72"/>
        <v>3.2882197575721417E-2</v>
      </c>
      <c r="AA250" s="19">
        <f t="shared" si="72"/>
        <v>3.4446088556885357E-2</v>
      </c>
      <c r="AB250" s="19">
        <f t="shared" si="72"/>
        <v>3.5942464204475222E-2</v>
      </c>
      <c r="AC250" s="19">
        <f t="shared" si="72"/>
        <v>3.7367259363763949E-2</v>
      </c>
      <c r="AD250" s="19">
        <f t="shared" si="72"/>
        <v>3.8718103444574714E-2</v>
      </c>
      <c r="AE250" s="19">
        <f t="shared" si="72"/>
        <v>3.9994001383014677E-2</v>
      </c>
      <c r="AF250" s="19">
        <f t="shared" si="72"/>
        <v>4.1195063345572436E-2</v>
      </c>
      <c r="AG250" s="19">
        <f t="shared" si="72"/>
        <v>4.2322276458060637E-2</v>
      </c>
      <c r="AH250" s="19">
        <f t="shared" si="72"/>
        <v>4.3377312720969563E-2</v>
      </c>
      <c r="AI250" s="19">
        <f t="shared" si="72"/>
        <v>4.4362368034838173E-2</v>
      </c>
      <c r="AJ250" s="19">
        <f t="shared" si="72"/>
        <v>4.5280027922323773E-2</v>
      </c>
      <c r="AK250" s="19">
        <f t="shared" si="72"/>
        <v>4.613315611213209E-2</v>
      </c>
      <c r="AL250" s="19">
        <f t="shared" si="72"/>
        <v>4.6924802655447628E-2</v>
      </c>
      <c r="AM250" s="19">
        <f t="shared" si="72"/>
        <v>4.7658128687743107E-2</v>
      </c>
      <c r="AN250" s="19">
        <f t="shared" si="72"/>
        <v>4.833634533571507E-2</v>
      </c>
      <c r="AO250" s="19">
        <f t="shared" si="72"/>
        <v>4.89626646075072E-2</v>
      </c>
      <c r="AP250" s="19">
        <f t="shared" si="72"/>
        <v>4.9540260400362524E-2</v>
      </c>
      <c r="AQ250" s="19">
        <f t="shared" si="72"/>
        <v>5.0072238018292303E-2</v>
      </c>
      <c r="AR250" s="19">
        <f t="shared" si="72"/>
        <v>5.0561610817809077E-2</v>
      </c>
      <c r="AS250" s="19">
        <f t="shared" si="72"/>
        <v>5.1011282796324942E-2</v>
      </c>
      <c r="AT250" s="19">
        <f t="shared" ref="AT250:BY250" si="73">AR249/AT249-1</f>
        <v>5.1424036108679294E-2</v>
      </c>
      <c r="AU250" s="19">
        <f t="shared" si="73"/>
        <v>5.1802522645722382E-2</v>
      </c>
      <c r="AV250" s="19">
        <f t="shared" si="73"/>
        <v>5.2149258937655318E-2</v>
      </c>
      <c r="AW250" s="19">
        <f t="shared" si="73"/>
        <v>5.2466623756195707E-2</v>
      </c>
      <c r="AX250" s="19">
        <f t="shared" si="73"/>
        <v>5.2756857885791986E-2</v>
      </c>
      <c r="AY250" s="19">
        <f t="shared" si="73"/>
        <v>5.3022065617155834E-2</v>
      </c>
      <c r="AZ250" s="19">
        <f t="shared" si="73"/>
        <v>5.3264217587819296E-2</v>
      </c>
      <c r="BA250" s="19">
        <f t="shared" si="73"/>
        <v>5.3485154655444456E-2</v>
      </c>
      <c r="BB250" s="19">
        <f t="shared" si="73"/>
        <v>5.3686592542358857E-2</v>
      </c>
      <c r="BC250" s="19">
        <f t="shared" si="73"/>
        <v>5.3870127034521653E-2</v>
      </c>
      <c r="BD250" s="19">
        <f t="shared" si="73"/>
        <v>5.4037239556334216E-2</v>
      </c>
      <c r="BE250" s="19">
        <f t="shared" si="73"/>
        <v>5.4189302975266251E-2</v>
      </c>
      <c r="BF250" s="19">
        <f t="shared" si="73"/>
        <v>5.4327587517780662E-2</v>
      </c>
      <c r="BG250" s="19">
        <f t="shared" si="73"/>
        <v>5.4453266701384617E-2</v>
      </c>
      <c r="BH250" s="19">
        <f t="shared" si="73"/>
        <v>5.4567423207143806E-2</v>
      </c>
      <c r="BI250" s="19">
        <f t="shared" si="73"/>
        <v>5.4671054633635308E-2</v>
      </c>
      <c r="BJ250" s="19">
        <f t="shared" si="73"/>
        <v>5.4765079086895874E-2</v>
      </c>
      <c r="BK250" s="19">
        <f t="shared" si="73"/>
        <v>5.4850340572479839E-2</v>
      </c>
      <c r="BL250" s="19">
        <f t="shared" si="73"/>
        <v>5.4927614165250382E-2</v>
      </c>
      <c r="BM250" s="19">
        <f t="shared" si="73"/>
        <v>5.4997610940230812E-2</v>
      </c>
      <c r="BN250" s="19">
        <f t="shared" si="73"/>
        <v>5.5060982654307811E-2</v>
      </c>
      <c r="BO250" s="19">
        <f t="shared" si="73"/>
        <v>5.5118326173732024E-2</v>
      </c>
      <c r="BP250" s="19">
        <f t="shared" si="73"/>
        <v>5.5170187646528701E-2</v>
      </c>
      <c r="BQ250" s="19">
        <f t="shared" si="73"/>
        <v>5.521706642218005E-2</v>
      </c>
      <c r="BR250" s="19">
        <f t="shared" si="73"/>
        <v>5.5259418723581533E-2</v>
      </c>
      <c r="BS250" s="19">
        <f t="shared" si="73"/>
        <v>5.5297661078256954E-2</v>
      </c>
      <c r="BT250" s="19">
        <f t="shared" si="73"/>
        <v>5.5332173517288474E-2</v>
      </c>
      <c r="BU250" s="19">
        <f t="shared" si="73"/>
        <v>5.5363302551375559E-2</v>
      </c>
      <c r="BV250" s="19">
        <f t="shared" si="73"/>
        <v>5.53913639343937E-2</v>
      </c>
      <c r="BW250" s="19">
        <f t="shared" si="73"/>
        <v>5.541664522513301E-2</v>
      </c>
      <c r="BX250" s="19">
        <f t="shared" si="73"/>
        <v>5.5439408158028058E-2</v>
      </c>
      <c r="BY250" s="19">
        <f t="shared" si="73"/>
        <v>5.5459890834001824E-2</v>
      </c>
      <c r="BZ250" s="19">
        <f t="shared" ref="BZ250:CK250" si="74">BX249/BZ249-1</f>
        <v>5.5478309742206022E-2</v>
      </c>
      <c r="CA250" s="19">
        <f t="shared" si="74"/>
        <v>5.5494861623329061E-2</v>
      </c>
      <c r="CB250" s="19">
        <f t="shared" si="74"/>
        <v>5.5509725184849534E-2</v>
      </c>
      <c r="CC250" s="19">
        <f t="shared" si="74"/>
        <v>5.5523062678278778E-2</v>
      </c>
      <c r="CD250" s="19">
        <f t="shared" si="74"/>
        <v>5.5535021347954849E-2</v>
      </c>
      <c r="CE250" s="19">
        <f t="shared" si="74"/>
        <v>5.5545734760478416E-2</v>
      </c>
      <c r="CF250" s="19">
        <f t="shared" si="74"/>
        <v>5.5555324023614627E-2</v>
      </c>
      <c r="CG250" s="19">
        <f t="shared" si="74"/>
        <v>5.556389890290836E-2</v>
      </c>
      <c r="CH250" s="19">
        <f t="shared" si="74"/>
        <v>5.5571558843558577E-2</v>
      </c>
      <c r="CI250" s="19">
        <f t="shared" si="74"/>
        <v>5.5578393905055812E-2</v>
      </c>
      <c r="CJ250" s="19">
        <f t="shared" si="74"/>
        <v>5.5584485615431278E-2</v>
      </c>
      <c r="CK250" s="19">
        <f t="shared" si="74"/>
        <v>5.5589907751221412E-2</v>
      </c>
      <c r="CN250" s="9">
        <v>123.5</v>
      </c>
      <c r="CO250" s="17">
        <v>0.05</v>
      </c>
      <c r="CP250" s="17">
        <v>-1.4183040875021362E-3</v>
      </c>
      <c r="CQ250" s="17">
        <v>-1.6094886031508065E-3</v>
      </c>
      <c r="CR250" s="17">
        <v>2.0259524655832265E-5</v>
      </c>
      <c r="CS250" s="17">
        <f t="shared" si="65"/>
        <v>4.6992466834002891E-2</v>
      </c>
    </row>
    <row r="251" spans="1:97" ht="15.75" x14ac:dyDescent="0.5">
      <c r="A251" s="50" t="s">
        <v>40</v>
      </c>
      <c r="B251" s="35">
        <v>-0.05</v>
      </c>
      <c r="C251" s="36">
        <v>3.5371483339580803E-3</v>
      </c>
      <c r="D251" s="39">
        <v>8.391483739848546</v>
      </c>
      <c r="E251" s="38">
        <f ca="1">SQRT(SUMSQ(E3:E231)/COUNT(E3:E231))</f>
        <v>0.58249182345064199</v>
      </c>
      <c r="J251" s="74" t="s">
        <v>1220</v>
      </c>
      <c r="K251" s="73"/>
      <c r="N251" s="17">
        <f>[2]NSS!N250-N250</f>
        <v>3.8507625787416178E-3</v>
      </c>
      <c r="O251" s="17">
        <f>[2]NSS!O250-O250</f>
        <v>5.0934518589456079E-3</v>
      </c>
      <c r="P251" s="17">
        <f>[2]NSS!P250-P250</f>
        <v>5.8554488424598095E-3</v>
      </c>
      <c r="Q251" s="17">
        <f>[2]NSS!Q250-Q250</f>
        <v>6.2720590476241789E-3</v>
      </c>
      <c r="R251" s="17">
        <f>[2]NSS!R250-R250</f>
        <v>6.4152642156258821E-3</v>
      </c>
      <c r="S251" s="17">
        <f>[2]NSS!S250-S250</f>
        <v>6.3450579214971992E-3</v>
      </c>
      <c r="T251" s="17">
        <f>[2]NSS!T250-T250</f>
        <v>6.1112423475606636E-3</v>
      </c>
      <c r="U251" s="17">
        <f>[2]NSS!U250-U250</f>
        <v>5.754962366810723E-3</v>
      </c>
      <c r="V251" s="17">
        <f>[2]NSS!V250-V250</f>
        <v>5.3100180476521874E-3</v>
      </c>
      <c r="W251" s="17">
        <f>[2]NSS!W250-W250</f>
        <v>4.8039891067399587E-3</v>
      </c>
      <c r="X251" s="17">
        <f>[2]NSS!X250-X250</f>
        <v>4.2591989449864975E-3</v>
      </c>
      <c r="Y251" s="17">
        <f>[2]NSS!Y250-Y250</f>
        <v>3.6935412750209728E-3</v>
      </c>
      <c r="Z251" s="17">
        <f>[2]NSS!Z250-Z250</f>
        <v>3.1211886719215709E-3</v>
      </c>
      <c r="AA251" s="17">
        <f>[2]NSS!AA250-AA250</f>
        <v>2.5531994212770748E-3</v>
      </c>
      <c r="AB251" s="17">
        <f>[2]NSS!AB250-AB250</f>
        <v>1.9980366290166529E-3</v>
      </c>
      <c r="AC251" s="17">
        <f>[2]NSS!AC250-AC250</f>
        <v>1.4620115704622183E-3</v>
      </c>
      <c r="AD251" s="17">
        <f>[2]NSS!AD250-AD250</f>
        <v>9.4966159857734489E-4</v>
      </c>
      <c r="AE251" s="17">
        <f>[2]NSS!AE250-AE250</f>
        <v>4.6407153423277947E-4</v>
      </c>
      <c r="AF251" s="17">
        <f>[2]NSS!AF250-AF250</f>
        <v>7.1462729043236806E-6</v>
      </c>
      <c r="AG251" s="17">
        <f>[2]NSS!AG250-AG250</f>
        <v>-4.2015867650269101E-4</v>
      </c>
      <c r="AH251" s="17">
        <f>[2]NSS!AH250-AH250</f>
        <v>-8.1764288369390314E-4</v>
      </c>
      <c r="AI251" s="17">
        <f>[2]NSS!AI250-AI250</f>
        <v>-1.185697844790834E-3</v>
      </c>
      <c r="AJ251" s="17">
        <f>[2]NSS!AJ250-AJ250</f>
        <v>-1.5251705735164212E-3</v>
      </c>
      <c r="AK251" s="17">
        <f>[2]NSS!AK250-AK250</f>
        <v>-1.8372501016157283E-3</v>
      </c>
      <c r="AL251" s="17">
        <f>[2]NSS!AL250-AL250</f>
        <v>-2.1233735597716574E-3</v>
      </c>
      <c r="AM251" s="17">
        <f>[2]NSS!AM250-AM250</f>
        <v>-2.3851489521868885E-3</v>
      </c>
      <c r="AN251" s="17">
        <f>[2]NSS!AN250-AN250</f>
        <v>-2.6242921247694451E-3</v>
      </c>
      <c r="AO251" s="17">
        <f>[2]NSS!AO250-AO250</f>
        <v>-2.8425757651204808E-3</v>
      </c>
      <c r="AP251" s="17">
        <f>[2]NSS!AP250-AP250</f>
        <v>-3.0417885683711177E-3</v>
      </c>
      <c r="AQ251" s="17">
        <f>[2]NSS!AQ250-AQ250</f>
        <v>-3.2237029612536272E-3</v>
      </c>
      <c r="AR251" s="17">
        <f>[2]NSS!AR250-AR250</f>
        <v>-3.3900500020860314E-3</v>
      </c>
      <c r="AS251" s="17">
        <f>[2]NSS!AS250-AS250</f>
        <v>-3.5425002708999731E-3</v>
      </c>
      <c r="AT251" s="17">
        <f>[2]NSS!AT250-AT250</f>
        <v>-3.6826497346622578E-3</v>
      </c>
      <c r="AU251" s="17">
        <f>[2]NSS!AU250-AU250</f>
        <v>-3.8120097209419779E-3</v>
      </c>
      <c r="AV251" s="17">
        <f>[2]NSS!AV250-AV250</f>
        <v>-3.9320002620815142E-3</v>
      </c>
      <c r="AW251" s="17">
        <f>[2]NSS!AW250-AW250</f>
        <v>-4.0439461832522117E-3</v>
      </c>
      <c r="AX251" s="17">
        <f>[2]NSS!AX250-AX250</f>
        <v>-4.1490754039488209E-3</v>
      </c>
      <c r="AY251" s="17">
        <f>[2]NSS!AY250-AY250</f>
        <v>-4.2485190052992117E-3</v>
      </c>
      <c r="AZ251" s="17">
        <f>[2]NSS!AZ250-AZ250</f>
        <v>-4.3433126871381678E-3</v>
      </c>
      <c r="BA251" s="17">
        <f>[2]NSS!BA250-BA250</f>
        <v>-4.4343992998259196E-3</v>
      </c>
      <c r="BB251" s="17">
        <f>[2]NSS!BB250-BB250</f>
        <v>-4.5226321882785303E-3</v>
      </c>
      <c r="BC251" s="17">
        <f>[2]NSS!BC250-BC250</f>
        <v>-4.6087791305691184E-3</v>
      </c>
      <c r="BD251" s="17">
        <f>[2]NSS!BD250-BD250</f>
        <v>-4.693526691772032E-3</v>
      </c>
      <c r="BE251" s="17">
        <f>[2]NSS!BE250-BE250</f>
        <v>-4.7774848458927988E-3</v>
      </c>
      <c r="BF251" s="17">
        <f>[2]NSS!BF250-BF250</f>
        <v>-4.8611917466285792E-3</v>
      </c>
      <c r="BG251" s="17">
        <f>[2]NSS!BG250-BG250</f>
        <v>-4.9451185508095907E-3</v>
      </c>
      <c r="BH251" s="17">
        <f>[2]NSS!BH250-BH250</f>
        <v>-5.0296742179287701E-3</v>
      </c>
      <c r="BI251" s="17">
        <f>[2]NSS!BI250-BI250</f>
        <v>-5.1152102259168775E-3</v>
      </c>
      <c r="BJ251" s="17">
        <f>[2]NSS!BJ250-BJ250</f>
        <v>-5.2020251566471387E-3</v>
      </c>
      <c r="BK251" s="17">
        <f>[2]NSS!BK250-BK250</f>
        <v>-5.2903691166057421E-3</v>
      </c>
      <c r="BL251" s="17">
        <f>[2]NSS!BL250-BL250</f>
        <v>-5.3804479672798777E-3</v>
      </c>
      <c r="BM251" s="17">
        <f>[2]NSS!BM250-BM250</f>
        <v>-5.4724273477513297E-3</v>
      </c>
      <c r="BN251" s="17">
        <f>[2]NSS!BN250-BN250</f>
        <v>-5.5664364785130704E-3</v>
      </c>
      <c r="BO251" s="17">
        <f>[2]NSS!BO250-BO250</f>
        <v>-5.6625717404570342E-3</v>
      </c>
      <c r="BP251" s="17">
        <f>[2]NSS!BP250-BP250</f>
        <v>-5.7609000273932676E-3</v>
      </c>
      <c r="BQ251" s="17">
        <f>[2]NSS!BQ250-BQ250</f>
        <v>-5.8614618736059221E-3</v>
      </c>
      <c r="BR251" s="17">
        <f>[2]NSS!BR250-BR250</f>
        <v>-5.964274360620303E-3</v>
      </c>
      <c r="BS251" s="17">
        <f>[2]NSS!BS250-BS250</f>
        <v>-6.0693338093653626E-3</v>
      </c>
      <c r="BT251" s="17">
        <f>[2]NSS!BT250-BT250</f>
        <v>-6.1766182654243718E-3</v>
      </c>
      <c r="BU251" s="17">
        <f>[2]NSS!BU250-BU250</f>
        <v>-6.2860897860139708E-3</v>
      </c>
      <c r="BV251" s="17">
        <f>[2]NSS!BV250-BV250</f>
        <v>-6.3976965382415152E-3</v>
      </c>
      <c r="BW251" s="17">
        <f>[2]NSS!BW250-BW250</f>
        <v>-6.5113747187171001E-3</v>
      </c>
      <c r="BX251" s="17">
        <f>[2]NSS!BX250-BX250</f>
        <v>-6.627050304497395E-3</v>
      </c>
      <c r="BY251" s="17">
        <f>[2]NSS!BY250-BY250</f>
        <v>-6.7446406457791763E-3</v>
      </c>
      <c r="BZ251" s="17">
        <f>[2]NSS!BZ250-BZ250</f>
        <v>-6.8640559105892507E-3</v>
      </c>
      <c r="CA251" s="17">
        <f>[2]NSS!CA250-CA250</f>
        <v>-6.9852003912682648E-3</v>
      </c>
      <c r="CB251" s="17">
        <f>[2]NSS!CB250-CB250</f>
        <v>-7.1079736825923057E-3</v>
      </c>
      <c r="CC251" s="17">
        <f>[2]NSS!CC250-CC250</f>
        <v>-7.2322717409518678E-3</v>
      </c>
      <c r="CD251" s="17">
        <f>[2]NSS!CD250-CD250</f>
        <v>-7.3579878335017224E-3</v>
      </c>
      <c r="CE251" s="17">
        <f>[2]NSS!CE250-CE250</f>
        <v>-7.4850133857202739E-3</v>
      </c>
      <c r="CF251" s="17">
        <f>[2]NSS!CF250-CF250</f>
        <v>-7.6132387357283893E-3</v>
      </c>
      <c r="CG251" s="17">
        <f>[2]NSS!CG250-CG250</f>
        <v>-7.7425538029802787E-3</v>
      </c>
      <c r="CH251" s="17">
        <f>[2]NSS!CH250-CH250</f>
        <v>-7.872848678267097E-3</v>
      </c>
      <c r="CI251" s="17">
        <f>[2]NSS!CI250-CI250</f>
        <v>-8.0040141421873212E-3</v>
      </c>
      <c r="CJ251" s="17">
        <f>[2]NSS!CJ250-CJ250</f>
        <v>-8.1359421181441682E-3</v>
      </c>
      <c r="CK251" s="17">
        <f>[2]NSS!CK250-CK250</f>
        <v>-8.2685260657184845E-3</v>
      </c>
      <c r="CN251" s="9">
        <v>124</v>
      </c>
      <c r="CO251" s="17">
        <v>0.05</v>
      </c>
      <c r="CP251" s="17">
        <v>-1.4125851194074245E-3</v>
      </c>
      <c r="CQ251" s="17">
        <v>-1.6029987297527951E-3</v>
      </c>
      <c r="CR251" s="17">
        <v>2.0177833024155525E-5</v>
      </c>
      <c r="CS251" s="17">
        <f t="shared" si="65"/>
        <v>4.7004593983863939E-2</v>
      </c>
    </row>
    <row r="252" spans="1:97" ht="14.65" x14ac:dyDescent="0.45">
      <c r="A252" s="50" t="s">
        <v>41</v>
      </c>
      <c r="B252" s="40">
        <v>5</v>
      </c>
      <c r="C252" s="41">
        <v>4.3080620531561635</v>
      </c>
      <c r="D252" s="39" t="s">
        <v>42</v>
      </c>
      <c r="E252" s="38" t="s">
        <v>42</v>
      </c>
      <c r="J252" s="72" t="s">
        <v>1221</v>
      </c>
      <c r="K252" s="73"/>
      <c r="N252" s="19">
        <f>(((1+N248)^N2)/((1+L248)^L2))^(1/(N2-L2))-1</f>
        <v>1.4554587126496266E-2</v>
      </c>
      <c r="O252" s="19">
        <f t="shared" ref="O252:BZ252" si="75">(((1+O248)^O2)/((1+M248)^M2))^(1/(O2-M2))-1</f>
        <v>1.5616380335399027E-2</v>
      </c>
      <c r="P252" s="19">
        <f t="shared" si="75"/>
        <v>1.6625259276050297E-2</v>
      </c>
      <c r="Q252" s="19">
        <f t="shared" si="75"/>
        <v>1.7894185769266935E-2</v>
      </c>
      <c r="R252" s="19">
        <f t="shared" si="75"/>
        <v>1.93544611524048E-2</v>
      </c>
      <c r="S252" s="19">
        <f t="shared" si="75"/>
        <v>2.094926790581475E-2</v>
      </c>
      <c r="T252" s="19">
        <f t="shared" si="75"/>
        <v>2.2631875442195692E-2</v>
      </c>
      <c r="U252" s="19">
        <f t="shared" si="75"/>
        <v>2.4364108595605227E-2</v>
      </c>
      <c r="V252" s="19">
        <f t="shared" si="75"/>
        <v>2.611503769087653E-2</v>
      </c>
      <c r="W252" s="19">
        <f t="shared" si="75"/>
        <v>2.7859856659642634E-2</v>
      </c>
      <c r="X252" s="19">
        <f t="shared" si="75"/>
        <v>2.9578921561643323E-2</v>
      </c>
      <c r="Y252" s="19">
        <f t="shared" si="75"/>
        <v>3.1256926497436943E-2</v>
      </c>
      <c r="Z252" s="19">
        <f t="shared" si="75"/>
        <v>3.2882197575721195E-2</v>
      </c>
      <c r="AA252" s="19">
        <f t="shared" si="75"/>
        <v>3.4446088556885357E-2</v>
      </c>
      <c r="AB252" s="19">
        <f t="shared" si="75"/>
        <v>3.5942464204475222E-2</v>
      </c>
      <c r="AC252" s="19">
        <f t="shared" si="75"/>
        <v>3.7367259363763949E-2</v>
      </c>
      <c r="AD252" s="19">
        <f t="shared" si="75"/>
        <v>3.8718103444574714E-2</v>
      </c>
      <c r="AE252" s="19">
        <f t="shared" si="75"/>
        <v>3.9994001383014677E-2</v>
      </c>
      <c r="AF252" s="19">
        <f t="shared" si="75"/>
        <v>4.1195063345572436E-2</v>
      </c>
      <c r="AG252" s="19">
        <f t="shared" si="75"/>
        <v>4.2322276458060637E-2</v>
      </c>
      <c r="AH252" s="19">
        <f t="shared" si="75"/>
        <v>4.3377312720969563E-2</v>
      </c>
      <c r="AI252" s="19">
        <f t="shared" si="75"/>
        <v>4.4362368034838173E-2</v>
      </c>
      <c r="AJ252" s="19">
        <f t="shared" si="75"/>
        <v>4.5280027922323773E-2</v>
      </c>
      <c r="AK252" s="19">
        <f t="shared" si="75"/>
        <v>4.613315611213209E-2</v>
      </c>
      <c r="AL252" s="19">
        <f t="shared" si="75"/>
        <v>4.6924802655447628E-2</v>
      </c>
      <c r="AM252" s="19">
        <f t="shared" si="75"/>
        <v>4.7658128687743107E-2</v>
      </c>
      <c r="AN252" s="19">
        <f t="shared" si="75"/>
        <v>4.833634533571507E-2</v>
      </c>
      <c r="AO252" s="19">
        <f t="shared" si="75"/>
        <v>4.8962664607507422E-2</v>
      </c>
      <c r="AP252" s="19">
        <f t="shared" si="75"/>
        <v>4.9540260400362301E-2</v>
      </c>
      <c r="AQ252" s="19">
        <f t="shared" si="75"/>
        <v>5.0072238018292303E-2</v>
      </c>
      <c r="AR252" s="19">
        <f t="shared" si="75"/>
        <v>5.0561610817809077E-2</v>
      </c>
      <c r="AS252" s="19">
        <f t="shared" si="75"/>
        <v>5.1011282796324942E-2</v>
      </c>
      <c r="AT252" s="19">
        <f t="shared" si="75"/>
        <v>5.1424036108679072E-2</v>
      </c>
      <c r="AU252" s="19">
        <f t="shared" si="75"/>
        <v>5.1802522645722382E-2</v>
      </c>
      <c r="AV252" s="19">
        <f t="shared" si="75"/>
        <v>5.2149258937655318E-2</v>
      </c>
      <c r="AW252" s="19">
        <f t="shared" si="75"/>
        <v>5.2466623756195929E-2</v>
      </c>
      <c r="AX252" s="19">
        <f t="shared" si="75"/>
        <v>5.2756857885792208E-2</v>
      </c>
      <c r="AY252" s="19">
        <f t="shared" si="75"/>
        <v>5.3022065617155612E-2</v>
      </c>
      <c r="AZ252" s="19">
        <f t="shared" si="75"/>
        <v>5.3264217587819296E-2</v>
      </c>
      <c r="BA252" s="19">
        <f t="shared" si="75"/>
        <v>5.3485154655444456E-2</v>
      </c>
      <c r="BB252" s="19">
        <f t="shared" si="75"/>
        <v>5.368659254235908E-2</v>
      </c>
      <c r="BC252" s="19">
        <f t="shared" si="75"/>
        <v>5.3870127034521653E-2</v>
      </c>
      <c r="BD252" s="19">
        <f t="shared" si="75"/>
        <v>5.4037239556333994E-2</v>
      </c>
      <c r="BE252" s="19">
        <f t="shared" si="75"/>
        <v>5.4189302975266251E-2</v>
      </c>
      <c r="BF252" s="19">
        <f t="shared" si="75"/>
        <v>5.4327587517780662E-2</v>
      </c>
      <c r="BG252" s="19">
        <f t="shared" si="75"/>
        <v>5.4453266701384617E-2</v>
      </c>
      <c r="BH252" s="19">
        <f t="shared" si="75"/>
        <v>5.4567423207143806E-2</v>
      </c>
      <c r="BI252" s="19">
        <f t="shared" si="75"/>
        <v>5.4671054633635308E-2</v>
      </c>
      <c r="BJ252" s="19">
        <f t="shared" si="75"/>
        <v>5.4765079086895874E-2</v>
      </c>
      <c r="BK252" s="19">
        <f t="shared" si="75"/>
        <v>5.4850340572480061E-2</v>
      </c>
      <c r="BL252" s="19">
        <f t="shared" si="75"/>
        <v>5.4927614165250604E-2</v>
      </c>
      <c r="BM252" s="19">
        <f t="shared" si="75"/>
        <v>5.4997610940230812E-2</v>
      </c>
      <c r="BN252" s="19">
        <f t="shared" si="75"/>
        <v>5.5060982654307811E-2</v>
      </c>
      <c r="BO252" s="19">
        <f t="shared" si="75"/>
        <v>5.5118326173732024E-2</v>
      </c>
      <c r="BP252" s="19">
        <f t="shared" si="75"/>
        <v>5.5170187646528479E-2</v>
      </c>
      <c r="BQ252" s="19">
        <f t="shared" si="75"/>
        <v>5.521706642218005E-2</v>
      </c>
      <c r="BR252" s="19">
        <f t="shared" si="75"/>
        <v>5.5259418723581311E-2</v>
      </c>
      <c r="BS252" s="19">
        <f t="shared" si="75"/>
        <v>5.5297661078256732E-2</v>
      </c>
      <c r="BT252" s="19">
        <f t="shared" si="75"/>
        <v>5.5332173517288696E-2</v>
      </c>
      <c r="BU252" s="19">
        <f t="shared" si="75"/>
        <v>5.5363302551375559E-2</v>
      </c>
      <c r="BV252" s="19">
        <f t="shared" si="75"/>
        <v>5.53913639343937E-2</v>
      </c>
      <c r="BW252" s="19">
        <f t="shared" si="75"/>
        <v>5.5416645225132788E-2</v>
      </c>
      <c r="BX252" s="19">
        <f t="shared" si="75"/>
        <v>5.5439408158028058E-2</v>
      </c>
      <c r="BY252" s="19">
        <f t="shared" si="75"/>
        <v>5.5459890834001824E-2</v>
      </c>
      <c r="BZ252" s="19">
        <f t="shared" si="75"/>
        <v>5.5478309742206022E-2</v>
      </c>
      <c r="CA252" s="19">
        <f t="shared" ref="CA252:CK252" si="76">(((1+CA248)^CA2)/((1+BY248)^BY2))^(1/(CA2-BY2))-1</f>
        <v>5.5494861623329061E-2</v>
      </c>
      <c r="CB252" s="19">
        <f t="shared" si="76"/>
        <v>5.5509725184849756E-2</v>
      </c>
      <c r="CC252" s="19">
        <f t="shared" si="76"/>
        <v>5.5523062678278778E-2</v>
      </c>
      <c r="CD252" s="19">
        <f t="shared" si="76"/>
        <v>5.5535021347954849E-2</v>
      </c>
      <c r="CE252" s="19">
        <f t="shared" si="76"/>
        <v>5.5545734760478416E-2</v>
      </c>
      <c r="CF252" s="19">
        <f t="shared" si="76"/>
        <v>5.5555324023614627E-2</v>
      </c>
      <c r="CG252" s="19">
        <f t="shared" si="76"/>
        <v>5.556389890290836E-2</v>
      </c>
      <c r="CH252" s="19">
        <f t="shared" si="76"/>
        <v>5.5571558843558577E-2</v>
      </c>
      <c r="CI252" s="19">
        <f t="shared" si="76"/>
        <v>5.5578393905055812E-2</v>
      </c>
      <c r="CJ252" s="19">
        <f t="shared" si="76"/>
        <v>5.5584485615431278E-2</v>
      </c>
      <c r="CK252" s="19">
        <f t="shared" si="76"/>
        <v>5.558990775122119E-2</v>
      </c>
      <c r="CN252" s="9">
        <v>124.5</v>
      </c>
      <c r="CO252" s="17">
        <v>0.05</v>
      </c>
      <c r="CP252" s="17">
        <v>-1.4069120867994112E-3</v>
      </c>
      <c r="CQ252" s="17">
        <v>-1.5965609838517673E-3</v>
      </c>
      <c r="CR252" s="17">
        <v>2.0096797550162931E-5</v>
      </c>
      <c r="CS252" s="17">
        <f t="shared" si="65"/>
        <v>4.7016623726898986E-2</v>
      </c>
    </row>
    <row r="253" spans="1:97" ht="14.65" x14ac:dyDescent="0.45">
      <c r="A253" s="50" t="s">
        <v>43</v>
      </c>
      <c r="B253" s="40">
        <v>10</v>
      </c>
      <c r="C253" s="41">
        <v>0.70736397198120371</v>
      </c>
      <c r="D253" s="39">
        <v>6334.9423232340532</v>
      </c>
      <c r="E253" s="38">
        <f ca="1">SQRT(SUMSQ(I3:I236)/COUNT(I3:I236))*1000000</f>
        <v>965.57700230822468</v>
      </c>
      <c r="AY253" s="17"/>
      <c r="CN253" s="9">
        <v>125</v>
      </c>
      <c r="CO253" s="17">
        <v>0.05</v>
      </c>
      <c r="CP253" s="17">
        <v>-1.4012844384522567E-3</v>
      </c>
      <c r="CQ253" s="17">
        <v>-1.5901747399177798E-3</v>
      </c>
      <c r="CR253" s="17">
        <v>2.0016410359962281E-5</v>
      </c>
      <c r="CS253" s="17">
        <f t="shared" si="65"/>
        <v>4.7028557231989926E-2</v>
      </c>
    </row>
    <row r="254" spans="1:97" x14ac:dyDescent="0.45">
      <c r="E254" s="38" t="s">
        <v>1223</v>
      </c>
      <c r="CN254" s="9">
        <v>125.5</v>
      </c>
      <c r="CO254" s="17">
        <v>0.05</v>
      </c>
      <c r="CP254" s="17">
        <v>-1.3957016319245967E-3</v>
      </c>
      <c r="CQ254" s="17">
        <v>-1.5838393823894908E-3</v>
      </c>
      <c r="CR254" s="17">
        <v>1.9936663705141712E-5</v>
      </c>
      <c r="CS254" s="17">
        <f t="shared" si="65"/>
        <v>4.704039564939106E-2</v>
      </c>
    </row>
    <row r="255" spans="1:97" x14ac:dyDescent="0.45">
      <c r="E255" s="38" cm="1">
        <f t="array" aca="1" ref="E255" ca="1">AVERAGE(ABS(G3:G66-H3:H66))*1000000</f>
        <v>709.05419125588674</v>
      </c>
      <c r="CN255" s="9">
        <v>126</v>
      </c>
      <c r="CO255" s="17">
        <v>0.05</v>
      </c>
      <c r="CP255" s="17">
        <v>-1.3901631333852473E-3</v>
      </c>
      <c r="CQ255" s="17">
        <v>-1.5775543054763724E-3</v>
      </c>
      <c r="CR255" s="17">
        <v>1.9857549960280041E-5</v>
      </c>
      <c r="CS255" s="17">
        <f t="shared" si="65"/>
        <v>4.7052140111098657E-2</v>
      </c>
    </row>
    <row r="256" spans="1:97" x14ac:dyDescent="0.45">
      <c r="CN256" s="9">
        <v>126.5</v>
      </c>
      <c r="CO256" s="17">
        <v>0.05</v>
      </c>
      <c r="CP256" s="17">
        <v>-1.3846684174430434E-3</v>
      </c>
      <c r="CQ256" s="17">
        <v>-1.5713189129656102E-3</v>
      </c>
      <c r="CR256" s="17">
        <v>1.9779061620516088E-5</v>
      </c>
      <c r="CS256" s="17">
        <f t="shared" si="65"/>
        <v>4.7063791731211869E-2</v>
      </c>
    </row>
    <row r="257" spans="92:97" x14ac:dyDescent="0.45">
      <c r="CN257" s="9">
        <v>127</v>
      </c>
      <c r="CO257" s="17">
        <v>0.05</v>
      </c>
      <c r="CP257" s="17">
        <v>-1.379216966980696E-3</v>
      </c>
      <c r="CQ257" s="17">
        <v>-1.5651326180335669E-3</v>
      </c>
      <c r="CR257" s="17">
        <v>1.9701191299175472E-5</v>
      </c>
      <c r="CS257" s="17">
        <f t="shared" si="65"/>
        <v>4.7075351606284919E-2</v>
      </c>
    </row>
    <row r="258" spans="92:97" x14ac:dyDescent="0.45">
      <c r="CN258" s="9">
        <v>127.5</v>
      </c>
      <c r="CO258" s="17">
        <v>0.05</v>
      </c>
      <c r="CP258" s="17">
        <v>-1.37380827299256E-3</v>
      </c>
      <c r="CQ258" s="17">
        <v>-1.5589948430616808E-3</v>
      </c>
      <c r="CR258" s="17">
        <v>1.9623931725453214E-5</v>
      </c>
      <c r="CS258" s="17">
        <f t="shared" si="65"/>
        <v>4.7086820815671206E-2</v>
      </c>
    </row>
    <row r="259" spans="92:97" x14ac:dyDescent="0.45">
      <c r="CN259" s="9">
        <v>128</v>
      </c>
      <c r="CO259" s="17">
        <v>0.05</v>
      </c>
      <c r="CP259" s="17">
        <v>-1.3684418344262039E-3</v>
      </c>
      <c r="CQ259" s="17">
        <v>-1.5529050194566789E-3</v>
      </c>
      <c r="CR259" s="17">
        <v>1.9547275742150665E-5</v>
      </c>
      <c r="CS259" s="17">
        <f t="shared" si="65"/>
        <v>4.709820042185927E-2</v>
      </c>
    </row>
    <row r="260" spans="92:97" x14ac:dyDescent="0.45">
      <c r="CN260" s="9">
        <v>128.5</v>
      </c>
      <c r="CO260" s="17">
        <v>0.05</v>
      </c>
      <c r="CP260" s="17">
        <v>-1.3631171580276769E-3</v>
      </c>
      <c r="CQ260" s="17">
        <v>-1.5468625874749868E-3</v>
      </c>
      <c r="CR260" s="17">
        <v>1.9471216303465252E-5</v>
      </c>
      <c r="CS260" s="17">
        <f t="shared" ref="CS260:CS323" si="77">SUM(CO260:CR260)</f>
        <v>4.7109491470800804E-2</v>
      </c>
    </row>
    <row r="261" spans="92:97" x14ac:dyDescent="0.45">
      <c r="CN261" s="9">
        <v>129</v>
      </c>
      <c r="CO261" s="17">
        <v>0.05</v>
      </c>
      <c r="CP261" s="17">
        <v>-1.3578337581903769E-3</v>
      </c>
      <c r="CQ261" s="17">
        <v>-1.5408669960512258E-3</v>
      </c>
      <c r="CR261" s="17">
        <v>1.9395746472831664E-5</v>
      </c>
      <c r="CS261" s="17">
        <f t="shared" si="77"/>
        <v>4.7120694992231239E-2</v>
      </c>
    </row>
    <row r="262" spans="92:97" x14ac:dyDescent="0.45">
      <c r="CN262" s="9">
        <v>129.5</v>
      </c>
      <c r="CO262" s="17">
        <v>0.05</v>
      </c>
      <c r="CP262" s="17">
        <v>-1.3525911568074171E-3</v>
      </c>
      <c r="CQ262" s="17">
        <v>-1.5349177026306783E-3</v>
      </c>
      <c r="CR262" s="17">
        <v>1.932085942081301E-5</v>
      </c>
      <c r="CS262" s="17">
        <f t="shared" si="77"/>
        <v>4.7131811999982724E-2</v>
      </c>
    </row>
    <row r="263" spans="92:97" x14ac:dyDescent="0.45">
      <c r="CN263" s="9">
        <v>130</v>
      </c>
      <c r="CO263" s="17">
        <v>0.05</v>
      </c>
      <c r="CP263" s="17">
        <v>-1.3473888831274016E-3</v>
      </c>
      <c r="CQ263" s="17">
        <v>-1.52901417300562E-3</v>
      </c>
      <c r="CR263" s="17">
        <v>1.9246548423040652E-5</v>
      </c>
      <c r="CS263" s="17">
        <f t="shared" si="77"/>
        <v>4.7142843492290025E-2</v>
      </c>
    </row>
    <row r="264" spans="92:97" x14ac:dyDescent="0.45">
      <c r="CN264" s="9">
        <v>130.5</v>
      </c>
      <c r="CO264" s="17">
        <v>0.05</v>
      </c>
      <c r="CP264" s="17">
        <v>-1.3422264736135151E-3</v>
      </c>
      <c r="CQ264" s="17">
        <v>-1.5231558811554201E-3</v>
      </c>
      <c r="CR264" s="17">
        <v>1.9172806858201416E-5</v>
      </c>
      <c r="CS264" s="17">
        <f t="shared" si="77"/>
        <v>4.715379045208927E-2</v>
      </c>
    </row>
    <row r="265" spans="92:97" x14ac:dyDescent="0.45">
      <c r="CN265" s="9">
        <v>131</v>
      </c>
      <c r="CO265" s="17">
        <v>0.05</v>
      </c>
      <c r="CP265" s="17">
        <v>-1.3371034718058403E-3</v>
      </c>
      <c r="CQ265" s="17">
        <v>-1.517342309090294E-3</v>
      </c>
      <c r="CR265" s="17">
        <v>1.9099628206070877E-5</v>
      </c>
      <c r="CS265" s="17">
        <f t="shared" si="77"/>
        <v>4.7164653847309938E-2</v>
      </c>
    </row>
    <row r="266" spans="92:97" x14ac:dyDescent="0.45">
      <c r="CN266" s="9">
        <v>131.5</v>
      </c>
      <c r="CO266" s="17">
        <v>0.05</v>
      </c>
      <c r="CP266" s="17">
        <v>-1.3320194281868155E-3</v>
      </c>
      <c r="CQ266" s="17">
        <v>-1.5115729466986297E-3</v>
      </c>
      <c r="CR266" s="17">
        <v>1.902700604559152E-5</v>
      </c>
      <c r="CS266" s="17">
        <f t="shared" si="77"/>
        <v>4.7175434631160147E-2</v>
      </c>
    </row>
    <row r="267" spans="92:97" x14ac:dyDescent="0.45">
      <c r="CN267" s="9">
        <v>132</v>
      </c>
      <c r="CO267" s="17">
        <v>0.05</v>
      </c>
      <c r="CP267" s="17">
        <v>-1.3269739000497523E-3</v>
      </c>
      <c r="CQ267" s="17">
        <v>-1.5058472915977781E-3</v>
      </c>
      <c r="CR267" s="17">
        <v>1.8954934052994579E-5</v>
      </c>
      <c r="CS267" s="17">
        <f t="shared" si="77"/>
        <v>4.7186133742405469E-2</v>
      </c>
    </row>
    <row r="268" spans="92:97" x14ac:dyDescent="0.45">
      <c r="CN268" s="9">
        <v>132.5</v>
      </c>
      <c r="CO268" s="17">
        <v>0.05</v>
      </c>
      <c r="CP268" s="17">
        <v>-1.3219664513703263E-3</v>
      </c>
      <c r="CQ268" s="17">
        <v>-1.5001648489882241E-3</v>
      </c>
      <c r="CR268" s="17">
        <v>1.8883405999964414E-5</v>
      </c>
      <c r="CS268" s="17">
        <f t="shared" si="77"/>
        <v>4.7196752105641421E-2</v>
      </c>
    </row>
    <row r="269" spans="92:97" x14ac:dyDescent="0.45">
      <c r="CN269" s="9">
        <v>133</v>
      </c>
      <c r="CO269" s="17">
        <v>0.05</v>
      </c>
      <c r="CP269" s="17">
        <v>-1.3169966526809706E-3</v>
      </c>
      <c r="CQ269" s="17">
        <v>-1.4945251315110462E-3</v>
      </c>
      <c r="CR269" s="17">
        <v>1.8812415751844246E-5</v>
      </c>
      <c r="CS269" s="17">
        <f t="shared" si="77"/>
        <v>4.7207290631559824E-2</v>
      </c>
    </row>
    <row r="270" spans="92:97" x14ac:dyDescent="0.45">
      <c r="CN270" s="9">
        <v>133.5</v>
      </c>
      <c r="CO270" s="17">
        <v>0.05</v>
      </c>
      <c r="CP270" s="17">
        <v>-1.3120640809480889E-3</v>
      </c>
      <c r="CQ270" s="17">
        <v>-1.4889276591085806E-3</v>
      </c>
      <c r="CR270" s="17">
        <v>1.8741957265882284E-5</v>
      </c>
      <c r="CS270" s="17">
        <f t="shared" si="77"/>
        <v>4.7217750217209212E-2</v>
      </c>
    </row>
    <row r="271" spans="92:97" x14ac:dyDescent="0.45">
      <c r="CN271" s="9">
        <v>134</v>
      </c>
      <c r="CO271" s="17">
        <v>0.05</v>
      </c>
      <c r="CP271" s="17">
        <v>-1.3071683194520187E-3</v>
      </c>
      <c r="CQ271" s="17">
        <v>-1.483371958888202E-3</v>
      </c>
      <c r="CR271" s="17">
        <v>1.8672024589517051E-5</v>
      </c>
      <c r="CS271" s="17">
        <f t="shared" si="77"/>
        <v>4.7228131746249298E-2</v>
      </c>
    </row>
    <row r="272" spans="92:97" x14ac:dyDescent="0.45">
      <c r="CN272" s="9">
        <v>134.5</v>
      </c>
      <c r="CO272" s="17">
        <v>0.05</v>
      </c>
      <c r="CP272" s="17">
        <v>-1.3023089576696737E-3</v>
      </c>
      <c r="CQ272" s="17">
        <v>-1.4778575649891459E-3</v>
      </c>
      <c r="CR272" s="17">
        <v>1.8602611858701003E-5</v>
      </c>
      <c r="CS272" s="17">
        <f t="shared" si="77"/>
        <v>4.7238436089199885E-2</v>
      </c>
    </row>
    <row r="273" spans="92:97" x14ac:dyDescent="0.45">
      <c r="CN273" s="9">
        <v>135</v>
      </c>
      <c r="CO273" s="17">
        <v>0.05</v>
      </c>
      <c r="CP273" s="17">
        <v>-1.2974855911597901E-3</v>
      </c>
      <c r="CQ273" s="17">
        <v>-1.4723840184522885E-3</v>
      </c>
      <c r="CR273" s="17">
        <v>1.8533713296261372E-5</v>
      </c>
      <c r="CS273" s="17">
        <f t="shared" si="77"/>
        <v>4.7248664103684189E-2</v>
      </c>
    </row>
    <row r="274" spans="92:97" x14ac:dyDescent="0.45">
      <c r="CN274" s="9">
        <v>135.5</v>
      </c>
      <c r="CO274" s="17">
        <v>0.05</v>
      </c>
      <c r="CP274" s="17">
        <v>-1.2926978214507169E-3</v>
      </c>
      <c r="CQ274" s="17">
        <v>-1.4669508670928099E-3</v>
      </c>
      <c r="CR274" s="17">
        <v>1.8465323210297305E-5</v>
      </c>
      <c r="CS274" s="17">
        <f t="shared" si="77"/>
        <v>4.7258816634666773E-2</v>
      </c>
    </row>
    <row r="275" spans="92:97" x14ac:dyDescent="0.45">
      <c r="CN275" s="9">
        <v>136</v>
      </c>
      <c r="CO275" s="17">
        <v>0.05</v>
      </c>
      <c r="CP275" s="17">
        <v>-1.2879452559306807E-3</v>
      </c>
      <c r="CQ275" s="17">
        <v>-1.4615576653756674E-3</v>
      </c>
      <c r="CR275" s="17">
        <v>1.8397435992612388E-5</v>
      </c>
      <c r="CS275" s="17">
        <f t="shared" si="77"/>
        <v>4.7268894514686272E-2</v>
      </c>
    </row>
    <row r="276" spans="92:97" x14ac:dyDescent="0.45">
      <c r="CN276" s="9">
        <v>136.5</v>
      </c>
      <c r="CO276" s="17">
        <v>0.05</v>
      </c>
      <c r="CP276" s="17">
        <v>-1.2832275077404613E-3</v>
      </c>
      <c r="CQ276" s="17">
        <v>-1.4562039742938039E-3</v>
      </c>
      <c r="CR276" s="17">
        <v>1.8330046117181575E-5</v>
      </c>
      <c r="CS276" s="17">
        <f t="shared" si="77"/>
        <v>4.7278898564082926E-2</v>
      </c>
    </row>
    <row r="277" spans="92:97" x14ac:dyDescent="0.45">
      <c r="CN277" s="9">
        <v>137</v>
      </c>
      <c r="CO277" s="17">
        <v>0.05</v>
      </c>
      <c r="CP277" s="17">
        <v>-1.278544195668418E-3</v>
      </c>
      <c r="CQ277" s="17">
        <v>-1.4508893612490237E-3</v>
      </c>
      <c r="CR277" s="17">
        <v>1.8263148138651717E-5</v>
      </c>
      <c r="CS277" s="17">
        <f t="shared" si="77"/>
        <v>4.7288829591221215E-2</v>
      </c>
    </row>
    <row r="278" spans="92:97" x14ac:dyDescent="0.45">
      <c r="CN278" s="9">
        <v>137.5</v>
      </c>
      <c r="CO278" s="17">
        <v>0.05</v>
      </c>
      <c r="CP278" s="17">
        <v>-1.2738949440478076E-3</v>
      </c>
      <c r="CQ278" s="17">
        <v>-1.4456133999354687E-3</v>
      </c>
      <c r="CR278" s="17">
        <v>1.81967366908748E-5</v>
      </c>
      <c r="CS278" s="17">
        <f t="shared" si="77"/>
        <v>4.7298688392707594E-2</v>
      </c>
    </row>
    <row r="279" spans="92:97" x14ac:dyDescent="0.45">
      <c r="CN279" s="9">
        <v>138</v>
      </c>
      <c r="CO279" s="17">
        <v>0.05</v>
      </c>
      <c r="CP279" s="17">
        <v>-1.2692793826563321E-3</v>
      </c>
      <c r="CQ279" s="17">
        <v>-1.4403756702256268E-3</v>
      </c>
      <c r="CR279" s="17">
        <v>1.813080648547308E-5</v>
      </c>
      <c r="CS279" s="17">
        <f t="shared" si="77"/>
        <v>4.7308475753603516E-2</v>
      </c>
    </row>
    <row r="280" spans="92:97" x14ac:dyDescent="0.45">
      <c r="CN280" s="9">
        <v>138.5</v>
      </c>
      <c r="CO280" s="17">
        <v>0.05</v>
      </c>
      <c r="CP280" s="17">
        <v>-1.2646971466178632E-3</v>
      </c>
      <c r="CQ280" s="17">
        <v>-1.4351757580588092E-3</v>
      </c>
      <c r="CR280" s="17">
        <v>1.8065352310435271E-5</v>
      </c>
      <c r="CS280" s="17">
        <f t="shared" si="77"/>
        <v>4.7318192447633765E-2</v>
      </c>
    </row>
    <row r="281" spans="92:97" x14ac:dyDescent="0.45">
      <c r="CN281" s="9">
        <v>139</v>
      </c>
      <c r="CO281" s="17">
        <v>0.05</v>
      </c>
      <c r="CP281" s="17">
        <v>-1.2601478763062898E-3</v>
      </c>
      <c r="CQ281" s="17">
        <v>-1.4300132553320339E-3</v>
      </c>
      <c r="CR281" s="17">
        <v>1.800036902874306E-5</v>
      </c>
      <c r="CS281" s="17">
        <f t="shared" si="77"/>
        <v>4.7327839237390423E-2</v>
      </c>
    </row>
    <row r="282" spans="92:97" x14ac:dyDescent="0.45">
      <c r="CN282" s="9">
        <v>139.5</v>
      </c>
      <c r="CO282" s="17">
        <v>0.05</v>
      </c>
      <c r="CP282" s="17">
        <v>-1.2556312172514296E-3</v>
      </c>
      <c r="CQ282" s="17">
        <v>-1.4248877597932586E-3</v>
      </c>
      <c r="CR282" s="17">
        <v>1.7935851577027133E-5</v>
      </c>
      <c r="CS282" s="17">
        <f t="shared" si="77"/>
        <v>4.7337416874532343E-2</v>
      </c>
    </row>
    <row r="283" spans="92:97" x14ac:dyDescent="0.45">
      <c r="CN283" s="9">
        <v>140</v>
      </c>
      <c r="CO283" s="17">
        <v>0.05</v>
      </c>
      <c r="CP283" s="17">
        <v>-1.2511468200469616E-3</v>
      </c>
      <c r="CQ283" s="17">
        <v>-1.4197988749368978E-3</v>
      </c>
      <c r="CR283" s="17">
        <v>1.7871794964252035E-5</v>
      </c>
      <c r="CS283" s="17">
        <f t="shared" si="77"/>
        <v>4.734692609998039E-2</v>
      </c>
    </row>
    <row r="284" spans="92:97" x14ac:dyDescent="0.45">
      <c r="CN284" s="9">
        <v>140.5</v>
      </c>
      <c r="CO284" s="17">
        <v>0.05</v>
      </c>
      <c r="CP284" s="17">
        <v>-1.2466943402603186E-3</v>
      </c>
      <c r="CQ284" s="17">
        <v>-1.4147462099015739E-3</v>
      </c>
      <c r="CR284" s="17">
        <v>1.7808194270429075E-5</v>
      </c>
      <c r="CS284" s="17">
        <f t="shared" si="77"/>
        <v>4.7356367644108534E-2</v>
      </c>
    </row>
    <row r="285" spans="92:97" x14ac:dyDescent="0.45">
      <c r="CN285" s="9">
        <v>141</v>
      </c>
      <c r="CO285" s="17">
        <v>0.05</v>
      </c>
      <c r="CP285" s="17">
        <v>-1.2422734383445027E-3</v>
      </c>
      <c r="CQ285" s="17">
        <v>-1.4097293793700427E-3</v>
      </c>
      <c r="CR285" s="17">
        <v>1.7745044645356629E-5</v>
      </c>
      <c r="CS285" s="17">
        <f t="shared" si="77"/>
        <v>4.7365742226930817E-2</v>
      </c>
    </row>
    <row r="286" spans="92:97" x14ac:dyDescent="0.45">
      <c r="CN286" s="9">
        <v>141.5</v>
      </c>
      <c r="CO286" s="17">
        <v>0.05</v>
      </c>
      <c r="CP286" s="17">
        <v>-1.2378837795517668E-3</v>
      </c>
      <c r="CQ286" s="17">
        <v>-1.4047480034712395E-3</v>
      </c>
      <c r="CR286" s="17">
        <v>1.7682341307387173E-5</v>
      </c>
      <c r="CS286" s="17">
        <f t="shared" si="77"/>
        <v>4.7375050558284386E-2</v>
      </c>
    </row>
    <row r="287" spans="92:97" x14ac:dyDescent="0.45">
      <c r="CN287" s="9">
        <v>142</v>
      </c>
      <c r="CO287" s="17">
        <v>0.05</v>
      </c>
      <c r="CP287" s="17">
        <v>-1.2335250338491204E-3</v>
      </c>
      <c r="CQ287" s="17">
        <v>-1.3998017076843961E-3</v>
      </c>
      <c r="CR287" s="17">
        <v>1.7620079542220318E-5</v>
      </c>
      <c r="CS287" s="17">
        <f t="shared" si="77"/>
        <v>4.7384293338008712E-2</v>
      </c>
    </row>
    <row r="288" spans="92:97" x14ac:dyDescent="0.45">
      <c r="CN288" s="9">
        <v>142.5</v>
      </c>
      <c r="CO288" s="17">
        <v>0.05</v>
      </c>
      <c r="CP288" s="17">
        <v>-1.2291968758356155E-3</v>
      </c>
      <c r="CQ288" s="17">
        <v>-1.3948901227451771E-3</v>
      </c>
      <c r="CR288" s="17">
        <v>1.7558254701721299E-5</v>
      </c>
      <c r="CS288" s="17">
        <f t="shared" si="77"/>
        <v>4.739347125612093E-2</v>
      </c>
    </row>
    <row r="289" spans="92:97" x14ac:dyDescent="0.45">
      <c r="CN289" s="9">
        <v>143</v>
      </c>
      <c r="CO289" s="17">
        <v>0.05</v>
      </c>
      <c r="CP289" s="17">
        <v>-1.2248989846613656E-3</v>
      </c>
      <c r="CQ289" s="17">
        <v>-1.3900128845537821E-3</v>
      </c>
      <c r="CR289" s="17">
        <v>1.7496862202764229E-5</v>
      </c>
      <c r="CS289" s="17">
        <f t="shared" si="77"/>
        <v>4.740258499298762E-2</v>
      </c>
    </row>
    <row r="290" spans="92:97" x14ac:dyDescent="0.45">
      <c r="CN290" s="9">
        <v>143.5</v>
      </c>
      <c r="CO290" s="17">
        <v>0.05</v>
      </c>
      <c r="CP290" s="17">
        <v>-1.2206310439482604E-3</v>
      </c>
      <c r="CQ290" s="17">
        <v>-1.385169634084973E-3</v>
      </c>
      <c r="CR290" s="17">
        <v>1.7435897526099545E-5</v>
      </c>
      <c r="CS290" s="17">
        <f t="shared" si="77"/>
        <v>4.7411635219492869E-2</v>
      </c>
    </row>
    <row r="291" spans="92:97" x14ac:dyDescent="0.45">
      <c r="CN291" s="9">
        <v>144</v>
      </c>
      <c r="CO291" s="17">
        <v>0.05</v>
      </c>
      <c r="CP291" s="17">
        <v>-1.2163927417123293E-3</v>
      </c>
      <c r="CQ291" s="17">
        <v>-1.3803600172999733E-3</v>
      </c>
      <c r="CR291" s="17">
        <v>1.7375356215245034E-5</v>
      </c>
      <c r="CS291" s="17">
        <f t="shared" si="77"/>
        <v>4.7420622597202949E-2</v>
      </c>
    </row>
    <row r="292" spans="92:97" x14ac:dyDescent="0.45">
      <c r="CN292" s="9">
        <v>144.5</v>
      </c>
      <c r="CO292" s="17">
        <v>0.05</v>
      </c>
      <c r="CP292" s="17">
        <v>-1.2121837702877196E-3</v>
      </c>
      <c r="CQ292" s="17">
        <v>-1.3755836850601964E-3</v>
      </c>
      <c r="CR292" s="17">
        <v>1.7315233875399894E-5</v>
      </c>
      <c r="CS292" s="17">
        <f t="shared" si="77"/>
        <v>4.7429547778527488E-2</v>
      </c>
    </row>
    <row r="293" spans="92:97" x14ac:dyDescent="0.45">
      <c r="CN293" s="9">
        <v>145</v>
      </c>
      <c r="CO293" s="17">
        <v>0.05</v>
      </c>
      <c r="CP293" s="17">
        <v>-1.208003826252245E-3</v>
      </c>
      <c r="CQ293" s="17">
        <v>-1.3708402930427608E-3</v>
      </c>
      <c r="CR293" s="17">
        <v>1.7255526172381276E-5</v>
      </c>
      <c r="CS293" s="17">
        <f t="shared" si="77"/>
        <v>4.7438411406877379E-2</v>
      </c>
    </row>
    <row r="294" spans="92:97" x14ac:dyDescent="0.45">
      <c r="CN294" s="9">
        <v>145.5</v>
      </c>
      <c r="CO294" s="17">
        <v>0.05</v>
      </c>
      <c r="CP294" s="17">
        <v>-1.2038526103544714E-3</v>
      </c>
      <c r="CQ294" s="17">
        <v>-1.3661295016577466E-3</v>
      </c>
      <c r="CR294" s="17">
        <v>1.7196228831582714E-5</v>
      </c>
      <c r="CS294" s="17">
        <f t="shared" si="77"/>
        <v>4.7447214116819368E-2</v>
      </c>
    </row>
    <row r="295" spans="92:97" x14ac:dyDescent="0.45">
      <c r="CN295" s="9">
        <v>146</v>
      </c>
      <c r="CO295" s="17">
        <v>0.05</v>
      </c>
      <c r="CP295" s="17">
        <v>-1.1997298274422988E-3</v>
      </c>
      <c r="CQ295" s="17">
        <v>-1.3614509759671486E-3</v>
      </c>
      <c r="CR295" s="17">
        <v>1.7137337636954005E-5</v>
      </c>
      <c r="CS295" s="17">
        <f t="shared" si="77"/>
        <v>4.745595653422751E-2</v>
      </c>
    </row>
    <row r="296" spans="92:97" x14ac:dyDescent="0.45">
      <c r="CN296" s="9">
        <v>146.5</v>
      </c>
      <c r="CO296" s="17">
        <v>0.05</v>
      </c>
      <c r="CP296" s="17">
        <v>-1.195635186393008E-3</v>
      </c>
      <c r="CQ296" s="17">
        <v>-1.3568043856054958E-3</v>
      </c>
      <c r="CR296" s="17">
        <v>1.7078848430001945E-5</v>
      </c>
      <c r="CS296" s="17">
        <f t="shared" si="77"/>
        <v>4.7464639276431506E-2</v>
      </c>
    </row>
    <row r="297" spans="92:97" x14ac:dyDescent="0.45">
      <c r="CN297" s="9">
        <v>147</v>
      </c>
      <c r="CO297" s="17">
        <v>0.05</v>
      </c>
      <c r="CP297" s="17">
        <v>-1.1915684000447326E-3</v>
      </c>
      <c r="CQ297" s="17">
        <v>-1.3521894047020841E-3</v>
      </c>
      <c r="CR297" s="17">
        <v>1.7020757108811462E-5</v>
      </c>
      <c r="CS297" s="17">
        <f t="shared" si="77"/>
        <v>4.7473262952362004E-2</v>
      </c>
    </row>
    <row r="298" spans="92:97" x14ac:dyDescent="0.45">
      <c r="CN298" s="9">
        <v>147.5</v>
      </c>
      <c r="CO298" s="17">
        <v>0.05</v>
      </c>
      <c r="CP298" s="17">
        <v>-1.1875291851293269E-3</v>
      </c>
      <c r="CQ298" s="17">
        <v>-1.3476057118047967E-3</v>
      </c>
      <c r="CR298" s="17">
        <v>1.6963059627086675E-5</v>
      </c>
      <c r="CS298" s="17">
        <f t="shared" si="77"/>
        <v>4.7481828162692967E-2</v>
      </c>
    </row>
    <row r="299" spans="92:97" x14ac:dyDescent="0.45">
      <c r="CN299" s="9">
        <v>148</v>
      </c>
      <c r="CO299" s="17">
        <v>0.05</v>
      </c>
      <c r="CP299" s="17">
        <v>-1.1835172622065928E-3</v>
      </c>
      <c r="CQ299" s="17">
        <v>-1.3430529898054628E-3</v>
      </c>
      <c r="CR299" s="17">
        <v>1.6905751993211382E-5</v>
      </c>
      <c r="CS299" s="17">
        <f t="shared" si="77"/>
        <v>4.7490335499981155E-2</v>
      </c>
    </row>
    <row r="300" spans="92:97" x14ac:dyDescent="0.45">
      <c r="CN300" s="9">
        <v>148.5</v>
      </c>
      <c r="CO300" s="17">
        <v>0.05</v>
      </c>
      <c r="CP300" s="17">
        <v>-1.1795323555998367E-3</v>
      </c>
      <c r="CQ300" s="17">
        <v>-1.33853092586673E-3</v>
      </c>
      <c r="CR300" s="17">
        <v>1.6848830269328517E-5</v>
      </c>
      <c r="CS300" s="17">
        <f t="shared" si="77"/>
        <v>4.7498785548802762E-2</v>
      </c>
    </row>
    <row r="301" spans="92:97" x14ac:dyDescent="0.45">
      <c r="CN301" s="9">
        <v>149</v>
      </c>
      <c r="CO301" s="17">
        <v>0.05</v>
      </c>
      <c r="CP301" s="17">
        <v>-1.1755741933327233E-3</v>
      </c>
      <c r="CQ301" s="17">
        <v>-1.3340392113504039E-3</v>
      </c>
      <c r="CR301" s="17">
        <v>1.6792290570438155E-5</v>
      </c>
      <c r="CS301" s="17">
        <f t="shared" si="77"/>
        <v>4.7507178885887312E-2</v>
      </c>
    </row>
    <row r="302" spans="92:97" x14ac:dyDescent="0.45">
      <c r="CN302" s="9">
        <v>149.5</v>
      </c>
      <c r="CO302" s="17">
        <v>0.05</v>
      </c>
      <c r="CP302" s="17">
        <v>-1.1716425070673966E-3</v>
      </c>
      <c r="CQ302" s="17">
        <v>-1.3295775417472302E-3</v>
      </c>
      <c r="CR302" s="17">
        <v>1.673612906351361E-5</v>
      </c>
      <c r="CS302" s="17">
        <f t="shared" si="77"/>
        <v>4.7515516080248892E-2</v>
      </c>
    </row>
    <row r="303" spans="92:97" x14ac:dyDescent="0.45">
      <c r="CN303" s="9">
        <v>150</v>
      </c>
      <c r="CO303" s="17">
        <v>0.05</v>
      </c>
      <c r="CP303" s="17">
        <v>-1.1677370320438388E-3</v>
      </c>
      <c r="CQ303" s="17">
        <v>-1.3251456166080771E-3</v>
      </c>
      <c r="CR303" s="17">
        <v>1.6680341966635232E-5</v>
      </c>
      <c r="CS303" s="17">
        <f t="shared" si="77"/>
        <v>4.7523797693314718E-2</v>
      </c>
    </row>
    <row r="304" spans="92:97" x14ac:dyDescent="0.45">
      <c r="CN304" s="9">
        <v>150.5</v>
      </c>
      <c r="CO304" s="17">
        <v>0.05</v>
      </c>
      <c r="CP304" s="17">
        <v>-1.1638575070204375E-3</v>
      </c>
      <c r="CQ304" s="17">
        <v>-1.3207431394764925E-3</v>
      </c>
      <c r="CR304" s="17">
        <v>1.6624925548141426E-5</v>
      </c>
      <c r="CS304" s="17">
        <f t="shared" si="77"/>
        <v>4.7532024279051219E-2</v>
      </c>
    </row>
    <row r="305" spans="3:97" x14ac:dyDescent="0.45">
      <c r="CN305" s="9">
        <v>151</v>
      </c>
      <c r="CO305" s="17">
        <v>0.05</v>
      </c>
      <c r="CP305" s="17">
        <v>-1.1600036742157342E-3</v>
      </c>
      <c r="CQ305" s="17">
        <v>-1.3163698178226004E-3</v>
      </c>
      <c r="CR305" s="17">
        <v>1.656987612579659E-5</v>
      </c>
      <c r="CS305" s="17">
        <f t="shared" si="77"/>
        <v>4.754019638408747E-2</v>
      </c>
    </row>
    <row r="306" spans="3:97" x14ac:dyDescent="0.45">
      <c r="CN306" s="9">
        <v>151.5</v>
      </c>
      <c r="CO306" s="17">
        <v>0.05</v>
      </c>
      <c r="CP306" s="17">
        <v>-1.1561752792513258E-3</v>
      </c>
      <c r="CQ306" s="17">
        <v>-1.3120253629783042E-3</v>
      </c>
      <c r="CR306" s="17">
        <v>1.6515190065975478E-5</v>
      </c>
      <c r="CS306" s="17">
        <f t="shared" si="77"/>
        <v>4.7548314547836354E-2</v>
      </c>
    </row>
    <row r="307" spans="3:97" x14ac:dyDescent="0.45">
      <c r="CN307" s="9">
        <v>152</v>
      </c>
      <c r="CO307" s="17">
        <v>0.05</v>
      </c>
      <c r="CP307" s="17">
        <v>-1.1523720710958937E-3</v>
      </c>
      <c r="CQ307" s="17">
        <v>-1.3077094900737732E-3</v>
      </c>
      <c r="CR307" s="17">
        <v>1.6460863782863719E-5</v>
      </c>
      <c r="CS307" s="17">
        <f t="shared" si="77"/>
        <v>4.7556379302613201E-2</v>
      </c>
    </row>
    <row r="308" spans="3:97" x14ac:dyDescent="0.45">
      <c r="CN308" s="9">
        <v>152.5</v>
      </c>
      <c r="CO308" s="17">
        <v>0.05</v>
      </c>
      <c r="CP308" s="17">
        <v>-1.1485938020103336E-3</v>
      </c>
      <c r="CQ308" s="17">
        <v>-1.303421917975173E-3</v>
      </c>
      <c r="CR308" s="17">
        <v>1.6406893737674002E-5</v>
      </c>
      <c r="CS308" s="17">
        <f t="shared" si="77"/>
        <v>4.7564391173752163E-2</v>
      </c>
    </row>
    <row r="309" spans="3:97" x14ac:dyDescent="0.45">
      <c r="CN309" s="9">
        <v>153</v>
      </c>
      <c r="CO309" s="17">
        <v>0.05</v>
      </c>
      <c r="CP309" s="17">
        <v>-1.1448402274939601E-3</v>
      </c>
      <c r="CQ309" s="17">
        <v>-1.2991623692236224E-3</v>
      </c>
      <c r="CR309" s="17">
        <v>1.6353276437877679E-5</v>
      </c>
      <c r="CS309" s="17">
        <f t="shared" si="77"/>
        <v>4.7572350679720293E-2</v>
      </c>
    </row>
    <row r="310" spans="3:97" x14ac:dyDescent="0.45">
      <c r="CN310" s="9">
        <v>153.5</v>
      </c>
      <c r="CO310" s="17">
        <v>0.05</v>
      </c>
      <c r="CP310" s="17">
        <v>-1.1411111062317647E-3</v>
      </c>
      <c r="CQ310" s="17">
        <v>-1.2949305699753388E-3</v>
      </c>
      <c r="CR310" s="17">
        <v>1.6300008436451366E-5</v>
      </c>
      <c r="CS310" s="17">
        <f t="shared" si="77"/>
        <v>4.7580258332229348E-2</v>
      </c>
    </row>
    <row r="311" spans="3:97" x14ac:dyDescent="0.45">
      <c r="CN311" s="9">
        <v>154</v>
      </c>
      <c r="CO311" s="17">
        <v>0.05</v>
      </c>
      <c r="CP311" s="17">
        <v>-1.1374062000427006E-3</v>
      </c>
      <c r="CQ311" s="17">
        <v>-1.2907262499429529E-3</v>
      </c>
      <c r="CR311" s="17">
        <v>1.6247086331138214E-5</v>
      </c>
      <c r="CS311" s="17">
        <f t="shared" si="77"/>
        <v>4.7588114636345491E-2</v>
      </c>
    </row>
    <row r="312" spans="3:97" x14ac:dyDescent="0.45">
      <c r="CN312" s="9">
        <v>154.5</v>
      </c>
      <c r="CO312" s="17">
        <v>0.05</v>
      </c>
      <c r="CP312" s="17">
        <v>-1.1337252738289703E-3</v>
      </c>
      <c r="CQ312" s="17">
        <v>-1.2865491423379612E-3</v>
      </c>
      <c r="CR312" s="17">
        <v>1.6194506763723529E-5</v>
      </c>
      <c r="CS312" s="17">
        <f t="shared" si="77"/>
        <v>4.7595920090596801E-2</v>
      </c>
    </row>
    <row r="313" spans="3:97" x14ac:dyDescent="0.45">
      <c r="CN313" s="9">
        <v>155</v>
      </c>
      <c r="CO313" s="17">
        <v>0.05</v>
      </c>
      <c r="CP313" s="17">
        <v>-1.1300680955262962E-3</v>
      </c>
      <c r="CQ313" s="17">
        <v>-1.2823989838142917E-3</v>
      </c>
      <c r="CR313" s="17">
        <v>1.6142266419324419E-5</v>
      </c>
      <c r="CS313" s="17">
        <f t="shared" si="77"/>
        <v>4.7603675187078746E-2</v>
      </c>
    </row>
    <row r="314" spans="3:97" x14ac:dyDescent="0.45">
      <c r="E314" s="38"/>
      <c r="CN314" s="9">
        <v>155.5</v>
      </c>
      <c r="CO314" s="17">
        <v>0.05</v>
      </c>
      <c r="CP314" s="17">
        <v>-1.1264344360551507E-3</v>
      </c>
      <c r="CQ314" s="17">
        <v>-1.2782755144129607E-3</v>
      </c>
      <c r="CR314" s="17">
        <v>1.6090362025693149E-5</v>
      </c>
      <c r="CS314" s="17">
        <f t="shared" si="77"/>
        <v>4.7611380411557581E-2</v>
      </c>
    </row>
    <row r="315" spans="3:97" x14ac:dyDescent="0.45">
      <c r="E315" s="18"/>
      <c r="CN315" s="9">
        <v>156</v>
      </c>
      <c r="CO315" s="17">
        <v>0.05</v>
      </c>
      <c r="CP315" s="17">
        <v>-1.1228240692729226E-3</v>
      </c>
      <c r="CQ315" s="17">
        <v>-1.2741784775077919E-3</v>
      </c>
      <c r="CR315" s="17">
        <v>1.6038790352533878E-5</v>
      </c>
      <c r="CS315" s="17">
        <f t="shared" si="77"/>
        <v>4.7619036243571826E-2</v>
      </c>
    </row>
    <row r="316" spans="3:97" x14ac:dyDescent="0.45">
      <c r="C316" s="56"/>
      <c r="D316" s="38"/>
      <c r="E316" s="18"/>
      <c r="I316" s="33"/>
      <c r="CN316" s="9">
        <v>156.5</v>
      </c>
      <c r="CO316" s="17">
        <v>0.05</v>
      </c>
      <c r="CP316" s="17">
        <v>-1.1192367719270026E-3</v>
      </c>
      <c r="CQ316" s="17">
        <v>-1.2701076197521768E-3</v>
      </c>
      <c r="CR316" s="17">
        <v>1.5987548210832491E-5</v>
      </c>
      <c r="CS316" s="17">
        <f t="shared" si="77"/>
        <v>4.7626643156531652E-2</v>
      </c>
    </row>
    <row r="317" spans="3:97" ht="14.65" x14ac:dyDescent="0.45">
      <c r="C317" s="18"/>
      <c r="D317" s="18"/>
      <c r="E317" s="18"/>
      <c r="H317" s="50"/>
      <c r="I317" s="62"/>
      <c r="J317"/>
      <c r="CN317" s="9">
        <v>157</v>
      </c>
      <c r="CO317" s="17">
        <v>0.05</v>
      </c>
      <c r="CP317" s="17">
        <v>-1.1156723236087638E-3</v>
      </c>
      <c r="CQ317" s="17">
        <v>-1.2660626910268524E-3</v>
      </c>
      <c r="CR317" s="17">
        <v>1.5936632452199269E-5</v>
      </c>
      <c r="CS317" s="17">
        <f t="shared" si="77"/>
        <v>4.7634201617816584E-2</v>
      </c>
    </row>
    <row r="318" spans="3:97" ht="14.65" x14ac:dyDescent="0.45">
      <c r="C318" s="18"/>
      <c r="D318" s="18"/>
      <c r="E318" s="18"/>
      <c r="H318" s="50"/>
      <c r="I318" s="62"/>
      <c r="J318" s="60"/>
      <c r="CN318" s="9">
        <v>157.5</v>
      </c>
      <c r="CO318" s="17">
        <v>0.05</v>
      </c>
      <c r="CP318" s="17">
        <v>-1.1121305067084185E-3</v>
      </c>
      <c r="CQ318" s="17">
        <v>-1.2620434443886728E-3</v>
      </c>
      <c r="CR318" s="17">
        <v>1.5886039968224033E-5</v>
      </c>
      <c r="CS318" s="17">
        <f t="shared" si="77"/>
        <v>4.7641712088871128E-2</v>
      </c>
    </row>
    <row r="319" spans="3:97" ht="14.65" x14ac:dyDescent="0.45">
      <c r="C319" s="18"/>
      <c r="D319" s="18"/>
      <c r="E319" s="18"/>
      <c r="H319" s="50"/>
      <c r="I319" s="62"/>
      <c r="J319"/>
      <c r="CN319" s="9">
        <v>158</v>
      </c>
      <c r="CO319" s="17">
        <v>0.05</v>
      </c>
      <c r="CP319" s="17">
        <v>-1.1086111063707336E-3</v>
      </c>
      <c r="CQ319" s="17">
        <v>-1.2580496360203547E-3</v>
      </c>
      <c r="CR319" s="17">
        <v>1.5835767689843573E-5</v>
      </c>
      <c r="CS319" s="17">
        <f t="shared" si="77"/>
        <v>4.7649175025298758E-2</v>
      </c>
    </row>
    <row r="320" spans="3:97" ht="14.65" x14ac:dyDescent="0.45">
      <c r="C320" s="18"/>
      <c r="D320" s="18"/>
      <c r="E320" s="18"/>
      <c r="H320" s="50"/>
      <c r="I320" s="62"/>
      <c r="J320" s="60"/>
      <c r="CN320" s="9">
        <v>158.5</v>
      </c>
      <c r="CO320" s="17">
        <v>0.05</v>
      </c>
      <c r="CP320" s="17">
        <v>-1.1051139104515831E-3</v>
      </c>
      <c r="CQ320" s="17">
        <v>-1.2540810251811744E-3</v>
      </c>
      <c r="CR320" s="17">
        <v>1.578581258672104E-5</v>
      </c>
      <c r="CS320" s="17">
        <f t="shared" si="77"/>
        <v>4.7656590876953973E-2</v>
      </c>
    </row>
    <row r="321" spans="3:97" ht="14.65" x14ac:dyDescent="0.45">
      <c r="C321" s="18"/>
      <c r="D321" s="18"/>
      <c r="H321" s="50"/>
      <c r="I321" s="60"/>
      <c r="J321"/>
      <c r="CN321" s="9">
        <v>159</v>
      </c>
      <c r="CO321" s="17">
        <v>0.05</v>
      </c>
      <c r="CP321" s="17">
        <v>-1.1016387094753203E-3</v>
      </c>
      <c r="CQ321" s="17">
        <v>-1.2501373741585925E-3</v>
      </c>
      <c r="CR321" s="17">
        <v>1.5736171666637011E-5</v>
      </c>
      <c r="CS321" s="17">
        <f t="shared" si="77"/>
        <v>4.7663960088032725E-2</v>
      </c>
    </row>
    <row r="322" spans="3:97" ht="14.65" x14ac:dyDescent="0.45">
      <c r="C322" s="18"/>
      <c r="D322" s="18"/>
      <c r="E322" s="18"/>
      <c r="H322" s="50"/>
      <c r="I322" s="61"/>
      <c r="J322" s="54"/>
      <c r="CN322" s="9">
        <v>159.5</v>
      </c>
      <c r="CO322" s="17">
        <v>0.05</v>
      </c>
      <c r="CP322" s="17">
        <v>-1.0981852965929525E-3</v>
      </c>
      <c r="CQ322" s="17">
        <v>-1.246218448220792E-3</v>
      </c>
      <c r="CR322" s="17">
        <v>1.5686841974892068E-5</v>
      </c>
      <c r="CS322" s="17">
        <f t="shared" si="77"/>
        <v>4.7671283097161149E-2</v>
      </c>
    </row>
    <row r="323" spans="3:97" x14ac:dyDescent="0.45">
      <c r="CN323" s="9">
        <v>160</v>
      </c>
      <c r="CO323" s="17">
        <v>0.05</v>
      </c>
      <c r="CP323" s="17">
        <v>-1.0947534675410995E-3</v>
      </c>
      <c r="CQ323" s="17">
        <v>-1.2423240155701022E-3</v>
      </c>
      <c r="CR323" s="17">
        <v>1.563782059372053E-5</v>
      </c>
      <c r="CS323" s="17">
        <f t="shared" si="77"/>
        <v>4.7678560337482523E-2</v>
      </c>
    </row>
    <row r="324" spans="3:97" x14ac:dyDescent="0.45">
      <c r="C324" s="18"/>
      <c r="D324" s="18"/>
      <c r="CN324" s="9">
        <v>160.5</v>
      </c>
      <c r="CO324" s="17">
        <v>0.05</v>
      </c>
      <c r="CP324" s="17">
        <v>-1.0913430206017192E-3</v>
      </c>
      <c r="CQ324" s="17">
        <v>-1.2384538472972985E-3</v>
      </c>
      <c r="CR324" s="17">
        <v>1.5589104641715173E-5</v>
      </c>
      <c r="CS324" s="17">
        <f t="shared" ref="CS324:CS387" si="78">SUM(CO324:CR324)</f>
        <v>4.7685792236742706E-2</v>
      </c>
    </row>
    <row r="325" spans="3:97" x14ac:dyDescent="0.45">
      <c r="C325" s="18"/>
      <c r="D325" s="18"/>
      <c r="CN325" s="9">
        <v>161</v>
      </c>
      <c r="CO325" s="17">
        <v>0.05</v>
      </c>
      <c r="CP325" s="17">
        <v>-1.0879537565625834E-3</v>
      </c>
      <c r="CQ325" s="17">
        <v>-1.2346077173367484E-3</v>
      </c>
      <c r="CR325" s="17">
        <v>1.5540691273262638E-5</v>
      </c>
      <c r="CS325" s="17">
        <f t="shared" si="78"/>
        <v>4.7692979217373928E-2</v>
      </c>
    </row>
    <row r="326" spans="3:97" x14ac:dyDescent="0.45">
      <c r="C326" s="18"/>
      <c r="D326" s="18"/>
      <c r="CN326" s="9">
        <v>161.5</v>
      </c>
      <c r="CO326" s="17">
        <v>0.05</v>
      </c>
      <c r="CP326" s="17">
        <v>-1.0845854786784889E-3</v>
      </c>
      <c r="CQ326" s="17">
        <v>-1.2307854024223935E-3</v>
      </c>
      <c r="CR326" s="17">
        <v>1.5492577677989378E-5</v>
      </c>
      <c r="CS326" s="17">
        <f t="shared" si="78"/>
        <v>4.7700121696577107E-2</v>
      </c>
    </row>
    <row r="327" spans="3:97" x14ac:dyDescent="0.45">
      <c r="C327" s="18"/>
      <c r="D327" s="18"/>
      <c r="CN327" s="9">
        <v>162</v>
      </c>
      <c r="CO327" s="17">
        <v>0.05</v>
      </c>
      <c r="CP327" s="17">
        <v>-1.0812379926331852E-3</v>
      </c>
      <c r="CQ327" s="17">
        <v>-1.2269866820445471E-3</v>
      </c>
      <c r="CR327" s="17">
        <v>1.544476108021781E-5</v>
      </c>
      <c r="CS327" s="17">
        <f t="shared" si="78"/>
        <v>4.7707220086402491E-2</v>
      </c>
    </row>
    <row r="328" spans="3:97" x14ac:dyDescent="0.45">
      <c r="C328" s="18"/>
      <c r="D328" s="18"/>
      <c r="CN328" s="9">
        <v>162.5</v>
      </c>
      <c r="CO328" s="17">
        <v>0.05</v>
      </c>
      <c r="CP328" s="17">
        <v>-1.077911106502006E-3</v>
      </c>
      <c r="CQ328" s="17">
        <v>-1.223211338407487E-3</v>
      </c>
      <c r="CR328" s="17">
        <v>1.5397238738432522E-5</v>
      </c>
      <c r="CS328" s="17">
        <f t="shared" si="78"/>
        <v>4.7714274793828948E-2</v>
      </c>
    </row>
    <row r="329" spans="3:97" x14ac:dyDescent="0.45">
      <c r="C329" s="18"/>
      <c r="D329" s="18"/>
      <c r="CN329" s="9">
        <v>163</v>
      </c>
      <c r="CO329" s="17">
        <v>0.05</v>
      </c>
      <c r="CP329" s="17">
        <v>-1.07460463071519E-3</v>
      </c>
      <c r="CQ329" s="17">
        <v>-1.2194591563878324E-3</v>
      </c>
      <c r="CR329" s="17">
        <v>1.5350007944756347E-5</v>
      </c>
      <c r="CS329" s="17">
        <f t="shared" si="78"/>
        <v>4.7721286220841735E-2</v>
      </c>
    </row>
    <row r="330" spans="3:97" x14ac:dyDescent="0.45">
      <c r="C330" s="18"/>
      <c r="D330" s="18"/>
      <c r="CN330" s="9">
        <v>163.5</v>
      </c>
      <c r="CO330" s="17">
        <v>0.05</v>
      </c>
      <c r="CP330" s="17">
        <v>-1.0713183780218713E-3</v>
      </c>
      <c r="CQ330" s="17">
        <v>-1.2157299234936802E-3</v>
      </c>
      <c r="CR330" s="17">
        <v>1.5303066024435992E-5</v>
      </c>
      <c r="CS330" s="17">
        <f t="shared" si="78"/>
        <v>4.7728254764508884E-2</v>
      </c>
    </row>
    <row r="331" spans="3:97" x14ac:dyDescent="0.45">
      <c r="CN331" s="9">
        <v>164</v>
      </c>
      <c r="CO331" s="17">
        <v>0.05</v>
      </c>
      <c r="CP331" s="17">
        <v>-1.0680521634547316E-3</v>
      </c>
      <c r="CQ331" s="17">
        <v>-1.2120234298244924E-3</v>
      </c>
      <c r="CR331" s="17">
        <v>1.5256410335337104E-5</v>
      </c>
      <c r="CS331" s="17">
        <f t="shared" si="78"/>
        <v>4.7735180817056119E-2</v>
      </c>
    </row>
    <row r="332" spans="3:97" x14ac:dyDescent="0.45">
      <c r="CN332" s="9">
        <v>164.5</v>
      </c>
      <c r="CO332" s="17">
        <v>0.05</v>
      </c>
      <c r="CP332" s="17">
        <v>-1.0648058042952947E-3</v>
      </c>
      <c r="CQ332" s="17">
        <v>-1.2083394680317129E-3</v>
      </c>
      <c r="CR332" s="17">
        <v>1.5210038267448541E-5</v>
      </c>
      <c r="CS332" s="17">
        <f t="shared" si="78"/>
        <v>4.7742064765940444E-2</v>
      </c>
    </row>
    <row r="333" spans="3:97" x14ac:dyDescent="0.45">
      <c r="CN333" s="9">
        <v>165</v>
      </c>
      <c r="CO333" s="17">
        <v>0.05</v>
      </c>
      <c r="CP333" s="17">
        <v>-1.0615791200398544E-3</v>
      </c>
      <c r="CQ333" s="17">
        <v>-1.2046778332801017E-3</v>
      </c>
      <c r="CR333" s="17">
        <v>1.5163947242395665E-5</v>
      </c>
      <c r="CS333" s="17">
        <f t="shared" si="78"/>
        <v>4.7748906993922445E-2</v>
      </c>
    </row>
    <row r="334" spans="3:97" x14ac:dyDescent="0.45">
      <c r="CN334" s="9">
        <v>165.5</v>
      </c>
      <c r="CO334" s="17">
        <v>0.05</v>
      </c>
      <c r="CP334" s="17">
        <v>-1.0583719323660179E-3</v>
      </c>
      <c r="CQ334" s="17">
        <v>-1.2010383232097693E-3</v>
      </c>
      <c r="CR334" s="17">
        <v>1.5118134712962444E-5</v>
      </c>
      <c r="CS334" s="17">
        <f t="shared" si="78"/>
        <v>4.7755707879137181E-2</v>
      </c>
    </row>
    <row r="335" spans="3:97" x14ac:dyDescent="0.45">
      <c r="CN335" s="9">
        <v>166</v>
      </c>
      <c r="CO335" s="17">
        <v>0.05</v>
      </c>
      <c r="CP335" s="17">
        <v>-1.0551840650998552E-3</v>
      </c>
      <c r="CQ335" s="17">
        <v>-1.1974207378988965E-3</v>
      </c>
      <c r="CR335" s="17">
        <v>1.5072598162622196E-5</v>
      </c>
      <c r="CS335" s="17">
        <f t="shared" si="78"/>
        <v>4.7762467795163868E-2</v>
      </c>
    </row>
    <row r="336" spans="3:97" x14ac:dyDescent="0.45">
      <c r="CN336" s="9">
        <v>166.5</v>
      </c>
      <c r="CO336" s="17">
        <v>0.05</v>
      </c>
      <c r="CP336" s="17">
        <v>-1.0520153441836394E-3</v>
      </c>
      <c r="CQ336" s="17">
        <v>-1.1938248798271281E-3</v>
      </c>
      <c r="CR336" s="17">
        <v>1.5027335105076785E-5</v>
      </c>
      <c r="CS336" s="17">
        <f t="shared" si="78"/>
        <v>4.7769187111094312E-2</v>
      </c>
    </row>
    <row r="337" spans="92:97" x14ac:dyDescent="0.45">
      <c r="CN337" s="9">
        <v>167</v>
      </c>
      <c r="CO337" s="17">
        <v>0.05</v>
      </c>
      <c r="CP337" s="17">
        <v>-1.0488655976441676E-3</v>
      </c>
      <c r="CQ337" s="17">
        <v>-1.1902505538396219E-3</v>
      </c>
      <c r="CR337" s="17">
        <v>1.49823430838041E-5</v>
      </c>
      <c r="CS337" s="17">
        <f t="shared" si="78"/>
        <v>4.7775866191600014E-2</v>
      </c>
    </row>
    <row r="338" spans="92:97" x14ac:dyDescent="0.45">
      <c r="CN338" s="9">
        <v>167.5</v>
      </c>
      <c r="CO338" s="17">
        <v>0.05</v>
      </c>
      <c r="CP338" s="17">
        <v>-1.0457346555616477E-3</v>
      </c>
      <c r="CQ338" s="17">
        <v>-1.1866975671117423E-3</v>
      </c>
      <c r="CR338" s="17">
        <v>1.4937619671613641E-5</v>
      </c>
      <c r="CS338" s="17">
        <f t="shared" si="78"/>
        <v>4.7782505396998229E-2</v>
      </c>
    </row>
    <row r="339" spans="92:97" x14ac:dyDescent="0.45">
      <c r="CN339" s="9">
        <v>168</v>
      </c>
      <c r="CO339" s="17">
        <v>0.05</v>
      </c>
      <c r="CP339" s="17">
        <v>-1.0426223500391426E-3</v>
      </c>
      <c r="CQ339" s="17">
        <v>-1.1831657291143862E-3</v>
      </c>
      <c r="CR339" s="17">
        <v>1.4893162470210028E-5</v>
      </c>
      <c r="CS339" s="17">
        <f t="shared" si="78"/>
        <v>4.7789105083316685E-2</v>
      </c>
    </row>
    <row r="340" spans="92:97" x14ac:dyDescent="0.45">
      <c r="CN340" s="9">
        <v>168.5</v>
      </c>
      <c r="CO340" s="17">
        <v>0.05</v>
      </c>
      <c r="CP340" s="17">
        <v>-1.0395285151725577E-3</v>
      </c>
      <c r="CQ340" s="17">
        <v>-1.1796548515799221E-3</v>
      </c>
      <c r="CR340" s="17">
        <v>1.4848969109764301E-5</v>
      </c>
      <c r="CS340" s="17">
        <f t="shared" si="78"/>
        <v>4.779566560235729E-2</v>
      </c>
    </row>
    <row r="341" spans="92:97" x14ac:dyDescent="0.45">
      <c r="CN341" s="9">
        <v>169</v>
      </c>
      <c r="CO341" s="17">
        <v>0.05</v>
      </c>
      <c r="CP341" s="17">
        <v>-1.0364529870211597E-3</v>
      </c>
      <c r="CQ341" s="17">
        <v>-1.176164748468739E-3</v>
      </c>
      <c r="CR341" s="17">
        <v>1.480503724849281E-5</v>
      </c>
      <c r="CS341" s="17">
        <f t="shared" si="78"/>
        <v>4.78021873017586E-2</v>
      </c>
    </row>
    <row r="342" spans="92:97" x14ac:dyDescent="0.45">
      <c r="CN342" s="9">
        <v>169.5</v>
      </c>
      <c r="CO342" s="17">
        <v>0.05</v>
      </c>
      <c r="CP342" s="17">
        <v>-1.0333956035786193E-3</v>
      </c>
      <c r="CQ342" s="17">
        <v>-1.1726952359363829E-3</v>
      </c>
      <c r="CR342" s="17">
        <v>1.4761364572243569E-5</v>
      </c>
      <c r="CS342" s="17">
        <f t="shared" si="78"/>
        <v>4.7808670525057245E-2</v>
      </c>
    </row>
    <row r="343" spans="92:97" x14ac:dyDescent="0.45">
      <c r="CN343" s="9">
        <v>170</v>
      </c>
      <c r="CO343" s="17">
        <v>0.05</v>
      </c>
      <c r="CP343" s="17">
        <v>-1.0303562047445645E-3</v>
      </c>
      <c r="CQ343" s="17">
        <v>-1.1692461323012759E-3</v>
      </c>
      <c r="CR343" s="17">
        <v>1.4717948794089912E-5</v>
      </c>
      <c r="CS343" s="17">
        <f t="shared" si="78"/>
        <v>4.7815115611748255E-2</v>
      </c>
    </row>
    <row r="344" spans="92:97" x14ac:dyDescent="0.45">
      <c r="CN344" s="9">
        <v>170.5</v>
      </c>
      <c r="CO344" s="17">
        <v>0.05</v>
      </c>
      <c r="CP344" s="17">
        <v>-1.0273346322966332E-3</v>
      </c>
      <c r="CQ344" s="17">
        <v>-1.1658172580130024E-3</v>
      </c>
      <c r="CR344" s="17">
        <v>1.467478765393129E-5</v>
      </c>
      <c r="CS344" s="17">
        <f t="shared" si="78"/>
        <v>4.7821522897344301E-2</v>
      </c>
    </row>
    <row r="345" spans="92:97" x14ac:dyDescent="0.45">
      <c r="CN345" s="9">
        <v>171</v>
      </c>
      <c r="CO345" s="17">
        <v>0.05</v>
      </c>
      <c r="CP345" s="17">
        <v>-1.0243307298630174E-3</v>
      </c>
      <c r="CQ345" s="17">
        <v>-1.1624084356211515E-3</v>
      </c>
      <c r="CR345" s="17">
        <v>1.4631878918101083E-5</v>
      </c>
      <c r="CS345" s="17">
        <f t="shared" si="78"/>
        <v>4.7827892713433934E-2</v>
      </c>
    </row>
    <row r="346" spans="92:97" x14ac:dyDescent="0.45">
      <c r="CN346" s="9">
        <v>171.5</v>
      </c>
      <c r="CO346" s="17">
        <v>0.05</v>
      </c>
      <c r="CP346" s="17">
        <v>-1.0213443428954867E-3</v>
      </c>
      <c r="CQ346" s="17">
        <v>-1.1590194897447051E-3</v>
      </c>
      <c r="CR346" s="17">
        <v>1.4589220378981254E-5</v>
      </c>
      <c r="CS346" s="17">
        <f t="shared" si="78"/>
        <v>4.7834225387738794E-2</v>
      </c>
    </row>
    <row r="347" spans="92:97" x14ac:dyDescent="0.45">
      <c r="CN347" s="9">
        <v>172</v>
      </c>
      <c r="CO347" s="17">
        <v>0.05</v>
      </c>
      <c r="CP347" s="17">
        <v>-1.0183753186428835E-3</v>
      </c>
      <c r="CQ347" s="17">
        <v>-1.155650247041959E-3</v>
      </c>
      <c r="CR347" s="17">
        <v>1.4546809854623749E-5</v>
      </c>
      <c r="CS347" s="17">
        <f t="shared" si="78"/>
        <v>4.7840521244169786E-2</v>
      </c>
    </row>
    <row r="348" spans="92:97" x14ac:dyDescent="0.45">
      <c r="CN348" s="9">
        <v>172.5</v>
      </c>
      <c r="CO348" s="17">
        <v>0.05</v>
      </c>
      <c r="CP348" s="17">
        <v>-1.0154235061250782E-3</v>
      </c>
      <c r="CQ348" s="17">
        <v>-1.1523005361809679E-3</v>
      </c>
      <c r="CR348" s="17">
        <v>1.4504645188378464E-5</v>
      </c>
      <c r="CS348" s="17">
        <f t="shared" si="78"/>
        <v>4.7846780602882333E-2</v>
      </c>
    </row>
    <row r="349" spans="92:97" x14ac:dyDescent="0.45">
      <c r="CN349" s="9">
        <v>173</v>
      </c>
      <c r="CO349" s="17">
        <v>0.05</v>
      </c>
      <c r="CP349" s="17">
        <v>-1.0124887561073755E-3</v>
      </c>
      <c r="CQ349" s="17">
        <v>-1.1489701878105024E-3</v>
      </c>
      <c r="CR349" s="17">
        <v>1.446272424852766E-5</v>
      </c>
      <c r="CS349" s="17">
        <f t="shared" si="78"/>
        <v>4.7853003780330652E-2</v>
      </c>
    </row>
    <row r="350" spans="92:97" x14ac:dyDescent="0.45">
      <c r="CN350" s="9">
        <v>173.5</v>
      </c>
      <c r="CO350" s="17">
        <v>0.05</v>
      </c>
      <c r="CP350" s="17">
        <v>-1.0095709210753657E-3</v>
      </c>
      <c r="CQ350" s="17">
        <v>-1.1456590345315096E-3</v>
      </c>
      <c r="CR350" s="17">
        <v>1.4421044927926715E-5</v>
      </c>
      <c r="CS350" s="17">
        <f t="shared" si="78"/>
        <v>4.785919108932106E-2</v>
      </c>
    </row>
    <row r="351" spans="92:97" x14ac:dyDescent="0.45">
      <c r="CN351" s="9">
        <v>174</v>
      </c>
      <c r="CO351" s="17">
        <v>0.05</v>
      </c>
      <c r="CP351" s="17">
        <v>-1.0066698552102067E-3</v>
      </c>
      <c r="CQ351" s="17">
        <v>-1.1423669108690628E-3</v>
      </c>
      <c r="CR351" s="17">
        <v>1.4379605143651063E-5</v>
      </c>
      <c r="CS351" s="17">
        <f t="shared" si="78"/>
        <v>4.7865342839064386E-2</v>
      </c>
    </row>
    <row r="352" spans="92:97" x14ac:dyDescent="0.45">
      <c r="CN352" s="9">
        <v>174.5</v>
      </c>
      <c r="CO352" s="17">
        <v>0.05</v>
      </c>
      <c r="CP352" s="17">
        <v>-1.0037854143643322E-3</v>
      </c>
      <c r="CQ352" s="17">
        <v>-1.1390936532447962E-3</v>
      </c>
      <c r="CR352" s="17">
        <v>1.4338402836649196E-5</v>
      </c>
      <c r="CS352" s="17">
        <f t="shared" si="78"/>
        <v>4.7871459335227518E-2</v>
      </c>
    </row>
    <row r="353" spans="92:97" x14ac:dyDescent="0.45">
      <c r="CN353" s="9">
        <v>175</v>
      </c>
      <c r="CO353" s="17">
        <v>0.05</v>
      </c>
      <c r="CP353" s="17">
        <v>-1.0009174560375769E-3</v>
      </c>
      <c r="CQ353" s="17">
        <v>-1.135839099949811E-3</v>
      </c>
      <c r="CR353" s="17">
        <v>1.4297435971401628E-5</v>
      </c>
      <c r="CS353" s="17">
        <f t="shared" si="78"/>
        <v>4.7877540879984012E-2</v>
      </c>
    </row>
    <row r="354" spans="92:97" x14ac:dyDescent="0.45">
      <c r="CN354" s="9">
        <v>175.5</v>
      </c>
      <c r="CO354" s="17">
        <v>0.05</v>
      </c>
      <c r="CP354" s="17">
        <v>-9.9806583935370917E-4</v>
      </c>
      <c r="CQ354" s="17">
        <v>-1.1326030911180452E-3</v>
      </c>
      <c r="CR354" s="17">
        <v>1.4256702535585669E-5</v>
      </c>
      <c r="CS354" s="17">
        <f t="shared" si="78"/>
        <v>4.7883587772063828E-2</v>
      </c>
    </row>
    <row r="355" spans="92:97" x14ac:dyDescent="0.45">
      <c r="CN355" s="9">
        <v>176</v>
      </c>
      <c r="CO355" s="17">
        <v>0.05</v>
      </c>
      <c r="CP355" s="17">
        <v>-9.9523042503736354E-4</v>
      </c>
      <c r="CQ355" s="17">
        <v>-1.1293854687000962E-3</v>
      </c>
      <c r="CR355" s="17">
        <v>1.4216200539745938E-5</v>
      </c>
      <c r="CS355" s="17">
        <f t="shared" si="78"/>
        <v>4.7889600306802289E-2</v>
      </c>
    </row>
    <row r="356" spans="92:97" x14ac:dyDescent="0.45">
      <c r="CN356" s="9">
        <v>176.5</v>
      </c>
      <c r="CO356" s="17">
        <v>0.05</v>
      </c>
      <c r="CP356" s="17">
        <v>-9.9241107539136514E-4</v>
      </c>
      <c r="CQ356" s="17">
        <v>-1.1261860764374897E-3</v>
      </c>
      <c r="CR356" s="17">
        <v>1.4175928016970455E-5</v>
      </c>
      <c r="CS356" s="17">
        <f t="shared" si="78"/>
        <v>4.7895578776188115E-2</v>
      </c>
    </row>
    <row r="357" spans="92:97" x14ac:dyDescent="0.45">
      <c r="CN357" s="9">
        <v>177</v>
      </c>
      <c r="CO357" s="17">
        <v>0.05</v>
      </c>
      <c r="CP357" s="17">
        <v>-9.8960765427444039E-4</v>
      </c>
      <c r="CQ357" s="17">
        <v>-1.1230047598373839E-3</v>
      </c>
      <c r="CR357" s="17">
        <v>1.4135883022572232E-5</v>
      </c>
      <c r="CS357" s="17">
        <f t="shared" si="78"/>
        <v>4.7901523468910745E-2</v>
      </c>
    </row>
    <row r="358" spans="92:97" x14ac:dyDescent="0.45">
      <c r="CN358" s="9">
        <v>177.5</v>
      </c>
      <c r="CO358" s="17">
        <v>0.05</v>
      </c>
      <c r="CP358" s="17">
        <v>-9.8682002707930127E-4</v>
      </c>
      <c r="CQ358" s="17">
        <v>-1.1198413661477012E-3</v>
      </c>
      <c r="CR358" s="17">
        <v>1.4096063633776254E-5</v>
      </c>
      <c r="CS358" s="17">
        <f t="shared" si="78"/>
        <v>4.7907434670406777E-2</v>
      </c>
    </row>
    <row r="359" spans="92:97" x14ac:dyDescent="0.45">
      <c r="CN359" s="9">
        <v>178</v>
      </c>
      <c r="CO359" s="17">
        <v>0.05</v>
      </c>
      <c r="CP359" s="17">
        <v>-9.8404806071110103E-4</v>
      </c>
      <c r="CQ359" s="17">
        <v>-1.1166957443326795E-3</v>
      </c>
      <c r="CR359" s="17">
        <v>1.4056467949411712E-5</v>
      </c>
      <c r="CS359" s="17">
        <f t="shared" si="78"/>
        <v>4.7913312662905633E-2</v>
      </c>
    </row>
    <row r="360" spans="92:97" x14ac:dyDescent="0.45">
      <c r="CN360" s="9">
        <v>178.5</v>
      </c>
      <c r="CO360" s="17">
        <v>0.05</v>
      </c>
      <c r="CP360" s="17">
        <v>-9.8129162356625182E-4</v>
      </c>
      <c r="CQ360" s="17">
        <v>-1.1135677450488345E-3</v>
      </c>
      <c r="CR360" s="17">
        <v>1.4017094089609439E-5</v>
      </c>
      <c r="CS360" s="17">
        <f t="shared" si="78"/>
        <v>4.7919157725474525E-2</v>
      </c>
    </row>
    <row r="361" spans="92:97" x14ac:dyDescent="0.45">
      <c r="CN361" s="9">
        <v>179</v>
      </c>
      <c r="CO361" s="17">
        <v>0.05</v>
      </c>
      <c r="CP361" s="17">
        <v>-9.7855058551159766E-4</v>
      </c>
      <c r="CQ361" s="17">
        <v>-1.1104572206213238E-3</v>
      </c>
      <c r="CR361" s="17">
        <v>1.3977940195504384E-5</v>
      </c>
      <c r="CS361" s="17">
        <f t="shared" si="78"/>
        <v>4.7924970134062585E-2</v>
      </c>
    </row>
    <row r="362" spans="92:97" x14ac:dyDescent="0.45">
      <c r="CN362" s="9">
        <v>179.5</v>
      </c>
      <c r="CO362" s="17">
        <v>0.05</v>
      </c>
      <c r="CP362" s="17">
        <v>-9.7582481786393296E-4</v>
      </c>
      <c r="CQ362" s="17">
        <v>-1.1073640250207073E-3</v>
      </c>
      <c r="CR362" s="17">
        <v>1.3939004428943093E-5</v>
      </c>
      <c r="CS362" s="17">
        <f t="shared" si="78"/>
        <v>4.7930750161544307E-2</v>
      </c>
    </row>
    <row r="363" spans="92:97" x14ac:dyDescent="0.45">
      <c r="CN363" s="9">
        <v>180</v>
      </c>
      <c r="CO363" s="17">
        <v>0.05</v>
      </c>
      <c r="CP363" s="17">
        <v>-9.7311419336986642E-4</v>
      </c>
      <c r="CQ363" s="17">
        <v>-1.1042880138400941E-3</v>
      </c>
      <c r="CR363" s="17">
        <v>1.3900284972196025E-5</v>
      </c>
      <c r="CS363" s="17">
        <f t="shared" si="78"/>
        <v>4.7936498077762235E-2</v>
      </c>
    </row>
    <row r="364" spans="92:97" x14ac:dyDescent="0.45">
      <c r="CN364" s="9">
        <v>180.5</v>
      </c>
      <c r="CO364" s="17">
        <v>0.05</v>
      </c>
      <c r="CP364" s="17">
        <v>-9.7041858618601641E-4</v>
      </c>
      <c r="CQ364" s="17">
        <v>-1.1012290442726702E-3</v>
      </c>
      <c r="CR364" s="17">
        <v>1.3861780027674708E-5</v>
      </c>
      <c r="CS364" s="17">
        <f t="shared" si="78"/>
        <v>4.7942214149568986E-2</v>
      </c>
    </row>
    <row r="365" spans="92:97" x14ac:dyDescent="0.45">
      <c r="CN365" s="9">
        <v>181</v>
      </c>
      <c r="CO365" s="17">
        <v>0.05</v>
      </c>
      <c r="CP365" s="17">
        <v>-9.6773787185953572E-4</v>
      </c>
      <c r="CQ365" s="17">
        <v>-1.0981869750895964E-3</v>
      </c>
      <c r="CR365" s="17">
        <v>1.3823487817653508E-5</v>
      </c>
      <c r="CS365" s="17">
        <f t="shared" si="78"/>
        <v>4.7947898640868521E-2</v>
      </c>
    </row>
    <row r="366" spans="92:97" x14ac:dyDescent="0.45">
      <c r="CN366" s="9">
        <v>181.5</v>
      </c>
      <c r="CO366" s="17">
        <v>0.05</v>
      </c>
      <c r="CP366" s="17">
        <v>-9.6507192730895842E-4</v>
      </c>
      <c r="CQ366" s="17">
        <v>-1.0951616666182752E-3</v>
      </c>
      <c r="CR366" s="17">
        <v>1.3785406583996062E-5</v>
      </c>
      <c r="CS366" s="17">
        <f t="shared" si="78"/>
        <v>4.7953551812656765E-2</v>
      </c>
    </row>
    <row r="367" spans="92:97" x14ac:dyDescent="0.45">
      <c r="CN367" s="9">
        <v>182</v>
      </c>
      <c r="CO367" s="17">
        <v>0.05</v>
      </c>
      <c r="CP367" s="17">
        <v>-9.6242063080536244E-4</v>
      </c>
      <c r="CQ367" s="17">
        <v>-1.0921529807209724E-3</v>
      </c>
      <c r="CR367" s="17">
        <v>1.3747534587886181E-5</v>
      </c>
      <c r="CS367" s="17">
        <f t="shared" si="78"/>
        <v>4.7959173923061552E-2</v>
      </c>
    </row>
    <row r="368" spans="92:97" x14ac:dyDescent="0.45">
      <c r="CN368" s="9">
        <v>182.5</v>
      </c>
      <c r="CO368" s="17">
        <v>0.05</v>
      </c>
      <c r="CP368" s="17">
        <v>-9.5978386195384085E-4</v>
      </c>
      <c r="CQ368" s="17">
        <v>-1.0891607807737916E-3</v>
      </c>
      <c r="CR368" s="17">
        <v>1.3709870109563207E-5</v>
      </c>
      <c r="CS368" s="17">
        <f t="shared" si="78"/>
        <v>4.7964765227381932E-2</v>
      </c>
    </row>
    <row r="369" spans="92:97" x14ac:dyDescent="0.45">
      <c r="CN369" s="9">
        <v>183</v>
      </c>
      <c r="CO369" s="17">
        <v>0.05</v>
      </c>
      <c r="CP369" s="17">
        <v>-9.5716150167527846E-4</v>
      </c>
      <c r="CQ369" s="17">
        <v>-1.0861849316459943E-3</v>
      </c>
      <c r="CR369" s="17">
        <v>1.3672411448061667E-5</v>
      </c>
      <c r="CS369" s="17">
        <f t="shared" si="78"/>
        <v>4.7970325978126796E-2</v>
      </c>
    </row>
    <row r="370" spans="92:97" x14ac:dyDescent="0.45">
      <c r="CN370" s="9">
        <v>183.5</v>
      </c>
      <c r="CO370" s="17">
        <v>0.05</v>
      </c>
      <c r="CP370" s="17">
        <v>-9.5455343218842483E-4</v>
      </c>
      <c r="CQ370" s="17">
        <v>-1.0832252996796565E-3</v>
      </c>
      <c r="CR370" s="17">
        <v>1.3635156920955233E-5</v>
      </c>
      <c r="CS370" s="17">
        <f t="shared" si="78"/>
        <v>4.7975856425052872E-2</v>
      </c>
    </row>
    <row r="371" spans="92:97" x14ac:dyDescent="0.45">
      <c r="CN371" s="9">
        <v>184</v>
      </c>
      <c r="CO371" s="17">
        <v>0.05</v>
      </c>
      <c r="CP371" s="17">
        <v>-9.5195953699226061E-4</v>
      </c>
      <c r="CQ371" s="17">
        <v>-1.0802817526696573E-3</v>
      </c>
      <c r="CR371" s="17">
        <v>1.3598104864104812E-5</v>
      </c>
      <c r="CS371" s="17">
        <f t="shared" si="78"/>
        <v>4.7981356815202193E-2</v>
      </c>
    </row>
    <row r="372" spans="92:97" x14ac:dyDescent="0.45">
      <c r="CN372" s="9">
        <v>184.5</v>
      </c>
      <c r="CO372" s="17">
        <v>0.05</v>
      </c>
      <c r="CP372" s="17">
        <v>-9.4937970084865014E-4</v>
      </c>
      <c r="CQ372" s="17">
        <v>-1.0773541598439944E-3</v>
      </c>
      <c r="CR372" s="17">
        <v>1.3561253631410759E-5</v>
      </c>
      <c r="CS372" s="17">
        <f t="shared" si="78"/>
        <v>4.7986827392938768E-2</v>
      </c>
    </row>
    <row r="373" spans="92:97" x14ac:dyDescent="0.45">
      <c r="CN373" s="9">
        <v>185</v>
      </c>
      <c r="CO373" s="17">
        <v>0.05</v>
      </c>
      <c r="CP373" s="17">
        <v>-9.4681380976527547E-4</v>
      </c>
      <c r="CQ373" s="17">
        <v>-1.074442391844416E-3</v>
      </c>
      <c r="CR373" s="17">
        <v>1.3524601594569109E-5</v>
      </c>
      <c r="CS373" s="17">
        <f t="shared" si="78"/>
        <v>4.7992268399984883E-2</v>
      </c>
    </row>
    <row r="374" spans="92:97" x14ac:dyDescent="0.45">
      <c r="CN374" s="9">
        <v>185.5</v>
      </c>
      <c r="CO374" s="17">
        <v>0.05</v>
      </c>
      <c r="CP374" s="17">
        <v>-9.4426175097884612E-4</v>
      </c>
      <c r="CQ374" s="17">
        <v>-1.0715463207073689E-3</v>
      </c>
      <c r="CR374" s="17">
        <v>1.3488147142831726E-5</v>
      </c>
      <c r="CS374" s="17">
        <f t="shared" si="78"/>
        <v>4.7997680075456621E-2</v>
      </c>
    </row>
    <row r="375" spans="92:97" x14ac:dyDescent="0.45">
      <c r="CN375" s="9">
        <v>186</v>
      </c>
      <c r="CO375" s="17">
        <v>0.05</v>
      </c>
      <c r="CP375" s="17">
        <v>-9.4172341293858046E-4</v>
      </c>
      <c r="CQ375" s="17">
        <v>-1.0686658198452526E-3</v>
      </c>
      <c r="CR375" s="17">
        <v>1.3451888682770351E-5</v>
      </c>
      <c r="CS375" s="17">
        <f t="shared" si="78"/>
        <v>4.8003062655898945E-2</v>
      </c>
    </row>
    <row r="376" spans="92:97" x14ac:dyDescent="0.45">
      <c r="CN376" s="9">
        <v>186.5</v>
      </c>
      <c r="CO376" s="17">
        <v>0.05</v>
      </c>
      <c r="CP376" s="17">
        <v>-9.3919868528995155E-4</v>
      </c>
      <c r="CQ376" s="17">
        <v>-1.065800764027973E-3</v>
      </c>
      <c r="CR376" s="17">
        <v>1.341582463804442E-5</v>
      </c>
      <c r="CS376" s="17">
        <f t="shared" si="78"/>
        <v>4.800841637532012E-2</v>
      </c>
    </row>
    <row r="377" spans="92:97" x14ac:dyDescent="0.45">
      <c r="CN377" s="9">
        <v>187</v>
      </c>
      <c r="CO377" s="17">
        <v>0.05</v>
      </c>
      <c r="CP377" s="17">
        <v>-9.3668745885869492E-4</v>
      </c>
      <c r="CQ377" s="17">
        <v>-1.0629510293647965E-3</v>
      </c>
      <c r="CR377" s="17">
        <v>1.3379953449172645E-5</v>
      </c>
      <c r="CS377" s="17">
        <f t="shared" si="78"/>
        <v>4.801374146522569E-2</v>
      </c>
    </row>
    <row r="378" spans="92:97" x14ac:dyDescent="0.45">
      <c r="CN378" s="9">
        <v>187.5</v>
      </c>
      <c r="CO378" s="17">
        <v>0.05</v>
      </c>
      <c r="CP378" s="17">
        <v>-9.3418962563507173E-4</v>
      </c>
      <c r="CQ378" s="17">
        <v>-1.0601164932864905E-3</v>
      </c>
      <c r="CR378" s="17">
        <v>1.3344273573308184E-5</v>
      </c>
      <c r="CS378" s="17">
        <f t="shared" si="78"/>
        <v>4.801903815465175E-2</v>
      </c>
    </row>
    <row r="379" spans="92:97" x14ac:dyDescent="0.45">
      <c r="CN379" s="9">
        <v>188</v>
      </c>
      <c r="CO379" s="17">
        <v>0.05</v>
      </c>
      <c r="CP379" s="17">
        <v>-9.3170507875838275E-4</v>
      </c>
      <c r="CQ379" s="17">
        <v>-1.0572970345277496E-3</v>
      </c>
      <c r="CR379" s="17">
        <v>1.3308783484017471E-5</v>
      </c>
      <c r="CS379" s="17">
        <f t="shared" si="78"/>
        <v>4.8024306670197893E-2</v>
      </c>
    </row>
    <row r="380" spans="92:97" x14ac:dyDescent="0.45">
      <c r="CN380" s="9">
        <v>188.5</v>
      </c>
      <c r="CO380" s="17">
        <v>0.05</v>
      </c>
      <c r="CP380" s="17">
        <v>-9.2923371250172918E-4</v>
      </c>
      <c r="CQ380" s="17">
        <v>-1.0544925331099043E-3</v>
      </c>
      <c r="CR380" s="17">
        <v>1.3273481671062517E-5</v>
      </c>
      <c r="CS380" s="17">
        <f t="shared" si="78"/>
        <v>4.8029547236059435E-2</v>
      </c>
    </row>
    <row r="381" spans="92:97" x14ac:dyDescent="0.45">
      <c r="CN381" s="9">
        <v>189</v>
      </c>
      <c r="CO381" s="17">
        <v>0.05</v>
      </c>
      <c r="CP381" s="17">
        <v>-9.2677542225701561E-4</v>
      </c>
      <c r="CQ381" s="17">
        <v>-1.0517028703238992E-3</v>
      </c>
      <c r="CR381" s="17">
        <v>1.3238366640186691E-5</v>
      </c>
      <c r="CS381" s="17">
        <f t="shared" si="78"/>
        <v>4.8034760074059275E-2</v>
      </c>
    </row>
    <row r="382" spans="92:97" x14ac:dyDescent="0.45">
      <c r="CN382" s="9">
        <v>189.5</v>
      </c>
      <c r="CO382" s="17">
        <v>0.05</v>
      </c>
      <c r="CP382" s="17">
        <v>-9.2433010452018971E-4</v>
      </c>
      <c r="CQ382" s="17">
        <v>-1.048927928713546E-3</v>
      </c>
      <c r="CR382" s="17">
        <v>1.3203436912903877E-5</v>
      </c>
      <c r="CS382" s="17">
        <f t="shared" si="78"/>
        <v>4.8039945403679167E-2</v>
      </c>
    </row>
    <row r="383" spans="92:97" x14ac:dyDescent="0.45">
      <c r="CN383" s="9">
        <v>190</v>
      </c>
      <c r="CO383" s="17">
        <v>0.05</v>
      </c>
      <c r="CP383" s="17">
        <v>-9.2189765687671554E-4</v>
      </c>
      <c r="CQ383" s="17">
        <v>-1.0461675920590365E-3</v>
      </c>
      <c r="CR383" s="17">
        <v>1.3168691026290973E-5</v>
      </c>
      <c r="CS383" s="17">
        <f t="shared" si="78"/>
        <v>4.8045103442090543E-2</v>
      </c>
    </row>
    <row r="384" spans="92:97" x14ac:dyDescent="0.45">
      <c r="CN384" s="9">
        <v>190.5</v>
      </c>
      <c r="CO384" s="17">
        <v>0.05</v>
      </c>
      <c r="CP384" s="17">
        <v>-9.194779779872754E-4</v>
      </c>
      <c r="CQ384" s="17">
        <v>-1.0434217453607188E-3</v>
      </c>
      <c r="CR384" s="17">
        <v>1.3134127532783647E-5</v>
      </c>
      <c r="CS384" s="17">
        <f t="shared" si="78"/>
        <v>4.8050234404184787E-2</v>
      </c>
    </row>
    <row r="385" spans="92:97" x14ac:dyDescent="0.45">
      <c r="CN385" s="9">
        <v>191</v>
      </c>
      <c r="CO385" s="17">
        <v>0.05</v>
      </c>
      <c r="CP385" s="17">
        <v>-9.1707096757369605E-4</v>
      </c>
      <c r="CQ385" s="17">
        <v>-1.0406902748231253E-3</v>
      </c>
      <c r="CR385" s="17">
        <v>1.3099744999975311E-5</v>
      </c>
      <c r="CS385" s="17">
        <f t="shared" si="78"/>
        <v>4.8055338502603157E-2</v>
      </c>
    </row>
    <row r="386" spans="92:97" x14ac:dyDescent="0.45">
      <c r="CN386" s="9">
        <v>191.5</v>
      </c>
      <c r="CO386" s="17">
        <v>0.05</v>
      </c>
      <c r="CP386" s="17">
        <v>-9.1467652640509639E-4</v>
      </c>
      <c r="CQ386" s="17">
        <v>-1.0379730678392531E-3</v>
      </c>
      <c r="CR386" s="17">
        <v>1.3065542010419241E-5</v>
      </c>
      <c r="CS386" s="17">
        <f t="shared" si="78"/>
        <v>4.8060415947766076E-2</v>
      </c>
    </row>
    <row r="387" spans="92:97" x14ac:dyDescent="0.45">
      <c r="CN387" s="9">
        <v>192</v>
      </c>
      <c r="CO387" s="17">
        <v>0.05</v>
      </c>
      <c r="CP387" s="17">
        <v>-9.122945562842498E-4</v>
      </c>
      <c r="CQ387" s="17">
        <v>-1.0352700129750883E-3</v>
      </c>
      <c r="CR387" s="17">
        <v>1.3031517161433774E-5</v>
      </c>
      <c r="CS387" s="17">
        <f t="shared" si="78"/>
        <v>4.8065466947902098E-2</v>
      </c>
    </row>
    <row r="388" spans="92:97" x14ac:dyDescent="0.45">
      <c r="CN388" s="9">
        <v>192.5</v>
      </c>
      <c r="CO388" s="17">
        <v>0.05</v>
      </c>
      <c r="CP388" s="17">
        <v>-9.0992496003416078E-4</v>
      </c>
      <c r="CQ388" s="17">
        <v>-1.0325809999543738E-3</v>
      </c>
      <c r="CR388" s="17">
        <v>1.299766906491057E-5</v>
      </c>
      <c r="CS388" s="17">
        <f t="shared" ref="CS388:CS451" si="79">SUM(CO388:CR388)</f>
        <v>4.8070491709076374E-2</v>
      </c>
    </row>
    <row r="389" spans="92:97" x14ac:dyDescent="0.45">
      <c r="CN389" s="9">
        <v>193</v>
      </c>
      <c r="CO389" s="17">
        <v>0.05</v>
      </c>
      <c r="CP389" s="17">
        <v>-9.0756764148484947E-4</v>
      </c>
      <c r="CQ389" s="17">
        <v>-1.0299059196436111E-3</v>
      </c>
      <c r="CR389" s="17">
        <v>1.2963996347125829E-5</v>
      </c>
      <c r="CS389" s="17">
        <f t="shared" si="79"/>
        <v>4.8075490435218672E-2</v>
      </c>
    </row>
    <row r="390" spans="92:97" x14ac:dyDescent="0.45">
      <c r="CN390" s="9">
        <v>193.5</v>
      </c>
      <c r="CO390" s="17">
        <v>0.05</v>
      </c>
      <c r="CP390" s="17">
        <v>-9.0522250546034081E-4</v>
      </c>
      <c r="CQ390" s="17">
        <v>-1.027244664037297E-3</v>
      </c>
      <c r="CR390" s="17">
        <v>1.2930497648554443E-5</v>
      </c>
      <c r="CS390" s="17">
        <f t="shared" si="79"/>
        <v>4.8080463328150927E-2</v>
      </c>
    </row>
    <row r="391" spans="92:97" x14ac:dyDescent="0.45">
      <c r="CN391" s="9">
        <v>194</v>
      </c>
      <c r="CO391" s="17">
        <v>0.05</v>
      </c>
      <c r="CP391" s="17">
        <v>-9.0288945776585542E-4</v>
      </c>
      <c r="CQ391" s="17">
        <v>-1.0245971262433863E-3</v>
      </c>
      <c r="CR391" s="17">
        <v>1.2897171623687035E-5</v>
      </c>
      <c r="CS391" s="17">
        <f t="shared" si="79"/>
        <v>4.8085410587614445E-2</v>
      </c>
    </row>
    <row r="392" spans="92:97" x14ac:dyDescent="0.45">
      <c r="CN392" s="9">
        <v>194.5</v>
      </c>
      <c r="CO392" s="17">
        <v>0.05</v>
      </c>
      <c r="CP392" s="17">
        <v>-9.0056840517519767E-4</v>
      </c>
      <c r="CQ392" s="17">
        <v>-1.0219632004689818E-3</v>
      </c>
      <c r="CR392" s="17">
        <v>1.2864016940849793E-5</v>
      </c>
      <c r="CS392" s="17">
        <f t="shared" si="79"/>
        <v>4.8090332411296677E-2</v>
      </c>
    </row>
    <row r="393" spans="92:97" x14ac:dyDescent="0.45">
      <c r="CN393" s="9">
        <v>195</v>
      </c>
      <c r="CO393" s="17">
        <v>0.05</v>
      </c>
      <c r="CP393" s="17">
        <v>-8.9825925541833817E-4</v>
      </c>
      <c r="CQ393" s="17">
        <v>-1.0193427820062407E-3</v>
      </c>
      <c r="CR393" s="17">
        <v>1.2831032282027101E-5</v>
      </c>
      <c r="CS393" s="17">
        <f t="shared" si="79"/>
        <v>4.809522899485745E-2</v>
      </c>
    </row>
    <row r="394" spans="92:97" x14ac:dyDescent="0.45">
      <c r="CN394" s="9">
        <v>195.5</v>
      </c>
      <c r="CO394" s="17">
        <v>0.05</v>
      </c>
      <c r="CP394" s="17">
        <v>-8.9596191716918643E-4</v>
      </c>
      <c r="CQ394" s="17">
        <v>-1.0167357672185009E-3</v>
      </c>
      <c r="CR394" s="17">
        <v>1.2798216342686878E-5</v>
      </c>
      <c r="CS394" s="17">
        <f t="shared" si="79"/>
        <v>4.8100100531955001E-2</v>
      </c>
    </row>
    <row r="395" spans="92:97" x14ac:dyDescent="0.45">
      <c r="CN395" s="9">
        <v>196</v>
      </c>
      <c r="CO395" s="17">
        <v>0.05</v>
      </c>
      <c r="CP395" s="17">
        <v>-8.9367630003355078E-4</v>
      </c>
      <c r="CQ395" s="17">
        <v>-1.0141420535266169E-3</v>
      </c>
      <c r="CR395" s="17">
        <v>1.2765567831608596E-5</v>
      </c>
      <c r="CS395" s="17">
        <f t="shared" si="79"/>
        <v>4.8104947214271443E-2</v>
      </c>
    </row>
    <row r="396" spans="92:97" x14ac:dyDescent="0.45">
      <c r="CN396" s="9">
        <v>196.5</v>
      </c>
      <c r="CO396" s="17">
        <v>0.05</v>
      </c>
      <c r="CP396" s="17">
        <v>-8.9140231453728219E-4</v>
      </c>
      <c r="CQ396" s="17">
        <v>-1.0115615393955059E-3</v>
      </c>
      <c r="CR396" s="17">
        <v>1.2733085470713918E-5</v>
      </c>
      <c r="CS396" s="17">
        <f t="shared" si="79"/>
        <v>4.8109769231537924E-2</v>
      </c>
    </row>
    <row r="397" spans="92:97" x14ac:dyDescent="0.45">
      <c r="CN397" s="9">
        <v>197</v>
      </c>
      <c r="CO397" s="17">
        <v>0.05</v>
      </c>
      <c r="CP397" s="17">
        <v>-8.8913987211459869E-4</v>
      </c>
      <c r="CQ397" s="17">
        <v>-1.0089941243208982E-3</v>
      </c>
      <c r="CR397" s="17">
        <v>1.2700767994899923E-5</v>
      </c>
      <c r="CS397" s="17">
        <f t="shared" si="79"/>
        <v>4.8114566771559404E-2</v>
      </c>
    </row>
    <row r="398" spans="92:97" x14ac:dyDescent="0.45">
      <c r="CN398" s="9">
        <v>197.5</v>
      </c>
      <c r="CO398" s="17">
        <v>0.05</v>
      </c>
      <c r="CP398" s="17">
        <v>-8.8688888509658723E-4</v>
      </c>
      <c r="CQ398" s="17">
        <v>-1.0064397088162885E-3</v>
      </c>
      <c r="CR398" s="17">
        <v>1.266861415187486E-5</v>
      </c>
      <c r="CS398" s="17">
        <f t="shared" si="79"/>
        <v>4.8119340020239001E-2</v>
      </c>
    </row>
    <row r="399" spans="92:97" x14ac:dyDescent="0.45">
      <c r="CN399" s="9">
        <v>198</v>
      </c>
      <c r="CO399" s="17">
        <v>0.05</v>
      </c>
      <c r="CP399" s="17">
        <v>-8.846492666998787E-4</v>
      </c>
      <c r="CQ399" s="17">
        <v>-1.0038981944000857E-3</v>
      </c>
      <c r="CR399" s="17">
        <v>1.2636622701996389E-5</v>
      </c>
      <c r="CS399" s="17">
        <f t="shared" si="79"/>
        <v>4.8124089161602039E-2</v>
      </c>
    </row>
    <row r="400" spans="92:97" x14ac:dyDescent="0.45">
      <c r="CN400" s="9">
        <v>198.5</v>
      </c>
      <c r="CO400" s="17">
        <v>0.05</v>
      </c>
      <c r="CP400" s="17">
        <v>-8.8242093101549611E-4</v>
      </c>
      <c r="CQ400" s="17">
        <v>-1.0013694835829569E-3</v>
      </c>
      <c r="CR400" s="17">
        <v>1.2604792418112268E-5</v>
      </c>
      <c r="CS400" s="17">
        <f t="shared" si="79"/>
        <v>4.8128814377819663E-2</v>
      </c>
    </row>
    <row r="401" spans="92:97" x14ac:dyDescent="0.45">
      <c r="CN401" s="9">
        <v>199</v>
      </c>
      <c r="CO401" s="17">
        <v>0.05</v>
      </c>
      <c r="CP401" s="17">
        <v>-8.8020379299786928E-4</v>
      </c>
      <c r="CQ401" s="17">
        <v>-9.9885347985536168E-4</v>
      </c>
      <c r="CR401" s="17">
        <v>1.257312208540344E-5</v>
      </c>
      <c r="CS401" s="17">
        <f t="shared" si="79"/>
        <v>4.8133515849232172E-2</v>
      </c>
    </row>
    <row r="402" spans="92:97" x14ac:dyDescent="0.45">
      <c r="CN402" s="9">
        <v>199.5</v>
      </c>
      <c r="CO402" s="17">
        <v>0.05</v>
      </c>
      <c r="CP402" s="17">
        <v>-8.7799776845401487E-4</v>
      </c>
      <c r="CQ402" s="17">
        <v>-9.9635008767527309E-4</v>
      </c>
      <c r="CR402" s="17">
        <v>1.2541610501229498E-5</v>
      </c>
      <c r="CS402" s="17">
        <f t="shared" si="79"/>
        <v>4.813819375437195E-2</v>
      </c>
    </row>
    <row r="403" spans="92:97" x14ac:dyDescent="0.45">
      <c r="CN403" s="9">
        <v>200</v>
      </c>
      <c r="CO403" s="17">
        <v>0.05</v>
      </c>
      <c r="CP403" s="17">
        <v>-8.7580277403287985E-4</v>
      </c>
      <c r="CQ403" s="17">
        <v>-9.9385921245608477E-4</v>
      </c>
      <c r="CR403" s="17">
        <v>1.2510256474976425E-5</v>
      </c>
      <c r="CS403" s="17">
        <f t="shared" si="79"/>
        <v>4.8142848269986008E-2</v>
      </c>
    </row>
    <row r="404" spans="92:97" x14ac:dyDescent="0.45">
      <c r="CN404" s="9">
        <v>200.5</v>
      </c>
      <c r="CO404" s="17">
        <v>0.05</v>
      </c>
      <c r="CP404" s="17">
        <v>-8.7361872721484276E-4</v>
      </c>
      <c r="CQ404" s="17">
        <v>-9.9138076055469804E-4</v>
      </c>
      <c r="CR404" s="17">
        <v>1.2479058827906658E-5</v>
      </c>
      <c r="CS404" s="17">
        <f t="shared" si="79"/>
        <v>4.8147479571058367E-2</v>
      </c>
    </row>
    <row r="405" spans="92:97" x14ac:dyDescent="0.45">
      <c r="CN405" s="9">
        <v>201</v>
      </c>
      <c r="CO405" s="17">
        <v>0.05</v>
      </c>
      <c r="CP405" s="17">
        <v>-8.7144554630137305E-4</v>
      </c>
      <c r="CQ405" s="17">
        <v>-9.8891463925978597E-4</v>
      </c>
      <c r="CR405" s="17">
        <v>1.2448016393011369E-5</v>
      </c>
      <c r="CS405" s="17">
        <f t="shared" si="79"/>
        <v>4.8152087830831858E-2</v>
      </c>
    </row>
    <row r="406" spans="92:97" x14ac:dyDescent="0.45">
      <c r="CN406" s="9">
        <v>201.5</v>
      </c>
      <c r="CO406" s="17">
        <v>0.05</v>
      </c>
      <c r="CP406" s="17">
        <v>-8.6928315040484352E-4</v>
      </c>
      <c r="CQ406" s="17">
        <v>-9.8646075678023308E-4</v>
      </c>
      <c r="CR406" s="17">
        <v>1.2417128014864937E-5</v>
      </c>
      <c r="CS406" s="17">
        <f t="shared" si="79"/>
        <v>4.8156673220829789E-2</v>
      </c>
    </row>
    <row r="407" spans="92:97" x14ac:dyDescent="0.45">
      <c r="CN407" s="9">
        <v>202</v>
      </c>
      <c r="CO407" s="17">
        <v>0.05</v>
      </c>
      <c r="CP407" s="17">
        <v>-8.6713145943849489E-4</v>
      </c>
      <c r="CQ407" s="17">
        <v>-9.8401902223374743E-4</v>
      </c>
      <c r="CR407" s="17">
        <v>1.2386392549481608E-5</v>
      </c>
      <c r="CS407" s="17">
        <f t="shared" si="79"/>
        <v>4.8161235910877245E-2</v>
      </c>
    </row>
    <row r="408" spans="92:97" x14ac:dyDescent="0.45">
      <c r="CN408" s="9">
        <v>202.5</v>
      </c>
      <c r="CO408" s="17">
        <v>0.05</v>
      </c>
      <c r="CP408" s="17">
        <v>-8.6499039410654801E-4</v>
      </c>
      <c r="CQ408" s="17">
        <v>-9.8158934563563919E-4</v>
      </c>
      <c r="CR408" s="17">
        <v>1.2355808864174246E-5</v>
      </c>
      <c r="CS408" s="17">
        <f t="shared" si="79"/>
        <v>4.8165776069121993E-2</v>
      </c>
    </row>
    <row r="409" spans="92:97" x14ac:dyDescent="0.45">
      <c r="CN409" s="9">
        <v>203</v>
      </c>
      <c r="CO409" s="17">
        <v>0.05</v>
      </c>
      <c r="CP409" s="17">
        <v>-8.6285987589446297E-4</v>
      </c>
      <c r="CQ409" s="17">
        <v>-9.7917163788776825E-4</v>
      </c>
      <c r="CR409" s="17">
        <v>1.2325375837415197E-5</v>
      </c>
      <c r="CS409" s="17">
        <f t="shared" si="79"/>
        <v>4.8170293862055187E-2</v>
      </c>
    </row>
    <row r="410" spans="92:97" x14ac:dyDescent="0.45">
      <c r="CN410" s="9">
        <v>203.5</v>
      </c>
      <c r="CO410" s="17">
        <v>0.05</v>
      </c>
      <c r="CP410" s="17">
        <v>-8.6073982705934138E-4</v>
      </c>
      <c r="CQ410" s="17">
        <v>-9.7676581076765103E-4</v>
      </c>
      <c r="CR410" s="17">
        <v>1.2295092358699188E-5</v>
      </c>
      <c r="CS410" s="17">
        <f t="shared" si="79"/>
        <v>4.8174789454531707E-2</v>
      </c>
    </row>
    <row r="411" spans="92:97" x14ac:dyDescent="0.45">
      <c r="CN411" s="9">
        <v>204</v>
      </c>
      <c r="CO411" s="17">
        <v>0.05</v>
      </c>
      <c r="CP411" s="17">
        <v>-8.5863017062047043E-4</v>
      </c>
      <c r="CQ411" s="17">
        <v>-9.7437177691773026E-4</v>
      </c>
      <c r="CR411" s="17">
        <v>1.2264957328408259E-5</v>
      </c>
      <c r="CS411" s="17">
        <f t="shared" si="79"/>
        <v>4.817926300979021E-2</v>
      </c>
    </row>
    <row r="412" spans="92:97" x14ac:dyDescent="0.45">
      <c r="CN412" s="9">
        <v>204.5</v>
      </c>
      <c r="CO412" s="17">
        <v>0.05</v>
      </c>
      <c r="CP412" s="17">
        <v>-8.5653083035000478E-4</v>
      </c>
      <c r="CQ412" s="17">
        <v>-9.7198944983480182E-4</v>
      </c>
      <c r="CR412" s="17">
        <v>1.2234969657678655E-5</v>
      </c>
      <c r="CS412" s="17">
        <f t="shared" si="79"/>
        <v>4.8183714689472877E-2</v>
      </c>
    </row>
    <row r="413" spans="92:97" x14ac:dyDescent="0.45">
      <c r="CN413" s="9">
        <v>205</v>
      </c>
      <c r="CO413" s="17">
        <v>0.05</v>
      </c>
      <c r="CP413" s="17">
        <v>-8.5444173076378526E-4</v>
      </c>
      <c r="CQ413" s="17">
        <v>-9.696187438595949E-4</v>
      </c>
      <c r="CR413" s="17">
        <v>1.2205128268269682E-5</v>
      </c>
      <c r="CS413" s="17">
        <f t="shared" si="79"/>
        <v>4.818814465364489E-2</v>
      </c>
    </row>
    <row r="414" spans="92:97" x14ac:dyDescent="0.45">
      <c r="CN414" s="9">
        <v>205.5</v>
      </c>
      <c r="CO414" s="17">
        <v>0.05</v>
      </c>
      <c r="CP414" s="17">
        <v>-8.5236279711229182E-4</v>
      </c>
      <c r="CQ414" s="17">
        <v>-9.6725957416650583E-4</v>
      </c>
      <c r="CR414" s="17">
        <v>1.2175432092434476E-5</v>
      </c>
      <c r="CS414" s="17">
        <f t="shared" si="79"/>
        <v>4.8192553060813638E-2</v>
      </c>
    </row>
    <row r="415" spans="92:97" x14ac:dyDescent="0.45">
      <c r="CN415" s="9">
        <v>206</v>
      </c>
      <c r="CO415" s="17">
        <v>0.05</v>
      </c>
      <c r="CP415" s="17">
        <v>-8.5029395537172803E-4</v>
      </c>
      <c r="CQ415" s="17">
        <v>-9.6491185675348038E-4</v>
      </c>
      <c r="CR415" s="17">
        <v>1.2145880072792645E-5</v>
      </c>
      <c r="CS415" s="17">
        <f t="shared" si="79"/>
        <v>4.8196940067947586E-2</v>
      </c>
    </row>
    <row r="416" spans="92:97" x14ac:dyDescent="0.45">
      <c r="CN416" s="9">
        <v>206.5</v>
      </c>
      <c r="CO416" s="17">
        <v>0.05</v>
      </c>
      <c r="CP416" s="17">
        <v>-8.4823513223523472E-4</v>
      </c>
      <c r="CQ416" s="17">
        <v>-9.6257550843204345E-4</v>
      </c>
      <c r="CR416" s="17">
        <v>1.2116471162204769E-5</v>
      </c>
      <c r="CS416" s="17">
        <f t="shared" si="79"/>
        <v>4.820130583049493E-2</v>
      </c>
    </row>
    <row r="417" spans="92:97" x14ac:dyDescent="0.45">
      <c r="CN417" s="9">
        <v>207</v>
      </c>
      <c r="CO417" s="17">
        <v>0.05</v>
      </c>
      <c r="CP417" s="17">
        <v>-8.4618625510423176E-4</v>
      </c>
      <c r="CQ417" s="17">
        <v>-9.6025044681747316E-4</v>
      </c>
      <c r="CR417" s="17">
        <v>1.208720432364872E-5</v>
      </c>
      <c r="CS417" s="17">
        <f t="shared" si="79"/>
        <v>4.8205650502401942E-2</v>
      </c>
    </row>
    <row r="418" spans="92:97" x14ac:dyDescent="0.45">
      <c r="CN418" s="9">
        <v>207.5</v>
      </c>
      <c r="CO418" s="17">
        <v>0.05</v>
      </c>
      <c r="CP418" s="17">
        <v>-8.4414725207988415E-4</v>
      </c>
      <c r="CQ418" s="17">
        <v>-9.5793659031911797E-4</v>
      </c>
      <c r="CR418" s="17">
        <v>1.2058078530097759E-5</v>
      </c>
      <c r="CS418" s="17">
        <f t="shared" si="79"/>
        <v>4.8209974236131097E-2</v>
      </c>
    </row>
    <row r="419" spans="92:97" x14ac:dyDescent="0.45">
      <c r="CN419" s="9">
        <v>208</v>
      </c>
      <c r="CO419" s="17">
        <v>0.05</v>
      </c>
      <c r="CP419" s="17">
        <v>-8.4211805195469217E-4</v>
      </c>
      <c r="CQ419" s="17">
        <v>-9.5563385813085078E-4</v>
      </c>
      <c r="CR419" s="17">
        <v>1.2029092764400409E-5</v>
      </c>
      <c r="CS419" s="17">
        <f t="shared" si="79"/>
        <v>4.8214277182678858E-2</v>
      </c>
    </row>
    <row r="420" spans="92:97" x14ac:dyDescent="0.45">
      <c r="CN420" s="9">
        <v>208.5</v>
      </c>
      <c r="CO420" s="17">
        <v>0.05</v>
      </c>
      <c r="CP420" s="17">
        <v>-8.4009858420420124E-4</v>
      </c>
      <c r="CQ420" s="17">
        <v>-9.5334217022166406E-4</v>
      </c>
      <c r="CR420" s="17">
        <v>1.2000246019162038E-5</v>
      </c>
      <c r="CS420" s="17">
        <f t="shared" si="79"/>
        <v>4.8218559491593295E-2</v>
      </c>
    </row>
    <row r="421" spans="92:97" x14ac:dyDescent="0.45">
      <c r="CN421" s="9">
        <v>209</v>
      </c>
      <c r="CO421" s="17">
        <v>0.05</v>
      </c>
      <c r="CP421" s="17">
        <v>-8.3808877897883236E-4</v>
      </c>
      <c r="CQ421" s="17">
        <v>-9.5106144732639696E-4</v>
      </c>
      <c r="CR421" s="17">
        <v>1.1971537296628158E-5</v>
      </c>
      <c r="CS421" s="17">
        <f t="shared" si="79"/>
        <v>4.8222821310991405E-2</v>
      </c>
    </row>
    <row r="422" spans="92:97" x14ac:dyDescent="0.45">
      <c r="CN422" s="9">
        <v>209.5</v>
      </c>
      <c r="CO422" s="17">
        <v>0.05</v>
      </c>
      <c r="CP422" s="17">
        <v>-8.36088567095828E-4</v>
      </c>
      <c r="CQ422" s="17">
        <v>-9.4879161093659639E-4</v>
      </c>
      <c r="CR422" s="17">
        <v>1.1942965608569379E-5</v>
      </c>
      <c r="CS422" s="17">
        <f t="shared" si="79"/>
        <v>4.8227062787576144E-2</v>
      </c>
    </row>
    <row r="423" spans="92:97" x14ac:dyDescent="0.45">
      <c r="CN423" s="9">
        <v>210</v>
      </c>
      <c r="CO423" s="17">
        <v>0.05</v>
      </c>
      <c r="CP423" s="17">
        <v>-8.340978800313141E-4</v>
      </c>
      <c r="CQ423" s="17">
        <v>-9.4653258329150931E-4</v>
      </c>
      <c r="CR423" s="17">
        <v>1.1914529976168023E-5</v>
      </c>
      <c r="CS423" s="17">
        <f t="shared" si="79"/>
        <v>4.8231284066653342E-2</v>
      </c>
    </row>
    <row r="424" spans="92:97" x14ac:dyDescent="0.45">
      <c r="CN424" s="9">
        <v>210.5</v>
      </c>
      <c r="CO424" s="17">
        <v>0.05</v>
      </c>
      <c r="CP424" s="17">
        <v>-8.321166499124749E-4</v>
      </c>
      <c r="CQ424" s="17">
        <v>-9.4428428736920177E-4</v>
      </c>
      <c r="CR424" s="17">
        <v>1.1886229429906342E-5</v>
      </c>
      <c r="CS424" s="17">
        <f t="shared" si="79"/>
        <v>4.8235485292148238E-2</v>
      </c>
    </row>
    <row r="425" spans="92:97" x14ac:dyDescent="0.45">
      <c r="CN425" s="9">
        <v>211</v>
      </c>
      <c r="CO425" s="17">
        <v>0.05</v>
      </c>
      <c r="CP425" s="17">
        <v>-8.3014480950983872E-4</v>
      </c>
      <c r="CQ425" s="17">
        <v>-9.4204664687780554E-4</v>
      </c>
      <c r="CR425" s="17">
        <v>1.1858063009456328E-5</v>
      </c>
      <c r="CS425" s="17">
        <f t="shared" si="79"/>
        <v>4.8239666606621816E-2</v>
      </c>
    </row>
    <row r="426" spans="92:97" x14ac:dyDescent="0.45">
      <c r="CN426" s="9">
        <v>211.5</v>
      </c>
      <c r="CO426" s="17">
        <v>0.05</v>
      </c>
      <c r="CP426" s="17">
        <v>-8.2818229222967363E-4</v>
      </c>
      <c r="CQ426" s="17">
        <v>-9.3981958624688865E-4</v>
      </c>
      <c r="CR426" s="17">
        <v>1.1830029763571087E-5</v>
      </c>
      <c r="CS426" s="17">
        <f t="shared" si="79"/>
        <v>4.8243828151287013E-2</v>
      </c>
    </row>
    <row r="427" spans="92:97" x14ac:dyDescent="0.45">
      <c r="CN427" s="9">
        <v>212</v>
      </c>
      <c r="CO427" s="17">
        <v>0.05</v>
      </c>
      <c r="CP427" s="17">
        <v>-8.2622903210649037E-4</v>
      </c>
      <c r="CQ427" s="17">
        <v>-9.3760303061894798E-4</v>
      </c>
      <c r="CR427" s="17">
        <v>1.1802128749977761E-5</v>
      </c>
      <c r="CS427" s="17">
        <f t="shared" si="79"/>
        <v>4.8247970066024548E-2</v>
      </c>
    </row>
    <row r="428" spans="92:97" x14ac:dyDescent="0.45">
      <c r="CN428" s="9">
        <v>212.5</v>
      </c>
      <c r="CO428" s="17">
        <v>0.05</v>
      </c>
      <c r="CP428" s="17">
        <v>-8.2428496379565157E-4</v>
      </c>
      <c r="CQ428" s="17">
        <v>-9.3539690584102091E-4</v>
      </c>
      <c r="CR428" s="17">
        <v>1.1774359035271931E-5</v>
      </c>
      <c r="CS428" s="17">
        <f t="shared" si="79"/>
        <v>4.8252092489398608E-2</v>
      </c>
    </row>
    <row r="429" spans="92:97" x14ac:dyDescent="0.45">
      <c r="CN429" s="9">
        <v>213</v>
      </c>
      <c r="CO429" s="17">
        <v>0.05</v>
      </c>
      <c r="CP429" s="17">
        <v>-8.2235002256608432E-4</v>
      </c>
      <c r="CQ429" s="17">
        <v>-9.3320113845641759E-4</v>
      </c>
      <c r="CR429" s="17">
        <v>1.1746719694813545E-5</v>
      </c>
      <c r="CS429" s="17">
        <f t="shared" si="79"/>
        <v>4.8256195558672312E-2</v>
      </c>
    </row>
    <row r="430" spans="92:97" x14ac:dyDescent="0.45">
      <c r="CN430" s="9">
        <v>213.5</v>
      </c>
      <c r="CO430" s="17">
        <v>0.05</v>
      </c>
      <c r="CP430" s="17">
        <v>-8.2042414429309585E-4</v>
      </c>
      <c r="CQ430" s="17">
        <v>-9.3101565569656648E-4</v>
      </c>
      <c r="CR430" s="17">
        <v>1.1719209812624286E-5</v>
      </c>
      <c r="CS430" s="17">
        <f t="shared" si="79"/>
        <v>4.8260279409822963E-2</v>
      </c>
    </row>
    <row r="431" spans="92:97" x14ac:dyDescent="0.45">
      <c r="CN431" s="9">
        <v>214</v>
      </c>
      <c r="CO431" s="17">
        <v>0.05</v>
      </c>
      <c r="CP431" s="17">
        <v>-8.1850726545128953E-4</v>
      </c>
      <c r="CQ431" s="17">
        <v>-9.2884038547297646E-4</v>
      </c>
      <c r="CR431" s="17">
        <v>1.1691828481286379E-5</v>
      </c>
      <c r="CS431" s="17">
        <f t="shared" si="79"/>
        <v>4.8264344177557025E-2</v>
      </c>
    </row>
    <row r="432" spans="92:97" x14ac:dyDescent="0.45">
      <c r="CN432" s="9">
        <v>214.5</v>
      </c>
      <c r="CO432" s="17">
        <v>0.05</v>
      </c>
      <c r="CP432" s="17">
        <v>-8.1659932310758029E-4</v>
      </c>
      <c r="CQ432" s="17">
        <v>-9.2667525636930986E-4</v>
      </c>
      <c r="CR432" s="17">
        <v>1.166457480184282E-5</v>
      </c>
      <c r="CS432" s="17">
        <f t="shared" si="79"/>
        <v>4.8268389995324949E-2</v>
      </c>
    </row>
    <row r="433" spans="92:97" x14ac:dyDescent="0.45">
      <c r="CN433" s="9">
        <v>215</v>
      </c>
      <c r="CO433" s="17">
        <v>0.05</v>
      </c>
      <c r="CP433" s="17">
        <v>-8.147002549143068E-4</v>
      </c>
      <c r="CQ433" s="17">
        <v>-9.2452019763356724E-4</v>
      </c>
      <c r="CR433" s="17">
        <v>1.1637447883698999E-5</v>
      </c>
      <c r="CS433" s="17">
        <f t="shared" si="79"/>
        <v>4.8272416995335826E-2</v>
      </c>
    </row>
    <row r="434" spans="92:97" x14ac:dyDescent="0.45">
      <c r="CN434" s="9">
        <v>215.5</v>
      </c>
      <c r="CO434" s="17">
        <v>0.05</v>
      </c>
      <c r="CP434" s="17">
        <v>-8.128099991024407E-4</v>
      </c>
      <c r="CQ434" s="17">
        <v>-9.2237513917038032E-4</v>
      </c>
      <c r="CR434" s="17">
        <v>1.1610446844525685E-5</v>
      </c>
      <c r="CS434" s="17">
        <f t="shared" si="79"/>
        <v>4.8276425308571715E-2</v>
      </c>
    </row>
    <row r="435" spans="92:97" x14ac:dyDescent="0.45">
      <c r="CN435" s="9">
        <v>216</v>
      </c>
      <c r="CO435" s="17">
        <v>0.05</v>
      </c>
      <c r="CP435" s="17">
        <v>-8.109284944748887E-4</v>
      </c>
      <c r="CQ435" s="17">
        <v>-9.2024001153341182E-4</v>
      </c>
      <c r="CR435" s="17">
        <v>1.1583570810163358E-5</v>
      </c>
      <c r="CS435" s="17">
        <f t="shared" si="79"/>
        <v>4.8280415064801872E-2</v>
      </c>
    </row>
    <row r="436" spans="92:97" x14ac:dyDescent="0.45">
      <c r="CN436" s="9">
        <v>216.5</v>
      </c>
      <c r="CO436" s="17">
        <v>0.05</v>
      </c>
      <c r="CP436" s="17">
        <v>-8.0905568039988892E-4</v>
      </c>
      <c r="CQ436" s="17">
        <v>-9.1811474591786126E-4</v>
      </c>
      <c r="CR436" s="17">
        <v>1.1556818914527875E-5</v>
      </c>
      <c r="CS436" s="17">
        <f t="shared" si="79"/>
        <v>4.828438639259678E-2</v>
      </c>
    </row>
    <row r="437" spans="92:97" x14ac:dyDescent="0.45">
      <c r="CN437" s="9">
        <v>217</v>
      </c>
      <c r="CO437" s="17">
        <v>0.05</v>
      </c>
      <c r="CP437" s="17">
        <v>-8.0719149680449757E-4</v>
      </c>
      <c r="CQ437" s="17">
        <v>-9.1599927415307353E-4</v>
      </c>
      <c r="CR437" s="17">
        <v>1.1530190299517443E-5</v>
      </c>
      <c r="CS437" s="17">
        <f t="shared" si="79"/>
        <v>4.8288339419341943E-2</v>
      </c>
    </row>
    <row r="438" spans="92:97" x14ac:dyDescent="0.45">
      <c r="CN438" s="9">
        <v>217.5</v>
      </c>
      <c r="CO438" s="17">
        <v>0.05</v>
      </c>
      <c r="CP438" s="17">
        <v>-8.0533588416816535E-4</v>
      </c>
      <c r="CQ438" s="17">
        <v>-9.1389352869525027E-4</v>
      </c>
      <c r="CR438" s="17">
        <v>1.1503684114920852E-5</v>
      </c>
      <c r="CS438" s="17">
        <f t="shared" si="79"/>
        <v>4.8292274271251504E-2</v>
      </c>
    </row>
    <row r="439" spans="92:97" x14ac:dyDescent="0.45">
      <c r="CN439" s="9">
        <v>218</v>
      </c>
      <c r="CO439" s="17">
        <v>0.05</v>
      </c>
      <c r="CP439" s="17">
        <v>-8.0348878351640344E-4</v>
      </c>
      <c r="CQ439" s="17">
        <v>-9.1179744262026119E-4</v>
      </c>
      <c r="CR439" s="17">
        <v>1.1477299518326996E-5</v>
      </c>
      <c r="CS439" s="17">
        <f t="shared" si="79"/>
        <v>4.8296191073381671E-2</v>
      </c>
    </row>
    <row r="440" spans="92:97" x14ac:dyDescent="0.45">
      <c r="CN440" s="9">
        <v>218.5</v>
      </c>
      <c r="CO440" s="17">
        <v>0.05</v>
      </c>
      <c r="CP440" s="17">
        <v>-8.0165013641453526E-4</v>
      </c>
      <c r="CQ440" s="17">
        <v>-9.0971094961655357E-4</v>
      </c>
      <c r="CR440" s="17">
        <v>1.145103567503563E-5</v>
      </c>
      <c r="CS440" s="17">
        <f t="shared" si="79"/>
        <v>4.8300089949643951E-2</v>
      </c>
    </row>
    <row r="441" spans="92:97" x14ac:dyDescent="0.45">
      <c r="CN441" s="9">
        <v>219</v>
      </c>
      <c r="CO441" s="17">
        <v>0.05</v>
      </c>
      <c r="CP441" s="17">
        <v>-7.9981988496153407E-4</v>
      </c>
      <c r="CQ441" s="17">
        <v>-9.0763398397815951E-4</v>
      </c>
      <c r="CR441" s="17">
        <v>1.1424891757969339E-5</v>
      </c>
      <c r="CS441" s="17">
        <f t="shared" si="79"/>
        <v>4.8303971022818276E-2</v>
      </c>
    </row>
    <row r="442" spans="92:97" x14ac:dyDescent="0.45">
      <c r="CN442" s="9">
        <v>219.5</v>
      </c>
      <c r="CO442" s="17">
        <v>0.05</v>
      </c>
      <c r="CP442" s="17">
        <v>-7.9799797178394514E-4</v>
      </c>
      <c r="CQ442" s="17">
        <v>-9.0556648059779941E-4</v>
      </c>
      <c r="CR442" s="17">
        <v>1.1398866947586721E-5</v>
      </c>
      <c r="CS442" s="17">
        <f t="shared" si="79"/>
        <v>4.8307834414565841E-2</v>
      </c>
    </row>
    <row r="443" spans="92:97" x14ac:dyDescent="0.45">
      <c r="CN443" s="9">
        <v>220</v>
      </c>
      <c r="CO443" s="17">
        <v>0.05</v>
      </c>
      <c r="CP443" s="17">
        <v>-7.9618434002989077E-4</v>
      </c>
      <c r="CQ443" s="17">
        <v>-9.0350837496007701E-4</v>
      </c>
      <c r="CR443" s="17">
        <v>1.1372960431796751E-5</v>
      </c>
      <c r="CS443" s="17">
        <f t="shared" si="79"/>
        <v>4.8311680245441836E-2</v>
      </c>
    </row>
    <row r="444" spans="92:97" x14ac:dyDescent="0.45">
      <c r="CN444" s="9">
        <v>220.5</v>
      </c>
      <c r="CO444" s="17">
        <v>0.05</v>
      </c>
      <c r="CP444" s="17">
        <v>-7.9437893336315628E-4</v>
      </c>
      <c r="CQ444" s="17">
        <v>-9.0145960313477071E-4</v>
      </c>
      <c r="CR444" s="17">
        <v>1.1347171405874306E-5</v>
      </c>
      <c r="CS444" s="17">
        <f t="shared" si="79"/>
        <v>4.8315508634907953E-2</v>
      </c>
    </row>
    <row r="445" spans="92:97" x14ac:dyDescent="0.45">
      <c r="CN445" s="9">
        <v>221</v>
      </c>
      <c r="CO445" s="17">
        <v>0.05</v>
      </c>
      <c r="CP445" s="17">
        <v>-7.9258169595735728E-4</v>
      </c>
      <c r="CQ445" s="17">
        <v>-8.9942010177021243E-4</v>
      </c>
      <c r="CR445" s="17">
        <v>1.1321499072376853E-5</v>
      </c>
      <c r="CS445" s="17">
        <f t="shared" si="79"/>
        <v>4.8319319701344808E-2</v>
      </c>
    </row>
    <row r="446" spans="92:97" x14ac:dyDescent="0.45">
      <c r="CN446" s="9">
        <v>221.5</v>
      </c>
      <c r="CO446" s="17">
        <v>0.05</v>
      </c>
      <c r="CP446" s="17">
        <v>-7.9079257249018494E-4</v>
      </c>
      <c r="CQ446" s="17">
        <v>-8.9738980808675827E-4</v>
      </c>
      <c r="CR446" s="17">
        <v>1.1295942641062234E-5</v>
      </c>
      <c r="CS446" s="17">
        <f t="shared" si="79"/>
        <v>4.8323113562064125E-2</v>
      </c>
    </row>
    <row r="447" spans="92:97" x14ac:dyDescent="0.45">
      <c r="CN447" s="9">
        <v>222</v>
      </c>
      <c r="CO447" s="17">
        <v>0.05</v>
      </c>
      <c r="CP447" s="17">
        <v>-7.8901150813772954E-4</v>
      </c>
      <c r="CQ447" s="17">
        <v>-8.9536865987034653E-4</v>
      </c>
      <c r="CR447" s="17">
        <v>1.1270501328807588E-5</v>
      </c>
      <c r="CS447" s="17">
        <f t="shared" si="79"/>
        <v>4.8326890333320729E-2</v>
      </c>
    </row>
    <row r="448" spans="92:97" x14ac:dyDescent="0.45">
      <c r="CN448" s="9">
        <v>222.5</v>
      </c>
      <c r="CO448" s="17">
        <v>0.05</v>
      </c>
      <c r="CP448" s="17">
        <v>-7.8723844856888072E-4</v>
      </c>
      <c r="CQ448" s="17">
        <v>-8.9335659546614351E-4</v>
      </c>
      <c r="CR448" s="17">
        <v>1.124517435952937E-5</v>
      </c>
      <c r="CS448" s="17">
        <f t="shared" si="79"/>
        <v>4.8330650130324504E-2</v>
      </c>
    </row>
    <row r="449" spans="92:97" x14ac:dyDescent="0.45">
      <c r="CN449" s="9">
        <v>223</v>
      </c>
      <c r="CO449" s="17">
        <v>0.05</v>
      </c>
      <c r="CP449" s="17">
        <v>-7.8547333993980251E-4</v>
      </c>
      <c r="CQ449" s="17">
        <v>-8.9135355377227327E-4</v>
      </c>
      <c r="CR449" s="17">
        <v>1.1219960964104417E-5</v>
      </c>
      <c r="CS449" s="17">
        <f t="shared" si="79"/>
        <v>4.8334393067252034E-2</v>
      </c>
    </row>
    <row r="450" spans="92:97" x14ac:dyDescent="0.45">
      <c r="CN450" s="9">
        <v>223.5</v>
      </c>
      <c r="CO450" s="17">
        <v>0.05</v>
      </c>
      <c r="CP450" s="17">
        <v>-7.8371612888848306E-4</v>
      </c>
      <c r="CQ450" s="17">
        <v>-8.8935947423363288E-4</v>
      </c>
      <c r="CR450" s="17">
        <v>1.1194860380292102E-5</v>
      </c>
      <c r="CS450" s="17">
        <f t="shared" si="79"/>
        <v>4.8338119257258186E-2</v>
      </c>
    </row>
    <row r="451" spans="92:97" x14ac:dyDescent="0.45">
      <c r="CN451" s="9">
        <v>224</v>
      </c>
      <c r="CO451" s="17">
        <v>0.05</v>
      </c>
      <c r="CP451" s="17">
        <v>-7.8196676252935697E-4</v>
      </c>
      <c r="CQ451" s="17">
        <v>-8.8737429683579002E-4</v>
      </c>
      <c r="CR451" s="17">
        <v>1.1169871852657521E-5</v>
      </c>
      <c r="CS451" s="17">
        <f t="shared" si="79"/>
        <v>4.8341828812487518E-2</v>
      </c>
    </row>
    <row r="452" spans="92:97" x14ac:dyDescent="0.45">
      <c r="CN452" s="9">
        <v>224.5</v>
      </c>
      <c r="CO452" s="17">
        <v>0.05</v>
      </c>
      <c r="CP452" s="17">
        <v>-7.8022518844799978E-4</v>
      </c>
      <c r="CQ452" s="17">
        <v>-8.8539796209896181E-4</v>
      </c>
      <c r="CR452" s="17">
        <v>1.11449946324957E-5</v>
      </c>
      <c r="CS452" s="17">
        <f t="shared" ref="CS452:CS503" si="80">SUM(CO452:CR452)</f>
        <v>4.834552184408554E-2</v>
      </c>
    </row>
    <row r="453" spans="92:97" x14ac:dyDescent="0.45">
      <c r="CN453" s="9">
        <v>225</v>
      </c>
      <c r="CO453" s="17">
        <v>0.05</v>
      </c>
      <c r="CP453" s="17">
        <v>-7.7849135469589318E-4</v>
      </c>
      <c r="CQ453" s="17">
        <v>-8.834304110720753E-4</v>
      </c>
      <c r="CR453" s="17">
        <v>1.1120227977756821E-5</v>
      </c>
      <c r="CS453" s="17">
        <f t="shared" si="80"/>
        <v>4.8349198462209794E-2</v>
      </c>
    </row>
    <row r="454" spans="92:97" x14ac:dyDescent="0.45">
      <c r="CN454" s="9">
        <v>225.5</v>
      </c>
      <c r="CO454" s="17">
        <v>0.05</v>
      </c>
      <c r="CP454" s="17">
        <v>-7.7676520978525927E-4</v>
      </c>
      <c r="CQ454" s="17">
        <v>-8.8147158532690445E-4</v>
      </c>
      <c r="CR454" s="17">
        <v>1.1095571152972438E-5</v>
      </c>
      <c r="CS454" s="17">
        <f t="shared" si="80"/>
        <v>4.8352858776040814E-2</v>
      </c>
    </row>
    <row r="455" spans="92:97" x14ac:dyDescent="0.45">
      <c r="CN455" s="9">
        <v>226</v>
      </c>
      <c r="CO455" s="17">
        <v>0.05</v>
      </c>
      <c r="CP455" s="17">
        <v>-7.7504670268396445E-4</v>
      </c>
      <c r="CQ455" s="17">
        <v>-8.7952142695228741E-4</v>
      </c>
      <c r="CR455" s="17">
        <v>1.1071023429182676E-5</v>
      </c>
      <c r="CS455" s="17">
        <f t="shared" si="80"/>
        <v>4.8356502893792938E-2</v>
      </c>
    </row>
    <row r="456" spans="92:97" x14ac:dyDescent="0.45">
      <c r="CN456" s="9">
        <v>226.5</v>
      </c>
      <c r="CO456" s="17">
        <v>0.05</v>
      </c>
      <c r="CP456" s="17">
        <v>-7.7333578281048982E-4</v>
      </c>
      <c r="CQ456" s="17">
        <v>-8.775798785484192E-4</v>
      </c>
      <c r="CR456" s="17">
        <v>1.1046584083864391E-5</v>
      </c>
      <c r="CS456" s="17">
        <f t="shared" si="80"/>
        <v>4.836013092272496E-2</v>
      </c>
    </row>
    <row r="457" spans="92:97" x14ac:dyDescent="0.45">
      <c r="CN457" s="9">
        <v>227</v>
      </c>
      <c r="CO457" s="17">
        <v>0.05</v>
      </c>
      <c r="CP457" s="17">
        <v>-7.71632400028969E-4</v>
      </c>
      <c r="CQ457" s="17">
        <v>-8.7564688322122001E-4</v>
      </c>
      <c r="CR457" s="17">
        <v>1.1022252400860285E-5</v>
      </c>
      <c r="CS457" s="17">
        <f t="shared" si="80"/>
        <v>4.8363742969150678E-2</v>
      </c>
    </row>
    <row r="458" spans="92:97" x14ac:dyDescent="0.45">
      <c r="CN458" s="9">
        <v>227.5</v>
      </c>
      <c r="CO458" s="17">
        <v>0.05</v>
      </c>
      <c r="CP458" s="17">
        <v>-7.6993650464428993E-4</v>
      </c>
      <c r="CQ458" s="17">
        <v>-8.7372238457677782E-4</v>
      </c>
      <c r="CR458" s="17">
        <v>1.0998027670308943E-5</v>
      </c>
      <c r="CS458" s="17">
        <f t="shared" si="80"/>
        <v>4.836733913844924E-2</v>
      </c>
    </row>
    <row r="459" spans="92:97" x14ac:dyDescent="0.45">
      <c r="CN459" s="9">
        <v>228</v>
      </c>
      <c r="CO459" s="17">
        <v>0.05</v>
      </c>
      <c r="CP459" s="17">
        <v>-7.68248047397263E-4</v>
      </c>
      <c r="CQ459" s="17">
        <v>-8.7180632671586382E-4</v>
      </c>
      <c r="CR459" s="17">
        <v>1.097390918857581E-5</v>
      </c>
      <c r="CS459" s="17">
        <f t="shared" si="80"/>
        <v>4.8370919535075448E-2</v>
      </c>
    </row>
    <row r="460" spans="92:97" x14ac:dyDescent="0.45">
      <c r="CN460" s="9">
        <v>228.5</v>
      </c>
      <c r="CO460" s="17">
        <v>0.05</v>
      </c>
      <c r="CP460" s="17">
        <v>-7.66566979459851E-4</v>
      </c>
      <c r="CQ460" s="17">
        <v>-8.6989865422852056E-4</v>
      </c>
      <c r="CR460" s="17">
        <v>1.0949896258185055E-5</v>
      </c>
      <c r="CS460" s="17">
        <f t="shared" si="80"/>
        <v>4.8374484262569815E-2</v>
      </c>
    </row>
    <row r="461" spans="92:97" x14ac:dyDescent="0.45">
      <c r="CN461" s="9">
        <v>229</v>
      </c>
      <c r="CO461" s="17">
        <v>0.05</v>
      </c>
      <c r="CP461" s="17">
        <v>-7.6489325243046271E-4</v>
      </c>
      <c r="CQ461" s="17">
        <v>-8.6799931218872035E-4</v>
      </c>
      <c r="CR461" s="17">
        <v>1.0925988187752336E-5</v>
      </c>
      <c r="CS461" s="17">
        <f t="shared" si="80"/>
        <v>4.8378033423568577E-2</v>
      </c>
    </row>
    <row r="462" spans="92:97" x14ac:dyDescent="0.45">
      <c r="CN462" s="9">
        <v>229.5</v>
      </c>
      <c r="CO462" s="17">
        <v>0.05</v>
      </c>
      <c r="CP462" s="17">
        <v>-7.6322681832930697E-4</v>
      </c>
      <c r="CQ462" s="17">
        <v>-8.6610824614909339E-4</v>
      </c>
      <c r="CR462" s="17">
        <v>1.0902184291918452E-5</v>
      </c>
      <c r="CS462" s="17">
        <f t="shared" si="80"/>
        <v>4.8381567119813521E-2</v>
      </c>
    </row>
    <row r="463" spans="92:97" x14ac:dyDescent="0.45">
      <c r="CN463" s="9">
        <v>230</v>
      </c>
      <c r="CO463" s="17">
        <v>0.05</v>
      </c>
      <c r="CP463" s="17">
        <v>-7.6156762959380851E-4</v>
      </c>
      <c r="CQ463" s="17">
        <v>-8.6422540213572591E-4</v>
      </c>
      <c r="CR463" s="17">
        <v>1.0878483891283847E-5</v>
      </c>
      <c r="CS463" s="17">
        <f t="shared" si="80"/>
        <v>4.8385085452161761E-2</v>
      </c>
    </row>
    <row r="464" spans="92:97" x14ac:dyDescent="0.45">
      <c r="CN464" s="9">
        <v>230.5</v>
      </c>
      <c r="CO464" s="17">
        <v>0.05</v>
      </c>
      <c r="CP464" s="17">
        <v>-7.5991563907408218E-4</v>
      </c>
      <c r="CQ464" s="17">
        <v>-8.6235072664302365E-4</v>
      </c>
      <c r="CR464" s="17">
        <v>1.085488631234397E-5</v>
      </c>
      <c r="CS464" s="17">
        <f t="shared" si="80"/>
        <v>4.8388588520595237E-2</v>
      </c>
    </row>
    <row r="465" spans="92:97" x14ac:dyDescent="0.45">
      <c r="CN465" s="9">
        <v>231</v>
      </c>
      <c r="CO465" s="17">
        <v>0.05</v>
      </c>
      <c r="CP465" s="17">
        <v>-7.5827080002846732E-4</v>
      </c>
      <c r="CQ465" s="17">
        <v>-8.6048416662864481E-4</v>
      </c>
      <c r="CR465" s="17">
        <v>1.0831390887425475E-5</v>
      </c>
      <c r="CS465" s="17">
        <f t="shared" si="80"/>
        <v>4.8392076424230317E-2</v>
      </c>
    </row>
    <row r="466" spans="92:97" x14ac:dyDescent="0.45">
      <c r="CN466" s="9">
        <v>231.5</v>
      </c>
      <c r="CO466" s="17">
        <v>0.05</v>
      </c>
      <c r="CP466" s="17">
        <v>-7.5663306611911858E-4</v>
      </c>
      <c r="CQ466" s="17">
        <v>-8.5862566950849651E-4</v>
      </c>
      <c r="CR466" s="17">
        <v>1.0807996954623262E-5</v>
      </c>
      <c r="CS466" s="17">
        <f t="shared" si="80"/>
        <v>4.8395549261327012E-2</v>
      </c>
    </row>
    <row r="467" spans="92:97" x14ac:dyDescent="0.45">
      <c r="CN467" s="9">
        <v>232</v>
      </c>
      <c r="CO467" s="17">
        <v>0.05</v>
      </c>
      <c r="CP467" s="17">
        <v>-7.5500239140765494E-4</v>
      </c>
      <c r="CQ467" s="17">
        <v>-8.5677518315179716E-4</v>
      </c>
      <c r="CR467" s="17">
        <v>1.0784703857738297E-5</v>
      </c>
      <c r="CS467" s="17">
        <f t="shared" si="80"/>
        <v>4.8399007129298288E-2</v>
      </c>
    </row>
    <row r="468" spans="92:97" x14ac:dyDescent="0.45">
      <c r="CN468" s="9">
        <v>232.5</v>
      </c>
      <c r="CO468" s="17">
        <v>0.05</v>
      </c>
      <c r="CP468" s="17">
        <v>-7.5337873035086428E-4</v>
      </c>
      <c r="CQ468" s="17">
        <v>-8.5493265587620185E-4</v>
      </c>
      <c r="CR468" s="17">
        <v>1.076151094621628E-5</v>
      </c>
      <c r="CS468" s="17">
        <f t="shared" si="80"/>
        <v>4.8402450124719151E-2</v>
      </c>
    </row>
    <row r="469" spans="92:97" x14ac:dyDescent="0.45">
      <c r="CN469" s="9">
        <v>233</v>
      </c>
      <c r="CO469" s="17">
        <v>0.05</v>
      </c>
      <c r="CP469" s="17">
        <v>-7.5176203779646334E-4</v>
      </c>
      <c r="CQ469" s="17">
        <v>-8.5309803644299125E-4</v>
      </c>
      <c r="CR469" s="17">
        <v>1.073841757508706E-5</v>
      </c>
      <c r="CS469" s="17">
        <f t="shared" si="80"/>
        <v>4.8405878343335637E-2</v>
      </c>
    </row>
    <row r="470" spans="92:97" x14ac:dyDescent="0.45">
      <c r="CN470" s="9">
        <v>233.5</v>
      </c>
      <c r="CO470" s="17">
        <v>0.05</v>
      </c>
      <c r="CP470" s="17">
        <v>-7.5015226897891208E-4</v>
      </c>
      <c r="CQ470" s="17">
        <v>-8.51271274052321E-4</v>
      </c>
      <c r="CR470" s="17">
        <v>1.0715423104904861E-5</v>
      </c>
      <c r="CS470" s="17">
        <f t="shared" si="80"/>
        <v>4.8409291880073674E-2</v>
      </c>
    </row>
    <row r="471" spans="92:97" x14ac:dyDescent="0.45">
      <c r="CN471" s="9">
        <v>234</v>
      </c>
      <c r="CO471" s="17">
        <v>0.05</v>
      </c>
      <c r="CP471" s="17">
        <v>-7.4854937951528199E-4</v>
      </c>
      <c r="CQ471" s="17">
        <v>-8.4945231833853403E-4</v>
      </c>
      <c r="CR471" s="17">
        <v>1.0692526901689252E-5</v>
      </c>
      <c r="CS471" s="17">
        <f t="shared" si="80"/>
        <v>4.8412690829047873E-2</v>
      </c>
    </row>
    <row r="472" spans="92:97" x14ac:dyDescent="0.45">
      <c r="CN472" s="9">
        <v>234.5</v>
      </c>
      <c r="CO472" s="17">
        <v>0.05</v>
      </c>
      <c r="CP472" s="17">
        <v>-7.4695332540117689E-4</v>
      </c>
      <c r="CQ472" s="17">
        <v>-8.476411193655308E-4</v>
      </c>
      <c r="CR472" s="17">
        <v>1.0669728336866886E-5</v>
      </c>
      <c r="CS472" s="17">
        <f t="shared" si="80"/>
        <v>4.8416075283570163E-2</v>
      </c>
    </row>
    <row r="473" spans="92:97" x14ac:dyDescent="0.45">
      <c r="CN473" s="9">
        <v>235</v>
      </c>
      <c r="CO473" s="17">
        <v>0.05</v>
      </c>
      <c r="CP473" s="17">
        <v>-7.4536406300670629E-4</v>
      </c>
      <c r="CQ473" s="17">
        <v>-8.4583762762219987E-4</v>
      </c>
      <c r="CR473" s="17">
        <v>1.0647026787213979E-5</v>
      </c>
      <c r="CS473" s="17">
        <f t="shared" si="80"/>
        <v>4.8419445336158308E-2</v>
      </c>
    </row>
    <row r="474" spans="92:97" x14ac:dyDescent="0.45">
      <c r="CN474" s="9">
        <v>235.5</v>
      </c>
      <c r="CO474" s="17">
        <v>0.05</v>
      </c>
      <c r="CP474" s="17">
        <v>-7.4378154907250946E-4</v>
      </c>
      <c r="CQ474" s="17">
        <v>-8.4404179401790635E-4</v>
      </c>
      <c r="CR474" s="17">
        <v>1.062442163479951E-5</v>
      </c>
      <c r="CS474" s="17">
        <f t="shared" si="80"/>
        <v>4.8422801078544388E-2</v>
      </c>
    </row>
    <row r="475" spans="92:97" x14ac:dyDescent="0.45">
      <c r="CN475" s="9">
        <v>236</v>
      </c>
      <c r="CO475" s="17">
        <v>0.05</v>
      </c>
      <c r="CP475" s="17">
        <v>-7.4220574070583034E-4</v>
      </c>
      <c r="CQ475" s="17">
        <v>-8.4225356987803794E-4</v>
      </c>
      <c r="CR475" s="17">
        <v>1.0601912266929174E-5</v>
      </c>
      <c r="CS475" s="17">
        <f t="shared" si="80"/>
        <v>4.8426142601683063E-2</v>
      </c>
    </row>
    <row r="476" spans="92:97" x14ac:dyDescent="0.45">
      <c r="CN476" s="9">
        <v>236.5</v>
      </c>
      <c r="CO476" s="17">
        <v>0.05</v>
      </c>
      <c r="CP476" s="17">
        <v>-7.4063659537664255E-4</v>
      </c>
      <c r="CQ476" s="17">
        <v>-8.4047290693960663E-4</v>
      </c>
      <c r="CR476" s="17">
        <v>1.057949807609E-5</v>
      </c>
      <c r="CS476" s="17">
        <f t="shared" si="80"/>
        <v>4.8429469995759845E-2</v>
      </c>
    </row>
    <row r="477" spans="92:97" x14ac:dyDescent="0.45">
      <c r="CN477" s="9">
        <v>237</v>
      </c>
      <c r="CO477" s="17">
        <v>0.05</v>
      </c>
      <c r="CP477" s="17">
        <v>-7.3907407091382271E-4</v>
      </c>
      <c r="CQ477" s="17">
        <v>-8.3869975734690702E-4</v>
      </c>
      <c r="CR477" s="17">
        <v>1.0557178459895716E-5</v>
      </c>
      <c r="CS477" s="17">
        <f t="shared" si="80"/>
        <v>4.8432783350199168E-2</v>
      </c>
    </row>
    <row r="478" spans="92:97" x14ac:dyDescent="0.45">
      <c r="CN478" s="9">
        <v>237.5</v>
      </c>
      <c r="CO478" s="17">
        <v>0.05</v>
      </c>
      <c r="CP478" s="17">
        <v>-7.3751812550137247E-4</v>
      </c>
      <c r="CQ478" s="17">
        <v>-8.3693407364722938E-4</v>
      </c>
      <c r="CR478" s="17">
        <v>1.0534952821032778E-5</v>
      </c>
      <c r="CS478" s="17">
        <f t="shared" si="80"/>
        <v>4.8436082753672428E-2</v>
      </c>
    </row>
    <row r="479" spans="92:97" x14ac:dyDescent="0.45">
      <c r="CN479" s="9">
        <v>238</v>
      </c>
      <c r="CO479" s="17">
        <v>0.05</v>
      </c>
      <c r="CP479" s="17">
        <v>-7.3596871767468892E-4</v>
      </c>
      <c r="CQ479" s="17">
        <v>-8.3517580878662595E-4</v>
      </c>
      <c r="CR479" s="17">
        <v>1.051282056720708E-5</v>
      </c>
      <c r="CS479" s="17">
        <f t="shared" si="80"/>
        <v>4.8439368294105896E-2</v>
      </c>
    </row>
    <row r="480" spans="92:97" x14ac:dyDescent="0.45">
      <c r="CN480" s="9">
        <v>238.5</v>
      </c>
      <c r="CO480" s="17">
        <v>0.05</v>
      </c>
      <c r="CP480" s="17">
        <v>-7.3442580631688037E-4</v>
      </c>
      <c r="CQ480" s="17">
        <v>-8.3342491610573157E-4</v>
      </c>
      <c r="CR480" s="17">
        <v>1.0490781111091342E-5</v>
      </c>
      <c r="CS480" s="17">
        <f t="shared" si="80"/>
        <v>4.8442640058688487E-2</v>
      </c>
    </row>
    <row r="481" spans="92:97" x14ac:dyDescent="0.45">
      <c r="CN481" s="9">
        <v>239</v>
      </c>
      <c r="CO481" s="17">
        <v>0.05</v>
      </c>
      <c r="CP481" s="17">
        <v>-7.3288935065512963E-4</v>
      </c>
      <c r="CQ481" s="17">
        <v>-8.3168134933563585E-4</v>
      </c>
      <c r="CR481" s="17">
        <v>1.0468833870273159E-5</v>
      </c>
      <c r="CS481" s="17">
        <f t="shared" si="80"/>
        <v>4.8445898133879506E-2</v>
      </c>
    </row>
    <row r="482" spans="92:97" x14ac:dyDescent="0.45">
      <c r="CN482" s="9">
        <v>239.5</v>
      </c>
      <c r="CO482" s="17">
        <v>0.05</v>
      </c>
      <c r="CP482" s="17">
        <v>-7.3135931025710213E-4</v>
      </c>
      <c r="CQ482" s="17">
        <v>-8.2994506259380786E-4</v>
      </c>
      <c r="CR482" s="17">
        <v>1.0446978267203695E-5</v>
      </c>
      <c r="CS482" s="17">
        <f t="shared" si="80"/>
        <v>4.8449142605416294E-2</v>
      </c>
    </row>
    <row r="483" spans="92:97" x14ac:dyDescent="0.45">
      <c r="CN483" s="9">
        <v>240</v>
      </c>
      <c r="CO483" s="17">
        <v>0.05</v>
      </c>
      <c r="CP483" s="17">
        <v>-7.2983564502739984E-4</v>
      </c>
      <c r="CQ483" s="17">
        <v>-8.2821601038007072E-4</v>
      </c>
      <c r="CR483" s="17">
        <v>1.042521372914702E-5</v>
      </c>
      <c r="CS483" s="17">
        <f t="shared" si="80"/>
        <v>4.8452373558321681E-2</v>
      </c>
    </row>
    <row r="484" spans="92:97" x14ac:dyDescent="0.45">
      <c r="CN484" s="9">
        <v>240.5</v>
      </c>
      <c r="CO484" s="17">
        <v>0.05</v>
      </c>
      <c r="CP484" s="17">
        <v>-7.283183152040581E-4</v>
      </c>
      <c r="CQ484" s="17">
        <v>-8.2649414757262772E-4</v>
      </c>
      <c r="CR484" s="17">
        <v>1.0403539688130084E-5</v>
      </c>
      <c r="CS484" s="17">
        <f t="shared" si="80"/>
        <v>4.8455591076911449E-2</v>
      </c>
    </row>
    <row r="485" spans="92:97" x14ac:dyDescent="0.45">
      <c r="CN485" s="9">
        <v>241</v>
      </c>
      <c r="CO485" s="17">
        <v>0.05</v>
      </c>
      <c r="CP485" s="17">
        <v>-7.2680728135508701E-4</v>
      </c>
      <c r="CQ485" s="17">
        <v>-8.2477942942413675E-4</v>
      </c>
      <c r="CR485" s="17">
        <v>1.03819555808933E-5</v>
      </c>
      <c r="CS485" s="17">
        <f t="shared" si="80"/>
        <v>4.8458795244801671E-2</v>
      </c>
    </row>
    <row r="486" spans="92:97" x14ac:dyDescent="0.45">
      <c r="CN486" s="9">
        <v>241.5</v>
      </c>
      <c r="CO486" s="17">
        <v>0.05</v>
      </c>
      <c r="CP486" s="17">
        <v>-7.2530250437505576E-4</v>
      </c>
      <c r="CQ486" s="17">
        <v>-8.2307181155783415E-4</v>
      </c>
      <c r="CR486" s="17">
        <v>1.036046084884176E-5</v>
      </c>
      <c r="CS486" s="17">
        <f t="shared" si="80"/>
        <v>4.8461986144915953E-2</v>
      </c>
    </row>
    <row r="487" spans="92:97" x14ac:dyDescent="0.45">
      <c r="CN487" s="9">
        <v>242</v>
      </c>
      <c r="CO487" s="17">
        <v>0.05</v>
      </c>
      <c r="CP487" s="17">
        <v>-7.2380394548171893E-4</v>
      </c>
      <c r="CQ487" s="17">
        <v>-8.2137124996370652E-4</v>
      </c>
      <c r="CR487" s="17">
        <v>1.0339054937997045E-5</v>
      </c>
      <c r="CS487" s="17">
        <f t="shared" si="80"/>
        <v>4.846516385949258E-2</v>
      </c>
    </row>
    <row r="488" spans="92:97" x14ac:dyDescent="0.45">
      <c r="CN488" s="9">
        <v>242.5</v>
      </c>
      <c r="CO488" s="17">
        <v>0.05</v>
      </c>
      <c r="CP488" s="17">
        <v>-7.2231156621268438E-4</v>
      </c>
      <c r="CQ488" s="17">
        <v>-8.196777009947091E-4</v>
      </c>
      <c r="CR488" s="17">
        <v>1.0317737298949629E-5</v>
      </c>
      <c r="CS488" s="17">
        <f t="shared" si="80"/>
        <v>4.8468328470091554E-2</v>
      </c>
    </row>
    <row r="489" spans="92:97" x14ac:dyDescent="0.45">
      <c r="CN489" s="9">
        <v>243</v>
      </c>
      <c r="CO489" s="17">
        <v>0.05</v>
      </c>
      <c r="CP489" s="17">
        <v>-7.2082532842212329E-4</v>
      </c>
      <c r="CQ489" s="17">
        <v>-8.1799112136303281E-4</v>
      </c>
      <c r="CR489" s="17">
        <v>1.0296507386811873E-5</v>
      </c>
      <c r="CS489" s="17">
        <f t="shared" si="80"/>
        <v>4.8471480057601657E-2</v>
      </c>
    </row>
    <row r="490" spans="92:97" x14ac:dyDescent="0.45">
      <c r="CN490" s="9">
        <v>243.5</v>
      </c>
      <c r="CO490" s="17">
        <v>0.05</v>
      </c>
      <c r="CP490" s="17">
        <v>-7.1934519427751934E-4</v>
      </c>
      <c r="CQ490" s="17">
        <v>-8.1631146813641463E-4</v>
      </c>
      <c r="CR490" s="17">
        <v>1.0275364661171602E-5</v>
      </c>
      <c r="CS490" s="17">
        <f t="shared" si="80"/>
        <v>4.8474618702247244E-2</v>
      </c>
    </row>
    <row r="491" spans="92:97" x14ac:dyDescent="0.45">
      <c r="CN491" s="9">
        <v>244</v>
      </c>
      <c r="CO491" s="17">
        <v>0.05</v>
      </c>
      <c r="CP491" s="17">
        <v>-7.1787112625645887E-4</v>
      </c>
      <c r="CQ491" s="17">
        <v>-8.1463869873449573E-4</v>
      </c>
      <c r="CR491" s="17">
        <v>1.025430858604625E-5</v>
      </c>
      <c r="CS491" s="17">
        <f t="shared" si="80"/>
        <v>4.8477744483595098E-2</v>
      </c>
    </row>
    <row r="492" spans="92:97" x14ac:dyDescent="0.45">
      <c r="CN492" s="9">
        <v>244.5</v>
      </c>
      <c r="CO492" s="17">
        <v>0.05</v>
      </c>
      <c r="CP492" s="17">
        <v>-7.1640308714345999E-4</v>
      </c>
      <c r="CQ492" s="17">
        <v>-8.1297277092522277E-4</v>
      </c>
      <c r="CR492" s="17">
        <v>1.0233338629837567E-5</v>
      </c>
      <c r="CS492" s="17">
        <f t="shared" si="80"/>
        <v>4.8480857480561156E-2</v>
      </c>
    </row>
    <row r="493" spans="92:97" x14ac:dyDescent="0.45">
      <c r="CN493" s="9">
        <v>245</v>
      </c>
      <c r="CO493" s="17">
        <v>0.05</v>
      </c>
      <c r="CP493" s="17">
        <v>-7.1494104002684065E-4</v>
      </c>
      <c r="CQ493" s="17">
        <v>-8.1131364282129373E-4</v>
      </c>
      <c r="CR493" s="17">
        <v>1.0212454265286877E-5</v>
      </c>
      <c r="CS493" s="17">
        <f t="shared" si="80"/>
        <v>4.848395777141716E-2</v>
      </c>
    </row>
    <row r="494" spans="92:97" x14ac:dyDescent="0.45">
      <c r="CN494" s="9">
        <v>245.5</v>
      </c>
      <c r="CO494" s="17">
        <v>0.05</v>
      </c>
      <c r="CP494" s="17">
        <v>-7.1348494829562509E-4</v>
      </c>
      <c r="CQ494" s="17">
        <v>-8.0966127287664753E-4</v>
      </c>
      <c r="CR494" s="17">
        <v>1.0191654969430896E-5</v>
      </c>
      <c r="CS494" s="17">
        <f t="shared" si="80"/>
        <v>4.8487045433797164E-2</v>
      </c>
    </row>
    <row r="495" spans="92:97" x14ac:dyDescent="0.45">
      <c r="CN495" s="9">
        <v>246</v>
      </c>
      <c r="CO495" s="17">
        <v>0.05</v>
      </c>
      <c r="CP495" s="17">
        <v>-7.1203477563648772E-4</v>
      </c>
      <c r="CQ495" s="17">
        <v>-8.0801561988299588E-4</v>
      </c>
      <c r="CR495" s="17">
        <v>1.0170940223558069E-5</v>
      </c>
      <c r="CS495" s="17">
        <f t="shared" si="80"/>
        <v>4.8490120544704078E-2</v>
      </c>
    </row>
    <row r="496" spans="92:97" x14ac:dyDescent="0.45">
      <c r="CN496" s="9">
        <v>246.5</v>
      </c>
      <c r="CO496" s="17">
        <v>0.05</v>
      </c>
      <c r="CP496" s="17">
        <v>-7.1059048603073409E-4</v>
      </c>
      <c r="CQ496" s="17">
        <v>-8.0637664296639739E-4</v>
      </c>
      <c r="CR496" s="17">
        <v>1.0150309513165456E-5</v>
      </c>
      <c r="CS496" s="17">
        <f t="shared" si="80"/>
        <v>4.8493183180516035E-2</v>
      </c>
    </row>
    <row r="497" spans="92:97" x14ac:dyDescent="0.45">
      <c r="CN497" s="9">
        <v>247</v>
      </c>
      <c r="CO497" s="17">
        <v>0.05</v>
      </c>
      <c r="CP497" s="17">
        <v>-7.0915204375131974E-4</v>
      </c>
      <c r="CQ497" s="17">
        <v>-8.0474430158387433E-4</v>
      </c>
      <c r="CR497" s="17">
        <v>1.0129762327916132E-5</v>
      </c>
      <c r="CS497" s="17">
        <f t="shared" si="80"/>
        <v>4.8496233416992725E-2</v>
      </c>
    </row>
    <row r="498" spans="92:97" x14ac:dyDescent="0.45">
      <c r="CN498" s="9">
        <v>247.5</v>
      </c>
      <c r="CO498" s="17">
        <v>0.05</v>
      </c>
      <c r="CP498" s="17">
        <v>-7.0771941335990294E-4</v>
      </c>
      <c r="CQ498" s="17">
        <v>-8.0311855552006844E-4</v>
      </c>
      <c r="CR498" s="17">
        <v>1.0109298161597111E-5</v>
      </c>
      <c r="CS498" s="17">
        <f t="shared" si="80"/>
        <v>4.8499271329281626E-2</v>
      </c>
    </row>
    <row r="499" spans="92:97" x14ac:dyDescent="0.45">
      <c r="CN499" s="9">
        <v>248</v>
      </c>
      <c r="CO499" s="17">
        <v>0.05</v>
      </c>
      <c r="CP499" s="17">
        <v>-7.0629255970393529E-4</v>
      </c>
      <c r="CQ499" s="17">
        <v>-8.0149936488393926E-4</v>
      </c>
      <c r="CR499" s="17">
        <v>1.0088916512077763E-5</v>
      </c>
      <c r="CS499" s="17">
        <f t="shared" si="80"/>
        <v>4.850229699192421E-2</v>
      </c>
    </row>
    <row r="500" spans="92:97" x14ac:dyDescent="0.45">
      <c r="CN500" s="9">
        <v>248.5</v>
      </c>
      <c r="CO500" s="17">
        <v>0.05</v>
      </c>
      <c r="CP500" s="17">
        <v>-7.0487144791378661E-4</v>
      </c>
      <c r="CQ500" s="17">
        <v>-7.9988669010550083E-4</v>
      </c>
      <c r="CR500" s="17">
        <v>1.0068616881268753E-5</v>
      </c>
      <c r="CS500" s="17">
        <f t="shared" si="80"/>
        <v>4.8505310478861988E-2</v>
      </c>
    </row>
    <row r="501" spans="92:97" x14ac:dyDescent="0.45">
      <c r="CN501" s="9">
        <v>249</v>
      </c>
      <c r="CO501" s="17">
        <v>0.05</v>
      </c>
      <c r="CP501" s="17">
        <v>-7.0345604339990344E-4</v>
      </c>
      <c r="CQ501" s="17">
        <v>-7.9828049193259823E-4</v>
      </c>
      <c r="CR501" s="17">
        <v>1.0048398775081466E-5</v>
      </c>
      <c r="CS501" s="17">
        <f t="shared" si="80"/>
        <v>4.850831186344258E-2</v>
      </c>
    </row>
    <row r="502" spans="92:97" x14ac:dyDescent="0.45">
      <c r="CN502" s="9">
        <v>249.5</v>
      </c>
      <c r="CO502" s="17">
        <v>0.05</v>
      </c>
      <c r="CP502" s="17">
        <v>-7.0204631185000383E-4</v>
      </c>
      <c r="CQ502" s="17">
        <v>-7.9668073142772332E-4</v>
      </c>
      <c r="CR502" s="17">
        <v>1.0028261703387916E-5</v>
      </c>
      <c r="CS502" s="17">
        <f t="shared" si="80"/>
        <v>4.8511301218425666E-2</v>
      </c>
    </row>
    <row r="503" spans="92:97" x14ac:dyDescent="0.45">
      <c r="CN503" s="9">
        <v>250</v>
      </c>
      <c r="CO503" s="17">
        <v>0.05</v>
      </c>
      <c r="CP503" s="17">
        <v>-7.006422192263039E-4</v>
      </c>
      <c r="CQ503" s="17">
        <v>-7.9508736996486775E-4</v>
      </c>
      <c r="CR503" s="17">
        <v>1.0008205179981141E-5</v>
      </c>
      <c r="CS503" s="17">
        <f t="shared" si="80"/>
        <v>4.851427861598881E-2</v>
      </c>
    </row>
  </sheetData>
  <mergeCells count="9">
    <mergeCell ref="CN1:CS1"/>
    <mergeCell ref="J249:K249"/>
    <mergeCell ref="J250:K250"/>
    <mergeCell ref="E1:F1"/>
    <mergeCell ref="A1:B1"/>
    <mergeCell ref="C1:D1"/>
    <mergeCell ref="K1:CK1"/>
    <mergeCell ref="J252:K252"/>
    <mergeCell ref="J251:K251"/>
  </mergeCells>
  <conditionalFormatting sqref="E1">
    <cfRule type="containsText" dxfId="4" priority="1" operator="containsText" text="YAY">
      <formula>NOT(ISERROR(SEARCH("YAY",E1)))</formula>
    </cfRule>
  </conditionalFormatting>
  <conditionalFormatting sqref="L3:CL226 CV67:DT77 DV67:FI77 DU68:DU78">
    <cfRule type="cellIs" dxfId="3" priority="4" operator="greaterThan">
      <formula>100</formula>
    </cfRule>
    <cfRule type="cellIs" dxfId="2" priority="5" operator="greaterThan">
      <formula>0</formula>
    </cfRule>
  </conditionalFormatting>
  <conditionalFormatting sqref="CL227:CL231 L227:CK237">
    <cfRule type="cellIs" dxfId="1" priority="2" operator="greaterThan">
      <formula>100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F0FA-D97E-433C-9874-4F6BAEC8FEB5}">
  <dimension ref="A1:AF327"/>
  <sheetViews>
    <sheetView zoomScale="130" zoomScaleNormal="130" workbookViewId="0">
      <selection activeCell="F10" sqref="F10"/>
    </sheetView>
  </sheetViews>
  <sheetFormatPr defaultRowHeight="12.75" x14ac:dyDescent="0.35"/>
  <cols>
    <col min="1" max="1" width="4.59765625" bestFit="1" customWidth="1"/>
    <col min="2" max="2" width="6.73046875" customWidth="1"/>
    <col min="3" max="5" width="0" hidden="1" customWidth="1"/>
    <col min="8" max="11" width="0" hidden="1" customWidth="1"/>
    <col min="13" max="14" width="0" hidden="1" customWidth="1"/>
    <col min="16" max="17" width="0" hidden="1" customWidth="1"/>
    <col min="18" max="19" width="9.1328125" style="8"/>
    <col min="20" max="24" width="0" hidden="1" customWidth="1"/>
    <col min="25" max="25" width="8.1328125" style="4" customWidth="1"/>
    <col min="26" max="26" width="9.59765625" style="8" bestFit="1" customWidth="1"/>
    <col min="27" max="27" width="9.1328125" style="43"/>
  </cols>
  <sheetData>
    <row r="1" spans="1:32" x14ac:dyDescent="0.35">
      <c r="A1" t="s">
        <v>1218</v>
      </c>
      <c r="B1">
        <v>9.5</v>
      </c>
      <c r="G1" t="str" cm="1">
        <f t="array" aca="1" ref="G1:AF1" ca="1">_xlfn.ANCHORARRAY(SORT!A1)</f>
        <v>Instrument</v>
      </c>
      <c r="H1" t="str">
        <f ca="1"/>
        <v>Name</v>
      </c>
      <c r="I1" t="str">
        <f ca="1"/>
        <v>Ticker</v>
      </c>
      <c r="J1" t="str">
        <f ca="1"/>
        <v>Country/Region</v>
      </c>
      <c r="K1" t="str">
        <f ca="1"/>
        <v>Currency</v>
      </c>
      <c r="L1" t="str">
        <f ca="1"/>
        <v>Maturity</v>
      </c>
      <c r="M1" t="str">
        <f ca="1"/>
        <v>Coupon Type</v>
      </c>
      <c r="N1" t="str">
        <f ca="1"/>
        <v>Coupon Frequency</v>
      </c>
      <c r="O1" t="str">
        <f ca="1"/>
        <v>Coupon</v>
      </c>
      <c r="P1" t="str">
        <f ca="1"/>
        <v>Ask Yield to Maturity</v>
      </c>
      <c r="Q1" t="str">
        <f ca="1"/>
        <v>Bid Yield to Maturity</v>
      </c>
      <c r="R1" t="str">
        <f ca="1"/>
        <v>Ask Price</v>
      </c>
      <c r="S1" t="str">
        <f ca="1"/>
        <v>Bid Price</v>
      </c>
      <c r="T1" t="str">
        <f ca="1"/>
        <v>Identifier</v>
      </c>
      <c r="U1" t="str">
        <f ca="1"/>
        <v>ISIN</v>
      </c>
      <c r="V1" t="str">
        <f ca="1"/>
        <v>Bloomberg Composite Rating</v>
      </c>
      <c r="W1" t="str">
        <f ca="1"/>
        <v>Announce</v>
      </c>
      <c r="X1" t="str">
        <f ca="1"/>
        <v>Next Coupon Settle Date</v>
      </c>
      <c r="Y1" t="str">
        <f ca="1"/>
        <v>Time</v>
      </c>
      <c r="Z1" t="str">
        <f ca="1"/>
        <v>AVG price</v>
      </c>
      <c r="AA1" s="43" t="str">
        <f ca="1"/>
        <v>id</v>
      </c>
      <c r="AB1" t="str">
        <f ca="1"/>
        <v>TIMEish</v>
      </c>
      <c r="AC1" t="str">
        <f ca="1"/>
        <v>years ago</v>
      </c>
      <c r="AD1" t="str">
        <f ca="1"/>
        <v>Accrued Interest</v>
      </c>
      <c r="AE1" t="str">
        <f ca="1"/>
        <v>Clean price</v>
      </c>
      <c r="AF1" t="str">
        <f ca="1"/>
        <v>AVG yield</v>
      </c>
    </row>
    <row r="2" spans="1:32" x14ac:dyDescent="0.35">
      <c r="A2" t="s">
        <v>1219</v>
      </c>
      <c r="B2">
        <f>B1+0.6</f>
        <v>10.1</v>
      </c>
      <c r="C2" t="b" cm="1">
        <f t="array" aca="1" ref="C2:C327" ca="1">(SORT!S2:S327&gt;'MANUAL FILTER'!B1)</f>
        <v>0</v>
      </c>
      <c r="D2" t="b" cm="1">
        <f t="array" aca="1" ref="D2:D327" ca="1">(SORT!S2:S327&lt;'MANUAL FILTER'!B2)</f>
        <v>1</v>
      </c>
      <c r="E2" t="b">
        <f ca="1">AND(C2:D2)</f>
        <v>0</v>
      </c>
      <c r="G2" t="str" cm="1">
        <f t="array" aca="1" ref="G2:AF6" ca="1">_xlfn._xlws.FILTER(_xlfn.ANCHORARRAY(SORT!A2),E2:E327)</f>
        <v>DC746693 Corp</v>
      </c>
      <c r="H2" t="str">
        <f ca="1"/>
        <v>Japan Government Ten Year Bond</v>
      </c>
      <c r="I2" t="str">
        <f ca="1"/>
        <v>JGB</v>
      </c>
      <c r="J2" t="str">
        <f ca="1"/>
        <v>JP</v>
      </c>
      <c r="K2" t="str">
        <f ca="1"/>
        <v>JPY</v>
      </c>
      <c r="L2" t="str">
        <f ca="1"/>
        <v>20/12/2035</v>
      </c>
      <c r="M2" t="str">
        <f ca="1"/>
        <v>FIXED</v>
      </c>
      <c r="N2">
        <f ca="1"/>
        <v>2</v>
      </c>
      <c r="O2">
        <f ca="1"/>
        <v>2.1</v>
      </c>
      <c r="P2">
        <f ca="1"/>
        <v>2.1609999999509681</v>
      </c>
      <c r="Q2">
        <f ca="1"/>
        <v>2.1799999998873618</v>
      </c>
      <c r="R2" s="8">
        <f ca="1"/>
        <v>99.507000000000005</v>
      </c>
      <c r="S2" s="8">
        <f ca="1"/>
        <v>99.355000000000004</v>
      </c>
      <c r="T2" t="str">
        <f ca="1"/>
        <v>DC7466931</v>
      </c>
      <c r="U2" t="str">
        <f ca="1"/>
        <v>JP1103811S13</v>
      </c>
      <c r="V2" t="str">
        <f ca="1"/>
        <v>A+</v>
      </c>
      <c r="W2">
        <f ca="1"/>
        <v>46017</v>
      </c>
      <c r="X2">
        <f ca="1"/>
        <v>46193</v>
      </c>
      <c r="Y2" s="4">
        <f ca="1"/>
        <v>9.7248459958932241</v>
      </c>
      <c r="Z2" s="8">
        <f ca="1"/>
        <v>99.431000000000012</v>
      </c>
      <c r="AA2" s="43">
        <f ca="1"/>
        <v>79</v>
      </c>
      <c r="AB2">
        <f ca="1"/>
        <v>9.5</v>
      </c>
      <c r="AC2">
        <f ca="1"/>
        <v>1</v>
      </c>
      <c r="AD2">
        <f ca="1"/>
        <v>1.153846153846154</v>
      </c>
      <c r="AE2">
        <f ca="1"/>
        <v>98.277153846153851</v>
      </c>
      <c r="AF2">
        <f ca="1"/>
        <v>2.1704999999191648</v>
      </c>
    </row>
    <row r="3" spans="1:32" x14ac:dyDescent="0.35">
      <c r="C3" t="b">
        <f ca="1"/>
        <v>0</v>
      </c>
      <c r="D3" t="b">
        <f ca="1"/>
        <v>1</v>
      </c>
      <c r="E3" t="b">
        <f t="shared" ref="E3:E66" ca="1" si="0">AND(C3:D3)</f>
        <v>0</v>
      </c>
      <c r="G3" t="str">
        <f ca="1"/>
        <v>EF250218 Corp</v>
      </c>
      <c r="H3" t="str">
        <f ca="1"/>
        <v>Japan Government Thirty Year Bond</v>
      </c>
      <c r="I3" t="str">
        <f ca="1"/>
        <v>JGB</v>
      </c>
      <c r="J3" t="str">
        <f ca="1"/>
        <v>JP</v>
      </c>
      <c r="K3" t="str">
        <f ca="1"/>
        <v>JPY</v>
      </c>
      <c r="L3" t="str">
        <f ca="1"/>
        <v>20/12/2035</v>
      </c>
      <c r="M3" t="str">
        <f ca="1"/>
        <v>FIXED</v>
      </c>
      <c r="N3">
        <f ca="1"/>
        <v>2</v>
      </c>
      <c r="O3">
        <f ca="1"/>
        <v>2.2999999999999998</v>
      </c>
      <c r="P3">
        <f ca="1"/>
        <v>2.1469999999999989</v>
      </c>
      <c r="Q3">
        <f ca="1"/>
        <v>2.1670000000000011</v>
      </c>
      <c r="R3" s="8">
        <f ca="1"/>
        <v>101.236</v>
      </c>
      <c r="S3" s="8">
        <f ca="1"/>
        <v>101.072</v>
      </c>
      <c r="T3" t="str">
        <f ca="1"/>
        <v>EF2502187</v>
      </c>
      <c r="U3" t="str">
        <f ca="1"/>
        <v>JP1300211610</v>
      </c>
      <c r="V3" t="str">
        <f ca="1"/>
        <v>A+</v>
      </c>
      <c r="W3">
        <f ca="1"/>
        <v>38736</v>
      </c>
      <c r="X3">
        <f ca="1"/>
        <v>46193</v>
      </c>
      <c r="Y3" s="4">
        <f ca="1"/>
        <v>9.7248459958932241</v>
      </c>
      <c r="Z3" s="8">
        <f ca="1"/>
        <v>101.154</v>
      </c>
      <c r="AA3" s="43">
        <f ca="1"/>
        <v>102</v>
      </c>
      <c r="AB3">
        <f ca="1"/>
        <v>9.5</v>
      </c>
      <c r="AC3">
        <f ca="1"/>
        <v>20</v>
      </c>
      <c r="AD3">
        <f ca="1"/>
        <v>1.2637362637362637</v>
      </c>
      <c r="AE3">
        <f ca="1"/>
        <v>99.890263736263734</v>
      </c>
      <c r="AF3">
        <f ca="1"/>
        <v>2.157</v>
      </c>
    </row>
    <row r="4" spans="1:32" x14ac:dyDescent="0.35">
      <c r="C4" t="b">
        <f ca="1"/>
        <v>0</v>
      </c>
      <c r="D4" t="b">
        <f ca="1"/>
        <v>1</v>
      </c>
      <c r="E4" t="b">
        <f t="shared" ca="1" si="0"/>
        <v>0</v>
      </c>
      <c r="G4" t="str">
        <f ca="1"/>
        <v>JV336866 Corp</v>
      </c>
      <c r="H4" t="str">
        <f ca="1"/>
        <v>Japan Government Twenty Year Bond</v>
      </c>
      <c r="I4" t="str">
        <f ca="1"/>
        <v>JGB</v>
      </c>
      <c r="J4" t="str">
        <f ca="1"/>
        <v>JP</v>
      </c>
      <c r="K4" t="str">
        <f ca="1"/>
        <v>JPY</v>
      </c>
      <c r="L4" t="str">
        <f ca="1"/>
        <v>20/12/2035</v>
      </c>
      <c r="M4" t="str">
        <f ca="1"/>
        <v>FIXED</v>
      </c>
      <c r="N4">
        <f ca="1"/>
        <v>2</v>
      </c>
      <c r="O4">
        <f ca="1"/>
        <v>1</v>
      </c>
      <c r="P4">
        <f ca="1"/>
        <v>2.2659999999999996</v>
      </c>
      <c r="Q4">
        <f ca="1"/>
        <v>2.286</v>
      </c>
      <c r="R4" s="8">
        <f ca="1"/>
        <v>89.867999999999995</v>
      </c>
      <c r="S4" s="8">
        <f ca="1"/>
        <v>89.724999999999994</v>
      </c>
      <c r="T4" t="str">
        <f ca="1"/>
        <v>JV3368661</v>
      </c>
      <c r="U4" t="str">
        <f ca="1"/>
        <v>JP1201551FC0</v>
      </c>
      <c r="V4" t="str">
        <f ca="1"/>
        <v>A+</v>
      </c>
      <c r="W4">
        <f ca="1"/>
        <v>42355</v>
      </c>
      <c r="X4">
        <f ca="1"/>
        <v>46193</v>
      </c>
      <c r="Y4" s="4">
        <f ca="1"/>
        <v>9.7248459958932241</v>
      </c>
      <c r="Z4" s="8">
        <f ca="1"/>
        <v>89.796499999999995</v>
      </c>
      <c r="AA4" s="43">
        <f ca="1"/>
        <v>210</v>
      </c>
      <c r="AB4">
        <f ca="1"/>
        <v>9.5</v>
      </c>
      <c r="AC4">
        <f ca="1"/>
        <v>11</v>
      </c>
      <c r="AD4">
        <f ca="1"/>
        <v>0.5494505494505495</v>
      </c>
      <c r="AE4">
        <f ca="1"/>
        <v>89.24704945054944</v>
      </c>
      <c r="AF4">
        <f ca="1"/>
        <v>2.2759999999999998</v>
      </c>
    </row>
    <row r="5" spans="1:32" x14ac:dyDescent="0.35">
      <c r="C5" t="b">
        <f ca="1"/>
        <v>0</v>
      </c>
      <c r="D5" t="b">
        <f ca="1"/>
        <v>1</v>
      </c>
      <c r="E5" t="b">
        <f t="shared" ca="1" si="0"/>
        <v>0</v>
      </c>
      <c r="G5" t="str">
        <f ca="1"/>
        <v>EF371144 Corp</v>
      </c>
      <c r="H5" t="str">
        <f ca="1"/>
        <v>Japan Government Thirty Year Bond</v>
      </c>
      <c r="I5" t="str">
        <f ca="1"/>
        <v>JGB</v>
      </c>
      <c r="J5" t="str">
        <f ca="1"/>
        <v>JP</v>
      </c>
      <c r="K5" t="str">
        <f ca="1"/>
        <v>JPY</v>
      </c>
      <c r="L5" t="str">
        <f ca="1"/>
        <v>20/03/2036</v>
      </c>
      <c r="M5" t="str">
        <f ca="1"/>
        <v>FIXED</v>
      </c>
      <c r="N5">
        <f ca="1"/>
        <v>2</v>
      </c>
      <c r="O5">
        <f ca="1"/>
        <v>2.5</v>
      </c>
      <c r="P5">
        <f ca="1"/>
        <v>2.1529999999999725</v>
      </c>
      <c r="Q5">
        <f ca="1"/>
        <v>2.1769999999999805</v>
      </c>
      <c r="R5" s="8">
        <f ca="1"/>
        <v>102.86</v>
      </c>
      <c r="S5" s="8">
        <f ca="1"/>
        <v>102.657</v>
      </c>
      <c r="T5" t="str">
        <f ca="1"/>
        <v>EF3711449</v>
      </c>
      <c r="U5" t="str">
        <f ca="1"/>
        <v>JP1300221643</v>
      </c>
      <c r="V5" t="str">
        <f ca="1"/>
        <v>A+</v>
      </c>
      <c r="W5">
        <f ca="1"/>
        <v>38825</v>
      </c>
      <c r="X5">
        <f ca="1"/>
        <v>46101</v>
      </c>
      <c r="Y5" s="4">
        <f ca="1"/>
        <v>9.9739904175222449</v>
      </c>
      <c r="Z5" s="8">
        <f ca="1"/>
        <v>102.7585</v>
      </c>
      <c r="AA5" s="43">
        <f ca="1"/>
        <v>104</v>
      </c>
      <c r="AB5">
        <f ca="1"/>
        <v>9.5</v>
      </c>
      <c r="AC5">
        <f ca="1"/>
        <v>20</v>
      </c>
      <c r="AD5">
        <f ca="1"/>
        <v>2.6236263736263736</v>
      </c>
      <c r="AE5">
        <f ca="1"/>
        <v>100.13487362637362</v>
      </c>
      <c r="AF5">
        <f ca="1"/>
        <v>2.1649999999999765</v>
      </c>
    </row>
    <row r="6" spans="1:32" x14ac:dyDescent="0.35">
      <c r="C6" t="b">
        <f ca="1"/>
        <v>0</v>
      </c>
      <c r="D6" t="b">
        <f ca="1"/>
        <v>1</v>
      </c>
      <c r="E6" t="b">
        <f t="shared" ca="1" si="0"/>
        <v>0</v>
      </c>
      <c r="G6" t="str">
        <f ca="1"/>
        <v>JK501604 Corp</v>
      </c>
      <c r="H6" t="str">
        <f ca="1"/>
        <v>Japan Government Twenty Year Bond</v>
      </c>
      <c r="I6" t="str">
        <f ca="1"/>
        <v>JGB</v>
      </c>
      <c r="J6" t="str">
        <f ca="1"/>
        <v>JP</v>
      </c>
      <c r="K6" t="str">
        <f ca="1"/>
        <v>JPY</v>
      </c>
      <c r="L6" t="str">
        <f ca="1"/>
        <v>20/03/2036</v>
      </c>
      <c r="M6" t="str">
        <f ca="1"/>
        <v>FIXED</v>
      </c>
      <c r="N6">
        <f ca="1"/>
        <v>2</v>
      </c>
      <c r="O6">
        <f ca="1"/>
        <v>0.4</v>
      </c>
      <c r="P6">
        <f ca="1"/>
        <v>2.3739999999999815</v>
      </c>
      <c r="Q6">
        <f ca="1"/>
        <v>2.3979999999999784</v>
      </c>
      <c r="R6" s="8">
        <f ca="1"/>
        <v>84.018000000000001</v>
      </c>
      <c r="S6" s="8">
        <f ca="1"/>
        <v>83.855999999999995</v>
      </c>
      <c r="T6" t="str">
        <f ca="1"/>
        <v>JK5016049</v>
      </c>
      <c r="U6" t="str">
        <f ca="1"/>
        <v>JP1201561G37</v>
      </c>
      <c r="V6" t="str">
        <f ca="1"/>
        <v>A+</v>
      </c>
      <c r="W6">
        <f ca="1"/>
        <v>42446</v>
      </c>
      <c r="X6">
        <f ca="1"/>
        <v>46101</v>
      </c>
      <c r="Y6" s="4">
        <f ca="1"/>
        <v>9.9739904175222449</v>
      </c>
      <c r="Z6" s="8">
        <f ca="1"/>
        <v>83.936999999999998</v>
      </c>
      <c r="AA6" s="43">
        <f ca="1"/>
        <v>208</v>
      </c>
      <c r="AB6">
        <f ca="1"/>
        <v>9.5</v>
      </c>
      <c r="AC6">
        <f ca="1"/>
        <v>10</v>
      </c>
      <c r="AD6">
        <f ca="1"/>
        <v>0.41978021978021984</v>
      </c>
      <c r="AE6">
        <f ca="1"/>
        <v>83.517219780219776</v>
      </c>
      <c r="AF6">
        <f ca="1"/>
        <v>2.3859999999999797</v>
      </c>
    </row>
    <row r="7" spans="1:32" x14ac:dyDescent="0.35">
      <c r="C7" t="b">
        <f ca="1"/>
        <v>0</v>
      </c>
      <c r="D7" t="b">
        <f ca="1"/>
        <v>1</v>
      </c>
      <c r="E7" t="b">
        <f t="shared" ca="1" si="0"/>
        <v>0</v>
      </c>
    </row>
    <row r="8" spans="1:32" x14ac:dyDescent="0.35">
      <c r="C8" t="b">
        <f ca="1"/>
        <v>0</v>
      </c>
      <c r="D8" t="b">
        <f ca="1"/>
        <v>1</v>
      </c>
      <c r="E8" t="b">
        <f t="shared" ca="1" si="0"/>
        <v>0</v>
      </c>
    </row>
    <row r="9" spans="1:32" x14ac:dyDescent="0.35">
      <c r="C9" t="b">
        <f ca="1"/>
        <v>0</v>
      </c>
      <c r="D9" t="b">
        <f ca="1"/>
        <v>1</v>
      </c>
      <c r="E9" t="b">
        <f t="shared" ca="1" si="0"/>
        <v>0</v>
      </c>
    </row>
    <row r="10" spans="1:32" x14ac:dyDescent="0.35">
      <c r="C10" t="b">
        <f ca="1"/>
        <v>0</v>
      </c>
      <c r="D10" t="b">
        <f ca="1"/>
        <v>1</v>
      </c>
      <c r="E10" t="b">
        <f t="shared" ca="1" si="0"/>
        <v>0</v>
      </c>
    </row>
    <row r="11" spans="1:32" x14ac:dyDescent="0.35">
      <c r="C11" t="b">
        <f ca="1"/>
        <v>0</v>
      </c>
      <c r="D11" t="b">
        <f ca="1"/>
        <v>1</v>
      </c>
      <c r="E11" t="b">
        <f t="shared" ca="1" si="0"/>
        <v>0</v>
      </c>
    </row>
    <row r="12" spans="1:32" x14ac:dyDescent="0.35">
      <c r="C12" t="b">
        <f ca="1"/>
        <v>0</v>
      </c>
      <c r="D12" t="b">
        <f ca="1"/>
        <v>1</v>
      </c>
      <c r="E12" t="b">
        <f t="shared" ca="1" si="0"/>
        <v>0</v>
      </c>
    </row>
    <row r="13" spans="1:32" x14ac:dyDescent="0.35">
      <c r="C13" t="b">
        <f ca="1"/>
        <v>0</v>
      </c>
      <c r="D13" t="b">
        <f ca="1"/>
        <v>1</v>
      </c>
      <c r="E13" t="b">
        <f t="shared" ca="1" si="0"/>
        <v>0</v>
      </c>
    </row>
    <row r="14" spans="1:32" x14ac:dyDescent="0.35">
      <c r="C14" t="b">
        <f ca="1"/>
        <v>0</v>
      </c>
      <c r="D14" t="b">
        <f ca="1"/>
        <v>1</v>
      </c>
      <c r="E14" t="b">
        <f t="shared" ca="1" si="0"/>
        <v>0</v>
      </c>
    </row>
    <row r="15" spans="1:32" x14ac:dyDescent="0.35">
      <c r="C15" t="b">
        <f ca="1"/>
        <v>0</v>
      </c>
      <c r="D15" t="b">
        <f ca="1"/>
        <v>1</v>
      </c>
      <c r="E15" t="b">
        <f t="shared" ca="1" si="0"/>
        <v>0</v>
      </c>
    </row>
    <row r="16" spans="1:32" x14ac:dyDescent="0.35">
      <c r="C16" t="b">
        <f ca="1"/>
        <v>0</v>
      </c>
      <c r="D16" t="b">
        <f ca="1"/>
        <v>1</v>
      </c>
      <c r="E16" t="b">
        <f t="shared" ca="1" si="0"/>
        <v>0</v>
      </c>
    </row>
    <row r="17" spans="3:5" x14ac:dyDescent="0.35">
      <c r="C17" t="b">
        <f ca="1"/>
        <v>0</v>
      </c>
      <c r="D17" t="b">
        <f ca="1"/>
        <v>1</v>
      </c>
      <c r="E17" t="b">
        <f t="shared" ca="1" si="0"/>
        <v>0</v>
      </c>
    </row>
    <row r="18" spans="3:5" x14ac:dyDescent="0.35">
      <c r="C18" t="b">
        <f ca="1"/>
        <v>0</v>
      </c>
      <c r="D18" t="b">
        <f ca="1"/>
        <v>1</v>
      </c>
      <c r="E18" t="b">
        <f t="shared" ca="1" si="0"/>
        <v>0</v>
      </c>
    </row>
    <row r="19" spans="3:5" x14ac:dyDescent="0.35">
      <c r="C19" t="b">
        <f ca="1"/>
        <v>0</v>
      </c>
      <c r="D19" t="b">
        <f ca="1"/>
        <v>1</v>
      </c>
      <c r="E19" t="b">
        <f t="shared" ca="1" si="0"/>
        <v>0</v>
      </c>
    </row>
    <row r="20" spans="3:5" x14ac:dyDescent="0.35">
      <c r="C20" t="b">
        <f ca="1"/>
        <v>0</v>
      </c>
      <c r="D20" t="b">
        <f ca="1"/>
        <v>1</v>
      </c>
      <c r="E20" t="b">
        <f t="shared" ca="1" si="0"/>
        <v>0</v>
      </c>
    </row>
    <row r="21" spans="3:5" x14ac:dyDescent="0.35">
      <c r="C21" t="b">
        <f ca="1"/>
        <v>0</v>
      </c>
      <c r="D21" t="b">
        <f ca="1"/>
        <v>1</v>
      </c>
      <c r="E21" t="b">
        <f t="shared" ca="1" si="0"/>
        <v>0</v>
      </c>
    </row>
    <row r="22" spans="3:5" x14ac:dyDescent="0.35">
      <c r="C22" t="b">
        <f ca="1"/>
        <v>0</v>
      </c>
      <c r="D22" t="b">
        <f ca="1"/>
        <v>1</v>
      </c>
      <c r="E22" t="b">
        <f t="shared" ca="1" si="0"/>
        <v>0</v>
      </c>
    </row>
    <row r="23" spans="3:5" x14ac:dyDescent="0.35">
      <c r="C23" t="b">
        <f ca="1"/>
        <v>0</v>
      </c>
      <c r="D23" t="b">
        <f ca="1"/>
        <v>1</v>
      </c>
      <c r="E23" t="b">
        <f t="shared" ca="1" si="0"/>
        <v>0</v>
      </c>
    </row>
    <row r="24" spans="3:5" x14ac:dyDescent="0.35">
      <c r="C24" t="b">
        <f ca="1"/>
        <v>0</v>
      </c>
      <c r="D24" t="b">
        <f ca="1"/>
        <v>1</v>
      </c>
      <c r="E24" t="b">
        <f t="shared" ca="1" si="0"/>
        <v>0</v>
      </c>
    </row>
    <row r="25" spans="3:5" x14ac:dyDescent="0.35">
      <c r="C25" t="b">
        <f ca="1"/>
        <v>0</v>
      </c>
      <c r="D25" t="b">
        <f ca="1"/>
        <v>1</v>
      </c>
      <c r="E25" t="b">
        <f t="shared" ca="1" si="0"/>
        <v>0</v>
      </c>
    </row>
    <row r="26" spans="3:5" x14ac:dyDescent="0.35">
      <c r="C26" t="b">
        <f ca="1"/>
        <v>0</v>
      </c>
      <c r="D26" t="b">
        <f ca="1"/>
        <v>1</v>
      </c>
      <c r="E26" t="b">
        <f t="shared" ca="1" si="0"/>
        <v>0</v>
      </c>
    </row>
    <row r="27" spans="3:5" x14ac:dyDescent="0.35">
      <c r="C27" t="b">
        <f ca="1"/>
        <v>0</v>
      </c>
      <c r="D27" t="b">
        <f ca="1"/>
        <v>1</v>
      </c>
      <c r="E27" t="b">
        <f t="shared" ca="1" si="0"/>
        <v>0</v>
      </c>
    </row>
    <row r="28" spans="3:5" x14ac:dyDescent="0.35">
      <c r="C28" t="b">
        <f ca="1"/>
        <v>0</v>
      </c>
      <c r="D28" t="b">
        <f ca="1"/>
        <v>1</v>
      </c>
      <c r="E28" t="b">
        <f t="shared" ca="1" si="0"/>
        <v>0</v>
      </c>
    </row>
    <row r="29" spans="3:5" x14ac:dyDescent="0.35">
      <c r="C29" t="b">
        <f ca="1"/>
        <v>0</v>
      </c>
      <c r="D29" t="b">
        <f ca="1"/>
        <v>1</v>
      </c>
      <c r="E29" t="b">
        <f t="shared" ca="1" si="0"/>
        <v>0</v>
      </c>
    </row>
    <row r="30" spans="3:5" x14ac:dyDescent="0.35">
      <c r="C30" t="b">
        <f ca="1"/>
        <v>0</v>
      </c>
      <c r="D30" t="b">
        <f ca="1"/>
        <v>1</v>
      </c>
      <c r="E30" t="b">
        <f t="shared" ca="1" si="0"/>
        <v>0</v>
      </c>
    </row>
    <row r="31" spans="3:5" x14ac:dyDescent="0.35">
      <c r="C31" t="b">
        <f ca="1"/>
        <v>0</v>
      </c>
      <c r="D31" t="b">
        <f ca="1"/>
        <v>1</v>
      </c>
      <c r="E31" t="b">
        <f t="shared" ca="1" si="0"/>
        <v>0</v>
      </c>
    </row>
    <row r="32" spans="3:5" x14ac:dyDescent="0.35">
      <c r="C32" t="b">
        <f ca="1"/>
        <v>0</v>
      </c>
      <c r="D32" t="b">
        <f ca="1"/>
        <v>1</v>
      </c>
      <c r="E32" t="b">
        <f t="shared" ca="1" si="0"/>
        <v>0</v>
      </c>
    </row>
    <row r="33" spans="3:5" x14ac:dyDescent="0.35">
      <c r="C33" t="b">
        <f ca="1"/>
        <v>0</v>
      </c>
      <c r="D33" t="b">
        <f ca="1"/>
        <v>1</v>
      </c>
      <c r="E33" t="b">
        <f t="shared" ca="1" si="0"/>
        <v>0</v>
      </c>
    </row>
    <row r="34" spans="3:5" x14ac:dyDescent="0.35">
      <c r="C34" t="b">
        <f ca="1"/>
        <v>0</v>
      </c>
      <c r="D34" t="b">
        <f ca="1"/>
        <v>1</v>
      </c>
      <c r="E34" t="b">
        <f t="shared" ca="1" si="0"/>
        <v>0</v>
      </c>
    </row>
    <row r="35" spans="3:5" x14ac:dyDescent="0.35">
      <c r="C35" t="b">
        <f ca="1"/>
        <v>0</v>
      </c>
      <c r="D35" t="b">
        <f ca="1"/>
        <v>1</v>
      </c>
      <c r="E35" t="b">
        <f t="shared" ca="1" si="0"/>
        <v>0</v>
      </c>
    </row>
    <row r="36" spans="3:5" x14ac:dyDescent="0.35">
      <c r="C36" t="b">
        <f ca="1"/>
        <v>0</v>
      </c>
      <c r="D36" t="b">
        <f ca="1"/>
        <v>1</v>
      </c>
      <c r="E36" t="b">
        <f t="shared" ca="1" si="0"/>
        <v>0</v>
      </c>
    </row>
    <row r="37" spans="3:5" x14ac:dyDescent="0.35">
      <c r="C37" t="b">
        <f ca="1"/>
        <v>0</v>
      </c>
      <c r="D37" t="b">
        <f ca="1"/>
        <v>1</v>
      </c>
      <c r="E37" t="b">
        <f t="shared" ca="1" si="0"/>
        <v>0</v>
      </c>
    </row>
    <row r="38" spans="3:5" x14ac:dyDescent="0.35">
      <c r="C38" t="b">
        <f ca="1"/>
        <v>0</v>
      </c>
      <c r="D38" t="b">
        <f ca="1"/>
        <v>1</v>
      </c>
      <c r="E38" t="b">
        <f t="shared" ca="1" si="0"/>
        <v>0</v>
      </c>
    </row>
    <row r="39" spans="3:5" x14ac:dyDescent="0.35">
      <c r="C39" t="b">
        <f ca="1"/>
        <v>0</v>
      </c>
      <c r="D39" t="b">
        <f ca="1"/>
        <v>1</v>
      </c>
      <c r="E39" t="b">
        <f t="shared" ca="1" si="0"/>
        <v>0</v>
      </c>
    </row>
    <row r="40" spans="3:5" x14ac:dyDescent="0.35">
      <c r="C40" t="b">
        <f ca="1"/>
        <v>0</v>
      </c>
      <c r="D40" t="b">
        <f ca="1"/>
        <v>1</v>
      </c>
      <c r="E40" t="b">
        <f t="shared" ca="1" si="0"/>
        <v>0</v>
      </c>
    </row>
    <row r="41" spans="3:5" x14ac:dyDescent="0.35">
      <c r="C41" t="b">
        <f ca="1"/>
        <v>0</v>
      </c>
      <c r="D41" t="b">
        <f ca="1"/>
        <v>1</v>
      </c>
      <c r="E41" t="b">
        <f t="shared" ca="1" si="0"/>
        <v>0</v>
      </c>
    </row>
    <row r="42" spans="3:5" x14ac:dyDescent="0.35">
      <c r="C42" t="b">
        <f ca="1"/>
        <v>0</v>
      </c>
      <c r="D42" t="b">
        <f ca="1"/>
        <v>1</v>
      </c>
      <c r="E42" t="b">
        <f t="shared" ca="1" si="0"/>
        <v>0</v>
      </c>
    </row>
    <row r="43" spans="3:5" x14ac:dyDescent="0.35">
      <c r="C43" t="b">
        <f ca="1"/>
        <v>0</v>
      </c>
      <c r="D43" t="b">
        <f ca="1"/>
        <v>1</v>
      </c>
      <c r="E43" t="b">
        <f t="shared" ca="1" si="0"/>
        <v>0</v>
      </c>
    </row>
    <row r="44" spans="3:5" x14ac:dyDescent="0.35">
      <c r="C44" t="b">
        <f ca="1"/>
        <v>0</v>
      </c>
      <c r="D44" t="b">
        <f ca="1"/>
        <v>1</v>
      </c>
      <c r="E44" t="b">
        <f t="shared" ca="1" si="0"/>
        <v>0</v>
      </c>
    </row>
    <row r="45" spans="3:5" x14ac:dyDescent="0.35">
      <c r="C45" t="b">
        <f ca="1"/>
        <v>0</v>
      </c>
      <c r="D45" t="b">
        <f ca="1"/>
        <v>1</v>
      </c>
      <c r="E45" t="b">
        <f t="shared" ca="1" si="0"/>
        <v>0</v>
      </c>
    </row>
    <row r="46" spans="3:5" x14ac:dyDescent="0.35">
      <c r="C46" t="b">
        <f ca="1"/>
        <v>0</v>
      </c>
      <c r="D46" t="b">
        <f ca="1"/>
        <v>1</v>
      </c>
      <c r="E46" t="b">
        <f t="shared" ca="1" si="0"/>
        <v>0</v>
      </c>
    </row>
    <row r="47" spans="3:5" x14ac:dyDescent="0.35">
      <c r="C47" t="b">
        <f ca="1"/>
        <v>0</v>
      </c>
      <c r="D47" t="b">
        <f ca="1"/>
        <v>1</v>
      </c>
      <c r="E47" t="b">
        <f t="shared" ca="1" si="0"/>
        <v>0</v>
      </c>
    </row>
    <row r="48" spans="3:5" x14ac:dyDescent="0.35">
      <c r="C48" t="b">
        <f ca="1"/>
        <v>0</v>
      </c>
      <c r="D48" t="b">
        <f ca="1"/>
        <v>1</v>
      </c>
      <c r="E48" t="b">
        <f t="shared" ca="1" si="0"/>
        <v>0</v>
      </c>
    </row>
    <row r="49" spans="3:5" x14ac:dyDescent="0.35">
      <c r="C49" t="b">
        <f ca="1"/>
        <v>0</v>
      </c>
      <c r="D49" t="b">
        <f ca="1"/>
        <v>1</v>
      </c>
      <c r="E49" t="b">
        <f t="shared" ca="1" si="0"/>
        <v>0</v>
      </c>
    </row>
    <row r="50" spans="3:5" x14ac:dyDescent="0.35">
      <c r="C50" t="b">
        <f ca="1"/>
        <v>0</v>
      </c>
      <c r="D50" t="b">
        <f ca="1"/>
        <v>1</v>
      </c>
      <c r="E50" t="b">
        <f t="shared" ca="1" si="0"/>
        <v>0</v>
      </c>
    </row>
    <row r="51" spans="3:5" x14ac:dyDescent="0.35">
      <c r="C51" t="b">
        <f ca="1"/>
        <v>0</v>
      </c>
      <c r="D51" t="b">
        <f ca="1"/>
        <v>1</v>
      </c>
      <c r="E51" t="b">
        <f t="shared" ca="1" si="0"/>
        <v>0</v>
      </c>
    </row>
    <row r="52" spans="3:5" x14ac:dyDescent="0.35">
      <c r="C52" t="b">
        <f ca="1"/>
        <v>0</v>
      </c>
      <c r="D52" t="b">
        <f ca="1"/>
        <v>1</v>
      </c>
      <c r="E52" t="b">
        <f t="shared" ca="1" si="0"/>
        <v>0</v>
      </c>
    </row>
    <row r="53" spans="3:5" x14ac:dyDescent="0.35">
      <c r="C53" t="b">
        <f ca="1"/>
        <v>0</v>
      </c>
      <c r="D53" t="b">
        <f ca="1"/>
        <v>1</v>
      </c>
      <c r="E53" t="b">
        <f t="shared" ca="1" si="0"/>
        <v>0</v>
      </c>
    </row>
    <row r="54" spans="3:5" x14ac:dyDescent="0.35">
      <c r="C54" t="b">
        <f ca="1"/>
        <v>0</v>
      </c>
      <c r="D54" t="b">
        <f ca="1"/>
        <v>1</v>
      </c>
      <c r="E54" t="b">
        <f t="shared" ca="1" si="0"/>
        <v>0</v>
      </c>
    </row>
    <row r="55" spans="3:5" x14ac:dyDescent="0.35">
      <c r="C55" t="b">
        <f ca="1"/>
        <v>0</v>
      </c>
      <c r="D55" t="b">
        <f ca="1"/>
        <v>1</v>
      </c>
      <c r="E55" t="b">
        <f t="shared" ca="1" si="0"/>
        <v>0</v>
      </c>
    </row>
    <row r="56" spans="3:5" x14ac:dyDescent="0.35">
      <c r="C56" t="b">
        <f ca="1"/>
        <v>0</v>
      </c>
      <c r="D56" t="b">
        <f ca="1"/>
        <v>1</v>
      </c>
      <c r="E56" t="b">
        <f t="shared" ca="1" si="0"/>
        <v>0</v>
      </c>
    </row>
    <row r="57" spans="3:5" x14ac:dyDescent="0.35">
      <c r="C57" t="b">
        <f ca="1"/>
        <v>0</v>
      </c>
      <c r="D57" t="b">
        <f ca="1"/>
        <v>1</v>
      </c>
      <c r="E57" t="b">
        <f t="shared" ca="1" si="0"/>
        <v>0</v>
      </c>
    </row>
    <row r="58" spans="3:5" x14ac:dyDescent="0.35">
      <c r="C58" t="b">
        <f ca="1"/>
        <v>0</v>
      </c>
      <c r="D58" t="b">
        <f ca="1"/>
        <v>1</v>
      </c>
      <c r="E58" t="b">
        <f t="shared" ca="1" si="0"/>
        <v>0</v>
      </c>
    </row>
    <row r="59" spans="3:5" x14ac:dyDescent="0.35">
      <c r="C59" t="b">
        <f ca="1"/>
        <v>0</v>
      </c>
      <c r="D59" t="b">
        <f ca="1"/>
        <v>1</v>
      </c>
      <c r="E59" t="b">
        <f t="shared" ca="1" si="0"/>
        <v>0</v>
      </c>
    </row>
    <row r="60" spans="3:5" x14ac:dyDescent="0.35">
      <c r="C60" t="b">
        <f ca="1"/>
        <v>0</v>
      </c>
      <c r="D60" t="b">
        <f ca="1"/>
        <v>1</v>
      </c>
      <c r="E60" t="b">
        <f t="shared" ca="1" si="0"/>
        <v>0</v>
      </c>
    </row>
    <row r="61" spans="3:5" x14ac:dyDescent="0.35">
      <c r="C61" t="b">
        <f ca="1"/>
        <v>0</v>
      </c>
      <c r="D61" t="b">
        <f ca="1"/>
        <v>1</v>
      </c>
      <c r="E61" t="b">
        <f t="shared" ca="1" si="0"/>
        <v>0</v>
      </c>
    </row>
    <row r="62" spans="3:5" x14ac:dyDescent="0.35">
      <c r="C62" t="b">
        <f ca="1"/>
        <v>0</v>
      </c>
      <c r="D62" t="b">
        <f ca="1"/>
        <v>1</v>
      </c>
      <c r="E62" t="b">
        <f t="shared" ca="1" si="0"/>
        <v>0</v>
      </c>
    </row>
    <row r="63" spans="3:5" x14ac:dyDescent="0.35">
      <c r="C63" t="b">
        <f ca="1"/>
        <v>0</v>
      </c>
      <c r="D63" t="b">
        <f ca="1"/>
        <v>1</v>
      </c>
      <c r="E63" t="b">
        <f t="shared" ca="1" si="0"/>
        <v>0</v>
      </c>
    </row>
    <row r="64" spans="3:5" x14ac:dyDescent="0.35">
      <c r="C64" t="b">
        <f ca="1"/>
        <v>0</v>
      </c>
      <c r="D64" t="b">
        <f ca="1"/>
        <v>1</v>
      </c>
      <c r="E64" t="b">
        <f t="shared" ca="1" si="0"/>
        <v>0</v>
      </c>
    </row>
    <row r="65" spans="3:5" x14ac:dyDescent="0.35">
      <c r="C65" t="b">
        <f ca="1"/>
        <v>0</v>
      </c>
      <c r="D65" t="b">
        <f ca="1"/>
        <v>1</v>
      </c>
      <c r="E65" t="b">
        <f t="shared" ca="1" si="0"/>
        <v>0</v>
      </c>
    </row>
    <row r="66" spans="3:5" x14ac:dyDescent="0.35">
      <c r="C66" t="b">
        <f ca="1"/>
        <v>0</v>
      </c>
      <c r="D66" t="b">
        <f ca="1"/>
        <v>1</v>
      </c>
      <c r="E66" t="b">
        <f t="shared" ca="1" si="0"/>
        <v>0</v>
      </c>
    </row>
    <row r="67" spans="3:5" x14ac:dyDescent="0.35">
      <c r="C67" t="b">
        <f ca="1"/>
        <v>0</v>
      </c>
      <c r="D67" t="b">
        <f ca="1"/>
        <v>1</v>
      </c>
      <c r="E67" t="b">
        <f t="shared" ref="E67:E130" ca="1" si="1">AND(C67:D67)</f>
        <v>0</v>
      </c>
    </row>
    <row r="68" spans="3:5" x14ac:dyDescent="0.35">
      <c r="C68" t="b">
        <f ca="1"/>
        <v>0</v>
      </c>
      <c r="D68" t="b">
        <f ca="1"/>
        <v>1</v>
      </c>
      <c r="E68" t="b">
        <f t="shared" ca="1" si="1"/>
        <v>0</v>
      </c>
    </row>
    <row r="69" spans="3:5" x14ac:dyDescent="0.35">
      <c r="C69" t="b">
        <f ca="1"/>
        <v>0</v>
      </c>
      <c r="D69" t="b">
        <f ca="1"/>
        <v>1</v>
      </c>
      <c r="E69" t="b">
        <f t="shared" ca="1" si="1"/>
        <v>0</v>
      </c>
    </row>
    <row r="70" spans="3:5" x14ac:dyDescent="0.35">
      <c r="C70" t="b">
        <f ca="1"/>
        <v>0</v>
      </c>
      <c r="D70" t="b">
        <f ca="1"/>
        <v>1</v>
      </c>
      <c r="E70" t="b">
        <f t="shared" ca="1" si="1"/>
        <v>0</v>
      </c>
    </row>
    <row r="71" spans="3:5" x14ac:dyDescent="0.35">
      <c r="C71" t="b">
        <f ca="1"/>
        <v>0</v>
      </c>
      <c r="D71" t="b">
        <f ca="1"/>
        <v>1</v>
      </c>
      <c r="E71" t="b">
        <f t="shared" ca="1" si="1"/>
        <v>0</v>
      </c>
    </row>
    <row r="72" spans="3:5" x14ac:dyDescent="0.35">
      <c r="C72" t="b">
        <f ca="1"/>
        <v>0</v>
      </c>
      <c r="D72" t="b">
        <f ca="1"/>
        <v>1</v>
      </c>
      <c r="E72" t="b">
        <f t="shared" ca="1" si="1"/>
        <v>0</v>
      </c>
    </row>
    <row r="73" spans="3:5" x14ac:dyDescent="0.35">
      <c r="C73" t="b">
        <f ca="1"/>
        <v>0</v>
      </c>
      <c r="D73" t="b">
        <f ca="1"/>
        <v>1</v>
      </c>
      <c r="E73" t="b">
        <f t="shared" ca="1" si="1"/>
        <v>0</v>
      </c>
    </row>
    <row r="74" spans="3:5" x14ac:dyDescent="0.35">
      <c r="C74" t="b">
        <f ca="1"/>
        <v>0</v>
      </c>
      <c r="D74" t="b">
        <f ca="1"/>
        <v>1</v>
      </c>
      <c r="E74" t="b">
        <f t="shared" ca="1" si="1"/>
        <v>0</v>
      </c>
    </row>
    <row r="75" spans="3:5" x14ac:dyDescent="0.35">
      <c r="C75" t="b">
        <f ca="1"/>
        <v>0</v>
      </c>
      <c r="D75" t="b">
        <f ca="1"/>
        <v>1</v>
      </c>
      <c r="E75" t="b">
        <f t="shared" ca="1" si="1"/>
        <v>0</v>
      </c>
    </row>
    <row r="76" spans="3:5" x14ac:dyDescent="0.35">
      <c r="C76" t="b">
        <f ca="1"/>
        <v>0</v>
      </c>
      <c r="D76" t="b">
        <f ca="1"/>
        <v>1</v>
      </c>
      <c r="E76" t="b">
        <f t="shared" ca="1" si="1"/>
        <v>0</v>
      </c>
    </row>
    <row r="77" spans="3:5" x14ac:dyDescent="0.35">
      <c r="C77" t="b">
        <f ca="1"/>
        <v>0</v>
      </c>
      <c r="D77" t="b">
        <f ca="1"/>
        <v>1</v>
      </c>
      <c r="E77" t="b">
        <f t="shared" ca="1" si="1"/>
        <v>0</v>
      </c>
    </row>
    <row r="78" spans="3:5" x14ac:dyDescent="0.35">
      <c r="C78" t="b">
        <f ca="1"/>
        <v>0</v>
      </c>
      <c r="D78" t="b">
        <f ca="1"/>
        <v>1</v>
      </c>
      <c r="E78" t="b">
        <f t="shared" ca="1" si="1"/>
        <v>0</v>
      </c>
    </row>
    <row r="79" spans="3:5" x14ac:dyDescent="0.35">
      <c r="C79" t="b">
        <f ca="1"/>
        <v>0</v>
      </c>
      <c r="D79" t="b">
        <f ca="1"/>
        <v>1</v>
      </c>
      <c r="E79" t="b">
        <f t="shared" ca="1" si="1"/>
        <v>0</v>
      </c>
    </row>
    <row r="80" spans="3:5" x14ac:dyDescent="0.35">
      <c r="C80" t="b">
        <f ca="1"/>
        <v>0</v>
      </c>
      <c r="D80" t="b">
        <f ca="1"/>
        <v>1</v>
      </c>
      <c r="E80" t="b">
        <f t="shared" ca="1" si="1"/>
        <v>0</v>
      </c>
    </row>
    <row r="81" spans="3:5" x14ac:dyDescent="0.35">
      <c r="C81" t="b">
        <f ca="1"/>
        <v>0</v>
      </c>
      <c r="D81" t="b">
        <f ca="1"/>
        <v>1</v>
      </c>
      <c r="E81" t="b">
        <f t="shared" ca="1" si="1"/>
        <v>0</v>
      </c>
    </row>
    <row r="82" spans="3:5" x14ac:dyDescent="0.35">
      <c r="C82" t="b">
        <f ca="1"/>
        <v>0</v>
      </c>
      <c r="D82" t="b">
        <f ca="1"/>
        <v>1</v>
      </c>
      <c r="E82" t="b">
        <f t="shared" ca="1" si="1"/>
        <v>0</v>
      </c>
    </row>
    <row r="83" spans="3:5" x14ac:dyDescent="0.35">
      <c r="C83" t="b">
        <f ca="1"/>
        <v>0</v>
      </c>
      <c r="D83" t="b">
        <f ca="1"/>
        <v>1</v>
      </c>
      <c r="E83" t="b">
        <f t="shared" ca="1" si="1"/>
        <v>0</v>
      </c>
    </row>
    <row r="84" spans="3:5" x14ac:dyDescent="0.35">
      <c r="C84" t="b">
        <f ca="1"/>
        <v>0</v>
      </c>
      <c r="D84" t="b">
        <f ca="1"/>
        <v>1</v>
      </c>
      <c r="E84" t="b">
        <f t="shared" ca="1" si="1"/>
        <v>0</v>
      </c>
    </row>
    <row r="85" spans="3:5" x14ac:dyDescent="0.35">
      <c r="C85" t="b">
        <f ca="1"/>
        <v>0</v>
      </c>
      <c r="D85" t="b">
        <f ca="1"/>
        <v>1</v>
      </c>
      <c r="E85" t="b">
        <f t="shared" ca="1" si="1"/>
        <v>0</v>
      </c>
    </row>
    <row r="86" spans="3:5" x14ac:dyDescent="0.35">
      <c r="C86" t="b">
        <f ca="1"/>
        <v>0</v>
      </c>
      <c r="D86" t="b">
        <f ca="1"/>
        <v>1</v>
      </c>
      <c r="E86" t="b">
        <f t="shared" ca="1" si="1"/>
        <v>0</v>
      </c>
    </row>
    <row r="87" spans="3:5" x14ac:dyDescent="0.35">
      <c r="C87" t="b">
        <f ca="1"/>
        <v>0</v>
      </c>
      <c r="D87" t="b">
        <f ca="1"/>
        <v>1</v>
      </c>
      <c r="E87" t="b">
        <f t="shared" ca="1" si="1"/>
        <v>0</v>
      </c>
    </row>
    <row r="88" spans="3:5" x14ac:dyDescent="0.35">
      <c r="C88" t="b">
        <f ca="1"/>
        <v>0</v>
      </c>
      <c r="D88" t="b">
        <f ca="1"/>
        <v>1</v>
      </c>
      <c r="E88" t="b">
        <f t="shared" ca="1" si="1"/>
        <v>0</v>
      </c>
    </row>
    <row r="89" spans="3:5" x14ac:dyDescent="0.35">
      <c r="C89" t="b">
        <f ca="1"/>
        <v>0</v>
      </c>
      <c r="D89" t="b">
        <f ca="1"/>
        <v>1</v>
      </c>
      <c r="E89" t="b">
        <f t="shared" ca="1" si="1"/>
        <v>0</v>
      </c>
    </row>
    <row r="90" spans="3:5" x14ac:dyDescent="0.35">
      <c r="C90" t="b">
        <f ca="1"/>
        <v>0</v>
      </c>
      <c r="D90" t="b">
        <f ca="1"/>
        <v>1</v>
      </c>
      <c r="E90" t="b">
        <f t="shared" ca="1" si="1"/>
        <v>0</v>
      </c>
    </row>
    <row r="91" spans="3:5" x14ac:dyDescent="0.35">
      <c r="C91" t="b">
        <f ca="1"/>
        <v>0</v>
      </c>
      <c r="D91" t="b">
        <f ca="1"/>
        <v>1</v>
      </c>
      <c r="E91" t="b">
        <f t="shared" ca="1" si="1"/>
        <v>0</v>
      </c>
    </row>
    <row r="92" spans="3:5" x14ac:dyDescent="0.35">
      <c r="C92" t="b">
        <f ca="1"/>
        <v>0</v>
      </c>
      <c r="D92" t="b">
        <f ca="1"/>
        <v>1</v>
      </c>
      <c r="E92" t="b">
        <f t="shared" ca="1" si="1"/>
        <v>0</v>
      </c>
    </row>
    <row r="93" spans="3:5" x14ac:dyDescent="0.35">
      <c r="C93" t="b">
        <f ca="1"/>
        <v>0</v>
      </c>
      <c r="D93" t="b">
        <f ca="1"/>
        <v>1</v>
      </c>
      <c r="E93" t="b">
        <f t="shared" ca="1" si="1"/>
        <v>0</v>
      </c>
    </row>
    <row r="94" spans="3:5" x14ac:dyDescent="0.35">
      <c r="C94" t="b">
        <f ca="1"/>
        <v>0</v>
      </c>
      <c r="D94" t="b">
        <f ca="1"/>
        <v>1</v>
      </c>
      <c r="E94" t="b">
        <f t="shared" ca="1" si="1"/>
        <v>0</v>
      </c>
    </row>
    <row r="95" spans="3:5" x14ac:dyDescent="0.35">
      <c r="C95" t="b">
        <f ca="1"/>
        <v>0</v>
      </c>
      <c r="D95" t="b">
        <f ca="1"/>
        <v>1</v>
      </c>
      <c r="E95" t="b">
        <f t="shared" ca="1" si="1"/>
        <v>0</v>
      </c>
    </row>
    <row r="96" spans="3:5" x14ac:dyDescent="0.35">
      <c r="C96" t="b">
        <f ca="1"/>
        <v>0</v>
      </c>
      <c r="D96" t="b">
        <f ca="1"/>
        <v>1</v>
      </c>
      <c r="E96" t="b">
        <f t="shared" ca="1" si="1"/>
        <v>0</v>
      </c>
    </row>
    <row r="97" spans="3:5" x14ac:dyDescent="0.35">
      <c r="C97" t="b">
        <f ca="1"/>
        <v>0</v>
      </c>
      <c r="D97" t="b">
        <f ca="1"/>
        <v>1</v>
      </c>
      <c r="E97" t="b">
        <f t="shared" ca="1" si="1"/>
        <v>0</v>
      </c>
    </row>
    <row r="98" spans="3:5" x14ac:dyDescent="0.35">
      <c r="C98" t="b">
        <f ca="1"/>
        <v>0</v>
      </c>
      <c r="D98" t="b">
        <f ca="1"/>
        <v>1</v>
      </c>
      <c r="E98" t="b">
        <f t="shared" ca="1" si="1"/>
        <v>0</v>
      </c>
    </row>
    <row r="99" spans="3:5" x14ac:dyDescent="0.35">
      <c r="C99" t="b">
        <f ca="1"/>
        <v>0</v>
      </c>
      <c r="D99" t="b">
        <f ca="1"/>
        <v>1</v>
      </c>
      <c r="E99" t="b">
        <f t="shared" ca="1" si="1"/>
        <v>0</v>
      </c>
    </row>
    <row r="100" spans="3:5" x14ac:dyDescent="0.35">
      <c r="C100" t="b">
        <f ca="1"/>
        <v>0</v>
      </c>
      <c r="D100" t="b">
        <f ca="1"/>
        <v>1</v>
      </c>
      <c r="E100" t="b">
        <f t="shared" ca="1" si="1"/>
        <v>0</v>
      </c>
    </row>
    <row r="101" spans="3:5" x14ac:dyDescent="0.35">
      <c r="C101" t="b">
        <f ca="1"/>
        <v>0</v>
      </c>
      <c r="D101" t="b">
        <f ca="1"/>
        <v>1</v>
      </c>
      <c r="E101" t="b">
        <f t="shared" ca="1" si="1"/>
        <v>0</v>
      </c>
    </row>
    <row r="102" spans="3:5" x14ac:dyDescent="0.35">
      <c r="C102" t="b">
        <f ca="1"/>
        <v>0</v>
      </c>
      <c r="D102" t="b">
        <f ca="1"/>
        <v>1</v>
      </c>
      <c r="E102" t="b">
        <f t="shared" ca="1" si="1"/>
        <v>0</v>
      </c>
    </row>
    <row r="103" spans="3:5" x14ac:dyDescent="0.35">
      <c r="C103" t="b">
        <f ca="1"/>
        <v>0</v>
      </c>
      <c r="D103" t="b">
        <f ca="1"/>
        <v>1</v>
      </c>
      <c r="E103" t="b">
        <f t="shared" ca="1" si="1"/>
        <v>0</v>
      </c>
    </row>
    <row r="104" spans="3:5" x14ac:dyDescent="0.35">
      <c r="C104" t="b">
        <f ca="1"/>
        <v>0</v>
      </c>
      <c r="D104" t="b">
        <f ca="1"/>
        <v>1</v>
      </c>
      <c r="E104" t="b">
        <f t="shared" ca="1" si="1"/>
        <v>0</v>
      </c>
    </row>
    <row r="105" spans="3:5" x14ac:dyDescent="0.35">
      <c r="C105" t="b">
        <f ca="1"/>
        <v>0</v>
      </c>
      <c r="D105" t="b">
        <f ca="1"/>
        <v>1</v>
      </c>
      <c r="E105" t="b">
        <f t="shared" ca="1" si="1"/>
        <v>0</v>
      </c>
    </row>
    <row r="106" spans="3:5" x14ac:dyDescent="0.35">
      <c r="C106" t="b">
        <f ca="1"/>
        <v>0</v>
      </c>
      <c r="D106" t="b">
        <f ca="1"/>
        <v>1</v>
      </c>
      <c r="E106" t="b">
        <f t="shared" ca="1" si="1"/>
        <v>0</v>
      </c>
    </row>
    <row r="107" spans="3:5" x14ac:dyDescent="0.35">
      <c r="C107" t="b">
        <f ca="1"/>
        <v>0</v>
      </c>
      <c r="D107" t="b">
        <f ca="1"/>
        <v>1</v>
      </c>
      <c r="E107" t="b">
        <f t="shared" ca="1" si="1"/>
        <v>0</v>
      </c>
    </row>
    <row r="108" spans="3:5" x14ac:dyDescent="0.35">
      <c r="C108" t="b">
        <f ca="1"/>
        <v>0</v>
      </c>
      <c r="D108" t="b">
        <f ca="1"/>
        <v>1</v>
      </c>
      <c r="E108" t="b">
        <f t="shared" ca="1" si="1"/>
        <v>0</v>
      </c>
    </row>
    <row r="109" spans="3:5" x14ac:dyDescent="0.35">
      <c r="C109" t="b">
        <f ca="1"/>
        <v>0</v>
      </c>
      <c r="D109" t="b">
        <f ca="1"/>
        <v>1</v>
      </c>
      <c r="E109" t="b">
        <f t="shared" ca="1" si="1"/>
        <v>0</v>
      </c>
    </row>
    <row r="110" spans="3:5" x14ac:dyDescent="0.35">
      <c r="C110" t="b">
        <f ca="1"/>
        <v>0</v>
      </c>
      <c r="D110" t="b">
        <f ca="1"/>
        <v>1</v>
      </c>
      <c r="E110" t="b">
        <f t="shared" ca="1" si="1"/>
        <v>0</v>
      </c>
    </row>
    <row r="111" spans="3:5" x14ac:dyDescent="0.35">
      <c r="C111" t="b">
        <f ca="1"/>
        <v>0</v>
      </c>
      <c r="D111" t="b">
        <f ca="1"/>
        <v>1</v>
      </c>
      <c r="E111" t="b">
        <f t="shared" ca="1" si="1"/>
        <v>0</v>
      </c>
    </row>
    <row r="112" spans="3:5" x14ac:dyDescent="0.35">
      <c r="C112" t="b">
        <f ca="1"/>
        <v>0</v>
      </c>
      <c r="D112" t="b">
        <f ca="1"/>
        <v>1</v>
      </c>
      <c r="E112" t="b">
        <f t="shared" ca="1" si="1"/>
        <v>0</v>
      </c>
    </row>
    <row r="113" spans="3:5" x14ac:dyDescent="0.35">
      <c r="C113" t="b">
        <f ca="1"/>
        <v>0</v>
      </c>
      <c r="D113" t="b">
        <f ca="1"/>
        <v>1</v>
      </c>
      <c r="E113" t="b">
        <f t="shared" ca="1" si="1"/>
        <v>0</v>
      </c>
    </row>
    <row r="114" spans="3:5" x14ac:dyDescent="0.35">
      <c r="C114" t="b">
        <f ca="1"/>
        <v>0</v>
      </c>
      <c r="D114" t="b">
        <f ca="1"/>
        <v>1</v>
      </c>
      <c r="E114" t="b">
        <f t="shared" ca="1" si="1"/>
        <v>0</v>
      </c>
    </row>
    <row r="115" spans="3:5" x14ac:dyDescent="0.35">
      <c r="C115" t="b">
        <f ca="1"/>
        <v>0</v>
      </c>
      <c r="D115" t="b">
        <f ca="1"/>
        <v>1</v>
      </c>
      <c r="E115" t="b">
        <f t="shared" ca="1" si="1"/>
        <v>0</v>
      </c>
    </row>
    <row r="116" spans="3:5" x14ac:dyDescent="0.35">
      <c r="C116" t="b">
        <f ca="1"/>
        <v>0</v>
      </c>
      <c r="D116" t="b">
        <f ca="1"/>
        <v>1</v>
      </c>
      <c r="E116" t="b">
        <f t="shared" ca="1" si="1"/>
        <v>0</v>
      </c>
    </row>
    <row r="117" spans="3:5" x14ac:dyDescent="0.35">
      <c r="C117" t="b">
        <f ca="1"/>
        <v>0</v>
      </c>
      <c r="D117" t="b">
        <f ca="1"/>
        <v>1</v>
      </c>
      <c r="E117" t="b">
        <f t="shared" ca="1" si="1"/>
        <v>0</v>
      </c>
    </row>
    <row r="118" spans="3:5" x14ac:dyDescent="0.35">
      <c r="C118" t="b">
        <f ca="1"/>
        <v>0</v>
      </c>
      <c r="D118" t="b">
        <f ca="1"/>
        <v>1</v>
      </c>
      <c r="E118" t="b">
        <f t="shared" ca="1" si="1"/>
        <v>0</v>
      </c>
    </row>
    <row r="119" spans="3:5" x14ac:dyDescent="0.35">
      <c r="C119" t="b">
        <f ca="1"/>
        <v>0</v>
      </c>
      <c r="D119" t="b">
        <f ca="1"/>
        <v>1</v>
      </c>
      <c r="E119" t="b">
        <f t="shared" ca="1" si="1"/>
        <v>0</v>
      </c>
    </row>
    <row r="120" spans="3:5" x14ac:dyDescent="0.35">
      <c r="C120" t="b">
        <f ca="1"/>
        <v>0</v>
      </c>
      <c r="D120" t="b">
        <f ca="1"/>
        <v>1</v>
      </c>
      <c r="E120" t="b">
        <f t="shared" ca="1" si="1"/>
        <v>0</v>
      </c>
    </row>
    <row r="121" spans="3:5" x14ac:dyDescent="0.35">
      <c r="C121" t="b">
        <f ca="1"/>
        <v>0</v>
      </c>
      <c r="D121" t="b">
        <f ca="1"/>
        <v>1</v>
      </c>
      <c r="E121" t="b">
        <f t="shared" ca="1" si="1"/>
        <v>0</v>
      </c>
    </row>
    <row r="122" spans="3:5" x14ac:dyDescent="0.35">
      <c r="C122" t="b">
        <f ca="1"/>
        <v>0</v>
      </c>
      <c r="D122" t="b">
        <f ca="1"/>
        <v>1</v>
      </c>
      <c r="E122" t="b">
        <f t="shared" ca="1" si="1"/>
        <v>0</v>
      </c>
    </row>
    <row r="123" spans="3:5" x14ac:dyDescent="0.35">
      <c r="C123" t="b">
        <f ca="1"/>
        <v>0</v>
      </c>
      <c r="D123" t="b">
        <f ca="1"/>
        <v>1</v>
      </c>
      <c r="E123" t="b">
        <f t="shared" ca="1" si="1"/>
        <v>0</v>
      </c>
    </row>
    <row r="124" spans="3:5" x14ac:dyDescent="0.35">
      <c r="C124" t="b">
        <f ca="1"/>
        <v>0</v>
      </c>
      <c r="D124" t="b">
        <f ca="1"/>
        <v>1</v>
      </c>
      <c r="E124" t="b">
        <f t="shared" ca="1" si="1"/>
        <v>0</v>
      </c>
    </row>
    <row r="125" spans="3:5" x14ac:dyDescent="0.35">
      <c r="C125" t="b">
        <f ca="1"/>
        <v>0</v>
      </c>
      <c r="D125" t="b">
        <f ca="1"/>
        <v>1</v>
      </c>
      <c r="E125" t="b">
        <f t="shared" ca="1" si="1"/>
        <v>0</v>
      </c>
    </row>
    <row r="126" spans="3:5" x14ac:dyDescent="0.35">
      <c r="C126" t="b">
        <f ca="1"/>
        <v>0</v>
      </c>
      <c r="D126" t="b">
        <f ca="1"/>
        <v>1</v>
      </c>
      <c r="E126" t="b">
        <f t="shared" ca="1" si="1"/>
        <v>0</v>
      </c>
    </row>
    <row r="127" spans="3:5" x14ac:dyDescent="0.35">
      <c r="C127" t="b">
        <f ca="1"/>
        <v>0</v>
      </c>
      <c r="D127" t="b">
        <f ca="1"/>
        <v>1</v>
      </c>
      <c r="E127" t="b">
        <f t="shared" ca="1" si="1"/>
        <v>0</v>
      </c>
    </row>
    <row r="128" spans="3:5" x14ac:dyDescent="0.35">
      <c r="C128" t="b">
        <f ca="1"/>
        <v>0</v>
      </c>
      <c r="D128" t="b">
        <f ca="1"/>
        <v>1</v>
      </c>
      <c r="E128" t="b">
        <f t="shared" ca="1" si="1"/>
        <v>0</v>
      </c>
    </row>
    <row r="129" spans="3:5" x14ac:dyDescent="0.35">
      <c r="C129" t="b">
        <f ca="1"/>
        <v>0</v>
      </c>
      <c r="D129" t="b">
        <f ca="1"/>
        <v>1</v>
      </c>
      <c r="E129" t="b">
        <f t="shared" ca="1" si="1"/>
        <v>0</v>
      </c>
    </row>
    <row r="130" spans="3:5" x14ac:dyDescent="0.35">
      <c r="C130" t="b">
        <f ca="1"/>
        <v>0</v>
      </c>
      <c r="D130" t="b">
        <f ca="1"/>
        <v>1</v>
      </c>
      <c r="E130" t="b">
        <f t="shared" ca="1" si="1"/>
        <v>0</v>
      </c>
    </row>
    <row r="131" spans="3:5" x14ac:dyDescent="0.35">
      <c r="C131" t="b">
        <f ca="1"/>
        <v>0</v>
      </c>
      <c r="D131" t="b">
        <f ca="1"/>
        <v>1</v>
      </c>
      <c r="E131" t="b">
        <f t="shared" ref="E131:E194" ca="1" si="2">AND(C131:D131)</f>
        <v>0</v>
      </c>
    </row>
    <row r="132" spans="3:5" x14ac:dyDescent="0.35">
      <c r="C132" t="b">
        <f ca="1"/>
        <v>0</v>
      </c>
      <c r="D132" t="b">
        <f ca="1"/>
        <v>1</v>
      </c>
      <c r="E132" t="b">
        <f t="shared" ca="1" si="2"/>
        <v>0</v>
      </c>
    </row>
    <row r="133" spans="3:5" x14ac:dyDescent="0.35">
      <c r="C133" t="b">
        <f ca="1"/>
        <v>0</v>
      </c>
      <c r="D133" t="b">
        <f ca="1"/>
        <v>1</v>
      </c>
      <c r="E133" t="b">
        <f t="shared" ca="1" si="2"/>
        <v>0</v>
      </c>
    </row>
    <row r="134" spans="3:5" x14ac:dyDescent="0.35">
      <c r="C134" t="b">
        <f ca="1"/>
        <v>0</v>
      </c>
      <c r="D134" t="b">
        <f ca="1"/>
        <v>1</v>
      </c>
      <c r="E134" t="b">
        <f t="shared" ca="1" si="2"/>
        <v>0</v>
      </c>
    </row>
    <row r="135" spans="3:5" x14ac:dyDescent="0.35">
      <c r="C135" t="b">
        <f ca="1"/>
        <v>0</v>
      </c>
      <c r="D135" t="b">
        <f ca="1"/>
        <v>1</v>
      </c>
      <c r="E135" t="b">
        <f t="shared" ca="1" si="2"/>
        <v>0</v>
      </c>
    </row>
    <row r="136" spans="3:5" x14ac:dyDescent="0.35">
      <c r="C136" t="b">
        <f ca="1"/>
        <v>0</v>
      </c>
      <c r="D136" t="b">
        <f ca="1"/>
        <v>1</v>
      </c>
      <c r="E136" t="b">
        <f t="shared" ca="1" si="2"/>
        <v>0</v>
      </c>
    </row>
    <row r="137" spans="3:5" x14ac:dyDescent="0.35">
      <c r="C137" t="b">
        <f ca="1"/>
        <v>0</v>
      </c>
      <c r="D137" t="b">
        <f ca="1"/>
        <v>1</v>
      </c>
      <c r="E137" t="b">
        <f t="shared" ca="1" si="2"/>
        <v>0</v>
      </c>
    </row>
    <row r="138" spans="3:5" x14ac:dyDescent="0.35">
      <c r="C138" t="b">
        <f ca="1"/>
        <v>0</v>
      </c>
      <c r="D138" t="b">
        <f ca="1"/>
        <v>1</v>
      </c>
      <c r="E138" t="b">
        <f t="shared" ca="1" si="2"/>
        <v>0</v>
      </c>
    </row>
    <row r="139" spans="3:5" x14ac:dyDescent="0.35">
      <c r="C139" t="b">
        <f ca="1"/>
        <v>0</v>
      </c>
      <c r="D139" t="b">
        <f ca="1"/>
        <v>1</v>
      </c>
      <c r="E139" t="b">
        <f t="shared" ca="1" si="2"/>
        <v>0</v>
      </c>
    </row>
    <row r="140" spans="3:5" x14ac:dyDescent="0.35">
      <c r="C140" t="b">
        <f ca="1"/>
        <v>0</v>
      </c>
      <c r="D140" t="b">
        <f ca="1"/>
        <v>1</v>
      </c>
      <c r="E140" t="b">
        <f t="shared" ca="1" si="2"/>
        <v>0</v>
      </c>
    </row>
    <row r="141" spans="3:5" x14ac:dyDescent="0.35">
      <c r="C141" t="b">
        <f ca="1"/>
        <v>0</v>
      </c>
      <c r="D141" t="b">
        <f ca="1"/>
        <v>1</v>
      </c>
      <c r="E141" t="b">
        <f t="shared" ca="1" si="2"/>
        <v>0</v>
      </c>
    </row>
    <row r="142" spans="3:5" x14ac:dyDescent="0.35">
      <c r="C142" t="b">
        <f ca="1"/>
        <v>0</v>
      </c>
      <c r="D142" t="b">
        <f ca="1"/>
        <v>1</v>
      </c>
      <c r="E142" t="b">
        <f t="shared" ca="1" si="2"/>
        <v>0</v>
      </c>
    </row>
    <row r="143" spans="3:5" x14ac:dyDescent="0.35">
      <c r="C143" t="b">
        <f ca="1"/>
        <v>0</v>
      </c>
      <c r="D143" t="b">
        <f ca="1"/>
        <v>1</v>
      </c>
      <c r="E143" t="b">
        <f t="shared" ca="1" si="2"/>
        <v>0</v>
      </c>
    </row>
    <row r="144" spans="3:5" x14ac:dyDescent="0.35">
      <c r="C144" t="b">
        <f ca="1"/>
        <v>0</v>
      </c>
      <c r="D144" t="b">
        <f ca="1"/>
        <v>1</v>
      </c>
      <c r="E144" t="b">
        <f t="shared" ca="1" si="2"/>
        <v>0</v>
      </c>
    </row>
    <row r="145" spans="3:5" x14ac:dyDescent="0.35">
      <c r="C145" t="b">
        <f ca="1"/>
        <v>0</v>
      </c>
      <c r="D145" t="b">
        <f ca="1"/>
        <v>1</v>
      </c>
      <c r="E145" t="b">
        <f t="shared" ca="1" si="2"/>
        <v>0</v>
      </c>
    </row>
    <row r="146" spans="3:5" x14ac:dyDescent="0.35">
      <c r="C146" t="b">
        <f ca="1"/>
        <v>0</v>
      </c>
      <c r="D146" t="b">
        <f ca="1"/>
        <v>1</v>
      </c>
      <c r="E146" t="b">
        <f t="shared" ca="1" si="2"/>
        <v>0</v>
      </c>
    </row>
    <row r="147" spans="3:5" x14ac:dyDescent="0.35">
      <c r="C147" t="b">
        <f ca="1"/>
        <v>0</v>
      </c>
      <c r="D147" t="b">
        <f ca="1"/>
        <v>1</v>
      </c>
      <c r="E147" t="b">
        <f t="shared" ca="1" si="2"/>
        <v>0</v>
      </c>
    </row>
    <row r="148" spans="3:5" x14ac:dyDescent="0.35">
      <c r="C148" t="b">
        <f ca="1"/>
        <v>0</v>
      </c>
      <c r="D148" t="b">
        <f ca="1"/>
        <v>1</v>
      </c>
      <c r="E148" t="b">
        <f t="shared" ca="1" si="2"/>
        <v>0</v>
      </c>
    </row>
    <row r="149" spans="3:5" x14ac:dyDescent="0.35">
      <c r="C149" t="b">
        <f ca="1"/>
        <v>0</v>
      </c>
      <c r="D149" t="b">
        <f ca="1"/>
        <v>1</v>
      </c>
      <c r="E149" t="b">
        <f t="shared" ca="1" si="2"/>
        <v>0</v>
      </c>
    </row>
    <row r="150" spans="3:5" x14ac:dyDescent="0.35">
      <c r="C150" t="b">
        <f ca="1"/>
        <v>0</v>
      </c>
      <c r="D150" t="b">
        <f ca="1"/>
        <v>1</v>
      </c>
      <c r="E150" t="b">
        <f t="shared" ca="1" si="2"/>
        <v>0</v>
      </c>
    </row>
    <row r="151" spans="3:5" x14ac:dyDescent="0.35">
      <c r="C151" t="b">
        <f ca="1"/>
        <v>0</v>
      </c>
      <c r="D151" t="b">
        <f ca="1"/>
        <v>1</v>
      </c>
      <c r="E151" t="b">
        <f t="shared" ca="1" si="2"/>
        <v>0</v>
      </c>
    </row>
    <row r="152" spans="3:5" x14ac:dyDescent="0.35">
      <c r="C152" t="b">
        <f ca="1"/>
        <v>0</v>
      </c>
      <c r="D152" t="b">
        <f ca="1"/>
        <v>1</v>
      </c>
      <c r="E152" t="b">
        <f t="shared" ca="1" si="2"/>
        <v>0</v>
      </c>
    </row>
    <row r="153" spans="3:5" x14ac:dyDescent="0.35">
      <c r="C153" t="b">
        <f ca="1"/>
        <v>0</v>
      </c>
      <c r="D153" t="b">
        <f ca="1"/>
        <v>1</v>
      </c>
      <c r="E153" t="b">
        <f t="shared" ca="1" si="2"/>
        <v>0</v>
      </c>
    </row>
    <row r="154" spans="3:5" x14ac:dyDescent="0.35">
      <c r="C154" t="b">
        <f ca="1"/>
        <v>0</v>
      </c>
      <c r="D154" t="b">
        <f ca="1"/>
        <v>1</v>
      </c>
      <c r="E154" t="b">
        <f t="shared" ca="1" si="2"/>
        <v>0</v>
      </c>
    </row>
    <row r="155" spans="3:5" x14ac:dyDescent="0.35">
      <c r="C155" t="b">
        <f ca="1"/>
        <v>0</v>
      </c>
      <c r="D155" t="b">
        <f ca="1"/>
        <v>1</v>
      </c>
      <c r="E155" t="b">
        <f t="shared" ca="1" si="2"/>
        <v>0</v>
      </c>
    </row>
    <row r="156" spans="3:5" x14ac:dyDescent="0.35">
      <c r="C156" t="b">
        <f ca="1"/>
        <v>0</v>
      </c>
      <c r="D156" t="b">
        <f ca="1"/>
        <v>1</v>
      </c>
      <c r="E156" t="b">
        <f t="shared" ca="1" si="2"/>
        <v>0</v>
      </c>
    </row>
    <row r="157" spans="3:5" x14ac:dyDescent="0.35">
      <c r="C157" t="b">
        <f ca="1"/>
        <v>0</v>
      </c>
      <c r="D157" t="b">
        <f ca="1"/>
        <v>1</v>
      </c>
      <c r="E157" t="b">
        <f t="shared" ca="1" si="2"/>
        <v>0</v>
      </c>
    </row>
    <row r="158" spans="3:5" x14ac:dyDescent="0.35">
      <c r="C158" t="b">
        <f ca="1"/>
        <v>0</v>
      </c>
      <c r="D158" t="b">
        <f ca="1"/>
        <v>1</v>
      </c>
      <c r="E158" t="b">
        <f t="shared" ca="1" si="2"/>
        <v>0</v>
      </c>
    </row>
    <row r="159" spans="3:5" x14ac:dyDescent="0.35">
      <c r="C159" t="b">
        <f ca="1"/>
        <v>0</v>
      </c>
      <c r="D159" t="b">
        <f ca="1"/>
        <v>1</v>
      </c>
      <c r="E159" t="b">
        <f t="shared" ca="1" si="2"/>
        <v>0</v>
      </c>
    </row>
    <row r="160" spans="3:5" x14ac:dyDescent="0.35">
      <c r="C160" t="b">
        <f ca="1"/>
        <v>0</v>
      </c>
      <c r="D160" t="b">
        <f ca="1"/>
        <v>1</v>
      </c>
      <c r="E160" t="b">
        <f t="shared" ca="1" si="2"/>
        <v>0</v>
      </c>
    </row>
    <row r="161" spans="3:5" x14ac:dyDescent="0.35">
      <c r="C161" t="b">
        <f ca="1"/>
        <v>0</v>
      </c>
      <c r="D161" t="b">
        <f ca="1"/>
        <v>1</v>
      </c>
      <c r="E161" t="b">
        <f t="shared" ca="1" si="2"/>
        <v>0</v>
      </c>
    </row>
    <row r="162" spans="3:5" x14ac:dyDescent="0.35">
      <c r="C162" t="b">
        <f ca="1"/>
        <v>0</v>
      </c>
      <c r="D162" t="b">
        <f ca="1"/>
        <v>1</v>
      </c>
      <c r="E162" t="b">
        <f t="shared" ca="1" si="2"/>
        <v>0</v>
      </c>
    </row>
    <row r="163" spans="3:5" x14ac:dyDescent="0.35">
      <c r="C163" t="b">
        <f ca="1"/>
        <v>0</v>
      </c>
      <c r="D163" t="b">
        <f ca="1"/>
        <v>1</v>
      </c>
      <c r="E163" t="b">
        <f t="shared" ca="1" si="2"/>
        <v>0</v>
      </c>
    </row>
    <row r="164" spans="3:5" x14ac:dyDescent="0.35">
      <c r="C164" t="b">
        <f ca="1"/>
        <v>0</v>
      </c>
      <c r="D164" t="b">
        <f ca="1"/>
        <v>1</v>
      </c>
      <c r="E164" t="b">
        <f t="shared" ca="1" si="2"/>
        <v>0</v>
      </c>
    </row>
    <row r="165" spans="3:5" x14ac:dyDescent="0.35">
      <c r="C165" t="b">
        <f ca="1"/>
        <v>0</v>
      </c>
      <c r="D165" t="b">
        <f ca="1"/>
        <v>1</v>
      </c>
      <c r="E165" t="b">
        <f t="shared" ca="1" si="2"/>
        <v>0</v>
      </c>
    </row>
    <row r="166" spans="3:5" x14ac:dyDescent="0.35">
      <c r="C166" t="b">
        <f ca="1"/>
        <v>0</v>
      </c>
      <c r="D166" t="b">
        <f ca="1"/>
        <v>1</v>
      </c>
      <c r="E166" t="b">
        <f t="shared" ca="1" si="2"/>
        <v>0</v>
      </c>
    </row>
    <row r="167" spans="3:5" x14ac:dyDescent="0.35">
      <c r="C167" t="b">
        <f ca="1"/>
        <v>0</v>
      </c>
      <c r="D167" t="b">
        <f ca="1"/>
        <v>1</v>
      </c>
      <c r="E167" t="b">
        <f t="shared" ca="1" si="2"/>
        <v>0</v>
      </c>
    </row>
    <row r="168" spans="3:5" x14ac:dyDescent="0.35">
      <c r="C168" t="b">
        <f ca="1"/>
        <v>0</v>
      </c>
      <c r="D168" t="b">
        <f ca="1"/>
        <v>1</v>
      </c>
      <c r="E168" t="b">
        <f t="shared" ca="1" si="2"/>
        <v>0</v>
      </c>
    </row>
    <row r="169" spans="3:5" x14ac:dyDescent="0.35">
      <c r="C169" t="b">
        <f ca="1"/>
        <v>0</v>
      </c>
      <c r="D169" t="b">
        <f ca="1"/>
        <v>1</v>
      </c>
      <c r="E169" t="b">
        <f t="shared" ca="1" si="2"/>
        <v>0</v>
      </c>
    </row>
    <row r="170" spans="3:5" x14ac:dyDescent="0.35">
      <c r="C170" t="b">
        <f ca="1"/>
        <v>0</v>
      </c>
      <c r="D170" t="b">
        <f ca="1"/>
        <v>1</v>
      </c>
      <c r="E170" t="b">
        <f t="shared" ca="1" si="2"/>
        <v>0</v>
      </c>
    </row>
    <row r="171" spans="3:5" x14ac:dyDescent="0.35">
      <c r="C171" t="b">
        <f ca="1"/>
        <v>0</v>
      </c>
      <c r="D171" t="b">
        <f ca="1"/>
        <v>1</v>
      </c>
      <c r="E171" t="b">
        <f t="shared" ca="1" si="2"/>
        <v>0</v>
      </c>
    </row>
    <row r="172" spans="3:5" x14ac:dyDescent="0.35">
      <c r="C172" t="b">
        <f ca="1"/>
        <v>0</v>
      </c>
      <c r="D172" t="b">
        <f ca="1"/>
        <v>1</v>
      </c>
      <c r="E172" t="b">
        <f t="shared" ca="1" si="2"/>
        <v>0</v>
      </c>
    </row>
    <row r="173" spans="3:5" x14ac:dyDescent="0.35">
      <c r="C173" t="b">
        <f ca="1"/>
        <v>0</v>
      </c>
      <c r="D173" t="b">
        <f ca="1"/>
        <v>1</v>
      </c>
      <c r="E173" t="b">
        <f t="shared" ca="1" si="2"/>
        <v>0</v>
      </c>
    </row>
    <row r="174" spans="3:5" x14ac:dyDescent="0.35">
      <c r="C174" t="b">
        <f ca="1"/>
        <v>0</v>
      </c>
      <c r="D174" t="b">
        <f ca="1"/>
        <v>1</v>
      </c>
      <c r="E174" t="b">
        <f t="shared" ca="1" si="2"/>
        <v>0</v>
      </c>
    </row>
    <row r="175" spans="3:5" x14ac:dyDescent="0.35">
      <c r="C175" t="b">
        <f ca="1"/>
        <v>0</v>
      </c>
      <c r="D175" t="b">
        <f ca="1"/>
        <v>1</v>
      </c>
      <c r="E175" t="b">
        <f t="shared" ca="1" si="2"/>
        <v>0</v>
      </c>
    </row>
    <row r="176" spans="3:5" x14ac:dyDescent="0.35">
      <c r="C176" t="b">
        <f ca="1"/>
        <v>0</v>
      </c>
      <c r="D176" t="b">
        <f ca="1"/>
        <v>1</v>
      </c>
      <c r="E176" t="b">
        <f t="shared" ca="1" si="2"/>
        <v>0</v>
      </c>
    </row>
    <row r="177" spans="3:5" x14ac:dyDescent="0.35">
      <c r="C177" t="b">
        <f ca="1"/>
        <v>0</v>
      </c>
      <c r="D177" t="b">
        <f ca="1"/>
        <v>1</v>
      </c>
      <c r="E177" t="b">
        <f t="shared" ca="1" si="2"/>
        <v>0</v>
      </c>
    </row>
    <row r="178" spans="3:5" x14ac:dyDescent="0.35">
      <c r="C178" t="b">
        <f ca="1"/>
        <v>0</v>
      </c>
      <c r="D178" t="b">
        <f ca="1"/>
        <v>1</v>
      </c>
      <c r="E178" t="b">
        <f t="shared" ca="1" si="2"/>
        <v>0</v>
      </c>
    </row>
    <row r="179" spans="3:5" x14ac:dyDescent="0.35">
      <c r="C179" t="b">
        <f ca="1"/>
        <v>0</v>
      </c>
      <c r="D179" t="b">
        <f ca="1"/>
        <v>1</v>
      </c>
      <c r="E179" t="b">
        <f t="shared" ca="1" si="2"/>
        <v>0</v>
      </c>
    </row>
    <row r="180" spans="3:5" x14ac:dyDescent="0.35">
      <c r="C180" t="b">
        <f ca="1"/>
        <v>0</v>
      </c>
      <c r="D180" t="b">
        <f ca="1"/>
        <v>1</v>
      </c>
      <c r="E180" t="b">
        <f t="shared" ca="1" si="2"/>
        <v>0</v>
      </c>
    </row>
    <row r="181" spans="3:5" x14ac:dyDescent="0.35">
      <c r="C181" t="b">
        <f ca="1"/>
        <v>0</v>
      </c>
      <c r="D181" t="b">
        <f ca="1"/>
        <v>1</v>
      </c>
      <c r="E181" t="b">
        <f t="shared" ca="1" si="2"/>
        <v>0</v>
      </c>
    </row>
    <row r="182" spans="3:5" x14ac:dyDescent="0.35">
      <c r="C182" t="b">
        <f ca="1"/>
        <v>0</v>
      </c>
      <c r="D182" t="b">
        <f ca="1"/>
        <v>1</v>
      </c>
      <c r="E182" t="b">
        <f t="shared" ca="1" si="2"/>
        <v>0</v>
      </c>
    </row>
    <row r="183" spans="3:5" x14ac:dyDescent="0.35">
      <c r="C183" t="b">
        <f ca="1"/>
        <v>0</v>
      </c>
      <c r="D183" t="b">
        <f ca="1"/>
        <v>1</v>
      </c>
      <c r="E183" t="b">
        <f t="shared" ca="1" si="2"/>
        <v>0</v>
      </c>
    </row>
    <row r="184" spans="3:5" x14ac:dyDescent="0.35">
      <c r="C184" t="b">
        <f ca="1"/>
        <v>0</v>
      </c>
      <c r="D184" t="b">
        <f ca="1"/>
        <v>1</v>
      </c>
      <c r="E184" t="b">
        <f t="shared" ca="1" si="2"/>
        <v>0</v>
      </c>
    </row>
    <row r="185" spans="3:5" x14ac:dyDescent="0.35">
      <c r="C185" t="b">
        <f ca="1"/>
        <v>0</v>
      </c>
      <c r="D185" t="b">
        <f ca="1"/>
        <v>1</v>
      </c>
      <c r="E185" t="b">
        <f t="shared" ca="1" si="2"/>
        <v>0</v>
      </c>
    </row>
    <row r="186" spans="3:5" x14ac:dyDescent="0.35">
      <c r="C186" t="b">
        <f ca="1"/>
        <v>0</v>
      </c>
      <c r="D186" t="b">
        <f ca="1"/>
        <v>1</v>
      </c>
      <c r="E186" t="b">
        <f t="shared" ca="1" si="2"/>
        <v>0</v>
      </c>
    </row>
    <row r="187" spans="3:5" x14ac:dyDescent="0.35">
      <c r="C187" t="b">
        <f ca="1"/>
        <v>0</v>
      </c>
      <c r="D187" t="b">
        <f ca="1"/>
        <v>1</v>
      </c>
      <c r="E187" t="b">
        <f t="shared" ca="1" si="2"/>
        <v>0</v>
      </c>
    </row>
    <row r="188" spans="3:5" x14ac:dyDescent="0.35">
      <c r="C188" t="b">
        <f ca="1"/>
        <v>0</v>
      </c>
      <c r="D188" t="b">
        <f ca="1"/>
        <v>1</v>
      </c>
      <c r="E188" t="b">
        <f t="shared" ca="1" si="2"/>
        <v>0</v>
      </c>
    </row>
    <row r="189" spans="3:5" x14ac:dyDescent="0.35">
      <c r="C189" t="b">
        <f ca="1"/>
        <v>0</v>
      </c>
      <c r="D189" t="b">
        <f ca="1"/>
        <v>1</v>
      </c>
      <c r="E189" t="b">
        <f t="shared" ca="1" si="2"/>
        <v>0</v>
      </c>
    </row>
    <row r="190" spans="3:5" x14ac:dyDescent="0.35">
      <c r="C190" t="b">
        <f ca="1"/>
        <v>0</v>
      </c>
      <c r="D190" t="b">
        <f ca="1"/>
        <v>1</v>
      </c>
      <c r="E190" t="b">
        <f t="shared" ca="1" si="2"/>
        <v>0</v>
      </c>
    </row>
    <row r="191" spans="3:5" x14ac:dyDescent="0.35">
      <c r="C191" t="b">
        <f ca="1"/>
        <v>0</v>
      </c>
      <c r="D191" t="b">
        <f ca="1"/>
        <v>1</v>
      </c>
      <c r="E191" t="b">
        <f t="shared" ca="1" si="2"/>
        <v>0</v>
      </c>
    </row>
    <row r="192" spans="3:5" x14ac:dyDescent="0.35">
      <c r="C192" t="b">
        <f ca="1"/>
        <v>0</v>
      </c>
      <c r="D192" t="b">
        <f ca="1"/>
        <v>1</v>
      </c>
      <c r="E192" t="b">
        <f t="shared" ca="1" si="2"/>
        <v>0</v>
      </c>
    </row>
    <row r="193" spans="3:5" x14ac:dyDescent="0.35">
      <c r="C193" t="b">
        <f ca="1"/>
        <v>0</v>
      </c>
      <c r="D193" t="b">
        <f ca="1"/>
        <v>1</v>
      </c>
      <c r="E193" t="b">
        <f t="shared" ca="1" si="2"/>
        <v>0</v>
      </c>
    </row>
    <row r="194" spans="3:5" x14ac:dyDescent="0.35">
      <c r="C194" t="b">
        <f ca="1"/>
        <v>0</v>
      </c>
      <c r="D194" t="b">
        <f ca="1"/>
        <v>1</v>
      </c>
      <c r="E194" t="b">
        <f t="shared" ca="1" si="2"/>
        <v>0</v>
      </c>
    </row>
    <row r="195" spans="3:5" x14ac:dyDescent="0.35">
      <c r="C195" t="b">
        <f ca="1"/>
        <v>0</v>
      </c>
      <c r="D195" t="b">
        <f ca="1"/>
        <v>1</v>
      </c>
      <c r="E195" t="b">
        <f t="shared" ref="E195:E258" ca="1" si="3">AND(C195:D195)</f>
        <v>0</v>
      </c>
    </row>
    <row r="196" spans="3:5" x14ac:dyDescent="0.35">
      <c r="C196" t="b">
        <f ca="1"/>
        <v>0</v>
      </c>
      <c r="D196" t="b">
        <f ca="1"/>
        <v>1</v>
      </c>
      <c r="E196" t="b">
        <f t="shared" ca="1" si="3"/>
        <v>0</v>
      </c>
    </row>
    <row r="197" spans="3:5" x14ac:dyDescent="0.35">
      <c r="C197" t="b">
        <f ca="1"/>
        <v>0</v>
      </c>
      <c r="D197" t="b">
        <f ca="1"/>
        <v>1</v>
      </c>
      <c r="E197" t="b">
        <f t="shared" ca="1" si="3"/>
        <v>0</v>
      </c>
    </row>
    <row r="198" spans="3:5" x14ac:dyDescent="0.35">
      <c r="C198" t="b">
        <f ca="1"/>
        <v>0</v>
      </c>
      <c r="D198" t="b">
        <f ca="1"/>
        <v>1</v>
      </c>
      <c r="E198" t="b">
        <f t="shared" ca="1" si="3"/>
        <v>0</v>
      </c>
    </row>
    <row r="199" spans="3:5" x14ac:dyDescent="0.35">
      <c r="C199" t="b">
        <f ca="1"/>
        <v>1</v>
      </c>
      <c r="D199" t="b">
        <f ca="1"/>
        <v>1</v>
      </c>
      <c r="E199" t="b">
        <f t="shared" ca="1" si="3"/>
        <v>1</v>
      </c>
    </row>
    <row r="200" spans="3:5" x14ac:dyDescent="0.35">
      <c r="C200" t="b">
        <f ca="1"/>
        <v>1</v>
      </c>
      <c r="D200" t="b">
        <f ca="1"/>
        <v>1</v>
      </c>
      <c r="E200" t="b">
        <f t="shared" ca="1" si="3"/>
        <v>1</v>
      </c>
    </row>
    <row r="201" spans="3:5" x14ac:dyDescent="0.35">
      <c r="C201" t="b">
        <f ca="1"/>
        <v>1</v>
      </c>
      <c r="D201" t="b">
        <f ca="1"/>
        <v>1</v>
      </c>
      <c r="E201" t="b">
        <f t="shared" ca="1" si="3"/>
        <v>1</v>
      </c>
    </row>
    <row r="202" spans="3:5" x14ac:dyDescent="0.35">
      <c r="C202" t="b">
        <f ca="1"/>
        <v>1</v>
      </c>
      <c r="D202" t="b">
        <f ca="1"/>
        <v>1</v>
      </c>
      <c r="E202" t="b">
        <f t="shared" ca="1" si="3"/>
        <v>1</v>
      </c>
    </row>
    <row r="203" spans="3:5" x14ac:dyDescent="0.35">
      <c r="C203" t="b">
        <f ca="1"/>
        <v>1</v>
      </c>
      <c r="D203" t="b">
        <f ca="1"/>
        <v>1</v>
      </c>
      <c r="E203" t="b">
        <f t="shared" ca="1" si="3"/>
        <v>1</v>
      </c>
    </row>
    <row r="204" spans="3:5" x14ac:dyDescent="0.35">
      <c r="C204" t="b">
        <f ca="1"/>
        <v>1</v>
      </c>
      <c r="D204" t="b">
        <f ca="1"/>
        <v>0</v>
      </c>
      <c r="E204" t="b">
        <f t="shared" ca="1" si="3"/>
        <v>0</v>
      </c>
    </row>
    <row r="205" spans="3:5" x14ac:dyDescent="0.35">
      <c r="C205" t="b">
        <f ca="1"/>
        <v>1</v>
      </c>
      <c r="D205" t="b">
        <f ca="1"/>
        <v>0</v>
      </c>
      <c r="E205" t="b">
        <f t="shared" ca="1" si="3"/>
        <v>0</v>
      </c>
    </row>
    <row r="206" spans="3:5" x14ac:dyDescent="0.35">
      <c r="C206" t="b">
        <f ca="1"/>
        <v>1</v>
      </c>
      <c r="D206" t="b">
        <f ca="1"/>
        <v>0</v>
      </c>
      <c r="E206" t="b">
        <f t="shared" ca="1" si="3"/>
        <v>0</v>
      </c>
    </row>
    <row r="207" spans="3:5" x14ac:dyDescent="0.35">
      <c r="C207" t="b">
        <f ca="1"/>
        <v>1</v>
      </c>
      <c r="D207" t="b">
        <f ca="1"/>
        <v>0</v>
      </c>
      <c r="E207" t="b">
        <f t="shared" ca="1" si="3"/>
        <v>0</v>
      </c>
    </row>
    <row r="208" spans="3:5" x14ac:dyDescent="0.35">
      <c r="C208" t="b">
        <f ca="1"/>
        <v>1</v>
      </c>
      <c r="D208" t="b">
        <f ca="1"/>
        <v>0</v>
      </c>
      <c r="E208" t="b">
        <f t="shared" ca="1" si="3"/>
        <v>0</v>
      </c>
    </row>
    <row r="209" spans="3:5" x14ac:dyDescent="0.35">
      <c r="C209" t="b">
        <f ca="1"/>
        <v>1</v>
      </c>
      <c r="D209" t="b">
        <f ca="1"/>
        <v>0</v>
      </c>
      <c r="E209" t="b">
        <f t="shared" ca="1" si="3"/>
        <v>0</v>
      </c>
    </row>
    <row r="210" spans="3:5" x14ac:dyDescent="0.35">
      <c r="C210" t="b">
        <f ca="1"/>
        <v>1</v>
      </c>
      <c r="D210" t="b">
        <f ca="1"/>
        <v>0</v>
      </c>
      <c r="E210" t="b">
        <f t="shared" ca="1" si="3"/>
        <v>0</v>
      </c>
    </row>
    <row r="211" spans="3:5" x14ac:dyDescent="0.35">
      <c r="C211" t="b">
        <f ca="1"/>
        <v>1</v>
      </c>
      <c r="D211" t="b">
        <f ca="1"/>
        <v>0</v>
      </c>
      <c r="E211" t="b">
        <f t="shared" ca="1" si="3"/>
        <v>0</v>
      </c>
    </row>
    <row r="212" spans="3:5" x14ac:dyDescent="0.35">
      <c r="C212" t="b">
        <f ca="1"/>
        <v>1</v>
      </c>
      <c r="D212" t="b">
        <f ca="1"/>
        <v>0</v>
      </c>
      <c r="E212" t="b">
        <f t="shared" ca="1" si="3"/>
        <v>0</v>
      </c>
    </row>
    <row r="213" spans="3:5" x14ac:dyDescent="0.35">
      <c r="C213" t="b">
        <f ca="1"/>
        <v>1</v>
      </c>
      <c r="D213" t="b">
        <f ca="1"/>
        <v>0</v>
      </c>
      <c r="E213" t="b">
        <f t="shared" ca="1" si="3"/>
        <v>0</v>
      </c>
    </row>
    <row r="214" spans="3:5" x14ac:dyDescent="0.35">
      <c r="C214" t="b">
        <f ca="1"/>
        <v>1</v>
      </c>
      <c r="D214" t="b">
        <f ca="1"/>
        <v>0</v>
      </c>
      <c r="E214" t="b">
        <f t="shared" ca="1" si="3"/>
        <v>0</v>
      </c>
    </row>
    <row r="215" spans="3:5" x14ac:dyDescent="0.35">
      <c r="C215" t="b">
        <f ca="1"/>
        <v>1</v>
      </c>
      <c r="D215" t="b">
        <f ca="1"/>
        <v>0</v>
      </c>
      <c r="E215" t="b">
        <f t="shared" ca="1" si="3"/>
        <v>0</v>
      </c>
    </row>
    <row r="216" spans="3:5" x14ac:dyDescent="0.35">
      <c r="C216" t="b">
        <f ca="1"/>
        <v>1</v>
      </c>
      <c r="D216" t="b">
        <f ca="1"/>
        <v>0</v>
      </c>
      <c r="E216" t="b">
        <f t="shared" ca="1" si="3"/>
        <v>0</v>
      </c>
    </row>
    <row r="217" spans="3:5" x14ac:dyDescent="0.35">
      <c r="C217" t="b">
        <f ca="1"/>
        <v>1</v>
      </c>
      <c r="D217" t="b">
        <f ca="1"/>
        <v>0</v>
      </c>
      <c r="E217" t="b">
        <f t="shared" ca="1" si="3"/>
        <v>0</v>
      </c>
    </row>
    <row r="218" spans="3:5" x14ac:dyDescent="0.35">
      <c r="C218" t="b">
        <f ca="1"/>
        <v>1</v>
      </c>
      <c r="D218" t="b">
        <f ca="1"/>
        <v>0</v>
      </c>
      <c r="E218" t="b">
        <f t="shared" ca="1" si="3"/>
        <v>0</v>
      </c>
    </row>
    <row r="219" spans="3:5" x14ac:dyDescent="0.35">
      <c r="C219" t="b">
        <f ca="1"/>
        <v>1</v>
      </c>
      <c r="D219" t="b">
        <f ca="1"/>
        <v>0</v>
      </c>
      <c r="E219" t="b">
        <f t="shared" ca="1" si="3"/>
        <v>0</v>
      </c>
    </row>
    <row r="220" spans="3:5" x14ac:dyDescent="0.35">
      <c r="C220" t="b">
        <f ca="1"/>
        <v>1</v>
      </c>
      <c r="D220" t="b">
        <f ca="1"/>
        <v>0</v>
      </c>
      <c r="E220" t="b">
        <f t="shared" ca="1" si="3"/>
        <v>0</v>
      </c>
    </row>
    <row r="221" spans="3:5" x14ac:dyDescent="0.35">
      <c r="C221" t="b">
        <f ca="1"/>
        <v>1</v>
      </c>
      <c r="D221" t="b">
        <f ca="1"/>
        <v>0</v>
      </c>
      <c r="E221" t="b">
        <f t="shared" ca="1" si="3"/>
        <v>0</v>
      </c>
    </row>
    <row r="222" spans="3:5" x14ac:dyDescent="0.35">
      <c r="C222" t="b">
        <f ca="1"/>
        <v>1</v>
      </c>
      <c r="D222" t="b">
        <f ca="1"/>
        <v>0</v>
      </c>
      <c r="E222" t="b">
        <f t="shared" ca="1" si="3"/>
        <v>0</v>
      </c>
    </row>
    <row r="223" spans="3:5" x14ac:dyDescent="0.35">
      <c r="C223" t="b">
        <f ca="1"/>
        <v>1</v>
      </c>
      <c r="D223" t="b">
        <f ca="1"/>
        <v>0</v>
      </c>
      <c r="E223" t="b">
        <f t="shared" ca="1" si="3"/>
        <v>0</v>
      </c>
    </row>
    <row r="224" spans="3:5" x14ac:dyDescent="0.35">
      <c r="C224" t="b">
        <f ca="1"/>
        <v>1</v>
      </c>
      <c r="D224" t="b">
        <f ca="1"/>
        <v>0</v>
      </c>
      <c r="E224" t="b">
        <f t="shared" ca="1" si="3"/>
        <v>0</v>
      </c>
    </row>
    <row r="225" spans="3:5" x14ac:dyDescent="0.35">
      <c r="C225" t="b">
        <f ca="1"/>
        <v>1</v>
      </c>
      <c r="D225" t="b">
        <f ca="1"/>
        <v>0</v>
      </c>
      <c r="E225" t="b">
        <f t="shared" ca="1" si="3"/>
        <v>0</v>
      </c>
    </row>
    <row r="226" spans="3:5" x14ac:dyDescent="0.35">
      <c r="C226" t="b">
        <f ca="1"/>
        <v>1</v>
      </c>
      <c r="D226" t="b">
        <f ca="1"/>
        <v>0</v>
      </c>
      <c r="E226" t="b">
        <f t="shared" ca="1" si="3"/>
        <v>0</v>
      </c>
    </row>
    <row r="227" spans="3:5" x14ac:dyDescent="0.35">
      <c r="C227" t="b">
        <f ca="1"/>
        <v>1</v>
      </c>
      <c r="D227" t="b">
        <f ca="1"/>
        <v>0</v>
      </c>
      <c r="E227" t="b">
        <f t="shared" ca="1" si="3"/>
        <v>0</v>
      </c>
    </row>
    <row r="228" spans="3:5" x14ac:dyDescent="0.35">
      <c r="C228" t="b">
        <f ca="1"/>
        <v>1</v>
      </c>
      <c r="D228" t="b">
        <f ca="1"/>
        <v>0</v>
      </c>
      <c r="E228" t="b">
        <f t="shared" ca="1" si="3"/>
        <v>0</v>
      </c>
    </row>
    <row r="229" spans="3:5" x14ac:dyDescent="0.35">
      <c r="C229" t="b">
        <f ca="1"/>
        <v>1</v>
      </c>
      <c r="D229" t="b">
        <f ca="1"/>
        <v>0</v>
      </c>
      <c r="E229" t="b">
        <f t="shared" ca="1" si="3"/>
        <v>0</v>
      </c>
    </row>
    <row r="230" spans="3:5" x14ac:dyDescent="0.35">
      <c r="C230" t="b">
        <f ca="1"/>
        <v>1</v>
      </c>
      <c r="D230" t="b">
        <f ca="1"/>
        <v>0</v>
      </c>
      <c r="E230" t="b">
        <f t="shared" ca="1" si="3"/>
        <v>0</v>
      </c>
    </row>
    <row r="231" spans="3:5" x14ac:dyDescent="0.35">
      <c r="C231" t="b">
        <f ca="1"/>
        <v>1</v>
      </c>
      <c r="D231" t="b">
        <f ca="1"/>
        <v>0</v>
      </c>
      <c r="E231" t="b">
        <f t="shared" ca="1" si="3"/>
        <v>0</v>
      </c>
    </row>
    <row r="232" spans="3:5" x14ac:dyDescent="0.35">
      <c r="C232" t="b">
        <f ca="1"/>
        <v>1</v>
      </c>
      <c r="D232" t="b">
        <f ca="1"/>
        <v>0</v>
      </c>
      <c r="E232" t="b">
        <f t="shared" ca="1" si="3"/>
        <v>0</v>
      </c>
    </row>
    <row r="233" spans="3:5" x14ac:dyDescent="0.35">
      <c r="C233" t="b">
        <f ca="1"/>
        <v>1</v>
      </c>
      <c r="D233" t="b">
        <f ca="1"/>
        <v>0</v>
      </c>
      <c r="E233" t="b">
        <f t="shared" ca="1" si="3"/>
        <v>0</v>
      </c>
    </row>
    <row r="234" spans="3:5" x14ac:dyDescent="0.35">
      <c r="C234" t="b">
        <f ca="1"/>
        <v>1</v>
      </c>
      <c r="D234" t="b">
        <f ca="1"/>
        <v>0</v>
      </c>
      <c r="E234" t="b">
        <f t="shared" ca="1" si="3"/>
        <v>0</v>
      </c>
    </row>
    <row r="235" spans="3:5" x14ac:dyDescent="0.35">
      <c r="C235" t="b">
        <f ca="1"/>
        <v>1</v>
      </c>
      <c r="D235" t="b">
        <f ca="1"/>
        <v>0</v>
      </c>
      <c r="E235" t="b">
        <f t="shared" ca="1" si="3"/>
        <v>0</v>
      </c>
    </row>
    <row r="236" spans="3:5" x14ac:dyDescent="0.35">
      <c r="C236" t="b">
        <f ca="1"/>
        <v>1</v>
      </c>
      <c r="D236" t="b">
        <f ca="1"/>
        <v>0</v>
      </c>
      <c r="E236" t="b">
        <f t="shared" ca="1" si="3"/>
        <v>0</v>
      </c>
    </row>
    <row r="237" spans="3:5" x14ac:dyDescent="0.35">
      <c r="C237" t="b">
        <f ca="1"/>
        <v>1</v>
      </c>
      <c r="D237" t="b">
        <f ca="1"/>
        <v>0</v>
      </c>
      <c r="E237" t="b">
        <f t="shared" ca="1" si="3"/>
        <v>0</v>
      </c>
    </row>
    <row r="238" spans="3:5" x14ac:dyDescent="0.35">
      <c r="C238" t="b">
        <f ca="1"/>
        <v>1</v>
      </c>
      <c r="D238" t="b">
        <f ca="1"/>
        <v>0</v>
      </c>
      <c r="E238" t="b">
        <f t="shared" ca="1" si="3"/>
        <v>0</v>
      </c>
    </row>
    <row r="239" spans="3:5" x14ac:dyDescent="0.35">
      <c r="C239" t="b">
        <f ca="1"/>
        <v>1</v>
      </c>
      <c r="D239" t="b">
        <f ca="1"/>
        <v>0</v>
      </c>
      <c r="E239" t="b">
        <f t="shared" ca="1" si="3"/>
        <v>0</v>
      </c>
    </row>
    <row r="240" spans="3:5" x14ac:dyDescent="0.35">
      <c r="C240" t="b">
        <f ca="1"/>
        <v>1</v>
      </c>
      <c r="D240" t="b">
        <f ca="1"/>
        <v>0</v>
      </c>
      <c r="E240" t="b">
        <f t="shared" ca="1" si="3"/>
        <v>0</v>
      </c>
    </row>
    <row r="241" spans="3:5" x14ac:dyDescent="0.35">
      <c r="C241" t="b">
        <f ca="1"/>
        <v>1</v>
      </c>
      <c r="D241" t="b">
        <f ca="1"/>
        <v>0</v>
      </c>
      <c r="E241" t="b">
        <f t="shared" ca="1" si="3"/>
        <v>0</v>
      </c>
    </row>
    <row r="242" spans="3:5" x14ac:dyDescent="0.35">
      <c r="C242" t="b">
        <f ca="1"/>
        <v>1</v>
      </c>
      <c r="D242" t="b">
        <f ca="1"/>
        <v>0</v>
      </c>
      <c r="E242" t="b">
        <f t="shared" ca="1" si="3"/>
        <v>0</v>
      </c>
    </row>
    <row r="243" spans="3:5" x14ac:dyDescent="0.35">
      <c r="C243" t="b">
        <f ca="1"/>
        <v>1</v>
      </c>
      <c r="D243" t="b">
        <f ca="1"/>
        <v>0</v>
      </c>
      <c r="E243" t="b">
        <f t="shared" ca="1" si="3"/>
        <v>0</v>
      </c>
    </row>
    <row r="244" spans="3:5" x14ac:dyDescent="0.35">
      <c r="C244" t="b">
        <f ca="1"/>
        <v>1</v>
      </c>
      <c r="D244" t="b">
        <f ca="1"/>
        <v>0</v>
      </c>
      <c r="E244" t="b">
        <f t="shared" ca="1" si="3"/>
        <v>0</v>
      </c>
    </row>
    <row r="245" spans="3:5" x14ac:dyDescent="0.35">
      <c r="C245" t="b">
        <f ca="1"/>
        <v>1</v>
      </c>
      <c r="D245" t="b">
        <f ca="1"/>
        <v>0</v>
      </c>
      <c r="E245" t="b">
        <f t="shared" ca="1" si="3"/>
        <v>0</v>
      </c>
    </row>
    <row r="246" spans="3:5" x14ac:dyDescent="0.35">
      <c r="C246" t="b">
        <f ca="1"/>
        <v>1</v>
      </c>
      <c r="D246" t="b">
        <f ca="1"/>
        <v>0</v>
      </c>
      <c r="E246" t="b">
        <f t="shared" ca="1" si="3"/>
        <v>0</v>
      </c>
    </row>
    <row r="247" spans="3:5" x14ac:dyDescent="0.35">
      <c r="C247" t="b">
        <f ca="1"/>
        <v>1</v>
      </c>
      <c r="D247" t="b">
        <f ca="1"/>
        <v>0</v>
      </c>
      <c r="E247" t="b">
        <f t="shared" ca="1" si="3"/>
        <v>0</v>
      </c>
    </row>
    <row r="248" spans="3:5" x14ac:dyDescent="0.35">
      <c r="C248" t="b">
        <f ca="1"/>
        <v>1</v>
      </c>
      <c r="D248" t="b">
        <f ca="1"/>
        <v>0</v>
      </c>
      <c r="E248" t="b">
        <f t="shared" ca="1" si="3"/>
        <v>0</v>
      </c>
    </row>
    <row r="249" spans="3:5" x14ac:dyDescent="0.35">
      <c r="C249" t="b">
        <f ca="1"/>
        <v>1</v>
      </c>
      <c r="D249" t="b">
        <f ca="1"/>
        <v>0</v>
      </c>
      <c r="E249" t="b">
        <f t="shared" ca="1" si="3"/>
        <v>0</v>
      </c>
    </row>
    <row r="250" spans="3:5" x14ac:dyDescent="0.35">
      <c r="C250" t="b">
        <f ca="1"/>
        <v>1</v>
      </c>
      <c r="D250" t="b">
        <f ca="1"/>
        <v>0</v>
      </c>
      <c r="E250" t="b">
        <f t="shared" ca="1" si="3"/>
        <v>0</v>
      </c>
    </row>
    <row r="251" spans="3:5" x14ac:dyDescent="0.35">
      <c r="C251" t="b">
        <f ca="1"/>
        <v>1</v>
      </c>
      <c r="D251" t="b">
        <f ca="1"/>
        <v>0</v>
      </c>
      <c r="E251" t="b">
        <f t="shared" ca="1" si="3"/>
        <v>0</v>
      </c>
    </row>
    <row r="252" spans="3:5" x14ac:dyDescent="0.35">
      <c r="C252" t="b">
        <f ca="1"/>
        <v>1</v>
      </c>
      <c r="D252" t="b">
        <f ca="1"/>
        <v>0</v>
      </c>
      <c r="E252" t="b">
        <f t="shared" ca="1" si="3"/>
        <v>0</v>
      </c>
    </row>
    <row r="253" spans="3:5" x14ac:dyDescent="0.35">
      <c r="C253" t="b">
        <f ca="1"/>
        <v>1</v>
      </c>
      <c r="D253" t="b">
        <f ca="1"/>
        <v>0</v>
      </c>
      <c r="E253" t="b">
        <f t="shared" ca="1" si="3"/>
        <v>0</v>
      </c>
    </row>
    <row r="254" spans="3:5" x14ac:dyDescent="0.35">
      <c r="C254" t="b">
        <f ca="1"/>
        <v>1</v>
      </c>
      <c r="D254" t="b">
        <f ca="1"/>
        <v>0</v>
      </c>
      <c r="E254" t="b">
        <f t="shared" ca="1" si="3"/>
        <v>0</v>
      </c>
    </row>
    <row r="255" spans="3:5" x14ac:dyDescent="0.35">
      <c r="C255" t="b">
        <f ca="1"/>
        <v>1</v>
      </c>
      <c r="D255" t="b">
        <f ca="1"/>
        <v>0</v>
      </c>
      <c r="E255" t="b">
        <f t="shared" ca="1" si="3"/>
        <v>0</v>
      </c>
    </row>
    <row r="256" spans="3:5" x14ac:dyDescent="0.35">
      <c r="C256" t="b">
        <f ca="1"/>
        <v>1</v>
      </c>
      <c r="D256" t="b">
        <f ca="1"/>
        <v>0</v>
      </c>
      <c r="E256" t="b">
        <f t="shared" ca="1" si="3"/>
        <v>0</v>
      </c>
    </row>
    <row r="257" spans="3:5" x14ac:dyDescent="0.35">
      <c r="C257" t="b">
        <f ca="1"/>
        <v>1</v>
      </c>
      <c r="D257" t="b">
        <f ca="1"/>
        <v>0</v>
      </c>
      <c r="E257" t="b">
        <f t="shared" ca="1" si="3"/>
        <v>0</v>
      </c>
    </row>
    <row r="258" spans="3:5" x14ac:dyDescent="0.35">
      <c r="C258" t="b">
        <f ca="1"/>
        <v>1</v>
      </c>
      <c r="D258" t="b">
        <f ca="1"/>
        <v>0</v>
      </c>
      <c r="E258" t="b">
        <f t="shared" ca="1" si="3"/>
        <v>0</v>
      </c>
    </row>
    <row r="259" spans="3:5" x14ac:dyDescent="0.35">
      <c r="C259" t="b">
        <f ca="1"/>
        <v>1</v>
      </c>
      <c r="D259" t="b">
        <f ca="1"/>
        <v>0</v>
      </c>
      <c r="E259" t="b">
        <f t="shared" ref="E259:E322" ca="1" si="4">AND(C259:D259)</f>
        <v>0</v>
      </c>
    </row>
    <row r="260" spans="3:5" x14ac:dyDescent="0.35">
      <c r="C260" t="b">
        <f ca="1"/>
        <v>1</v>
      </c>
      <c r="D260" t="b">
        <f ca="1"/>
        <v>0</v>
      </c>
      <c r="E260" t="b">
        <f t="shared" ca="1" si="4"/>
        <v>0</v>
      </c>
    </row>
    <row r="261" spans="3:5" x14ac:dyDescent="0.35">
      <c r="C261" t="b">
        <f ca="1"/>
        <v>1</v>
      </c>
      <c r="D261" t="b">
        <f ca="1"/>
        <v>0</v>
      </c>
      <c r="E261" t="b">
        <f t="shared" ca="1" si="4"/>
        <v>0</v>
      </c>
    </row>
    <row r="262" spans="3:5" x14ac:dyDescent="0.35">
      <c r="C262" t="b">
        <f ca="1"/>
        <v>1</v>
      </c>
      <c r="D262" t="b">
        <f ca="1"/>
        <v>0</v>
      </c>
      <c r="E262" t="b">
        <f t="shared" ca="1" si="4"/>
        <v>0</v>
      </c>
    </row>
    <row r="263" spans="3:5" x14ac:dyDescent="0.35">
      <c r="C263" t="b">
        <f ca="1"/>
        <v>1</v>
      </c>
      <c r="D263" t="b">
        <f ca="1"/>
        <v>0</v>
      </c>
      <c r="E263" t="b">
        <f t="shared" ca="1" si="4"/>
        <v>0</v>
      </c>
    </row>
    <row r="264" spans="3:5" x14ac:dyDescent="0.35">
      <c r="C264" t="b">
        <f ca="1"/>
        <v>1</v>
      </c>
      <c r="D264" t="b">
        <f ca="1"/>
        <v>0</v>
      </c>
      <c r="E264" t="b">
        <f t="shared" ca="1" si="4"/>
        <v>0</v>
      </c>
    </row>
    <row r="265" spans="3:5" x14ac:dyDescent="0.35">
      <c r="C265" t="b">
        <f ca="1"/>
        <v>1</v>
      </c>
      <c r="D265" t="b">
        <f ca="1"/>
        <v>0</v>
      </c>
      <c r="E265" t="b">
        <f t="shared" ca="1" si="4"/>
        <v>0</v>
      </c>
    </row>
    <row r="266" spans="3:5" x14ac:dyDescent="0.35">
      <c r="C266" t="b">
        <f ca="1"/>
        <v>1</v>
      </c>
      <c r="D266" t="b">
        <f ca="1"/>
        <v>0</v>
      </c>
      <c r="E266" t="b">
        <f t="shared" ca="1" si="4"/>
        <v>0</v>
      </c>
    </row>
    <row r="267" spans="3:5" x14ac:dyDescent="0.35">
      <c r="C267" t="b">
        <f ca="1"/>
        <v>1</v>
      </c>
      <c r="D267" t="b">
        <f ca="1"/>
        <v>0</v>
      </c>
      <c r="E267" t="b">
        <f t="shared" ca="1" si="4"/>
        <v>0</v>
      </c>
    </row>
    <row r="268" spans="3:5" x14ac:dyDescent="0.35">
      <c r="C268" t="b">
        <f ca="1"/>
        <v>1</v>
      </c>
      <c r="D268" t="b">
        <f ca="1"/>
        <v>0</v>
      </c>
      <c r="E268" t="b">
        <f t="shared" ca="1" si="4"/>
        <v>0</v>
      </c>
    </row>
    <row r="269" spans="3:5" x14ac:dyDescent="0.35">
      <c r="C269" t="b">
        <f ca="1"/>
        <v>1</v>
      </c>
      <c r="D269" t="b">
        <f ca="1"/>
        <v>0</v>
      </c>
      <c r="E269" t="b">
        <f t="shared" ca="1" si="4"/>
        <v>0</v>
      </c>
    </row>
    <row r="270" spans="3:5" x14ac:dyDescent="0.35">
      <c r="C270" t="b">
        <f ca="1"/>
        <v>1</v>
      </c>
      <c r="D270" t="b">
        <f ca="1"/>
        <v>0</v>
      </c>
      <c r="E270" t="b">
        <f t="shared" ca="1" si="4"/>
        <v>0</v>
      </c>
    </row>
    <row r="271" spans="3:5" x14ac:dyDescent="0.35">
      <c r="C271" t="b">
        <f ca="1"/>
        <v>1</v>
      </c>
      <c r="D271" t="b">
        <f ca="1"/>
        <v>0</v>
      </c>
      <c r="E271" t="b">
        <f t="shared" ca="1" si="4"/>
        <v>0</v>
      </c>
    </row>
    <row r="272" spans="3:5" x14ac:dyDescent="0.35">
      <c r="C272" t="b">
        <f ca="1"/>
        <v>1</v>
      </c>
      <c r="D272" t="b">
        <f ca="1"/>
        <v>0</v>
      </c>
      <c r="E272" t="b">
        <f t="shared" ca="1" si="4"/>
        <v>0</v>
      </c>
    </row>
    <row r="273" spans="3:5" x14ac:dyDescent="0.35">
      <c r="C273" t="b">
        <f ca="1"/>
        <v>1</v>
      </c>
      <c r="D273" t="b">
        <f ca="1"/>
        <v>0</v>
      </c>
      <c r="E273" t="b">
        <f t="shared" ca="1" si="4"/>
        <v>0</v>
      </c>
    </row>
    <row r="274" spans="3:5" x14ac:dyDescent="0.35">
      <c r="C274" t="b">
        <f ca="1"/>
        <v>1</v>
      </c>
      <c r="D274" t="b">
        <f ca="1"/>
        <v>0</v>
      </c>
      <c r="E274" t="b">
        <f t="shared" ca="1" si="4"/>
        <v>0</v>
      </c>
    </row>
    <row r="275" spans="3:5" x14ac:dyDescent="0.35">
      <c r="C275" t="b">
        <f ca="1"/>
        <v>1</v>
      </c>
      <c r="D275" t="b">
        <f ca="1"/>
        <v>0</v>
      </c>
      <c r="E275" t="b">
        <f t="shared" ca="1" si="4"/>
        <v>0</v>
      </c>
    </row>
    <row r="276" spans="3:5" x14ac:dyDescent="0.35">
      <c r="C276" t="b">
        <f ca="1"/>
        <v>1</v>
      </c>
      <c r="D276" t="b">
        <f ca="1"/>
        <v>0</v>
      </c>
      <c r="E276" t="b">
        <f t="shared" ca="1" si="4"/>
        <v>0</v>
      </c>
    </row>
    <row r="277" spans="3:5" x14ac:dyDescent="0.35">
      <c r="C277" t="b">
        <f ca="1"/>
        <v>1</v>
      </c>
      <c r="D277" t="b">
        <f ca="1"/>
        <v>0</v>
      </c>
      <c r="E277" t="b">
        <f t="shared" ca="1" si="4"/>
        <v>0</v>
      </c>
    </row>
    <row r="278" spans="3:5" x14ac:dyDescent="0.35">
      <c r="C278" t="b">
        <f ca="1"/>
        <v>1</v>
      </c>
      <c r="D278" t="b">
        <f ca="1"/>
        <v>0</v>
      </c>
      <c r="E278" t="b">
        <f t="shared" ca="1" si="4"/>
        <v>0</v>
      </c>
    </row>
    <row r="279" spans="3:5" x14ac:dyDescent="0.35">
      <c r="C279" t="b">
        <f ca="1"/>
        <v>1</v>
      </c>
      <c r="D279" t="b">
        <f ca="1"/>
        <v>0</v>
      </c>
      <c r="E279" t="b">
        <f t="shared" ca="1" si="4"/>
        <v>0</v>
      </c>
    </row>
    <row r="280" spans="3:5" x14ac:dyDescent="0.35">
      <c r="C280" t="b">
        <f ca="1"/>
        <v>1</v>
      </c>
      <c r="D280" t="b">
        <f ca="1"/>
        <v>0</v>
      </c>
      <c r="E280" t="b">
        <f t="shared" ca="1" si="4"/>
        <v>0</v>
      </c>
    </row>
    <row r="281" spans="3:5" x14ac:dyDescent="0.35">
      <c r="C281" t="b">
        <f ca="1"/>
        <v>1</v>
      </c>
      <c r="D281" t="b">
        <f ca="1"/>
        <v>0</v>
      </c>
      <c r="E281" t="b">
        <f t="shared" ca="1" si="4"/>
        <v>0</v>
      </c>
    </row>
    <row r="282" spans="3:5" x14ac:dyDescent="0.35">
      <c r="C282" t="b">
        <f ca="1"/>
        <v>1</v>
      </c>
      <c r="D282" t="b">
        <f ca="1"/>
        <v>0</v>
      </c>
      <c r="E282" t="b">
        <f t="shared" ca="1" si="4"/>
        <v>0</v>
      </c>
    </row>
    <row r="283" spans="3:5" x14ac:dyDescent="0.35">
      <c r="C283" t="b">
        <f ca="1"/>
        <v>1</v>
      </c>
      <c r="D283" t="b">
        <f ca="1"/>
        <v>0</v>
      </c>
      <c r="E283" t="b">
        <f t="shared" ca="1" si="4"/>
        <v>0</v>
      </c>
    </row>
    <row r="284" spans="3:5" x14ac:dyDescent="0.35">
      <c r="C284" t="b">
        <f ca="1"/>
        <v>1</v>
      </c>
      <c r="D284" t="b">
        <f ca="1"/>
        <v>0</v>
      </c>
      <c r="E284" t="b">
        <f t="shared" ca="1" si="4"/>
        <v>0</v>
      </c>
    </row>
    <row r="285" spans="3:5" x14ac:dyDescent="0.35">
      <c r="C285" t="b">
        <f ca="1"/>
        <v>1</v>
      </c>
      <c r="D285" t="b">
        <f ca="1"/>
        <v>0</v>
      </c>
      <c r="E285" t="b">
        <f t="shared" ca="1" si="4"/>
        <v>0</v>
      </c>
    </row>
    <row r="286" spans="3:5" x14ac:dyDescent="0.35">
      <c r="C286" t="b">
        <f ca="1"/>
        <v>1</v>
      </c>
      <c r="D286" t="b">
        <f ca="1"/>
        <v>0</v>
      </c>
      <c r="E286" t="b">
        <f t="shared" ca="1" si="4"/>
        <v>0</v>
      </c>
    </row>
    <row r="287" spans="3:5" x14ac:dyDescent="0.35">
      <c r="C287" t="b">
        <f ca="1"/>
        <v>1</v>
      </c>
      <c r="D287" t="b">
        <f ca="1"/>
        <v>0</v>
      </c>
      <c r="E287" t="b">
        <f t="shared" ca="1" si="4"/>
        <v>0</v>
      </c>
    </row>
    <row r="288" spans="3:5" x14ac:dyDescent="0.35">
      <c r="C288" t="b">
        <f ca="1"/>
        <v>1</v>
      </c>
      <c r="D288" t="b">
        <f ca="1"/>
        <v>0</v>
      </c>
      <c r="E288" t="b">
        <f t="shared" ca="1" si="4"/>
        <v>0</v>
      </c>
    </row>
    <row r="289" spans="3:5" x14ac:dyDescent="0.35">
      <c r="C289" t="b">
        <f ca="1"/>
        <v>1</v>
      </c>
      <c r="D289" t="b">
        <f ca="1"/>
        <v>0</v>
      </c>
      <c r="E289" t="b">
        <f t="shared" ca="1" si="4"/>
        <v>0</v>
      </c>
    </row>
    <row r="290" spans="3:5" x14ac:dyDescent="0.35">
      <c r="C290" t="b">
        <f ca="1"/>
        <v>1</v>
      </c>
      <c r="D290" t="b">
        <f ca="1"/>
        <v>0</v>
      </c>
      <c r="E290" t="b">
        <f t="shared" ca="1" si="4"/>
        <v>0</v>
      </c>
    </row>
    <row r="291" spans="3:5" x14ac:dyDescent="0.35">
      <c r="C291" t="b">
        <f ca="1"/>
        <v>1</v>
      </c>
      <c r="D291" t="b">
        <f ca="1"/>
        <v>0</v>
      </c>
      <c r="E291" t="b">
        <f t="shared" ca="1" si="4"/>
        <v>0</v>
      </c>
    </row>
    <row r="292" spans="3:5" x14ac:dyDescent="0.35">
      <c r="C292" t="b">
        <f ca="1"/>
        <v>1</v>
      </c>
      <c r="D292" t="b">
        <f ca="1"/>
        <v>0</v>
      </c>
      <c r="E292" t="b">
        <f t="shared" ca="1" si="4"/>
        <v>0</v>
      </c>
    </row>
    <row r="293" spans="3:5" x14ac:dyDescent="0.35">
      <c r="C293" t="b">
        <f ca="1"/>
        <v>1</v>
      </c>
      <c r="D293" t="b">
        <f ca="1"/>
        <v>0</v>
      </c>
      <c r="E293" t="b">
        <f t="shared" ca="1" si="4"/>
        <v>0</v>
      </c>
    </row>
    <row r="294" spans="3:5" x14ac:dyDescent="0.35">
      <c r="C294" t="b">
        <f ca="1"/>
        <v>1</v>
      </c>
      <c r="D294" t="b">
        <f ca="1"/>
        <v>0</v>
      </c>
      <c r="E294" t="b">
        <f t="shared" ca="1" si="4"/>
        <v>0</v>
      </c>
    </row>
    <row r="295" spans="3:5" x14ac:dyDescent="0.35">
      <c r="C295" t="b">
        <f ca="1"/>
        <v>1</v>
      </c>
      <c r="D295" t="b">
        <f ca="1"/>
        <v>0</v>
      </c>
      <c r="E295" t="b">
        <f t="shared" ca="1" si="4"/>
        <v>0</v>
      </c>
    </row>
    <row r="296" spans="3:5" x14ac:dyDescent="0.35">
      <c r="C296" t="b">
        <f ca="1"/>
        <v>1</v>
      </c>
      <c r="D296" t="b">
        <f ca="1"/>
        <v>0</v>
      </c>
      <c r="E296" t="b">
        <f t="shared" ca="1" si="4"/>
        <v>0</v>
      </c>
    </row>
    <row r="297" spans="3:5" x14ac:dyDescent="0.35">
      <c r="C297" t="b">
        <f ca="1"/>
        <v>1</v>
      </c>
      <c r="D297" t="b">
        <f ca="1"/>
        <v>0</v>
      </c>
      <c r="E297" t="b">
        <f t="shared" ca="1" si="4"/>
        <v>0</v>
      </c>
    </row>
    <row r="298" spans="3:5" x14ac:dyDescent="0.35">
      <c r="C298" t="b">
        <f ca="1"/>
        <v>1</v>
      </c>
      <c r="D298" t="b">
        <f ca="1"/>
        <v>0</v>
      </c>
      <c r="E298" t="b">
        <f t="shared" ca="1" si="4"/>
        <v>0</v>
      </c>
    </row>
    <row r="299" spans="3:5" x14ac:dyDescent="0.35">
      <c r="C299" t="b">
        <f ca="1"/>
        <v>1</v>
      </c>
      <c r="D299" t="b">
        <f ca="1"/>
        <v>0</v>
      </c>
      <c r="E299" t="b">
        <f t="shared" ca="1" si="4"/>
        <v>0</v>
      </c>
    </row>
    <row r="300" spans="3:5" x14ac:dyDescent="0.35">
      <c r="C300" t="b">
        <f ca="1"/>
        <v>1</v>
      </c>
      <c r="D300" t="b">
        <f ca="1"/>
        <v>0</v>
      </c>
      <c r="E300" t="b">
        <f t="shared" ca="1" si="4"/>
        <v>0</v>
      </c>
    </row>
    <row r="301" spans="3:5" x14ac:dyDescent="0.35">
      <c r="C301" t="b">
        <f ca="1"/>
        <v>1</v>
      </c>
      <c r="D301" t="b">
        <f ca="1"/>
        <v>0</v>
      </c>
      <c r="E301" t="b">
        <f t="shared" ca="1" si="4"/>
        <v>0</v>
      </c>
    </row>
    <row r="302" spans="3:5" x14ac:dyDescent="0.35">
      <c r="C302" t="b">
        <f ca="1"/>
        <v>1</v>
      </c>
      <c r="D302" t="b">
        <f ca="1"/>
        <v>0</v>
      </c>
      <c r="E302" t="b">
        <f t="shared" ca="1" si="4"/>
        <v>0</v>
      </c>
    </row>
    <row r="303" spans="3:5" x14ac:dyDescent="0.35">
      <c r="C303" t="b">
        <f ca="1"/>
        <v>1</v>
      </c>
      <c r="D303" t="b">
        <f ca="1"/>
        <v>0</v>
      </c>
      <c r="E303" t="b">
        <f t="shared" ca="1" si="4"/>
        <v>0</v>
      </c>
    </row>
    <row r="304" spans="3:5" x14ac:dyDescent="0.35">
      <c r="C304" t="b">
        <f ca="1"/>
        <v>1</v>
      </c>
      <c r="D304" t="b">
        <f ca="1"/>
        <v>0</v>
      </c>
      <c r="E304" t="b">
        <f t="shared" ca="1" si="4"/>
        <v>0</v>
      </c>
    </row>
    <row r="305" spans="3:5" x14ac:dyDescent="0.35">
      <c r="C305" t="b">
        <f ca="1"/>
        <v>1</v>
      </c>
      <c r="D305" t="b">
        <f ca="1"/>
        <v>0</v>
      </c>
      <c r="E305" t="b">
        <f t="shared" ca="1" si="4"/>
        <v>0</v>
      </c>
    </row>
    <row r="306" spans="3:5" x14ac:dyDescent="0.35">
      <c r="C306" t="b">
        <f ca="1"/>
        <v>1</v>
      </c>
      <c r="D306" t="b">
        <f ca="1"/>
        <v>0</v>
      </c>
      <c r="E306" t="b">
        <f t="shared" ca="1" si="4"/>
        <v>0</v>
      </c>
    </row>
    <row r="307" spans="3:5" x14ac:dyDescent="0.35">
      <c r="C307" t="b">
        <f ca="1"/>
        <v>1</v>
      </c>
      <c r="D307" t="b">
        <f ca="1"/>
        <v>0</v>
      </c>
      <c r="E307" t="b">
        <f t="shared" ca="1" si="4"/>
        <v>0</v>
      </c>
    </row>
    <row r="308" spans="3:5" x14ac:dyDescent="0.35">
      <c r="C308" t="b">
        <f ca="1"/>
        <v>1</v>
      </c>
      <c r="D308" t="b">
        <f ca="1"/>
        <v>0</v>
      </c>
      <c r="E308" t="b">
        <f t="shared" ca="1" si="4"/>
        <v>0</v>
      </c>
    </row>
    <row r="309" spans="3:5" x14ac:dyDescent="0.35">
      <c r="C309" t="b">
        <f ca="1"/>
        <v>1</v>
      </c>
      <c r="D309" t="b">
        <f ca="1"/>
        <v>0</v>
      </c>
      <c r="E309" t="b">
        <f t="shared" ca="1" si="4"/>
        <v>0</v>
      </c>
    </row>
    <row r="310" spans="3:5" x14ac:dyDescent="0.35">
      <c r="C310" t="b">
        <f ca="1"/>
        <v>1</v>
      </c>
      <c r="D310" t="b">
        <f ca="1"/>
        <v>0</v>
      </c>
      <c r="E310" t="b">
        <f t="shared" ca="1" si="4"/>
        <v>0</v>
      </c>
    </row>
    <row r="311" spans="3:5" x14ac:dyDescent="0.35">
      <c r="C311" t="b">
        <f ca="1"/>
        <v>1</v>
      </c>
      <c r="D311" t="b">
        <f ca="1"/>
        <v>0</v>
      </c>
      <c r="E311" t="b">
        <f t="shared" ca="1" si="4"/>
        <v>0</v>
      </c>
    </row>
    <row r="312" spans="3:5" x14ac:dyDescent="0.35">
      <c r="C312" t="b">
        <f ca="1"/>
        <v>1</v>
      </c>
      <c r="D312" t="b">
        <f ca="1"/>
        <v>0</v>
      </c>
      <c r="E312" t="b">
        <f t="shared" ca="1" si="4"/>
        <v>0</v>
      </c>
    </row>
    <row r="313" spans="3:5" x14ac:dyDescent="0.35">
      <c r="C313" t="b">
        <f ca="1"/>
        <v>1</v>
      </c>
      <c r="D313" t="b">
        <f ca="1"/>
        <v>0</v>
      </c>
      <c r="E313" t="b">
        <f t="shared" ca="1" si="4"/>
        <v>0</v>
      </c>
    </row>
    <row r="314" spans="3:5" x14ac:dyDescent="0.35">
      <c r="C314" t="b">
        <f ca="1"/>
        <v>1</v>
      </c>
      <c r="D314" t="b">
        <f ca="1"/>
        <v>0</v>
      </c>
      <c r="E314" t="b">
        <f t="shared" ca="1" si="4"/>
        <v>0</v>
      </c>
    </row>
    <row r="315" spans="3:5" x14ac:dyDescent="0.35">
      <c r="C315" t="b">
        <f ca="1"/>
        <v>1</v>
      </c>
      <c r="D315" t="b">
        <f ca="1"/>
        <v>0</v>
      </c>
      <c r="E315" t="b">
        <f t="shared" ca="1" si="4"/>
        <v>0</v>
      </c>
    </row>
    <row r="316" spans="3:5" x14ac:dyDescent="0.35">
      <c r="C316" t="b">
        <f ca="1"/>
        <v>1</v>
      </c>
      <c r="D316" t="b">
        <f ca="1"/>
        <v>0</v>
      </c>
      <c r="E316" t="b">
        <f t="shared" ca="1" si="4"/>
        <v>0</v>
      </c>
    </row>
    <row r="317" spans="3:5" x14ac:dyDescent="0.35">
      <c r="C317" t="b">
        <f ca="1"/>
        <v>1</v>
      </c>
      <c r="D317" t="b">
        <f ca="1"/>
        <v>0</v>
      </c>
      <c r="E317" t="b">
        <f t="shared" ca="1" si="4"/>
        <v>0</v>
      </c>
    </row>
    <row r="318" spans="3:5" x14ac:dyDescent="0.35">
      <c r="C318" t="b">
        <f ca="1"/>
        <v>1</v>
      </c>
      <c r="D318" t="b">
        <f ca="1"/>
        <v>0</v>
      </c>
      <c r="E318" t="b">
        <f t="shared" ca="1" si="4"/>
        <v>0</v>
      </c>
    </row>
    <row r="319" spans="3:5" x14ac:dyDescent="0.35">
      <c r="C319" t="b">
        <f ca="1"/>
        <v>1</v>
      </c>
      <c r="D319" t="b">
        <f ca="1"/>
        <v>0</v>
      </c>
      <c r="E319" t="b">
        <f t="shared" ca="1" si="4"/>
        <v>0</v>
      </c>
    </row>
    <row r="320" spans="3:5" x14ac:dyDescent="0.35">
      <c r="C320" t="b">
        <f ca="1"/>
        <v>1</v>
      </c>
      <c r="D320" t="b">
        <f ca="1"/>
        <v>0</v>
      </c>
      <c r="E320" t="b">
        <f t="shared" ca="1" si="4"/>
        <v>0</v>
      </c>
    </row>
    <row r="321" spans="3:5" x14ac:dyDescent="0.35">
      <c r="C321" t="b">
        <f ca="1"/>
        <v>1</v>
      </c>
      <c r="D321" t="b">
        <f ca="1"/>
        <v>0</v>
      </c>
      <c r="E321" t="b">
        <f t="shared" ca="1" si="4"/>
        <v>0</v>
      </c>
    </row>
    <row r="322" spans="3:5" x14ac:dyDescent="0.35">
      <c r="C322" t="b">
        <f ca="1"/>
        <v>1</v>
      </c>
      <c r="D322" t="b">
        <f ca="1"/>
        <v>0</v>
      </c>
      <c r="E322" t="b">
        <f t="shared" ca="1" si="4"/>
        <v>0</v>
      </c>
    </row>
    <row r="323" spans="3:5" x14ac:dyDescent="0.35">
      <c r="C323" t="b">
        <f ca="1"/>
        <v>1</v>
      </c>
      <c r="D323" t="b">
        <f ca="1"/>
        <v>0</v>
      </c>
      <c r="E323" t="b">
        <f t="shared" ref="E323:E327" ca="1" si="5">AND(C323:D323)</f>
        <v>0</v>
      </c>
    </row>
    <row r="324" spans="3:5" x14ac:dyDescent="0.35">
      <c r="C324" t="b">
        <f ca="1"/>
        <v>1</v>
      </c>
      <c r="D324" t="b">
        <f ca="1"/>
        <v>0</v>
      </c>
      <c r="E324" t="b">
        <f t="shared" ca="1" si="5"/>
        <v>0</v>
      </c>
    </row>
    <row r="325" spans="3:5" x14ac:dyDescent="0.35">
      <c r="C325" t="b">
        <f ca="1"/>
        <v>1</v>
      </c>
      <c r="D325" t="b">
        <f ca="1"/>
        <v>0</v>
      </c>
      <c r="E325" t="b">
        <f t="shared" ca="1" si="5"/>
        <v>0</v>
      </c>
    </row>
    <row r="326" spans="3:5" x14ac:dyDescent="0.35">
      <c r="C326" t="b">
        <f ca="1"/>
        <v>1</v>
      </c>
      <c r="D326" t="b">
        <f ca="1"/>
        <v>0</v>
      </c>
      <c r="E326" t="b">
        <f t="shared" ca="1" si="5"/>
        <v>0</v>
      </c>
    </row>
    <row r="327" spans="3:5" x14ac:dyDescent="0.35">
      <c r="C327" t="b">
        <f ca="1"/>
        <v>1</v>
      </c>
      <c r="D327" t="b">
        <f ca="1"/>
        <v>0</v>
      </c>
      <c r="E327" t="b">
        <f t="shared" ca="1" si="5"/>
        <v>0</v>
      </c>
    </row>
  </sheetData>
  <conditionalFormatting sqref="O1:O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6</vt:i4>
      </vt:variant>
    </vt:vector>
  </HeadingPairs>
  <TitlesOfParts>
    <vt:vector size="14" baseType="lpstr">
      <vt:lpstr>Bloomberg (Online)</vt:lpstr>
      <vt:lpstr>Offline</vt:lpstr>
      <vt:lpstr>SORT</vt:lpstr>
      <vt:lpstr>ID filter</vt:lpstr>
      <vt:lpstr>F date&lt;=1</vt:lpstr>
      <vt:lpstr>F coupon&lt;0.5</vt:lpstr>
      <vt:lpstr>NSS</vt:lpstr>
      <vt:lpstr>MANUAL FILTER</vt:lpstr>
      <vt:lpstr>NSS!b0</vt:lpstr>
      <vt:lpstr>NSS!b1_</vt:lpstr>
      <vt:lpstr>NSS!b2_</vt:lpstr>
      <vt:lpstr>NSS!b3_</vt:lpstr>
      <vt:lpstr>NSS!tau1_</vt:lpstr>
      <vt:lpstr>NSS!tau2_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PG-Rota, Pietro</cp:lastModifiedBy>
  <cp:revision/>
  <dcterms:created xsi:type="dcterms:W3CDTF">2026-03-10T14:49:27Z</dcterms:created>
  <dcterms:modified xsi:type="dcterms:W3CDTF">2026-03-30T12:35:29Z</dcterms:modified>
  <cp:category/>
  <cp:contentStatus/>
</cp:coreProperties>
</file>