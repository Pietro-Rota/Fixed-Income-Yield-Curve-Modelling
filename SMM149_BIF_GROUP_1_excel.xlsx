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FI - Fixed Income/FI - Coursework/"/>
    </mc:Choice>
  </mc:AlternateContent>
  <xr:revisionPtr revIDLastSave="186" documentId="8_{32C435A7-407E-4213-BE4B-F2E5A86C9A69}" xr6:coauthVersionLast="47" xr6:coauthVersionMax="47" xr10:uidLastSave="{0473723B-F03D-4D00-B880-76F4921A8F22}"/>
  <bookViews>
    <workbookView xWindow="-98" yWindow="-98" windowWidth="21795" windowHeight="12975" tabRatio="749" xr2:uid="{BC5B0F23-2D97-482F-8965-24A903FE7758}"/>
  </bookViews>
  <sheets>
    <sheet name="DATA Goverment" sheetId="6" r:id="rId1"/>
    <sheet name="NSS Goverment" sheetId="5" r:id="rId2"/>
    <sheet name="DATA Corporate" sheetId="3" r:id="rId3"/>
    <sheet name="NSS Corporate" sheetId="2" r:id="rId4"/>
  </sheets>
  <definedNames>
    <definedName name="b0_c" localSheetId="3">'NSS Corporate'!$C$78</definedName>
    <definedName name="b0_G" localSheetId="1">'NSS Goverment'!$C$78</definedName>
    <definedName name="b1_c" localSheetId="3">'NSS Corporate'!$C$79</definedName>
    <definedName name="b1_G" localSheetId="1">'NSS Goverment'!$C$79</definedName>
    <definedName name="b2_c" localSheetId="3">'NSS Corporate'!$C$80</definedName>
    <definedName name="b2_G" localSheetId="1">'NSS Goverment'!$C$80</definedName>
    <definedName name="b3_c" localSheetId="3">'NSS Corporate'!$C$81</definedName>
    <definedName name="b3_G" localSheetId="1">'NSS Goverment'!$C$81</definedName>
    <definedName name="solver_adj" localSheetId="3" hidden="1">'NSS Corporate'!$C$78:$C$83</definedName>
    <definedName name="solver_adj" localSheetId="1" hidden="1">'NSS Goverment'!$C$78:$C$83</definedName>
    <definedName name="solver_cvg" localSheetId="3" hidden="1">0.0001</definedName>
    <definedName name="solver_cvg" localSheetId="1" hidden="1">0.0001</definedName>
    <definedName name="solver_drv" localSheetId="3" hidden="1">2</definedName>
    <definedName name="solver_drv" localSheetId="1" hidden="1">2</definedName>
    <definedName name="solver_eng" localSheetId="3" hidden="1">1</definedName>
    <definedName name="solver_eng" localSheetId="1" hidden="1">1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2147483647</definedName>
    <definedName name="solver_lhs1" localSheetId="3" hidden="1">'NSS Corporate'!$C$78</definedName>
    <definedName name="solver_lhs1" localSheetId="1" hidden="1">'NSS Goverment'!$C$78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0.075</definedName>
    <definedName name="solver_mrt" localSheetId="1" hidden="1">0.075</definedName>
    <definedName name="solver_msl" localSheetId="3" hidden="1">2</definedName>
    <definedName name="solver_msl" localSheetId="1" hidden="1">2</definedName>
    <definedName name="solver_neg" localSheetId="3" hidden="1">2</definedName>
    <definedName name="solver_neg" localSheetId="1" hidden="1">2</definedName>
    <definedName name="solver_nod" localSheetId="3" hidden="1">2147483647</definedName>
    <definedName name="solver_nod" localSheetId="1" hidden="1">2147483647</definedName>
    <definedName name="solver_num" localSheetId="3" hidden="1">1</definedName>
    <definedName name="solver_num" localSheetId="1" hidden="1">1</definedName>
    <definedName name="solver_nwt" localSheetId="3" hidden="1">1</definedName>
    <definedName name="solver_nwt" localSheetId="1" hidden="1">1</definedName>
    <definedName name="solver_opt" localSheetId="3" hidden="1">'NSS Corporate'!$E$79</definedName>
    <definedName name="solver_opt" localSheetId="1" hidden="1">'NSS Goverment'!$E$79</definedName>
    <definedName name="solver_pre" localSheetId="3" hidden="1">0.0000001</definedName>
    <definedName name="solver_pre" localSheetId="1" hidden="1">0.0000001</definedName>
    <definedName name="solver_rbv" localSheetId="3" hidden="1">1</definedName>
    <definedName name="solver_rbv" localSheetId="1" hidden="1">1</definedName>
    <definedName name="solver_rel1" localSheetId="3" hidden="1">3</definedName>
    <definedName name="solver_rel1" localSheetId="1" hidden="1">3</definedName>
    <definedName name="solver_rhs1" localSheetId="3" hidden="1">0</definedName>
    <definedName name="solver_rhs1" localSheetId="1" hidden="1">0</definedName>
    <definedName name="solver_rlx" localSheetId="3" hidden="1">2</definedName>
    <definedName name="solver_rlx" localSheetId="1" hidden="1">2</definedName>
    <definedName name="solver_rsd" localSheetId="3" hidden="1">0</definedName>
    <definedName name="solver_rsd" localSheetId="1" hidden="1">0</definedName>
    <definedName name="solver_scl" localSheetId="3" hidden="1">1</definedName>
    <definedName name="solver_scl" localSheetId="1" hidden="1">1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2147483647</definedName>
    <definedName name="solver_tol" localSheetId="3" hidden="1">1</definedName>
    <definedName name="solver_tol" localSheetId="1" hidden="1">1</definedName>
    <definedName name="solver_typ" localSheetId="3" hidden="1">2</definedName>
    <definedName name="solver_typ" localSheetId="1" hidden="1">2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  <definedName name="tau1_c" localSheetId="3">'NSS Corporate'!$C$82</definedName>
    <definedName name="tau1_G" localSheetId="1">'NSS Goverment'!$C$82</definedName>
    <definedName name="tau2_c" localSheetId="3">'NSS Corporate'!$C$83</definedName>
    <definedName name="tau2_G" localSheetId="1">'NSS Goverment'!$C$83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6" l="1"/>
  <c r="Z31" i="6"/>
  <c r="Z32" i="6"/>
  <c r="Z33" i="6"/>
  <c r="Z34" i="6"/>
  <c r="Z45" i="6"/>
  <c r="Z46" i="6"/>
  <c r="Z47" i="6"/>
  <c r="Z78" i="6"/>
  <c r="Z79" i="6"/>
  <c r="Z80" i="6"/>
  <c r="Z81" i="6"/>
  <c r="Z82" i="6"/>
  <c r="Z93" i="6"/>
  <c r="Z125" i="6"/>
  <c r="Z126" i="6"/>
  <c r="Z127" i="6"/>
  <c r="Z128" i="6"/>
  <c r="Z129" i="6"/>
  <c r="Z161" i="6"/>
  <c r="Z173" i="6"/>
  <c r="Z174" i="6"/>
  <c r="Z175" i="6"/>
  <c r="Z207" i="6"/>
  <c r="Z208" i="6"/>
  <c r="Z209" i="6"/>
  <c r="Z210" i="6"/>
  <c r="Z221" i="6"/>
  <c r="Z253" i="6"/>
  <c r="Z254" i="6"/>
  <c r="Z255" i="6"/>
  <c r="Z256" i="6"/>
  <c r="Z257" i="6"/>
  <c r="Z289" i="6"/>
  <c r="Z290" i="6"/>
  <c r="Z301" i="6"/>
  <c r="Z302" i="6"/>
  <c r="Z303" i="6"/>
  <c r="Z2" i="6"/>
  <c r="Y3" i="6"/>
  <c r="Z3" i="6" s="1"/>
  <c r="Y4" i="6"/>
  <c r="Z4" i="6" s="1"/>
  <c r="Y5" i="6"/>
  <c r="Z5" i="6" s="1"/>
  <c r="Y6" i="6"/>
  <c r="Z6" i="6" s="1"/>
  <c r="Y7" i="6"/>
  <c r="Z7" i="6" s="1"/>
  <c r="Y8" i="6"/>
  <c r="Z8" i="6" s="1"/>
  <c r="Y9" i="6"/>
  <c r="Z9" i="6" s="1"/>
  <c r="Y10" i="6"/>
  <c r="Z10" i="6" s="1"/>
  <c r="Y11" i="6"/>
  <c r="Z11" i="6" s="1"/>
  <c r="Y12" i="6"/>
  <c r="Z12" i="6" s="1"/>
  <c r="Y13" i="6"/>
  <c r="Z13" i="6" s="1"/>
  <c r="Y14" i="6"/>
  <c r="Z14" i="6" s="1"/>
  <c r="Y15" i="6"/>
  <c r="Z15" i="6" s="1"/>
  <c r="Y16" i="6"/>
  <c r="Z16" i="6" s="1"/>
  <c r="Y17" i="6"/>
  <c r="Z17" i="6" s="1"/>
  <c r="Y18" i="6"/>
  <c r="Z18" i="6" s="1"/>
  <c r="Y19" i="6"/>
  <c r="Z19" i="6" s="1"/>
  <c r="Y20" i="6"/>
  <c r="Z20" i="6" s="1"/>
  <c r="Y21" i="6"/>
  <c r="Z21" i="6" s="1"/>
  <c r="Y22" i="6"/>
  <c r="Z22" i="6" s="1"/>
  <c r="Y23" i="6"/>
  <c r="Z23" i="6" s="1"/>
  <c r="Y24" i="6"/>
  <c r="Z24" i="6" s="1"/>
  <c r="Y25" i="6"/>
  <c r="Z25" i="6" s="1"/>
  <c r="Y26" i="6"/>
  <c r="Z26" i="6" s="1"/>
  <c r="Y27" i="6"/>
  <c r="Z27" i="6" s="1"/>
  <c r="Y28" i="6"/>
  <c r="Z28" i="6" s="1"/>
  <c r="Y29" i="6"/>
  <c r="Z29" i="6" s="1"/>
  <c r="Y30" i="6"/>
  <c r="Z30" i="6" s="1"/>
  <c r="Y31" i="6"/>
  <c r="Y32" i="6"/>
  <c r="Y33" i="6"/>
  <c r="Y34" i="6"/>
  <c r="Y35" i="6"/>
  <c r="Z35" i="6" s="1"/>
  <c r="Y36" i="6"/>
  <c r="Z36" i="6" s="1"/>
  <c r="Y37" i="6"/>
  <c r="Z37" i="6" s="1"/>
  <c r="Y38" i="6"/>
  <c r="Z38" i="6" s="1"/>
  <c r="Y39" i="6"/>
  <c r="Z39" i="6" s="1"/>
  <c r="Y40" i="6"/>
  <c r="Z40" i="6" s="1"/>
  <c r="Y41" i="6"/>
  <c r="Z41" i="6" s="1"/>
  <c r="Y42" i="6"/>
  <c r="Z42" i="6" s="1"/>
  <c r="Y43" i="6"/>
  <c r="Z43" i="6" s="1"/>
  <c r="Y44" i="6"/>
  <c r="Z44" i="6" s="1"/>
  <c r="Y45" i="6"/>
  <c r="Y46" i="6"/>
  <c r="Y47" i="6"/>
  <c r="Y48" i="6"/>
  <c r="Z48" i="6" s="1"/>
  <c r="Y49" i="6"/>
  <c r="Z49" i="6" s="1"/>
  <c r="Y50" i="6"/>
  <c r="Z50" i="6" s="1"/>
  <c r="Y51" i="6"/>
  <c r="Z51" i="6" s="1"/>
  <c r="Y52" i="6"/>
  <c r="Z52" i="6" s="1"/>
  <c r="Y53" i="6"/>
  <c r="Z53" i="6" s="1"/>
  <c r="Y54" i="6"/>
  <c r="Z54" i="6" s="1"/>
  <c r="Y55" i="6"/>
  <c r="Z55" i="6" s="1"/>
  <c r="Y56" i="6"/>
  <c r="Z56" i="6" s="1"/>
  <c r="Y57" i="6"/>
  <c r="Z57" i="6" s="1"/>
  <c r="Y58" i="6"/>
  <c r="Z58" i="6" s="1"/>
  <c r="Y59" i="6"/>
  <c r="Z59" i="6" s="1"/>
  <c r="Y60" i="6"/>
  <c r="Z60" i="6" s="1"/>
  <c r="Y61" i="6"/>
  <c r="Z61" i="6" s="1"/>
  <c r="Y62" i="6"/>
  <c r="Z62" i="6" s="1"/>
  <c r="Y63" i="6"/>
  <c r="Z63" i="6" s="1"/>
  <c r="Y64" i="6"/>
  <c r="Z64" i="6" s="1"/>
  <c r="Y65" i="6"/>
  <c r="Z65" i="6" s="1"/>
  <c r="Y66" i="6"/>
  <c r="Z66" i="6" s="1"/>
  <c r="Y67" i="6"/>
  <c r="Z67" i="6" s="1"/>
  <c r="Y68" i="6"/>
  <c r="Z68" i="6" s="1"/>
  <c r="Y69" i="6"/>
  <c r="Z69" i="6" s="1"/>
  <c r="Y70" i="6"/>
  <c r="Z70" i="6" s="1"/>
  <c r="Y71" i="6"/>
  <c r="Z71" i="6" s="1"/>
  <c r="Y72" i="6"/>
  <c r="Z72" i="6" s="1"/>
  <c r="Y73" i="6"/>
  <c r="Z73" i="6" s="1"/>
  <c r="Y74" i="6"/>
  <c r="Z74" i="6" s="1"/>
  <c r="Y75" i="6"/>
  <c r="Z75" i="6" s="1"/>
  <c r="Y76" i="6"/>
  <c r="Z76" i="6" s="1"/>
  <c r="Y77" i="6"/>
  <c r="Z77" i="6" s="1"/>
  <c r="Y78" i="6"/>
  <c r="Y79" i="6"/>
  <c r="Y80" i="6"/>
  <c r="Y81" i="6"/>
  <c r="Y82" i="6"/>
  <c r="Y83" i="6"/>
  <c r="Z83" i="6" s="1"/>
  <c r="Y84" i="6"/>
  <c r="Z84" i="6" s="1"/>
  <c r="Y85" i="6"/>
  <c r="Z85" i="6" s="1"/>
  <c r="Y86" i="6"/>
  <c r="Z86" i="6" s="1"/>
  <c r="Y87" i="6"/>
  <c r="Z87" i="6" s="1"/>
  <c r="Y88" i="6"/>
  <c r="Z88" i="6" s="1"/>
  <c r="Y89" i="6"/>
  <c r="Z89" i="6" s="1"/>
  <c r="Y90" i="6"/>
  <c r="Z90" i="6" s="1"/>
  <c r="Y91" i="6"/>
  <c r="Z91" i="6" s="1"/>
  <c r="Y92" i="6"/>
  <c r="Z92" i="6" s="1"/>
  <c r="Y93" i="6"/>
  <c r="Y94" i="6"/>
  <c r="Z94" i="6" s="1"/>
  <c r="Y95" i="6"/>
  <c r="Z95" i="6" s="1"/>
  <c r="Y96" i="6"/>
  <c r="Z96" i="6" s="1"/>
  <c r="Y97" i="6"/>
  <c r="Z97" i="6" s="1"/>
  <c r="Y98" i="6"/>
  <c r="Z98" i="6" s="1"/>
  <c r="Y99" i="6"/>
  <c r="Z99" i="6" s="1"/>
  <c r="Y100" i="6"/>
  <c r="Z100" i="6" s="1"/>
  <c r="Y101" i="6"/>
  <c r="Z101" i="6" s="1"/>
  <c r="Y102" i="6"/>
  <c r="Z102" i="6" s="1"/>
  <c r="Y103" i="6"/>
  <c r="Z103" i="6" s="1"/>
  <c r="Y104" i="6"/>
  <c r="Z104" i="6" s="1"/>
  <c r="Y105" i="6"/>
  <c r="Z105" i="6" s="1"/>
  <c r="Y106" i="6"/>
  <c r="Z106" i="6" s="1"/>
  <c r="Y107" i="6"/>
  <c r="Z107" i="6" s="1"/>
  <c r="Y108" i="6"/>
  <c r="Z108" i="6" s="1"/>
  <c r="Y109" i="6"/>
  <c r="Z109" i="6" s="1"/>
  <c r="Y110" i="6"/>
  <c r="Z110" i="6" s="1"/>
  <c r="Y111" i="6"/>
  <c r="Z111" i="6" s="1"/>
  <c r="Y112" i="6"/>
  <c r="Z112" i="6" s="1"/>
  <c r="Y113" i="6"/>
  <c r="Z113" i="6" s="1"/>
  <c r="Y114" i="6"/>
  <c r="Z114" i="6" s="1"/>
  <c r="Y115" i="6"/>
  <c r="Z115" i="6" s="1"/>
  <c r="Y116" i="6"/>
  <c r="Z116" i="6" s="1"/>
  <c r="Y117" i="6"/>
  <c r="Z117" i="6" s="1"/>
  <c r="Y118" i="6"/>
  <c r="Z118" i="6" s="1"/>
  <c r="Y119" i="6"/>
  <c r="Z119" i="6" s="1"/>
  <c r="Y120" i="6"/>
  <c r="Z120" i="6" s="1"/>
  <c r="Y121" i="6"/>
  <c r="Z121" i="6" s="1"/>
  <c r="Y122" i="6"/>
  <c r="Z122" i="6" s="1"/>
  <c r="Y123" i="6"/>
  <c r="Z123" i="6" s="1"/>
  <c r="Y124" i="6"/>
  <c r="Z124" i="6" s="1"/>
  <c r="Y125" i="6"/>
  <c r="Y126" i="6"/>
  <c r="Y127" i="6"/>
  <c r="Y128" i="6"/>
  <c r="Y129" i="6"/>
  <c r="Y130" i="6"/>
  <c r="Z130" i="6" s="1"/>
  <c r="Y131" i="6"/>
  <c r="Z131" i="6" s="1"/>
  <c r="Y132" i="6"/>
  <c r="Z132" i="6" s="1"/>
  <c r="Y133" i="6"/>
  <c r="Z133" i="6" s="1"/>
  <c r="Y134" i="6"/>
  <c r="Z134" i="6" s="1"/>
  <c r="Y135" i="6"/>
  <c r="Z135" i="6" s="1"/>
  <c r="Y136" i="6"/>
  <c r="Z136" i="6" s="1"/>
  <c r="Y137" i="6"/>
  <c r="Z137" i="6" s="1"/>
  <c r="Y138" i="6"/>
  <c r="Z138" i="6" s="1"/>
  <c r="Y139" i="6"/>
  <c r="Z139" i="6" s="1"/>
  <c r="Y140" i="6"/>
  <c r="Z140" i="6" s="1"/>
  <c r="Y141" i="6"/>
  <c r="Z141" i="6" s="1"/>
  <c r="Y142" i="6"/>
  <c r="Z142" i="6" s="1"/>
  <c r="Y143" i="6"/>
  <c r="Z143" i="6" s="1"/>
  <c r="Y144" i="6"/>
  <c r="Z144" i="6" s="1"/>
  <c r="Y145" i="6"/>
  <c r="Z145" i="6" s="1"/>
  <c r="Y146" i="6"/>
  <c r="Z146" i="6" s="1"/>
  <c r="Y147" i="6"/>
  <c r="Z147" i="6" s="1"/>
  <c r="Y148" i="6"/>
  <c r="Z148" i="6" s="1"/>
  <c r="Y149" i="6"/>
  <c r="Z149" i="6" s="1"/>
  <c r="Y150" i="6"/>
  <c r="Z150" i="6" s="1"/>
  <c r="Y151" i="6"/>
  <c r="Z151" i="6" s="1"/>
  <c r="Y152" i="6"/>
  <c r="Z152" i="6" s="1"/>
  <c r="Y153" i="6"/>
  <c r="Z153" i="6" s="1"/>
  <c r="Y154" i="6"/>
  <c r="Z154" i="6" s="1"/>
  <c r="Y155" i="6"/>
  <c r="Z155" i="6" s="1"/>
  <c r="Y156" i="6"/>
  <c r="Z156" i="6" s="1"/>
  <c r="Y157" i="6"/>
  <c r="Z157" i="6" s="1"/>
  <c r="Y158" i="6"/>
  <c r="Z158" i="6" s="1"/>
  <c r="Y159" i="6"/>
  <c r="Z159" i="6" s="1"/>
  <c r="Y160" i="6"/>
  <c r="Z160" i="6" s="1"/>
  <c r="Y161" i="6"/>
  <c r="Y162" i="6"/>
  <c r="Z162" i="6" s="1"/>
  <c r="Y163" i="6"/>
  <c r="Z163" i="6" s="1"/>
  <c r="Y164" i="6"/>
  <c r="Z164" i="6" s="1"/>
  <c r="Y165" i="6"/>
  <c r="Z165" i="6" s="1"/>
  <c r="Y166" i="6"/>
  <c r="Z166" i="6" s="1"/>
  <c r="Y167" i="6"/>
  <c r="Z167" i="6" s="1"/>
  <c r="Y168" i="6"/>
  <c r="Z168" i="6" s="1"/>
  <c r="Y169" i="6"/>
  <c r="Z169" i="6" s="1"/>
  <c r="Y170" i="6"/>
  <c r="Z170" i="6" s="1"/>
  <c r="Y171" i="6"/>
  <c r="Z171" i="6" s="1"/>
  <c r="Y172" i="6"/>
  <c r="Z172" i="6" s="1"/>
  <c r="Y173" i="6"/>
  <c r="Y174" i="6"/>
  <c r="Y175" i="6"/>
  <c r="Y176" i="6"/>
  <c r="Z176" i="6" s="1"/>
  <c r="Y177" i="6"/>
  <c r="Z177" i="6" s="1"/>
  <c r="Y178" i="6"/>
  <c r="Z178" i="6" s="1"/>
  <c r="Y179" i="6"/>
  <c r="Z179" i="6" s="1"/>
  <c r="Y180" i="6"/>
  <c r="Z180" i="6" s="1"/>
  <c r="Y181" i="6"/>
  <c r="Z181" i="6" s="1"/>
  <c r="Y182" i="6"/>
  <c r="Z182" i="6" s="1"/>
  <c r="Y183" i="6"/>
  <c r="Z183" i="6" s="1"/>
  <c r="Y184" i="6"/>
  <c r="Z184" i="6" s="1"/>
  <c r="Y185" i="6"/>
  <c r="Z185" i="6" s="1"/>
  <c r="Y186" i="6"/>
  <c r="Z186" i="6" s="1"/>
  <c r="Y187" i="6"/>
  <c r="Z187" i="6" s="1"/>
  <c r="Y188" i="6"/>
  <c r="Z188" i="6" s="1"/>
  <c r="Y189" i="6"/>
  <c r="Z189" i="6" s="1"/>
  <c r="Y190" i="6"/>
  <c r="Z190" i="6" s="1"/>
  <c r="Y191" i="6"/>
  <c r="Z191" i="6" s="1"/>
  <c r="Y192" i="6"/>
  <c r="Z192" i="6" s="1"/>
  <c r="Y193" i="6"/>
  <c r="Z193" i="6" s="1"/>
  <c r="Y194" i="6"/>
  <c r="Z194" i="6" s="1"/>
  <c r="Y195" i="6"/>
  <c r="Z195" i="6" s="1"/>
  <c r="Y196" i="6"/>
  <c r="Z196" i="6" s="1"/>
  <c r="Y197" i="6"/>
  <c r="Z197" i="6" s="1"/>
  <c r="Y198" i="6"/>
  <c r="Z198" i="6" s="1"/>
  <c r="Y199" i="6"/>
  <c r="Z199" i="6" s="1"/>
  <c r="Y200" i="6"/>
  <c r="Z200" i="6" s="1"/>
  <c r="Y201" i="6"/>
  <c r="Z201" i="6" s="1"/>
  <c r="Y202" i="6"/>
  <c r="Z202" i="6" s="1"/>
  <c r="Y203" i="6"/>
  <c r="Z203" i="6" s="1"/>
  <c r="Y204" i="6"/>
  <c r="Z204" i="6" s="1"/>
  <c r="Y205" i="6"/>
  <c r="Z205" i="6" s="1"/>
  <c r="Y206" i="6"/>
  <c r="Z206" i="6" s="1"/>
  <c r="Y207" i="6"/>
  <c r="Y208" i="6"/>
  <c r="Y209" i="6"/>
  <c r="Y210" i="6"/>
  <c r="Y211" i="6"/>
  <c r="Z211" i="6" s="1"/>
  <c r="Y212" i="6"/>
  <c r="Z212" i="6" s="1"/>
  <c r="Y213" i="6"/>
  <c r="Z213" i="6" s="1"/>
  <c r="Y214" i="6"/>
  <c r="Z214" i="6" s="1"/>
  <c r="Y215" i="6"/>
  <c r="Z215" i="6" s="1"/>
  <c r="Y216" i="6"/>
  <c r="Z216" i="6" s="1"/>
  <c r="Y217" i="6"/>
  <c r="Z217" i="6" s="1"/>
  <c r="Y218" i="6"/>
  <c r="Z218" i="6" s="1"/>
  <c r="Y219" i="6"/>
  <c r="Z219" i="6" s="1"/>
  <c r="Y220" i="6"/>
  <c r="Z220" i="6" s="1"/>
  <c r="Y221" i="6"/>
  <c r="Y222" i="6"/>
  <c r="Z222" i="6" s="1"/>
  <c r="Y223" i="6"/>
  <c r="Z223" i="6" s="1"/>
  <c r="Y224" i="6"/>
  <c r="Z224" i="6" s="1"/>
  <c r="Y225" i="6"/>
  <c r="Z225" i="6" s="1"/>
  <c r="Y226" i="6"/>
  <c r="Z226" i="6" s="1"/>
  <c r="Y227" i="6"/>
  <c r="Z227" i="6" s="1"/>
  <c r="Y228" i="6"/>
  <c r="Z228" i="6" s="1"/>
  <c r="Y229" i="6"/>
  <c r="Z229" i="6" s="1"/>
  <c r="Y230" i="6"/>
  <c r="Z230" i="6" s="1"/>
  <c r="Y231" i="6"/>
  <c r="Z231" i="6" s="1"/>
  <c r="Y232" i="6"/>
  <c r="Z232" i="6" s="1"/>
  <c r="Y233" i="6"/>
  <c r="Z233" i="6" s="1"/>
  <c r="Y234" i="6"/>
  <c r="Z234" i="6" s="1"/>
  <c r="Y235" i="6"/>
  <c r="Z235" i="6" s="1"/>
  <c r="Y236" i="6"/>
  <c r="Z236" i="6" s="1"/>
  <c r="Y237" i="6"/>
  <c r="Z237" i="6" s="1"/>
  <c r="Y238" i="6"/>
  <c r="Z238" i="6" s="1"/>
  <c r="Y239" i="6"/>
  <c r="Z239" i="6" s="1"/>
  <c r="Y240" i="6"/>
  <c r="Z240" i="6" s="1"/>
  <c r="Y241" i="6"/>
  <c r="Z241" i="6" s="1"/>
  <c r="Y242" i="6"/>
  <c r="Z242" i="6" s="1"/>
  <c r="Y243" i="6"/>
  <c r="Z243" i="6" s="1"/>
  <c r="Y244" i="6"/>
  <c r="Z244" i="6" s="1"/>
  <c r="Y245" i="6"/>
  <c r="Z245" i="6" s="1"/>
  <c r="Y246" i="6"/>
  <c r="Z246" i="6" s="1"/>
  <c r="Y247" i="6"/>
  <c r="Z247" i="6" s="1"/>
  <c r="Y248" i="6"/>
  <c r="Z248" i="6" s="1"/>
  <c r="Y249" i="6"/>
  <c r="Z249" i="6" s="1"/>
  <c r="Y250" i="6"/>
  <c r="Z250" i="6" s="1"/>
  <c r="Y251" i="6"/>
  <c r="Z251" i="6" s="1"/>
  <c r="Y252" i="6"/>
  <c r="Z252" i="6" s="1"/>
  <c r="Y253" i="6"/>
  <c r="Y254" i="6"/>
  <c r="Y255" i="6"/>
  <c r="Y256" i="6"/>
  <c r="Y257" i="6"/>
  <c r="Y258" i="6"/>
  <c r="Z258" i="6" s="1"/>
  <c r="Y259" i="6"/>
  <c r="Z259" i="6" s="1"/>
  <c r="Y260" i="6"/>
  <c r="Z260" i="6" s="1"/>
  <c r="Y261" i="6"/>
  <c r="Z261" i="6" s="1"/>
  <c r="Y262" i="6"/>
  <c r="Z262" i="6" s="1"/>
  <c r="Y263" i="6"/>
  <c r="Z263" i="6" s="1"/>
  <c r="Y264" i="6"/>
  <c r="Z264" i="6" s="1"/>
  <c r="Y265" i="6"/>
  <c r="Z265" i="6" s="1"/>
  <c r="Y266" i="6"/>
  <c r="Z266" i="6" s="1"/>
  <c r="Y267" i="6"/>
  <c r="Z267" i="6" s="1"/>
  <c r="Y268" i="6"/>
  <c r="Z268" i="6" s="1"/>
  <c r="Y269" i="6"/>
  <c r="Z269" i="6" s="1"/>
  <c r="Y270" i="6"/>
  <c r="Z270" i="6" s="1"/>
  <c r="Y271" i="6"/>
  <c r="Z271" i="6" s="1"/>
  <c r="Y272" i="6"/>
  <c r="Z272" i="6" s="1"/>
  <c r="Y273" i="6"/>
  <c r="Z273" i="6" s="1"/>
  <c r="Y274" i="6"/>
  <c r="Z274" i="6" s="1"/>
  <c r="Y275" i="6"/>
  <c r="Z275" i="6" s="1"/>
  <c r="Y276" i="6"/>
  <c r="Z276" i="6" s="1"/>
  <c r="Y277" i="6"/>
  <c r="Z277" i="6" s="1"/>
  <c r="Y278" i="6"/>
  <c r="Z278" i="6" s="1"/>
  <c r="Y279" i="6"/>
  <c r="Z279" i="6" s="1"/>
  <c r="Y280" i="6"/>
  <c r="Z280" i="6" s="1"/>
  <c r="Y281" i="6"/>
  <c r="Z281" i="6" s="1"/>
  <c r="Y282" i="6"/>
  <c r="Z282" i="6" s="1"/>
  <c r="Y283" i="6"/>
  <c r="Z283" i="6" s="1"/>
  <c r="Y284" i="6"/>
  <c r="Z284" i="6" s="1"/>
  <c r="Y285" i="6"/>
  <c r="Z285" i="6" s="1"/>
  <c r="Y286" i="6"/>
  <c r="Z286" i="6" s="1"/>
  <c r="Y287" i="6"/>
  <c r="Z287" i="6" s="1"/>
  <c r="Y288" i="6"/>
  <c r="Z288" i="6" s="1"/>
  <c r="Y289" i="6"/>
  <c r="Y290" i="6"/>
  <c r="Y291" i="6"/>
  <c r="Z291" i="6" s="1"/>
  <c r="Y292" i="6"/>
  <c r="Z292" i="6" s="1"/>
  <c r="Y293" i="6"/>
  <c r="Z293" i="6" s="1"/>
  <c r="Y294" i="6"/>
  <c r="Z294" i="6" s="1"/>
  <c r="Y295" i="6"/>
  <c r="Z295" i="6" s="1"/>
  <c r="Y296" i="6"/>
  <c r="Z296" i="6" s="1"/>
  <c r="Y297" i="6"/>
  <c r="Z297" i="6" s="1"/>
  <c r="Y298" i="6"/>
  <c r="Z298" i="6" s="1"/>
  <c r="Y299" i="6"/>
  <c r="Z299" i="6" s="1"/>
  <c r="Y300" i="6"/>
  <c r="Z300" i="6" s="1"/>
  <c r="Y301" i="6"/>
  <c r="Y302" i="6"/>
  <c r="Y303" i="6"/>
  <c r="Y304" i="6"/>
  <c r="Z304" i="6" s="1"/>
  <c r="Y305" i="6"/>
  <c r="Z305" i="6" s="1"/>
  <c r="Y306" i="6"/>
  <c r="Z306" i="6" s="1"/>
  <c r="Y307" i="6"/>
  <c r="Z307" i="6" s="1"/>
  <c r="Y308" i="6"/>
  <c r="Z308" i="6" s="1"/>
  <c r="Y309" i="6"/>
  <c r="Z309" i="6" s="1"/>
  <c r="Y310" i="6"/>
  <c r="Z310" i="6" s="1"/>
  <c r="Y311" i="6"/>
  <c r="Z311" i="6" s="1"/>
  <c r="Y312" i="6"/>
  <c r="Z312" i="6" s="1"/>
  <c r="Y313" i="6"/>
  <c r="Z313" i="6" s="1"/>
  <c r="Y314" i="6"/>
  <c r="Z314" i="6" s="1"/>
  <c r="Y315" i="6"/>
  <c r="Z315" i="6" s="1"/>
  <c r="Y316" i="6"/>
  <c r="Z316" i="6" s="1"/>
  <c r="Y317" i="6"/>
  <c r="Z317" i="6" s="1"/>
  <c r="Y318" i="6"/>
  <c r="Z318" i="6" s="1"/>
  <c r="Y319" i="6"/>
  <c r="Z319" i="6" s="1"/>
  <c r="Y320" i="6"/>
  <c r="Z320" i="6" s="1"/>
  <c r="Y321" i="6"/>
  <c r="Z321" i="6" s="1"/>
  <c r="Y322" i="6"/>
  <c r="Z322" i="6" s="1"/>
  <c r="Y323" i="6"/>
  <c r="Z323" i="6" s="1"/>
  <c r="Y324" i="6"/>
  <c r="Z324" i="6" s="1"/>
  <c r="Y325" i="6"/>
  <c r="Z325" i="6" s="1"/>
  <c r="Y326" i="6"/>
  <c r="Z326" i="6" s="1"/>
  <c r="Y327" i="6"/>
  <c r="Z327" i="6" s="1"/>
  <c r="AZ102" i="5"/>
  <c r="AZ101" i="5"/>
  <c r="AZ100" i="5"/>
  <c r="AZ99" i="5"/>
  <c r="AZ98" i="5"/>
  <c r="CS481" i="2"/>
  <c r="CS381" i="2"/>
  <c r="CS281" i="2"/>
  <c r="CS181" i="2"/>
  <c r="CS81" i="2"/>
  <c r="AY98" i="2"/>
  <c r="AZ102" i="2"/>
  <c r="AZ101" i="2"/>
  <c r="AZ100" i="2"/>
  <c r="AZ99" i="2"/>
  <c r="AZ98" i="2"/>
  <c r="CR3" i="2"/>
  <c r="CO3" i="2"/>
  <c r="CO3" i="5"/>
  <c r="CN4" i="5" a="1"/>
  <c r="CR3" i="5"/>
  <c r="CQ3" i="5"/>
  <c r="CP3" i="5"/>
  <c r="K2" i="5" a="1"/>
  <c r="AX98" i="5" s="1"/>
  <c r="AX100" i="5" l="1"/>
  <c r="AX101" i="5"/>
  <c r="AX99" i="5"/>
  <c r="AX102" i="5"/>
  <c r="CS3" i="5"/>
  <c r="CH66" i="5"/>
  <c r="BR66" i="5"/>
  <c r="BB66" i="5"/>
  <c r="AL66" i="5"/>
  <c r="V66" i="5"/>
  <c r="BY65" i="5"/>
  <c r="BI65" i="5"/>
  <c r="AS65" i="5"/>
  <c r="AC65" i="5"/>
  <c r="M65" i="5"/>
  <c r="CF64" i="5"/>
  <c r="BP64" i="5"/>
  <c r="AZ64" i="5"/>
  <c r="AJ64" i="5"/>
  <c r="T64" i="5"/>
  <c r="BW63" i="5"/>
  <c r="BG63" i="5"/>
  <c r="AQ63" i="5"/>
  <c r="AA63" i="5"/>
  <c r="CD62" i="5"/>
  <c r="BN62" i="5"/>
  <c r="AX62" i="5"/>
  <c r="AH62" i="5"/>
  <c r="R62" i="5"/>
  <c r="CK61" i="5"/>
  <c r="BU61" i="5"/>
  <c r="BE61" i="5"/>
  <c r="AO61" i="5"/>
  <c r="Y61" i="5"/>
  <c r="CG66" i="5"/>
  <c r="BQ66" i="5"/>
  <c r="BA66" i="5"/>
  <c r="AK66" i="5"/>
  <c r="U66" i="5"/>
  <c r="BX65" i="5"/>
  <c r="BH65" i="5"/>
  <c r="AR65" i="5"/>
  <c r="AB65" i="5"/>
  <c r="L65" i="5"/>
  <c r="CE64" i="5"/>
  <c r="BO64" i="5"/>
  <c r="AY64" i="5"/>
  <c r="AI64" i="5"/>
  <c r="S64" i="5"/>
  <c r="BV63" i="5"/>
  <c r="BF63" i="5"/>
  <c r="AP63" i="5"/>
  <c r="Z63" i="5"/>
  <c r="CC62" i="5"/>
  <c r="BM62" i="5"/>
  <c r="AW62" i="5"/>
  <c r="AG62" i="5"/>
  <c r="Q62" i="5"/>
  <c r="CJ61" i="5"/>
  <c r="BT61" i="5"/>
  <c r="BD61" i="5"/>
  <c r="AN61" i="5"/>
  <c r="X61" i="5"/>
  <c r="CF66" i="5"/>
  <c r="BP66" i="5"/>
  <c r="AZ66" i="5"/>
  <c r="AJ66" i="5"/>
  <c r="T66" i="5"/>
  <c r="BW65" i="5"/>
  <c r="BG65" i="5"/>
  <c r="AQ65" i="5"/>
  <c r="AA65" i="5"/>
  <c r="CD64" i="5"/>
  <c r="BN64" i="5"/>
  <c r="AX64" i="5"/>
  <c r="AH64" i="5"/>
  <c r="R64" i="5"/>
  <c r="CK63" i="5"/>
  <c r="BU63" i="5"/>
  <c r="BE63" i="5"/>
  <c r="AO63" i="5"/>
  <c r="Y63" i="5"/>
  <c r="CB62" i="5"/>
  <c r="BL62" i="5"/>
  <c r="AV62" i="5"/>
  <c r="AF62" i="5"/>
  <c r="P62" i="5"/>
  <c r="CI61" i="5"/>
  <c r="BS61" i="5"/>
  <c r="BC61" i="5"/>
  <c r="AM61" i="5"/>
  <c r="W61" i="5"/>
  <c r="CE66" i="5"/>
  <c r="BO66" i="5"/>
  <c r="AY66" i="5"/>
  <c r="AI66" i="5"/>
  <c r="S66" i="5"/>
  <c r="BV65" i="5"/>
  <c r="BF65" i="5"/>
  <c r="AP65" i="5"/>
  <c r="Z65" i="5"/>
  <c r="CC64" i="5"/>
  <c r="BM64" i="5"/>
  <c r="AW64" i="5"/>
  <c r="AG64" i="5"/>
  <c r="Q64" i="5"/>
  <c r="CJ63" i="5"/>
  <c r="BT63" i="5"/>
  <c r="BD63" i="5"/>
  <c r="AN63" i="5"/>
  <c r="X63" i="5"/>
  <c r="CA62" i="5"/>
  <c r="BK62" i="5"/>
  <c r="AU62" i="5"/>
  <c r="AE62" i="5"/>
  <c r="O62" i="5"/>
  <c r="CH61" i="5"/>
  <c r="BR61" i="5"/>
  <c r="BB61" i="5"/>
  <c r="AL61" i="5"/>
  <c r="V61" i="5"/>
  <c r="CD66" i="5"/>
  <c r="BN66" i="5"/>
  <c r="AX66" i="5"/>
  <c r="AH66" i="5"/>
  <c r="R66" i="5"/>
  <c r="CK65" i="5"/>
  <c r="BU65" i="5"/>
  <c r="BE65" i="5"/>
  <c r="AO65" i="5"/>
  <c r="Y65" i="5"/>
  <c r="CB64" i="5"/>
  <c r="BL64" i="5"/>
  <c r="AV64" i="5"/>
  <c r="AF64" i="5"/>
  <c r="P64" i="5"/>
  <c r="CI63" i="5"/>
  <c r="BS63" i="5"/>
  <c r="BC63" i="5"/>
  <c r="AM63" i="5"/>
  <c r="W63" i="5"/>
  <c r="BZ62" i="5"/>
  <c r="BJ62" i="5"/>
  <c r="AT62" i="5"/>
  <c r="AD62" i="5"/>
  <c r="N62" i="5"/>
  <c r="CG61" i="5"/>
  <c r="BQ61" i="5"/>
  <c r="BA61" i="5"/>
  <c r="AK61" i="5"/>
  <c r="U61" i="5"/>
  <c r="CC66" i="5"/>
  <c r="BM66" i="5"/>
  <c r="AW66" i="5"/>
  <c r="AG66" i="5"/>
  <c r="Q66" i="5"/>
  <c r="CJ65" i="5"/>
  <c r="BT65" i="5"/>
  <c r="BD65" i="5"/>
  <c r="AN65" i="5"/>
  <c r="X65" i="5"/>
  <c r="CA64" i="5"/>
  <c r="BK64" i="5"/>
  <c r="AU64" i="5"/>
  <c r="AE64" i="5"/>
  <c r="O64" i="5"/>
  <c r="CH63" i="5"/>
  <c r="BR63" i="5"/>
  <c r="BB63" i="5"/>
  <c r="AL63" i="5"/>
  <c r="V63" i="5"/>
  <c r="BY62" i="5"/>
  <c r="BI62" i="5"/>
  <c r="AS62" i="5"/>
  <c r="AC62" i="5"/>
  <c r="M62" i="5"/>
  <c r="CF61" i="5"/>
  <c r="BP61" i="5"/>
  <c r="AZ61" i="5"/>
  <c r="AJ61" i="5"/>
  <c r="T61" i="5"/>
  <c r="CA66" i="5"/>
  <c r="BK66" i="5"/>
  <c r="AU66" i="5"/>
  <c r="AE66" i="5"/>
  <c r="O66" i="5"/>
  <c r="CH65" i="5"/>
  <c r="BR65" i="5"/>
  <c r="BB65" i="5"/>
  <c r="AL65" i="5"/>
  <c r="V65" i="5"/>
  <c r="BY64" i="5"/>
  <c r="BI64" i="5"/>
  <c r="AS64" i="5"/>
  <c r="AC64" i="5"/>
  <c r="M64" i="5"/>
  <c r="CF63" i="5"/>
  <c r="BP63" i="5"/>
  <c r="AZ63" i="5"/>
  <c r="AJ63" i="5"/>
  <c r="T63" i="5"/>
  <c r="BW62" i="5"/>
  <c r="BG62" i="5"/>
  <c r="AQ62" i="5"/>
  <c r="AA62" i="5"/>
  <c r="CD61" i="5"/>
  <c r="BN61" i="5"/>
  <c r="AX61" i="5"/>
  <c r="AH61" i="5"/>
  <c r="R61" i="5"/>
  <c r="CK60" i="5"/>
  <c r="BH66" i="5"/>
  <c r="AD66" i="5"/>
  <c r="BL65" i="5"/>
  <c r="AH65" i="5"/>
  <c r="BJ64" i="5"/>
  <c r="AL64" i="5"/>
  <c r="BM63" i="5"/>
  <c r="AI63" i="5"/>
  <c r="L63" i="5"/>
  <c r="BQ62" i="5"/>
  <c r="AM62" i="5"/>
  <c r="BO61" i="5"/>
  <c r="AQ61" i="5"/>
  <c r="M61" i="5"/>
  <c r="BY60" i="5"/>
  <c r="BI60" i="5"/>
  <c r="AS60" i="5"/>
  <c r="AC60" i="5"/>
  <c r="M60" i="5"/>
  <c r="CF59" i="5"/>
  <c r="BP59" i="5"/>
  <c r="AZ59" i="5"/>
  <c r="AJ59" i="5"/>
  <c r="T59" i="5"/>
  <c r="BW58" i="5"/>
  <c r="BG58" i="5"/>
  <c r="AQ58" i="5"/>
  <c r="AA58" i="5"/>
  <c r="CD57" i="5"/>
  <c r="BN57" i="5"/>
  <c r="AX57" i="5"/>
  <c r="AH57" i="5"/>
  <c r="R57" i="5"/>
  <c r="CK56" i="5"/>
  <c r="BU56" i="5"/>
  <c r="BE56" i="5"/>
  <c r="AO56" i="5"/>
  <c r="Y56" i="5"/>
  <c r="CB55" i="5"/>
  <c r="BL55" i="5"/>
  <c r="AV55" i="5"/>
  <c r="AF55" i="5"/>
  <c r="P55" i="5"/>
  <c r="CI54" i="5"/>
  <c r="BS54" i="5"/>
  <c r="BC54" i="5"/>
  <c r="AM54" i="5"/>
  <c r="W54" i="5"/>
  <c r="CK66" i="5"/>
  <c r="BG66" i="5"/>
  <c r="AC66" i="5"/>
  <c r="CI65" i="5"/>
  <c r="BK65" i="5"/>
  <c r="AG65" i="5"/>
  <c r="BH64" i="5"/>
  <c r="AK64" i="5"/>
  <c r="BL63" i="5"/>
  <c r="AH63" i="5"/>
  <c r="BP62" i="5"/>
  <c r="AL62" i="5"/>
  <c r="BM61" i="5"/>
  <c r="AP61" i="5"/>
  <c r="L61" i="5"/>
  <c r="BX60" i="5"/>
  <c r="BH60" i="5"/>
  <c r="AR60" i="5"/>
  <c r="AB60" i="5"/>
  <c r="L60" i="5"/>
  <c r="CE59" i="5"/>
  <c r="BO59" i="5"/>
  <c r="AY59" i="5"/>
  <c r="AI59" i="5"/>
  <c r="S59" i="5"/>
  <c r="BV58" i="5"/>
  <c r="BF58" i="5"/>
  <c r="AP58" i="5"/>
  <c r="Z58" i="5"/>
  <c r="CC57" i="5"/>
  <c r="BM57" i="5"/>
  <c r="AW57" i="5"/>
  <c r="AG57" i="5"/>
  <c r="Q57" i="5"/>
  <c r="CJ56" i="5"/>
  <c r="BT56" i="5"/>
  <c r="BD56" i="5"/>
  <c r="AN56" i="5"/>
  <c r="X56" i="5"/>
  <c r="CA55" i="5"/>
  <c r="BK55" i="5"/>
  <c r="AU55" i="5"/>
  <c r="AE55" i="5"/>
  <c r="O55" i="5"/>
  <c r="CH54" i="5"/>
  <c r="BR54" i="5"/>
  <c r="BB54" i="5"/>
  <c r="AL54" i="5"/>
  <c r="V54" i="5"/>
  <c r="CJ66" i="5"/>
  <c r="BF66" i="5"/>
  <c r="AB66" i="5"/>
  <c r="CG65" i="5"/>
  <c r="BJ65" i="5"/>
  <c r="AF65" i="5"/>
  <c r="CK64" i="5"/>
  <c r="BG64" i="5"/>
  <c r="AD64" i="5"/>
  <c r="BK63" i="5"/>
  <c r="AG63" i="5"/>
  <c r="BO62" i="5"/>
  <c r="AK62" i="5"/>
  <c r="BL61" i="5"/>
  <c r="AI61" i="5"/>
  <c r="BW60" i="5"/>
  <c r="BG60" i="5"/>
  <c r="AQ60" i="5"/>
  <c r="AA60" i="5"/>
  <c r="CD59" i="5"/>
  <c r="BN59" i="5"/>
  <c r="AX59" i="5"/>
  <c r="AH59" i="5"/>
  <c r="R59" i="5"/>
  <c r="CK58" i="5"/>
  <c r="BU58" i="5"/>
  <c r="BE58" i="5"/>
  <c r="AO58" i="5"/>
  <c r="Y58" i="5"/>
  <c r="CB57" i="5"/>
  <c r="BL57" i="5"/>
  <c r="AV57" i="5"/>
  <c r="AF57" i="5"/>
  <c r="P57" i="5"/>
  <c r="CI56" i="5"/>
  <c r="BS56" i="5"/>
  <c r="BC56" i="5"/>
  <c r="AM56" i="5"/>
  <c r="W56" i="5"/>
  <c r="BZ55" i="5"/>
  <c r="BJ55" i="5"/>
  <c r="AT55" i="5"/>
  <c r="AD55" i="5"/>
  <c r="N55" i="5"/>
  <c r="CG54" i="5"/>
  <c r="BQ54" i="5"/>
  <c r="BA54" i="5"/>
  <c r="AK54" i="5"/>
  <c r="U54" i="5"/>
  <c r="CI66" i="5"/>
  <c r="BE66" i="5"/>
  <c r="AA66" i="5"/>
  <c r="CF65" i="5"/>
  <c r="BC65" i="5"/>
  <c r="AE65" i="5"/>
  <c r="CJ64" i="5"/>
  <c r="BF64" i="5"/>
  <c r="AB64" i="5"/>
  <c r="BJ63" i="5"/>
  <c r="AF63" i="5"/>
  <c r="CK62" i="5"/>
  <c r="BH62" i="5"/>
  <c r="AJ62" i="5"/>
  <c r="BK61" i="5"/>
  <c r="AG61" i="5"/>
  <c r="BV60" i="5"/>
  <c r="BF60" i="5"/>
  <c r="AP60" i="5"/>
  <c r="Z60" i="5"/>
  <c r="CC59" i="5"/>
  <c r="BM59" i="5"/>
  <c r="AW59" i="5"/>
  <c r="AG59" i="5"/>
  <c r="Q59" i="5"/>
  <c r="CJ58" i="5"/>
  <c r="BT58" i="5"/>
  <c r="BD58" i="5"/>
  <c r="AN58" i="5"/>
  <c r="X58" i="5"/>
  <c r="CA57" i="5"/>
  <c r="BK57" i="5"/>
  <c r="AU57" i="5"/>
  <c r="AE57" i="5"/>
  <c r="O57" i="5"/>
  <c r="CH56" i="5"/>
  <c r="BR56" i="5"/>
  <c r="BB56" i="5"/>
  <c r="AL56" i="5"/>
  <c r="V56" i="5"/>
  <c r="BY55" i="5"/>
  <c r="BI55" i="5"/>
  <c r="AS55" i="5"/>
  <c r="AC55" i="5"/>
  <c r="M55" i="5"/>
  <c r="CF54" i="5"/>
  <c r="BP54" i="5"/>
  <c r="AZ54" i="5"/>
  <c r="CB66" i="5"/>
  <c r="BD66" i="5"/>
  <c r="Z66" i="5"/>
  <c r="CE65" i="5"/>
  <c r="BA65" i="5"/>
  <c r="AD65" i="5"/>
  <c r="CI64" i="5"/>
  <c r="BE64" i="5"/>
  <c r="AA64" i="5"/>
  <c r="CG63" i="5"/>
  <c r="BI63" i="5"/>
  <c r="AE63" i="5"/>
  <c r="CJ62" i="5"/>
  <c r="BF62" i="5"/>
  <c r="AI62" i="5"/>
  <c r="BJ61" i="5"/>
  <c r="AF61" i="5"/>
  <c r="BU60" i="5"/>
  <c r="BE60" i="5"/>
  <c r="AO60" i="5"/>
  <c r="Y60" i="5"/>
  <c r="CB59" i="5"/>
  <c r="BL59" i="5"/>
  <c r="AV59" i="5"/>
  <c r="AF59" i="5"/>
  <c r="P59" i="5"/>
  <c r="CI58" i="5"/>
  <c r="BS58" i="5"/>
  <c r="BC58" i="5"/>
  <c r="AM58" i="5"/>
  <c r="W58" i="5"/>
  <c r="BZ57" i="5"/>
  <c r="BJ57" i="5"/>
  <c r="AT57" i="5"/>
  <c r="AD57" i="5"/>
  <c r="N57" i="5"/>
  <c r="CG56" i="5"/>
  <c r="BQ56" i="5"/>
  <c r="BA56" i="5"/>
  <c r="AK56" i="5"/>
  <c r="U56" i="5"/>
  <c r="BX55" i="5"/>
  <c r="BH55" i="5"/>
  <c r="AR55" i="5"/>
  <c r="AB55" i="5"/>
  <c r="L55" i="5"/>
  <c r="CE54" i="5"/>
  <c r="BO54" i="5"/>
  <c r="AY54" i="5"/>
  <c r="AI54" i="5"/>
  <c r="S54" i="5"/>
  <c r="BZ66" i="5"/>
  <c r="BC66" i="5"/>
  <c r="Y66" i="5"/>
  <c r="CD65" i="5"/>
  <c r="AZ65" i="5"/>
  <c r="W65" i="5"/>
  <c r="CH64" i="5"/>
  <c r="BD64" i="5"/>
  <c r="Z64" i="5"/>
  <c r="CE63" i="5"/>
  <c r="BH63" i="5"/>
  <c r="AD63" i="5"/>
  <c r="CI62" i="5"/>
  <c r="BE62" i="5"/>
  <c r="AB62" i="5"/>
  <c r="BI61" i="5"/>
  <c r="AE61" i="5"/>
  <c r="CJ60" i="5"/>
  <c r="BT60" i="5"/>
  <c r="BD60" i="5"/>
  <c r="AN60" i="5"/>
  <c r="X60" i="5"/>
  <c r="CA59" i="5"/>
  <c r="BK59" i="5"/>
  <c r="AU59" i="5"/>
  <c r="AE59" i="5"/>
  <c r="O59" i="5"/>
  <c r="CH58" i="5"/>
  <c r="BR58" i="5"/>
  <c r="BB58" i="5"/>
  <c r="AL58" i="5"/>
  <c r="V58" i="5"/>
  <c r="BY57" i="5"/>
  <c r="BI57" i="5"/>
  <c r="AS57" i="5"/>
  <c r="AC57" i="5"/>
  <c r="M57" i="5"/>
  <c r="CF56" i="5"/>
  <c r="AQ66" i="5"/>
  <c r="CC65" i="5"/>
  <c r="AM65" i="5"/>
  <c r="BX64" i="5"/>
  <c r="AN64" i="5"/>
  <c r="BZ63" i="5"/>
  <c r="AC63" i="5"/>
  <c r="BU62" i="5"/>
  <c r="X62" i="5"/>
  <c r="BW61" i="5"/>
  <c r="Z61" i="5"/>
  <c r="BS60" i="5"/>
  <c r="AW60" i="5"/>
  <c r="U60" i="5"/>
  <c r="CH59" i="5"/>
  <c r="BF59" i="5"/>
  <c r="AD59" i="5"/>
  <c r="BO58" i="5"/>
  <c r="AS58" i="5"/>
  <c r="Q58" i="5"/>
  <c r="BX57" i="5"/>
  <c r="BB57" i="5"/>
  <c r="Z57" i="5"/>
  <c r="BL56" i="5"/>
  <c r="AQ56" i="5"/>
  <c r="Q56" i="5"/>
  <c r="CE55" i="5"/>
  <c r="BE55" i="5"/>
  <c r="AJ55" i="5"/>
  <c r="BX54" i="5"/>
  <c r="AX54" i="5"/>
  <c r="AD54" i="5"/>
  <c r="CB53" i="5"/>
  <c r="BL53" i="5"/>
  <c r="AV53" i="5"/>
  <c r="AF53" i="5"/>
  <c r="P53" i="5"/>
  <c r="CI52" i="5"/>
  <c r="BS52" i="5"/>
  <c r="BC52" i="5"/>
  <c r="AM52" i="5"/>
  <c r="W52" i="5"/>
  <c r="BZ51" i="5"/>
  <c r="BJ51" i="5"/>
  <c r="AT51" i="5"/>
  <c r="AD51" i="5"/>
  <c r="N51" i="5"/>
  <c r="CG50" i="5"/>
  <c r="BQ50" i="5"/>
  <c r="BA50" i="5"/>
  <c r="AK50" i="5"/>
  <c r="U50" i="5"/>
  <c r="BX49" i="5"/>
  <c r="BH49" i="5"/>
  <c r="AR49" i="5"/>
  <c r="AB49" i="5"/>
  <c r="L49" i="5"/>
  <c r="CE48" i="5"/>
  <c r="BO48" i="5"/>
  <c r="AY48" i="5"/>
  <c r="AI48" i="5"/>
  <c r="AP66" i="5"/>
  <c r="CB65" i="5"/>
  <c r="AK65" i="5"/>
  <c r="BW64" i="5"/>
  <c r="AM64" i="5"/>
  <c r="BY63" i="5"/>
  <c r="AB63" i="5"/>
  <c r="BT62" i="5"/>
  <c r="W62" i="5"/>
  <c r="BV61" i="5"/>
  <c r="S61" i="5"/>
  <c r="BR60" i="5"/>
  <c r="AV60" i="5"/>
  <c r="T60" i="5"/>
  <c r="CG59" i="5"/>
  <c r="BE59" i="5"/>
  <c r="AC59" i="5"/>
  <c r="BN58" i="5"/>
  <c r="AR58" i="5"/>
  <c r="P58" i="5"/>
  <c r="BW57" i="5"/>
  <c r="BA57" i="5"/>
  <c r="Y57" i="5"/>
  <c r="BK56" i="5"/>
  <c r="AP56" i="5"/>
  <c r="P56" i="5"/>
  <c r="CD55" i="5"/>
  <c r="BD55" i="5"/>
  <c r="AI55" i="5"/>
  <c r="BW54" i="5"/>
  <c r="AW54" i="5"/>
  <c r="AC54" i="5"/>
  <c r="CA53" i="5"/>
  <c r="BK53" i="5"/>
  <c r="AU53" i="5"/>
  <c r="AE53" i="5"/>
  <c r="O53" i="5"/>
  <c r="CH52" i="5"/>
  <c r="BR52" i="5"/>
  <c r="BB52" i="5"/>
  <c r="AL52" i="5"/>
  <c r="V52" i="5"/>
  <c r="BY51" i="5"/>
  <c r="BI51" i="5"/>
  <c r="AS51" i="5"/>
  <c r="AC51" i="5"/>
  <c r="M51" i="5"/>
  <c r="BY66" i="5"/>
  <c r="AO66" i="5"/>
  <c r="CA65" i="5"/>
  <c r="AJ65" i="5"/>
  <c r="BV64" i="5"/>
  <c r="Y64" i="5"/>
  <c r="BX63" i="5"/>
  <c r="U63" i="5"/>
  <c r="BS62" i="5"/>
  <c r="V62" i="5"/>
  <c r="BH61" i="5"/>
  <c r="Q61" i="5"/>
  <c r="BQ60" i="5"/>
  <c r="AU60" i="5"/>
  <c r="S60" i="5"/>
  <c r="BZ59" i="5"/>
  <c r="BD59" i="5"/>
  <c r="AB59" i="5"/>
  <c r="BM58" i="5"/>
  <c r="AK58" i="5"/>
  <c r="O58" i="5"/>
  <c r="BV57" i="5"/>
  <c r="AZ57" i="5"/>
  <c r="X57" i="5"/>
  <c r="CE56" i="5"/>
  <c r="BJ56" i="5"/>
  <c r="AJ56" i="5"/>
  <c r="O56" i="5"/>
  <c r="CC55" i="5"/>
  <c r="BC55" i="5"/>
  <c r="AH55" i="5"/>
  <c r="BV54" i="5"/>
  <c r="AV54" i="5"/>
  <c r="AB54" i="5"/>
  <c r="BZ53" i="5"/>
  <c r="BJ53" i="5"/>
  <c r="AT53" i="5"/>
  <c r="AD53" i="5"/>
  <c r="N53" i="5"/>
  <c r="CG52" i="5"/>
  <c r="BQ52" i="5"/>
  <c r="BA52" i="5"/>
  <c r="AK52" i="5"/>
  <c r="U52" i="5"/>
  <c r="BX51" i="5"/>
  <c r="BH51" i="5"/>
  <c r="AR51" i="5"/>
  <c r="AB51" i="5"/>
  <c r="L51" i="5"/>
  <c r="CE50" i="5"/>
  <c r="BO50" i="5"/>
  <c r="AY50" i="5"/>
  <c r="AI50" i="5"/>
  <c r="S50" i="5"/>
  <c r="BV49" i="5"/>
  <c r="BF49" i="5"/>
  <c r="AP49" i="5"/>
  <c r="Z49" i="5"/>
  <c r="CC48" i="5"/>
  <c r="BM48" i="5"/>
  <c r="AW48" i="5"/>
  <c r="BT66" i="5"/>
  <c r="M66" i="5"/>
  <c r="AV65" i="5"/>
  <c r="BU64" i="5"/>
  <c r="U64" i="5"/>
  <c r="AW63" i="5"/>
  <c r="CF62" i="5"/>
  <c r="Y62" i="5"/>
  <c r="AY61" i="5"/>
  <c r="CG60" i="5"/>
  <c r="BB60" i="5"/>
  <c r="W60" i="5"/>
  <c r="BX59" i="5"/>
  <c r="AS59" i="5"/>
  <c r="N59" i="5"/>
  <c r="BX58" i="5"/>
  <c r="AJ58" i="5"/>
  <c r="BO57" i="5"/>
  <c r="AJ57" i="5"/>
  <c r="BG56" i="5"/>
  <c r="AD56" i="5"/>
  <c r="CJ55" i="5"/>
  <c r="BG55" i="5"/>
  <c r="AA55" i="5"/>
  <c r="BI54" i="5"/>
  <c r="AG54" i="5"/>
  <c r="BV53" i="5"/>
  <c r="BC53" i="5"/>
  <c r="AJ53" i="5"/>
  <c r="Q53" i="5"/>
  <c r="CD52" i="5"/>
  <c r="BK52" i="5"/>
  <c r="AR52" i="5"/>
  <c r="Y52" i="5"/>
  <c r="BS51" i="5"/>
  <c r="AZ51" i="5"/>
  <c r="AG51" i="5"/>
  <c r="CB50" i="5"/>
  <c r="BJ50" i="5"/>
  <c r="AR50" i="5"/>
  <c r="Z50" i="5"/>
  <c r="BY49" i="5"/>
  <c r="BE49" i="5"/>
  <c r="AM49" i="5"/>
  <c r="U49" i="5"/>
  <c r="BT48" i="5"/>
  <c r="BB48" i="5"/>
  <c r="AJ48" i="5"/>
  <c r="S48" i="5"/>
  <c r="BV47" i="5"/>
  <c r="BF47" i="5"/>
  <c r="AP47" i="5"/>
  <c r="Z47" i="5"/>
  <c r="CC46" i="5"/>
  <c r="BM46" i="5"/>
  <c r="AW46" i="5"/>
  <c r="AG46" i="5"/>
  <c r="Q46" i="5"/>
  <c r="CJ45" i="5"/>
  <c r="BT45" i="5"/>
  <c r="BD45" i="5"/>
  <c r="AN45" i="5"/>
  <c r="X45" i="5"/>
  <c r="CA44" i="5"/>
  <c r="BK44" i="5"/>
  <c r="AU44" i="5"/>
  <c r="AE44" i="5"/>
  <c r="O44" i="5"/>
  <c r="CH43" i="5"/>
  <c r="BR43" i="5"/>
  <c r="BB43" i="5"/>
  <c r="AL43" i="5"/>
  <c r="BS66" i="5"/>
  <c r="L66" i="5"/>
  <c r="AU65" i="5"/>
  <c r="BT64" i="5"/>
  <c r="N64" i="5"/>
  <c r="AV63" i="5"/>
  <c r="CE62" i="5"/>
  <c r="U62" i="5"/>
  <c r="AW61" i="5"/>
  <c r="CF60" i="5"/>
  <c r="BA60" i="5"/>
  <c r="V60" i="5"/>
  <c r="BW59" i="5"/>
  <c r="AR59" i="5"/>
  <c r="M59" i="5"/>
  <c r="BQ58" i="5"/>
  <c r="AI58" i="5"/>
  <c r="BH57" i="5"/>
  <c r="AI57" i="5"/>
  <c r="CD56" i="5"/>
  <c r="BF56" i="5"/>
  <c r="AC56" i="5"/>
  <c r="CI55" i="5"/>
  <c r="BF55" i="5"/>
  <c r="Z55" i="5"/>
  <c r="CK54" i="5"/>
  <c r="BH54" i="5"/>
  <c r="AF54" i="5"/>
  <c r="BU53" i="5"/>
  <c r="BB53" i="5"/>
  <c r="AI53" i="5"/>
  <c r="M53" i="5"/>
  <c r="CC52" i="5"/>
  <c r="BJ52" i="5"/>
  <c r="AQ52" i="5"/>
  <c r="X52" i="5"/>
  <c r="CK51" i="5"/>
  <c r="BR51" i="5"/>
  <c r="AY51" i="5"/>
  <c r="AF51" i="5"/>
  <c r="CA50" i="5"/>
  <c r="BI50" i="5"/>
  <c r="AQ50" i="5"/>
  <c r="Y50" i="5"/>
  <c r="BW49" i="5"/>
  <c r="BD49" i="5"/>
  <c r="AL49" i="5"/>
  <c r="T49" i="5"/>
  <c r="CK48" i="5"/>
  <c r="BS48" i="5"/>
  <c r="BA48" i="5"/>
  <c r="AH48" i="5"/>
  <c r="R48" i="5"/>
  <c r="CK47" i="5"/>
  <c r="BU47" i="5"/>
  <c r="BE47" i="5"/>
  <c r="AO47" i="5"/>
  <c r="Y47" i="5"/>
  <c r="CB46" i="5"/>
  <c r="BL46" i="5"/>
  <c r="AV46" i="5"/>
  <c r="AF46" i="5"/>
  <c r="P46" i="5"/>
  <c r="CI45" i="5"/>
  <c r="BS45" i="5"/>
  <c r="BC45" i="5"/>
  <c r="AM45" i="5"/>
  <c r="W45" i="5"/>
  <c r="BZ44" i="5"/>
  <c r="BJ44" i="5"/>
  <c r="AT44" i="5"/>
  <c r="AD44" i="5"/>
  <c r="N44" i="5"/>
  <c r="CG43" i="5"/>
  <c r="BQ43" i="5"/>
  <c r="BA43" i="5"/>
  <c r="AK43" i="5"/>
  <c r="BL66" i="5"/>
  <c r="AT65" i="5"/>
  <c r="BS64" i="5"/>
  <c r="L64" i="5"/>
  <c r="AU63" i="5"/>
  <c r="BX62" i="5"/>
  <c r="T62" i="5"/>
  <c r="AV61" i="5"/>
  <c r="CE60" i="5"/>
  <c r="AZ60" i="5"/>
  <c r="R60" i="5"/>
  <c r="BV59" i="5"/>
  <c r="AQ59" i="5"/>
  <c r="L59" i="5"/>
  <c r="BP58" i="5"/>
  <c r="AH58" i="5"/>
  <c r="BG57" i="5"/>
  <c r="AB57" i="5"/>
  <c r="CC56" i="5"/>
  <c r="AZ56" i="5"/>
  <c r="AB56" i="5"/>
  <c r="CH55" i="5"/>
  <c r="BB55" i="5"/>
  <c r="Y55" i="5"/>
  <c r="CJ54" i="5"/>
  <c r="BG54" i="5"/>
  <c r="AE54" i="5"/>
  <c r="BT53" i="5"/>
  <c r="BA53" i="5"/>
  <c r="AH53" i="5"/>
  <c r="L53" i="5"/>
  <c r="CB52" i="5"/>
  <c r="BI52" i="5"/>
  <c r="AP52" i="5"/>
  <c r="T52" i="5"/>
  <c r="CJ51" i="5"/>
  <c r="BQ51" i="5"/>
  <c r="AX51" i="5"/>
  <c r="AE51" i="5"/>
  <c r="BZ50" i="5"/>
  <c r="BH50" i="5"/>
  <c r="AP50" i="5"/>
  <c r="X50" i="5"/>
  <c r="BU49" i="5"/>
  <c r="BC49" i="5"/>
  <c r="AK49" i="5"/>
  <c r="S49" i="5"/>
  <c r="CJ48" i="5"/>
  <c r="BR48" i="5"/>
  <c r="AZ48" i="5"/>
  <c r="AG48" i="5"/>
  <c r="Q48" i="5"/>
  <c r="CJ47" i="5"/>
  <c r="BT47" i="5"/>
  <c r="BD47" i="5"/>
  <c r="AN47" i="5"/>
  <c r="X47" i="5"/>
  <c r="CA46" i="5"/>
  <c r="BK46" i="5"/>
  <c r="AU46" i="5"/>
  <c r="BI66" i="5"/>
  <c r="U65" i="5"/>
  <c r="BQ64" i="5"/>
  <c r="AS63" i="5"/>
  <c r="BR62" i="5"/>
  <c r="L62" i="5"/>
  <c r="AT61" i="5"/>
  <c r="CC60" i="5"/>
  <c r="AX60" i="5"/>
  <c r="P60" i="5"/>
  <c r="BT59" i="5"/>
  <c r="AO59" i="5"/>
  <c r="BK58" i="5"/>
  <c r="AF58" i="5"/>
  <c r="CJ57" i="5"/>
  <c r="BE57" i="5"/>
  <c r="W57" i="5"/>
  <c r="CA56" i="5"/>
  <c r="AX56" i="5"/>
  <c r="Z56" i="5"/>
  <c r="CF55" i="5"/>
  <c r="AZ55" i="5"/>
  <c r="W55" i="5"/>
  <c r="CC54" i="5"/>
  <c r="BE54" i="5"/>
  <c r="Z54" i="5"/>
  <c r="CK53" i="5"/>
  <c r="BR53" i="5"/>
  <c r="AY53" i="5"/>
  <c r="AC53" i="5"/>
  <c r="BZ52" i="5"/>
  <c r="BG52" i="5"/>
  <c r="AN52" i="5"/>
  <c r="R52" i="5"/>
  <c r="CH51" i="5"/>
  <c r="BO51" i="5"/>
  <c r="AV51" i="5"/>
  <c r="Z51" i="5"/>
  <c r="BX50" i="5"/>
  <c r="BF50" i="5"/>
  <c r="AN50" i="5"/>
  <c r="V50" i="5"/>
  <c r="CK49" i="5"/>
  <c r="BS49" i="5"/>
  <c r="BA49" i="5"/>
  <c r="AI49" i="5"/>
  <c r="Q49" i="5"/>
  <c r="CH48" i="5"/>
  <c r="BP48" i="5"/>
  <c r="AV48" i="5"/>
  <c r="AE48" i="5"/>
  <c r="O48" i="5"/>
  <c r="CH47" i="5"/>
  <c r="BR47" i="5"/>
  <c r="BB47" i="5"/>
  <c r="AL47" i="5"/>
  <c r="V47" i="5"/>
  <c r="BY46" i="5"/>
  <c r="BI46" i="5"/>
  <c r="AS46" i="5"/>
  <c r="AC46" i="5"/>
  <c r="M46" i="5"/>
  <c r="CF45" i="5"/>
  <c r="BP45" i="5"/>
  <c r="AZ45" i="5"/>
  <c r="AJ45" i="5"/>
  <c r="T45" i="5"/>
  <c r="AN66" i="5"/>
  <c r="BP65" i="5"/>
  <c r="P65" i="5"/>
  <c r="AR64" i="5"/>
  <c r="CA63" i="5"/>
  <c r="Q63" i="5"/>
  <c r="AZ62" i="5"/>
  <c r="CB61" i="5"/>
  <c r="AB61" i="5"/>
  <c r="BO60" i="5"/>
  <c r="AJ60" i="5"/>
  <c r="BI59" i="5"/>
  <c r="AA59" i="5"/>
  <c r="CE58" i="5"/>
  <c r="AZ58" i="5"/>
  <c r="U58" i="5"/>
  <c r="CE57" i="5"/>
  <c r="AQ57" i="5"/>
  <c r="L57" i="5"/>
  <c r="BV56" i="5"/>
  <c r="AS56" i="5"/>
  <c r="M56" i="5"/>
  <c r="BS55" i="5"/>
  <c r="AP55" i="5"/>
  <c r="R55" i="5"/>
  <c r="BU54" i="5"/>
  <c r="AR54" i="5"/>
  <c r="Q54" i="5"/>
  <c r="CF53" i="5"/>
  <c r="BM53" i="5"/>
  <c r="AQ53" i="5"/>
  <c r="X53" i="5"/>
  <c r="BU52" i="5"/>
  <c r="AY52" i="5"/>
  <c r="AF52" i="5"/>
  <c r="M52" i="5"/>
  <c r="CC51" i="5"/>
  <c r="BG51" i="5"/>
  <c r="AN51" i="5"/>
  <c r="U51" i="5"/>
  <c r="CK50" i="5"/>
  <c r="BS50" i="5"/>
  <c r="AZ50" i="5"/>
  <c r="AG50" i="5"/>
  <c r="O50" i="5"/>
  <c r="CF49" i="5"/>
  <c r="BN49" i="5"/>
  <c r="AV49" i="5"/>
  <c r="AD49" i="5"/>
  <c r="CA48" i="5"/>
  <c r="BI48" i="5"/>
  <c r="AQ48" i="5"/>
  <c r="Z48" i="5"/>
  <c r="CC47" i="5"/>
  <c r="BM47" i="5"/>
  <c r="AW47" i="5"/>
  <c r="AG47" i="5"/>
  <c r="Q47" i="5"/>
  <c r="CJ46" i="5"/>
  <c r="BT46" i="5"/>
  <c r="BD46" i="5"/>
  <c r="AN46" i="5"/>
  <c r="X46" i="5"/>
  <c r="CA45" i="5"/>
  <c r="BK45" i="5"/>
  <c r="AU45" i="5"/>
  <c r="AE45" i="5"/>
  <c r="O45" i="5"/>
  <c r="AM66" i="5"/>
  <c r="BO65" i="5"/>
  <c r="O65" i="5"/>
  <c r="AQ64" i="5"/>
  <c r="BQ63" i="5"/>
  <c r="P63" i="5"/>
  <c r="AY62" i="5"/>
  <c r="CA61" i="5"/>
  <c r="AA61" i="5"/>
  <c r="BN60" i="5"/>
  <c r="AI60" i="5"/>
  <c r="BH59" i="5"/>
  <c r="Z59" i="5"/>
  <c r="CD58" i="5"/>
  <c r="AY58" i="5"/>
  <c r="T58" i="5"/>
  <c r="BU57" i="5"/>
  <c r="AP57" i="5"/>
  <c r="BP56" i="5"/>
  <c r="AR56" i="5"/>
  <c r="L56" i="5"/>
  <c r="BR55" i="5"/>
  <c r="AO55" i="5"/>
  <c r="Q55" i="5"/>
  <c r="BT54" i="5"/>
  <c r="AQ54" i="5"/>
  <c r="P54" i="5"/>
  <c r="CE53" i="5"/>
  <c r="BI53" i="5"/>
  <c r="AP53" i="5"/>
  <c r="P66" i="5"/>
  <c r="Q65" i="5"/>
  <c r="N63" i="5"/>
  <c r="CI60" i="5"/>
  <c r="AK60" i="5"/>
  <c r="BU59" i="5"/>
  <c r="X59" i="5"/>
  <c r="BI58" i="5"/>
  <c r="M58" i="5"/>
  <c r="AR57" i="5"/>
  <c r="CB56" i="5"/>
  <c r="AH56" i="5"/>
  <c r="BV55" i="5"/>
  <c r="AK55" i="5"/>
  <c r="BY54" i="5"/>
  <c r="AA54" i="5"/>
  <c r="CC53" i="5"/>
  <c r="AW53" i="5"/>
  <c r="T53" i="5"/>
  <c r="BX52" i="5"/>
  <c r="AV52" i="5"/>
  <c r="Q52" i="5"/>
  <c r="CA51" i="5"/>
  <c r="AW51" i="5"/>
  <c r="T51" i="5"/>
  <c r="CC50" i="5"/>
  <c r="BB50" i="5"/>
  <c r="AB50" i="5"/>
  <c r="CH49" i="5"/>
  <c r="BJ49" i="5"/>
  <c r="AG49" i="5"/>
  <c r="BN48" i="5"/>
  <c r="AO48" i="5"/>
  <c r="P48" i="5"/>
  <c r="CB47" i="5"/>
  <c r="BG47" i="5"/>
  <c r="AH47" i="5"/>
  <c r="L47" i="5"/>
  <c r="BV46" i="5"/>
  <c r="AZ46" i="5"/>
  <c r="AB46" i="5"/>
  <c r="BV45" i="5"/>
  <c r="AY45" i="5"/>
  <c r="AD45" i="5"/>
  <c r="BX44" i="5"/>
  <c r="BF44" i="5"/>
  <c r="AN44" i="5"/>
  <c r="V44" i="5"/>
  <c r="BU43" i="5"/>
  <c r="BC43" i="5"/>
  <c r="AI43" i="5"/>
  <c r="S43" i="5"/>
  <c r="BV42" i="5"/>
  <c r="BF42" i="5"/>
  <c r="AP42" i="5"/>
  <c r="Z42" i="5"/>
  <c r="CC41" i="5"/>
  <c r="BM41" i="5"/>
  <c r="AW41" i="5"/>
  <c r="AG41" i="5"/>
  <c r="Q41" i="5"/>
  <c r="CJ40" i="5"/>
  <c r="BT40" i="5"/>
  <c r="BD40" i="5"/>
  <c r="AN40" i="5"/>
  <c r="X40" i="5"/>
  <c r="CA39" i="5"/>
  <c r="BK39" i="5"/>
  <c r="AU39" i="5"/>
  <c r="N66" i="5"/>
  <c r="N65" i="5"/>
  <c r="M63" i="5"/>
  <c r="CE61" i="5"/>
  <c r="CH60" i="5"/>
  <c r="AH60" i="5"/>
  <c r="BS59" i="5"/>
  <c r="W59" i="5"/>
  <c r="BH58" i="5"/>
  <c r="L58" i="5"/>
  <c r="AO57" i="5"/>
  <c r="BZ56" i="5"/>
  <c r="AG56" i="5"/>
  <c r="BU55" i="5"/>
  <c r="AG55" i="5"/>
  <c r="BN54" i="5"/>
  <c r="Y54" i="5"/>
  <c r="BY53" i="5"/>
  <c r="AS53" i="5"/>
  <c r="S53" i="5"/>
  <c r="BW52" i="5"/>
  <c r="AU52" i="5"/>
  <c r="P52" i="5"/>
  <c r="BW51" i="5"/>
  <c r="AU51" i="5"/>
  <c r="S51" i="5"/>
  <c r="BY50" i="5"/>
  <c r="AX50" i="5"/>
  <c r="AA50" i="5"/>
  <c r="CG49" i="5"/>
  <c r="BI49" i="5"/>
  <c r="AF49" i="5"/>
  <c r="BL48" i="5"/>
  <c r="AN48" i="5"/>
  <c r="N48" i="5"/>
  <c r="CA47" i="5"/>
  <c r="BC47" i="5"/>
  <c r="AF47" i="5"/>
  <c r="BU46" i="5"/>
  <c r="AY46" i="5"/>
  <c r="AA46" i="5"/>
  <c r="BU45" i="5"/>
  <c r="AX45" i="5"/>
  <c r="AC45" i="5"/>
  <c r="BW44" i="5"/>
  <c r="BE44" i="5"/>
  <c r="AM44" i="5"/>
  <c r="U44" i="5"/>
  <c r="BT43" i="5"/>
  <c r="AZ43" i="5"/>
  <c r="AH43" i="5"/>
  <c r="R43" i="5"/>
  <c r="CK42" i="5"/>
  <c r="BU42" i="5"/>
  <c r="BE42" i="5"/>
  <c r="AO42" i="5"/>
  <c r="Y42" i="5"/>
  <c r="CB41" i="5"/>
  <c r="BL41" i="5"/>
  <c r="AV41" i="5"/>
  <c r="AF41" i="5"/>
  <c r="P41" i="5"/>
  <c r="CI40" i="5"/>
  <c r="BS40" i="5"/>
  <c r="BC40" i="5"/>
  <c r="AM40" i="5"/>
  <c r="W40" i="5"/>
  <c r="BZ39" i="5"/>
  <c r="BJ39" i="5"/>
  <c r="AT39" i="5"/>
  <c r="CD63" i="5"/>
  <c r="CH62" i="5"/>
  <c r="CC61" i="5"/>
  <c r="CD60" i="5"/>
  <c r="AG60" i="5"/>
  <c r="BR59" i="5"/>
  <c r="V59" i="5"/>
  <c r="BA58" i="5"/>
  <c r="CK57" i="5"/>
  <c r="AN57" i="5"/>
  <c r="BY56" i="5"/>
  <c r="AF56" i="5"/>
  <c r="BT55" i="5"/>
  <c r="X55" i="5"/>
  <c r="BM54" i="5"/>
  <c r="X54" i="5"/>
  <c r="BX53" i="5"/>
  <c r="AR53" i="5"/>
  <c r="R53" i="5"/>
  <c r="BV52" i="5"/>
  <c r="AT52" i="5"/>
  <c r="O52" i="5"/>
  <c r="BV51" i="5"/>
  <c r="AQ51" i="5"/>
  <c r="R51" i="5"/>
  <c r="BW50" i="5"/>
  <c r="AW50" i="5"/>
  <c r="W50" i="5"/>
  <c r="CE49" i="5"/>
  <c r="BG49" i="5"/>
  <c r="AE49" i="5"/>
  <c r="BK48" i="5"/>
  <c r="AM48" i="5"/>
  <c r="M48" i="5"/>
  <c r="BZ47" i="5"/>
  <c r="BA47" i="5"/>
  <c r="AE47" i="5"/>
  <c r="BS46" i="5"/>
  <c r="AX46" i="5"/>
  <c r="Z46" i="5"/>
  <c r="BR45" i="5"/>
  <c r="AW45" i="5"/>
  <c r="AB45" i="5"/>
  <c r="BV44" i="5"/>
  <c r="BD44" i="5"/>
  <c r="AL44" i="5"/>
  <c r="T44" i="5"/>
  <c r="CK43" i="5"/>
  <c r="BS43" i="5"/>
  <c r="AY43" i="5"/>
  <c r="AG43" i="5"/>
  <c r="Q43" i="5"/>
  <c r="CJ42" i="5"/>
  <c r="BT42" i="5"/>
  <c r="BD42" i="5"/>
  <c r="AN42" i="5"/>
  <c r="X42" i="5"/>
  <c r="CA41" i="5"/>
  <c r="BK41" i="5"/>
  <c r="AU41" i="5"/>
  <c r="AE41" i="5"/>
  <c r="O41" i="5"/>
  <c r="CH40" i="5"/>
  <c r="BR40" i="5"/>
  <c r="BB40" i="5"/>
  <c r="AL40" i="5"/>
  <c r="V40" i="5"/>
  <c r="BY39" i="5"/>
  <c r="BI39" i="5"/>
  <c r="AS39" i="5"/>
  <c r="BX66" i="5"/>
  <c r="BZ65" i="5"/>
  <c r="CG64" i="5"/>
  <c r="CB63" i="5"/>
  <c r="BV62" i="5"/>
  <c r="BY61" i="5"/>
  <c r="CA60" i="5"/>
  <c r="AE60" i="5"/>
  <c r="BJ59" i="5"/>
  <c r="AW58" i="5"/>
  <c r="CH57" i="5"/>
  <c r="AL57" i="5"/>
  <c r="BW56" i="5"/>
  <c r="AA56" i="5"/>
  <c r="BP55" i="5"/>
  <c r="U55" i="5"/>
  <c r="BK54" i="5"/>
  <c r="R54" i="5"/>
  <c r="BS53" i="5"/>
  <c r="AN53" i="5"/>
  <c r="BP52" i="5"/>
  <c r="AO52" i="5"/>
  <c r="L52" i="5"/>
  <c r="BT51" i="5"/>
  <c r="AO51" i="5"/>
  <c r="P51" i="5"/>
  <c r="BU50" i="5"/>
  <c r="AU50" i="5"/>
  <c r="R50" i="5"/>
  <c r="CC49" i="5"/>
  <c r="AZ49" i="5"/>
  <c r="AA49" i="5"/>
  <c r="CI48" i="5"/>
  <c r="BH48" i="5"/>
  <c r="AK48" i="5"/>
  <c r="BX47" i="5"/>
  <c r="AY47" i="5"/>
  <c r="AC47" i="5"/>
  <c r="BQ46" i="5"/>
  <c r="AR46" i="5"/>
  <c r="W46" i="5"/>
  <c r="BO45" i="5"/>
  <c r="AT45" i="5"/>
  <c r="Z45" i="5"/>
  <c r="BT44" i="5"/>
  <c r="BB44" i="5"/>
  <c r="AJ44" i="5"/>
  <c r="R44" i="5"/>
  <c r="CI43" i="5"/>
  <c r="BO43" i="5"/>
  <c r="AW43" i="5"/>
  <c r="AE43" i="5"/>
  <c r="O43" i="5"/>
  <c r="CH42" i="5"/>
  <c r="BR42" i="5"/>
  <c r="BB42" i="5"/>
  <c r="AL42" i="5"/>
  <c r="V42" i="5"/>
  <c r="BY41" i="5"/>
  <c r="BI41" i="5"/>
  <c r="AS41" i="5"/>
  <c r="AC41" i="5"/>
  <c r="M41" i="5"/>
  <c r="CF40" i="5"/>
  <c r="BP40" i="5"/>
  <c r="AZ40" i="5"/>
  <c r="AJ40" i="5"/>
  <c r="T40" i="5"/>
  <c r="BW66" i="5"/>
  <c r="BS65" i="5"/>
  <c r="BZ64" i="5"/>
  <c r="BO63" i="5"/>
  <c r="BD62" i="5"/>
  <c r="BX61" i="5"/>
  <c r="BZ60" i="5"/>
  <c r="AD60" i="5"/>
  <c r="BG59" i="5"/>
  <c r="AV58" i="5"/>
  <c r="CG57" i="5"/>
  <c r="AK57" i="5"/>
  <c r="BO56" i="5"/>
  <c r="T56" i="5"/>
  <c r="BO55" i="5"/>
  <c r="T55" i="5"/>
  <c r="BJ54" i="5"/>
  <c r="O54" i="5"/>
  <c r="BQ53" i="5"/>
  <c r="AM53" i="5"/>
  <c r="BO52" i="5"/>
  <c r="AJ52" i="5"/>
  <c r="BP51" i="5"/>
  <c r="AM51" i="5"/>
  <c r="O51" i="5"/>
  <c r="BT50" i="5"/>
  <c r="AT50" i="5"/>
  <c r="Q50" i="5"/>
  <c r="CB49" i="5"/>
  <c r="AY49" i="5"/>
  <c r="Y49" i="5"/>
  <c r="CG48" i="5"/>
  <c r="BG48" i="5"/>
  <c r="AF48" i="5"/>
  <c r="BW47" i="5"/>
  <c r="AX47" i="5"/>
  <c r="AB47" i="5"/>
  <c r="BP46" i="5"/>
  <c r="AQ46" i="5"/>
  <c r="V46" i="5"/>
  <c r="CK45" i="5"/>
  <c r="BN45" i="5"/>
  <c r="AS45" i="5"/>
  <c r="Y45" i="5"/>
  <c r="CK44" i="5"/>
  <c r="BS44" i="5"/>
  <c r="BA44" i="5"/>
  <c r="AI44" i="5"/>
  <c r="Q44" i="5"/>
  <c r="CF43" i="5"/>
  <c r="BN43" i="5"/>
  <c r="AV43" i="5"/>
  <c r="AD43" i="5"/>
  <c r="N43" i="5"/>
  <c r="CG42" i="5"/>
  <c r="BQ42" i="5"/>
  <c r="BA42" i="5"/>
  <c r="AK42" i="5"/>
  <c r="U42" i="5"/>
  <c r="BX41" i="5"/>
  <c r="BH41" i="5"/>
  <c r="AR41" i="5"/>
  <c r="AB41" i="5"/>
  <c r="L41" i="5"/>
  <c r="CE40" i="5"/>
  <c r="BO40" i="5"/>
  <c r="AY40" i="5"/>
  <c r="AI40" i="5"/>
  <c r="S40" i="5"/>
  <c r="BV39" i="5"/>
  <c r="BF39" i="5"/>
  <c r="AV66" i="5"/>
  <c r="AY65" i="5"/>
  <c r="BA64" i="5"/>
  <c r="AX63" i="5"/>
  <c r="AR62" i="5"/>
  <c r="AS61" i="5"/>
  <c r="BK60" i="5"/>
  <c r="AT59" i="5"/>
  <c r="CC58" i="5"/>
  <c r="AE58" i="5"/>
  <c r="BR57" i="5"/>
  <c r="T57" i="5"/>
  <c r="BH56" i="5"/>
  <c r="AY55" i="5"/>
  <c r="AT54" i="5"/>
  <c r="BH53" i="5"/>
  <c r="AB53" i="5"/>
  <c r="BH52" i="5"/>
  <c r="AE52" i="5"/>
  <c r="BK51" i="5"/>
  <c r="AI51" i="5"/>
  <c r="BM50" i="5"/>
  <c r="AL50" i="5"/>
  <c r="L50" i="5"/>
  <c r="BR49" i="5"/>
  <c r="AT49" i="5"/>
  <c r="R49" i="5"/>
  <c r="BZ48" i="5"/>
  <c r="BC48" i="5"/>
  <c r="AA48" i="5"/>
  <c r="BO47" i="5"/>
  <c r="AS47" i="5"/>
  <c r="T47" i="5"/>
  <c r="CG46" i="5"/>
  <c r="BH46" i="5"/>
  <c r="AL46" i="5"/>
  <c r="R46" i="5"/>
  <c r="CD45" i="5"/>
  <c r="BI45" i="5"/>
  <c r="AO45" i="5"/>
  <c r="R45" i="5"/>
  <c r="CG44" i="5"/>
  <c r="BO44" i="5"/>
  <c r="AW44" i="5"/>
  <c r="AC44" i="5"/>
  <c r="CB43" i="5"/>
  <c r="BJ43" i="5"/>
  <c r="AR43" i="5"/>
  <c r="Z43" i="5"/>
  <c r="CC42" i="5"/>
  <c r="BM42" i="5"/>
  <c r="AW42" i="5"/>
  <c r="AG42" i="5"/>
  <c r="Q42" i="5"/>
  <c r="CJ41" i="5"/>
  <c r="BT41" i="5"/>
  <c r="BD41" i="5"/>
  <c r="AN41" i="5"/>
  <c r="X41" i="5"/>
  <c r="CA40" i="5"/>
  <c r="BK40" i="5"/>
  <c r="AU40" i="5"/>
  <c r="AE40" i="5"/>
  <c r="O40" i="5"/>
  <c r="CH39" i="5"/>
  <c r="BR39" i="5"/>
  <c r="BB39" i="5"/>
  <c r="AO64" i="5"/>
  <c r="BB62" i="5"/>
  <c r="O61" i="5"/>
  <c r="U59" i="5"/>
  <c r="AB58" i="5"/>
  <c r="V57" i="5"/>
  <c r="AT56" i="5"/>
  <c r="AX55" i="5"/>
  <c r="BL54" i="5"/>
  <c r="CI53" i="5"/>
  <c r="AK53" i="5"/>
  <c r="CA52" i="5"/>
  <c r="AD52" i="5"/>
  <c r="BU51" i="5"/>
  <c r="Y51" i="5"/>
  <c r="BP50" i="5"/>
  <c r="AD50" i="5"/>
  <c r="BQ49" i="5"/>
  <c r="AC49" i="5"/>
  <c r="BW48" i="5"/>
  <c r="AC48" i="5"/>
  <c r="CE47" i="5"/>
  <c r="AR47" i="5"/>
  <c r="BE46" i="5"/>
  <c r="T46" i="5"/>
  <c r="BX45" i="5"/>
  <c r="AL45" i="5"/>
  <c r="BL44" i="5"/>
  <c r="AG44" i="5"/>
  <c r="BI43" i="5"/>
  <c r="AF43" i="5"/>
  <c r="BO42" i="5"/>
  <c r="AR42" i="5"/>
  <c r="P42" i="5"/>
  <c r="BZ41" i="5"/>
  <c r="BA41" i="5"/>
  <c r="Z41" i="5"/>
  <c r="BJ40" i="5"/>
  <c r="AK40" i="5"/>
  <c r="L40" i="5"/>
  <c r="BU39" i="5"/>
  <c r="AY39" i="5"/>
  <c r="AF39" i="5"/>
  <c r="P39" i="5"/>
  <c r="CI38" i="5"/>
  <c r="BS38" i="5"/>
  <c r="BC38" i="5"/>
  <c r="AM38" i="5"/>
  <c r="W38" i="5"/>
  <c r="BZ37" i="5"/>
  <c r="BJ37" i="5"/>
  <c r="AT37" i="5"/>
  <c r="AD37" i="5"/>
  <c r="N37" i="5"/>
  <c r="CG36" i="5"/>
  <c r="BQ36" i="5"/>
  <c r="BA36" i="5"/>
  <c r="AK36" i="5"/>
  <c r="U36" i="5"/>
  <c r="BX35" i="5"/>
  <c r="BH35" i="5"/>
  <c r="AR35" i="5"/>
  <c r="AB35" i="5"/>
  <c r="L35" i="5"/>
  <c r="CE34" i="5"/>
  <c r="BO34" i="5"/>
  <c r="AY34" i="5"/>
  <c r="AI34" i="5"/>
  <c r="S34" i="5"/>
  <c r="BV33" i="5"/>
  <c r="BF33" i="5"/>
  <c r="AP33" i="5"/>
  <c r="Z33" i="5"/>
  <c r="CC32" i="5"/>
  <c r="BM32" i="5"/>
  <c r="AW32" i="5"/>
  <c r="AG32" i="5"/>
  <c r="Q32" i="5"/>
  <c r="CJ31" i="5"/>
  <c r="BT31" i="5"/>
  <c r="BD31" i="5"/>
  <c r="AN31" i="5"/>
  <c r="X31" i="5"/>
  <c r="CA30" i="5"/>
  <c r="BK30" i="5"/>
  <c r="AU30" i="5"/>
  <c r="AE30" i="5"/>
  <c r="O30" i="5"/>
  <c r="CH29" i="5"/>
  <c r="BR29" i="5"/>
  <c r="BB29" i="5"/>
  <c r="AL29" i="5"/>
  <c r="V29" i="5"/>
  <c r="BQ65" i="5"/>
  <c r="X64" i="5"/>
  <c r="BA62" i="5"/>
  <c r="N61" i="5"/>
  <c r="S58" i="5"/>
  <c r="U57" i="5"/>
  <c r="AI56" i="5"/>
  <c r="AW55" i="5"/>
  <c r="BF54" i="5"/>
  <c r="CH53" i="5"/>
  <c r="AG53" i="5"/>
  <c r="BY52" i="5"/>
  <c r="AC52" i="5"/>
  <c r="BN51" i="5"/>
  <c r="X51" i="5"/>
  <c r="BN50" i="5"/>
  <c r="AC50" i="5"/>
  <c r="BP49" i="5"/>
  <c r="X49" i="5"/>
  <c r="BV48" i="5"/>
  <c r="AB48" i="5"/>
  <c r="CD47" i="5"/>
  <c r="AQ47" i="5"/>
  <c r="CK46" i="5"/>
  <c r="BC46" i="5"/>
  <c r="S46" i="5"/>
  <c r="BW45" i="5"/>
  <c r="AK45" i="5"/>
  <c r="CJ44" i="5"/>
  <c r="BI44" i="5"/>
  <c r="AF44" i="5"/>
  <c r="BH43" i="5"/>
  <c r="AC43" i="5"/>
  <c r="BN42" i="5"/>
  <c r="AQ42" i="5"/>
  <c r="O42" i="5"/>
  <c r="BW41" i="5"/>
  <c r="AZ41" i="5"/>
  <c r="Y41" i="5"/>
  <c r="CK40" i="5"/>
  <c r="BI40" i="5"/>
  <c r="AH40" i="5"/>
  <c r="BT39" i="5"/>
  <c r="AX39" i="5"/>
  <c r="AE39" i="5"/>
  <c r="O39" i="5"/>
  <c r="CH38" i="5"/>
  <c r="BR38" i="5"/>
  <c r="BB38" i="5"/>
  <c r="AL38" i="5"/>
  <c r="V38" i="5"/>
  <c r="BY37" i="5"/>
  <c r="BI37" i="5"/>
  <c r="AS37" i="5"/>
  <c r="AC37" i="5"/>
  <c r="M37" i="5"/>
  <c r="CF36" i="5"/>
  <c r="BP36" i="5"/>
  <c r="AZ36" i="5"/>
  <c r="AJ36" i="5"/>
  <c r="T36" i="5"/>
  <c r="BW35" i="5"/>
  <c r="BG35" i="5"/>
  <c r="AQ35" i="5"/>
  <c r="AA35" i="5"/>
  <c r="CD34" i="5"/>
  <c r="BN34" i="5"/>
  <c r="AX34" i="5"/>
  <c r="AH34" i="5"/>
  <c r="R34" i="5"/>
  <c r="CK33" i="5"/>
  <c r="BU33" i="5"/>
  <c r="BE33" i="5"/>
  <c r="AO33" i="5"/>
  <c r="Y33" i="5"/>
  <c r="CB32" i="5"/>
  <c r="BL32" i="5"/>
  <c r="AV32" i="5"/>
  <c r="AF32" i="5"/>
  <c r="P32" i="5"/>
  <c r="CI31" i="5"/>
  <c r="BS31" i="5"/>
  <c r="BC31" i="5"/>
  <c r="AM31" i="5"/>
  <c r="W31" i="5"/>
  <c r="BZ30" i="5"/>
  <c r="BJ30" i="5"/>
  <c r="AT30" i="5"/>
  <c r="AD30" i="5"/>
  <c r="N30" i="5"/>
  <c r="CG29" i="5"/>
  <c r="BQ29" i="5"/>
  <c r="BA29" i="5"/>
  <c r="AK29" i="5"/>
  <c r="U29" i="5"/>
  <c r="BN65" i="5"/>
  <c r="W64" i="5"/>
  <c r="AP62" i="5"/>
  <c r="CB60" i="5"/>
  <c r="CK59" i="5"/>
  <c r="CG58" i="5"/>
  <c r="R58" i="5"/>
  <c r="S57" i="5"/>
  <c r="AE56" i="5"/>
  <c r="AQ55" i="5"/>
  <c r="BD54" i="5"/>
  <c r="CG53" i="5"/>
  <c r="AA53" i="5"/>
  <c r="BT52" i="5"/>
  <c r="AB52" i="5"/>
  <c r="BM51" i="5"/>
  <c r="W51" i="5"/>
  <c r="BL50" i="5"/>
  <c r="T50" i="5"/>
  <c r="BO49" i="5"/>
  <c r="W49" i="5"/>
  <c r="BU48" i="5"/>
  <c r="Y48" i="5"/>
  <c r="BY47" i="5"/>
  <c r="AM47" i="5"/>
  <c r="CI46" i="5"/>
  <c r="BB46" i="5"/>
  <c r="O46" i="5"/>
  <c r="BQ45" i="5"/>
  <c r="AI45" i="5"/>
  <c r="CI44" i="5"/>
  <c r="BH44" i="5"/>
  <c r="AB44" i="5"/>
  <c r="CJ43" i="5"/>
  <c r="BG43" i="5"/>
  <c r="AB43" i="5"/>
  <c r="BL42" i="5"/>
  <c r="AM42" i="5"/>
  <c r="N42" i="5"/>
  <c r="BV41" i="5"/>
  <c r="AY41" i="5"/>
  <c r="W41" i="5"/>
  <c r="CG40" i="5"/>
  <c r="BH40" i="5"/>
  <c r="AG40" i="5"/>
  <c r="BS39" i="5"/>
  <c r="AW39" i="5"/>
  <c r="AD39" i="5"/>
  <c r="N39" i="5"/>
  <c r="CG38" i="5"/>
  <c r="BQ38" i="5"/>
  <c r="BA38" i="5"/>
  <c r="AK38" i="5"/>
  <c r="U38" i="5"/>
  <c r="BX37" i="5"/>
  <c r="BH37" i="5"/>
  <c r="AR37" i="5"/>
  <c r="AB37" i="5"/>
  <c r="L37" i="5"/>
  <c r="CE36" i="5"/>
  <c r="BO36" i="5"/>
  <c r="AY36" i="5"/>
  <c r="AI36" i="5"/>
  <c r="S36" i="5"/>
  <c r="BV35" i="5"/>
  <c r="BF35" i="5"/>
  <c r="AP35" i="5"/>
  <c r="Z35" i="5"/>
  <c r="CC34" i="5"/>
  <c r="BM34" i="5"/>
  <c r="AW34" i="5"/>
  <c r="AG34" i="5"/>
  <c r="Q34" i="5"/>
  <c r="CJ33" i="5"/>
  <c r="BT33" i="5"/>
  <c r="BD33" i="5"/>
  <c r="AN33" i="5"/>
  <c r="X33" i="5"/>
  <c r="CA32" i="5"/>
  <c r="BK32" i="5"/>
  <c r="AU32" i="5"/>
  <c r="AE32" i="5"/>
  <c r="O32" i="5"/>
  <c r="CH31" i="5"/>
  <c r="BR31" i="5"/>
  <c r="BB31" i="5"/>
  <c r="AL31" i="5"/>
  <c r="V31" i="5"/>
  <c r="BY30" i="5"/>
  <c r="BI30" i="5"/>
  <c r="AS30" i="5"/>
  <c r="AC30" i="5"/>
  <c r="M30" i="5"/>
  <c r="CF29" i="5"/>
  <c r="BP29" i="5"/>
  <c r="AZ29" i="5"/>
  <c r="AJ29" i="5"/>
  <c r="T29" i="5"/>
  <c r="BM65" i="5"/>
  <c r="V64" i="5"/>
  <c r="AO62" i="5"/>
  <c r="BP60" i="5"/>
  <c r="CJ59" i="5"/>
  <c r="CF58" i="5"/>
  <c r="N58" i="5"/>
  <c r="S56" i="5"/>
  <c r="AN55" i="5"/>
  <c r="AU54" i="5"/>
  <c r="CD53" i="5"/>
  <c r="Z53" i="5"/>
  <c r="BN52" i="5"/>
  <c r="AA52" i="5"/>
  <c r="BL51" i="5"/>
  <c r="V51" i="5"/>
  <c r="BK50" i="5"/>
  <c r="P50" i="5"/>
  <c r="BM49" i="5"/>
  <c r="V49" i="5"/>
  <c r="BQ48" i="5"/>
  <c r="X48" i="5"/>
  <c r="BS47" i="5"/>
  <c r="AK47" i="5"/>
  <c r="CH46" i="5"/>
  <c r="BA46" i="5"/>
  <c r="N46" i="5"/>
  <c r="BM45" i="5"/>
  <c r="AH45" i="5"/>
  <c r="CH44" i="5"/>
  <c r="BG44" i="5"/>
  <c r="AA44" i="5"/>
  <c r="CE43" i="5"/>
  <c r="BF43" i="5"/>
  <c r="AA43" i="5"/>
  <c r="BK42" i="5"/>
  <c r="AJ42" i="5"/>
  <c r="M42" i="5"/>
  <c r="BU41" i="5"/>
  <c r="AX41" i="5"/>
  <c r="V41" i="5"/>
  <c r="CD40" i="5"/>
  <c r="BG40" i="5"/>
  <c r="AF40" i="5"/>
  <c r="BQ39" i="5"/>
  <c r="AV39" i="5"/>
  <c r="AC39" i="5"/>
  <c r="M39" i="5"/>
  <c r="CF38" i="5"/>
  <c r="BP38" i="5"/>
  <c r="AZ38" i="5"/>
  <c r="AJ38" i="5"/>
  <c r="T38" i="5"/>
  <c r="BW37" i="5"/>
  <c r="BG37" i="5"/>
  <c r="AQ37" i="5"/>
  <c r="AA37" i="5"/>
  <c r="CD36" i="5"/>
  <c r="BN36" i="5"/>
  <c r="AX36" i="5"/>
  <c r="AH36" i="5"/>
  <c r="R36" i="5"/>
  <c r="CK35" i="5"/>
  <c r="BU35" i="5"/>
  <c r="BE35" i="5"/>
  <c r="AO35" i="5"/>
  <c r="Y35" i="5"/>
  <c r="CB34" i="5"/>
  <c r="BL34" i="5"/>
  <c r="AV34" i="5"/>
  <c r="AF34" i="5"/>
  <c r="P34" i="5"/>
  <c r="CI33" i="5"/>
  <c r="BS33" i="5"/>
  <c r="BC33" i="5"/>
  <c r="AM33" i="5"/>
  <c r="W33" i="5"/>
  <c r="BZ32" i="5"/>
  <c r="BJ32" i="5"/>
  <c r="AT32" i="5"/>
  <c r="AD32" i="5"/>
  <c r="N32" i="5"/>
  <c r="CG31" i="5"/>
  <c r="BQ31" i="5"/>
  <c r="BA31" i="5"/>
  <c r="AK31" i="5"/>
  <c r="U31" i="5"/>
  <c r="BX30" i="5"/>
  <c r="BH30" i="5"/>
  <c r="AR30" i="5"/>
  <c r="AB30" i="5"/>
  <c r="L30" i="5"/>
  <c r="CE29" i="5"/>
  <c r="BO29" i="5"/>
  <c r="AY29" i="5"/>
  <c r="AI29" i="5"/>
  <c r="S29" i="5"/>
  <c r="AX65" i="5"/>
  <c r="CC63" i="5"/>
  <c r="AN62" i="5"/>
  <c r="BM60" i="5"/>
  <c r="CI59" i="5"/>
  <c r="CB58" i="5"/>
  <c r="CI57" i="5"/>
  <c r="R56" i="5"/>
  <c r="AM55" i="5"/>
  <c r="AS54" i="5"/>
  <c r="BW53" i="5"/>
  <c r="Y53" i="5"/>
  <c r="BM52" i="5"/>
  <c r="Z52" i="5"/>
  <c r="BF51" i="5"/>
  <c r="Q51" i="5"/>
  <c r="BG50" i="5"/>
  <c r="N50" i="5"/>
  <c r="BL49" i="5"/>
  <c r="P49" i="5"/>
  <c r="BJ48" i="5"/>
  <c r="W48" i="5"/>
  <c r="BQ47" i="5"/>
  <c r="AJ47" i="5"/>
  <c r="CF46" i="5"/>
  <c r="AT46" i="5"/>
  <c r="L46" i="5"/>
  <c r="BL45" i="5"/>
  <c r="AG45" i="5"/>
  <c r="CF44" i="5"/>
  <c r="BC44" i="5"/>
  <c r="Z44" i="5"/>
  <c r="CD43" i="5"/>
  <c r="BE43" i="5"/>
  <c r="Y43" i="5"/>
  <c r="CI42" i="5"/>
  <c r="BJ42" i="5"/>
  <c r="AI42" i="5"/>
  <c r="L42" i="5"/>
  <c r="BS41" i="5"/>
  <c r="AT41" i="5"/>
  <c r="U41" i="5"/>
  <c r="CC40" i="5"/>
  <c r="BF40" i="5"/>
  <c r="AD40" i="5"/>
  <c r="BP39" i="5"/>
  <c r="AR39" i="5"/>
  <c r="AB39" i="5"/>
  <c r="L39" i="5"/>
  <c r="CE38" i="5"/>
  <c r="BO38" i="5"/>
  <c r="AY38" i="5"/>
  <c r="AI38" i="5"/>
  <c r="S38" i="5"/>
  <c r="BV37" i="5"/>
  <c r="BF37" i="5"/>
  <c r="AP37" i="5"/>
  <c r="Z37" i="5"/>
  <c r="CC36" i="5"/>
  <c r="BM36" i="5"/>
  <c r="AW36" i="5"/>
  <c r="AG36" i="5"/>
  <c r="Q36" i="5"/>
  <c r="CJ35" i="5"/>
  <c r="BT35" i="5"/>
  <c r="BD35" i="5"/>
  <c r="AN35" i="5"/>
  <c r="X35" i="5"/>
  <c r="CA34" i="5"/>
  <c r="BK34" i="5"/>
  <c r="AU34" i="5"/>
  <c r="AE34" i="5"/>
  <c r="O34" i="5"/>
  <c r="CH33" i="5"/>
  <c r="BR33" i="5"/>
  <c r="BB33" i="5"/>
  <c r="AL33" i="5"/>
  <c r="V33" i="5"/>
  <c r="BY32" i="5"/>
  <c r="BI32" i="5"/>
  <c r="AS32" i="5"/>
  <c r="AC32" i="5"/>
  <c r="M32" i="5"/>
  <c r="CF31" i="5"/>
  <c r="BP31" i="5"/>
  <c r="AZ31" i="5"/>
  <c r="AJ31" i="5"/>
  <c r="T31" i="5"/>
  <c r="BW30" i="5"/>
  <c r="BG30" i="5"/>
  <c r="AQ30" i="5"/>
  <c r="AA30" i="5"/>
  <c r="CD29" i="5"/>
  <c r="BN29" i="5"/>
  <c r="AX29" i="5"/>
  <c r="AH29" i="5"/>
  <c r="R29" i="5"/>
  <c r="AW65" i="5"/>
  <c r="BN63" i="5"/>
  <c r="Z62" i="5"/>
  <c r="BL60" i="5"/>
  <c r="BY59" i="5"/>
  <c r="CA58" i="5"/>
  <c r="CF57" i="5"/>
  <c r="N56" i="5"/>
  <c r="AL55" i="5"/>
  <c r="AP54" i="5"/>
  <c r="BP53" i="5"/>
  <c r="W53" i="5"/>
  <c r="BL52" i="5"/>
  <c r="S52" i="5"/>
  <c r="BE51" i="5"/>
  <c r="BJ66" i="5"/>
  <c r="R65" i="5"/>
  <c r="AR63" i="5"/>
  <c r="BG61" i="5"/>
  <c r="AT60" i="5"/>
  <c r="BA59" i="5"/>
  <c r="BJ58" i="5"/>
  <c r="BP57" i="5"/>
  <c r="BN56" i="5"/>
  <c r="CK55" i="5"/>
  <c r="AH54" i="5"/>
  <c r="BF53" i="5"/>
  <c r="AZ52" i="5"/>
  <c r="BA51" i="5"/>
  <c r="CJ50" i="5"/>
  <c r="AS50" i="5"/>
  <c r="AU49" i="5"/>
  <c r="AU48" i="5"/>
  <c r="BJ47" i="5"/>
  <c r="U47" i="5"/>
  <c r="BW46" i="5"/>
  <c r="AJ46" i="5"/>
  <c r="CH45" i="5"/>
  <c r="BE45" i="5"/>
  <c r="S45" i="5"/>
  <c r="BY44" i="5"/>
  <c r="AS44" i="5"/>
  <c r="P44" i="5"/>
  <c r="BX43" i="5"/>
  <c r="AS43" i="5"/>
  <c r="T43" i="5"/>
  <c r="CA42" i="5"/>
  <c r="AZ42" i="5"/>
  <c r="AC42" i="5"/>
  <c r="CK41" i="5"/>
  <c r="BN41" i="5"/>
  <c r="AL41" i="5"/>
  <c r="BW40" i="5"/>
  <c r="AV40" i="5"/>
  <c r="Y40" i="5"/>
  <c r="CF39" i="5"/>
  <c r="BH39" i="5"/>
  <c r="AM39" i="5"/>
  <c r="W39" i="5"/>
  <c r="BZ38" i="5"/>
  <c r="BJ38" i="5"/>
  <c r="AT38" i="5"/>
  <c r="AD38" i="5"/>
  <c r="N38" i="5"/>
  <c r="CG37" i="5"/>
  <c r="BQ37" i="5"/>
  <c r="BA37" i="5"/>
  <c r="AK37" i="5"/>
  <c r="U37" i="5"/>
  <c r="BX36" i="5"/>
  <c r="BH36" i="5"/>
  <c r="AR36" i="5"/>
  <c r="AB36" i="5"/>
  <c r="L36" i="5"/>
  <c r="CE35" i="5"/>
  <c r="BO35" i="5"/>
  <c r="AY35" i="5"/>
  <c r="AI35" i="5"/>
  <c r="S35" i="5"/>
  <c r="BV34" i="5"/>
  <c r="BF34" i="5"/>
  <c r="AP34" i="5"/>
  <c r="Z34" i="5"/>
  <c r="CC33" i="5"/>
  <c r="BM33" i="5"/>
  <c r="AW33" i="5"/>
  <c r="AG33" i="5"/>
  <c r="Q33" i="5"/>
  <c r="CJ32" i="5"/>
  <c r="BT32" i="5"/>
  <c r="BD32" i="5"/>
  <c r="AN32" i="5"/>
  <c r="X32" i="5"/>
  <c r="CA31" i="5"/>
  <c r="BK31" i="5"/>
  <c r="AU31" i="5"/>
  <c r="AE31" i="5"/>
  <c r="O31" i="5"/>
  <c r="CH30" i="5"/>
  <c r="BR30" i="5"/>
  <c r="BB30" i="5"/>
  <c r="AL30" i="5"/>
  <c r="V30" i="5"/>
  <c r="BY29" i="5"/>
  <c r="BI29" i="5"/>
  <c r="AS29" i="5"/>
  <c r="AC29" i="5"/>
  <c r="AT66" i="5"/>
  <c r="AK63" i="5"/>
  <c r="BF61" i="5"/>
  <c r="AM60" i="5"/>
  <c r="AP59" i="5"/>
  <c r="AX58" i="5"/>
  <c r="BF57" i="5"/>
  <c r="BM56" i="5"/>
  <c r="CG55" i="5"/>
  <c r="T54" i="5"/>
  <c r="BE53" i="5"/>
  <c r="AX52" i="5"/>
  <c r="CI51" i="5"/>
  <c r="AP51" i="5"/>
  <c r="CI50" i="5"/>
  <c r="AO50" i="5"/>
  <c r="CJ49" i="5"/>
  <c r="AS49" i="5"/>
  <c r="AT48" i="5"/>
  <c r="BI47" i="5"/>
  <c r="S47" i="5"/>
  <c r="BR46" i="5"/>
  <c r="AI46" i="5"/>
  <c r="CG45" i="5"/>
  <c r="BB45" i="5"/>
  <c r="Q45" i="5"/>
  <c r="BU44" i="5"/>
  <c r="AR44" i="5"/>
  <c r="M44" i="5"/>
  <c r="BW43" i="5"/>
  <c r="AQ43" i="5"/>
  <c r="P43" i="5"/>
  <c r="BZ42" i="5"/>
  <c r="AY42" i="5"/>
  <c r="AB42" i="5"/>
  <c r="CI41" i="5"/>
  <c r="BJ41" i="5"/>
  <c r="AK41" i="5"/>
  <c r="BV40" i="5"/>
  <c r="AT40" i="5"/>
  <c r="U40" i="5"/>
  <c r="CE39" i="5"/>
  <c r="BG39" i="5"/>
  <c r="AL39" i="5"/>
  <c r="V39" i="5"/>
  <c r="BY38" i="5"/>
  <c r="BI38" i="5"/>
  <c r="AS38" i="5"/>
  <c r="AC38" i="5"/>
  <c r="M38" i="5"/>
  <c r="CF37" i="5"/>
  <c r="BP37" i="5"/>
  <c r="AZ37" i="5"/>
  <c r="AJ37" i="5"/>
  <c r="T37" i="5"/>
  <c r="BW36" i="5"/>
  <c r="BG36" i="5"/>
  <c r="AQ36" i="5"/>
  <c r="AA36" i="5"/>
  <c r="CD35" i="5"/>
  <c r="BN35" i="5"/>
  <c r="AX35" i="5"/>
  <c r="AH35" i="5"/>
  <c r="R35" i="5"/>
  <c r="CK34" i="5"/>
  <c r="BU34" i="5"/>
  <c r="BE34" i="5"/>
  <c r="AO34" i="5"/>
  <c r="Y34" i="5"/>
  <c r="CB33" i="5"/>
  <c r="BL33" i="5"/>
  <c r="AP64" i="5"/>
  <c r="P61" i="5"/>
  <c r="Y59" i="5"/>
  <c r="AA57" i="5"/>
  <c r="BA55" i="5"/>
  <c r="CJ53" i="5"/>
  <c r="CE52" i="5"/>
  <c r="CB51" i="5"/>
  <c r="BR50" i="5"/>
  <c r="CA49" i="5"/>
  <c r="CF48" i="5"/>
  <c r="T48" i="5"/>
  <c r="AI47" i="5"/>
  <c r="BG46" i="5"/>
  <c r="CC45" i="5"/>
  <c r="U45" i="5"/>
  <c r="AY44" i="5"/>
  <c r="AN43" i="5"/>
  <c r="BY42" i="5"/>
  <c r="AE42" i="5"/>
  <c r="BR41" i="5"/>
  <c r="AD41" i="5"/>
  <c r="BQ40" i="5"/>
  <c r="Z40" i="5"/>
  <c r="BN39" i="5"/>
  <c r="AG39" i="5"/>
  <c r="BH38" i="5"/>
  <c r="AF38" i="5"/>
  <c r="CK37" i="5"/>
  <c r="BL37" i="5"/>
  <c r="AH37" i="5"/>
  <c r="BK36" i="5"/>
  <c r="AL36" i="5"/>
  <c r="BM35" i="5"/>
  <c r="AK35" i="5"/>
  <c r="BQ34" i="5"/>
  <c r="AM34" i="5"/>
  <c r="BP33" i="5"/>
  <c r="AR33" i="5"/>
  <c r="P33" i="5"/>
  <c r="BX32" i="5"/>
  <c r="BA32" i="5"/>
  <c r="Z32" i="5"/>
  <c r="BJ31" i="5"/>
  <c r="AI31" i="5"/>
  <c r="L31" i="5"/>
  <c r="BT30" i="5"/>
  <c r="AW30" i="5"/>
  <c r="U30" i="5"/>
  <c r="CC29" i="5"/>
  <c r="BF29" i="5"/>
  <c r="AE29" i="5"/>
  <c r="CB28" i="5"/>
  <c r="BL28" i="5"/>
  <c r="AV28" i="5"/>
  <c r="AF28" i="5"/>
  <c r="P28" i="5"/>
  <c r="CI27" i="5"/>
  <c r="BS27" i="5"/>
  <c r="BC27" i="5"/>
  <c r="AM27" i="5"/>
  <c r="W27" i="5"/>
  <c r="BZ26" i="5"/>
  <c r="BJ26" i="5"/>
  <c r="AT26" i="5"/>
  <c r="AD26" i="5"/>
  <c r="N26" i="5"/>
  <c r="CG25" i="5"/>
  <c r="BQ25" i="5"/>
  <c r="BA25" i="5"/>
  <c r="AK25" i="5"/>
  <c r="U25" i="5"/>
  <c r="BX24" i="5"/>
  <c r="BH24" i="5"/>
  <c r="AR24" i="5"/>
  <c r="AB24" i="5"/>
  <c r="L24" i="5"/>
  <c r="CE23" i="5"/>
  <c r="BO23" i="5"/>
  <c r="AY23" i="5"/>
  <c r="AI23" i="5"/>
  <c r="S23" i="5"/>
  <c r="BV22" i="5"/>
  <c r="BF22" i="5"/>
  <c r="AP22" i="5"/>
  <c r="Z22" i="5"/>
  <c r="CC21" i="5"/>
  <c r="BM21" i="5"/>
  <c r="AW21" i="5"/>
  <c r="AG21" i="5"/>
  <c r="Q21" i="5"/>
  <c r="CJ20" i="5"/>
  <c r="BT20" i="5"/>
  <c r="BD20" i="5"/>
  <c r="AN20" i="5"/>
  <c r="X20" i="5"/>
  <c r="CA19" i="5"/>
  <c r="BK19" i="5"/>
  <c r="AU19" i="5"/>
  <c r="AE19" i="5"/>
  <c r="O19" i="5"/>
  <c r="CH18" i="5"/>
  <c r="BR18" i="5"/>
  <c r="BA63" i="5"/>
  <c r="BJ60" i="5"/>
  <c r="BZ58" i="5"/>
  <c r="V55" i="5"/>
  <c r="BO53" i="5"/>
  <c r="BF52" i="5"/>
  <c r="BD51" i="5"/>
  <c r="BE50" i="5"/>
  <c r="BZ49" i="5"/>
  <c r="CD48" i="5"/>
  <c r="L48" i="5"/>
  <c r="AD47" i="5"/>
  <c r="BF46" i="5"/>
  <c r="CB45" i="5"/>
  <c r="P45" i="5"/>
  <c r="AX44" i="5"/>
  <c r="CC43" i="5"/>
  <c r="AM43" i="5"/>
  <c r="BX42" i="5"/>
  <c r="AD42" i="5"/>
  <c r="BQ41" i="5"/>
  <c r="AA41" i="5"/>
  <c r="BN40" i="5"/>
  <c r="R40" i="5"/>
  <c r="BM39" i="5"/>
  <c r="AA39" i="5"/>
  <c r="CK38" i="5"/>
  <c r="BG38" i="5"/>
  <c r="AE38" i="5"/>
  <c r="CJ37" i="5"/>
  <c r="BK37" i="5"/>
  <c r="AG37" i="5"/>
  <c r="BJ36" i="5"/>
  <c r="AF36" i="5"/>
  <c r="BL35" i="5"/>
  <c r="AJ35" i="5"/>
  <c r="BP34" i="5"/>
  <c r="AL34" i="5"/>
  <c r="BO33" i="5"/>
  <c r="AQ33" i="5"/>
  <c r="O33" i="5"/>
  <c r="BW32" i="5"/>
  <c r="AZ32" i="5"/>
  <c r="Y32" i="5"/>
  <c r="CK31" i="5"/>
  <c r="BI31" i="5"/>
  <c r="AH31" i="5"/>
  <c r="BS30" i="5"/>
  <c r="AV30" i="5"/>
  <c r="T30" i="5"/>
  <c r="CB29" i="5"/>
  <c r="BE29" i="5"/>
  <c r="AD29" i="5"/>
  <c r="CA28" i="5"/>
  <c r="BK28" i="5"/>
  <c r="AU28" i="5"/>
  <c r="AE28" i="5"/>
  <c r="O28" i="5"/>
  <c r="CH27" i="5"/>
  <c r="BR27" i="5"/>
  <c r="BB27" i="5"/>
  <c r="AL27" i="5"/>
  <c r="V27" i="5"/>
  <c r="BY26" i="5"/>
  <c r="BI26" i="5"/>
  <c r="AS26" i="5"/>
  <c r="AC26" i="5"/>
  <c r="M26" i="5"/>
  <c r="CF25" i="5"/>
  <c r="BP25" i="5"/>
  <c r="AZ25" i="5"/>
  <c r="AJ25" i="5"/>
  <c r="T25" i="5"/>
  <c r="BW24" i="5"/>
  <c r="BG24" i="5"/>
  <c r="AQ24" i="5"/>
  <c r="AA24" i="5"/>
  <c r="CD23" i="5"/>
  <c r="BN23" i="5"/>
  <c r="AX23" i="5"/>
  <c r="AH23" i="5"/>
  <c r="R23" i="5"/>
  <c r="CK22" i="5"/>
  <c r="BU22" i="5"/>
  <c r="BE22" i="5"/>
  <c r="AO22" i="5"/>
  <c r="Y22" i="5"/>
  <c r="CB21" i="5"/>
  <c r="BL21" i="5"/>
  <c r="AV21" i="5"/>
  <c r="AF21" i="5"/>
  <c r="P21" i="5"/>
  <c r="CI20" i="5"/>
  <c r="BS20" i="5"/>
  <c r="BC20" i="5"/>
  <c r="AM20" i="5"/>
  <c r="W20" i="5"/>
  <c r="BZ19" i="5"/>
  <c r="BJ19" i="5"/>
  <c r="AT19" i="5"/>
  <c r="AD19" i="5"/>
  <c r="N19" i="5"/>
  <c r="CG18" i="5"/>
  <c r="BQ18" i="5"/>
  <c r="BV66" i="5"/>
  <c r="AY63" i="5"/>
  <c r="BC60" i="5"/>
  <c r="BY58" i="5"/>
  <c r="S55" i="5"/>
  <c r="BN53" i="5"/>
  <c r="BE52" i="5"/>
  <c r="BC51" i="5"/>
  <c r="BD50" i="5"/>
  <c r="BT49" i="5"/>
  <c r="CB48" i="5"/>
  <c r="AA47" i="5"/>
  <c r="AP46" i="5"/>
  <c r="BZ45" i="5"/>
  <c r="N45" i="5"/>
  <c r="AV44" i="5"/>
  <c r="CA43" i="5"/>
  <c r="AJ43" i="5"/>
  <c r="BW42" i="5"/>
  <c r="AA42" i="5"/>
  <c r="BP41" i="5"/>
  <c r="T41" i="5"/>
  <c r="BM40" i="5"/>
  <c r="Q40" i="5"/>
  <c r="BL39" i="5"/>
  <c r="Z39" i="5"/>
  <c r="CJ38" i="5"/>
  <c r="BF38" i="5"/>
  <c r="AB38" i="5"/>
  <c r="CI37" i="5"/>
  <c r="BE37" i="5"/>
  <c r="AF37" i="5"/>
  <c r="CK36" i="5"/>
  <c r="BI36" i="5"/>
  <c r="AE36" i="5"/>
  <c r="BK35" i="5"/>
  <c r="AG35" i="5"/>
  <c r="BJ34" i="5"/>
  <c r="AK34" i="5"/>
  <c r="BN33" i="5"/>
  <c r="AK33" i="5"/>
  <c r="N33" i="5"/>
  <c r="BV32" i="5"/>
  <c r="AY32" i="5"/>
  <c r="W32" i="5"/>
  <c r="CE31" i="5"/>
  <c r="BH31" i="5"/>
  <c r="AG31" i="5"/>
  <c r="BQ30" i="5"/>
  <c r="AP30" i="5"/>
  <c r="S30" i="5"/>
  <c r="CA29" i="5"/>
  <c r="BD29" i="5"/>
  <c r="AB29" i="5"/>
  <c r="BZ28" i="5"/>
  <c r="BJ28" i="5"/>
  <c r="AT28" i="5"/>
  <c r="AD28" i="5"/>
  <c r="N28" i="5"/>
  <c r="CG27" i="5"/>
  <c r="BQ27" i="5"/>
  <c r="BA27" i="5"/>
  <c r="AK27" i="5"/>
  <c r="U27" i="5"/>
  <c r="BX26" i="5"/>
  <c r="BH26" i="5"/>
  <c r="AR26" i="5"/>
  <c r="AB26" i="5"/>
  <c r="L26" i="5"/>
  <c r="CE25" i="5"/>
  <c r="BO25" i="5"/>
  <c r="AY25" i="5"/>
  <c r="AI25" i="5"/>
  <c r="S25" i="5"/>
  <c r="BV24" i="5"/>
  <c r="BF24" i="5"/>
  <c r="AP24" i="5"/>
  <c r="Z24" i="5"/>
  <c r="CC23" i="5"/>
  <c r="BM23" i="5"/>
  <c r="AW23" i="5"/>
  <c r="AG23" i="5"/>
  <c r="Q23" i="5"/>
  <c r="CJ22" i="5"/>
  <c r="BT22" i="5"/>
  <c r="BD22" i="5"/>
  <c r="AN22" i="5"/>
  <c r="X22" i="5"/>
  <c r="CA21" i="5"/>
  <c r="BK21" i="5"/>
  <c r="AU21" i="5"/>
  <c r="AE21" i="5"/>
  <c r="O21" i="5"/>
  <c r="CH20" i="5"/>
  <c r="BR20" i="5"/>
  <c r="BB20" i="5"/>
  <c r="AL20" i="5"/>
  <c r="V20" i="5"/>
  <c r="BY19" i="5"/>
  <c r="BI19" i="5"/>
  <c r="AS19" i="5"/>
  <c r="AC19" i="5"/>
  <c r="M19" i="5"/>
  <c r="CF18" i="5"/>
  <c r="BP18" i="5"/>
  <c r="BU66" i="5"/>
  <c r="AT63" i="5"/>
  <c r="AY60" i="5"/>
  <c r="BL58" i="5"/>
  <c r="BX56" i="5"/>
  <c r="BG53" i="5"/>
  <c r="BD52" i="5"/>
  <c r="BB51" i="5"/>
  <c r="BC50" i="5"/>
  <c r="BK49" i="5"/>
  <c r="BY48" i="5"/>
  <c r="W47" i="5"/>
  <c r="AO46" i="5"/>
  <c r="BY45" i="5"/>
  <c r="M45" i="5"/>
  <c r="AQ44" i="5"/>
  <c r="BZ43" i="5"/>
  <c r="X43" i="5"/>
  <c r="BS42" i="5"/>
  <c r="W42" i="5"/>
  <c r="BO41" i="5"/>
  <c r="S41" i="5"/>
  <c r="BL40" i="5"/>
  <c r="P40" i="5"/>
  <c r="BE39" i="5"/>
  <c r="Y39" i="5"/>
  <c r="CD38" i="5"/>
  <c r="BE38" i="5"/>
  <c r="AA38" i="5"/>
  <c r="CH37" i="5"/>
  <c r="BD37" i="5"/>
  <c r="AE37" i="5"/>
  <c r="CJ36" i="5"/>
  <c r="BF36" i="5"/>
  <c r="AD36" i="5"/>
  <c r="CI35" i="5"/>
  <c r="BJ35" i="5"/>
  <c r="AF35" i="5"/>
  <c r="BI34" i="5"/>
  <c r="AJ34" i="5"/>
  <c r="BK33" i="5"/>
  <c r="AJ33" i="5"/>
  <c r="M33" i="5"/>
  <c r="BU32" i="5"/>
  <c r="AX32" i="5"/>
  <c r="V32" i="5"/>
  <c r="CD31" i="5"/>
  <c r="BG31" i="5"/>
  <c r="AF31" i="5"/>
  <c r="BP30" i="5"/>
  <c r="AO30" i="5"/>
  <c r="R30" i="5"/>
  <c r="BZ29" i="5"/>
  <c r="BC29" i="5"/>
  <c r="AA29" i="5"/>
  <c r="BY28" i="5"/>
  <c r="BI28" i="5"/>
  <c r="AS28" i="5"/>
  <c r="AC28" i="5"/>
  <c r="M28" i="5"/>
  <c r="CF27" i="5"/>
  <c r="BP27" i="5"/>
  <c r="AZ27" i="5"/>
  <c r="AJ27" i="5"/>
  <c r="T27" i="5"/>
  <c r="BW26" i="5"/>
  <c r="BG26" i="5"/>
  <c r="AQ26" i="5"/>
  <c r="AA26" i="5"/>
  <c r="CD25" i="5"/>
  <c r="BN25" i="5"/>
  <c r="AX25" i="5"/>
  <c r="AH25" i="5"/>
  <c r="R25" i="5"/>
  <c r="CK24" i="5"/>
  <c r="BU24" i="5"/>
  <c r="BE24" i="5"/>
  <c r="AO24" i="5"/>
  <c r="Y24" i="5"/>
  <c r="CB23" i="5"/>
  <c r="BL23" i="5"/>
  <c r="AV23" i="5"/>
  <c r="AF23" i="5"/>
  <c r="P23" i="5"/>
  <c r="CI22" i="5"/>
  <c r="BS22" i="5"/>
  <c r="BC22" i="5"/>
  <c r="AM22" i="5"/>
  <c r="W22" i="5"/>
  <c r="BZ21" i="5"/>
  <c r="BJ21" i="5"/>
  <c r="AT21" i="5"/>
  <c r="AD21" i="5"/>
  <c r="N21" i="5"/>
  <c r="CG20" i="5"/>
  <c r="BQ20" i="5"/>
  <c r="BA20" i="5"/>
  <c r="AK20" i="5"/>
  <c r="U20" i="5"/>
  <c r="BX19" i="5"/>
  <c r="BH19" i="5"/>
  <c r="AR19" i="5"/>
  <c r="AB19" i="5"/>
  <c r="L19" i="5"/>
  <c r="CE18" i="5"/>
  <c r="BO18" i="5"/>
  <c r="AS66" i="5"/>
  <c r="S63" i="5"/>
  <c r="AL60" i="5"/>
  <c r="AU58" i="5"/>
  <c r="BI56" i="5"/>
  <c r="BD53" i="5"/>
  <c r="AW52" i="5"/>
  <c r="AL51" i="5"/>
  <c r="AV50" i="5"/>
  <c r="BB49" i="5"/>
  <c r="BX48" i="5"/>
  <c r="CI47" i="5"/>
  <c r="R47" i="5"/>
  <c r="AM46" i="5"/>
  <c r="BJ45" i="5"/>
  <c r="L45" i="5"/>
  <c r="AP44" i="5"/>
  <c r="BY43" i="5"/>
  <c r="W43" i="5"/>
  <c r="BP42" i="5"/>
  <c r="T42" i="5"/>
  <c r="BG41" i="5"/>
  <c r="R41" i="5"/>
  <c r="BE40" i="5"/>
  <c r="N40" i="5"/>
  <c r="BD39" i="5"/>
  <c r="X39" i="5"/>
  <c r="CC38" i="5"/>
  <c r="BD38" i="5"/>
  <c r="Z38" i="5"/>
  <c r="CE37" i="5"/>
  <c r="BC37" i="5"/>
  <c r="Y37" i="5"/>
  <c r="CI36" i="5"/>
  <c r="BE36" i="5"/>
  <c r="AC36" i="5"/>
  <c r="CH35" i="5"/>
  <c r="BI35" i="5"/>
  <c r="AE35" i="5"/>
  <c r="CJ34" i="5"/>
  <c r="BH34" i="5"/>
  <c r="AD34" i="5"/>
  <c r="BJ33" i="5"/>
  <c r="AI33" i="5"/>
  <c r="L33" i="5"/>
  <c r="BS32" i="5"/>
  <c r="AR32" i="5"/>
  <c r="U32" i="5"/>
  <c r="CC31" i="5"/>
  <c r="BF31" i="5"/>
  <c r="AD31" i="5"/>
  <c r="BO30" i="5"/>
  <c r="AN30" i="5"/>
  <c r="Q30" i="5"/>
  <c r="BX29" i="5"/>
  <c r="AW29" i="5"/>
  <c r="Z29" i="5"/>
  <c r="BX28" i="5"/>
  <c r="BH28" i="5"/>
  <c r="AR28" i="5"/>
  <c r="AB28" i="5"/>
  <c r="L28" i="5"/>
  <c r="CE27" i="5"/>
  <c r="BO27" i="5"/>
  <c r="AY27" i="5"/>
  <c r="AI27" i="5"/>
  <c r="S27" i="5"/>
  <c r="BV26" i="5"/>
  <c r="BF26" i="5"/>
  <c r="AP26" i="5"/>
  <c r="Z26" i="5"/>
  <c r="CC25" i="5"/>
  <c r="BM25" i="5"/>
  <c r="AW25" i="5"/>
  <c r="AG25" i="5"/>
  <c r="Q25" i="5"/>
  <c r="CJ24" i="5"/>
  <c r="BT24" i="5"/>
  <c r="BD24" i="5"/>
  <c r="AN24" i="5"/>
  <c r="X24" i="5"/>
  <c r="CA23" i="5"/>
  <c r="BK23" i="5"/>
  <c r="AU23" i="5"/>
  <c r="AE23" i="5"/>
  <c r="O23" i="5"/>
  <c r="CH22" i="5"/>
  <c r="BR22" i="5"/>
  <c r="BB22" i="5"/>
  <c r="AL22" i="5"/>
  <c r="V22" i="5"/>
  <c r="BY21" i="5"/>
  <c r="BI21" i="5"/>
  <c r="AS21" i="5"/>
  <c r="AC21" i="5"/>
  <c r="M21" i="5"/>
  <c r="CF20" i="5"/>
  <c r="BP20" i="5"/>
  <c r="AZ20" i="5"/>
  <c r="AJ20" i="5"/>
  <c r="T20" i="5"/>
  <c r="BW19" i="5"/>
  <c r="BG19" i="5"/>
  <c r="AQ19" i="5"/>
  <c r="AA19" i="5"/>
  <c r="CD18" i="5"/>
  <c r="BN18" i="5"/>
  <c r="AR66" i="5"/>
  <c r="R63" i="5"/>
  <c r="AF60" i="5"/>
  <c r="AT58" i="5"/>
  <c r="AY56" i="5"/>
  <c r="CD54" i="5"/>
  <c r="AZ53" i="5"/>
  <c r="AS52" i="5"/>
  <c r="AK51" i="5"/>
  <c r="AM50" i="5"/>
  <c r="AX49" i="5"/>
  <c r="BF48" i="5"/>
  <c r="CG47" i="5"/>
  <c r="P47" i="5"/>
  <c r="AK46" i="5"/>
  <c r="BH45" i="5"/>
  <c r="AO44" i="5"/>
  <c r="BV43" i="5"/>
  <c r="V43" i="5"/>
  <c r="BI42" i="5"/>
  <c r="S42" i="5"/>
  <c r="BF41" i="5"/>
  <c r="N41" i="5"/>
  <c r="BA40" i="5"/>
  <c r="M40" i="5"/>
  <c r="BC39" i="5"/>
  <c r="U39" i="5"/>
  <c r="CB38" i="5"/>
  <c r="AX38" i="5"/>
  <c r="Y38" i="5"/>
  <c r="CD37" i="5"/>
  <c r="BB37" i="5"/>
  <c r="X37" i="5"/>
  <c r="CH36" i="5"/>
  <c r="BD36" i="5"/>
  <c r="Z36" i="5"/>
  <c r="CG35" i="5"/>
  <c r="BC35" i="5"/>
  <c r="AD35" i="5"/>
  <c r="CI34" i="5"/>
  <c r="BG34" i="5"/>
  <c r="AC34" i="5"/>
  <c r="BI33" i="5"/>
  <c r="AH33" i="5"/>
  <c r="BR32" i="5"/>
  <c r="AQ32" i="5"/>
  <c r="T32" i="5"/>
  <c r="CB31" i="5"/>
  <c r="BE31" i="5"/>
  <c r="AC31" i="5"/>
  <c r="CK30" i="5"/>
  <c r="BN30" i="5"/>
  <c r="AM30" i="5"/>
  <c r="P30" i="5"/>
  <c r="BW29" i="5"/>
  <c r="AV29" i="5"/>
  <c r="Y29" i="5"/>
  <c r="BW28" i="5"/>
  <c r="BG28" i="5"/>
  <c r="AQ28" i="5"/>
  <c r="AA28" i="5"/>
  <c r="CD27" i="5"/>
  <c r="BN27" i="5"/>
  <c r="AX27" i="5"/>
  <c r="AH27" i="5"/>
  <c r="R27" i="5"/>
  <c r="CK26" i="5"/>
  <c r="BU26" i="5"/>
  <c r="BE26" i="5"/>
  <c r="AO26" i="5"/>
  <c r="Y26" i="5"/>
  <c r="CB25" i="5"/>
  <c r="BL25" i="5"/>
  <c r="AV25" i="5"/>
  <c r="AF25" i="5"/>
  <c r="P25" i="5"/>
  <c r="CI24" i="5"/>
  <c r="BS24" i="5"/>
  <c r="BC24" i="5"/>
  <c r="AM24" i="5"/>
  <c r="W24" i="5"/>
  <c r="BZ23" i="5"/>
  <c r="BJ23" i="5"/>
  <c r="AT23" i="5"/>
  <c r="AD23" i="5"/>
  <c r="N23" i="5"/>
  <c r="CG22" i="5"/>
  <c r="BQ22" i="5"/>
  <c r="BA22" i="5"/>
  <c r="AF66" i="5"/>
  <c r="O63" i="5"/>
  <c r="Q60" i="5"/>
  <c r="AG58" i="5"/>
  <c r="AW56" i="5"/>
  <c r="CB54" i="5"/>
  <c r="AX53" i="5"/>
  <c r="AI52" i="5"/>
  <c r="AJ51" i="5"/>
  <c r="AJ50" i="5"/>
  <c r="AW49" i="5"/>
  <c r="BE48" i="5"/>
  <c r="CF47" i="5"/>
  <c r="O47" i="5"/>
  <c r="AH46" i="5"/>
  <c r="BG45" i="5"/>
  <c r="CE44" i="5"/>
  <c r="AK44" i="5"/>
  <c r="BP43" i="5"/>
  <c r="U43" i="5"/>
  <c r="BH42" i="5"/>
  <c r="R42" i="5"/>
  <c r="BE41" i="5"/>
  <c r="AX40" i="5"/>
  <c r="CK39" i="5"/>
  <c r="BA39" i="5"/>
  <c r="T39" i="5"/>
  <c r="CA38" i="5"/>
  <c r="AW38" i="5"/>
  <c r="X38" i="5"/>
  <c r="CC37" i="5"/>
  <c r="AY37" i="5"/>
  <c r="W37" i="5"/>
  <c r="CB36" i="5"/>
  <c r="BC36" i="5"/>
  <c r="Y36" i="5"/>
  <c r="CF35" i="5"/>
  <c r="BB35" i="5"/>
  <c r="AC35" i="5"/>
  <c r="CH34" i="5"/>
  <c r="BD34" i="5"/>
  <c r="AB34" i="5"/>
  <c r="CG33" i="5"/>
  <c r="BH33" i="5"/>
  <c r="AF33" i="5"/>
  <c r="BQ32" i="5"/>
  <c r="AP32" i="5"/>
  <c r="S32" i="5"/>
  <c r="BZ31" i="5"/>
  <c r="AY31" i="5"/>
  <c r="AB31" i="5"/>
  <c r="CJ30" i="5"/>
  <c r="BM30" i="5"/>
  <c r="AK30" i="5"/>
  <c r="BV29" i="5"/>
  <c r="AU29" i="5"/>
  <c r="X29" i="5"/>
  <c r="BV28" i="5"/>
  <c r="BF28" i="5"/>
  <c r="AP28" i="5"/>
  <c r="Z28" i="5"/>
  <c r="CC27" i="5"/>
  <c r="BM27" i="5"/>
  <c r="AW27" i="5"/>
  <c r="AG27" i="5"/>
  <c r="Q27" i="5"/>
  <c r="CJ26" i="5"/>
  <c r="BT26" i="5"/>
  <c r="BD26" i="5"/>
  <c r="AN26" i="5"/>
  <c r="X26" i="5"/>
  <c r="CA25" i="5"/>
  <c r="BK25" i="5"/>
  <c r="AU25" i="5"/>
  <c r="AE25" i="5"/>
  <c r="O25" i="5"/>
  <c r="CH24" i="5"/>
  <c r="AI65" i="5"/>
  <c r="S62" i="5"/>
  <c r="BQ59" i="5"/>
  <c r="BT57" i="5"/>
  <c r="AO54" i="5"/>
  <c r="V53" i="5"/>
  <c r="N52" i="5"/>
  <c r="AE50" i="5"/>
  <c r="AN49" i="5"/>
  <c r="AS48" i="5"/>
  <c r="BL47" i="5"/>
  <c r="CE46" i="5"/>
  <c r="Y46" i="5"/>
  <c r="AV45" i="5"/>
  <c r="CB44" i="5"/>
  <c r="X44" i="5"/>
  <c r="BK43" i="5"/>
  <c r="AX42" i="5"/>
  <c r="AQ41" i="5"/>
  <c r="AR40" i="5"/>
  <c r="CG39" i="5"/>
  <c r="AP39" i="5"/>
  <c r="Q39" i="5"/>
  <c r="BV38" i="5"/>
  <c r="AR38" i="5"/>
  <c r="P38" i="5"/>
  <c r="BU37" i="5"/>
  <c r="AV37" i="5"/>
  <c r="R37" i="5"/>
  <c r="BY36" i="5"/>
  <c r="AU36" i="5"/>
  <c r="V36" i="5"/>
  <c r="CA35" i="5"/>
  <c r="AW35" i="5"/>
  <c r="U35" i="5"/>
  <c r="BZ34" i="5"/>
  <c r="BA34" i="5"/>
  <c r="W34" i="5"/>
  <c r="CD33" i="5"/>
  <c r="AZ33" i="5"/>
  <c r="AC33" i="5"/>
  <c r="CK32" i="5"/>
  <c r="BN32" i="5"/>
  <c r="AL32" i="5"/>
  <c r="BW31" i="5"/>
  <c r="AV31" i="5"/>
  <c r="Y31" i="5"/>
  <c r="CF30" i="5"/>
  <c r="BE30" i="5"/>
  <c r="AH30" i="5"/>
  <c r="BS29" i="5"/>
  <c r="AQ29" i="5"/>
  <c r="P29" i="5"/>
  <c r="CI28" i="5"/>
  <c r="BS28" i="5"/>
  <c r="BC28" i="5"/>
  <c r="AM28" i="5"/>
  <c r="W28" i="5"/>
  <c r="BZ27" i="5"/>
  <c r="BJ27" i="5"/>
  <c r="AT27" i="5"/>
  <c r="AD27" i="5"/>
  <c r="N27" i="5"/>
  <c r="CG26" i="5"/>
  <c r="BQ26" i="5"/>
  <c r="BA26" i="5"/>
  <c r="AK26" i="5"/>
  <c r="U26" i="5"/>
  <c r="BX25" i="5"/>
  <c r="BH25" i="5"/>
  <c r="AR25" i="5"/>
  <c r="AB25" i="5"/>
  <c r="L25" i="5"/>
  <c r="CE24" i="5"/>
  <c r="BO24" i="5"/>
  <c r="AY24" i="5"/>
  <c r="AI24" i="5"/>
  <c r="S24" i="5"/>
  <c r="BV23" i="5"/>
  <c r="BF23" i="5"/>
  <c r="AP23" i="5"/>
  <c r="Z23" i="5"/>
  <c r="CC22" i="5"/>
  <c r="BM22" i="5"/>
  <c r="AW22" i="5"/>
  <c r="AG22" i="5"/>
  <c r="Q22" i="5"/>
  <c r="CJ21" i="5"/>
  <c r="BT21" i="5"/>
  <c r="BD21" i="5"/>
  <c r="AN21" i="5"/>
  <c r="X21" i="5"/>
  <c r="CA20" i="5"/>
  <c r="BK20" i="5"/>
  <c r="AU20" i="5"/>
  <c r="AE20" i="5"/>
  <c r="O20" i="5"/>
  <c r="CH19" i="5"/>
  <c r="BR19" i="5"/>
  <c r="BB19" i="5"/>
  <c r="AL19" i="5"/>
  <c r="V19" i="5"/>
  <c r="BY18" i="5"/>
  <c r="BI18" i="5"/>
  <c r="X66" i="5"/>
  <c r="O60" i="5"/>
  <c r="AV56" i="5"/>
  <c r="AO53" i="5"/>
  <c r="AH51" i="5"/>
  <c r="AQ49" i="5"/>
  <c r="BP47" i="5"/>
  <c r="AE46" i="5"/>
  <c r="CD44" i="5"/>
  <c r="BM43" i="5"/>
  <c r="BG42" i="5"/>
  <c r="BC41" i="5"/>
  <c r="AW40" i="5"/>
  <c r="AZ39" i="5"/>
  <c r="BX38" i="5"/>
  <c r="R38" i="5"/>
  <c r="AX37" i="5"/>
  <c r="CA36" i="5"/>
  <c r="X36" i="5"/>
  <c r="BA35" i="5"/>
  <c r="CG34" i="5"/>
  <c r="AA34" i="5"/>
  <c r="BG33" i="5"/>
  <c r="AO32" i="5"/>
  <c r="BY31" i="5"/>
  <c r="AA31" i="5"/>
  <c r="BL30" i="5"/>
  <c r="AT29" i="5"/>
  <c r="CK28" i="5"/>
  <c r="BE28" i="5"/>
  <c r="Y28" i="5"/>
  <c r="CB27" i="5"/>
  <c r="AV27" i="5"/>
  <c r="P27" i="5"/>
  <c r="BS26" i="5"/>
  <c r="AM26" i="5"/>
  <c r="BJ25" i="5"/>
  <c r="AD25" i="5"/>
  <c r="CG24" i="5"/>
  <c r="BI24" i="5"/>
  <c r="AE24" i="5"/>
  <c r="CJ23" i="5"/>
  <c r="BG23" i="5"/>
  <c r="AC23" i="5"/>
  <c r="BJ22" i="5"/>
  <c r="AH22" i="5"/>
  <c r="BR21" i="5"/>
  <c r="AQ21" i="5"/>
  <c r="T21" i="5"/>
  <c r="CB20" i="5"/>
  <c r="BE20" i="5"/>
  <c r="AC20" i="5"/>
  <c r="CK19" i="5"/>
  <c r="BN19" i="5"/>
  <c r="AM19" i="5"/>
  <c r="P19" i="5"/>
  <c r="BW18" i="5"/>
  <c r="BA18" i="5"/>
  <c r="AK18" i="5"/>
  <c r="U18" i="5"/>
  <c r="BX17" i="5"/>
  <c r="BH17" i="5"/>
  <c r="AR17" i="5"/>
  <c r="AB17" i="5"/>
  <c r="L17" i="5"/>
  <c r="CE16" i="5"/>
  <c r="BO16" i="5"/>
  <c r="AY16" i="5"/>
  <c r="AI16" i="5"/>
  <c r="S16" i="5"/>
  <c r="BV15" i="5"/>
  <c r="BF15" i="5"/>
  <c r="AP15" i="5"/>
  <c r="Z15" i="5"/>
  <c r="CC14" i="5"/>
  <c r="BM14" i="5"/>
  <c r="AW14" i="5"/>
  <c r="AG14" i="5"/>
  <c r="Q14" i="5"/>
  <c r="CJ13" i="5"/>
  <c r="BT13" i="5"/>
  <c r="BD13" i="5"/>
  <c r="AN13" i="5"/>
  <c r="X13" i="5"/>
  <c r="CA12" i="5"/>
  <c r="BK12" i="5"/>
  <c r="AU12" i="5"/>
  <c r="AE12" i="5"/>
  <c r="O12" i="5"/>
  <c r="CH11" i="5"/>
  <c r="BR11" i="5"/>
  <c r="BB11" i="5"/>
  <c r="AL11" i="5"/>
  <c r="V11" i="5"/>
  <c r="BY10" i="5"/>
  <c r="BI10" i="5"/>
  <c r="AS10" i="5"/>
  <c r="AC10" i="5"/>
  <c r="M10" i="5"/>
  <c r="CF9" i="5"/>
  <c r="BP9" i="5"/>
  <c r="AZ9" i="5"/>
  <c r="AJ9" i="5"/>
  <c r="T9" i="5"/>
  <c r="BW8" i="5"/>
  <c r="BG8" i="5"/>
  <c r="AQ8" i="5"/>
  <c r="AA8" i="5"/>
  <c r="CD7" i="5"/>
  <c r="BN7" i="5"/>
  <c r="AX7" i="5"/>
  <c r="AH7" i="5"/>
  <c r="R7" i="5"/>
  <c r="CK6" i="5"/>
  <c r="BU6" i="5"/>
  <c r="BE6" i="5"/>
  <c r="AO6" i="5"/>
  <c r="Y6" i="5"/>
  <c r="CB5" i="5"/>
  <c r="BL5" i="5"/>
  <c r="AV5" i="5"/>
  <c r="AF5" i="5"/>
  <c r="P5" i="5"/>
  <c r="CC4" i="5"/>
  <c r="BM4" i="5"/>
  <c r="AW4" i="5"/>
  <c r="AG4" i="5"/>
  <c r="Q4" i="5"/>
  <c r="AZ6" i="5"/>
  <c r="BN55" i="5"/>
  <c r="BM44" i="5"/>
  <c r="AH42" i="5"/>
  <c r="AI41" i="5"/>
  <c r="AI39" i="5"/>
  <c r="BR36" i="5"/>
  <c r="AM35" i="5"/>
  <c r="AT33" i="5"/>
  <c r="CE32" i="5"/>
  <c r="BM31" i="5"/>
  <c r="AY30" i="5"/>
  <c r="CD28" i="5"/>
  <c r="W66" i="5"/>
  <c r="N60" i="5"/>
  <c r="AU56" i="5"/>
  <c r="AL53" i="5"/>
  <c r="AA51" i="5"/>
  <c r="AO49" i="5"/>
  <c r="BN47" i="5"/>
  <c r="AD46" i="5"/>
  <c r="CC44" i="5"/>
  <c r="BL43" i="5"/>
  <c r="BC42" i="5"/>
  <c r="BB41" i="5"/>
  <c r="AS40" i="5"/>
  <c r="AQ39" i="5"/>
  <c r="BW38" i="5"/>
  <c r="Q38" i="5"/>
  <c r="AW37" i="5"/>
  <c r="BZ36" i="5"/>
  <c r="W36" i="5"/>
  <c r="AZ35" i="5"/>
  <c r="CF34" i="5"/>
  <c r="X34" i="5"/>
  <c r="BA33" i="5"/>
  <c r="AM32" i="5"/>
  <c r="BX31" i="5"/>
  <c r="Z31" i="5"/>
  <c r="BF30" i="5"/>
  <c r="AR29" i="5"/>
  <c r="CJ28" i="5"/>
  <c r="BD28" i="5"/>
  <c r="X28" i="5"/>
  <c r="CA27" i="5"/>
  <c r="AU27" i="5"/>
  <c r="O27" i="5"/>
  <c r="BR26" i="5"/>
  <c r="AL26" i="5"/>
  <c r="BI25" i="5"/>
  <c r="AC25" i="5"/>
  <c r="CF24" i="5"/>
  <c r="BB24" i="5"/>
  <c r="AD24" i="5"/>
  <c r="CI23" i="5"/>
  <c r="BE23" i="5"/>
  <c r="AB23" i="5"/>
  <c r="BI22" i="5"/>
  <c r="AF22" i="5"/>
  <c r="BQ21" i="5"/>
  <c r="AP21" i="5"/>
  <c r="S21" i="5"/>
  <c r="BZ20" i="5"/>
  <c r="AY20" i="5"/>
  <c r="AB20" i="5"/>
  <c r="CJ19" i="5"/>
  <c r="BM19" i="5"/>
  <c r="AK19" i="5"/>
  <c r="BV18" i="5"/>
  <c r="AZ18" i="5"/>
  <c r="AJ18" i="5"/>
  <c r="T18" i="5"/>
  <c r="BW17" i="5"/>
  <c r="BG17" i="5"/>
  <c r="AQ17" i="5"/>
  <c r="AA17" i="5"/>
  <c r="CD16" i="5"/>
  <c r="BN16" i="5"/>
  <c r="AX16" i="5"/>
  <c r="AH16" i="5"/>
  <c r="R16" i="5"/>
  <c r="CK15" i="5"/>
  <c r="BU15" i="5"/>
  <c r="BE15" i="5"/>
  <c r="AO15" i="5"/>
  <c r="Y15" i="5"/>
  <c r="CB14" i="5"/>
  <c r="BL14" i="5"/>
  <c r="AV14" i="5"/>
  <c r="AF14" i="5"/>
  <c r="P14" i="5"/>
  <c r="CI13" i="5"/>
  <c r="BS13" i="5"/>
  <c r="BC13" i="5"/>
  <c r="AM13" i="5"/>
  <c r="W13" i="5"/>
  <c r="BZ12" i="5"/>
  <c r="BJ12" i="5"/>
  <c r="AT12" i="5"/>
  <c r="AD12" i="5"/>
  <c r="N12" i="5"/>
  <c r="CG11" i="5"/>
  <c r="BQ11" i="5"/>
  <c r="BA11" i="5"/>
  <c r="AK11" i="5"/>
  <c r="U11" i="5"/>
  <c r="BX10" i="5"/>
  <c r="BH10" i="5"/>
  <c r="AR10" i="5"/>
  <c r="AB10" i="5"/>
  <c r="L10" i="5"/>
  <c r="CE9" i="5"/>
  <c r="BO9" i="5"/>
  <c r="AY9" i="5"/>
  <c r="AI9" i="5"/>
  <c r="S9" i="5"/>
  <c r="BV8" i="5"/>
  <c r="BF8" i="5"/>
  <c r="AP8" i="5"/>
  <c r="Z8" i="5"/>
  <c r="CC7" i="5"/>
  <c r="BM7" i="5"/>
  <c r="AW7" i="5"/>
  <c r="AG7" i="5"/>
  <c r="Q7" i="5"/>
  <c r="CJ6" i="5"/>
  <c r="BT6" i="5"/>
  <c r="BD6" i="5"/>
  <c r="AN6" i="5"/>
  <c r="X6" i="5"/>
  <c r="CA5" i="5"/>
  <c r="BK5" i="5"/>
  <c r="AU5" i="5"/>
  <c r="AE5" i="5"/>
  <c r="O5" i="5"/>
  <c r="CB4" i="5"/>
  <c r="BL4" i="5"/>
  <c r="AV4" i="5"/>
  <c r="AF4" i="5"/>
  <c r="P4" i="5"/>
  <c r="M7" i="5"/>
  <c r="BW5" i="5"/>
  <c r="BG5" i="5"/>
  <c r="AA5" i="5"/>
  <c r="BH4" i="5"/>
  <c r="AB4" i="5"/>
  <c r="T65" i="5"/>
  <c r="BC59" i="5"/>
  <c r="U53" i="5"/>
  <c r="AJ49" i="5"/>
  <c r="BK47" i="5"/>
  <c r="U46" i="5"/>
  <c r="BR44" i="5"/>
  <c r="BD43" i="5"/>
  <c r="AV42" i="5"/>
  <c r="AP41" i="5"/>
  <c r="AQ40" i="5"/>
  <c r="AO39" i="5"/>
  <c r="BU38" i="5"/>
  <c r="O38" i="5"/>
  <c r="AU37" i="5"/>
  <c r="BV36" i="5"/>
  <c r="P36" i="5"/>
  <c r="AV35" i="5"/>
  <c r="BY34" i="5"/>
  <c r="V34" i="5"/>
  <c r="AY33" i="5"/>
  <c r="CI32" i="5"/>
  <c r="AK32" i="5"/>
  <c r="BV31" i="5"/>
  <c r="S31" i="5"/>
  <c r="BD30" i="5"/>
  <c r="AP29" i="5"/>
  <c r="CH28" i="5"/>
  <c r="BB28" i="5"/>
  <c r="V28" i="5"/>
  <c r="BY27" i="5"/>
  <c r="AS27" i="5"/>
  <c r="M27" i="5"/>
  <c r="BP26" i="5"/>
  <c r="AJ26" i="5"/>
  <c r="BG25" i="5"/>
  <c r="AA25" i="5"/>
  <c r="CD24" i="5"/>
  <c r="BA24" i="5"/>
  <c r="AC24" i="5"/>
  <c r="CH23" i="5"/>
  <c r="BD23" i="5"/>
  <c r="AA23" i="5"/>
  <c r="CF22" i="5"/>
  <c r="BH22" i="5"/>
  <c r="AE22" i="5"/>
  <c r="BP21" i="5"/>
  <c r="AO21" i="5"/>
  <c r="R21" i="5"/>
  <c r="BY20" i="5"/>
  <c r="AX20" i="5"/>
  <c r="AA20" i="5"/>
  <c r="CI19" i="5"/>
  <c r="BL19" i="5"/>
  <c r="AJ19" i="5"/>
  <c r="BU18" i="5"/>
  <c r="AY18" i="5"/>
  <c r="AI18" i="5"/>
  <c r="S18" i="5"/>
  <c r="BV17" i="5"/>
  <c r="BF17" i="5"/>
  <c r="AP17" i="5"/>
  <c r="Z17" i="5"/>
  <c r="CC16" i="5"/>
  <c r="BM16" i="5"/>
  <c r="AW16" i="5"/>
  <c r="AG16" i="5"/>
  <c r="Q16" i="5"/>
  <c r="CJ15" i="5"/>
  <c r="BT15" i="5"/>
  <c r="BD15" i="5"/>
  <c r="AN15" i="5"/>
  <c r="X15" i="5"/>
  <c r="CA14" i="5"/>
  <c r="BK14" i="5"/>
  <c r="AU14" i="5"/>
  <c r="AE14" i="5"/>
  <c r="O14" i="5"/>
  <c r="CH13" i="5"/>
  <c r="BR13" i="5"/>
  <c r="BB13" i="5"/>
  <c r="AL13" i="5"/>
  <c r="V13" i="5"/>
  <c r="BY12" i="5"/>
  <c r="BI12" i="5"/>
  <c r="AS12" i="5"/>
  <c r="AC12" i="5"/>
  <c r="M12" i="5"/>
  <c r="CF11" i="5"/>
  <c r="BP11" i="5"/>
  <c r="AZ11" i="5"/>
  <c r="AJ11" i="5"/>
  <c r="T11" i="5"/>
  <c r="BW10" i="5"/>
  <c r="BG10" i="5"/>
  <c r="AQ10" i="5"/>
  <c r="AA10" i="5"/>
  <c r="CD9" i="5"/>
  <c r="BN9" i="5"/>
  <c r="AX9" i="5"/>
  <c r="AH9" i="5"/>
  <c r="R9" i="5"/>
  <c r="CK8" i="5"/>
  <c r="BU8" i="5"/>
  <c r="BE8" i="5"/>
  <c r="AO8" i="5"/>
  <c r="Y8" i="5"/>
  <c r="CB7" i="5"/>
  <c r="BL7" i="5"/>
  <c r="AV7" i="5"/>
  <c r="AF7" i="5"/>
  <c r="P7" i="5"/>
  <c r="CI6" i="5"/>
  <c r="BS6" i="5"/>
  <c r="BC6" i="5"/>
  <c r="AM6" i="5"/>
  <c r="W6" i="5"/>
  <c r="BZ5" i="5"/>
  <c r="BJ5" i="5"/>
  <c r="AT5" i="5"/>
  <c r="AD5" i="5"/>
  <c r="N5" i="5"/>
  <c r="CA4" i="5"/>
  <c r="BK4" i="5"/>
  <c r="AU4" i="5"/>
  <c r="AE4" i="5"/>
  <c r="O4" i="5"/>
  <c r="BP6" i="5"/>
  <c r="AR4" i="5"/>
  <c r="BB64" i="5"/>
  <c r="AP43" i="5"/>
  <c r="AB40" i="5"/>
  <c r="BL38" i="5"/>
  <c r="AL37" i="5"/>
  <c r="M34" i="5"/>
  <c r="AB32" i="5"/>
  <c r="N31" i="5"/>
  <c r="CJ29" i="5"/>
  <c r="S65" i="5"/>
  <c r="BB59" i="5"/>
  <c r="AH49" i="5"/>
  <c r="BH47" i="5"/>
  <c r="BQ44" i="5"/>
  <c r="AX43" i="5"/>
  <c r="AU42" i="5"/>
  <c r="AO41" i="5"/>
  <c r="AP40" i="5"/>
  <c r="AN39" i="5"/>
  <c r="BT38" i="5"/>
  <c r="L38" i="5"/>
  <c r="AO37" i="5"/>
  <c r="BU36" i="5"/>
  <c r="O36" i="5"/>
  <c r="AU35" i="5"/>
  <c r="BX34" i="5"/>
  <c r="U34" i="5"/>
  <c r="AX33" i="5"/>
  <c r="CH32" i="5"/>
  <c r="AJ32" i="5"/>
  <c r="BU31" i="5"/>
  <c r="R31" i="5"/>
  <c r="BC30" i="5"/>
  <c r="AO29" i="5"/>
  <c r="CG28" i="5"/>
  <c r="BA28" i="5"/>
  <c r="U28" i="5"/>
  <c r="BX27" i="5"/>
  <c r="AR27" i="5"/>
  <c r="L27" i="5"/>
  <c r="BO26" i="5"/>
  <c r="AI26" i="5"/>
  <c r="BF25" i="5"/>
  <c r="Z25" i="5"/>
  <c r="CC24" i="5"/>
  <c r="AZ24" i="5"/>
  <c r="V24" i="5"/>
  <c r="CG23" i="5"/>
  <c r="BC23" i="5"/>
  <c r="Y23" i="5"/>
  <c r="CE22" i="5"/>
  <c r="BG22" i="5"/>
  <c r="AD22" i="5"/>
  <c r="BO21" i="5"/>
  <c r="AM21" i="5"/>
  <c r="L21" i="5"/>
  <c r="BX20" i="5"/>
  <c r="AW20" i="5"/>
  <c r="Z20" i="5"/>
  <c r="CG19" i="5"/>
  <c r="BF19" i="5"/>
  <c r="AI19" i="5"/>
  <c r="BT18" i="5"/>
  <c r="AX18" i="5"/>
  <c r="AH18" i="5"/>
  <c r="R18" i="5"/>
  <c r="CK17" i="5"/>
  <c r="BU17" i="5"/>
  <c r="BE17" i="5"/>
  <c r="AO17" i="5"/>
  <c r="Y17" i="5"/>
  <c r="CB16" i="5"/>
  <c r="BL16" i="5"/>
  <c r="AV16" i="5"/>
  <c r="AF16" i="5"/>
  <c r="P16" i="5"/>
  <c r="CI15" i="5"/>
  <c r="BS15" i="5"/>
  <c r="BC15" i="5"/>
  <c r="AM15" i="5"/>
  <c r="W15" i="5"/>
  <c r="BZ14" i="5"/>
  <c r="BJ14" i="5"/>
  <c r="AT14" i="5"/>
  <c r="AD14" i="5"/>
  <c r="N14" i="5"/>
  <c r="CG13" i="5"/>
  <c r="BQ13" i="5"/>
  <c r="BA13" i="5"/>
  <c r="AK13" i="5"/>
  <c r="U13" i="5"/>
  <c r="BX12" i="5"/>
  <c r="BH12" i="5"/>
  <c r="AR12" i="5"/>
  <c r="AB12" i="5"/>
  <c r="L12" i="5"/>
  <c r="CE11" i="5"/>
  <c r="BO11" i="5"/>
  <c r="AY11" i="5"/>
  <c r="AI11" i="5"/>
  <c r="S11" i="5"/>
  <c r="BV10" i="5"/>
  <c r="BF10" i="5"/>
  <c r="AP10" i="5"/>
  <c r="Z10" i="5"/>
  <c r="CC9" i="5"/>
  <c r="BM9" i="5"/>
  <c r="AW9" i="5"/>
  <c r="AG9" i="5"/>
  <c r="Q9" i="5"/>
  <c r="CJ8" i="5"/>
  <c r="BT8" i="5"/>
  <c r="BD8" i="5"/>
  <c r="AN8" i="5"/>
  <c r="X8" i="5"/>
  <c r="CA7" i="5"/>
  <c r="BK7" i="5"/>
  <c r="AU7" i="5"/>
  <c r="AE7" i="5"/>
  <c r="O7" i="5"/>
  <c r="CH6" i="5"/>
  <c r="BR6" i="5"/>
  <c r="BB6" i="5"/>
  <c r="AL6" i="5"/>
  <c r="V6" i="5"/>
  <c r="BY5" i="5"/>
  <c r="BI5" i="5"/>
  <c r="AS5" i="5"/>
  <c r="AC5" i="5"/>
  <c r="M5" i="5"/>
  <c r="BZ4" i="5"/>
  <c r="BJ4" i="5"/>
  <c r="AT4" i="5"/>
  <c r="AD4" i="5"/>
  <c r="N4" i="5"/>
  <c r="AC7" i="5"/>
  <c r="AQ5" i="5"/>
  <c r="BX4" i="5"/>
  <c r="L4" i="5"/>
  <c r="BR64" i="5"/>
  <c r="AN59" i="5"/>
  <c r="BW55" i="5"/>
  <c r="CH50" i="5"/>
  <c r="O49" i="5"/>
  <c r="AZ47" i="5"/>
  <c r="BP44" i="5"/>
  <c r="AU43" i="5"/>
  <c r="AT42" i="5"/>
  <c r="AM41" i="5"/>
  <c r="AO40" i="5"/>
  <c r="AK39" i="5"/>
  <c r="BN38" i="5"/>
  <c r="AN37" i="5"/>
  <c r="BT36" i="5"/>
  <c r="N36" i="5"/>
  <c r="AT35" i="5"/>
  <c r="BW34" i="5"/>
  <c r="T34" i="5"/>
  <c r="AV33" i="5"/>
  <c r="CG32" i="5"/>
  <c r="AI32" i="5"/>
  <c r="BO31" i="5"/>
  <c r="Q31" i="5"/>
  <c r="BA30" i="5"/>
  <c r="AN29" i="5"/>
  <c r="CF28" i="5"/>
  <c r="AZ28" i="5"/>
  <c r="T28" i="5"/>
  <c r="BW27" i="5"/>
  <c r="AQ27" i="5"/>
  <c r="BN26" i="5"/>
  <c r="AH26" i="5"/>
  <c r="CK25" i="5"/>
  <c r="BE25" i="5"/>
  <c r="Y25" i="5"/>
  <c r="CB24" i="5"/>
  <c r="AX24" i="5"/>
  <c r="U24" i="5"/>
  <c r="CF23" i="5"/>
  <c r="BB23" i="5"/>
  <c r="X23" i="5"/>
  <c r="CD22" i="5"/>
  <c r="AZ22" i="5"/>
  <c r="AC22" i="5"/>
  <c r="CK21" i="5"/>
  <c r="BN21" i="5"/>
  <c r="AL21" i="5"/>
  <c r="BW20" i="5"/>
  <c r="AV20" i="5"/>
  <c r="Y20" i="5"/>
  <c r="CF19" i="5"/>
  <c r="BE19" i="5"/>
  <c r="AH19" i="5"/>
  <c r="BS18" i="5"/>
  <c r="AW18" i="5"/>
  <c r="AG18" i="5"/>
  <c r="Q18" i="5"/>
  <c r="CJ17" i="5"/>
  <c r="BT17" i="5"/>
  <c r="BD17" i="5"/>
  <c r="AN17" i="5"/>
  <c r="X17" i="5"/>
  <c r="CA16" i="5"/>
  <c r="BK16" i="5"/>
  <c r="AU16" i="5"/>
  <c r="AE16" i="5"/>
  <c r="O16" i="5"/>
  <c r="CH15" i="5"/>
  <c r="BR15" i="5"/>
  <c r="BB15" i="5"/>
  <c r="AL15" i="5"/>
  <c r="V15" i="5"/>
  <c r="BY14" i="5"/>
  <c r="BI14" i="5"/>
  <c r="AS14" i="5"/>
  <c r="AC14" i="5"/>
  <c r="M14" i="5"/>
  <c r="CF13" i="5"/>
  <c r="BP13" i="5"/>
  <c r="AZ13" i="5"/>
  <c r="AJ13" i="5"/>
  <c r="T13" i="5"/>
  <c r="BW12" i="5"/>
  <c r="BG12" i="5"/>
  <c r="AQ12" i="5"/>
  <c r="AA12" i="5"/>
  <c r="CD11" i="5"/>
  <c r="BN11" i="5"/>
  <c r="AX11" i="5"/>
  <c r="AH11" i="5"/>
  <c r="R11" i="5"/>
  <c r="CK10" i="5"/>
  <c r="BU10" i="5"/>
  <c r="BE10" i="5"/>
  <c r="AO10" i="5"/>
  <c r="Y10" i="5"/>
  <c r="CB9" i="5"/>
  <c r="BL9" i="5"/>
  <c r="AV9" i="5"/>
  <c r="AF9" i="5"/>
  <c r="P9" i="5"/>
  <c r="CI8" i="5"/>
  <c r="BS8" i="5"/>
  <c r="BC8" i="5"/>
  <c r="AM8" i="5"/>
  <c r="W8" i="5"/>
  <c r="BZ7" i="5"/>
  <c r="BJ7" i="5"/>
  <c r="AT7" i="5"/>
  <c r="AD7" i="5"/>
  <c r="N7" i="5"/>
  <c r="CG6" i="5"/>
  <c r="BQ6" i="5"/>
  <c r="BA6" i="5"/>
  <c r="AK6" i="5"/>
  <c r="U6" i="5"/>
  <c r="BX5" i="5"/>
  <c r="BH5" i="5"/>
  <c r="AR5" i="5"/>
  <c r="AB5" i="5"/>
  <c r="L5" i="5"/>
  <c r="BY4" i="5"/>
  <c r="BI4" i="5"/>
  <c r="AS4" i="5"/>
  <c r="AC4" i="5"/>
  <c r="M4" i="5"/>
  <c r="CF6" i="5"/>
  <c r="AJ6" i="5"/>
  <c r="T6" i="5"/>
  <c r="CJ52" i="5"/>
  <c r="CD50" i="5"/>
  <c r="M49" i="5"/>
  <c r="AU47" i="5"/>
  <c r="BS34" i="5"/>
  <c r="BC64" i="5"/>
  <c r="AM59" i="5"/>
  <c r="BQ55" i="5"/>
  <c r="CK52" i="5"/>
  <c r="CF50" i="5"/>
  <c r="N49" i="5"/>
  <c r="AV47" i="5"/>
  <c r="BN44" i="5"/>
  <c r="AT43" i="5"/>
  <c r="AS42" i="5"/>
  <c r="AJ41" i="5"/>
  <c r="AC40" i="5"/>
  <c r="AJ39" i="5"/>
  <c r="BM38" i="5"/>
  <c r="AM37" i="5"/>
  <c r="BS36" i="5"/>
  <c r="M36" i="5"/>
  <c r="AS35" i="5"/>
  <c r="BT34" i="5"/>
  <c r="N34" i="5"/>
  <c r="AU33" i="5"/>
  <c r="CF32" i="5"/>
  <c r="AH32" i="5"/>
  <c r="BN31" i="5"/>
  <c r="P31" i="5"/>
  <c r="AZ30" i="5"/>
  <c r="CK29" i="5"/>
  <c r="AM29" i="5"/>
  <c r="CE28" i="5"/>
  <c r="AY28" i="5"/>
  <c r="S28" i="5"/>
  <c r="BV27" i="5"/>
  <c r="AP27" i="5"/>
  <c r="BM26" i="5"/>
  <c r="AG26" i="5"/>
  <c r="CJ25" i="5"/>
  <c r="BD25" i="5"/>
  <c r="X25" i="5"/>
  <c r="CA24" i="5"/>
  <c r="AW24" i="5"/>
  <c r="T24" i="5"/>
  <c r="BY23" i="5"/>
  <c r="BA23" i="5"/>
  <c r="W23" i="5"/>
  <c r="CB22" i="5"/>
  <c r="AY22" i="5"/>
  <c r="AB22" i="5"/>
  <c r="CI21" i="5"/>
  <c r="BH21" i="5"/>
  <c r="AK21" i="5"/>
  <c r="BV20" i="5"/>
  <c r="AT20" i="5"/>
  <c r="S20" i="5"/>
  <c r="CE19" i="5"/>
  <c r="BD19" i="5"/>
  <c r="AG19" i="5"/>
  <c r="BM18" i="5"/>
  <c r="AV18" i="5"/>
  <c r="AF18" i="5"/>
  <c r="P18" i="5"/>
  <c r="CI17" i="5"/>
  <c r="BS17" i="5"/>
  <c r="BC17" i="5"/>
  <c r="AM17" i="5"/>
  <c r="W17" i="5"/>
  <c r="BZ16" i="5"/>
  <c r="BJ16" i="5"/>
  <c r="AT16" i="5"/>
  <c r="AD16" i="5"/>
  <c r="N16" i="5"/>
  <c r="CG15" i="5"/>
  <c r="BQ15" i="5"/>
  <c r="BA15" i="5"/>
  <c r="AK15" i="5"/>
  <c r="U15" i="5"/>
  <c r="BX14" i="5"/>
  <c r="BH14" i="5"/>
  <c r="AR14" i="5"/>
  <c r="AB14" i="5"/>
  <c r="L14" i="5"/>
  <c r="CE13" i="5"/>
  <c r="BO13" i="5"/>
  <c r="AY13" i="5"/>
  <c r="AI13" i="5"/>
  <c r="S13" i="5"/>
  <c r="BV12" i="5"/>
  <c r="BF12" i="5"/>
  <c r="AP12" i="5"/>
  <c r="Z12" i="5"/>
  <c r="CC11" i="5"/>
  <c r="BM11" i="5"/>
  <c r="AW11" i="5"/>
  <c r="AG11" i="5"/>
  <c r="Q11" i="5"/>
  <c r="CJ10" i="5"/>
  <c r="BT10" i="5"/>
  <c r="BD10" i="5"/>
  <c r="AN10" i="5"/>
  <c r="X10" i="5"/>
  <c r="CA9" i="5"/>
  <c r="BK9" i="5"/>
  <c r="AU9" i="5"/>
  <c r="AE9" i="5"/>
  <c r="O9" i="5"/>
  <c r="CH8" i="5"/>
  <c r="BR8" i="5"/>
  <c r="BB8" i="5"/>
  <c r="AL8" i="5"/>
  <c r="V8" i="5"/>
  <c r="BY7" i="5"/>
  <c r="BI7" i="5"/>
  <c r="AS7" i="5"/>
  <c r="BC62" i="5"/>
  <c r="AC58" i="5"/>
  <c r="BZ54" i="5"/>
  <c r="AG52" i="5"/>
  <c r="AF50" i="5"/>
  <c r="AX48" i="5"/>
  <c r="M47" i="5"/>
  <c r="BA45" i="5"/>
  <c r="Y44" i="5"/>
  <c r="L43" i="5"/>
  <c r="CI39" i="5"/>
  <c r="R39" i="5"/>
  <c r="AU38" i="5"/>
  <c r="CA37" i="5"/>
  <c r="S37" i="5"/>
  <c r="AV36" i="5"/>
  <c r="CB35" i="5"/>
  <c r="V35" i="5"/>
  <c r="BB34" i="5"/>
  <c r="CE33" i="5"/>
  <c r="AD33" i="5"/>
  <c r="BO32" i="5"/>
  <c r="L32" i="5"/>
  <c r="AW31" i="5"/>
  <c r="CG30" i="5"/>
  <c r="AI30" i="5"/>
  <c r="BT29" i="5"/>
  <c r="Q29" i="5"/>
  <c r="BT28" i="5"/>
  <c r="AN28" i="5"/>
  <c r="BK27" i="5"/>
  <c r="AE27" i="5"/>
  <c r="CH26" i="5"/>
  <c r="BB26" i="5"/>
  <c r="V26" i="5"/>
  <c r="BY25" i="5"/>
  <c r="AS25" i="5"/>
  <c r="M25" i="5"/>
  <c r="BQ24" i="5"/>
  <c r="AS24" i="5"/>
  <c r="O24" i="5"/>
  <c r="BT23" i="5"/>
  <c r="AQ23" i="5"/>
  <c r="M23" i="5"/>
  <c r="BX22" i="5"/>
  <c r="AT22" i="5"/>
  <c r="S22" i="5"/>
  <c r="CE21" i="5"/>
  <c r="BC21" i="5"/>
  <c r="AB21" i="5"/>
  <c r="BM20" i="5"/>
  <c r="AP20" i="5"/>
  <c r="N20" i="5"/>
  <c r="BV19" i="5"/>
  <c r="AY19" i="5"/>
  <c r="X19" i="5"/>
  <c r="CJ18" i="5"/>
  <c r="BH18" i="5"/>
  <c r="AR18" i="5"/>
  <c r="AB18" i="5"/>
  <c r="L18" i="5"/>
  <c r="CE17" i="5"/>
  <c r="BO17" i="5"/>
  <c r="AY17" i="5"/>
  <c r="AI17" i="5"/>
  <c r="S17" i="5"/>
  <c r="BV16" i="5"/>
  <c r="BF16" i="5"/>
  <c r="AP16" i="5"/>
  <c r="Z16" i="5"/>
  <c r="CC15" i="5"/>
  <c r="BM15" i="5"/>
  <c r="AW15" i="5"/>
  <c r="AG15" i="5"/>
  <c r="Q15" i="5"/>
  <c r="CJ14" i="5"/>
  <c r="BT14" i="5"/>
  <c r="BD14" i="5"/>
  <c r="AN14" i="5"/>
  <c r="X14" i="5"/>
  <c r="CA13" i="5"/>
  <c r="BK13" i="5"/>
  <c r="AU13" i="5"/>
  <c r="AE13" i="5"/>
  <c r="O13" i="5"/>
  <c r="CH12" i="5"/>
  <c r="BR12" i="5"/>
  <c r="BB12" i="5"/>
  <c r="AL12" i="5"/>
  <c r="V12" i="5"/>
  <c r="BY11" i="5"/>
  <c r="BI11" i="5"/>
  <c r="AS11" i="5"/>
  <c r="AC11" i="5"/>
  <c r="M11" i="5"/>
  <c r="CF10" i="5"/>
  <c r="BP10" i="5"/>
  <c r="AZ10" i="5"/>
  <c r="AJ10" i="5"/>
  <c r="T10" i="5"/>
  <c r="BW9" i="5"/>
  <c r="BG9" i="5"/>
  <c r="AQ9" i="5"/>
  <c r="AA9" i="5"/>
  <c r="CD8" i="5"/>
  <c r="BN8" i="5"/>
  <c r="AX8" i="5"/>
  <c r="AH8" i="5"/>
  <c r="R8" i="5"/>
  <c r="CK7" i="5"/>
  <c r="BU7" i="5"/>
  <c r="BE7" i="5"/>
  <c r="AO7" i="5"/>
  <c r="Y7" i="5"/>
  <c r="CB6" i="5"/>
  <c r="BL6" i="5"/>
  <c r="AV6" i="5"/>
  <c r="AF6" i="5"/>
  <c r="P6" i="5"/>
  <c r="CI5" i="5"/>
  <c r="BS5" i="5"/>
  <c r="BC5" i="5"/>
  <c r="AM5" i="5"/>
  <c r="W5" i="5"/>
  <c r="CJ4" i="5"/>
  <c r="BT4" i="5"/>
  <c r="BD4" i="5"/>
  <c r="AN4" i="5"/>
  <c r="X4" i="5"/>
  <c r="BZ46" i="5"/>
  <c r="S44" i="5"/>
  <c r="CH41" i="5"/>
  <c r="CB40" i="5"/>
  <c r="CC39" i="5"/>
  <c r="BS37" i="5"/>
  <c r="P37" i="5"/>
  <c r="AS36" i="5"/>
  <c r="Q35" i="5"/>
  <c r="AT34" i="5"/>
  <c r="AA33" i="5"/>
  <c r="BG32" i="5"/>
  <c r="AS31" i="5"/>
  <c r="CD30" i="5"/>
  <c r="BL29" i="5"/>
  <c r="N29" i="5"/>
  <c r="AK28" i="5"/>
  <c r="AB27" i="5"/>
  <c r="BS57" i="5"/>
  <c r="AN54" i="5"/>
  <c r="M50" i="5"/>
  <c r="AR48" i="5"/>
  <c r="CD46" i="5"/>
  <c r="AR45" i="5"/>
  <c r="W44" i="5"/>
  <c r="CD39" i="5"/>
  <c r="AQ38" i="5"/>
  <c r="BT37" i="5"/>
  <c r="Q37" i="5"/>
  <c r="AT36" i="5"/>
  <c r="BZ35" i="5"/>
  <c r="T35" i="5"/>
  <c r="AZ34" i="5"/>
  <c r="CA33" i="5"/>
  <c r="AB33" i="5"/>
  <c r="BH32" i="5"/>
  <c r="AT31" i="5"/>
  <c r="CE30" i="5"/>
  <c r="AG30" i="5"/>
  <c r="BM29" i="5"/>
  <c r="O29" i="5"/>
  <c r="BR28" i="5"/>
  <c r="AL28" i="5"/>
  <c r="BI27" i="5"/>
  <c r="AC27" i="5"/>
  <c r="CF26" i="5"/>
  <c r="AZ26" i="5"/>
  <c r="T26" i="5"/>
  <c r="BW25" i="5"/>
  <c r="AQ25" i="5"/>
  <c r="BP24" i="5"/>
  <c r="AL24" i="5"/>
  <c r="N24" i="5"/>
  <c r="BS23" i="5"/>
  <c r="AO23" i="5"/>
  <c r="L23" i="5"/>
  <c r="BW22" i="5"/>
  <c r="AS22" i="5"/>
  <c r="R22" i="5"/>
  <c r="CD21" i="5"/>
  <c r="BB21" i="5"/>
  <c r="AA21" i="5"/>
  <c r="BL20" i="5"/>
  <c r="AO20" i="5"/>
  <c r="M20" i="5"/>
  <c r="BU19" i="5"/>
  <c r="AX19" i="5"/>
  <c r="W19" i="5"/>
  <c r="CI18" i="5"/>
  <c r="BG18" i="5"/>
  <c r="AQ18" i="5"/>
  <c r="AA18" i="5"/>
  <c r="CD17" i="5"/>
  <c r="BN17" i="5"/>
  <c r="AX17" i="5"/>
  <c r="AH17" i="5"/>
  <c r="R17" i="5"/>
  <c r="CK16" i="5"/>
  <c r="BU16" i="5"/>
  <c r="BE16" i="5"/>
  <c r="AO16" i="5"/>
  <c r="Y16" i="5"/>
  <c r="CB15" i="5"/>
  <c r="BL15" i="5"/>
  <c r="AV15" i="5"/>
  <c r="AF15" i="5"/>
  <c r="P15" i="5"/>
  <c r="CI14" i="5"/>
  <c r="BS14" i="5"/>
  <c r="BC14" i="5"/>
  <c r="AM14" i="5"/>
  <c r="W14" i="5"/>
  <c r="BZ13" i="5"/>
  <c r="BJ13" i="5"/>
  <c r="AT13" i="5"/>
  <c r="AD13" i="5"/>
  <c r="N13" i="5"/>
  <c r="CG12" i="5"/>
  <c r="BQ12" i="5"/>
  <c r="BA12" i="5"/>
  <c r="AK12" i="5"/>
  <c r="U12" i="5"/>
  <c r="BX11" i="5"/>
  <c r="BH11" i="5"/>
  <c r="AR11" i="5"/>
  <c r="AB11" i="5"/>
  <c r="L11" i="5"/>
  <c r="CE10" i="5"/>
  <c r="BO10" i="5"/>
  <c r="AY10" i="5"/>
  <c r="AI10" i="5"/>
  <c r="S10" i="5"/>
  <c r="BV9" i="5"/>
  <c r="BF9" i="5"/>
  <c r="AP9" i="5"/>
  <c r="Z9" i="5"/>
  <c r="CC8" i="5"/>
  <c r="BM8" i="5"/>
  <c r="AW8" i="5"/>
  <c r="AG8" i="5"/>
  <c r="Q8" i="5"/>
  <c r="CJ7" i="5"/>
  <c r="BT7" i="5"/>
  <c r="BD7" i="5"/>
  <c r="AN7" i="5"/>
  <c r="X7" i="5"/>
  <c r="CA6" i="5"/>
  <c r="BK6" i="5"/>
  <c r="AU6" i="5"/>
  <c r="AE6" i="5"/>
  <c r="O6" i="5"/>
  <c r="CH5" i="5"/>
  <c r="BR5" i="5"/>
  <c r="BB5" i="5"/>
  <c r="AL5" i="5"/>
  <c r="V5" i="5"/>
  <c r="CI4" i="5"/>
  <c r="BS4" i="5"/>
  <c r="BC4" i="5"/>
  <c r="AM4" i="5"/>
  <c r="W4" i="5"/>
  <c r="BZ61" i="5"/>
  <c r="BQ57" i="5"/>
  <c r="AJ54" i="5"/>
  <c r="AP48" i="5"/>
  <c r="AQ45" i="5"/>
  <c r="AP38" i="5"/>
  <c r="BY35" i="5"/>
  <c r="BZ33" i="5"/>
  <c r="AF30" i="5"/>
  <c r="BQ28" i="5"/>
  <c r="BH27" i="5"/>
  <c r="AD58" i="5"/>
  <c r="CD51" i="5"/>
  <c r="BO46" i="5"/>
  <c r="M43" i="5"/>
  <c r="BU40" i="5"/>
  <c r="AN38" i="5"/>
  <c r="BB36" i="5"/>
  <c r="M35" i="5"/>
  <c r="T33" i="5"/>
  <c r="AX31" i="5"/>
  <c r="W30" i="5"/>
  <c r="BP28" i="5"/>
  <c r="CK27" i="5"/>
  <c r="AF26" i="5"/>
  <c r="BC25" i="5"/>
  <c r="BZ24" i="5"/>
  <c r="R24" i="5"/>
  <c r="AZ23" i="5"/>
  <c r="CA22" i="5"/>
  <c r="AA22" i="5"/>
  <c r="BG21" i="5"/>
  <c r="AS20" i="5"/>
  <c r="CD19" i="5"/>
  <c r="AF19" i="5"/>
  <c r="BL18" i="5"/>
  <c r="AE18" i="5"/>
  <c r="CH17" i="5"/>
  <c r="BB17" i="5"/>
  <c r="V17" i="5"/>
  <c r="BY16" i="5"/>
  <c r="AS16" i="5"/>
  <c r="M16" i="5"/>
  <c r="BP15" i="5"/>
  <c r="AJ15" i="5"/>
  <c r="BG14" i="5"/>
  <c r="AA14" i="5"/>
  <c r="CD13" i="5"/>
  <c r="AX13" i="5"/>
  <c r="R13" i="5"/>
  <c r="BU12" i="5"/>
  <c r="AO12" i="5"/>
  <c r="BL11" i="5"/>
  <c r="AF11" i="5"/>
  <c r="CI10" i="5"/>
  <c r="BC10" i="5"/>
  <c r="W10" i="5"/>
  <c r="BZ9" i="5"/>
  <c r="AT9" i="5"/>
  <c r="N9" i="5"/>
  <c r="BQ8" i="5"/>
  <c r="AK8" i="5"/>
  <c r="BH7" i="5"/>
  <c r="AB7" i="5"/>
  <c r="CE6" i="5"/>
  <c r="AY6" i="5"/>
  <c r="S6" i="5"/>
  <c r="BV5" i="5"/>
  <c r="AP5" i="5"/>
  <c r="BW4" i="5"/>
  <c r="AQ4" i="5"/>
  <c r="BG7" i="5"/>
  <c r="AA7" i="5"/>
  <c r="CD6" i="5"/>
  <c r="AX6" i="5"/>
  <c r="BU5" i="5"/>
  <c r="AO5" i="5"/>
  <c r="BV4" i="5"/>
  <c r="Y14" i="5"/>
  <c r="U10" i="5"/>
  <c r="L9" i="5"/>
  <c r="Q6" i="5"/>
  <c r="AA11" i="5"/>
  <c r="BC7" i="5"/>
  <c r="BZ6" i="5"/>
  <c r="BQ5" i="5"/>
  <c r="BR4" i="5"/>
  <c r="BM55" i="5"/>
  <c r="M31" i="5"/>
  <c r="BL24" i="5"/>
  <c r="CE20" i="5"/>
  <c r="O17" i="5"/>
  <c r="BW13" i="5"/>
  <c r="BS9" i="5"/>
  <c r="AR6" i="5"/>
  <c r="CD49" i="5"/>
  <c r="BO37" i="5"/>
  <c r="CC35" i="5"/>
  <c r="BE32" i="5"/>
  <c r="BG29" i="5"/>
  <c r="P26" i="5"/>
  <c r="BK24" i="5"/>
  <c r="AK23" i="5"/>
  <c r="AX21" i="5"/>
  <c r="AF20" i="5"/>
  <c r="R19" i="5"/>
  <c r="AT17" i="5"/>
  <c r="BQ16" i="5"/>
  <c r="BH15" i="5"/>
  <c r="AY14" i="5"/>
  <c r="AP13" i="5"/>
  <c r="AG12" i="5"/>
  <c r="CA10" i="5"/>
  <c r="AL9" i="5"/>
  <c r="AZ7" i="5"/>
  <c r="AQ6" i="5"/>
  <c r="AJ28" i="5"/>
  <c r="AD20" i="5"/>
  <c r="BG15" i="5"/>
  <c r="CI11" i="5"/>
  <c r="BH8" i="5"/>
  <c r="AG5" i="5"/>
  <c r="AT64" i="5"/>
  <c r="S39" i="5"/>
  <c r="BM37" i="5"/>
  <c r="CF33" i="5"/>
  <c r="AI28" i="5"/>
  <c r="W25" i="5"/>
  <c r="CH21" i="5"/>
  <c r="O18" i="5"/>
  <c r="BI16" i="5"/>
  <c r="BW14" i="5"/>
  <c r="AH13" i="5"/>
  <c r="AV11" i="5"/>
  <c r="BX7" i="5"/>
  <c r="Z5" i="5"/>
  <c r="BD57" i="5"/>
  <c r="BV50" i="5"/>
  <c r="BN46" i="5"/>
  <c r="CF42" i="5"/>
  <c r="AA40" i="5"/>
  <c r="AH38" i="5"/>
  <c r="AP36" i="5"/>
  <c r="BR34" i="5"/>
  <c r="S33" i="5"/>
  <c r="AR31" i="5"/>
  <c r="CI29" i="5"/>
  <c r="BO28" i="5"/>
  <c r="CJ27" i="5"/>
  <c r="AE26" i="5"/>
  <c r="BB25" i="5"/>
  <c r="BY24" i="5"/>
  <c r="Q24" i="5"/>
  <c r="AS23" i="5"/>
  <c r="BZ22" i="5"/>
  <c r="U22" i="5"/>
  <c r="BF21" i="5"/>
  <c r="AR20" i="5"/>
  <c r="CC19" i="5"/>
  <c r="Z19" i="5"/>
  <c r="BK18" i="5"/>
  <c r="AD18" i="5"/>
  <c r="CG17" i="5"/>
  <c r="BA17" i="5"/>
  <c r="U17" i="5"/>
  <c r="BX16" i="5"/>
  <c r="AR16" i="5"/>
  <c r="L16" i="5"/>
  <c r="BO15" i="5"/>
  <c r="AI15" i="5"/>
  <c r="BF14" i="5"/>
  <c r="Z14" i="5"/>
  <c r="CC13" i="5"/>
  <c r="AW13" i="5"/>
  <c r="Q13" i="5"/>
  <c r="BT12" i="5"/>
  <c r="AN12" i="5"/>
  <c r="BK11" i="5"/>
  <c r="AE11" i="5"/>
  <c r="CH10" i="5"/>
  <c r="BB10" i="5"/>
  <c r="V10" i="5"/>
  <c r="BY9" i="5"/>
  <c r="AS9" i="5"/>
  <c r="M9" i="5"/>
  <c r="BP8" i="5"/>
  <c r="AJ8" i="5"/>
  <c r="R6" i="5"/>
  <c r="AP4" i="5"/>
  <c r="AV13" i="5"/>
  <c r="AD11" i="5"/>
  <c r="CG10" i="5"/>
  <c r="BX9" i="5"/>
  <c r="AR9" i="5"/>
  <c r="BO8" i="5"/>
  <c r="AI8" i="5"/>
  <c r="Z7" i="5"/>
  <c r="CC6" i="5"/>
  <c r="AW6" i="5"/>
  <c r="BT5" i="5"/>
  <c r="AN5" i="5"/>
  <c r="BU4" i="5"/>
  <c r="AO4" i="5"/>
  <c r="BG11" i="5"/>
  <c r="AF8" i="5"/>
  <c r="AT6" i="5"/>
  <c r="CI49" i="5"/>
  <c r="AW28" i="5"/>
  <c r="AL23" i="5"/>
  <c r="S19" i="5"/>
  <c r="AV10" i="5"/>
  <c r="BA7" i="5"/>
  <c r="AJ4" i="5"/>
  <c r="BF27" i="5"/>
  <c r="M22" i="5"/>
  <c r="W18" i="5"/>
  <c r="BV13" i="5"/>
  <c r="CJ11" i="5"/>
  <c r="O10" i="5"/>
  <c r="AC8" i="5"/>
  <c r="N54" i="5"/>
  <c r="BC32" i="5"/>
  <c r="AL25" i="5"/>
  <c r="BK22" i="5"/>
  <c r="Q19" i="5"/>
  <c r="BP16" i="5"/>
  <c r="AX14" i="5"/>
  <c r="W11" i="5"/>
  <c r="AK9" i="5"/>
  <c r="AY7" i="5"/>
  <c r="BM5" i="5"/>
  <c r="CF41" i="5"/>
  <c r="R20" i="5"/>
  <c r="AZ15" i="5"/>
  <c r="Y12" i="5"/>
  <c r="AD9" i="5"/>
  <c r="BO6" i="5"/>
  <c r="BC57" i="5"/>
  <c r="AH50" i="5"/>
  <c r="BJ46" i="5"/>
  <c r="CE42" i="5"/>
  <c r="CJ39" i="5"/>
  <c r="AG38" i="5"/>
  <c r="AO36" i="5"/>
  <c r="BC34" i="5"/>
  <c r="R33" i="5"/>
  <c r="AQ31" i="5"/>
  <c r="BU29" i="5"/>
  <c r="BN28" i="5"/>
  <c r="BU27" i="5"/>
  <c r="CI26" i="5"/>
  <c r="W26" i="5"/>
  <c r="AT25" i="5"/>
  <c r="BR24" i="5"/>
  <c r="P24" i="5"/>
  <c r="AR23" i="5"/>
  <c r="BY22" i="5"/>
  <c r="T22" i="5"/>
  <c r="BE21" i="5"/>
  <c r="AQ20" i="5"/>
  <c r="CB19" i="5"/>
  <c r="Y19" i="5"/>
  <c r="BJ18" i="5"/>
  <c r="AC18" i="5"/>
  <c r="CF17" i="5"/>
  <c r="AZ17" i="5"/>
  <c r="T17" i="5"/>
  <c r="BW16" i="5"/>
  <c r="AQ16" i="5"/>
  <c r="BN15" i="5"/>
  <c r="AH15" i="5"/>
  <c r="CK14" i="5"/>
  <c r="BE14" i="5"/>
  <c r="CB13" i="5"/>
  <c r="P13" i="5"/>
  <c r="BS12" i="5"/>
  <c r="AM12" i="5"/>
  <c r="BJ11" i="5"/>
  <c r="BA10" i="5"/>
  <c r="BF7" i="5"/>
  <c r="AF42" i="5"/>
  <c r="BH29" i="5"/>
  <c r="Q26" i="5"/>
  <c r="AY21" i="5"/>
  <c r="AG20" i="5"/>
  <c r="X18" i="5"/>
  <c r="AU17" i="5"/>
  <c r="AL16" i="5"/>
  <c r="AC15" i="5"/>
  <c r="AZ14" i="5"/>
  <c r="AQ13" i="5"/>
  <c r="CK11" i="5"/>
  <c r="CB10" i="5"/>
  <c r="BP4" i="5"/>
  <c r="CA54" i="5"/>
  <c r="BO39" i="5"/>
  <c r="AN34" i="5"/>
  <c r="CI30" i="5"/>
  <c r="CB26" i="5"/>
  <c r="BD11" i="5"/>
  <c r="BN5" i="5"/>
  <c r="AA45" i="5"/>
  <c r="L34" i="5"/>
  <c r="AG29" i="5"/>
  <c r="O26" i="5"/>
  <c r="CK23" i="5"/>
  <c r="L22" i="5"/>
  <c r="BO19" i="5"/>
  <c r="V18" i="5"/>
  <c r="M17" i="5"/>
  <c r="BN4" i="5"/>
  <c r="V45" i="5"/>
  <c r="BB32" i="5"/>
  <c r="BD27" i="5"/>
  <c r="AV24" i="5"/>
  <c r="V23" i="5"/>
  <c r="BU20" i="5"/>
  <c r="BC19" i="5"/>
  <c r="BR17" i="5"/>
  <c r="AL17" i="5"/>
  <c r="CF15" i="5"/>
  <c r="T15" i="5"/>
  <c r="AQ14" i="5"/>
  <c r="BN13" i="5"/>
  <c r="CK12" i="5"/>
  <c r="BE12" i="5"/>
  <c r="CB11" i="5"/>
  <c r="BS10" i="5"/>
  <c r="AM10" i="5"/>
  <c r="BJ9" i="5"/>
  <c r="CG8" i="5"/>
  <c r="U8" i="5"/>
  <c r="AR7" i="5"/>
  <c r="L7" i="5"/>
  <c r="AY57" i="5"/>
  <c r="CE45" i="5"/>
  <c r="CD42" i="5"/>
  <c r="CB39" i="5"/>
  <c r="AN36" i="5"/>
  <c r="AS34" i="5"/>
  <c r="CD32" i="5"/>
  <c r="AP31" i="5"/>
  <c r="BK29" i="5"/>
  <c r="BM28" i="5"/>
  <c r="BT27" i="5"/>
  <c r="CE26" i="5"/>
  <c r="S26" i="5"/>
  <c r="AP25" i="5"/>
  <c r="BN24" i="5"/>
  <c r="M24" i="5"/>
  <c r="AN23" i="5"/>
  <c r="BP22" i="5"/>
  <c r="P22" i="5"/>
  <c r="BA21" i="5"/>
  <c r="AI20" i="5"/>
  <c r="BT19" i="5"/>
  <c r="U19" i="5"/>
  <c r="BF18" i="5"/>
  <c r="Z18" i="5"/>
  <c r="CC17" i="5"/>
  <c r="AW17" i="5"/>
  <c r="Q17" i="5"/>
  <c r="BT16" i="5"/>
  <c r="AN16" i="5"/>
  <c r="BK15" i="5"/>
  <c r="AE15" i="5"/>
  <c r="CH14" i="5"/>
  <c r="BB14" i="5"/>
  <c r="V14" i="5"/>
  <c r="BY13" i="5"/>
  <c r="AS13" i="5"/>
  <c r="M13" i="5"/>
  <c r="BP12" i="5"/>
  <c r="AJ12" i="5"/>
  <c r="CD10" i="5"/>
  <c r="AX10" i="5"/>
  <c r="R10" i="5"/>
  <c r="BU9" i="5"/>
  <c r="AO9" i="5"/>
  <c r="BL8" i="5"/>
  <c r="CI7" i="5"/>
  <c r="W7" i="5"/>
  <c r="N6" i="5"/>
  <c r="AK5" i="5"/>
  <c r="AL4" i="5"/>
  <c r="AP45" i="5"/>
  <c r="CC26" i="5"/>
  <c r="BN22" i="5"/>
  <c r="BQ19" i="5"/>
  <c r="CA17" i="5"/>
  <c r="BI15" i="5"/>
  <c r="T14" i="5"/>
  <c r="BN12" i="5"/>
  <c r="BE11" i="5"/>
  <c r="Y11" i="5"/>
  <c r="P10" i="5"/>
  <c r="BJ8" i="5"/>
  <c r="AD8" i="5"/>
  <c r="CG7" i="5"/>
  <c r="U7" i="5"/>
  <c r="L6" i="5"/>
  <c r="BO5" i="5"/>
  <c r="AI5" i="5"/>
  <c r="AF45" i="5"/>
  <c r="AO28" i="5"/>
  <c r="AM25" i="5"/>
  <c r="BL22" i="5"/>
  <c r="CD20" i="5"/>
  <c r="BP19" i="5"/>
  <c r="BC18" i="5"/>
  <c r="BZ17" i="5"/>
  <c r="N17" i="5"/>
  <c r="AK16" i="5"/>
  <c r="AB15" i="5"/>
  <c r="S14" i="5"/>
  <c r="BM12" i="5"/>
  <c r="X11" i="5"/>
  <c r="AU10" i="5"/>
  <c r="BR9" i="5"/>
  <c r="CF7" i="5"/>
  <c r="T7" i="5"/>
  <c r="BW6" i="5"/>
  <c r="AH5" i="5"/>
  <c r="BO4" i="5"/>
  <c r="AH39" i="5"/>
  <c r="BN37" i="5"/>
  <c r="BS35" i="5"/>
  <c r="CC30" i="5"/>
  <c r="BE27" i="5"/>
  <c r="BJ24" i="5"/>
  <c r="AJ23" i="5"/>
  <c r="CC20" i="5"/>
  <c r="BB18" i="5"/>
  <c r="AS17" i="5"/>
  <c r="AJ16" i="5"/>
  <c r="AA15" i="5"/>
  <c r="R14" i="5"/>
  <c r="BU13" i="5"/>
  <c r="AO13" i="5"/>
  <c r="AF12" i="5"/>
  <c r="BC11" i="5"/>
  <c r="BZ10" i="5"/>
  <c r="N10" i="5"/>
  <c r="BQ9" i="5"/>
  <c r="CE7" i="5"/>
  <c r="S7" i="5"/>
  <c r="BV6" i="5"/>
  <c r="M54" i="5"/>
  <c r="BR35" i="5"/>
  <c r="AF29" i="5"/>
  <c r="BL26" i="5"/>
  <c r="BX23" i="5"/>
  <c r="AJ21" i="5"/>
  <c r="AM57" i="5"/>
  <c r="BF45" i="5"/>
  <c r="CB42" i="5"/>
  <c r="BX39" i="5"/>
  <c r="CB37" i="5"/>
  <c r="AM36" i="5"/>
  <c r="AR34" i="5"/>
  <c r="BP32" i="5"/>
  <c r="AO31" i="5"/>
  <c r="BJ29" i="5"/>
  <c r="AX28" i="5"/>
  <c r="BL27" i="5"/>
  <c r="CD26" i="5"/>
  <c r="R26" i="5"/>
  <c r="AO25" i="5"/>
  <c r="BM24" i="5"/>
  <c r="AM23" i="5"/>
  <c r="BO22" i="5"/>
  <c r="O22" i="5"/>
  <c r="AZ21" i="5"/>
  <c r="CK20" i="5"/>
  <c r="AH20" i="5"/>
  <c r="BS19" i="5"/>
  <c r="T19" i="5"/>
  <c r="BE18" i="5"/>
  <c r="Y18" i="5"/>
  <c r="CB17" i="5"/>
  <c r="AV17" i="5"/>
  <c r="P17" i="5"/>
  <c r="BS16" i="5"/>
  <c r="AM16" i="5"/>
  <c r="BJ15" i="5"/>
  <c r="AD15" i="5"/>
  <c r="CG14" i="5"/>
  <c r="BA14" i="5"/>
  <c r="U14" i="5"/>
  <c r="BX13" i="5"/>
  <c r="AR13" i="5"/>
  <c r="L13" i="5"/>
  <c r="BO12" i="5"/>
  <c r="AI12" i="5"/>
  <c r="BF11" i="5"/>
  <c r="Z11" i="5"/>
  <c r="CC10" i="5"/>
  <c r="AW10" i="5"/>
  <c r="Q10" i="5"/>
  <c r="BT9" i="5"/>
  <c r="AN9" i="5"/>
  <c r="BK8" i="5"/>
  <c r="AE8" i="5"/>
  <c r="CH7" i="5"/>
  <c r="BB7" i="5"/>
  <c r="V7" i="5"/>
  <c r="BY6" i="5"/>
  <c r="AS6" i="5"/>
  <c r="M6" i="5"/>
  <c r="BP5" i="5"/>
  <c r="AJ5" i="5"/>
  <c r="BQ4" i="5"/>
  <c r="AK4" i="5"/>
  <c r="BW39" i="5"/>
  <c r="BR37" i="5"/>
  <c r="AQ34" i="5"/>
  <c r="BF32" i="5"/>
  <c r="BG27" i="5"/>
  <c r="AN25" i="5"/>
  <c r="N22" i="5"/>
  <c r="BD18" i="5"/>
  <c r="BR16" i="5"/>
  <c r="CF14" i="5"/>
  <c r="AH12" i="5"/>
  <c r="AM9" i="5"/>
  <c r="BX6" i="5"/>
  <c r="CE14" i="5"/>
  <c r="BI8" i="5"/>
  <c r="AI4" i="5"/>
  <c r="CG41" i="5"/>
  <c r="CA26" i="5"/>
  <c r="AR21" i="5"/>
  <c r="BY17" i="5"/>
  <c r="CD14" i="5"/>
  <c r="BL12" i="5"/>
  <c r="AT10" i="5"/>
  <c r="AB8" i="5"/>
  <c r="AP6" i="5"/>
  <c r="AH4" i="5"/>
  <c r="BD48" i="5"/>
  <c r="CB30" i="5"/>
  <c r="CI25" i="5"/>
  <c r="AX22" i="5"/>
  <c r="AU18" i="5"/>
  <c r="AC16" i="5"/>
  <c r="P11" i="5"/>
  <c r="BA8" i="5"/>
  <c r="AI6" i="5"/>
  <c r="BG4" i="5"/>
  <c r="CG62" i="5"/>
  <c r="L54" i="5"/>
  <c r="AL48" i="5"/>
  <c r="AZ44" i="5"/>
  <c r="CE41" i="5"/>
  <c r="AI37" i="5"/>
  <c r="BQ35" i="5"/>
  <c r="BY33" i="5"/>
  <c r="AA32" i="5"/>
  <c r="BV30" i="5"/>
  <c r="W29" i="5"/>
  <c r="AH28" i="5"/>
  <c r="AO27" i="5"/>
  <c r="BK26" i="5"/>
  <c r="CH25" i="5"/>
  <c r="V25" i="5"/>
  <c r="AU24" i="5"/>
  <c r="BW23" i="5"/>
  <c r="U23" i="5"/>
  <c r="AV22" i="5"/>
  <c r="CG21" i="5"/>
  <c r="AI21" i="5"/>
  <c r="BO20" i="5"/>
  <c r="Q20" i="5"/>
  <c r="BA19" i="5"/>
  <c r="AT18" i="5"/>
  <c r="N18" i="5"/>
  <c r="BQ17" i="5"/>
  <c r="AK17" i="5"/>
  <c r="BH16" i="5"/>
  <c r="AB16" i="5"/>
  <c r="CE15" i="5"/>
  <c r="AY15" i="5"/>
  <c r="S15" i="5"/>
  <c r="BV14" i="5"/>
  <c r="AP14" i="5"/>
  <c r="BM13" i="5"/>
  <c r="AG13" i="5"/>
  <c r="CJ12" i="5"/>
  <c r="BD12" i="5"/>
  <c r="X12" i="5"/>
  <c r="CA11" i="5"/>
  <c r="AU11" i="5"/>
  <c r="O11" i="5"/>
  <c r="BR10" i="5"/>
  <c r="AL10" i="5"/>
  <c r="BI9" i="5"/>
  <c r="AC9" i="5"/>
  <c r="CF8" i="5"/>
  <c r="AZ8" i="5"/>
  <c r="T8" i="5"/>
  <c r="BW7" i="5"/>
  <c r="AQ7" i="5"/>
  <c r="BN6" i="5"/>
  <c r="AH6" i="5"/>
  <c r="CK5" i="5"/>
  <c r="BE5" i="5"/>
  <c r="Y5" i="5"/>
  <c r="AU61" i="5"/>
  <c r="AD48" i="5"/>
  <c r="AH44" i="5"/>
  <c r="CD41" i="5"/>
  <c r="V37" i="5"/>
  <c r="BP35" i="5"/>
  <c r="BX33" i="5"/>
  <c r="R32" i="5"/>
  <c r="BU30" i="5"/>
  <c r="M29" i="5"/>
  <c r="AG28" i="5"/>
  <c r="AN27" i="5"/>
  <c r="BC26" i="5"/>
  <c r="BZ25" i="5"/>
  <c r="N25" i="5"/>
  <c r="AT24" i="5"/>
  <c r="BU23" i="5"/>
  <c r="T23" i="5"/>
  <c r="AU22" i="5"/>
  <c r="CF21" i="5"/>
  <c r="AH21" i="5"/>
  <c r="BN20" i="5"/>
  <c r="P20" i="5"/>
  <c r="AZ19" i="5"/>
  <c r="CK18" i="5"/>
  <c r="AS18" i="5"/>
  <c r="M18" i="5"/>
  <c r="BP17" i="5"/>
  <c r="AJ17" i="5"/>
  <c r="BG16" i="5"/>
  <c r="AA16" i="5"/>
  <c r="CD15" i="5"/>
  <c r="AX15" i="5"/>
  <c r="R15" i="5"/>
  <c r="BU14" i="5"/>
  <c r="AO14" i="5"/>
  <c r="BL13" i="5"/>
  <c r="AF13" i="5"/>
  <c r="CI12" i="5"/>
  <c r="BC12" i="5"/>
  <c r="W12" i="5"/>
  <c r="BZ11" i="5"/>
  <c r="AT11" i="5"/>
  <c r="N11" i="5"/>
  <c r="BQ10" i="5"/>
  <c r="AK10" i="5"/>
  <c r="BH9" i="5"/>
  <c r="AB9" i="5"/>
  <c r="CE8" i="5"/>
  <c r="AY8" i="5"/>
  <c r="S8" i="5"/>
  <c r="BV7" i="5"/>
  <c r="AP7" i="5"/>
  <c r="BM6" i="5"/>
  <c r="AG6" i="5"/>
  <c r="CJ5" i="5"/>
  <c r="BD5" i="5"/>
  <c r="X5" i="5"/>
  <c r="CK4" i="5"/>
  <c r="BE4" i="5"/>
  <c r="Y4" i="5"/>
  <c r="AR61" i="5"/>
  <c r="CF52" i="5"/>
  <c r="V48" i="5"/>
  <c r="L44" i="5"/>
  <c r="AH41" i="5"/>
  <c r="O37" i="5"/>
  <c r="AL35" i="5"/>
  <c r="BW33" i="5"/>
  <c r="AX30" i="5"/>
  <c r="L29" i="5"/>
  <c r="R28" i="5"/>
  <c r="AF27" i="5"/>
  <c r="AY26" i="5"/>
  <c r="BV25" i="5"/>
  <c r="AK24" i="5"/>
  <c r="BR23" i="5"/>
  <c r="AR22" i="5"/>
  <c r="BX21" i="5"/>
  <c r="Z21" i="5"/>
  <c r="BJ20" i="5"/>
  <c r="L20" i="5"/>
  <c r="AW19" i="5"/>
  <c r="CC18" i="5"/>
  <c r="AP18" i="5"/>
  <c r="BM17" i="5"/>
  <c r="AG17" i="5"/>
  <c r="CJ16" i="5"/>
  <c r="BD16" i="5"/>
  <c r="X16" i="5"/>
  <c r="CA15" i="5"/>
  <c r="AU15" i="5"/>
  <c r="O15" i="5"/>
  <c r="BR14" i="5"/>
  <c r="AL14" i="5"/>
  <c r="BI13" i="5"/>
  <c r="AC13" i="5"/>
  <c r="CF12" i="5"/>
  <c r="AZ12" i="5"/>
  <c r="T12" i="5"/>
  <c r="BW11" i="5"/>
  <c r="AQ11" i="5"/>
  <c r="BN10" i="5"/>
  <c r="AH10" i="5"/>
  <c r="CK9" i="5"/>
  <c r="BE9" i="5"/>
  <c r="Y9" i="5"/>
  <c r="CB8" i="5"/>
  <c r="AV8" i="5"/>
  <c r="P8" i="5"/>
  <c r="BS7" i="5"/>
  <c r="AM7" i="5"/>
  <c r="BJ6" i="5"/>
  <c r="AD6" i="5"/>
  <c r="CG5" i="5"/>
  <c r="BA5" i="5"/>
  <c r="U5" i="5"/>
  <c r="CH4" i="5"/>
  <c r="BB4" i="5"/>
  <c r="V4" i="5"/>
  <c r="AD61" i="5"/>
  <c r="AH52" i="5"/>
  <c r="U48" i="5"/>
  <c r="W35" i="5"/>
  <c r="BQ33" i="5"/>
  <c r="AJ30" i="5"/>
  <c r="Q28" i="5"/>
  <c r="AA27" i="5"/>
  <c r="AX26" i="5"/>
  <c r="BU25" i="5"/>
  <c r="AJ24" i="5"/>
  <c r="BQ23" i="5"/>
  <c r="AQ22" i="5"/>
  <c r="BW21" i="5"/>
  <c r="Y21" i="5"/>
  <c r="BI20" i="5"/>
  <c r="AV19" i="5"/>
  <c r="CB18" i="5"/>
  <c r="AO18" i="5"/>
  <c r="BL17" i="5"/>
  <c r="BK38" i="5"/>
  <c r="Y30" i="5"/>
  <c r="BR25" i="5"/>
  <c r="BV21" i="5"/>
  <c r="BZ18" i="5"/>
  <c r="CH16" i="5"/>
  <c r="AS15" i="5"/>
  <c r="AX12" i="5"/>
  <c r="BC9" i="5"/>
  <c r="N8" i="5"/>
  <c r="BH6" i="5"/>
  <c r="T5" i="5"/>
  <c r="U4" i="5"/>
  <c r="BB9" i="5"/>
  <c r="M8" i="5"/>
  <c r="BG6" i="5"/>
  <c r="S5" i="5"/>
  <c r="T4" i="5"/>
  <c r="AV12" i="5"/>
  <c r="BA9" i="5"/>
  <c r="L8" i="5"/>
  <c r="R5" i="5"/>
  <c r="S4" i="5"/>
  <c r="BM10" i="5"/>
  <c r="Q5" i="5"/>
  <c r="AL18" i="5"/>
  <c r="R12" i="5"/>
  <c r="CF51" i="5"/>
  <c r="BF13" i="5"/>
  <c r="U9" i="5"/>
  <c r="O35" i="5"/>
  <c r="BV11" i="5"/>
  <c r="CF5" i="5"/>
  <c r="N47" i="5"/>
  <c r="AA13" i="5"/>
  <c r="U16" i="5"/>
  <c r="AE10" i="5"/>
  <c r="AI7" i="5"/>
  <c r="BZ15" i="5"/>
  <c r="AU8" i="5"/>
  <c r="AI14" i="5"/>
  <c r="AY5" i="5"/>
  <c r="BT25" i="5"/>
  <c r="AX5" i="5"/>
  <c r="CI16" i="5"/>
  <c r="BI6" i="5"/>
  <c r="AC61" i="5"/>
  <c r="AV38" i="5"/>
  <c r="X30" i="5"/>
  <c r="BU21" i="5"/>
  <c r="BX18" i="5"/>
  <c r="CG16" i="5"/>
  <c r="AR15" i="5"/>
  <c r="AW12" i="5"/>
  <c r="S12" i="5"/>
  <c r="AC6" i="5"/>
  <c r="V21" i="5"/>
  <c r="BG13" i="5"/>
  <c r="AB6" i="5"/>
  <c r="BL36" i="5"/>
  <c r="L15" i="5"/>
  <c r="BP7" i="5"/>
  <c r="BH20" i="5"/>
  <c r="BJ10" i="5"/>
  <c r="Z6" i="5"/>
  <c r="AB13" i="5"/>
  <c r="Z27" i="5"/>
  <c r="BP14" i="5"/>
  <c r="AK7" i="5"/>
  <c r="BH23" i="5"/>
  <c r="CD5" i="5"/>
  <c r="AZ4" i="5"/>
  <c r="AE17" i="5"/>
  <c r="AT8" i="5"/>
  <c r="BZ40" i="5"/>
  <c r="AL59" i="5"/>
  <c r="AO38" i="5"/>
  <c r="BS21" i="5"/>
  <c r="AN18" i="5"/>
  <c r="CF16" i="5"/>
  <c r="AQ15" i="5"/>
  <c r="CK13" i="5"/>
  <c r="BF6" i="5"/>
  <c r="R4" i="5"/>
  <c r="AH24" i="5"/>
  <c r="BQ7" i="5"/>
  <c r="BA16" i="5"/>
  <c r="BK10" i="5"/>
  <c r="AA6" i="5"/>
  <c r="P35" i="5"/>
  <c r="BE13" i="5"/>
  <c r="CF4" i="5"/>
  <c r="BP23" i="5"/>
  <c r="BQ14" i="5"/>
  <c r="AG10" i="5"/>
  <c r="CE4" i="5"/>
  <c r="N35" i="5"/>
  <c r="BU11" i="5"/>
  <c r="AJ7" i="5"/>
  <c r="AE33" i="5"/>
  <c r="Y13" i="5"/>
  <c r="AP19" i="5"/>
  <c r="AO11" i="5"/>
  <c r="AY4" i="5"/>
  <c r="AK59" i="5"/>
  <c r="CC28" i="5"/>
  <c r="W21" i="5"/>
  <c r="AM18" i="5"/>
  <c r="BC16" i="5"/>
  <c r="N15" i="5"/>
  <c r="BH13" i="5"/>
  <c r="X9" i="5"/>
  <c r="BR7" i="5"/>
  <c r="M15" i="5"/>
  <c r="BL10" i="5"/>
  <c r="CG4" i="5"/>
  <c r="AZ16" i="5"/>
  <c r="P12" i="5"/>
  <c r="BO7" i="5"/>
  <c r="AT47" i="5"/>
  <c r="W16" i="5"/>
  <c r="AL7" i="5"/>
  <c r="BF20" i="5"/>
  <c r="AF10" i="5"/>
  <c r="Y27" i="5"/>
  <c r="BT11" i="5"/>
  <c r="BS11" i="5"/>
  <c r="BA4" i="5"/>
  <c r="AW26" i="5"/>
  <c r="AP11" i="5"/>
  <c r="AV26" i="5"/>
  <c r="CD12" i="5"/>
  <c r="AK22" i="5"/>
  <c r="AS8" i="5"/>
  <c r="AC17" i="5"/>
  <c r="AH14" i="5"/>
  <c r="BX40" i="5"/>
  <c r="O8" i="5"/>
  <c r="CG51" i="5"/>
  <c r="BU28" i="5"/>
  <c r="BB16" i="5"/>
  <c r="W9" i="5"/>
  <c r="AG24" i="5"/>
  <c r="Q12" i="5"/>
  <c r="V9" i="5"/>
  <c r="BX46" i="5"/>
  <c r="BO14" i="5"/>
  <c r="BF4" i="5"/>
  <c r="BI17" i="5"/>
  <c r="BN14" i="5"/>
  <c r="BX8" i="5"/>
  <c r="BY15" i="5"/>
  <c r="AZ5" i="5"/>
  <c r="AU26" i="5"/>
  <c r="AN11" i="5"/>
  <c r="AN19" i="5"/>
  <c r="CB12" i="5"/>
  <c r="AA4" i="5"/>
  <c r="BS25" i="5"/>
  <c r="BD9" i="5"/>
  <c r="U21" i="5"/>
  <c r="BG20" i="5"/>
  <c r="CA8" i="5"/>
  <c r="BI23" i="5"/>
  <c r="V16" i="5"/>
  <c r="BZ8" i="5"/>
  <c r="CD4" i="5"/>
  <c r="AS33" i="5"/>
  <c r="BY8" i="5"/>
  <c r="X27" i="5"/>
  <c r="T16" i="5"/>
  <c r="AD10" i="5"/>
  <c r="CC5" i="5"/>
  <c r="U33" i="5"/>
  <c r="CE12" i="5"/>
  <c r="CJ9" i="5"/>
  <c r="AO43" i="5"/>
  <c r="AJ14" i="5"/>
  <c r="AO19" i="5"/>
  <c r="CC12" i="5"/>
  <c r="BY40" i="5"/>
  <c r="BW15" i="5"/>
  <c r="AR8" i="5"/>
  <c r="Z30" i="5"/>
  <c r="Z4" i="5"/>
  <c r="CE51" i="5"/>
  <c r="AF24" i="5"/>
  <c r="BK17" i="5"/>
  <c r="CE5" i="5"/>
  <c r="BJ17" i="5"/>
  <c r="Z13" i="5"/>
  <c r="AF17" i="5"/>
  <c r="BF5" i="5"/>
  <c r="AD17" i="5"/>
  <c r="AX4" i="5"/>
  <c r="AJ22" i="5"/>
  <c r="CG9" i="5"/>
  <c r="CA18" i="5"/>
  <c r="AY12" i="5"/>
  <c r="AK14" i="5"/>
  <c r="CI9" i="5"/>
  <c r="BX15" i="5"/>
  <c r="CH9" i="5"/>
  <c r="BL31" i="5"/>
  <c r="AM11" i="5"/>
  <c r="AI22" i="5"/>
  <c r="AT15" i="5"/>
  <c r="AW5" i="5"/>
  <c r="K63" i="5"/>
  <c r="K65" i="5"/>
  <c r="K62" i="5"/>
  <c r="K58" i="5"/>
  <c r="K61" i="5"/>
  <c r="K60" i="5"/>
  <c r="K51" i="5"/>
  <c r="K66" i="5"/>
  <c r="K49" i="5"/>
  <c r="K57" i="5"/>
  <c r="K64" i="5"/>
  <c r="K47" i="5"/>
  <c r="K59" i="5"/>
  <c r="K48" i="5"/>
  <c r="K52" i="5"/>
  <c r="K56" i="5"/>
  <c r="K54" i="5"/>
  <c r="K44" i="5"/>
  <c r="K40" i="5"/>
  <c r="K35" i="5"/>
  <c r="K37" i="5"/>
  <c r="K30" i="5"/>
  <c r="K41" i="5"/>
  <c r="K36" i="5"/>
  <c r="K34" i="5"/>
  <c r="K31" i="5"/>
  <c r="K24" i="5"/>
  <c r="K55" i="5"/>
  <c r="K26" i="5"/>
  <c r="K19" i="5"/>
  <c r="K45" i="5"/>
  <c r="K33" i="5"/>
  <c r="K28" i="5"/>
  <c r="K43" i="5"/>
  <c r="K32" i="5"/>
  <c r="K22" i="5"/>
  <c r="K8" i="5"/>
  <c r="K17" i="5"/>
  <c r="K5" i="5"/>
  <c r="K10" i="5"/>
  <c r="K53" i="5"/>
  <c r="K46" i="5"/>
  <c r="K38" i="5"/>
  <c r="K27" i="5"/>
  <c r="K21" i="5"/>
  <c r="K12" i="5"/>
  <c r="K9" i="5"/>
  <c r="K50" i="5"/>
  <c r="K39" i="5"/>
  <c r="K25" i="5"/>
  <c r="K18" i="5"/>
  <c r="K4" i="5"/>
  <c r="K13" i="5"/>
  <c r="K6" i="5"/>
  <c r="K16" i="5"/>
  <c r="K42" i="5"/>
  <c r="K14" i="5"/>
  <c r="K7" i="5"/>
  <c r="K23" i="5"/>
  <c r="K11" i="5"/>
  <c r="K29" i="5"/>
  <c r="K20" i="5"/>
  <c r="K15" i="5"/>
  <c r="CB78" i="5"/>
  <c r="BL78" i="5"/>
  <c r="AV78" i="5"/>
  <c r="AF78" i="5"/>
  <c r="P78" i="5"/>
  <c r="CA78" i="5"/>
  <c r="BK78" i="5"/>
  <c r="AU78" i="5"/>
  <c r="AE78" i="5"/>
  <c r="O78" i="5"/>
  <c r="BZ78" i="5"/>
  <c r="BJ78" i="5"/>
  <c r="AT78" i="5"/>
  <c r="AD78" i="5"/>
  <c r="AY100" i="5" s="1"/>
  <c r="N78" i="5"/>
  <c r="BY78" i="5"/>
  <c r="BI78" i="5"/>
  <c r="AS78" i="5"/>
  <c r="AC78" i="5"/>
  <c r="M78" i="5"/>
  <c r="BX78" i="5"/>
  <c r="BH78" i="5"/>
  <c r="AR78" i="5"/>
  <c r="AB78" i="5"/>
  <c r="L78" i="5"/>
  <c r="L79" i="5" s="1"/>
  <c r="BW78" i="5"/>
  <c r="BG78" i="5"/>
  <c r="AQ78" i="5"/>
  <c r="AA78" i="5"/>
  <c r="CK78" i="5"/>
  <c r="BU78" i="5"/>
  <c r="BE78" i="5"/>
  <c r="AO78" i="5"/>
  <c r="Y78" i="5"/>
  <c r="CF78" i="5"/>
  <c r="BB78" i="5"/>
  <c r="X78" i="5"/>
  <c r="CE78" i="5"/>
  <c r="BA78" i="5"/>
  <c r="W78" i="5"/>
  <c r="CD78" i="5"/>
  <c r="AZ78" i="5"/>
  <c r="V78" i="5"/>
  <c r="CC78" i="5"/>
  <c r="AY78" i="5"/>
  <c r="AY101" i="5" s="1"/>
  <c r="U78" i="5"/>
  <c r="AY99" i="5" s="1"/>
  <c r="BV78" i="5"/>
  <c r="AX78" i="5"/>
  <c r="T78" i="5"/>
  <c r="BT78" i="5"/>
  <c r="AW78" i="5"/>
  <c r="S78" i="5"/>
  <c r="BD78" i="5"/>
  <c r="BC78" i="5"/>
  <c r="AP78" i="5"/>
  <c r="AN78" i="5"/>
  <c r="BR78" i="5"/>
  <c r="AH78" i="5"/>
  <c r="BF78" i="5"/>
  <c r="AM78" i="5"/>
  <c r="AL78" i="5"/>
  <c r="AJ78" i="5"/>
  <c r="CG78" i="5"/>
  <c r="Q78" i="5"/>
  <c r="BS78" i="5"/>
  <c r="AY102" i="5" s="1"/>
  <c r="AK78" i="5"/>
  <c r="AI78" i="5"/>
  <c r="AG78" i="5"/>
  <c r="R78" i="5"/>
  <c r="CI78" i="5"/>
  <c r="BN78" i="5"/>
  <c r="BM78" i="5"/>
  <c r="Z78" i="5"/>
  <c r="CJ78" i="5"/>
  <c r="CH78" i="5"/>
  <c r="BQ78" i="5"/>
  <c r="BP78" i="5"/>
  <c r="K2" i="5"/>
  <c r="CN4" i="5"/>
  <c r="CO4" i="5" s="1" a="1"/>
  <c r="BO78" i="5"/>
  <c r="M79" i="5" l="1"/>
  <c r="AY98" i="5"/>
  <c r="CP4" i="5" a="1"/>
  <c r="G23" i="5"/>
  <c r="G18" i="5"/>
  <c r="G44" i="5"/>
  <c r="G45" i="5"/>
  <c r="G46" i="5"/>
  <c r="CO4" i="5"/>
  <c r="AO79" i="5"/>
  <c r="AO82" i="5"/>
  <c r="G10" i="5"/>
  <c r="AH79" i="5"/>
  <c r="AH82" i="5"/>
  <c r="BW79" i="5"/>
  <c r="BW82" i="5"/>
  <c r="G22" i="5"/>
  <c r="Z82" i="5"/>
  <c r="Z79" i="5"/>
  <c r="CD82" i="5"/>
  <c r="CD79" i="5"/>
  <c r="G12" i="5"/>
  <c r="G60" i="5"/>
  <c r="AU79" i="5"/>
  <c r="AU82" i="5"/>
  <c r="G24" i="5"/>
  <c r="BN79" i="5"/>
  <c r="BN82" i="5"/>
  <c r="AR79" i="5"/>
  <c r="AR82" i="5"/>
  <c r="G21" i="5"/>
  <c r="BX3" i="5"/>
  <c r="BH3" i="5"/>
  <c r="AR3" i="5"/>
  <c r="AB3" i="5"/>
  <c r="L3" i="5"/>
  <c r="BW3" i="5"/>
  <c r="BG3" i="5"/>
  <c r="AQ3" i="5"/>
  <c r="AA3" i="5"/>
  <c r="CI3" i="5"/>
  <c r="W3" i="5"/>
  <c r="BV3" i="5"/>
  <c r="BF3" i="5"/>
  <c r="AP3" i="5"/>
  <c r="Z3" i="5"/>
  <c r="BC3" i="5"/>
  <c r="CK3" i="5"/>
  <c r="BU3" i="5"/>
  <c r="BE3" i="5"/>
  <c r="AO3" i="5"/>
  <c r="Y3" i="5"/>
  <c r="BS3" i="5"/>
  <c r="AM3" i="5"/>
  <c r="CJ3" i="5"/>
  <c r="BT3" i="5"/>
  <c r="BD3" i="5"/>
  <c r="AN3" i="5"/>
  <c r="X3" i="5"/>
  <c r="CE3" i="5"/>
  <c r="BO3" i="5"/>
  <c r="AY3" i="5"/>
  <c r="AI3" i="5"/>
  <c r="S3" i="5"/>
  <c r="CD3" i="5"/>
  <c r="BN3" i="5"/>
  <c r="AX3" i="5"/>
  <c r="AH3" i="5"/>
  <c r="R3" i="5"/>
  <c r="CA3" i="5"/>
  <c r="AU3" i="5"/>
  <c r="O3" i="5"/>
  <c r="BZ3" i="5"/>
  <c r="AT3" i="5"/>
  <c r="N3" i="5"/>
  <c r="AS3" i="5"/>
  <c r="BR3" i="5"/>
  <c r="AJ3" i="5"/>
  <c r="AG3" i="5"/>
  <c r="AF3" i="5"/>
  <c r="BY3" i="5"/>
  <c r="M3" i="5"/>
  <c r="BM3" i="5"/>
  <c r="AL3" i="5"/>
  <c r="BP3" i="5"/>
  <c r="BQ3" i="5"/>
  <c r="AK3" i="5"/>
  <c r="BL3" i="5"/>
  <c r="BI3" i="5"/>
  <c r="AC3" i="5"/>
  <c r="CH3" i="5"/>
  <c r="BB3" i="5"/>
  <c r="V3" i="5"/>
  <c r="AW3" i="5"/>
  <c r="AE3" i="5"/>
  <c r="U3" i="5"/>
  <c r="CF3" i="5"/>
  <c r="AV3" i="5"/>
  <c r="CC3" i="5"/>
  <c r="AD3" i="5"/>
  <c r="CG3" i="5"/>
  <c r="T3" i="5"/>
  <c r="CB3" i="5"/>
  <c r="P3" i="5"/>
  <c r="BK3" i="5"/>
  <c r="BA3" i="5"/>
  <c r="Q3" i="5"/>
  <c r="AZ3" i="5"/>
  <c r="BJ3" i="5"/>
  <c r="CI82" i="5"/>
  <c r="CI79" i="5"/>
  <c r="BC82" i="5"/>
  <c r="BC79" i="5"/>
  <c r="CE82" i="5"/>
  <c r="CE79" i="5"/>
  <c r="BH79" i="5"/>
  <c r="BH82" i="5"/>
  <c r="CA79" i="5"/>
  <c r="CA82" i="5"/>
  <c r="G27" i="5"/>
  <c r="G31" i="5"/>
  <c r="G64" i="5"/>
  <c r="G58" i="5"/>
  <c r="G19" i="5"/>
  <c r="BS82" i="5"/>
  <c r="BS79" i="5"/>
  <c r="BI79" i="5"/>
  <c r="BI82" i="5"/>
  <c r="CJ82" i="5"/>
  <c r="CJ79" i="5"/>
  <c r="G15" i="5"/>
  <c r="BR82" i="5"/>
  <c r="BR79" i="5"/>
  <c r="AE79" i="5"/>
  <c r="AE82" i="5"/>
  <c r="G6" i="5"/>
  <c r="G35" i="5"/>
  <c r="BM82" i="5"/>
  <c r="BM79" i="5"/>
  <c r="W82" i="5"/>
  <c r="W79" i="5"/>
  <c r="G20" i="5"/>
  <c r="G32" i="5"/>
  <c r="G47" i="5"/>
  <c r="BA82" i="5"/>
  <c r="BA79" i="5"/>
  <c r="G40" i="5"/>
  <c r="R82" i="5"/>
  <c r="R79" i="5"/>
  <c r="BD82" i="5"/>
  <c r="BD79" i="5"/>
  <c r="X82" i="5"/>
  <c r="X79" i="5"/>
  <c r="BX79" i="5"/>
  <c r="BX82" i="5"/>
  <c r="P79" i="5"/>
  <c r="P82" i="5"/>
  <c r="G11" i="5"/>
  <c r="G4" i="5"/>
  <c r="G38" i="5"/>
  <c r="G28" i="5"/>
  <c r="G57" i="5"/>
  <c r="G62" i="5"/>
  <c r="AK82" i="5"/>
  <c r="AK79" i="5"/>
  <c r="BL79" i="5"/>
  <c r="BL82" i="5"/>
  <c r="G25" i="5"/>
  <c r="G54" i="5"/>
  <c r="CB79" i="5"/>
  <c r="CD80" i="5" s="1"/>
  <c r="CB82" i="5"/>
  <c r="G66" i="5"/>
  <c r="AZ82" i="5"/>
  <c r="AZ79" i="5"/>
  <c r="BB80" i="5" s="1"/>
  <c r="O79" i="5"/>
  <c r="O82" i="5"/>
  <c r="AN82" i="5"/>
  <c r="AN79" i="5"/>
  <c r="AB79" i="5"/>
  <c r="AB82" i="5"/>
  <c r="G13" i="5"/>
  <c r="G61" i="5"/>
  <c r="AP82" i="5"/>
  <c r="AP79" i="5"/>
  <c r="BK79" i="5"/>
  <c r="BK82" i="5"/>
  <c r="G29" i="5"/>
  <c r="G43" i="5"/>
  <c r="BO82" i="5"/>
  <c r="BO79" i="5"/>
  <c r="AG82" i="5"/>
  <c r="AG79" i="5"/>
  <c r="S82" i="5"/>
  <c r="S79" i="5"/>
  <c r="BB82" i="5"/>
  <c r="BB79" i="5"/>
  <c r="AF79" i="5"/>
  <c r="AF82" i="5"/>
  <c r="G33" i="5"/>
  <c r="G34" i="5"/>
  <c r="G49" i="5"/>
  <c r="AI82" i="5"/>
  <c r="AI79" i="5"/>
  <c r="AK80" i="5" s="1"/>
  <c r="AW82" i="5"/>
  <c r="AW79" i="5"/>
  <c r="CF82" i="5"/>
  <c r="CF79" i="5"/>
  <c r="AC79" i="5"/>
  <c r="AE80" i="5" s="1"/>
  <c r="AC82" i="5"/>
  <c r="AV79" i="5"/>
  <c r="AV82" i="5"/>
  <c r="BT82" i="5"/>
  <c r="BT79" i="5"/>
  <c r="G51" i="5"/>
  <c r="BU79" i="5"/>
  <c r="BU82" i="5"/>
  <c r="G52" i="5"/>
  <c r="AJ82" i="5"/>
  <c r="AJ79" i="5"/>
  <c r="U82" i="5"/>
  <c r="U79" i="5"/>
  <c r="CK79" i="5"/>
  <c r="CK82" i="5"/>
  <c r="AD79" i="5"/>
  <c r="AD82" i="5"/>
  <c r="K3" i="5"/>
  <c r="G17" i="5"/>
  <c r="G41" i="5"/>
  <c r="CR4" i="5" a="1"/>
  <c r="CR4" i="5" s="1"/>
  <c r="AS79" i="5"/>
  <c r="AS82" i="5"/>
  <c r="G7" i="5"/>
  <c r="G36" i="5"/>
  <c r="CQ4" i="5" a="1"/>
  <c r="CQ4" i="5" s="1"/>
  <c r="Q82" i="5"/>
  <c r="Q79" i="5"/>
  <c r="AX82" i="5"/>
  <c r="AX79" i="5"/>
  <c r="BE79" i="5"/>
  <c r="BE82" i="5"/>
  <c r="BY79" i="5"/>
  <c r="BY82" i="5"/>
  <c r="G14" i="5"/>
  <c r="G39" i="5"/>
  <c r="G26" i="5"/>
  <c r="G56" i="5"/>
  <c r="G63" i="5"/>
  <c r="CG82" i="5"/>
  <c r="CG79" i="5"/>
  <c r="AA79" i="5"/>
  <c r="AA82" i="5"/>
  <c r="G55" i="5"/>
  <c r="G48" i="5"/>
  <c r="T82" i="5"/>
  <c r="T79" i="5"/>
  <c r="G65" i="5"/>
  <c r="BV82" i="5"/>
  <c r="BV79" i="5"/>
  <c r="G5" i="5"/>
  <c r="Y79" i="5"/>
  <c r="Y82" i="5"/>
  <c r="G53" i="5"/>
  <c r="N79" i="5"/>
  <c r="N80" i="5" s="1"/>
  <c r="N82" i="5"/>
  <c r="G42" i="5"/>
  <c r="G50" i="5"/>
  <c r="BP82" i="5"/>
  <c r="BP79" i="5"/>
  <c r="AL82" i="5"/>
  <c r="AL79" i="5"/>
  <c r="AY82" i="5"/>
  <c r="AY79" i="5"/>
  <c r="AT79" i="5"/>
  <c r="AT82" i="5"/>
  <c r="G9" i="5"/>
  <c r="G30" i="5"/>
  <c r="BQ82" i="5"/>
  <c r="BQ79" i="5"/>
  <c r="AM82" i="5"/>
  <c r="AM79" i="5"/>
  <c r="CC82" i="5"/>
  <c r="CC79" i="5"/>
  <c r="AQ79" i="5"/>
  <c r="AQ82" i="5"/>
  <c r="BJ79" i="5"/>
  <c r="BL80" i="5" s="1"/>
  <c r="BJ82" i="5"/>
  <c r="G8" i="5"/>
  <c r="G59" i="5"/>
  <c r="CH82" i="5"/>
  <c r="CH79" i="5"/>
  <c r="CJ80" i="5" s="1"/>
  <c r="BF82" i="5"/>
  <c r="BF79" i="5"/>
  <c r="BH80" i="5" s="1"/>
  <c r="V82" i="5"/>
  <c r="V79" i="5"/>
  <c r="BG79" i="5"/>
  <c r="BG82" i="5"/>
  <c r="BZ79" i="5"/>
  <c r="BZ82" i="5"/>
  <c r="G16" i="5"/>
  <c r="G37" i="5"/>
  <c r="CS81" i="5" l="1"/>
  <c r="CS481" i="5"/>
  <c r="CS181" i="5"/>
  <c r="CS281" i="5"/>
  <c r="CS381" i="5"/>
  <c r="CA80" i="5"/>
  <c r="CP4" i="5"/>
  <c r="AI80" i="5"/>
  <c r="R80" i="5"/>
  <c r="G3" i="5"/>
  <c r="BC80" i="5"/>
  <c r="AS80" i="5"/>
  <c r="CB80" i="5"/>
  <c r="BM80" i="5"/>
  <c r="AC80" i="5"/>
  <c r="AR80" i="5"/>
  <c r="BW80" i="5"/>
  <c r="P80" i="5"/>
  <c r="BS80" i="5"/>
  <c r="CE80" i="5"/>
  <c r="Q80" i="5"/>
  <c r="CK80" i="5"/>
  <c r="AN80" i="5"/>
  <c r="AY80" i="5"/>
  <c r="Y80" i="5"/>
  <c r="AJ80" i="5"/>
  <c r="AV80" i="5"/>
  <c r="S80" i="5"/>
  <c r="BO80" i="5"/>
  <c r="BP80" i="5"/>
  <c r="BZ80" i="5"/>
  <c r="AQ80" i="5"/>
  <c r="X80" i="5"/>
  <c r="CC80" i="5"/>
  <c r="BV80" i="5"/>
  <c r="BT80" i="5"/>
  <c r="AA80" i="5"/>
  <c r="AD80" i="5"/>
  <c r="AB80" i="5"/>
  <c r="D3" i="5"/>
  <c r="F3" i="5" s="1"/>
  <c r="D44" i="5"/>
  <c r="CS417" i="5"/>
  <c r="CS132" i="5"/>
  <c r="CS429" i="5"/>
  <c r="CS114" i="5"/>
  <c r="CS146" i="5"/>
  <c r="CS117" i="5"/>
  <c r="CS87" i="5"/>
  <c r="CS336" i="5"/>
  <c r="CS402" i="5"/>
  <c r="CS218" i="5"/>
  <c r="CS483" i="5"/>
  <c r="CS292" i="5"/>
  <c r="CS108" i="5"/>
  <c r="CS263" i="5"/>
  <c r="D31" i="5"/>
  <c r="CS4" i="5"/>
  <c r="CS331" i="5"/>
  <c r="CS244" i="5"/>
  <c r="CS192" i="5"/>
  <c r="CS401" i="5"/>
  <c r="CS478" i="5"/>
  <c r="CS446" i="5"/>
  <c r="CS145" i="5"/>
  <c r="CS176" i="5"/>
  <c r="CS118" i="5"/>
  <c r="CS103" i="5"/>
  <c r="CS169" i="5"/>
  <c r="CS454" i="5"/>
  <c r="D61" i="5"/>
  <c r="CS26" i="5"/>
  <c r="CS127" i="5"/>
  <c r="CS255" i="5"/>
  <c r="CS405" i="5"/>
  <c r="D45" i="5"/>
  <c r="CS10" i="5"/>
  <c r="CS210" i="5"/>
  <c r="CS426" i="5"/>
  <c r="CS364" i="5"/>
  <c r="CS100" i="5"/>
  <c r="CS345" i="5"/>
  <c r="CS68" i="5"/>
  <c r="CS198" i="5"/>
  <c r="CS229" i="5"/>
  <c r="CS178" i="5"/>
  <c r="CS135" i="5"/>
  <c r="CS201" i="5"/>
  <c r="CS221" i="5"/>
  <c r="BD80" i="5"/>
  <c r="D54" i="5"/>
  <c r="D5" i="5"/>
  <c r="CS184" i="5"/>
  <c r="CS21" i="5"/>
  <c r="CS283" i="5"/>
  <c r="CS337" i="5"/>
  <c r="CS424" i="5"/>
  <c r="CS44" i="5"/>
  <c r="CS428" i="5"/>
  <c r="CS163" i="5"/>
  <c r="CS131" i="5"/>
  <c r="CS394" i="5"/>
  <c r="CS347" i="5"/>
  <c r="CS111" i="5"/>
  <c r="CS227" i="5"/>
  <c r="CS228" i="5"/>
  <c r="CS250" i="5"/>
  <c r="CS230" i="5"/>
  <c r="CS208" i="5"/>
  <c r="CS209" i="5"/>
  <c r="CS151" i="5"/>
  <c r="CS400" i="5"/>
  <c r="CS217" i="5"/>
  <c r="CS466" i="5"/>
  <c r="CS291" i="5"/>
  <c r="CS91" i="5"/>
  <c r="CS356" i="5"/>
  <c r="CS172" i="5"/>
  <c r="CS437" i="5"/>
  <c r="CS237" i="5"/>
  <c r="CS502" i="5"/>
  <c r="CS327" i="5"/>
  <c r="CS194" i="5"/>
  <c r="CS18" i="5"/>
  <c r="CS282" i="5"/>
  <c r="CS59" i="5"/>
  <c r="CS392" i="5"/>
  <c r="CS242" i="5"/>
  <c r="CS144" i="5"/>
  <c r="CS147" i="5"/>
  <c r="CS120" i="5"/>
  <c r="CS352" i="5"/>
  <c r="CS418" i="5"/>
  <c r="CS234" i="5"/>
  <c r="CS499" i="5"/>
  <c r="CS308" i="5"/>
  <c r="CS124" i="5"/>
  <c r="CS389" i="5"/>
  <c r="CS189" i="5"/>
  <c r="CS279" i="5"/>
  <c r="D12" i="5"/>
  <c r="D48" i="5"/>
  <c r="CS29" i="5"/>
  <c r="CS286" i="5"/>
  <c r="CS475" i="5"/>
  <c r="CS302" i="5"/>
  <c r="CS175" i="5"/>
  <c r="CS177" i="5"/>
  <c r="CS149" i="5"/>
  <c r="CS368" i="5"/>
  <c r="CS259" i="5"/>
  <c r="CS470" i="5"/>
  <c r="D60" i="5"/>
  <c r="D17" i="5"/>
  <c r="O80" i="5"/>
  <c r="D42" i="5"/>
  <c r="D41" i="5"/>
  <c r="D27" i="5"/>
  <c r="D66" i="5"/>
  <c r="CS11" i="5"/>
  <c r="CS252" i="5"/>
  <c r="CS305" i="5"/>
  <c r="CS311" i="5"/>
  <c r="D49" i="5"/>
  <c r="D11" i="5"/>
  <c r="AT80" i="5"/>
  <c r="BY80" i="5"/>
  <c r="CS20" i="5"/>
  <c r="CS25" i="5"/>
  <c r="CS285" i="5"/>
  <c r="CS83" i="5"/>
  <c r="CS33" i="5"/>
  <c r="CS45" i="5"/>
  <c r="CS182" i="5"/>
  <c r="CS97" i="5"/>
  <c r="CS224" i="5"/>
  <c r="CS180" i="5"/>
  <c r="CS430" i="5"/>
  <c r="CS396" i="5"/>
  <c r="CS160" i="5"/>
  <c r="CS265" i="5"/>
  <c r="CS266" i="5"/>
  <c r="CS267" i="5"/>
  <c r="CS268" i="5"/>
  <c r="CS232" i="5"/>
  <c r="CS239" i="5"/>
  <c r="CS167" i="5"/>
  <c r="CS416" i="5"/>
  <c r="CS233" i="5"/>
  <c r="CS482" i="5"/>
  <c r="CS307" i="5"/>
  <c r="CS107" i="5"/>
  <c r="CS372" i="5"/>
  <c r="CS188" i="5"/>
  <c r="CS453" i="5"/>
  <c r="CS262" i="5"/>
  <c r="CS78" i="5"/>
  <c r="CS343" i="5"/>
  <c r="D7" i="5"/>
  <c r="CS53" i="5"/>
  <c r="CS334" i="5"/>
  <c r="CS115" i="5"/>
  <c r="CS96" i="5"/>
  <c r="CS173" i="5"/>
  <c r="D10" i="5"/>
  <c r="D64" i="5"/>
  <c r="CS458" i="5"/>
  <c r="D43" i="5"/>
  <c r="AH80" i="5"/>
  <c r="D56" i="5"/>
  <c r="CS165" i="5"/>
  <c r="CS34" i="5"/>
  <c r="CS42" i="5"/>
  <c r="CS477" i="5"/>
  <c r="CS489" i="5"/>
  <c r="CS168" i="5"/>
  <c r="CS200" i="5"/>
  <c r="CS148" i="5"/>
  <c r="CS119" i="5"/>
  <c r="CS185" i="5"/>
  <c r="CS434" i="5"/>
  <c r="CS65" i="5"/>
  <c r="CS324" i="5"/>
  <c r="CS140" i="5"/>
  <c r="CS205" i="5"/>
  <c r="CS295" i="5"/>
  <c r="CS30" i="5"/>
  <c r="CS61" i="5"/>
  <c r="CS82" i="5"/>
  <c r="CS197" i="5"/>
  <c r="CS207" i="5"/>
  <c r="CS179" i="5"/>
  <c r="CS384" i="5"/>
  <c r="CS450" i="5"/>
  <c r="CS275" i="5"/>
  <c r="CS75" i="5"/>
  <c r="CS340" i="5"/>
  <c r="CS156" i="5"/>
  <c r="CS421" i="5"/>
  <c r="CS486" i="5"/>
  <c r="D22" i="5"/>
  <c r="D30" i="5"/>
  <c r="D4" i="5"/>
  <c r="BG80" i="5"/>
  <c r="D8" i="5"/>
  <c r="D51" i="5"/>
  <c r="D52" i="5"/>
  <c r="BA80" i="5"/>
  <c r="D46" i="5"/>
  <c r="D23" i="5"/>
  <c r="AZ80" i="5"/>
  <c r="D59" i="5"/>
  <c r="D53" i="5"/>
  <c r="U80" i="5"/>
  <c r="D35" i="5"/>
  <c r="CS5" i="5"/>
  <c r="CS50" i="5"/>
  <c r="CS24" i="5"/>
  <c r="CS240" i="5"/>
  <c r="CS40" i="5"/>
  <c r="CS161" i="5"/>
  <c r="CS335" i="5"/>
  <c r="CS150" i="5"/>
  <c r="CS316" i="5"/>
  <c r="CS223" i="5"/>
  <c r="CS479" i="5"/>
  <c r="CS445" i="5"/>
  <c r="CS196" i="5"/>
  <c r="CS289" i="5"/>
  <c r="CS296" i="5"/>
  <c r="CS297" i="5"/>
  <c r="CS298" i="5"/>
  <c r="CS269" i="5"/>
  <c r="CS270" i="5"/>
  <c r="CS183" i="5"/>
  <c r="CS432" i="5"/>
  <c r="CS247" i="5"/>
  <c r="CS498" i="5"/>
  <c r="CS323" i="5"/>
  <c r="CS123" i="5"/>
  <c r="CS388" i="5"/>
  <c r="CS204" i="5"/>
  <c r="CS469" i="5"/>
  <c r="CS278" i="5"/>
  <c r="CS94" i="5"/>
  <c r="CS359" i="5"/>
  <c r="CS9" i="5"/>
  <c r="CS15" i="5"/>
  <c r="CS22" i="5"/>
  <c r="CS385" i="5"/>
  <c r="CS226" i="5"/>
  <c r="CS332" i="5"/>
  <c r="CS246" i="5"/>
  <c r="CS459" i="5"/>
  <c r="CS51" i="5"/>
  <c r="CS474" i="5"/>
  <c r="CS444" i="5"/>
  <c r="CS159" i="5"/>
  <c r="CS362" i="5"/>
  <c r="CS431" i="5"/>
  <c r="CS433" i="5"/>
  <c r="CS440" i="5"/>
  <c r="CS441" i="5"/>
  <c r="CS412" i="5"/>
  <c r="CS413" i="5"/>
  <c r="CS256" i="5"/>
  <c r="CS73" i="5"/>
  <c r="CS322" i="5"/>
  <c r="CS138" i="5"/>
  <c r="CS403" i="5"/>
  <c r="CS203" i="5"/>
  <c r="CS468" i="5"/>
  <c r="CS293" i="5"/>
  <c r="CS93" i="5"/>
  <c r="CS358" i="5"/>
  <c r="CS174" i="5"/>
  <c r="CS439" i="5"/>
  <c r="D62" i="5"/>
  <c r="CS314" i="5"/>
  <c r="CS37" i="5"/>
  <c r="CS249" i="5"/>
  <c r="CS476" i="5"/>
  <c r="CS56" i="5"/>
  <c r="CS349" i="5"/>
  <c r="CS329" i="5"/>
  <c r="CS274" i="5"/>
  <c r="CS310" i="5"/>
  <c r="D15" i="5"/>
  <c r="BX80" i="5"/>
  <c r="BK80" i="5"/>
  <c r="CS134" i="5"/>
  <c r="CS69" i="5"/>
  <c r="CS79" i="5"/>
  <c r="CS47" i="5"/>
  <c r="CS346" i="5"/>
  <c r="CS378" i="5"/>
  <c r="CS480" i="5"/>
  <c r="CS326" i="5"/>
  <c r="D28" i="5"/>
  <c r="BN80" i="5"/>
  <c r="CS7" i="5"/>
  <c r="CS366" i="5"/>
  <c r="CS129" i="5"/>
  <c r="CS191" i="5"/>
  <c r="CS48" i="5"/>
  <c r="CS395" i="5"/>
  <c r="CS313" i="5"/>
  <c r="CS409" i="5"/>
  <c r="CS411" i="5"/>
  <c r="CS245" i="5"/>
  <c r="CS306" i="5"/>
  <c r="CS387" i="5"/>
  <c r="CS187" i="5"/>
  <c r="CS452" i="5"/>
  <c r="CS277" i="5"/>
  <c r="CS77" i="5"/>
  <c r="CS342" i="5"/>
  <c r="CS158" i="5"/>
  <c r="D25" i="5"/>
  <c r="D58" i="5"/>
  <c r="W80" i="5"/>
  <c r="D14" i="5"/>
  <c r="D29" i="5"/>
  <c r="AM80" i="5"/>
  <c r="D37" i="5"/>
  <c r="AW80" i="5"/>
  <c r="D24" i="5"/>
  <c r="AX80" i="5"/>
  <c r="D6" i="5"/>
  <c r="D38" i="5"/>
  <c r="T80" i="5"/>
  <c r="D65" i="5"/>
  <c r="BJ80" i="5"/>
  <c r="D55" i="5"/>
  <c r="CS6" i="5"/>
  <c r="CS41" i="5"/>
  <c r="CS253" i="5"/>
  <c r="CS31" i="5"/>
  <c r="CS112" i="5"/>
  <c r="CS273" i="5"/>
  <c r="CS457" i="5"/>
  <c r="CS280" i="5"/>
  <c r="CS57" i="5"/>
  <c r="CS54" i="5"/>
  <c r="CS254" i="5"/>
  <c r="CS195" i="5"/>
  <c r="CS398" i="5"/>
  <c r="CS461" i="5"/>
  <c r="CS462" i="5"/>
  <c r="CS463" i="5"/>
  <c r="CS465" i="5"/>
  <c r="CS442" i="5"/>
  <c r="CS443" i="5"/>
  <c r="CS272" i="5"/>
  <c r="CS89" i="5"/>
  <c r="CS338" i="5"/>
  <c r="CS154" i="5"/>
  <c r="CS419" i="5"/>
  <c r="CS219" i="5"/>
  <c r="CS484" i="5"/>
  <c r="CS309" i="5"/>
  <c r="CS109" i="5"/>
  <c r="CS374" i="5"/>
  <c r="CS190" i="5"/>
  <c r="CS455" i="5"/>
  <c r="CS12" i="5"/>
  <c r="CS143" i="5"/>
  <c r="CS317" i="5"/>
  <c r="CS397" i="5"/>
  <c r="CS95" i="5"/>
  <c r="CS153" i="5"/>
  <c r="CS438" i="5"/>
  <c r="D63" i="5"/>
  <c r="D32" i="5"/>
  <c r="CS55" i="5"/>
  <c r="CS369" i="5"/>
  <c r="CS460" i="5"/>
  <c r="CS399" i="5"/>
  <c r="CS488" i="5"/>
  <c r="CS318" i="5"/>
  <c r="CS321" i="5"/>
  <c r="CS300" i="5"/>
  <c r="CS448" i="5"/>
  <c r="CS74" i="5"/>
  <c r="CS139" i="5"/>
  <c r="CS404" i="5"/>
  <c r="CS485" i="5"/>
  <c r="CS294" i="5"/>
  <c r="CS375" i="5"/>
  <c r="D26" i="5"/>
  <c r="CS36" i="5"/>
  <c r="CS70" i="5"/>
  <c r="CS333" i="5"/>
  <c r="CS348" i="5"/>
  <c r="CS351" i="5"/>
  <c r="CS215" i="5"/>
  <c r="CS90" i="5"/>
  <c r="CS420" i="5"/>
  <c r="CS126" i="5"/>
  <c r="D19" i="5"/>
  <c r="BR80" i="5"/>
  <c r="D47" i="5"/>
  <c r="BF80" i="5"/>
  <c r="BU80" i="5"/>
  <c r="CS32" i="5"/>
  <c r="CS241" i="5"/>
  <c r="CS166" i="5"/>
  <c r="CS377" i="5"/>
  <c r="CS425" i="5"/>
  <c r="CS104" i="5"/>
  <c r="CS408" i="5"/>
  <c r="CS410" i="5"/>
  <c r="CS382" i="5"/>
  <c r="CS496" i="5"/>
  <c r="CS122" i="5"/>
  <c r="CS423" i="5"/>
  <c r="D18" i="5"/>
  <c r="AL80" i="5"/>
  <c r="D20" i="5"/>
  <c r="D40" i="5"/>
  <c r="D33" i="5"/>
  <c r="D39" i="5"/>
  <c r="CG80" i="5"/>
  <c r="CS19" i="5"/>
  <c r="CS212" i="5"/>
  <c r="CS23" i="5"/>
  <c r="CS38" i="5"/>
  <c r="CS415" i="5"/>
  <c r="CS414" i="5"/>
  <c r="CS43" i="5"/>
  <c r="CS363" i="5"/>
  <c r="CS99" i="5"/>
  <c r="CS101" i="5"/>
  <c r="CS301" i="5"/>
  <c r="CS49" i="5"/>
  <c r="CS257" i="5"/>
  <c r="CS447" i="5"/>
  <c r="CS491" i="5"/>
  <c r="CS492" i="5"/>
  <c r="CS493" i="5"/>
  <c r="CS494" i="5"/>
  <c r="CS472" i="5"/>
  <c r="CS473" i="5"/>
  <c r="CS288" i="5"/>
  <c r="CS105" i="5"/>
  <c r="CS354" i="5"/>
  <c r="CS170" i="5"/>
  <c r="CS435" i="5"/>
  <c r="CS235" i="5"/>
  <c r="CS500" i="5"/>
  <c r="CS325" i="5"/>
  <c r="CS125" i="5"/>
  <c r="CS390" i="5"/>
  <c r="CS206" i="5"/>
  <c r="CS471" i="5"/>
  <c r="CS271" i="5"/>
  <c r="CS315" i="5"/>
  <c r="CS373" i="5"/>
  <c r="CS248" i="5"/>
  <c r="CS14" i="5"/>
  <c r="CS456" i="5"/>
  <c r="CS251" i="5"/>
  <c r="CS501" i="5"/>
  <c r="CS8" i="5"/>
  <c r="CS52" i="5"/>
  <c r="CS287" i="5"/>
  <c r="CS264" i="5"/>
  <c r="CS353" i="5"/>
  <c r="CS231" i="5"/>
  <c r="CS106" i="5"/>
  <c r="CS371" i="5"/>
  <c r="CS436" i="5"/>
  <c r="CS261" i="5"/>
  <c r="CS63" i="5"/>
  <c r="CS407" i="5"/>
  <c r="D9" i="5"/>
  <c r="BQ80" i="5"/>
  <c r="CS383" i="5"/>
  <c r="CI80" i="5"/>
  <c r="AO80" i="5"/>
  <c r="D21" i="5"/>
  <c r="D50" i="5"/>
  <c r="D34" i="5"/>
  <c r="CS27" i="5"/>
  <c r="CS211" i="5"/>
  <c r="CS214" i="5"/>
  <c r="CS133" i="5"/>
  <c r="CS35" i="5"/>
  <c r="CS39" i="5"/>
  <c r="CS80" i="5"/>
  <c r="CS427" i="5"/>
  <c r="CS162" i="5"/>
  <c r="CS164" i="5"/>
  <c r="CS344" i="5"/>
  <c r="CS102" i="5"/>
  <c r="CS312" i="5"/>
  <c r="CS490" i="5"/>
  <c r="CS60" i="5"/>
  <c r="CS86" i="5"/>
  <c r="CS62" i="5"/>
  <c r="CS58" i="5"/>
  <c r="CS495" i="5"/>
  <c r="CS497" i="5"/>
  <c r="CS304" i="5"/>
  <c r="CS121" i="5"/>
  <c r="CS370" i="5"/>
  <c r="CS186" i="5"/>
  <c r="CS451" i="5"/>
  <c r="CS260" i="5"/>
  <c r="CS76" i="5"/>
  <c r="CS341" i="5"/>
  <c r="CS141" i="5"/>
  <c r="CS406" i="5"/>
  <c r="CS222" i="5"/>
  <c r="CS487" i="5"/>
  <c r="CS193" i="5"/>
  <c r="D36" i="5"/>
  <c r="CS136" i="5"/>
  <c r="CS365" i="5"/>
  <c r="CS128" i="5"/>
  <c r="CS213" i="5"/>
  <c r="CS284" i="5"/>
  <c r="CS243" i="5"/>
  <c r="CS319" i="5"/>
  <c r="CS328" i="5"/>
  <c r="CS299" i="5"/>
  <c r="CS199" i="5"/>
  <c r="CS258" i="5"/>
  <c r="CS339" i="5"/>
  <c r="CS220" i="5"/>
  <c r="CS110" i="5"/>
  <c r="D16" i="5"/>
  <c r="AF80" i="5"/>
  <c r="D57" i="5"/>
  <c r="AP80" i="5"/>
  <c r="Z80" i="5"/>
  <c r="CS17" i="5"/>
  <c r="CS449" i="5"/>
  <c r="CS303" i="5"/>
  <c r="CS350" i="5"/>
  <c r="CS330" i="5"/>
  <c r="CS464" i="5"/>
  <c r="CS355" i="5"/>
  <c r="CS155" i="5"/>
  <c r="CS236" i="5"/>
  <c r="CS391" i="5"/>
  <c r="CS98" i="5"/>
  <c r="CS130" i="5"/>
  <c r="CS376" i="5"/>
  <c r="CS67" i="5"/>
  <c r="CS379" i="5"/>
  <c r="CS380" i="5"/>
  <c r="CS360" i="5"/>
  <c r="CS290" i="5"/>
  <c r="CS171" i="5"/>
  <c r="CS142" i="5"/>
  <c r="BI80" i="5"/>
  <c r="V80" i="5"/>
  <c r="AU80" i="5"/>
  <c r="D13" i="5"/>
  <c r="CH80" i="5"/>
  <c r="AG80" i="5"/>
  <c r="BE80" i="5"/>
  <c r="CF80" i="5"/>
  <c r="CS13" i="5"/>
  <c r="CS16" i="5"/>
  <c r="CS28" i="5"/>
  <c r="CS367" i="5"/>
  <c r="CS113" i="5"/>
  <c r="CS46" i="5"/>
  <c r="CS72" i="5"/>
  <c r="CS216" i="5"/>
  <c r="CS225" i="5"/>
  <c r="CS393" i="5"/>
  <c r="CS152" i="5"/>
  <c r="CS361" i="5"/>
  <c r="CS84" i="5"/>
  <c r="CS85" i="5"/>
  <c r="CS116" i="5"/>
  <c r="CS88" i="5"/>
  <c r="CS64" i="5"/>
  <c r="CS66" i="5"/>
  <c r="CS71" i="5"/>
  <c r="CS320" i="5"/>
  <c r="CS137" i="5"/>
  <c r="CS386" i="5"/>
  <c r="CS202" i="5"/>
  <c r="CS467" i="5"/>
  <c r="CS276" i="5"/>
  <c r="CS92" i="5"/>
  <c r="CS357" i="5"/>
  <c r="CS157" i="5"/>
  <c r="CS422" i="5"/>
  <c r="CS238" i="5"/>
  <c r="CS503" i="5"/>
  <c r="E3" i="5" l="1"/>
  <c r="J3" i="5"/>
  <c r="H3" i="5" s="1"/>
  <c r="I3" i="5" s="1"/>
  <c r="J51" i="5"/>
  <c r="H51" i="5" s="1"/>
  <c r="I51" i="5" s="1"/>
  <c r="E51" i="5"/>
  <c r="F51" i="5"/>
  <c r="E31" i="5"/>
  <c r="J31" i="5"/>
  <c r="H31" i="5" s="1"/>
  <c r="I31" i="5" s="1"/>
  <c r="F31" i="5"/>
  <c r="J28" i="5"/>
  <c r="H28" i="5" s="1"/>
  <c r="I28" i="5" s="1"/>
  <c r="E28" i="5"/>
  <c r="F28" i="5"/>
  <c r="J8" i="5"/>
  <c r="H8" i="5" s="1"/>
  <c r="I8" i="5" s="1"/>
  <c r="E8" i="5"/>
  <c r="F8" i="5"/>
  <c r="E57" i="5"/>
  <c r="J57" i="5"/>
  <c r="H57" i="5" s="1"/>
  <c r="I57" i="5" s="1"/>
  <c r="F57" i="5"/>
  <c r="E38" i="5"/>
  <c r="J38" i="5"/>
  <c r="H38" i="5" s="1"/>
  <c r="I38" i="5" s="1"/>
  <c r="F38" i="5"/>
  <c r="E11" i="5"/>
  <c r="J11" i="5"/>
  <c r="H11" i="5" s="1"/>
  <c r="I11" i="5" s="1"/>
  <c r="F11" i="5"/>
  <c r="E61" i="5"/>
  <c r="J61" i="5"/>
  <c r="H61" i="5" s="1"/>
  <c r="I61" i="5" s="1"/>
  <c r="F61" i="5"/>
  <c r="E36" i="5"/>
  <c r="J36" i="5"/>
  <c r="H36" i="5" s="1"/>
  <c r="I36" i="5" s="1"/>
  <c r="F36" i="5"/>
  <c r="E6" i="5"/>
  <c r="J6" i="5"/>
  <c r="H6" i="5" s="1"/>
  <c r="I6" i="5" s="1"/>
  <c r="F6" i="5"/>
  <c r="J4" i="5"/>
  <c r="H4" i="5" s="1"/>
  <c r="I4" i="5" s="1"/>
  <c r="E4" i="5"/>
  <c r="F4" i="5"/>
  <c r="J49" i="5"/>
  <c r="H49" i="5" s="1"/>
  <c r="I49" i="5" s="1"/>
  <c r="E49" i="5"/>
  <c r="F49" i="5"/>
  <c r="J16" i="5"/>
  <c r="H16" i="5" s="1"/>
  <c r="I16" i="5" s="1"/>
  <c r="E16" i="5"/>
  <c r="F16" i="5"/>
  <c r="J39" i="5"/>
  <c r="H39" i="5" s="1"/>
  <c r="I39" i="5" s="1"/>
  <c r="E39" i="5"/>
  <c r="F39" i="5"/>
  <c r="J26" i="5"/>
  <c r="H26" i="5" s="1"/>
  <c r="I26" i="5" s="1"/>
  <c r="E26" i="5"/>
  <c r="F26" i="5"/>
  <c r="J32" i="5"/>
  <c r="H32" i="5" s="1"/>
  <c r="I32" i="5" s="1"/>
  <c r="E32" i="5"/>
  <c r="F32" i="5"/>
  <c r="J30" i="5"/>
  <c r="H30" i="5" s="1"/>
  <c r="I30" i="5" s="1"/>
  <c r="E30" i="5"/>
  <c r="F30" i="5"/>
  <c r="E56" i="5"/>
  <c r="J56" i="5"/>
  <c r="H56" i="5" s="1"/>
  <c r="I56" i="5" s="1"/>
  <c r="F56" i="5"/>
  <c r="J33" i="5"/>
  <c r="H33" i="5" s="1"/>
  <c r="I33" i="5" s="1"/>
  <c r="E33" i="5"/>
  <c r="F33" i="5"/>
  <c r="J63" i="5"/>
  <c r="H63" i="5" s="1"/>
  <c r="I63" i="5" s="1"/>
  <c r="E63" i="5"/>
  <c r="F63" i="5"/>
  <c r="J24" i="5"/>
  <c r="H24" i="5" s="1"/>
  <c r="I24" i="5" s="1"/>
  <c r="E24" i="5"/>
  <c r="F24" i="5"/>
  <c r="J22" i="5"/>
  <c r="H22" i="5" s="1"/>
  <c r="I22" i="5" s="1"/>
  <c r="E22" i="5"/>
  <c r="F22" i="5"/>
  <c r="J40" i="5"/>
  <c r="H40" i="5" s="1"/>
  <c r="I40" i="5" s="1"/>
  <c r="E40" i="5"/>
  <c r="F40" i="5"/>
  <c r="J35" i="5"/>
  <c r="H35" i="5" s="1"/>
  <c r="I35" i="5" s="1"/>
  <c r="E35" i="5"/>
  <c r="F35" i="5"/>
  <c r="J43" i="5"/>
  <c r="H43" i="5" s="1"/>
  <c r="I43" i="5" s="1"/>
  <c r="E43" i="5"/>
  <c r="F43" i="5"/>
  <c r="J34" i="5"/>
  <c r="H34" i="5" s="1"/>
  <c r="I34" i="5" s="1"/>
  <c r="E34" i="5"/>
  <c r="F34" i="5"/>
  <c r="E20" i="5"/>
  <c r="J20" i="5"/>
  <c r="H20" i="5" s="1"/>
  <c r="I20" i="5" s="1"/>
  <c r="F20" i="5"/>
  <c r="J37" i="5"/>
  <c r="H37" i="5" s="1"/>
  <c r="I37" i="5" s="1"/>
  <c r="E37" i="5"/>
  <c r="F37" i="5"/>
  <c r="E62" i="5"/>
  <c r="J62" i="5"/>
  <c r="H62" i="5" s="1"/>
  <c r="I62" i="5" s="1"/>
  <c r="F62" i="5"/>
  <c r="E13" i="5"/>
  <c r="J13" i="5"/>
  <c r="H13" i="5" s="1"/>
  <c r="I13" i="5" s="1"/>
  <c r="F13" i="5"/>
  <c r="E50" i="5"/>
  <c r="J50" i="5"/>
  <c r="H50" i="5" s="1"/>
  <c r="I50" i="5" s="1"/>
  <c r="F50" i="5"/>
  <c r="J47" i="5"/>
  <c r="H47" i="5" s="1"/>
  <c r="I47" i="5" s="1"/>
  <c r="E47" i="5"/>
  <c r="F47" i="5"/>
  <c r="J53" i="5"/>
  <c r="H53" i="5" s="1"/>
  <c r="I53" i="5" s="1"/>
  <c r="E53" i="5"/>
  <c r="F53" i="5"/>
  <c r="E64" i="5"/>
  <c r="J64" i="5"/>
  <c r="H64" i="5" s="1"/>
  <c r="I64" i="5" s="1"/>
  <c r="F64" i="5"/>
  <c r="E66" i="5"/>
  <c r="J66" i="5"/>
  <c r="H66" i="5" s="1"/>
  <c r="I66" i="5" s="1"/>
  <c r="F66" i="5"/>
  <c r="J21" i="5"/>
  <c r="H21" i="5" s="1"/>
  <c r="I21" i="5" s="1"/>
  <c r="E21" i="5"/>
  <c r="F21" i="5"/>
  <c r="E18" i="5"/>
  <c r="J18" i="5"/>
  <c r="H18" i="5" s="1"/>
  <c r="I18" i="5" s="1"/>
  <c r="F18" i="5"/>
  <c r="E29" i="5"/>
  <c r="J29" i="5"/>
  <c r="H29" i="5" s="1"/>
  <c r="I29" i="5" s="1"/>
  <c r="F29" i="5"/>
  <c r="J59" i="5"/>
  <c r="H59" i="5" s="1"/>
  <c r="I59" i="5" s="1"/>
  <c r="E59" i="5"/>
  <c r="F59" i="5"/>
  <c r="J10" i="5"/>
  <c r="H10" i="5" s="1"/>
  <c r="I10" i="5" s="1"/>
  <c r="E10" i="5"/>
  <c r="F10" i="5"/>
  <c r="E27" i="5"/>
  <c r="J27" i="5"/>
  <c r="H27" i="5" s="1"/>
  <c r="I27" i="5" s="1"/>
  <c r="F27" i="5"/>
  <c r="J48" i="5"/>
  <c r="H48" i="5" s="1"/>
  <c r="I48" i="5" s="1"/>
  <c r="E48" i="5"/>
  <c r="F48" i="5"/>
  <c r="J19" i="5"/>
  <c r="H19" i="5" s="1"/>
  <c r="I19" i="5" s="1"/>
  <c r="E19" i="5"/>
  <c r="F19" i="5"/>
  <c r="J14" i="5"/>
  <c r="H14" i="5" s="1"/>
  <c r="I14" i="5" s="1"/>
  <c r="E14" i="5"/>
  <c r="F14" i="5"/>
  <c r="J41" i="5"/>
  <c r="H41" i="5" s="1"/>
  <c r="I41" i="5" s="1"/>
  <c r="E41" i="5"/>
  <c r="F41" i="5"/>
  <c r="J12" i="5"/>
  <c r="H12" i="5" s="1"/>
  <c r="I12" i="5" s="1"/>
  <c r="E12" i="5"/>
  <c r="F12" i="5"/>
  <c r="J42" i="5"/>
  <c r="H42" i="5" s="1"/>
  <c r="I42" i="5" s="1"/>
  <c r="E42" i="5"/>
  <c r="F42" i="5"/>
  <c r="J58" i="5"/>
  <c r="H58" i="5" s="1"/>
  <c r="I58" i="5" s="1"/>
  <c r="E58" i="5"/>
  <c r="F58" i="5"/>
  <c r="J23" i="5"/>
  <c r="H23" i="5" s="1"/>
  <c r="I23" i="5" s="1"/>
  <c r="E23" i="5"/>
  <c r="F23" i="5"/>
  <c r="J5" i="5"/>
  <c r="H5" i="5" s="1"/>
  <c r="I5" i="5" s="1"/>
  <c r="E5" i="5"/>
  <c r="F5" i="5"/>
  <c r="J45" i="5"/>
  <c r="H45" i="5" s="1"/>
  <c r="I45" i="5" s="1"/>
  <c r="E45" i="5"/>
  <c r="F45" i="5"/>
  <c r="J55" i="5"/>
  <c r="H55" i="5" s="1"/>
  <c r="I55" i="5" s="1"/>
  <c r="E55" i="5"/>
  <c r="F55" i="5"/>
  <c r="E25" i="5"/>
  <c r="J25" i="5"/>
  <c r="H25" i="5" s="1"/>
  <c r="I25" i="5" s="1"/>
  <c r="F25" i="5"/>
  <c r="J15" i="5"/>
  <c r="H15" i="5" s="1"/>
  <c r="I15" i="5" s="1"/>
  <c r="E15" i="5"/>
  <c r="F15" i="5"/>
  <c r="E46" i="5"/>
  <c r="J46" i="5"/>
  <c r="H46" i="5" s="1"/>
  <c r="I46" i="5" s="1"/>
  <c r="F46" i="5"/>
  <c r="J17" i="5"/>
  <c r="H17" i="5" s="1"/>
  <c r="I17" i="5" s="1"/>
  <c r="E17" i="5"/>
  <c r="F17" i="5"/>
  <c r="J54" i="5"/>
  <c r="H54" i="5" s="1"/>
  <c r="I54" i="5" s="1"/>
  <c r="E54" i="5"/>
  <c r="F54" i="5"/>
  <c r="J9" i="5"/>
  <c r="H9" i="5" s="1"/>
  <c r="I9" i="5" s="1"/>
  <c r="E9" i="5"/>
  <c r="F9" i="5"/>
  <c r="J60" i="5"/>
  <c r="H60" i="5" s="1"/>
  <c r="I60" i="5" s="1"/>
  <c r="E60" i="5"/>
  <c r="F60" i="5"/>
  <c r="J65" i="5"/>
  <c r="H65" i="5" s="1"/>
  <c r="I65" i="5" s="1"/>
  <c r="E65" i="5"/>
  <c r="F65" i="5"/>
  <c r="E52" i="5"/>
  <c r="J52" i="5"/>
  <c r="H52" i="5" s="1"/>
  <c r="I52" i="5" s="1"/>
  <c r="F52" i="5"/>
  <c r="J7" i="5"/>
  <c r="H7" i="5" s="1"/>
  <c r="I7" i="5" s="1"/>
  <c r="E7" i="5"/>
  <c r="F7" i="5"/>
  <c r="E44" i="5"/>
  <c r="J44" i="5"/>
  <c r="H44" i="5" s="1"/>
  <c r="I44" i="5" s="1"/>
  <c r="F44" i="5"/>
  <c r="E79" i="5" l="1"/>
  <c r="E81" i="5"/>
  <c r="E85" i="5" a="1"/>
  <c r="E85" i="5" s="1"/>
  <c r="E83" i="5"/>
  <c r="K66" i="2" l="1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CN4" i="2" a="1"/>
  <c r="CQ3" i="2"/>
  <c r="CP3" i="2"/>
  <c r="K2" i="2" a="1"/>
  <c r="AX102" i="2" l="1"/>
  <c r="AX101" i="2"/>
  <c r="AX99" i="2"/>
  <c r="AX98" i="2"/>
  <c r="AX100" i="2"/>
  <c r="U57" i="2"/>
  <c r="L78" i="2"/>
  <c r="BD16" i="2"/>
  <c r="AS17" i="2"/>
  <c r="O23" i="2"/>
  <c r="AL24" i="2"/>
  <c r="AJ48" i="2"/>
  <c r="BE16" i="2"/>
  <c r="BO24" i="2"/>
  <c r="AA37" i="2"/>
  <c r="O18" i="2"/>
  <c r="U18" i="2"/>
  <c r="AA28" i="2"/>
  <c r="BF40" i="2"/>
  <c r="V18" i="2"/>
  <c r="BH40" i="2"/>
  <c r="BJ31" i="2"/>
  <c r="BZ21" i="2"/>
  <c r="CC31" i="2"/>
  <c r="BS29" i="2"/>
  <c r="AM23" i="2"/>
  <c r="AI30" i="2"/>
  <c r="AM40" i="2"/>
  <c r="CH18" i="2"/>
  <c r="AL54" i="2"/>
  <c r="BF54" i="2"/>
  <c r="BA26" i="2"/>
  <c r="O20" i="2"/>
  <c r="BB26" i="2"/>
  <c r="AC34" i="2"/>
  <c r="AV44" i="2"/>
  <c r="BE20" i="2"/>
  <c r="BC26" i="2"/>
  <c r="AW44" i="2"/>
  <c r="BG20" i="2"/>
  <c r="AQ35" i="2"/>
  <c r="M16" i="2"/>
  <c r="AS21" i="2"/>
  <c r="Z28" i="2"/>
  <c r="BF16" i="2"/>
  <c r="BH20" i="2"/>
  <c r="CG23" i="2"/>
  <c r="BH35" i="2"/>
  <c r="BO16" i="2"/>
  <c r="AO18" i="2"/>
  <c r="BJ20" i="2"/>
  <c r="L31" i="2"/>
  <c r="BJ35" i="2"/>
  <c r="AD65" i="2"/>
  <c r="W18" i="2"/>
  <c r="CF26" i="2"/>
  <c r="BP16" i="2"/>
  <c r="CB18" i="2"/>
  <c r="BY20" i="2"/>
  <c r="W24" i="2"/>
  <c r="AN27" i="2"/>
  <c r="AO31" i="2"/>
  <c r="BQ35" i="2"/>
  <c r="CI16" i="2"/>
  <c r="CG18" i="2"/>
  <c r="AJ24" i="2"/>
  <c r="AP31" i="2"/>
  <c r="AU17" i="2"/>
  <c r="AV17" i="2"/>
  <c r="AW17" i="2"/>
  <c r="CA19" i="2"/>
  <c r="AH25" i="2"/>
  <c r="BN28" i="2"/>
  <c r="X33" i="2"/>
  <c r="AD38" i="2"/>
  <c r="AE19" i="2"/>
  <c r="AH45" i="2"/>
  <c r="BC17" i="2"/>
  <c r="CC19" i="2"/>
  <c r="S22" i="2"/>
  <c r="AK25" i="2"/>
  <c r="Y33" i="2"/>
  <c r="AZ38" i="2"/>
  <c r="CB21" i="2"/>
  <c r="AF37" i="2"/>
  <c r="CH21" i="2"/>
  <c r="BO17" i="2"/>
  <c r="CD19" i="2"/>
  <c r="BX22" i="2"/>
  <c r="AO25" i="2"/>
  <c r="AP29" i="2"/>
  <c r="AF33" i="2"/>
  <c r="CK47" i="2"/>
  <c r="BA28" i="2"/>
  <c r="CG19" i="2"/>
  <c r="BZ22" i="2"/>
  <c r="BS25" i="2"/>
  <c r="BP29" i="2"/>
  <c r="AI33" i="2"/>
  <c r="R19" i="2"/>
  <c r="AB28" i="2"/>
  <c r="AC25" i="2"/>
  <c r="N18" i="2"/>
  <c r="CJ22" i="2"/>
  <c r="BQ29" i="2"/>
  <c r="W40" i="2"/>
  <c r="AA48" i="2"/>
  <c r="CK19" i="2"/>
  <c r="CK21" i="2"/>
  <c r="AQ25" i="2"/>
  <c r="BC28" i="2"/>
  <c r="CH29" i="2"/>
  <c r="BX31" i="2"/>
  <c r="BS35" i="2"/>
  <c r="AE38" i="2"/>
  <c r="BJ40" i="2"/>
  <c r="Y45" i="2"/>
  <c r="BY55" i="2"/>
  <c r="BQ16" i="2"/>
  <c r="BD17" i="2"/>
  <c r="AM18" i="2"/>
  <c r="Y19" i="2"/>
  <c r="BZ20" i="2"/>
  <c r="P23" i="2"/>
  <c r="AM24" i="2"/>
  <c r="BJ25" i="2"/>
  <c r="T27" i="2"/>
  <c r="BD28" i="2"/>
  <c r="BZ31" i="2"/>
  <c r="S34" i="2"/>
  <c r="CA35" i="2"/>
  <c r="AF38" i="2"/>
  <c r="AF45" i="2"/>
  <c r="AN49" i="2"/>
  <c r="AH78" i="2"/>
  <c r="AH79" i="2" s="1"/>
  <c r="L16" i="2"/>
  <c r="BX16" i="2"/>
  <c r="BH17" i="2"/>
  <c r="AN18" i="2"/>
  <c r="AD19" i="2"/>
  <c r="N20" i="2"/>
  <c r="CA20" i="2"/>
  <c r="R22" i="2"/>
  <c r="X23" i="2"/>
  <c r="BI24" i="2"/>
  <c r="BM25" i="2"/>
  <c r="AK27" i="2"/>
  <c r="BG28" i="2"/>
  <c r="AH30" i="2"/>
  <c r="CA31" i="2"/>
  <c r="T34" i="2"/>
  <c r="CH35" i="2"/>
  <c r="AJ38" i="2"/>
  <c r="BS41" i="2"/>
  <c r="AG45" i="2"/>
  <c r="CE49" i="2"/>
  <c r="AI78" i="2"/>
  <c r="AI79" i="2" s="1"/>
  <c r="AA16" i="2"/>
  <c r="BP17" i="2"/>
  <c r="BB18" i="2"/>
  <c r="AM19" i="2"/>
  <c r="P20" i="2"/>
  <c r="AA21" i="2"/>
  <c r="T22" i="2"/>
  <c r="BG23" i="2"/>
  <c r="BP24" i="2"/>
  <c r="BU25" i="2"/>
  <c r="AV27" i="2"/>
  <c r="BP28" i="2"/>
  <c r="AU30" i="2"/>
  <c r="CD31" i="2"/>
  <c r="AD34" i="2"/>
  <c r="BJ36" i="2"/>
  <c r="BA38" i="2"/>
  <c r="AI42" i="2"/>
  <c r="AT45" i="2"/>
  <c r="BT58" i="2"/>
  <c r="AB16" i="2"/>
  <c r="R17" i="2"/>
  <c r="BR17" i="2"/>
  <c r="BD18" i="2"/>
  <c r="AO19" i="2"/>
  <c r="R20" i="2"/>
  <c r="AB21" i="2"/>
  <c r="X22" i="2"/>
  <c r="BH23" i="2"/>
  <c r="BQ24" i="2"/>
  <c r="BA27" i="2"/>
  <c r="AV30" i="2"/>
  <c r="AP34" i="2"/>
  <c r="BK36" i="2"/>
  <c r="AV42" i="2"/>
  <c r="BM45" i="2"/>
  <c r="V51" i="2"/>
  <c r="BU58" i="2"/>
  <c r="AC16" i="2"/>
  <c r="S17" i="2"/>
  <c r="BY17" i="2"/>
  <c r="BQ18" i="2"/>
  <c r="AW19" i="2"/>
  <c r="Z20" i="2"/>
  <c r="AC21" i="2"/>
  <c r="Y22" i="2"/>
  <c r="BM23" i="2"/>
  <c r="BR24" i="2"/>
  <c r="AA26" i="2"/>
  <c r="BD27" i="2"/>
  <c r="V29" i="2"/>
  <c r="AW30" i="2"/>
  <c r="BK32" i="2"/>
  <c r="BV34" i="2"/>
  <c r="BL36" i="2"/>
  <c r="L39" i="2"/>
  <c r="AW42" i="2"/>
  <c r="BO45" i="2"/>
  <c r="X51" i="2"/>
  <c r="BY58" i="2"/>
  <c r="AK16" i="2"/>
  <c r="T17" i="2"/>
  <c r="BZ17" i="2"/>
  <c r="BU18" i="2"/>
  <c r="AX19" i="2"/>
  <c r="AF20" i="2"/>
  <c r="AH21" i="2"/>
  <c r="Z22" i="2"/>
  <c r="BN23" i="2"/>
  <c r="BV24" i="2"/>
  <c r="AB26" i="2"/>
  <c r="BE27" i="2"/>
  <c r="W29" i="2"/>
  <c r="AX30" i="2"/>
  <c r="BM32" i="2"/>
  <c r="BW34" i="2"/>
  <c r="BU42" i="2"/>
  <c r="AM16" i="2"/>
  <c r="U17" i="2"/>
  <c r="CE17" i="2"/>
  <c r="BV18" i="2"/>
  <c r="AY19" i="2"/>
  <c r="AV20" i="2"/>
  <c r="AI21" i="2"/>
  <c r="BP22" i="2"/>
  <c r="BV23" i="2"/>
  <c r="BY24" i="2"/>
  <c r="AF26" i="2"/>
  <c r="BK27" i="2"/>
  <c r="Z29" i="2"/>
  <c r="BO30" i="2"/>
  <c r="BZ32" i="2"/>
  <c r="BY34" i="2"/>
  <c r="W37" i="2"/>
  <c r="O40" i="2"/>
  <c r="CE42" i="2"/>
  <c r="BZ46" i="2"/>
  <c r="BA16" i="2"/>
  <c r="V17" i="2"/>
  <c r="BW18" i="2"/>
  <c r="AZ19" i="2"/>
  <c r="AW20" i="2"/>
  <c r="AM21" i="2"/>
  <c r="BQ22" i="2"/>
  <c r="BW23" i="2"/>
  <c r="AJ26" i="2"/>
  <c r="BL27" i="2"/>
  <c r="AD29" i="2"/>
  <c r="BQ30" i="2"/>
  <c r="CA32" i="2"/>
  <c r="X37" i="2"/>
  <c r="P40" i="2"/>
  <c r="CG42" i="2"/>
  <c r="X53" i="2"/>
  <c r="BB16" i="2"/>
  <c r="W17" i="2"/>
  <c r="L18" i="2"/>
  <c r="BX18" i="2"/>
  <c r="BC19" i="2"/>
  <c r="AX20" i="2"/>
  <c r="AP21" i="2"/>
  <c r="BR22" i="2"/>
  <c r="BY23" i="2"/>
  <c r="S25" i="2"/>
  <c r="AK26" i="2"/>
  <c r="AH29" i="2"/>
  <c r="BR30" i="2"/>
  <c r="AO35" i="2"/>
  <c r="Y37" i="2"/>
  <c r="Q40" i="2"/>
  <c r="V47" i="2"/>
  <c r="BJ53" i="2"/>
  <c r="K2" i="2"/>
  <c r="BC16" i="2"/>
  <c r="AB17" i="2"/>
  <c r="M18" i="2"/>
  <c r="BY18" i="2"/>
  <c r="BD19" i="2"/>
  <c r="BD20" i="2"/>
  <c r="AQ21" i="2"/>
  <c r="BV22" i="2"/>
  <c r="CD23" i="2"/>
  <c r="AB25" i="2"/>
  <c r="AP26" i="2"/>
  <c r="T28" i="2"/>
  <c r="AM29" i="2"/>
  <c r="R33" i="2"/>
  <c r="AP35" i="2"/>
  <c r="Z37" i="2"/>
  <c r="V40" i="2"/>
  <c r="S43" i="2"/>
  <c r="CC47" i="2"/>
  <c r="BP53" i="2"/>
  <c r="CK15" i="2"/>
  <c r="BU15" i="2"/>
  <c r="BE15" i="2"/>
  <c r="AO15" i="2"/>
  <c r="Y15" i="2"/>
  <c r="CB14" i="2"/>
  <c r="BL14" i="2"/>
  <c r="AV14" i="2"/>
  <c r="AF14" i="2"/>
  <c r="P14" i="2"/>
  <c r="CI13" i="2"/>
  <c r="BS13" i="2"/>
  <c r="BC13" i="2"/>
  <c r="AM13" i="2"/>
  <c r="W13" i="2"/>
  <c r="BZ12" i="2"/>
  <c r="BJ12" i="2"/>
  <c r="AT12" i="2"/>
  <c r="AD12" i="2"/>
  <c r="N12" i="2"/>
  <c r="CG11" i="2"/>
  <c r="BQ11" i="2"/>
  <c r="BA11" i="2"/>
  <c r="AK11" i="2"/>
  <c r="U11" i="2"/>
  <c r="BX10" i="2"/>
  <c r="BH10" i="2"/>
  <c r="AR10" i="2"/>
  <c r="AB10" i="2"/>
  <c r="L10" i="2"/>
  <c r="CE9" i="2"/>
  <c r="BO9" i="2"/>
  <c r="AY9" i="2"/>
  <c r="CJ15" i="2"/>
  <c r="BT15" i="2"/>
  <c r="BD15" i="2"/>
  <c r="AN15" i="2"/>
  <c r="X15" i="2"/>
  <c r="CA14" i="2"/>
  <c r="BK14" i="2"/>
  <c r="AU14" i="2"/>
  <c r="AE14" i="2"/>
  <c r="O14" i="2"/>
  <c r="CH13" i="2"/>
  <c r="BR13" i="2"/>
  <c r="BB13" i="2"/>
  <c r="AL13" i="2"/>
  <c r="V13" i="2"/>
  <c r="BY12" i="2"/>
  <c r="BI12" i="2"/>
  <c r="AS12" i="2"/>
  <c r="AC12" i="2"/>
  <c r="M12" i="2"/>
  <c r="CF11" i="2"/>
  <c r="BP11" i="2"/>
  <c r="AZ11" i="2"/>
  <c r="AJ11" i="2"/>
  <c r="CI15" i="2"/>
  <c r="BS15" i="2"/>
  <c r="BC15" i="2"/>
  <c r="AM15" i="2"/>
  <c r="W15" i="2"/>
  <c r="BZ14" i="2"/>
  <c r="BJ14" i="2"/>
  <c r="AT14" i="2"/>
  <c r="AD14" i="2"/>
  <c r="N14" i="2"/>
  <c r="CG13" i="2"/>
  <c r="BQ13" i="2"/>
  <c r="BA13" i="2"/>
  <c r="AK13" i="2"/>
  <c r="U13" i="2"/>
  <c r="BX12" i="2"/>
  <c r="BH12" i="2"/>
  <c r="AR12" i="2"/>
  <c r="AB12" i="2"/>
  <c r="L12" i="2"/>
  <c r="CE11" i="2"/>
  <c r="BO11" i="2"/>
  <c r="AY11" i="2"/>
  <c r="AI11" i="2"/>
  <c r="S11" i="2"/>
  <c r="BV10" i="2"/>
  <c r="BF10" i="2"/>
  <c r="AP10" i="2"/>
  <c r="Z10" i="2"/>
  <c r="CC9" i="2"/>
  <c r="BV15" i="2"/>
  <c r="AZ15" i="2"/>
  <c r="AG15" i="2"/>
  <c r="N15" i="2"/>
  <c r="CD14" i="2"/>
  <c r="BH14" i="2"/>
  <c r="AO14" i="2"/>
  <c r="V14" i="2"/>
  <c r="BP13" i="2"/>
  <c r="AW13" i="2"/>
  <c r="AD13" i="2"/>
  <c r="CA12" i="2"/>
  <c r="BE12" i="2"/>
  <c r="AL12" i="2"/>
  <c r="S12" i="2"/>
  <c r="CI11" i="2"/>
  <c r="BM11" i="2"/>
  <c r="AT11" i="2"/>
  <c r="AA11" i="2"/>
  <c r="BZ10" i="2"/>
  <c r="BG10" i="2"/>
  <c r="AN10" i="2"/>
  <c r="V10" i="2"/>
  <c r="BU9" i="2"/>
  <c r="BD9" i="2"/>
  <c r="AM9" i="2"/>
  <c r="W9" i="2"/>
  <c r="BZ8" i="2"/>
  <c r="BJ8" i="2"/>
  <c r="AT8" i="2"/>
  <c r="AD8" i="2"/>
  <c r="N8" i="2"/>
  <c r="CG7" i="2"/>
  <c r="BQ7" i="2"/>
  <c r="BA7" i="2"/>
  <c r="AK7" i="2"/>
  <c r="U7" i="2"/>
  <c r="BX6" i="2"/>
  <c r="BH6" i="2"/>
  <c r="AR6" i="2"/>
  <c r="AB6" i="2"/>
  <c r="L6" i="2"/>
  <c r="CE5" i="2"/>
  <c r="BO5" i="2"/>
  <c r="AY5" i="2"/>
  <c r="AI5" i="2"/>
  <c r="S5" i="2"/>
  <c r="CF4" i="2"/>
  <c r="BP4" i="2"/>
  <c r="AZ4" i="2"/>
  <c r="AJ4" i="2"/>
  <c r="T4" i="2"/>
  <c r="BR15" i="2"/>
  <c r="AY15" i="2"/>
  <c r="AF15" i="2"/>
  <c r="M15" i="2"/>
  <c r="CC14" i="2"/>
  <c r="BG14" i="2"/>
  <c r="AN14" i="2"/>
  <c r="U14" i="2"/>
  <c r="CK13" i="2"/>
  <c r="BO13" i="2"/>
  <c r="AV13" i="2"/>
  <c r="AC13" i="2"/>
  <c r="BW12" i="2"/>
  <c r="BD12" i="2"/>
  <c r="AK12" i="2"/>
  <c r="R12" i="2"/>
  <c r="CH11" i="2"/>
  <c r="BL11" i="2"/>
  <c r="AS11" i="2"/>
  <c r="Z11" i="2"/>
  <c r="BY10" i="2"/>
  <c r="BE10" i="2"/>
  <c r="AM10" i="2"/>
  <c r="U10" i="2"/>
  <c r="BT9" i="2"/>
  <c r="BC9" i="2"/>
  <c r="AL9" i="2"/>
  <c r="V9" i="2"/>
  <c r="BY8" i="2"/>
  <c r="BI8" i="2"/>
  <c r="AS8" i="2"/>
  <c r="AC8" i="2"/>
  <c r="M8" i="2"/>
  <c r="CF7" i="2"/>
  <c r="BP7" i="2"/>
  <c r="AZ7" i="2"/>
  <c r="AJ7" i="2"/>
  <c r="T7" i="2"/>
  <c r="BW6" i="2"/>
  <c r="BG6" i="2"/>
  <c r="AQ6" i="2"/>
  <c r="AA6" i="2"/>
  <c r="CD5" i="2"/>
  <c r="BN5" i="2"/>
  <c r="AX5" i="2"/>
  <c r="AH5" i="2"/>
  <c r="R5" i="2"/>
  <c r="CE4" i="2"/>
  <c r="BO4" i="2"/>
  <c r="AY4" i="2"/>
  <c r="AI4" i="2"/>
  <c r="S4" i="2"/>
  <c r="BQ15" i="2"/>
  <c r="AX15" i="2"/>
  <c r="AE15" i="2"/>
  <c r="L15" i="2"/>
  <c r="BY14" i="2"/>
  <c r="BF14" i="2"/>
  <c r="AM14" i="2"/>
  <c r="T14" i="2"/>
  <c r="CJ13" i="2"/>
  <c r="BN13" i="2"/>
  <c r="AU13" i="2"/>
  <c r="AB13" i="2"/>
  <c r="BV12" i="2"/>
  <c r="BC12" i="2"/>
  <c r="AJ12" i="2"/>
  <c r="Q12" i="2"/>
  <c r="CD11" i="2"/>
  <c r="BK11" i="2"/>
  <c r="AR11" i="2"/>
  <c r="Y11" i="2"/>
  <c r="BW10" i="2"/>
  <c r="BD10" i="2"/>
  <c r="AL10" i="2"/>
  <c r="T10" i="2"/>
  <c r="CK9" i="2"/>
  <c r="BS9" i="2"/>
  <c r="BB9" i="2"/>
  <c r="AK9" i="2"/>
  <c r="U9" i="2"/>
  <c r="BX8" i="2"/>
  <c r="BH8" i="2"/>
  <c r="AR8" i="2"/>
  <c r="AB8" i="2"/>
  <c r="L8" i="2"/>
  <c r="CE7" i="2"/>
  <c r="BO7" i="2"/>
  <c r="AY7" i="2"/>
  <c r="AI7" i="2"/>
  <c r="S7" i="2"/>
  <c r="BV6" i="2"/>
  <c r="BF6" i="2"/>
  <c r="AP6" i="2"/>
  <c r="Z6" i="2"/>
  <c r="CC5" i="2"/>
  <c r="BM5" i="2"/>
  <c r="AW5" i="2"/>
  <c r="AG5" i="2"/>
  <c r="Q5" i="2"/>
  <c r="CH15" i="2"/>
  <c r="BO15" i="2"/>
  <c r="AV15" i="2"/>
  <c r="AC15" i="2"/>
  <c r="BW14" i="2"/>
  <c r="BD14" i="2"/>
  <c r="AK14" i="2"/>
  <c r="R14" i="2"/>
  <c r="CE13" i="2"/>
  <c r="BL13" i="2"/>
  <c r="AS13" i="2"/>
  <c r="Z13" i="2"/>
  <c r="CE15" i="2"/>
  <c r="BH15" i="2"/>
  <c r="AH15" i="2"/>
  <c r="BP14" i="2"/>
  <c r="AP14" i="2"/>
  <c r="L14" i="2"/>
  <c r="BX13" i="2"/>
  <c r="AX13" i="2"/>
  <c r="T13" i="2"/>
  <c r="CF12" i="2"/>
  <c r="BG12" i="2"/>
  <c r="AH12" i="2"/>
  <c r="BV11" i="2"/>
  <c r="AW11" i="2"/>
  <c r="X11" i="2"/>
  <c r="CJ10" i="2"/>
  <c r="BO10" i="2"/>
  <c r="AT10" i="2"/>
  <c r="W10" i="2"/>
  <c r="CH9" i="2"/>
  <c r="BL9" i="2"/>
  <c r="AR9" i="2"/>
  <c r="Y9" i="2"/>
  <c r="BS8" i="2"/>
  <c r="AZ8" i="2"/>
  <c r="AG8" i="2"/>
  <c r="CA7" i="2"/>
  <c r="BH7" i="2"/>
  <c r="AO7" i="2"/>
  <c r="V7" i="2"/>
  <c r="CI6" i="2"/>
  <c r="BP6" i="2"/>
  <c r="AW6" i="2"/>
  <c r="AD6" i="2"/>
  <c r="BX5" i="2"/>
  <c r="BE5" i="2"/>
  <c r="AL5" i="2"/>
  <c r="P5" i="2"/>
  <c r="BX4" i="2"/>
  <c r="BF4" i="2"/>
  <c r="AN4" i="2"/>
  <c r="V4" i="2"/>
  <c r="CD15" i="2"/>
  <c r="BG15" i="2"/>
  <c r="AD15" i="2"/>
  <c r="BO14" i="2"/>
  <c r="AL14" i="2"/>
  <c r="BW13" i="2"/>
  <c r="AT13" i="2"/>
  <c r="S13" i="2"/>
  <c r="CE12" i="2"/>
  <c r="BF12" i="2"/>
  <c r="AG12" i="2"/>
  <c r="BU11" i="2"/>
  <c r="AV11" i="2"/>
  <c r="W11" i="2"/>
  <c r="CI10" i="2"/>
  <c r="BN10" i="2"/>
  <c r="AS10" i="2"/>
  <c r="S10" i="2"/>
  <c r="CG9" i="2"/>
  <c r="BK9" i="2"/>
  <c r="AQ9" i="2"/>
  <c r="X9" i="2"/>
  <c r="CK8" i="2"/>
  <c r="BR8" i="2"/>
  <c r="AY8" i="2"/>
  <c r="AF8" i="2"/>
  <c r="BZ7" i="2"/>
  <c r="BG7" i="2"/>
  <c r="AN7" i="2"/>
  <c r="R7" i="2"/>
  <c r="CH6" i="2"/>
  <c r="BO6" i="2"/>
  <c r="AV6" i="2"/>
  <c r="AC6" i="2"/>
  <c r="BW5" i="2"/>
  <c r="BD5" i="2"/>
  <c r="AK5" i="2"/>
  <c r="O5" i="2"/>
  <c r="BW4" i="2"/>
  <c r="BE4" i="2"/>
  <c r="AM4" i="2"/>
  <c r="U4" i="2"/>
  <c r="CC15" i="2"/>
  <c r="BF15" i="2"/>
  <c r="AB15" i="2"/>
  <c r="CK14" i="2"/>
  <c r="BN14" i="2"/>
  <c r="AJ14" i="2"/>
  <c r="BV13" i="2"/>
  <c r="AR13" i="2"/>
  <c r="R13" i="2"/>
  <c r="CD12" i="2"/>
  <c r="BB12" i="2"/>
  <c r="AF12" i="2"/>
  <c r="BT11" i="2"/>
  <c r="AU11" i="2"/>
  <c r="V11" i="2"/>
  <c r="CH10" i="2"/>
  <c r="BM10" i="2"/>
  <c r="AQ10" i="2"/>
  <c r="R10" i="2"/>
  <c r="CF9" i="2"/>
  <c r="BJ9" i="2"/>
  <c r="AP9" i="2"/>
  <c r="T9" i="2"/>
  <c r="CJ8" i="2"/>
  <c r="BQ8" i="2"/>
  <c r="AX8" i="2"/>
  <c r="AE8" i="2"/>
  <c r="BY7" i="2"/>
  <c r="BF7" i="2"/>
  <c r="AM7" i="2"/>
  <c r="Q7" i="2"/>
  <c r="CG6" i="2"/>
  <c r="BN6" i="2"/>
  <c r="AU6" i="2"/>
  <c r="Y6" i="2"/>
  <c r="BV5" i="2"/>
  <c r="BC5" i="2"/>
  <c r="AJ5" i="2"/>
  <c r="N5" i="2"/>
  <c r="BV4" i="2"/>
  <c r="BD4" i="2"/>
  <c r="AL4" i="2"/>
  <c r="R4" i="2"/>
  <c r="CB15" i="2"/>
  <c r="BB15" i="2"/>
  <c r="AA15" i="2"/>
  <c r="CJ14" i="2"/>
  <c r="BM14" i="2"/>
  <c r="AI14" i="2"/>
  <c r="BU13" i="2"/>
  <c r="AQ13" i="2"/>
  <c r="Q13" i="2"/>
  <c r="CC12" i="2"/>
  <c r="BA12" i="2"/>
  <c r="AE12" i="2"/>
  <c r="BS11" i="2"/>
  <c r="AQ11" i="2"/>
  <c r="T11" i="2"/>
  <c r="CG10" i="2"/>
  <c r="BL10" i="2"/>
  <c r="AO10" i="2"/>
  <c r="Q10" i="2"/>
  <c r="CD9" i="2"/>
  <c r="BI9" i="2"/>
  <c r="AO9" i="2"/>
  <c r="S9" i="2"/>
  <c r="CI8" i="2"/>
  <c r="BP8" i="2"/>
  <c r="AW8" i="2"/>
  <c r="AA8" i="2"/>
  <c r="BX7" i="2"/>
  <c r="BE7" i="2"/>
  <c r="AL7" i="2"/>
  <c r="P7" i="2"/>
  <c r="CF6" i="2"/>
  <c r="BM6" i="2"/>
  <c r="AT6" i="2"/>
  <c r="X6" i="2"/>
  <c r="BU5" i="2"/>
  <c r="BB5" i="2"/>
  <c r="AF5" i="2"/>
  <c r="M5" i="2"/>
  <c r="BU4" i="2"/>
  <c r="BC4" i="2"/>
  <c r="AK4" i="2"/>
  <c r="Q4" i="2"/>
  <c r="CA15" i="2"/>
  <c r="BA15" i="2"/>
  <c r="Z15" i="2"/>
  <c r="CI14" i="2"/>
  <c r="BI14" i="2"/>
  <c r="AH14" i="2"/>
  <c r="BT13" i="2"/>
  <c r="AP13" i="2"/>
  <c r="P13" i="2"/>
  <c r="CB12" i="2"/>
  <c r="AZ12" i="2"/>
  <c r="AA12" i="2"/>
  <c r="BR11" i="2"/>
  <c r="AP11" i="2"/>
  <c r="R11" i="2"/>
  <c r="CF10" i="2"/>
  <c r="BK10" i="2"/>
  <c r="AK10" i="2"/>
  <c r="P10" i="2"/>
  <c r="CB9" i="2"/>
  <c r="BH9" i="2"/>
  <c r="AN9" i="2"/>
  <c r="R9" i="2"/>
  <c r="CH8" i="2"/>
  <c r="BO8" i="2"/>
  <c r="AV8" i="2"/>
  <c r="Z8" i="2"/>
  <c r="BW7" i="2"/>
  <c r="BD7" i="2"/>
  <c r="AH7" i="2"/>
  <c r="O7" i="2"/>
  <c r="CE6" i="2"/>
  <c r="BL6" i="2"/>
  <c r="AS6" i="2"/>
  <c r="W6" i="2"/>
  <c r="BT5" i="2"/>
  <c r="BA5" i="2"/>
  <c r="AE5" i="2"/>
  <c r="L5" i="2"/>
  <c r="BZ15" i="2"/>
  <c r="AW15" i="2"/>
  <c r="V15" i="2"/>
  <c r="CH14" i="2"/>
  <c r="BE14" i="2"/>
  <c r="AG14" i="2"/>
  <c r="BM13" i="2"/>
  <c r="AO13" i="2"/>
  <c r="O13" i="2"/>
  <c r="BU12" i="2"/>
  <c r="AY12" i="2"/>
  <c r="Z12" i="2"/>
  <c r="BN11" i="2"/>
  <c r="AO11" i="2"/>
  <c r="Q11" i="2"/>
  <c r="CE10" i="2"/>
  <c r="BJ10" i="2"/>
  <c r="AJ10" i="2"/>
  <c r="O10" i="2"/>
  <c r="CA9" i="2"/>
  <c r="BG9" i="2"/>
  <c r="AJ9" i="2"/>
  <c r="Q9" i="2"/>
  <c r="CG8" i="2"/>
  <c r="BN8" i="2"/>
  <c r="AU8" i="2"/>
  <c r="BP15" i="2"/>
  <c r="AR15" i="2"/>
  <c r="R15" i="2"/>
  <c r="BX14" i="2"/>
  <c r="AZ14" i="2"/>
  <c r="Z14" i="2"/>
  <c r="CF13" i="2"/>
  <c r="BH13" i="2"/>
  <c r="AH13" i="2"/>
  <c r="BQ12" i="2"/>
  <c r="AU12" i="2"/>
  <c r="V12" i="2"/>
  <c r="CC11" i="2"/>
  <c r="BG11" i="2"/>
  <c r="AH11" i="2"/>
  <c r="M11" i="2"/>
  <c r="CA10" i="2"/>
  <c r="BA10" i="2"/>
  <c r="AF10" i="2"/>
  <c r="BW9" i="2"/>
  <c r="AZ9" i="2"/>
  <c r="AF9" i="2"/>
  <c r="M9" i="2"/>
  <c r="CC8" i="2"/>
  <c r="BG8" i="2"/>
  <c r="AN8" i="2"/>
  <c r="U8" i="2"/>
  <c r="CK7" i="2"/>
  <c r="BR7" i="2"/>
  <c r="AV7" i="2"/>
  <c r="AC7" i="2"/>
  <c r="BZ6" i="2"/>
  <c r="BD6" i="2"/>
  <c r="AK6" i="2"/>
  <c r="R6" i="2"/>
  <c r="CH5" i="2"/>
  <c r="BL5" i="2"/>
  <c r="AS5" i="2"/>
  <c r="Z5" i="2"/>
  <c r="CG4" i="2"/>
  <c r="BM4" i="2"/>
  <c r="AU4" i="2"/>
  <c r="AC4" i="2"/>
  <c r="CF15" i="2"/>
  <c r="AK15" i="2"/>
  <c r="BU14" i="2"/>
  <c r="AA14" i="2"/>
  <c r="BK13" i="2"/>
  <c r="Y13" i="2"/>
  <c r="BN12" i="2"/>
  <c r="U12" i="2"/>
  <c r="BI11" i="2"/>
  <c r="AB11" i="2"/>
  <c r="BR10" i="2"/>
  <c r="AD10" i="2"/>
  <c r="BX9" i="2"/>
  <c r="AI9" i="2"/>
  <c r="BD8" i="2"/>
  <c r="V8" i="2"/>
  <c r="CB7" i="2"/>
  <c r="AT7" i="2"/>
  <c r="M7" i="2"/>
  <c r="BS6" i="2"/>
  <c r="AL6" i="2"/>
  <c r="BJ5" i="2"/>
  <c r="AC5" i="2"/>
  <c r="BR4" i="2"/>
  <c r="AR4" i="2"/>
  <c r="O4" i="2"/>
  <c r="BQ4" i="2"/>
  <c r="AQ4" i="2"/>
  <c r="N4" i="2"/>
  <c r="BY15" i="2"/>
  <c r="AJ15" i="2"/>
  <c r="BT14" i="2"/>
  <c r="Y14" i="2"/>
  <c r="BJ13" i="2"/>
  <c r="X13" i="2"/>
  <c r="BM12" i="2"/>
  <c r="T12" i="2"/>
  <c r="BH11" i="2"/>
  <c r="P11" i="2"/>
  <c r="BQ10" i="2"/>
  <c r="AC10" i="2"/>
  <c r="BV9" i="2"/>
  <c r="AH9" i="2"/>
  <c r="BC8" i="2"/>
  <c r="T8" i="2"/>
  <c r="BV7" i="2"/>
  <c r="AS7" i="2"/>
  <c r="L7" i="2"/>
  <c r="BR6" i="2"/>
  <c r="AJ6" i="2"/>
  <c r="BI5" i="2"/>
  <c r="AB5" i="2"/>
  <c r="BX15" i="2"/>
  <c r="AI15" i="2"/>
  <c r="BS14" i="2"/>
  <c r="X14" i="2"/>
  <c r="BI13" i="2"/>
  <c r="N13" i="2"/>
  <c r="BL12" i="2"/>
  <c r="P12" i="2"/>
  <c r="BF11" i="2"/>
  <c r="O11" i="2"/>
  <c r="BP10" i="2"/>
  <c r="AA10" i="2"/>
  <c r="BR9" i="2"/>
  <c r="AG9" i="2"/>
  <c r="CF8" i="2"/>
  <c r="BB8" i="2"/>
  <c r="S8" i="2"/>
  <c r="BU7" i="2"/>
  <c r="AR7" i="2"/>
  <c r="BQ6" i="2"/>
  <c r="AI6" i="2"/>
  <c r="CK5" i="2"/>
  <c r="BH5" i="2"/>
  <c r="AA5" i="2"/>
  <c r="BN4" i="2"/>
  <c r="AP4" i="2"/>
  <c r="M4" i="2"/>
  <c r="BL4" i="2"/>
  <c r="AO4" i="2"/>
  <c r="L4" i="2"/>
  <c r="CE14" i="2"/>
  <c r="AC14" i="2"/>
  <c r="AE13" i="2"/>
  <c r="BW11" i="2"/>
  <c r="AD11" i="2"/>
  <c r="BT10" i="2"/>
  <c r="X8" i="2"/>
  <c r="AW7" i="2"/>
  <c r="AN6" i="2"/>
  <c r="BP5" i="2"/>
  <c r="BT4" i="2"/>
  <c r="W4" i="2"/>
  <c r="AB14" i="2"/>
  <c r="BJ11" i="2"/>
  <c r="BT6" i="2"/>
  <c r="P4" i="2"/>
  <c r="BW15" i="2"/>
  <c r="U15" i="2"/>
  <c r="BR14" i="2"/>
  <c r="W14" i="2"/>
  <c r="BG13" i="2"/>
  <c r="M13" i="2"/>
  <c r="BK12" i="2"/>
  <c r="O12" i="2"/>
  <c r="BE11" i="2"/>
  <c r="N11" i="2"/>
  <c r="BI10" i="2"/>
  <c r="Y10" i="2"/>
  <c r="BQ9" i="2"/>
  <c r="AE9" i="2"/>
  <c r="CE8" i="2"/>
  <c r="BA8" i="2"/>
  <c r="R8" i="2"/>
  <c r="BT7" i="2"/>
  <c r="AQ7" i="2"/>
  <c r="BK6" i="2"/>
  <c r="AH6" i="2"/>
  <c r="CJ5" i="2"/>
  <c r="BG5" i="2"/>
  <c r="Y5" i="2"/>
  <c r="BN15" i="2"/>
  <c r="T15" i="2"/>
  <c r="BQ14" i="2"/>
  <c r="S14" i="2"/>
  <c r="BF13" i="2"/>
  <c r="L13" i="2"/>
  <c r="AX12" i="2"/>
  <c r="BD11" i="2"/>
  <c r="L11" i="2"/>
  <c r="BC10" i="2"/>
  <c r="X10" i="2"/>
  <c r="BP9" i="2"/>
  <c r="AD9" i="2"/>
  <c r="CD8" i="2"/>
  <c r="AQ8" i="2"/>
  <c r="Q8" i="2"/>
  <c r="BS7" i="2"/>
  <c r="AP7" i="2"/>
  <c r="BJ6" i="2"/>
  <c r="AG6" i="2"/>
  <c r="CI5" i="2"/>
  <c r="BF5" i="2"/>
  <c r="X5" i="2"/>
  <c r="CK4" i="2"/>
  <c r="BK4" i="2"/>
  <c r="AH4" i="2"/>
  <c r="AO12" i="2"/>
  <c r="BA9" i="2"/>
  <c r="AK8" i="2"/>
  <c r="CD6" i="2"/>
  <c r="T6" i="2"/>
  <c r="AR5" i="2"/>
  <c r="BB4" i="2"/>
  <c r="AP15" i="2"/>
  <c r="X12" i="2"/>
  <c r="AG10" i="2"/>
  <c r="BF8" i="2"/>
  <c r="BU6" i="2"/>
  <c r="BV14" i="2"/>
  <c r="BO12" i="2"/>
  <c r="BY9" i="2"/>
  <c r="AU7" i="2"/>
  <c r="BM15" i="2"/>
  <c r="S15" i="2"/>
  <c r="BC14" i="2"/>
  <c r="Q14" i="2"/>
  <c r="BE13" i="2"/>
  <c r="AW12" i="2"/>
  <c r="BC11" i="2"/>
  <c r="BB10" i="2"/>
  <c r="N10" i="2"/>
  <c r="BN9" i="2"/>
  <c r="AC9" i="2"/>
  <c r="CB8" i="2"/>
  <c r="AP8" i="2"/>
  <c r="P8" i="2"/>
  <c r="BN7" i="2"/>
  <c r="AG7" i="2"/>
  <c r="BI6" i="2"/>
  <c r="AF6" i="2"/>
  <c r="CG5" i="2"/>
  <c r="AZ5" i="2"/>
  <c r="W5" i="2"/>
  <c r="CJ4" i="2"/>
  <c r="BJ4" i="2"/>
  <c r="AG4" i="2"/>
  <c r="CB11" i="2"/>
  <c r="AB7" i="2"/>
  <c r="BZ13" i="2"/>
  <c r="AT9" i="2"/>
  <c r="W7" i="2"/>
  <c r="AM5" i="2"/>
  <c r="AL15" i="2"/>
  <c r="BE8" i="2"/>
  <c r="BL15" i="2"/>
  <c r="Q15" i="2"/>
  <c r="BB14" i="2"/>
  <c r="M14" i="2"/>
  <c r="BD13" i="2"/>
  <c r="CK12" i="2"/>
  <c r="AV12" i="2"/>
  <c r="BB11" i="2"/>
  <c r="AZ10" i="2"/>
  <c r="M10" i="2"/>
  <c r="BM9" i="2"/>
  <c r="AB9" i="2"/>
  <c r="CA8" i="2"/>
  <c r="AO8" i="2"/>
  <c r="O8" i="2"/>
  <c r="BM7" i="2"/>
  <c r="AF7" i="2"/>
  <c r="BE6" i="2"/>
  <c r="AE6" i="2"/>
  <c r="CF5" i="2"/>
  <c r="AV5" i="2"/>
  <c r="V5" i="2"/>
  <c r="CI4" i="2"/>
  <c r="BI4" i="2"/>
  <c r="AF4" i="2"/>
  <c r="AN13" i="2"/>
  <c r="BK15" i="2"/>
  <c r="P15" i="2"/>
  <c r="BA14" i="2"/>
  <c r="AZ13" i="2"/>
  <c r="CJ12" i="2"/>
  <c r="AQ12" i="2"/>
  <c r="CK11" i="2"/>
  <c r="AX11" i="2"/>
  <c r="AY10" i="2"/>
  <c r="BF9" i="2"/>
  <c r="AA9" i="2"/>
  <c r="BW8" i="2"/>
  <c r="AM8" i="2"/>
  <c r="BL7" i="2"/>
  <c r="AE7" i="2"/>
  <c r="CK6" i="2"/>
  <c r="BC6" i="2"/>
  <c r="V6" i="2"/>
  <c r="CB5" i="2"/>
  <c r="AU5" i="2"/>
  <c r="U5" i="2"/>
  <c r="CH4" i="2"/>
  <c r="BH4" i="2"/>
  <c r="AE4" i="2"/>
  <c r="BJ15" i="2"/>
  <c r="O15" i="2"/>
  <c r="AY14" i="2"/>
  <c r="AY13" i="2"/>
  <c r="CI12" i="2"/>
  <c r="AP12" i="2"/>
  <c r="CJ11" i="2"/>
  <c r="AN11" i="2"/>
  <c r="AX10" i="2"/>
  <c r="BE9" i="2"/>
  <c r="Z9" i="2"/>
  <c r="BV8" i="2"/>
  <c r="AL8" i="2"/>
  <c r="BK7" i="2"/>
  <c r="AD7" i="2"/>
  <c r="CJ6" i="2"/>
  <c r="BB6" i="2"/>
  <c r="U6" i="2"/>
  <c r="CA5" i="2"/>
  <c r="AT5" i="2"/>
  <c r="T5" i="2"/>
  <c r="CD4" i="2"/>
  <c r="BG4" i="2"/>
  <c r="AD4" i="2"/>
  <c r="CH12" i="2"/>
  <c r="AM11" i="2"/>
  <c r="CK10" i="2"/>
  <c r="BJ7" i="2"/>
  <c r="BA6" i="2"/>
  <c r="BZ5" i="2"/>
  <c r="CC4" i="2"/>
  <c r="AB4" i="2"/>
  <c r="BI15" i="2"/>
  <c r="AX14" i="2"/>
  <c r="AW10" i="2"/>
  <c r="P9" i="2"/>
  <c r="BU8" i="2"/>
  <c r="BY13" i="2"/>
  <c r="W12" i="2"/>
  <c r="AE10" i="2"/>
  <c r="W8" i="2"/>
  <c r="N7" i="2"/>
  <c r="AD5" i="2"/>
  <c r="AU15" i="2"/>
  <c r="AW14" i="2"/>
  <c r="CD13" i="2"/>
  <c r="AJ13" i="2"/>
  <c r="CG12" i="2"/>
  <c r="AN12" i="2"/>
  <c r="CA11" i="2"/>
  <c r="AL11" i="2"/>
  <c r="CD10" i="2"/>
  <c r="AV10" i="2"/>
  <c r="AX9" i="2"/>
  <c r="O9" i="2"/>
  <c r="BT8" i="2"/>
  <c r="AJ8" i="2"/>
  <c r="BI7" i="2"/>
  <c r="AA7" i="2"/>
  <c r="CC6" i="2"/>
  <c r="AZ6" i="2"/>
  <c r="S6" i="2"/>
  <c r="BY5" i="2"/>
  <c r="AQ5" i="2"/>
  <c r="CB4" i="2"/>
  <c r="BA4" i="2"/>
  <c r="AA4" i="2"/>
  <c r="AT15" i="2"/>
  <c r="AS14" i="2"/>
  <c r="CC13" i="2"/>
  <c r="AI13" i="2"/>
  <c r="BT12" i="2"/>
  <c r="AM12" i="2"/>
  <c r="BZ11" i="2"/>
  <c r="AG11" i="2"/>
  <c r="CC10" i="2"/>
  <c r="AU10" i="2"/>
  <c r="AW9" i="2"/>
  <c r="N9" i="2"/>
  <c r="BM8" i="2"/>
  <c r="AI8" i="2"/>
  <c r="CJ7" i="2"/>
  <c r="BC7" i="2"/>
  <c r="Z7" i="2"/>
  <c r="CB6" i="2"/>
  <c r="AY6" i="2"/>
  <c r="Q6" i="2"/>
  <c r="BS5" i="2"/>
  <c r="AP5" i="2"/>
  <c r="CA4" i="2"/>
  <c r="AX4" i="2"/>
  <c r="Z4" i="2"/>
  <c r="AS15" i="2"/>
  <c r="CG14" i="2"/>
  <c r="AR14" i="2"/>
  <c r="CB13" i="2"/>
  <c r="AG13" i="2"/>
  <c r="BS12" i="2"/>
  <c r="AI12" i="2"/>
  <c r="BY11" i="2"/>
  <c r="AF11" i="2"/>
  <c r="CB10" i="2"/>
  <c r="AI10" i="2"/>
  <c r="CJ9" i="2"/>
  <c r="AV9" i="2"/>
  <c r="L9" i="2"/>
  <c r="BL8" i="2"/>
  <c r="AH8" i="2"/>
  <c r="CI7" i="2"/>
  <c r="BB7" i="2"/>
  <c r="Y7" i="2"/>
  <c r="CA6" i="2"/>
  <c r="AX6" i="2"/>
  <c r="P6" i="2"/>
  <c r="BR5" i="2"/>
  <c r="AO5" i="2"/>
  <c r="BZ4" i="2"/>
  <c r="AW4" i="2"/>
  <c r="Y4" i="2"/>
  <c r="BP12" i="2"/>
  <c r="BZ9" i="2"/>
  <c r="CD7" i="2"/>
  <c r="N6" i="2"/>
  <c r="AT4" i="2"/>
  <c r="CG15" i="2"/>
  <c r="AA13" i="2"/>
  <c r="AC11" i="2"/>
  <c r="AS9" i="2"/>
  <c r="CC7" i="2"/>
  <c r="AM6" i="2"/>
  <c r="BS4" i="2"/>
  <c r="BS10" i="2"/>
  <c r="BK5" i="2"/>
  <c r="AQ15" i="2"/>
  <c r="CF14" i="2"/>
  <c r="AQ14" i="2"/>
  <c r="CA13" i="2"/>
  <c r="AF13" i="2"/>
  <c r="BR12" i="2"/>
  <c r="Y12" i="2"/>
  <c r="BX11" i="2"/>
  <c r="AE11" i="2"/>
  <c r="BU10" i="2"/>
  <c r="AH10" i="2"/>
  <c r="CI9" i="2"/>
  <c r="AU9" i="2"/>
  <c r="BK8" i="2"/>
  <c r="Y8" i="2"/>
  <c r="CH7" i="2"/>
  <c r="AX7" i="2"/>
  <c r="X7" i="2"/>
  <c r="BY6" i="2"/>
  <c r="AO6" i="2"/>
  <c r="O6" i="2"/>
  <c r="BQ5" i="2"/>
  <c r="AN5" i="2"/>
  <c r="BY4" i="2"/>
  <c r="AV4" i="2"/>
  <c r="X4" i="2"/>
  <c r="M6" i="2"/>
  <c r="AS4" i="2"/>
  <c r="K13" i="2"/>
  <c r="K6" i="2"/>
  <c r="K8" i="2"/>
  <c r="K14" i="2"/>
  <c r="K4" i="2"/>
  <c r="K7" i="2"/>
  <c r="K12" i="2"/>
  <c r="K11" i="2"/>
  <c r="K5" i="2"/>
  <c r="K10" i="2"/>
  <c r="K15" i="2"/>
  <c r="K9" i="2"/>
  <c r="CD47" i="2"/>
  <c r="AM54" i="2"/>
  <c r="BO59" i="2"/>
  <c r="AR33" i="2"/>
  <c r="BZ34" i="2"/>
  <c r="V36" i="2"/>
  <c r="AU37" i="2"/>
  <c r="T39" i="2"/>
  <c r="AD41" i="2"/>
  <c r="BQ43" i="2"/>
  <c r="AR48" i="2"/>
  <c r="BU51" i="2"/>
  <c r="T56" i="2"/>
  <c r="AD16" i="2"/>
  <c r="BY16" i="2"/>
  <c r="AC17" i="2"/>
  <c r="CA17" i="2"/>
  <c r="AP18" i="2"/>
  <c r="O19" i="2"/>
  <c r="BE19" i="2"/>
  <c r="AA20" i="2"/>
  <c r="CB20" i="2"/>
  <c r="BK21" i="2"/>
  <c r="AL22" i="2"/>
  <c r="Y23" i="2"/>
  <c r="N24" i="2"/>
  <c r="BZ24" i="2"/>
  <c r="BV25" i="2"/>
  <c r="CG26" i="2"/>
  <c r="BM27" i="2"/>
  <c r="BX28" i="2"/>
  <c r="CI29" i="2"/>
  <c r="N31" i="2"/>
  <c r="AP32" i="2"/>
  <c r="AT33" i="2"/>
  <c r="CA34" i="2"/>
  <c r="Y36" i="2"/>
  <c r="AV37" i="2"/>
  <c r="AO39" i="2"/>
  <c r="AL41" i="2"/>
  <c r="BS43" i="2"/>
  <c r="BA48" i="2"/>
  <c r="CF51" i="2"/>
  <c r="U56" i="2"/>
  <c r="AE16" i="2"/>
  <c r="CA16" i="2"/>
  <c r="AD17" i="2"/>
  <c r="CC17" i="2"/>
  <c r="AQ18" i="2"/>
  <c r="P19" i="2"/>
  <c r="BT19" i="2"/>
  <c r="AC20" i="2"/>
  <c r="CD20" i="2"/>
  <c r="BQ21" i="2"/>
  <c r="AN22" i="2"/>
  <c r="Z23" i="2"/>
  <c r="P24" i="2"/>
  <c r="CK24" i="2"/>
  <c r="CC25" i="2"/>
  <c r="CH26" i="2"/>
  <c r="BY28" i="2"/>
  <c r="CJ29" i="2"/>
  <c r="O31" i="2"/>
  <c r="AQ32" i="2"/>
  <c r="BE33" i="2"/>
  <c r="AI36" i="2"/>
  <c r="BJ37" i="2"/>
  <c r="AR39" i="2"/>
  <c r="AM41" i="2"/>
  <c r="CI43" i="2"/>
  <c r="AE46" i="2"/>
  <c r="AO56" i="2"/>
  <c r="AI16" i="2"/>
  <c r="CH16" i="2"/>
  <c r="AR17" i="2"/>
  <c r="CD17" i="2"/>
  <c r="AS18" i="2"/>
  <c r="Q19" i="2"/>
  <c r="BU19" i="2"/>
  <c r="AD20" i="2"/>
  <c r="BR21" i="2"/>
  <c r="AO22" i="2"/>
  <c r="AE23" i="2"/>
  <c r="Q24" i="2"/>
  <c r="CE25" i="2"/>
  <c r="CI26" i="2"/>
  <c r="BZ28" i="2"/>
  <c r="Z31" i="2"/>
  <c r="AR32" i="2"/>
  <c r="BF33" i="2"/>
  <c r="AJ36" i="2"/>
  <c r="CJ37" i="2"/>
  <c r="AS39" i="2"/>
  <c r="AQ41" i="2"/>
  <c r="CJ43" i="2"/>
  <c r="AS46" i="2"/>
  <c r="U49" i="2"/>
  <c r="T64" i="2"/>
  <c r="BT21" i="2"/>
  <c r="BJ22" i="2"/>
  <c r="AI23" i="2"/>
  <c r="U24" i="2"/>
  <c r="Q25" i="2"/>
  <c r="CJ26" i="2"/>
  <c r="AA31" i="2"/>
  <c r="BH32" i="2"/>
  <c r="CK33" i="2"/>
  <c r="AK36" i="2"/>
  <c r="AU39" i="2"/>
  <c r="BO41" i="2"/>
  <c r="BW46" i="2"/>
  <c r="AK49" i="2"/>
  <c r="U53" i="2"/>
  <c r="BZ78" i="2"/>
  <c r="BZ79" i="2" s="1"/>
  <c r="BJ78" i="2"/>
  <c r="BJ79" i="2" s="1"/>
  <c r="AT78" i="2"/>
  <c r="AT79" i="2" s="1"/>
  <c r="AD78" i="2"/>
  <c r="N78" i="2"/>
  <c r="N79" i="2" s="1"/>
  <c r="CF66" i="2"/>
  <c r="BP66" i="2"/>
  <c r="AZ66" i="2"/>
  <c r="AJ66" i="2"/>
  <c r="T66" i="2"/>
  <c r="BW65" i="2"/>
  <c r="BG65" i="2"/>
  <c r="AQ65" i="2"/>
  <c r="AA65" i="2"/>
  <c r="CD64" i="2"/>
  <c r="BN64" i="2"/>
  <c r="AX64" i="2"/>
  <c r="AH64" i="2"/>
  <c r="R64" i="2"/>
  <c r="CK63" i="2"/>
  <c r="BU63" i="2"/>
  <c r="BE63" i="2"/>
  <c r="AO63" i="2"/>
  <c r="Y63" i="2"/>
  <c r="CB62" i="2"/>
  <c r="BL62" i="2"/>
  <c r="AV62" i="2"/>
  <c r="AF62" i="2"/>
  <c r="P62" i="2"/>
  <c r="CI61" i="2"/>
  <c r="BS61" i="2"/>
  <c r="BC61" i="2"/>
  <c r="AM61" i="2"/>
  <c r="W61" i="2"/>
  <c r="BY78" i="2"/>
  <c r="BY79" i="2" s="1"/>
  <c r="BI78" i="2"/>
  <c r="BI79" i="2" s="1"/>
  <c r="AS78" i="2"/>
  <c r="AS79" i="2" s="1"/>
  <c r="AC78" i="2"/>
  <c r="AC79" i="2" s="1"/>
  <c r="M78" i="2"/>
  <c r="CE66" i="2"/>
  <c r="BO66" i="2"/>
  <c r="AY66" i="2"/>
  <c r="AI66" i="2"/>
  <c r="S66" i="2"/>
  <c r="BV65" i="2"/>
  <c r="BF65" i="2"/>
  <c r="AP65" i="2"/>
  <c r="Z65" i="2"/>
  <c r="CC64" i="2"/>
  <c r="BM64" i="2"/>
  <c r="AW64" i="2"/>
  <c r="AG64" i="2"/>
  <c r="Q64" i="2"/>
  <c r="CJ63" i="2"/>
  <c r="BT63" i="2"/>
  <c r="BD63" i="2"/>
  <c r="AN63" i="2"/>
  <c r="X63" i="2"/>
  <c r="CA62" i="2"/>
  <c r="BK62" i="2"/>
  <c r="AU62" i="2"/>
  <c r="AE62" i="2"/>
  <c r="O62" i="2"/>
  <c r="CH61" i="2"/>
  <c r="BR61" i="2"/>
  <c r="BB61" i="2"/>
  <c r="AL61" i="2"/>
  <c r="V61" i="2"/>
  <c r="BY60" i="2"/>
  <c r="BI60" i="2"/>
  <c r="AS60" i="2"/>
  <c r="AC60" i="2"/>
  <c r="BX78" i="2"/>
  <c r="BX79" i="2" s="1"/>
  <c r="BH78" i="2"/>
  <c r="BH79" i="2" s="1"/>
  <c r="BJ80" i="2" s="1"/>
  <c r="AR78" i="2"/>
  <c r="AR79" i="2" s="1"/>
  <c r="AT80" i="2" s="1"/>
  <c r="AB78" i="2"/>
  <c r="AB79" i="2" s="1"/>
  <c r="L79" i="2"/>
  <c r="CD66" i="2"/>
  <c r="BN66" i="2"/>
  <c r="AX66" i="2"/>
  <c r="AH66" i="2"/>
  <c r="R66" i="2"/>
  <c r="CK65" i="2"/>
  <c r="BU65" i="2"/>
  <c r="BE65" i="2"/>
  <c r="AO65" i="2"/>
  <c r="Y65" i="2"/>
  <c r="CB64" i="2"/>
  <c r="BL64" i="2"/>
  <c r="AV64" i="2"/>
  <c r="AF64" i="2"/>
  <c r="P64" i="2"/>
  <c r="CI63" i="2"/>
  <c r="BS63" i="2"/>
  <c r="BC63" i="2"/>
  <c r="AM63" i="2"/>
  <c r="W63" i="2"/>
  <c r="BZ62" i="2"/>
  <c r="BJ62" i="2"/>
  <c r="AT62" i="2"/>
  <c r="AD62" i="2"/>
  <c r="N62" i="2"/>
  <c r="CG61" i="2"/>
  <c r="BQ61" i="2"/>
  <c r="BA61" i="2"/>
  <c r="AK61" i="2"/>
  <c r="U61" i="2"/>
  <c r="BX60" i="2"/>
  <c r="BH60" i="2"/>
  <c r="AR60" i="2"/>
  <c r="AB60" i="2"/>
  <c r="BW78" i="2"/>
  <c r="BW79" i="2" s="1"/>
  <c r="BG78" i="2"/>
  <c r="BG79" i="2" s="1"/>
  <c r="AQ78" i="2"/>
  <c r="AQ79" i="2" s="1"/>
  <c r="AA78" i="2"/>
  <c r="AA79" i="2" s="1"/>
  <c r="CC66" i="2"/>
  <c r="BM66" i="2"/>
  <c r="AW66" i="2"/>
  <c r="AG66" i="2"/>
  <c r="Q66" i="2"/>
  <c r="CJ65" i="2"/>
  <c r="BT65" i="2"/>
  <c r="BD65" i="2"/>
  <c r="AN65" i="2"/>
  <c r="X65" i="2"/>
  <c r="CA64" i="2"/>
  <c r="BK64" i="2"/>
  <c r="AU64" i="2"/>
  <c r="AE64" i="2"/>
  <c r="O64" i="2"/>
  <c r="CH63" i="2"/>
  <c r="BR63" i="2"/>
  <c r="BB63" i="2"/>
  <c r="AL63" i="2"/>
  <c r="V63" i="2"/>
  <c r="BY62" i="2"/>
  <c r="BI62" i="2"/>
  <c r="AS62" i="2"/>
  <c r="AC62" i="2"/>
  <c r="M62" i="2"/>
  <c r="CF61" i="2"/>
  <c r="BP61" i="2"/>
  <c r="AZ61" i="2"/>
  <c r="AJ61" i="2"/>
  <c r="T61" i="2"/>
  <c r="BV78" i="2"/>
  <c r="BV79" i="2" s="1"/>
  <c r="BF78" i="2"/>
  <c r="BF79" i="2" s="1"/>
  <c r="AP78" i="2"/>
  <c r="AP79" i="2" s="1"/>
  <c r="Z78" i="2"/>
  <c r="Z79" i="2" s="1"/>
  <c r="CB66" i="2"/>
  <c r="BL66" i="2"/>
  <c r="AV66" i="2"/>
  <c r="AF66" i="2"/>
  <c r="P66" i="2"/>
  <c r="CI65" i="2"/>
  <c r="BS65" i="2"/>
  <c r="BC65" i="2"/>
  <c r="AM65" i="2"/>
  <c r="W65" i="2"/>
  <c r="BZ64" i="2"/>
  <c r="BJ64" i="2"/>
  <c r="AT64" i="2"/>
  <c r="AD64" i="2"/>
  <c r="N64" i="2"/>
  <c r="CG63" i="2"/>
  <c r="BQ63" i="2"/>
  <c r="BA63" i="2"/>
  <c r="AK63" i="2"/>
  <c r="U63" i="2"/>
  <c r="BX62" i="2"/>
  <c r="BH62" i="2"/>
  <c r="AR62" i="2"/>
  <c r="AB62" i="2"/>
  <c r="L62" i="2"/>
  <c r="CE61" i="2"/>
  <c r="BO61" i="2"/>
  <c r="AY61" i="2"/>
  <c r="AI61" i="2"/>
  <c r="S61" i="2"/>
  <c r="BV60" i="2"/>
  <c r="BF60" i="2"/>
  <c r="AP60" i="2"/>
  <c r="Z60" i="2"/>
  <c r="CK78" i="2"/>
  <c r="CK79" i="2" s="1"/>
  <c r="BU78" i="2"/>
  <c r="BU79" i="2" s="1"/>
  <c r="BW80" i="2" s="1"/>
  <c r="BE78" i="2"/>
  <c r="BE79" i="2" s="1"/>
  <c r="BG80" i="2" s="1"/>
  <c r="AO78" i="2"/>
  <c r="AO79" i="2" s="1"/>
  <c r="AQ80" i="2" s="1"/>
  <c r="Y78" i="2"/>
  <c r="Y79" i="2" s="1"/>
  <c r="CA66" i="2"/>
  <c r="BK66" i="2"/>
  <c r="AU66" i="2"/>
  <c r="AE66" i="2"/>
  <c r="O66" i="2"/>
  <c r="CH65" i="2"/>
  <c r="BR65" i="2"/>
  <c r="BB65" i="2"/>
  <c r="AL65" i="2"/>
  <c r="V65" i="2"/>
  <c r="BY64" i="2"/>
  <c r="BI64" i="2"/>
  <c r="AS64" i="2"/>
  <c r="AC64" i="2"/>
  <c r="M64" i="2"/>
  <c r="CF63" i="2"/>
  <c r="BP63" i="2"/>
  <c r="AZ63" i="2"/>
  <c r="AJ63" i="2"/>
  <c r="T63" i="2"/>
  <c r="BW62" i="2"/>
  <c r="BG62" i="2"/>
  <c r="AQ62" i="2"/>
  <c r="AA62" i="2"/>
  <c r="CD61" i="2"/>
  <c r="CJ78" i="2"/>
  <c r="CJ79" i="2" s="1"/>
  <c r="BT78" i="2"/>
  <c r="BT79" i="2" s="1"/>
  <c r="BD78" i="2"/>
  <c r="BD79" i="2" s="1"/>
  <c r="AN78" i="2"/>
  <c r="AN79" i="2" s="1"/>
  <c r="X78" i="2"/>
  <c r="X79" i="2" s="1"/>
  <c r="Z80" i="2" s="1"/>
  <c r="BZ66" i="2"/>
  <c r="BJ66" i="2"/>
  <c r="AT66" i="2"/>
  <c r="AD66" i="2"/>
  <c r="N66" i="2"/>
  <c r="CH78" i="2"/>
  <c r="CH79" i="2" s="1"/>
  <c r="BK78" i="2"/>
  <c r="BK79" i="2" s="1"/>
  <c r="AG78" i="2"/>
  <c r="AG79" i="2" s="1"/>
  <c r="AI80" i="2" s="1"/>
  <c r="BQ66" i="2"/>
  <c r="AM66" i="2"/>
  <c r="BP65" i="2"/>
  <c r="AT65" i="2"/>
  <c r="R65" i="2"/>
  <c r="CF64" i="2"/>
  <c r="BD64" i="2"/>
  <c r="AB64" i="2"/>
  <c r="BM63" i="2"/>
  <c r="AQ63" i="2"/>
  <c r="O63" i="2"/>
  <c r="BV62" i="2"/>
  <c r="AZ62" i="2"/>
  <c r="X62" i="2"/>
  <c r="BK61" i="2"/>
  <c r="AP61" i="2"/>
  <c r="P61" i="2"/>
  <c r="CD60" i="2"/>
  <c r="BK60" i="2"/>
  <c r="AO60" i="2"/>
  <c r="V60" i="2"/>
  <c r="BY59" i="2"/>
  <c r="BI59" i="2"/>
  <c r="AS59" i="2"/>
  <c r="AC59" i="2"/>
  <c r="M59" i="2"/>
  <c r="CF58" i="2"/>
  <c r="BP58" i="2"/>
  <c r="AZ58" i="2"/>
  <c r="AJ58" i="2"/>
  <c r="T58" i="2"/>
  <c r="BW57" i="2"/>
  <c r="BG57" i="2"/>
  <c r="AQ57" i="2"/>
  <c r="AA57" i="2"/>
  <c r="CD56" i="2"/>
  <c r="BN56" i="2"/>
  <c r="AX56" i="2"/>
  <c r="AH56" i="2"/>
  <c r="R56" i="2"/>
  <c r="CK55" i="2"/>
  <c r="BU55" i="2"/>
  <c r="BE55" i="2"/>
  <c r="AO55" i="2"/>
  <c r="Y55" i="2"/>
  <c r="CB54" i="2"/>
  <c r="BL54" i="2"/>
  <c r="AV54" i="2"/>
  <c r="AF54" i="2"/>
  <c r="P54" i="2"/>
  <c r="CI53" i="2"/>
  <c r="BS53" i="2"/>
  <c r="BC53" i="2"/>
  <c r="AM53" i="2"/>
  <c r="CG78" i="2"/>
  <c r="CG79" i="2" s="1"/>
  <c r="BC78" i="2"/>
  <c r="BC79" i="2" s="1"/>
  <c r="BE80" i="2" s="1"/>
  <c r="AF78" i="2"/>
  <c r="AF79" i="2" s="1"/>
  <c r="BI66" i="2"/>
  <c r="AL66" i="2"/>
  <c r="BO65" i="2"/>
  <c r="AS65" i="2"/>
  <c r="Q65" i="2"/>
  <c r="CE64" i="2"/>
  <c r="BC64" i="2"/>
  <c r="AA64" i="2"/>
  <c r="BL63" i="2"/>
  <c r="AP63" i="2"/>
  <c r="N63" i="2"/>
  <c r="BU62" i="2"/>
  <c r="AY62" i="2"/>
  <c r="W62" i="2"/>
  <c r="CK61" i="2"/>
  <c r="BJ61" i="2"/>
  <c r="AO61" i="2"/>
  <c r="O61" i="2"/>
  <c r="CC60" i="2"/>
  <c r="BJ60" i="2"/>
  <c r="AN60" i="2"/>
  <c r="U60" i="2"/>
  <c r="BX59" i="2"/>
  <c r="BH59" i="2"/>
  <c r="AR59" i="2"/>
  <c r="AB59" i="2"/>
  <c r="L59" i="2"/>
  <c r="CE58" i="2"/>
  <c r="BO58" i="2"/>
  <c r="AY58" i="2"/>
  <c r="AI58" i="2"/>
  <c r="S58" i="2"/>
  <c r="BV57" i="2"/>
  <c r="BF57" i="2"/>
  <c r="AP57" i="2"/>
  <c r="Z57" i="2"/>
  <c r="CC56" i="2"/>
  <c r="BM56" i="2"/>
  <c r="AW56" i="2"/>
  <c r="AG56" i="2"/>
  <c r="Q56" i="2"/>
  <c r="CJ55" i="2"/>
  <c r="BT55" i="2"/>
  <c r="BD55" i="2"/>
  <c r="AN55" i="2"/>
  <c r="X55" i="2"/>
  <c r="CF78" i="2"/>
  <c r="CF79" i="2" s="1"/>
  <c r="CH80" i="2" s="1"/>
  <c r="BB78" i="2"/>
  <c r="BB79" i="2" s="1"/>
  <c r="AE78" i="2"/>
  <c r="AE79" i="2" s="1"/>
  <c r="AG80" i="2" s="1"/>
  <c r="BH66" i="2"/>
  <c r="AK66" i="2"/>
  <c r="BN65" i="2"/>
  <c r="AR65" i="2"/>
  <c r="P65" i="2"/>
  <c r="BX64" i="2"/>
  <c r="BB64" i="2"/>
  <c r="Z64" i="2"/>
  <c r="BK63" i="2"/>
  <c r="AI63" i="2"/>
  <c r="M63" i="2"/>
  <c r="BT62" i="2"/>
  <c r="AX62" i="2"/>
  <c r="V62" i="2"/>
  <c r="CJ61" i="2"/>
  <c r="BI61" i="2"/>
  <c r="AN61" i="2"/>
  <c r="N61" i="2"/>
  <c r="CB60" i="2"/>
  <c r="BG60" i="2"/>
  <c r="AM60" i="2"/>
  <c r="T60" i="2"/>
  <c r="CD78" i="2"/>
  <c r="CD79" i="2" s="1"/>
  <c r="AZ78" i="2"/>
  <c r="AZ79" i="2" s="1"/>
  <c r="V78" i="2"/>
  <c r="V79" i="2" s="1"/>
  <c r="CJ66" i="2"/>
  <c r="BF66" i="2"/>
  <c r="AB66" i="2"/>
  <c r="BL65" i="2"/>
  <c r="AJ65" i="2"/>
  <c r="N65" i="2"/>
  <c r="BV64" i="2"/>
  <c r="AZ64" i="2"/>
  <c r="X64" i="2"/>
  <c r="CE63" i="2"/>
  <c r="BI63" i="2"/>
  <c r="AG63" i="2"/>
  <c r="BR62" i="2"/>
  <c r="AP62" i="2"/>
  <c r="T62" i="2"/>
  <c r="CB61" i="2"/>
  <c r="BG61" i="2"/>
  <c r="AG61" i="2"/>
  <c r="L61" i="2"/>
  <c r="BZ60" i="2"/>
  <c r="BD60" i="2"/>
  <c r="AK60" i="2"/>
  <c r="R60" i="2"/>
  <c r="CK59" i="2"/>
  <c r="BU59" i="2"/>
  <c r="BE59" i="2"/>
  <c r="AO59" i="2"/>
  <c r="Y59" i="2"/>
  <c r="CC78" i="2"/>
  <c r="CC79" i="2" s="1"/>
  <c r="AY78" i="2"/>
  <c r="U78" i="2"/>
  <c r="CI66" i="2"/>
  <c r="BE66" i="2"/>
  <c r="AA66" i="2"/>
  <c r="CG65" i="2"/>
  <c r="BK65" i="2"/>
  <c r="AX78" i="2"/>
  <c r="AX79" i="2" s="1"/>
  <c r="O78" i="2"/>
  <c r="O79" i="2" s="1"/>
  <c r="BS66" i="2"/>
  <c r="X66" i="2"/>
  <c r="BY65" i="2"/>
  <c r="AH65" i="2"/>
  <c r="BF64" i="2"/>
  <c r="V64" i="2"/>
  <c r="BY63" i="2"/>
  <c r="AS63" i="2"/>
  <c r="BM62" i="2"/>
  <c r="AG62" i="2"/>
  <c r="CA61" i="2"/>
  <c r="AW61" i="2"/>
  <c r="X61" i="2"/>
  <c r="BW60" i="2"/>
  <c r="AY60" i="2"/>
  <c r="Y60" i="2"/>
  <c r="CJ59" i="2"/>
  <c r="BQ59" i="2"/>
  <c r="AX59" i="2"/>
  <c r="AE59" i="2"/>
  <c r="CA58" i="2"/>
  <c r="BI58" i="2"/>
  <c r="AQ58" i="2"/>
  <c r="Y58" i="2"/>
  <c r="BX57" i="2"/>
  <c r="BD57" i="2"/>
  <c r="AL57" i="2"/>
  <c r="T57" i="2"/>
  <c r="BT56" i="2"/>
  <c r="BB56" i="2"/>
  <c r="AJ56" i="2"/>
  <c r="P56" i="2"/>
  <c r="CG55" i="2"/>
  <c r="BO55" i="2"/>
  <c r="AW55" i="2"/>
  <c r="AE55" i="2"/>
  <c r="M55" i="2"/>
  <c r="CD54" i="2"/>
  <c r="BM54" i="2"/>
  <c r="AU54" i="2"/>
  <c r="AD54" i="2"/>
  <c r="M54" i="2"/>
  <c r="CE53" i="2"/>
  <c r="BN53" i="2"/>
  <c r="AW53" i="2"/>
  <c r="AF53" i="2"/>
  <c r="P53" i="2"/>
  <c r="CI52" i="2"/>
  <c r="BS52" i="2"/>
  <c r="BC52" i="2"/>
  <c r="AM52" i="2"/>
  <c r="W52" i="2"/>
  <c r="BZ51" i="2"/>
  <c r="BJ51" i="2"/>
  <c r="AT51" i="2"/>
  <c r="AD51" i="2"/>
  <c r="N51" i="2"/>
  <c r="CG50" i="2"/>
  <c r="BQ50" i="2"/>
  <c r="BA50" i="2"/>
  <c r="AK50" i="2"/>
  <c r="U50" i="2"/>
  <c r="BX49" i="2"/>
  <c r="BH49" i="2"/>
  <c r="AR49" i="2"/>
  <c r="AB49" i="2"/>
  <c r="L49" i="2"/>
  <c r="CE48" i="2"/>
  <c r="BO48" i="2"/>
  <c r="AY48" i="2"/>
  <c r="AI48" i="2"/>
  <c r="S48" i="2"/>
  <c r="BV47" i="2"/>
  <c r="BF47" i="2"/>
  <c r="AP47" i="2"/>
  <c r="Z47" i="2"/>
  <c r="CC46" i="2"/>
  <c r="BM46" i="2"/>
  <c r="AW46" i="2"/>
  <c r="AG46" i="2"/>
  <c r="Q46" i="2"/>
  <c r="CJ45" i="2"/>
  <c r="BT45" i="2"/>
  <c r="BD45" i="2"/>
  <c r="AN45" i="2"/>
  <c r="X45" i="2"/>
  <c r="CA44" i="2"/>
  <c r="BK44" i="2"/>
  <c r="AU44" i="2"/>
  <c r="AE44" i="2"/>
  <c r="O44" i="2"/>
  <c r="CH43" i="2"/>
  <c r="BR43" i="2"/>
  <c r="BB43" i="2"/>
  <c r="AL43" i="2"/>
  <c r="V43" i="2"/>
  <c r="BY42" i="2"/>
  <c r="BI42" i="2"/>
  <c r="AS42" i="2"/>
  <c r="AC42" i="2"/>
  <c r="M42" i="2"/>
  <c r="CF41" i="2"/>
  <c r="BP41" i="2"/>
  <c r="AZ41" i="2"/>
  <c r="AJ41" i="2"/>
  <c r="T41" i="2"/>
  <c r="BW40" i="2"/>
  <c r="BG40" i="2"/>
  <c r="AQ40" i="2"/>
  <c r="AA40" i="2"/>
  <c r="AW78" i="2"/>
  <c r="AW79" i="2" s="1"/>
  <c r="BR66" i="2"/>
  <c r="W66" i="2"/>
  <c r="BX65" i="2"/>
  <c r="AG65" i="2"/>
  <c r="CK64" i="2"/>
  <c r="BE64" i="2"/>
  <c r="U64" i="2"/>
  <c r="BX63" i="2"/>
  <c r="AR63" i="2"/>
  <c r="BF62" i="2"/>
  <c r="Z62" i="2"/>
  <c r="BZ61" i="2"/>
  <c r="AV61" i="2"/>
  <c r="R61" i="2"/>
  <c r="BU60" i="2"/>
  <c r="AX60" i="2"/>
  <c r="X60" i="2"/>
  <c r="CI59" i="2"/>
  <c r="BP59" i="2"/>
  <c r="AW59" i="2"/>
  <c r="AD59" i="2"/>
  <c r="BZ58" i="2"/>
  <c r="BH58" i="2"/>
  <c r="AP58" i="2"/>
  <c r="X58" i="2"/>
  <c r="BU57" i="2"/>
  <c r="BC57" i="2"/>
  <c r="AK57" i="2"/>
  <c r="S57" i="2"/>
  <c r="CK56" i="2"/>
  <c r="BS56" i="2"/>
  <c r="BA56" i="2"/>
  <c r="AI56" i="2"/>
  <c r="O56" i="2"/>
  <c r="CF55" i="2"/>
  <c r="BN55" i="2"/>
  <c r="AV55" i="2"/>
  <c r="AD55" i="2"/>
  <c r="L55" i="2"/>
  <c r="CC54" i="2"/>
  <c r="BK54" i="2"/>
  <c r="AT54" i="2"/>
  <c r="AC54" i="2"/>
  <c r="L54" i="2"/>
  <c r="CD53" i="2"/>
  <c r="BM53" i="2"/>
  <c r="AV53" i="2"/>
  <c r="AE53" i="2"/>
  <c r="O53" i="2"/>
  <c r="CH52" i="2"/>
  <c r="BR52" i="2"/>
  <c r="BB52" i="2"/>
  <c r="AL52" i="2"/>
  <c r="V52" i="2"/>
  <c r="BY51" i="2"/>
  <c r="BI51" i="2"/>
  <c r="AS51" i="2"/>
  <c r="AC51" i="2"/>
  <c r="M51" i="2"/>
  <c r="CF50" i="2"/>
  <c r="BP50" i="2"/>
  <c r="AZ50" i="2"/>
  <c r="AJ50" i="2"/>
  <c r="T50" i="2"/>
  <c r="BW49" i="2"/>
  <c r="BG49" i="2"/>
  <c r="AQ49" i="2"/>
  <c r="AA49" i="2"/>
  <c r="CI78" i="2"/>
  <c r="CI79" i="2" s="1"/>
  <c r="AU78" i="2"/>
  <c r="AU79" i="2" s="1"/>
  <c r="BD66" i="2"/>
  <c r="U66" i="2"/>
  <c r="BM65" i="2"/>
  <c r="AE65" i="2"/>
  <c r="CI64" i="2"/>
  <c r="AY64" i="2"/>
  <c r="S64" i="2"/>
  <c r="BV63" i="2"/>
  <c r="AF63" i="2"/>
  <c r="CJ62" i="2"/>
  <c r="BD62" i="2"/>
  <c r="U62" i="2"/>
  <c r="BX61" i="2"/>
  <c r="AT61" i="2"/>
  <c r="M61" i="2"/>
  <c r="BS60" i="2"/>
  <c r="AV60" i="2"/>
  <c r="S60" i="2"/>
  <c r="CG59" i="2"/>
  <c r="BN59" i="2"/>
  <c r="AU59" i="2"/>
  <c r="Z59" i="2"/>
  <c r="BX58" i="2"/>
  <c r="BF58" i="2"/>
  <c r="AN58" i="2"/>
  <c r="V58" i="2"/>
  <c r="CK57" i="2"/>
  <c r="BS57" i="2"/>
  <c r="BA57" i="2"/>
  <c r="AI57" i="2"/>
  <c r="Q57" i="2"/>
  <c r="CI56" i="2"/>
  <c r="BQ56" i="2"/>
  <c r="AY56" i="2"/>
  <c r="AE56" i="2"/>
  <c r="M56" i="2"/>
  <c r="CD55" i="2"/>
  <c r="BL55" i="2"/>
  <c r="AT55" i="2"/>
  <c r="AB55" i="2"/>
  <c r="BZ54" i="2"/>
  <c r="BI54" i="2"/>
  <c r="AR54" i="2"/>
  <c r="AA54" i="2"/>
  <c r="CB53" i="2"/>
  <c r="BK53" i="2"/>
  <c r="AT53" i="2"/>
  <c r="AC53" i="2"/>
  <c r="M53" i="2"/>
  <c r="CF52" i="2"/>
  <c r="BP52" i="2"/>
  <c r="AZ52" i="2"/>
  <c r="AJ52" i="2"/>
  <c r="T52" i="2"/>
  <c r="BW51" i="2"/>
  <c r="BG51" i="2"/>
  <c r="AQ51" i="2"/>
  <c r="AA51" i="2"/>
  <c r="CD50" i="2"/>
  <c r="BN50" i="2"/>
  <c r="AX50" i="2"/>
  <c r="AH50" i="2"/>
  <c r="R50" i="2"/>
  <c r="CE78" i="2"/>
  <c r="CE79" i="2" s="1"/>
  <c r="AM78" i="2"/>
  <c r="AM79" i="2" s="1"/>
  <c r="CB78" i="2"/>
  <c r="CB79" i="2" s="1"/>
  <c r="CD80" i="2" s="1"/>
  <c r="AL78" i="2"/>
  <c r="AL79" i="2" s="1"/>
  <c r="BB66" i="2"/>
  <c r="L66" i="2"/>
  <c r="BI65" i="2"/>
  <c r="AC65" i="2"/>
  <c r="CG64" i="2"/>
  <c r="AQ64" i="2"/>
  <c r="BN63" i="2"/>
  <c r="AD63" i="2"/>
  <c r="CH62" i="2"/>
  <c r="BB62" i="2"/>
  <c r="R62" i="2"/>
  <c r="BV61" i="2"/>
  <c r="AR61" i="2"/>
  <c r="BQ60" i="2"/>
  <c r="AT60" i="2"/>
  <c r="P60" i="2"/>
  <c r="CE59" i="2"/>
  <c r="BL59" i="2"/>
  <c r="AQ59" i="2"/>
  <c r="W59" i="2"/>
  <c r="BV58" i="2"/>
  <c r="BD58" i="2"/>
  <c r="AL58" i="2"/>
  <c r="R58" i="2"/>
  <c r="CA78" i="2"/>
  <c r="CA79" i="2" s="1"/>
  <c r="CC80" i="2" s="1"/>
  <c r="AK78" i="2"/>
  <c r="AK79" i="2" s="1"/>
  <c r="BA66" i="2"/>
  <c r="BH65" i="2"/>
  <c r="AB65" i="2"/>
  <c r="BW64" i="2"/>
  <c r="AP64" i="2"/>
  <c r="BJ63" i="2"/>
  <c r="AC63" i="2"/>
  <c r="CG62" i="2"/>
  <c r="BA62" i="2"/>
  <c r="Q62" i="2"/>
  <c r="BU61" i="2"/>
  <c r="AQ61" i="2"/>
  <c r="BP60" i="2"/>
  <c r="AQ60" i="2"/>
  <c r="O60" i="2"/>
  <c r="CD59" i="2"/>
  <c r="BK59" i="2"/>
  <c r="AP59" i="2"/>
  <c r="V59" i="2"/>
  <c r="BR78" i="2"/>
  <c r="BR79" i="2" s="1"/>
  <c r="Q78" i="2"/>
  <c r="Q79" i="2" s="1"/>
  <c r="CK66" i="2"/>
  <c r="AN66" i="2"/>
  <c r="BQ65" i="2"/>
  <c r="O65" i="2"/>
  <c r="BG64" i="2"/>
  <c r="AV63" i="2"/>
  <c r="CF62" i="2"/>
  <c r="AK62" i="2"/>
  <c r="BW61" i="2"/>
  <c r="AC61" i="2"/>
  <c r="BT60" i="2"/>
  <c r="AH60" i="2"/>
  <c r="BF59" i="2"/>
  <c r="AG59" i="2"/>
  <c r="CK58" i="2"/>
  <c r="BM58" i="2"/>
  <c r="AO58" i="2"/>
  <c r="O58" i="2"/>
  <c r="CC57" i="2"/>
  <c r="BH57" i="2"/>
  <c r="AH57" i="2"/>
  <c r="M57" i="2"/>
  <c r="BZ56" i="2"/>
  <c r="BE56" i="2"/>
  <c r="AF56" i="2"/>
  <c r="BX55" i="2"/>
  <c r="BA55" i="2"/>
  <c r="AF55" i="2"/>
  <c r="BU54" i="2"/>
  <c r="BA54" i="2"/>
  <c r="AG54" i="2"/>
  <c r="BX53" i="2"/>
  <c r="BD53" i="2"/>
  <c r="AI53" i="2"/>
  <c r="N53" i="2"/>
  <c r="CC52" i="2"/>
  <c r="BJ52" i="2"/>
  <c r="AQ52" i="2"/>
  <c r="X52" i="2"/>
  <c r="CK51" i="2"/>
  <c r="BR51" i="2"/>
  <c r="AY51" i="2"/>
  <c r="AF51" i="2"/>
  <c r="CA50" i="2"/>
  <c r="BH50" i="2"/>
  <c r="AO50" i="2"/>
  <c r="V50" i="2"/>
  <c r="CJ49" i="2"/>
  <c r="BR49" i="2"/>
  <c r="AZ49" i="2"/>
  <c r="AH49" i="2"/>
  <c r="P49" i="2"/>
  <c r="CH48" i="2"/>
  <c r="BQ48" i="2"/>
  <c r="AZ48" i="2"/>
  <c r="AH48" i="2"/>
  <c r="Q48" i="2"/>
  <c r="CI47" i="2"/>
  <c r="BR47" i="2"/>
  <c r="BA47" i="2"/>
  <c r="AJ47" i="2"/>
  <c r="S47" i="2"/>
  <c r="CK46" i="2"/>
  <c r="BT46" i="2"/>
  <c r="BC46" i="2"/>
  <c r="AL46" i="2"/>
  <c r="U46" i="2"/>
  <c r="BV45" i="2"/>
  <c r="BE45" i="2"/>
  <c r="AM45" i="2"/>
  <c r="V45" i="2"/>
  <c r="BW44" i="2"/>
  <c r="BF44" i="2"/>
  <c r="AO44" i="2"/>
  <c r="X44" i="2"/>
  <c r="BY43" i="2"/>
  <c r="BH43" i="2"/>
  <c r="AQ43" i="2"/>
  <c r="Z43" i="2"/>
  <c r="CA42" i="2"/>
  <c r="BJ42" i="2"/>
  <c r="AR42" i="2"/>
  <c r="AA42" i="2"/>
  <c r="CB41" i="2"/>
  <c r="BK41" i="2"/>
  <c r="AT41" i="2"/>
  <c r="AC41" i="2"/>
  <c r="L41" i="2"/>
  <c r="CD40" i="2"/>
  <c r="BM40" i="2"/>
  <c r="AV40" i="2"/>
  <c r="AE40" i="2"/>
  <c r="N40" i="2"/>
  <c r="CG39" i="2"/>
  <c r="BQ39" i="2"/>
  <c r="BA39" i="2"/>
  <c r="AK39" i="2"/>
  <c r="U39" i="2"/>
  <c r="BX38" i="2"/>
  <c r="BH38" i="2"/>
  <c r="AR38" i="2"/>
  <c r="AB38" i="2"/>
  <c r="L38" i="2"/>
  <c r="CE37" i="2"/>
  <c r="BO37" i="2"/>
  <c r="AY37" i="2"/>
  <c r="AI37" i="2"/>
  <c r="S37" i="2"/>
  <c r="BV36" i="2"/>
  <c r="BF36" i="2"/>
  <c r="AP36" i="2"/>
  <c r="Z36" i="2"/>
  <c r="CC35" i="2"/>
  <c r="BM35" i="2"/>
  <c r="AW35" i="2"/>
  <c r="AG35" i="2"/>
  <c r="Q35" i="2"/>
  <c r="CJ34" i="2"/>
  <c r="BT34" i="2"/>
  <c r="BD34" i="2"/>
  <c r="AN34" i="2"/>
  <c r="X34" i="2"/>
  <c r="CA33" i="2"/>
  <c r="BK33" i="2"/>
  <c r="AU33" i="2"/>
  <c r="AE33" i="2"/>
  <c r="O33" i="2"/>
  <c r="CH32" i="2"/>
  <c r="BR32" i="2"/>
  <c r="BB32" i="2"/>
  <c r="AL32" i="2"/>
  <c r="V32" i="2"/>
  <c r="BY31" i="2"/>
  <c r="BI31" i="2"/>
  <c r="AS31" i="2"/>
  <c r="AC31" i="2"/>
  <c r="M31" i="2"/>
  <c r="CF30" i="2"/>
  <c r="BP30" i="2"/>
  <c r="AZ30" i="2"/>
  <c r="AJ30" i="2"/>
  <c r="T30" i="2"/>
  <c r="BW29" i="2"/>
  <c r="BG29" i="2"/>
  <c r="BQ78" i="2"/>
  <c r="BQ79" i="2" s="1"/>
  <c r="P78" i="2"/>
  <c r="P79" i="2" s="1"/>
  <c r="CH66" i="2"/>
  <c r="AC66" i="2"/>
  <c r="BJ65" i="2"/>
  <c r="M65" i="2"/>
  <c r="BA64" i="2"/>
  <c r="AU63" i="2"/>
  <c r="CE62" i="2"/>
  <c r="AJ62" i="2"/>
  <c r="BT61" i="2"/>
  <c r="AB61" i="2"/>
  <c r="BR60" i="2"/>
  <c r="AG60" i="2"/>
  <c r="CH59" i="2"/>
  <c r="BD59" i="2"/>
  <c r="AF59" i="2"/>
  <c r="CJ58" i="2"/>
  <c r="BL58" i="2"/>
  <c r="AM58" i="2"/>
  <c r="N58" i="2"/>
  <c r="CB57" i="2"/>
  <c r="BE57" i="2"/>
  <c r="AG57" i="2"/>
  <c r="L57" i="2"/>
  <c r="BY56" i="2"/>
  <c r="BD56" i="2"/>
  <c r="AD56" i="2"/>
  <c r="BW55" i="2"/>
  <c r="AZ55" i="2"/>
  <c r="AC55" i="2"/>
  <c r="BT54" i="2"/>
  <c r="AZ54" i="2"/>
  <c r="AE54" i="2"/>
  <c r="BW53" i="2"/>
  <c r="BB53" i="2"/>
  <c r="AH53" i="2"/>
  <c r="L53" i="2"/>
  <c r="CB52" i="2"/>
  <c r="BI52" i="2"/>
  <c r="AP52" i="2"/>
  <c r="U52" i="2"/>
  <c r="CJ51" i="2"/>
  <c r="BQ51" i="2"/>
  <c r="AX51" i="2"/>
  <c r="AE51" i="2"/>
  <c r="BZ50" i="2"/>
  <c r="BG50" i="2"/>
  <c r="AN50" i="2"/>
  <c r="S50" i="2"/>
  <c r="CI49" i="2"/>
  <c r="BQ49" i="2"/>
  <c r="AY49" i="2"/>
  <c r="AG49" i="2"/>
  <c r="O49" i="2"/>
  <c r="CG48" i="2"/>
  <c r="BP48" i="2"/>
  <c r="AX48" i="2"/>
  <c r="AG48" i="2"/>
  <c r="P48" i="2"/>
  <c r="CH47" i="2"/>
  <c r="BQ47" i="2"/>
  <c r="AZ47" i="2"/>
  <c r="AI47" i="2"/>
  <c r="R47" i="2"/>
  <c r="CJ46" i="2"/>
  <c r="BS46" i="2"/>
  <c r="BB46" i="2"/>
  <c r="AK46" i="2"/>
  <c r="T46" i="2"/>
  <c r="BU45" i="2"/>
  <c r="BC45" i="2"/>
  <c r="AL45" i="2"/>
  <c r="U45" i="2"/>
  <c r="BV44" i="2"/>
  <c r="BE44" i="2"/>
  <c r="AN44" i="2"/>
  <c r="W44" i="2"/>
  <c r="BX43" i="2"/>
  <c r="BG43" i="2"/>
  <c r="AP43" i="2"/>
  <c r="Y43" i="2"/>
  <c r="BZ42" i="2"/>
  <c r="BH42" i="2"/>
  <c r="AQ42" i="2"/>
  <c r="Z42" i="2"/>
  <c r="CA41" i="2"/>
  <c r="BJ41" i="2"/>
  <c r="AS41" i="2"/>
  <c r="AB41" i="2"/>
  <c r="CC40" i="2"/>
  <c r="BL40" i="2"/>
  <c r="AU40" i="2"/>
  <c r="AD40" i="2"/>
  <c r="M40" i="2"/>
  <c r="CF39" i="2"/>
  <c r="BP78" i="2"/>
  <c r="BP79" i="2" s="1"/>
  <c r="CG66" i="2"/>
  <c r="Z66" i="2"/>
  <c r="BA65" i="2"/>
  <c r="L65" i="2"/>
  <c r="AR64" i="2"/>
  <c r="AT63" i="2"/>
  <c r="CD62" i="2"/>
  <c r="AI62" i="2"/>
  <c r="BN61" i="2"/>
  <c r="AA61" i="2"/>
  <c r="BO60" i="2"/>
  <c r="AF60" i="2"/>
  <c r="CF59" i="2"/>
  <c r="BC59" i="2"/>
  <c r="AA59" i="2"/>
  <c r="CI58" i="2"/>
  <c r="BK58" i="2"/>
  <c r="AK58" i="2"/>
  <c r="M58" i="2"/>
  <c r="CA57" i="2"/>
  <c r="BB57" i="2"/>
  <c r="AF57" i="2"/>
  <c r="BX56" i="2"/>
  <c r="BC56" i="2"/>
  <c r="AC56" i="2"/>
  <c r="BV55" i="2"/>
  <c r="AY55" i="2"/>
  <c r="AA55" i="2"/>
  <c r="BS54" i="2"/>
  <c r="AY54" i="2"/>
  <c r="AB54" i="2"/>
  <c r="BV53" i="2"/>
  <c r="BA53" i="2"/>
  <c r="AG53" i="2"/>
  <c r="CA52" i="2"/>
  <c r="BH52" i="2"/>
  <c r="AO52" i="2"/>
  <c r="S52" i="2"/>
  <c r="CI51" i="2"/>
  <c r="BP51" i="2"/>
  <c r="AW51" i="2"/>
  <c r="AB51" i="2"/>
  <c r="BY50" i="2"/>
  <c r="BF50" i="2"/>
  <c r="AM50" i="2"/>
  <c r="Q50" i="2"/>
  <c r="CH49" i="2"/>
  <c r="BP49" i="2"/>
  <c r="AX49" i="2"/>
  <c r="AF49" i="2"/>
  <c r="N49" i="2"/>
  <c r="CF48" i="2"/>
  <c r="BN48" i="2"/>
  <c r="AW48" i="2"/>
  <c r="AF48" i="2"/>
  <c r="O48" i="2"/>
  <c r="CG47" i="2"/>
  <c r="BP47" i="2"/>
  <c r="AY47" i="2"/>
  <c r="AH47" i="2"/>
  <c r="Q47" i="2"/>
  <c r="CI46" i="2"/>
  <c r="BR46" i="2"/>
  <c r="BA46" i="2"/>
  <c r="AJ46" i="2"/>
  <c r="S46" i="2"/>
  <c r="CK45" i="2"/>
  <c r="BS45" i="2"/>
  <c r="BB45" i="2"/>
  <c r="AK45" i="2"/>
  <c r="T45" i="2"/>
  <c r="BU44" i="2"/>
  <c r="BD44" i="2"/>
  <c r="AM44" i="2"/>
  <c r="V44" i="2"/>
  <c r="BW43" i="2"/>
  <c r="BF43" i="2"/>
  <c r="AO43" i="2"/>
  <c r="X43" i="2"/>
  <c r="BX42" i="2"/>
  <c r="BG42" i="2"/>
  <c r="AP42" i="2"/>
  <c r="Y42" i="2"/>
  <c r="BZ41" i="2"/>
  <c r="BI41" i="2"/>
  <c r="AR41" i="2"/>
  <c r="AA41" i="2"/>
  <c r="CB40" i="2"/>
  <c r="BK40" i="2"/>
  <c r="AT40" i="2"/>
  <c r="AC40" i="2"/>
  <c r="L40" i="2"/>
  <c r="CE39" i="2"/>
  <c r="BO39" i="2"/>
  <c r="AY39" i="2"/>
  <c r="AI39" i="2"/>
  <c r="S39" i="2"/>
  <c r="BV38" i="2"/>
  <c r="BF38" i="2"/>
  <c r="AP38" i="2"/>
  <c r="Z38" i="2"/>
  <c r="CC37" i="2"/>
  <c r="BM37" i="2"/>
  <c r="AW37" i="2"/>
  <c r="AG37" i="2"/>
  <c r="Q37" i="2"/>
  <c r="CJ36" i="2"/>
  <c r="BT36" i="2"/>
  <c r="BD36" i="2"/>
  <c r="AN36" i="2"/>
  <c r="X36" i="2"/>
  <c r="BO78" i="2"/>
  <c r="BO79" i="2" s="1"/>
  <c r="BQ80" i="2" s="1"/>
  <c r="BY66" i="2"/>
  <c r="Y66" i="2"/>
  <c r="AZ65" i="2"/>
  <c r="AO64" i="2"/>
  <c r="CD63" i="2"/>
  <c r="AH63" i="2"/>
  <c r="CC62" i="2"/>
  <c r="AH62" i="2"/>
  <c r="BM61" i="2"/>
  <c r="Z61" i="2"/>
  <c r="BN60" i="2"/>
  <c r="AE60" i="2"/>
  <c r="CC59" i="2"/>
  <c r="BB59" i="2"/>
  <c r="X59" i="2"/>
  <c r="CH58" i="2"/>
  <c r="BJ58" i="2"/>
  <c r="AH58" i="2"/>
  <c r="L58" i="2"/>
  <c r="BZ57" i="2"/>
  <c r="AZ57" i="2"/>
  <c r="AE57" i="2"/>
  <c r="BW56" i="2"/>
  <c r="AZ56" i="2"/>
  <c r="AB56" i="2"/>
  <c r="BS55" i="2"/>
  <c r="AX55" i="2"/>
  <c r="Z55" i="2"/>
  <c r="BR54" i="2"/>
  <c r="AX54" i="2"/>
  <c r="Z54" i="2"/>
  <c r="BU53" i="2"/>
  <c r="AZ53" i="2"/>
  <c r="AD53" i="2"/>
  <c r="BZ52" i="2"/>
  <c r="BG52" i="2"/>
  <c r="AN52" i="2"/>
  <c r="R52" i="2"/>
  <c r="CH51" i="2"/>
  <c r="BO51" i="2"/>
  <c r="AV51" i="2"/>
  <c r="Z51" i="2"/>
  <c r="BX50" i="2"/>
  <c r="BE50" i="2"/>
  <c r="AL50" i="2"/>
  <c r="P50" i="2"/>
  <c r="CG49" i="2"/>
  <c r="BO49" i="2"/>
  <c r="AW49" i="2"/>
  <c r="AE49" i="2"/>
  <c r="M49" i="2"/>
  <c r="CD48" i="2"/>
  <c r="BM48" i="2"/>
  <c r="AV48" i="2"/>
  <c r="AE48" i="2"/>
  <c r="N48" i="2"/>
  <c r="CF47" i="2"/>
  <c r="BO47" i="2"/>
  <c r="AX47" i="2"/>
  <c r="AG47" i="2"/>
  <c r="P47" i="2"/>
  <c r="CH46" i="2"/>
  <c r="BQ46" i="2"/>
  <c r="AZ46" i="2"/>
  <c r="AI46" i="2"/>
  <c r="R46" i="2"/>
  <c r="CI45" i="2"/>
  <c r="BR45" i="2"/>
  <c r="BA45" i="2"/>
  <c r="AJ45" i="2"/>
  <c r="S45" i="2"/>
  <c r="CK44" i="2"/>
  <c r="BT44" i="2"/>
  <c r="BC44" i="2"/>
  <c r="AL44" i="2"/>
  <c r="U44" i="2"/>
  <c r="BV43" i="2"/>
  <c r="BE43" i="2"/>
  <c r="AN43" i="2"/>
  <c r="W43" i="2"/>
  <c r="BW42" i="2"/>
  <c r="BF42" i="2"/>
  <c r="AO42" i="2"/>
  <c r="X42" i="2"/>
  <c r="BN78" i="2"/>
  <c r="BN79" i="2" s="1"/>
  <c r="BX66" i="2"/>
  <c r="V66" i="2"/>
  <c r="AY65" i="2"/>
  <c r="AN64" i="2"/>
  <c r="CC63" i="2"/>
  <c r="AE63" i="2"/>
  <c r="BS62" i="2"/>
  <c r="Y62" i="2"/>
  <c r="BL61" i="2"/>
  <c r="Y61" i="2"/>
  <c r="BM60" i="2"/>
  <c r="AD60" i="2"/>
  <c r="CB59" i="2"/>
  <c r="BA59" i="2"/>
  <c r="U59" i="2"/>
  <c r="CG58" i="2"/>
  <c r="BG58" i="2"/>
  <c r="AG58" i="2"/>
  <c r="BY57" i="2"/>
  <c r="AY57" i="2"/>
  <c r="AD57" i="2"/>
  <c r="BV56" i="2"/>
  <c r="AV56" i="2"/>
  <c r="AA56" i="2"/>
  <c r="BR55" i="2"/>
  <c r="AU55" i="2"/>
  <c r="W55" i="2"/>
  <c r="CK54" i="2"/>
  <c r="BQ54" i="2"/>
  <c r="AW54" i="2"/>
  <c r="Y54" i="2"/>
  <c r="BT53" i="2"/>
  <c r="AY53" i="2"/>
  <c r="AB53" i="2"/>
  <c r="BY52" i="2"/>
  <c r="BF52" i="2"/>
  <c r="AK52" i="2"/>
  <c r="Q52" i="2"/>
  <c r="CG51" i="2"/>
  <c r="BN51" i="2"/>
  <c r="AU51" i="2"/>
  <c r="Y51" i="2"/>
  <c r="BW50" i="2"/>
  <c r="BD50" i="2"/>
  <c r="AI50" i="2"/>
  <c r="O50" i="2"/>
  <c r="CF49" i="2"/>
  <c r="BN49" i="2"/>
  <c r="AV49" i="2"/>
  <c r="AD49" i="2"/>
  <c r="CC48" i="2"/>
  <c r="BL48" i="2"/>
  <c r="AU48" i="2"/>
  <c r="AD48" i="2"/>
  <c r="M48" i="2"/>
  <c r="CE47" i="2"/>
  <c r="BN47" i="2"/>
  <c r="AW47" i="2"/>
  <c r="AF47" i="2"/>
  <c r="O47" i="2"/>
  <c r="CG46" i="2"/>
  <c r="BP46" i="2"/>
  <c r="AY46" i="2"/>
  <c r="AH46" i="2"/>
  <c r="P46" i="2"/>
  <c r="CH45" i="2"/>
  <c r="BQ45" i="2"/>
  <c r="AZ45" i="2"/>
  <c r="AI45" i="2"/>
  <c r="R45" i="2"/>
  <c r="CJ44" i="2"/>
  <c r="BS44" i="2"/>
  <c r="BB44" i="2"/>
  <c r="AK44" i="2"/>
  <c r="T44" i="2"/>
  <c r="BU43" i="2"/>
  <c r="BD43" i="2"/>
  <c r="AM43" i="2"/>
  <c r="U43" i="2"/>
  <c r="BV42" i="2"/>
  <c r="BE42" i="2"/>
  <c r="AN42" i="2"/>
  <c r="W42" i="2"/>
  <c r="BX41" i="2"/>
  <c r="BG41" i="2"/>
  <c r="AP41" i="2"/>
  <c r="Y41" i="2"/>
  <c r="BZ40" i="2"/>
  <c r="BI40" i="2"/>
  <c r="AR40" i="2"/>
  <c r="Z40" i="2"/>
  <c r="CC39" i="2"/>
  <c r="BM39" i="2"/>
  <c r="AW39" i="2"/>
  <c r="AG39" i="2"/>
  <c r="Q39" i="2"/>
  <c r="CJ38" i="2"/>
  <c r="BT38" i="2"/>
  <c r="BD38" i="2"/>
  <c r="AN38" i="2"/>
  <c r="X38" i="2"/>
  <c r="BM78" i="2"/>
  <c r="BM79" i="2" s="1"/>
  <c r="BW66" i="2"/>
  <c r="M66" i="2"/>
  <c r="AX65" i="2"/>
  <c r="AM64" i="2"/>
  <c r="CB63" i="2"/>
  <c r="AB63" i="2"/>
  <c r="BQ62" i="2"/>
  <c r="S62" i="2"/>
  <c r="BH61" i="2"/>
  <c r="Q61" i="2"/>
  <c r="BL60" i="2"/>
  <c r="AA60" i="2"/>
  <c r="CA59" i="2"/>
  <c r="AZ59" i="2"/>
  <c r="T59" i="2"/>
  <c r="CD58" i="2"/>
  <c r="BE58" i="2"/>
  <c r="AF58" i="2"/>
  <c r="BT57" i="2"/>
  <c r="AX57" i="2"/>
  <c r="AC57" i="2"/>
  <c r="BU56" i="2"/>
  <c r="AU56" i="2"/>
  <c r="Z56" i="2"/>
  <c r="BQ55" i="2"/>
  <c r="AS55" i="2"/>
  <c r="V55" i="2"/>
  <c r="CJ54" i="2"/>
  <c r="BP54" i="2"/>
  <c r="AS54" i="2"/>
  <c r="X54" i="2"/>
  <c r="BR53" i="2"/>
  <c r="AX53" i="2"/>
  <c r="AA53" i="2"/>
  <c r="BX52" i="2"/>
  <c r="BE52" i="2"/>
  <c r="AI52" i="2"/>
  <c r="P52" i="2"/>
  <c r="BL78" i="2"/>
  <c r="BL79" i="2" s="1"/>
  <c r="BV66" i="2"/>
  <c r="AW65" i="2"/>
  <c r="CJ64" i="2"/>
  <c r="AL64" i="2"/>
  <c r="CA63" i="2"/>
  <c r="AA63" i="2"/>
  <c r="BP62" i="2"/>
  <c r="BF61" i="2"/>
  <c r="BE60" i="2"/>
  <c r="W60" i="2"/>
  <c r="BZ59" i="2"/>
  <c r="AY59" i="2"/>
  <c r="S59" i="2"/>
  <c r="CC58" i="2"/>
  <c r="BC58" i="2"/>
  <c r="AE58" i="2"/>
  <c r="BR57" i="2"/>
  <c r="AW57" i="2"/>
  <c r="AB57" i="2"/>
  <c r="BR56" i="2"/>
  <c r="AT56" i="2"/>
  <c r="Y56" i="2"/>
  <c r="BP55" i="2"/>
  <c r="AR55" i="2"/>
  <c r="U55" i="2"/>
  <c r="CI54" i="2"/>
  <c r="BO54" i="2"/>
  <c r="AQ54" i="2"/>
  <c r="W54" i="2"/>
  <c r="BQ53" i="2"/>
  <c r="AU53" i="2"/>
  <c r="Z53" i="2"/>
  <c r="BW52" i="2"/>
  <c r="BD52" i="2"/>
  <c r="AJ78" i="2"/>
  <c r="AJ79" i="2" s="1"/>
  <c r="AL80" i="2" s="1"/>
  <c r="BG66" i="2"/>
  <c r="CF65" i="2"/>
  <c r="AK65" i="2"/>
  <c r="BT64" i="2"/>
  <c r="AI64" i="2"/>
  <c r="BO63" i="2"/>
  <c r="R63" i="2"/>
  <c r="BE62" i="2"/>
  <c r="AX61" i="2"/>
  <c r="CJ60" i="2"/>
  <c r="BA60" i="2"/>
  <c r="M60" i="2"/>
  <c r="BT59" i="2"/>
  <c r="AN59" i="2"/>
  <c r="P59" i="2"/>
  <c r="BW58" i="2"/>
  <c r="AX58" i="2"/>
  <c r="AB58" i="2"/>
  <c r="CJ57" i="2"/>
  <c r="BO57" i="2"/>
  <c r="AT57" i="2"/>
  <c r="W57" i="2"/>
  <c r="CJ56" i="2"/>
  <c r="BL56" i="2"/>
  <c r="AQ56" i="2"/>
  <c r="V56" i="2"/>
  <c r="CH55" i="2"/>
  <c r="BJ55" i="2"/>
  <c r="AM55" i="2"/>
  <c r="R55" i="2"/>
  <c r="CF54" i="2"/>
  <c r="BH54" i="2"/>
  <c r="AN54" i="2"/>
  <c r="T54" i="2"/>
  <c r="CH53" i="2"/>
  <c r="BL53" i="2"/>
  <c r="AQ53" i="2"/>
  <c r="W53" i="2"/>
  <c r="BT52" i="2"/>
  <c r="AX52" i="2"/>
  <c r="AE52" i="2"/>
  <c r="L52" i="2"/>
  <c r="CB51" i="2"/>
  <c r="BF51" i="2"/>
  <c r="AM51" i="2"/>
  <c r="T51" i="2"/>
  <c r="CH64" i="2"/>
  <c r="BZ63" i="2"/>
  <c r="BO62" i="2"/>
  <c r="BY61" i="2"/>
  <c r="CE60" i="2"/>
  <c r="AI59" i="2"/>
  <c r="BQ58" i="2"/>
  <c r="Q58" i="2"/>
  <c r="BK57" i="2"/>
  <c r="P57" i="2"/>
  <c r="BI56" i="2"/>
  <c r="S56" i="2"/>
  <c r="BG55" i="2"/>
  <c r="O55" i="2"/>
  <c r="BE54" i="2"/>
  <c r="Q54" i="2"/>
  <c r="BH53" i="2"/>
  <c r="T53" i="2"/>
  <c r="BO52" i="2"/>
  <c r="AD52" i="2"/>
  <c r="CE51" i="2"/>
  <c r="BB51" i="2"/>
  <c r="U51" i="2"/>
  <c r="CE50" i="2"/>
  <c r="AY50" i="2"/>
  <c r="Z50" i="2"/>
  <c r="CD49" i="2"/>
  <c r="BE49" i="2"/>
  <c r="AC49" i="2"/>
  <c r="BS48" i="2"/>
  <c r="AQ48" i="2"/>
  <c r="U48" i="2"/>
  <c r="CB47" i="2"/>
  <c r="BE47" i="2"/>
  <c r="AD47" i="2"/>
  <c r="BO46" i="2"/>
  <c r="AR46" i="2"/>
  <c r="V46" i="2"/>
  <c r="CC45" i="2"/>
  <c r="BG45" i="2"/>
  <c r="AE45" i="2"/>
  <c r="BP44" i="2"/>
  <c r="AS44" i="2"/>
  <c r="R44" i="2"/>
  <c r="CD43" i="2"/>
  <c r="BC43" i="2"/>
  <c r="AF43" i="2"/>
  <c r="BQ42" i="2"/>
  <c r="AU42" i="2"/>
  <c r="S42" i="2"/>
  <c r="CE41" i="2"/>
  <c r="BF41" i="2"/>
  <c r="AK41" i="2"/>
  <c r="O41" i="2"/>
  <c r="CA40" i="2"/>
  <c r="BD40" i="2"/>
  <c r="AI40" i="2"/>
  <c r="BY39" i="2"/>
  <c r="BF39" i="2"/>
  <c r="AM39" i="2"/>
  <c r="R39" i="2"/>
  <c r="CG38" i="2"/>
  <c r="BN38" i="2"/>
  <c r="AU38" i="2"/>
  <c r="AA38" i="2"/>
  <c r="BW37" i="2"/>
  <c r="BE37" i="2"/>
  <c r="AM37" i="2"/>
  <c r="U37" i="2"/>
  <c r="CK36" i="2"/>
  <c r="BR36" i="2"/>
  <c r="AZ36" i="2"/>
  <c r="AH36" i="2"/>
  <c r="P36" i="2"/>
  <c r="CG35" i="2"/>
  <c r="BP35" i="2"/>
  <c r="AY35" i="2"/>
  <c r="AH35" i="2"/>
  <c r="P35" i="2"/>
  <c r="CH34" i="2"/>
  <c r="BQ34" i="2"/>
  <c r="AZ34" i="2"/>
  <c r="AI34" i="2"/>
  <c r="R34" i="2"/>
  <c r="CJ33" i="2"/>
  <c r="BS33" i="2"/>
  <c r="BB33" i="2"/>
  <c r="AK33" i="2"/>
  <c r="T33" i="2"/>
  <c r="BU32" i="2"/>
  <c r="BD32" i="2"/>
  <c r="AM32" i="2"/>
  <c r="U32" i="2"/>
  <c r="BV31" i="2"/>
  <c r="BE31" i="2"/>
  <c r="AN31" i="2"/>
  <c r="W31" i="2"/>
  <c r="BX30" i="2"/>
  <c r="BG30" i="2"/>
  <c r="AP30" i="2"/>
  <c r="Y30" i="2"/>
  <c r="BZ29" i="2"/>
  <c r="BI29" i="2"/>
  <c r="AR29" i="2"/>
  <c r="AB29" i="2"/>
  <c r="L29" i="2"/>
  <c r="CE28" i="2"/>
  <c r="BO28" i="2"/>
  <c r="AY28" i="2"/>
  <c r="AI28" i="2"/>
  <c r="S28" i="2"/>
  <c r="BV27" i="2"/>
  <c r="BF27" i="2"/>
  <c r="AP27" i="2"/>
  <c r="Z27" i="2"/>
  <c r="CC26" i="2"/>
  <c r="BM26" i="2"/>
  <c r="AW26" i="2"/>
  <c r="AG26" i="2"/>
  <c r="Q26" i="2"/>
  <c r="CJ25" i="2"/>
  <c r="BT25" i="2"/>
  <c r="BD25" i="2"/>
  <c r="AN25" i="2"/>
  <c r="X25" i="2"/>
  <c r="CA24" i="2"/>
  <c r="BK24" i="2"/>
  <c r="AU24" i="2"/>
  <c r="AE24" i="2"/>
  <c r="O24" i="2"/>
  <c r="CH23" i="2"/>
  <c r="BR23" i="2"/>
  <c r="BB23" i="2"/>
  <c r="AL23" i="2"/>
  <c r="V23" i="2"/>
  <c r="BY22" i="2"/>
  <c r="BI22" i="2"/>
  <c r="AS22" i="2"/>
  <c r="AC22" i="2"/>
  <c r="M22" i="2"/>
  <c r="CF21" i="2"/>
  <c r="BP21" i="2"/>
  <c r="AZ21" i="2"/>
  <c r="AJ21" i="2"/>
  <c r="T21" i="2"/>
  <c r="CE65" i="2"/>
  <c r="BU64" i="2"/>
  <c r="BW63" i="2"/>
  <c r="BN62" i="2"/>
  <c r="BE61" i="2"/>
  <c r="CA60" i="2"/>
  <c r="AH59" i="2"/>
  <c r="BN58" i="2"/>
  <c r="P58" i="2"/>
  <c r="BJ57" i="2"/>
  <c r="O57" i="2"/>
  <c r="BH56" i="2"/>
  <c r="N56" i="2"/>
  <c r="BF55" i="2"/>
  <c r="N55" i="2"/>
  <c r="BD54" i="2"/>
  <c r="O54" i="2"/>
  <c r="BG53" i="2"/>
  <c r="S53" i="2"/>
  <c r="BN52" i="2"/>
  <c r="AC52" i="2"/>
  <c r="CD51" i="2"/>
  <c r="BA51" i="2"/>
  <c r="S51" i="2"/>
  <c r="CC50" i="2"/>
  <c r="AW50" i="2"/>
  <c r="Y50" i="2"/>
  <c r="CC49" i="2"/>
  <c r="BD49" i="2"/>
  <c r="Z49" i="2"/>
  <c r="BR48" i="2"/>
  <c r="AP48" i="2"/>
  <c r="T48" i="2"/>
  <c r="CA47" i="2"/>
  <c r="BD47" i="2"/>
  <c r="AC47" i="2"/>
  <c r="BN46" i="2"/>
  <c r="AQ46" i="2"/>
  <c r="O46" i="2"/>
  <c r="CB45" i="2"/>
  <c r="BF45" i="2"/>
  <c r="AD45" i="2"/>
  <c r="BO44" i="2"/>
  <c r="AR44" i="2"/>
  <c r="Q44" i="2"/>
  <c r="CC43" i="2"/>
  <c r="BA43" i="2"/>
  <c r="AE43" i="2"/>
  <c r="BP42" i="2"/>
  <c r="AT42" i="2"/>
  <c r="R42" i="2"/>
  <c r="CD41" i="2"/>
  <c r="BE41" i="2"/>
  <c r="AI41" i="2"/>
  <c r="N41" i="2"/>
  <c r="BY40" i="2"/>
  <c r="BC40" i="2"/>
  <c r="AH40" i="2"/>
  <c r="BX39" i="2"/>
  <c r="BE39" i="2"/>
  <c r="AL39" i="2"/>
  <c r="P39" i="2"/>
  <c r="CF38" i="2"/>
  <c r="BM38" i="2"/>
  <c r="AT38" i="2"/>
  <c r="Y38" i="2"/>
  <c r="BV37" i="2"/>
  <c r="BD37" i="2"/>
  <c r="AL37" i="2"/>
  <c r="T37" i="2"/>
  <c r="CI36" i="2"/>
  <c r="BQ36" i="2"/>
  <c r="AY36" i="2"/>
  <c r="AG36" i="2"/>
  <c r="O36" i="2"/>
  <c r="CF35" i="2"/>
  <c r="BO35" i="2"/>
  <c r="AX35" i="2"/>
  <c r="AF35" i="2"/>
  <c r="O35" i="2"/>
  <c r="CG34" i="2"/>
  <c r="BP34" i="2"/>
  <c r="AY34" i="2"/>
  <c r="AH34" i="2"/>
  <c r="Q34" i="2"/>
  <c r="CI33" i="2"/>
  <c r="BR33" i="2"/>
  <c r="BA33" i="2"/>
  <c r="AJ33" i="2"/>
  <c r="S33" i="2"/>
  <c r="CK32" i="2"/>
  <c r="BT32" i="2"/>
  <c r="BC32" i="2"/>
  <c r="AK32" i="2"/>
  <c r="T32" i="2"/>
  <c r="BU31" i="2"/>
  <c r="BD31" i="2"/>
  <c r="AM31" i="2"/>
  <c r="V31" i="2"/>
  <c r="BW30" i="2"/>
  <c r="BF30" i="2"/>
  <c r="AO30" i="2"/>
  <c r="X30" i="2"/>
  <c r="BY29" i="2"/>
  <c r="BH29" i="2"/>
  <c r="AQ29" i="2"/>
  <c r="AA29" i="2"/>
  <c r="CD28" i="2"/>
  <c r="CD65" i="2"/>
  <c r="BS64" i="2"/>
  <c r="BH63" i="2"/>
  <c r="BC62" i="2"/>
  <c r="BD61" i="2"/>
  <c r="BC60" i="2"/>
  <c r="BW59" i="2"/>
  <c r="R59" i="2"/>
  <c r="BB58" i="2"/>
  <c r="BI57" i="2"/>
  <c r="N57" i="2"/>
  <c r="BG56" i="2"/>
  <c r="L56" i="2"/>
  <c r="BC55" i="2"/>
  <c r="BC54" i="2"/>
  <c r="N54" i="2"/>
  <c r="BF53" i="2"/>
  <c r="R53" i="2"/>
  <c r="BM52" i="2"/>
  <c r="AB52" i="2"/>
  <c r="CC51" i="2"/>
  <c r="AZ51" i="2"/>
  <c r="R51" i="2"/>
  <c r="CB50" i="2"/>
  <c r="AV50" i="2"/>
  <c r="X50" i="2"/>
  <c r="CB49" i="2"/>
  <c r="BC49" i="2"/>
  <c r="Y49" i="2"/>
  <c r="BK48" i="2"/>
  <c r="AO48" i="2"/>
  <c r="R48" i="2"/>
  <c r="BZ47" i="2"/>
  <c r="BC47" i="2"/>
  <c r="AB47" i="2"/>
  <c r="BL46" i="2"/>
  <c r="AP46" i="2"/>
  <c r="N46" i="2"/>
  <c r="CA45" i="2"/>
  <c r="AY45" i="2"/>
  <c r="AC45" i="2"/>
  <c r="BN44" i="2"/>
  <c r="AQ44" i="2"/>
  <c r="P44" i="2"/>
  <c r="CB43" i="2"/>
  <c r="AZ43" i="2"/>
  <c r="AD43" i="2"/>
  <c r="CK42" i="2"/>
  <c r="BO42" i="2"/>
  <c r="AM42" i="2"/>
  <c r="Q42" i="2"/>
  <c r="CC41" i="2"/>
  <c r="BD41" i="2"/>
  <c r="AH41" i="2"/>
  <c r="M41" i="2"/>
  <c r="BX40" i="2"/>
  <c r="BB40" i="2"/>
  <c r="AG40" i="2"/>
  <c r="BW39" i="2"/>
  <c r="BD39" i="2"/>
  <c r="AJ39" i="2"/>
  <c r="O39" i="2"/>
  <c r="CE38" i="2"/>
  <c r="BL38" i="2"/>
  <c r="AS38" i="2"/>
  <c r="W38" i="2"/>
  <c r="BU37" i="2"/>
  <c r="BC37" i="2"/>
  <c r="AK37" i="2"/>
  <c r="R37" i="2"/>
  <c r="CH36" i="2"/>
  <c r="BP36" i="2"/>
  <c r="AX36" i="2"/>
  <c r="AF36" i="2"/>
  <c r="N36" i="2"/>
  <c r="CE35" i="2"/>
  <c r="BN35" i="2"/>
  <c r="AV35" i="2"/>
  <c r="AE35" i="2"/>
  <c r="N35" i="2"/>
  <c r="CF34" i="2"/>
  <c r="BO34" i="2"/>
  <c r="AX34" i="2"/>
  <c r="AG34" i="2"/>
  <c r="P34" i="2"/>
  <c r="CH33" i="2"/>
  <c r="CC65" i="2"/>
  <c r="BR64" i="2"/>
  <c r="BG63" i="2"/>
  <c r="AW62" i="2"/>
  <c r="AU61" i="2"/>
  <c r="BB60" i="2"/>
  <c r="BV59" i="2"/>
  <c r="Q59" i="2"/>
  <c r="BA58" i="2"/>
  <c r="AV57" i="2"/>
  <c r="BF56" i="2"/>
  <c r="BB55" i="2"/>
  <c r="BB54" i="2"/>
  <c r="BE53" i="2"/>
  <c r="Q53" i="2"/>
  <c r="BL52" i="2"/>
  <c r="AA52" i="2"/>
  <c r="CA51" i="2"/>
  <c r="AR51" i="2"/>
  <c r="Q51" i="2"/>
  <c r="BV50" i="2"/>
  <c r="AU50" i="2"/>
  <c r="W50" i="2"/>
  <c r="CA49" i="2"/>
  <c r="BB49" i="2"/>
  <c r="X49" i="2"/>
  <c r="BJ48" i="2"/>
  <c r="AN48" i="2"/>
  <c r="L48" i="2"/>
  <c r="BY47" i="2"/>
  <c r="BB47" i="2"/>
  <c r="AA47" i="2"/>
  <c r="BK46" i="2"/>
  <c r="AO46" i="2"/>
  <c r="M46" i="2"/>
  <c r="BZ45" i="2"/>
  <c r="AX45" i="2"/>
  <c r="AB45" i="2"/>
  <c r="CI44" i="2"/>
  <c r="BM44" i="2"/>
  <c r="AP44" i="2"/>
  <c r="N44" i="2"/>
  <c r="CA43" i="2"/>
  <c r="AY43" i="2"/>
  <c r="AC43" i="2"/>
  <c r="CJ42" i="2"/>
  <c r="BN42" i="2"/>
  <c r="AL42" i="2"/>
  <c r="P42" i="2"/>
  <c r="BY41" i="2"/>
  <c r="BC41" i="2"/>
  <c r="AG41" i="2"/>
  <c r="BV40" i="2"/>
  <c r="BA40" i="2"/>
  <c r="AF40" i="2"/>
  <c r="BV39" i="2"/>
  <c r="BC39" i="2"/>
  <c r="AH39" i="2"/>
  <c r="N39" i="2"/>
  <c r="CD38" i="2"/>
  <c r="BK38" i="2"/>
  <c r="AQ38" i="2"/>
  <c r="V38" i="2"/>
  <c r="BT37" i="2"/>
  <c r="BB37" i="2"/>
  <c r="AJ37" i="2"/>
  <c r="P37" i="2"/>
  <c r="CG36" i="2"/>
  <c r="BO36" i="2"/>
  <c r="AW36" i="2"/>
  <c r="AE36" i="2"/>
  <c r="M36" i="2"/>
  <c r="CD35" i="2"/>
  <c r="BL35" i="2"/>
  <c r="AU35" i="2"/>
  <c r="AD35" i="2"/>
  <c r="M35" i="2"/>
  <c r="CE34" i="2"/>
  <c r="BN34" i="2"/>
  <c r="AW34" i="2"/>
  <c r="AF34" i="2"/>
  <c r="O34" i="2"/>
  <c r="CG33" i="2"/>
  <c r="BP33" i="2"/>
  <c r="AY33" i="2"/>
  <c r="AH33" i="2"/>
  <c r="Q33" i="2"/>
  <c r="CI32" i="2"/>
  <c r="BQ32" i="2"/>
  <c r="AZ32" i="2"/>
  <c r="AI32" i="2"/>
  <c r="R32" i="2"/>
  <c r="CJ31" i="2"/>
  <c r="BS31" i="2"/>
  <c r="BB31" i="2"/>
  <c r="AK31" i="2"/>
  <c r="T31" i="2"/>
  <c r="BU30" i="2"/>
  <c r="BD30" i="2"/>
  <c r="AM30" i="2"/>
  <c r="V30" i="2"/>
  <c r="BV29" i="2"/>
  <c r="BE29" i="2"/>
  <c r="AO29" i="2"/>
  <c r="Y29" i="2"/>
  <c r="CB28" i="2"/>
  <c r="BL28" i="2"/>
  <c r="AV28" i="2"/>
  <c r="AF28" i="2"/>
  <c r="P28" i="2"/>
  <c r="CI27" i="2"/>
  <c r="BS27" i="2"/>
  <c r="BC27" i="2"/>
  <c r="AM27" i="2"/>
  <c r="W27" i="2"/>
  <c r="BZ26" i="2"/>
  <c r="BJ26" i="2"/>
  <c r="AT26" i="2"/>
  <c r="AD26" i="2"/>
  <c r="N26" i="2"/>
  <c r="CG25" i="2"/>
  <c r="BS78" i="2"/>
  <c r="CB65" i="2"/>
  <c r="BQ64" i="2"/>
  <c r="BF63" i="2"/>
  <c r="AO62" i="2"/>
  <c r="AS61" i="2"/>
  <c r="AZ60" i="2"/>
  <c r="BS59" i="2"/>
  <c r="O59" i="2"/>
  <c r="AW58" i="2"/>
  <c r="AU57" i="2"/>
  <c r="AS56" i="2"/>
  <c r="AQ55" i="2"/>
  <c r="CH54" i="2"/>
  <c r="AP54" i="2"/>
  <c r="CK53" i="2"/>
  <c r="AS53" i="2"/>
  <c r="BK52" i="2"/>
  <c r="Z52" i="2"/>
  <c r="BX51" i="2"/>
  <c r="AP51" i="2"/>
  <c r="P51" i="2"/>
  <c r="BU50" i="2"/>
  <c r="AT50" i="2"/>
  <c r="N50" i="2"/>
  <c r="BZ49" i="2"/>
  <c r="BA49" i="2"/>
  <c r="W49" i="2"/>
  <c r="CK48" i="2"/>
  <c r="BI48" i="2"/>
  <c r="AM48" i="2"/>
  <c r="BX47" i="2"/>
  <c r="AV47" i="2"/>
  <c r="Y47" i="2"/>
  <c r="BJ46" i="2"/>
  <c r="AN46" i="2"/>
  <c r="L46" i="2"/>
  <c r="BY45" i="2"/>
  <c r="AW45" i="2"/>
  <c r="AA45" i="2"/>
  <c r="CH44" i="2"/>
  <c r="BL44" i="2"/>
  <c r="AJ44" i="2"/>
  <c r="M44" i="2"/>
  <c r="BZ43" i="2"/>
  <c r="AX43" i="2"/>
  <c r="AB43" i="2"/>
  <c r="CI42" i="2"/>
  <c r="BM42" i="2"/>
  <c r="AK42" i="2"/>
  <c r="O42" i="2"/>
  <c r="BW41" i="2"/>
  <c r="BB41" i="2"/>
  <c r="AF41" i="2"/>
  <c r="BU40" i="2"/>
  <c r="AZ40" i="2"/>
  <c r="AB40" i="2"/>
  <c r="BU39" i="2"/>
  <c r="BB39" i="2"/>
  <c r="AF39" i="2"/>
  <c r="M39" i="2"/>
  <c r="CC38" i="2"/>
  <c r="BJ38" i="2"/>
  <c r="AO38" i="2"/>
  <c r="U38" i="2"/>
  <c r="CK37" i="2"/>
  <c r="BS37" i="2"/>
  <c r="BA37" i="2"/>
  <c r="AH37" i="2"/>
  <c r="O37" i="2"/>
  <c r="CF36" i="2"/>
  <c r="BN36" i="2"/>
  <c r="AV36" i="2"/>
  <c r="AD36" i="2"/>
  <c r="L36" i="2"/>
  <c r="CB35" i="2"/>
  <c r="BK35" i="2"/>
  <c r="AT35" i="2"/>
  <c r="AC35" i="2"/>
  <c r="L35" i="2"/>
  <c r="CD34" i="2"/>
  <c r="BM34" i="2"/>
  <c r="AV34" i="2"/>
  <c r="AE34" i="2"/>
  <c r="N34" i="2"/>
  <c r="CF33" i="2"/>
  <c r="BO33" i="2"/>
  <c r="AX33" i="2"/>
  <c r="AG33" i="2"/>
  <c r="P33" i="2"/>
  <c r="CG32" i="2"/>
  <c r="BP32" i="2"/>
  <c r="AY32" i="2"/>
  <c r="AH32" i="2"/>
  <c r="Q32" i="2"/>
  <c r="CI31" i="2"/>
  <c r="BR31" i="2"/>
  <c r="BA31" i="2"/>
  <c r="AJ31" i="2"/>
  <c r="S31" i="2"/>
  <c r="CK30" i="2"/>
  <c r="BT30" i="2"/>
  <c r="BC30" i="2"/>
  <c r="AL30" i="2"/>
  <c r="U30" i="2"/>
  <c r="BU29" i="2"/>
  <c r="BD29" i="2"/>
  <c r="AN29" i="2"/>
  <c r="X29" i="2"/>
  <c r="CA28" i="2"/>
  <c r="BK28" i="2"/>
  <c r="AU28" i="2"/>
  <c r="AE28" i="2"/>
  <c r="O28" i="2"/>
  <c r="CH27" i="2"/>
  <c r="BR27" i="2"/>
  <c r="BB27" i="2"/>
  <c r="AL27" i="2"/>
  <c r="V27" i="2"/>
  <c r="BY26" i="2"/>
  <c r="BI26" i="2"/>
  <c r="AS26" i="2"/>
  <c r="AC26" i="2"/>
  <c r="M26" i="2"/>
  <c r="CF25" i="2"/>
  <c r="BP25" i="2"/>
  <c r="AZ25" i="2"/>
  <c r="AJ25" i="2"/>
  <c r="T25" i="2"/>
  <c r="BW24" i="2"/>
  <c r="BG24" i="2"/>
  <c r="AQ24" i="2"/>
  <c r="AA24" i="2"/>
  <c r="BA78" i="2"/>
  <c r="BA79" i="2" s="1"/>
  <c r="CA65" i="2"/>
  <c r="BP64" i="2"/>
  <c r="AY63" i="2"/>
  <c r="AN62" i="2"/>
  <c r="AH61" i="2"/>
  <c r="AW60" i="2"/>
  <c r="BR59" i="2"/>
  <c r="N59" i="2"/>
  <c r="AV58" i="2"/>
  <c r="CI57" i="2"/>
  <c r="AS57" i="2"/>
  <c r="AR56" i="2"/>
  <c r="CI55" i="2"/>
  <c r="AP55" i="2"/>
  <c r="CG54" i="2"/>
  <c r="AO54" i="2"/>
  <c r="CJ53" i="2"/>
  <c r="AR53" i="2"/>
  <c r="BA52" i="2"/>
  <c r="Y52" i="2"/>
  <c r="BV51" i="2"/>
  <c r="AO51" i="2"/>
  <c r="O51" i="2"/>
  <c r="BT50" i="2"/>
  <c r="AS50" i="2"/>
  <c r="M50" i="2"/>
  <c r="BY49" i="2"/>
  <c r="AU49" i="2"/>
  <c r="V49" i="2"/>
  <c r="CJ48" i="2"/>
  <c r="BH48" i="2"/>
  <c r="AL48" i="2"/>
  <c r="BW47" i="2"/>
  <c r="AU47" i="2"/>
  <c r="X47" i="2"/>
  <c r="CF46" i="2"/>
  <c r="BI46" i="2"/>
  <c r="AM46" i="2"/>
  <c r="BX45" i="2"/>
  <c r="AV45" i="2"/>
  <c r="Z45" i="2"/>
  <c r="CG44" i="2"/>
  <c r="BJ44" i="2"/>
  <c r="AI44" i="2"/>
  <c r="L44" i="2"/>
  <c r="BT43" i="2"/>
  <c r="AW43" i="2"/>
  <c r="AA43" i="2"/>
  <c r="CH42" i="2"/>
  <c r="BL42" i="2"/>
  <c r="AJ42" i="2"/>
  <c r="N42" i="2"/>
  <c r="BV41" i="2"/>
  <c r="BA41" i="2"/>
  <c r="AE41" i="2"/>
  <c r="W78" i="2"/>
  <c r="W79" i="2" s="1"/>
  <c r="AS66" i="2"/>
  <c r="AI65" i="2"/>
  <c r="AJ64" i="2"/>
  <c r="S63" i="2"/>
  <c r="AI60" i="2"/>
  <c r="BG59" i="2"/>
  <c r="AR58" i="2"/>
  <c r="CE57" i="2"/>
  <c r="AM57" i="2"/>
  <c r="CE56" i="2"/>
  <c r="AM56" i="2"/>
  <c r="CA55" i="2"/>
  <c r="AI55" i="2"/>
  <c r="BX54" i="2"/>
  <c r="AJ54" i="2"/>
  <c r="CA53" i="2"/>
  <c r="AL53" i="2"/>
  <c r="CJ52" i="2"/>
  <c r="AU52" i="2"/>
  <c r="BM51" i="2"/>
  <c r="AJ51" i="2"/>
  <c r="BM50" i="2"/>
  <c r="AG50" i="2"/>
  <c r="BS49" i="2"/>
  <c r="AO49" i="2"/>
  <c r="R49" i="2"/>
  <c r="BZ48" i="2"/>
  <c r="BD48" i="2"/>
  <c r="AB48" i="2"/>
  <c r="BM47" i="2"/>
  <c r="AQ47" i="2"/>
  <c r="T47" i="2"/>
  <c r="CA46" i="2"/>
  <c r="BE46" i="2"/>
  <c r="AC46" i="2"/>
  <c r="BN45" i="2"/>
  <c r="AR45" i="2"/>
  <c r="P45" i="2"/>
  <c r="CC44" i="2"/>
  <c r="BA44" i="2"/>
  <c r="AD44" i="2"/>
  <c r="BO43" i="2"/>
  <c r="AS43" i="2"/>
  <c r="Q43" i="2"/>
  <c r="CD42" i="2"/>
  <c r="BB42" i="2"/>
  <c r="AF42" i="2"/>
  <c r="BR41" i="2"/>
  <c r="AV41" i="2"/>
  <c r="W41" i="2"/>
  <c r="CK40" i="2"/>
  <c r="BP40" i="2"/>
  <c r="AP40" i="2"/>
  <c r="U40" i="2"/>
  <c r="CJ39" i="2"/>
  <c r="BN39" i="2"/>
  <c r="AT39" i="2"/>
  <c r="AA39" i="2"/>
  <c r="BW38" i="2"/>
  <c r="BB38" i="2"/>
  <c r="AI38" i="2"/>
  <c r="P38" i="2"/>
  <c r="CF37" i="2"/>
  <c r="BL37" i="2"/>
  <c r="AT37" i="2"/>
  <c r="AB37" i="2"/>
  <c r="CA36" i="2"/>
  <c r="BI36" i="2"/>
  <c r="AQ36" i="2"/>
  <c r="W36" i="2"/>
  <c r="T78" i="2"/>
  <c r="T79" i="2" s="1"/>
  <c r="BT66" i="2"/>
  <c r="BM59" i="2"/>
  <c r="BR58" i="2"/>
  <c r="BP57" i="2"/>
  <c r="CF56" i="2"/>
  <c r="S55" i="2"/>
  <c r="AI54" i="2"/>
  <c r="AP53" i="2"/>
  <c r="BV52" i="2"/>
  <c r="AL51" i="2"/>
  <c r="CH50" i="2"/>
  <c r="AC50" i="2"/>
  <c r="BL49" i="2"/>
  <c r="S49" i="2"/>
  <c r="BG48" i="2"/>
  <c r="W48" i="2"/>
  <c r="BK47" i="2"/>
  <c r="U47" i="2"/>
  <c r="BH46" i="2"/>
  <c r="X46" i="2"/>
  <c r="BL45" i="2"/>
  <c r="Q45" i="2"/>
  <c r="BI44" i="2"/>
  <c r="Y44" i="2"/>
  <c r="BL43" i="2"/>
  <c r="P43" i="2"/>
  <c r="BD42" i="2"/>
  <c r="T42" i="2"/>
  <c r="BM41" i="2"/>
  <c r="U41" i="2"/>
  <c r="BS40" i="2"/>
  <c r="AL40" i="2"/>
  <c r="BH39" i="2"/>
  <c r="Z39" i="2"/>
  <c r="CB38" i="2"/>
  <c r="AY38" i="2"/>
  <c r="R38" i="2"/>
  <c r="BY37" i="2"/>
  <c r="AS37" i="2"/>
  <c r="N37" i="2"/>
  <c r="BX36" i="2"/>
  <c r="AS36" i="2"/>
  <c r="R36" i="2"/>
  <c r="BX35" i="2"/>
  <c r="BB35" i="2"/>
  <c r="Z35" i="2"/>
  <c r="BK34" i="2"/>
  <c r="AO34" i="2"/>
  <c r="M34" i="2"/>
  <c r="BY33" i="2"/>
  <c r="BD33" i="2"/>
  <c r="AD33" i="2"/>
  <c r="BW32" i="2"/>
  <c r="AW32" i="2"/>
  <c r="AB32" i="2"/>
  <c r="BP31" i="2"/>
  <c r="AU31" i="2"/>
  <c r="Y31" i="2"/>
  <c r="CI30" i="2"/>
  <c r="BM30" i="2"/>
  <c r="AR30" i="2"/>
  <c r="R30" i="2"/>
  <c r="CF29" i="2"/>
  <c r="BK29" i="2"/>
  <c r="AL29" i="2"/>
  <c r="R29" i="2"/>
  <c r="CH28" i="2"/>
  <c r="BM28" i="2"/>
  <c r="AR28" i="2"/>
  <c r="Y28" i="2"/>
  <c r="BU27" i="2"/>
  <c r="AZ27" i="2"/>
  <c r="AG27" i="2"/>
  <c r="N27" i="2"/>
  <c r="CD26" i="2"/>
  <c r="BH26" i="2"/>
  <c r="AO26" i="2"/>
  <c r="V26" i="2"/>
  <c r="BR25" i="2"/>
  <c r="AY25" i="2"/>
  <c r="AG25" i="2"/>
  <c r="O25" i="2"/>
  <c r="CF24" i="2"/>
  <c r="BN24" i="2"/>
  <c r="AV24" i="2"/>
  <c r="AC24" i="2"/>
  <c r="CC23" i="2"/>
  <c r="BL23" i="2"/>
  <c r="AU23" i="2"/>
  <c r="AD23" i="2"/>
  <c r="M23" i="2"/>
  <c r="CE22" i="2"/>
  <c r="BN22" i="2"/>
  <c r="AW22" i="2"/>
  <c r="AF22" i="2"/>
  <c r="O22" i="2"/>
  <c r="CG21" i="2"/>
  <c r="BO21" i="2"/>
  <c r="AX21" i="2"/>
  <c r="AG21" i="2"/>
  <c r="P21" i="2"/>
  <c r="CH20" i="2"/>
  <c r="BR20" i="2"/>
  <c r="BB20" i="2"/>
  <c r="AL20" i="2"/>
  <c r="V20" i="2"/>
  <c r="BY19" i="2"/>
  <c r="BI19" i="2"/>
  <c r="AS19" i="2"/>
  <c r="AC19" i="2"/>
  <c r="M19" i="2"/>
  <c r="CF18" i="2"/>
  <c r="BP18" i="2"/>
  <c r="AZ18" i="2"/>
  <c r="AJ18" i="2"/>
  <c r="T18" i="2"/>
  <c r="BW17" i="2"/>
  <c r="BG17" i="2"/>
  <c r="AQ17" i="2"/>
  <c r="AA17" i="2"/>
  <c r="CD16" i="2"/>
  <c r="BN16" i="2"/>
  <c r="AX16" i="2"/>
  <c r="AH16" i="2"/>
  <c r="R16" i="2"/>
  <c r="S78" i="2"/>
  <c r="S79" i="2" s="1"/>
  <c r="BC66" i="2"/>
  <c r="BO64" i="2"/>
  <c r="CK62" i="2"/>
  <c r="CK60" i="2"/>
  <c r="BJ59" i="2"/>
  <c r="AU58" i="2"/>
  <c r="BN57" i="2"/>
  <c r="CB56" i="2"/>
  <c r="CE55" i="2"/>
  <c r="Q55" i="2"/>
  <c r="AH54" i="2"/>
  <c r="AO53" i="2"/>
  <c r="BU52" i="2"/>
  <c r="AK51" i="2"/>
  <c r="BS50" i="2"/>
  <c r="AB50" i="2"/>
  <c r="BK49" i="2"/>
  <c r="Q49" i="2"/>
  <c r="BF48" i="2"/>
  <c r="V48" i="2"/>
  <c r="BJ47" i="2"/>
  <c r="N47" i="2"/>
  <c r="BG46" i="2"/>
  <c r="W46" i="2"/>
  <c r="BK45" i="2"/>
  <c r="O45" i="2"/>
  <c r="BH44" i="2"/>
  <c r="S44" i="2"/>
  <c r="BK43" i="2"/>
  <c r="O43" i="2"/>
  <c r="BC42" i="2"/>
  <c r="L42" i="2"/>
  <c r="BL41" i="2"/>
  <c r="S41" i="2"/>
  <c r="BR40" i="2"/>
  <c r="AK40" i="2"/>
  <c r="CK39" i="2"/>
  <c r="BG39" i="2"/>
  <c r="Y39" i="2"/>
  <c r="CA38" i="2"/>
  <c r="AX38" i="2"/>
  <c r="Q38" i="2"/>
  <c r="BX37" i="2"/>
  <c r="AR37" i="2"/>
  <c r="M37" i="2"/>
  <c r="BW36" i="2"/>
  <c r="AR36" i="2"/>
  <c r="Q36" i="2"/>
  <c r="BW35" i="2"/>
  <c r="BA35" i="2"/>
  <c r="Y35" i="2"/>
  <c r="BJ34" i="2"/>
  <c r="AM34" i="2"/>
  <c r="L34" i="2"/>
  <c r="BX33" i="2"/>
  <c r="BC33" i="2"/>
  <c r="AC33" i="2"/>
  <c r="BV32" i="2"/>
  <c r="AV32" i="2"/>
  <c r="AA32" i="2"/>
  <c r="BO31" i="2"/>
  <c r="AT31" i="2"/>
  <c r="X31" i="2"/>
  <c r="CH30" i="2"/>
  <c r="BL30" i="2"/>
  <c r="AQ30" i="2"/>
  <c r="Q30" i="2"/>
  <c r="CE29" i="2"/>
  <c r="BJ29" i="2"/>
  <c r="AK29" i="2"/>
  <c r="Q29" i="2"/>
  <c r="CG28" i="2"/>
  <c r="BJ28" i="2"/>
  <c r="AQ28" i="2"/>
  <c r="X28" i="2"/>
  <c r="BT27" i="2"/>
  <c r="AY27" i="2"/>
  <c r="AF27" i="2"/>
  <c r="M27" i="2"/>
  <c r="CB26" i="2"/>
  <c r="BG26" i="2"/>
  <c r="AN26" i="2"/>
  <c r="U26" i="2"/>
  <c r="CK25" i="2"/>
  <c r="BQ25" i="2"/>
  <c r="AX25" i="2"/>
  <c r="AF25" i="2"/>
  <c r="N25" i="2"/>
  <c r="CE24" i="2"/>
  <c r="BM24" i="2"/>
  <c r="AT24" i="2"/>
  <c r="AB24" i="2"/>
  <c r="CB23" i="2"/>
  <c r="BK23" i="2"/>
  <c r="AT23" i="2"/>
  <c r="AC23" i="2"/>
  <c r="L23" i="2"/>
  <c r="CD22" i="2"/>
  <c r="BM22" i="2"/>
  <c r="AV22" i="2"/>
  <c r="AE22" i="2"/>
  <c r="N22" i="2"/>
  <c r="CE21" i="2"/>
  <c r="BN21" i="2"/>
  <c r="AW21" i="2"/>
  <c r="AF21" i="2"/>
  <c r="O21" i="2"/>
  <c r="CG20" i="2"/>
  <c r="BQ20" i="2"/>
  <c r="BA20" i="2"/>
  <c r="AK20" i="2"/>
  <c r="U20" i="2"/>
  <c r="BX19" i="2"/>
  <c r="BH19" i="2"/>
  <c r="AR19" i="2"/>
  <c r="AB19" i="2"/>
  <c r="L19" i="2"/>
  <c r="CE18" i="2"/>
  <c r="BO18" i="2"/>
  <c r="AY18" i="2"/>
  <c r="AI18" i="2"/>
  <c r="S18" i="2"/>
  <c r="BV17" i="2"/>
  <c r="BF17" i="2"/>
  <c r="AP17" i="2"/>
  <c r="Z17" i="2"/>
  <c r="CC16" i="2"/>
  <c r="BM16" i="2"/>
  <c r="AW16" i="2"/>
  <c r="AG16" i="2"/>
  <c r="Q16" i="2"/>
  <c r="R78" i="2"/>
  <c r="R79" i="2" s="1"/>
  <c r="AR66" i="2"/>
  <c r="BH64" i="2"/>
  <c r="CI62" i="2"/>
  <c r="CI60" i="2"/>
  <c r="AV59" i="2"/>
  <c r="AT58" i="2"/>
  <c r="BM57" i="2"/>
  <c r="CA56" i="2"/>
  <c r="CC55" i="2"/>
  <c r="P55" i="2"/>
  <c r="V54" i="2"/>
  <c r="AN53" i="2"/>
  <c r="BQ52" i="2"/>
  <c r="AI51" i="2"/>
  <c r="BR50" i="2"/>
  <c r="AA50" i="2"/>
  <c r="BJ49" i="2"/>
  <c r="BE48" i="2"/>
  <c r="BI47" i="2"/>
  <c r="M47" i="2"/>
  <c r="BF46" i="2"/>
  <c r="BJ45" i="2"/>
  <c r="N45" i="2"/>
  <c r="BG44" i="2"/>
  <c r="BJ43" i="2"/>
  <c r="N43" i="2"/>
  <c r="BA42" i="2"/>
  <c r="BH41" i="2"/>
  <c r="R41" i="2"/>
  <c r="BQ40" i="2"/>
  <c r="AJ40" i="2"/>
  <c r="CI39" i="2"/>
  <c r="AZ39" i="2"/>
  <c r="X39" i="2"/>
  <c r="BZ38" i="2"/>
  <c r="AW38" i="2"/>
  <c r="O38" i="2"/>
  <c r="BR37" i="2"/>
  <c r="AQ37" i="2"/>
  <c r="L37" i="2"/>
  <c r="BU36" i="2"/>
  <c r="AO36" i="2"/>
  <c r="BV35" i="2"/>
  <c r="AZ35" i="2"/>
  <c r="X35" i="2"/>
  <c r="CK34" i="2"/>
  <c r="BI34" i="2"/>
  <c r="AL34" i="2"/>
  <c r="BW33" i="2"/>
  <c r="AZ33" i="2"/>
  <c r="AB33" i="2"/>
  <c r="BS32" i="2"/>
  <c r="AU32" i="2"/>
  <c r="Z32" i="2"/>
  <c r="CK31" i="2"/>
  <c r="BN31" i="2"/>
  <c r="AR31" i="2"/>
  <c r="U31" i="2"/>
  <c r="CG30" i="2"/>
  <c r="BK30" i="2"/>
  <c r="AN30" i="2"/>
  <c r="P30" i="2"/>
  <c r="CD29" i="2"/>
  <c r="BF29" i="2"/>
  <c r="AJ29" i="2"/>
  <c r="P29" i="2"/>
  <c r="CF28" i="2"/>
  <c r="BI28" i="2"/>
  <c r="AP28" i="2"/>
  <c r="W28" i="2"/>
  <c r="BQ27" i="2"/>
  <c r="AX27" i="2"/>
  <c r="AE27" i="2"/>
  <c r="L27" i="2"/>
  <c r="CA26" i="2"/>
  <c r="BF26" i="2"/>
  <c r="AM26" i="2"/>
  <c r="T26" i="2"/>
  <c r="CI25" i="2"/>
  <c r="BO25" i="2"/>
  <c r="AW25" i="2"/>
  <c r="AE25" i="2"/>
  <c r="M25" i="2"/>
  <c r="CD24" i="2"/>
  <c r="BL24" i="2"/>
  <c r="AS24" i="2"/>
  <c r="Z24" i="2"/>
  <c r="CA23" i="2"/>
  <c r="BJ23" i="2"/>
  <c r="AS23" i="2"/>
  <c r="AB23" i="2"/>
  <c r="CC22" i="2"/>
  <c r="BL22" i="2"/>
  <c r="AU22" i="2"/>
  <c r="AD22" i="2"/>
  <c r="L22" i="2"/>
  <c r="CD21" i="2"/>
  <c r="BM21" i="2"/>
  <c r="AV21" i="2"/>
  <c r="AE21" i="2"/>
  <c r="N21" i="2"/>
  <c r="CF20" i="2"/>
  <c r="BP20" i="2"/>
  <c r="AZ20" i="2"/>
  <c r="AJ20" i="2"/>
  <c r="T20" i="2"/>
  <c r="BW19" i="2"/>
  <c r="BG19" i="2"/>
  <c r="AQ19" i="2"/>
  <c r="AA19" i="2"/>
  <c r="CD18" i="2"/>
  <c r="BN18" i="2"/>
  <c r="AX18" i="2"/>
  <c r="AH18" i="2"/>
  <c r="R18" i="2"/>
  <c r="CK17" i="2"/>
  <c r="BU17" i="2"/>
  <c r="BE17" i="2"/>
  <c r="AO17" i="2"/>
  <c r="Y17" i="2"/>
  <c r="CB16" i="2"/>
  <c r="BL16" i="2"/>
  <c r="AV16" i="2"/>
  <c r="AF16" i="2"/>
  <c r="P16" i="2"/>
  <c r="AQ66" i="2"/>
  <c r="AK64" i="2"/>
  <c r="AM62" i="2"/>
  <c r="CH60" i="2"/>
  <c r="AT59" i="2"/>
  <c r="AS58" i="2"/>
  <c r="BL57" i="2"/>
  <c r="BP56" i="2"/>
  <c r="CB55" i="2"/>
  <c r="U54" i="2"/>
  <c r="AK53" i="2"/>
  <c r="AY52" i="2"/>
  <c r="AH51" i="2"/>
  <c r="BO50" i="2"/>
  <c r="L50" i="2"/>
  <c r="BI49" i="2"/>
  <c r="BC48" i="2"/>
  <c r="BH47" i="2"/>
  <c r="L47" i="2"/>
  <c r="BD46" i="2"/>
  <c r="BI45" i="2"/>
  <c r="M45" i="2"/>
  <c r="AZ44" i="2"/>
  <c r="BI43" i="2"/>
  <c r="M43" i="2"/>
  <c r="AZ42" i="2"/>
  <c r="AY41" i="2"/>
  <c r="Q41" i="2"/>
  <c r="BO40" i="2"/>
  <c r="Y40" i="2"/>
  <c r="CH39" i="2"/>
  <c r="AX39" i="2"/>
  <c r="W39" i="2"/>
  <c r="BY38" i="2"/>
  <c r="AV38" i="2"/>
  <c r="N38" i="2"/>
  <c r="BQ37" i="2"/>
  <c r="AP37" i="2"/>
  <c r="BS36" i="2"/>
  <c r="AM36" i="2"/>
  <c r="BU35" i="2"/>
  <c r="AS35" i="2"/>
  <c r="W35" i="2"/>
  <c r="CI34" i="2"/>
  <c r="BH34" i="2"/>
  <c r="AK34" i="2"/>
  <c r="BV33" i="2"/>
  <c r="AW33" i="2"/>
  <c r="AA33" i="2"/>
  <c r="BO32" i="2"/>
  <c r="AT32" i="2"/>
  <c r="Y32" i="2"/>
  <c r="CH31" i="2"/>
  <c r="BM31" i="2"/>
  <c r="AQ31" i="2"/>
  <c r="R31" i="2"/>
  <c r="CE30" i="2"/>
  <c r="BJ30" i="2"/>
  <c r="AK30" i="2"/>
  <c r="O30" i="2"/>
  <c r="CC29" i="2"/>
  <c r="BC29" i="2"/>
  <c r="AI29" i="2"/>
  <c r="O29" i="2"/>
  <c r="CC28" i="2"/>
  <c r="BH28" i="2"/>
  <c r="AO28" i="2"/>
  <c r="V28" i="2"/>
  <c r="CK27" i="2"/>
  <c r="BP27" i="2"/>
  <c r="AW27" i="2"/>
  <c r="AD27" i="2"/>
  <c r="BX26" i="2"/>
  <c r="BE26" i="2"/>
  <c r="AL26" i="2"/>
  <c r="S26" i="2"/>
  <c r="CH25" i="2"/>
  <c r="BN25" i="2"/>
  <c r="AV25" i="2"/>
  <c r="AD25" i="2"/>
  <c r="L25" i="2"/>
  <c r="CC24" i="2"/>
  <c r="BJ24" i="2"/>
  <c r="AR24" i="2"/>
  <c r="Y24" i="2"/>
  <c r="BZ23" i="2"/>
  <c r="BI23" i="2"/>
  <c r="AR23" i="2"/>
  <c r="AA23" i="2"/>
  <c r="CB22" i="2"/>
  <c r="BK22" i="2"/>
  <c r="AT22" i="2"/>
  <c r="AB22" i="2"/>
  <c r="CC21" i="2"/>
  <c r="BL21" i="2"/>
  <c r="AU21" i="2"/>
  <c r="AD21" i="2"/>
  <c r="M21" i="2"/>
  <c r="CE20" i="2"/>
  <c r="BO20" i="2"/>
  <c r="AY20" i="2"/>
  <c r="AI20" i="2"/>
  <c r="S20" i="2"/>
  <c r="BV19" i="2"/>
  <c r="BF19" i="2"/>
  <c r="AP19" i="2"/>
  <c r="Z19" i="2"/>
  <c r="CC18" i="2"/>
  <c r="BM18" i="2"/>
  <c r="AW18" i="2"/>
  <c r="AG18" i="2"/>
  <c r="Q18" i="2"/>
  <c r="AP66" i="2"/>
  <c r="Y64" i="2"/>
  <c r="AL62" i="2"/>
  <c r="CG60" i="2"/>
  <c r="AM59" i="2"/>
  <c r="AD58" i="2"/>
  <c r="AR57" i="2"/>
  <c r="BO56" i="2"/>
  <c r="BZ55" i="2"/>
  <c r="CE54" i="2"/>
  <c r="S54" i="2"/>
  <c r="AJ53" i="2"/>
  <c r="AW52" i="2"/>
  <c r="AG51" i="2"/>
  <c r="BL50" i="2"/>
  <c r="BF49" i="2"/>
  <c r="BB48" i="2"/>
  <c r="BG47" i="2"/>
  <c r="AX46" i="2"/>
  <c r="BH45" i="2"/>
  <c r="L45" i="2"/>
  <c r="AY44" i="2"/>
  <c r="AV43" i="2"/>
  <c r="L43" i="2"/>
  <c r="AY42" i="2"/>
  <c r="AX41" i="2"/>
  <c r="P41" i="2"/>
  <c r="BN40" i="2"/>
  <c r="X40" i="2"/>
  <c r="CD39" i="2"/>
  <c r="AV39" i="2"/>
  <c r="V39" i="2"/>
  <c r="BU38" i="2"/>
  <c r="AM38" i="2"/>
  <c r="M38" i="2"/>
  <c r="BP37" i="2"/>
  <c r="AO37" i="2"/>
  <c r="BM36" i="2"/>
  <c r="AL36" i="2"/>
  <c r="BT35" i="2"/>
  <c r="AR35" i="2"/>
  <c r="V35" i="2"/>
  <c r="CC34" i="2"/>
  <c r="BG34" i="2"/>
  <c r="AJ34" i="2"/>
  <c r="BU33" i="2"/>
  <c r="AV33" i="2"/>
  <c r="Z33" i="2"/>
  <c r="BN32" i="2"/>
  <c r="AS32" i="2"/>
  <c r="X32" i="2"/>
  <c r="CG31" i="2"/>
  <c r="AV65" i="2"/>
  <c r="Q60" i="2"/>
  <c r="U58" i="2"/>
  <c r="X57" i="2"/>
  <c r="AN56" i="2"/>
  <c r="BH55" i="2"/>
  <c r="BN54" i="2"/>
  <c r="CC53" i="2"/>
  <c r="AH52" i="2"/>
  <c r="BL51" i="2"/>
  <c r="BB50" i="2"/>
  <c r="AM49" i="2"/>
  <c r="CA48" i="2"/>
  <c r="AK48" i="2"/>
  <c r="CJ47" i="2"/>
  <c r="AN47" i="2"/>
  <c r="CB46" i="2"/>
  <c r="AF46" i="2"/>
  <c r="CF45" i="2"/>
  <c r="AP45" i="2"/>
  <c r="CD44" i="2"/>
  <c r="AH44" i="2"/>
  <c r="CF43" i="2"/>
  <c r="AJ43" i="2"/>
  <c r="CC42" i="2"/>
  <c r="AH42" i="2"/>
  <c r="CG41" i="2"/>
  <c r="AN41" i="2"/>
  <c r="CJ40" i="2"/>
  <c r="AY40" i="2"/>
  <c r="R40" i="2"/>
  <c r="BS39" i="2"/>
  <c r="AP39" i="2"/>
  <c r="BO38" i="2"/>
  <c r="AG38" i="2"/>
  <c r="CI37" i="2"/>
  <c r="BH37" i="2"/>
  <c r="AC37" i="2"/>
  <c r="BG36" i="2"/>
  <c r="AB36" i="2"/>
  <c r="CK35" i="2"/>
  <c r="BI35" i="2"/>
  <c r="AM35" i="2"/>
  <c r="BX34" i="2"/>
  <c r="BA34" i="2"/>
  <c r="Z34" i="2"/>
  <c r="BL33" i="2"/>
  <c r="AP33" i="2"/>
  <c r="U33" i="2"/>
  <c r="CD32" i="2"/>
  <c r="BI32" i="2"/>
  <c r="AN32" i="2"/>
  <c r="N32" i="2"/>
  <c r="CB31" i="2"/>
  <c r="BF31" i="2"/>
  <c r="AG31" i="2"/>
  <c r="BY30" i="2"/>
  <c r="AY30" i="2"/>
  <c r="AD30" i="2"/>
  <c r="BR29" i="2"/>
  <c r="AW29" i="2"/>
  <c r="AC29" i="2"/>
  <c r="BU28" i="2"/>
  <c r="BB28" i="2"/>
  <c r="AH28" i="2"/>
  <c r="M28" i="2"/>
  <c r="CC27" i="2"/>
  <c r="BJ27" i="2"/>
  <c r="AQ27" i="2"/>
  <c r="U27" i="2"/>
  <c r="CK26" i="2"/>
  <c r="BR26" i="2"/>
  <c r="AY26" i="2"/>
  <c r="AE26" i="2"/>
  <c r="BZ25" i="2"/>
  <c r="BH25" i="2"/>
  <c r="AP25" i="2"/>
  <c r="W25" i="2"/>
  <c r="BU24" i="2"/>
  <c r="BC24" i="2"/>
  <c r="AK24" i="2"/>
  <c r="S24" i="2"/>
  <c r="CK23" i="2"/>
  <c r="BT23" i="2"/>
  <c r="BC23" i="2"/>
  <c r="AK23" i="2"/>
  <c r="T23" i="2"/>
  <c r="BU22" i="2"/>
  <c r="BD22" i="2"/>
  <c r="AM22" i="2"/>
  <c r="V22" i="2"/>
  <c r="BW21" i="2"/>
  <c r="BF21" i="2"/>
  <c r="AO21" i="2"/>
  <c r="X21" i="2"/>
  <c r="AU65" i="2"/>
  <c r="AX63" i="2"/>
  <c r="N60" i="2"/>
  <c r="V57" i="2"/>
  <c r="AL56" i="2"/>
  <c r="AL55" i="2"/>
  <c r="BJ54" i="2"/>
  <c r="BZ53" i="2"/>
  <c r="AG52" i="2"/>
  <c r="BK51" i="2"/>
  <c r="AR50" i="2"/>
  <c r="CK49" i="2"/>
  <c r="AW63" i="2"/>
  <c r="AU60" i="2"/>
  <c r="BS58" i="2"/>
  <c r="R57" i="2"/>
  <c r="BK55" i="2"/>
  <c r="AK54" i="2"/>
  <c r="CK52" i="2"/>
  <c r="BS51" i="2"/>
  <c r="BK50" i="2"/>
  <c r="BU49" i="2"/>
  <c r="CI48" i="2"/>
  <c r="Y48" i="2"/>
  <c r="AO47" i="2"/>
  <c r="BV46" i="2"/>
  <c r="CG45" i="2"/>
  <c r="W45" i="2"/>
  <c r="AF44" i="2"/>
  <c r="AU43" i="2"/>
  <c r="BT42" i="2"/>
  <c r="CJ41" i="2"/>
  <c r="Z41" i="2"/>
  <c r="BE40" i="2"/>
  <c r="AN39" i="2"/>
  <c r="BR38" i="2"/>
  <c r="AC38" i="2"/>
  <c r="BI37" i="2"/>
  <c r="V37" i="2"/>
  <c r="BE36" i="2"/>
  <c r="BG35" i="2"/>
  <c r="T35" i="2"/>
  <c r="BU34" i="2"/>
  <c r="AB34" i="2"/>
  <c r="CC33" i="2"/>
  <c r="AQ33" i="2"/>
  <c r="BG32" i="2"/>
  <c r="S32" i="2"/>
  <c r="BW31" i="2"/>
  <c r="AL31" i="2"/>
  <c r="BI30" i="2"/>
  <c r="AC30" i="2"/>
  <c r="CG29" i="2"/>
  <c r="AX29" i="2"/>
  <c r="T29" i="2"/>
  <c r="BW28" i="2"/>
  <c r="AW28" i="2"/>
  <c r="R28" i="2"/>
  <c r="BZ27" i="2"/>
  <c r="AU27" i="2"/>
  <c r="S27" i="2"/>
  <c r="CE26" i="2"/>
  <c r="AZ26" i="2"/>
  <c r="X26" i="2"/>
  <c r="CB25" i="2"/>
  <c r="BC25" i="2"/>
  <c r="AA25" i="2"/>
  <c r="CJ24" i="2"/>
  <c r="BH24" i="2"/>
  <c r="AI24" i="2"/>
  <c r="BU23" i="2"/>
  <c r="AW23" i="2"/>
  <c r="W23" i="2"/>
  <c r="CI22" i="2"/>
  <c r="BH22" i="2"/>
  <c r="AK22" i="2"/>
  <c r="BX21" i="2"/>
  <c r="BA21" i="2"/>
  <c r="Z21" i="2"/>
  <c r="CK20" i="2"/>
  <c r="BM20" i="2"/>
  <c r="AS20" i="2"/>
  <c r="Y20" i="2"/>
  <c r="CJ19" i="2"/>
  <c r="BP19" i="2"/>
  <c r="AV19" i="2"/>
  <c r="X19" i="2"/>
  <c r="BT18" i="2"/>
  <c r="AV18" i="2"/>
  <c r="AB18" i="2"/>
  <c r="BX17" i="2"/>
  <c r="BB17" i="2"/>
  <c r="AI17" i="2"/>
  <c r="P17" i="2"/>
  <c r="CG16" i="2"/>
  <c r="BK16" i="2"/>
  <c r="AR16" i="2"/>
  <c r="Y16" i="2"/>
  <c r="BU66" i="2"/>
  <c r="Z63" i="2"/>
  <c r="AL60" i="2"/>
  <c r="AC58" i="2"/>
  <c r="BI55" i="2"/>
  <c r="R54" i="2"/>
  <c r="CG52" i="2"/>
  <c r="BH51" i="2"/>
  <c r="BJ50" i="2"/>
  <c r="BT49" i="2"/>
  <c r="CB48" i="2"/>
  <c r="X48" i="2"/>
  <c r="AM47" i="2"/>
  <c r="BU46" i="2"/>
  <c r="CE45" i="2"/>
  <c r="AC44" i="2"/>
  <c r="AT43" i="2"/>
  <c r="BS42" i="2"/>
  <c r="CI41" i="2"/>
  <c r="X41" i="2"/>
  <c r="AX40" i="2"/>
  <c r="CB39" i="2"/>
  <c r="AE39" i="2"/>
  <c r="BQ38" i="2"/>
  <c r="T38" i="2"/>
  <c r="BG37" i="2"/>
  <c r="BC36" i="2"/>
  <c r="BF35" i="2"/>
  <c r="S35" i="2"/>
  <c r="BS34" i="2"/>
  <c r="AA34" i="2"/>
  <c r="CB33" i="2"/>
  <c r="AO33" i="2"/>
  <c r="BF32" i="2"/>
  <c r="P32" i="2"/>
  <c r="BT31" i="2"/>
  <c r="AI31" i="2"/>
  <c r="BH30" i="2"/>
  <c r="AB30" i="2"/>
  <c r="CB29" i="2"/>
  <c r="AV29" i="2"/>
  <c r="S29" i="2"/>
  <c r="BV28" i="2"/>
  <c r="AT28" i="2"/>
  <c r="Q28" i="2"/>
  <c r="BY27" i="2"/>
  <c r="AT27" i="2"/>
  <c r="R27" i="2"/>
  <c r="BW26" i="2"/>
  <c r="AX26" i="2"/>
  <c r="W26" i="2"/>
  <c r="CA25" i="2"/>
  <c r="BB25" i="2"/>
  <c r="Z25" i="2"/>
  <c r="CI24" i="2"/>
  <c r="BF24" i="2"/>
  <c r="AH24" i="2"/>
  <c r="BS23" i="2"/>
  <c r="AV23" i="2"/>
  <c r="U23" i="2"/>
  <c r="CH22" i="2"/>
  <c r="BG22" i="2"/>
  <c r="AJ22" i="2"/>
  <c r="BV21" i="2"/>
  <c r="AY21" i="2"/>
  <c r="Y21" i="2"/>
  <c r="CJ20" i="2"/>
  <c r="BL20" i="2"/>
  <c r="AR20" i="2"/>
  <c r="X20" i="2"/>
  <c r="CI19" i="2"/>
  <c r="BO19" i="2"/>
  <c r="AU19" i="2"/>
  <c r="W19" i="2"/>
  <c r="BS18" i="2"/>
  <c r="AU18" i="2"/>
  <c r="AA18" i="2"/>
  <c r="BT17" i="2"/>
  <c r="BA17" i="2"/>
  <c r="AH17" i="2"/>
  <c r="O17" i="2"/>
  <c r="CF16" i="2"/>
  <c r="BJ16" i="2"/>
  <c r="AQ16" i="2"/>
  <c r="X16" i="2"/>
  <c r="AO66" i="2"/>
  <c r="Q63" i="2"/>
  <c r="AJ60" i="2"/>
  <c r="AA58" i="2"/>
  <c r="CH56" i="2"/>
  <c r="AK55" i="2"/>
  <c r="CE52" i="2"/>
  <c r="BE51" i="2"/>
  <c r="BI50" i="2"/>
  <c r="BM49" i="2"/>
  <c r="BY48" i="2"/>
  <c r="AL47" i="2"/>
  <c r="AV46" i="2"/>
  <c r="CD45" i="2"/>
  <c r="AB44" i="2"/>
  <c r="AR43" i="2"/>
  <c r="BR42" i="2"/>
  <c r="CH41" i="2"/>
  <c r="V41" i="2"/>
  <c r="AW40" i="2"/>
  <c r="CA39" i="2"/>
  <c r="AD39" i="2"/>
  <c r="BP38" i="2"/>
  <c r="S38" i="2"/>
  <c r="BF37" i="2"/>
  <c r="BB36" i="2"/>
  <c r="BE35" i="2"/>
  <c r="R35" i="2"/>
  <c r="BR34" i="2"/>
  <c r="Y34" i="2"/>
  <c r="BZ33" i="2"/>
  <c r="AN33" i="2"/>
  <c r="CJ32" i="2"/>
  <c r="BE32" i="2"/>
  <c r="O32" i="2"/>
  <c r="BQ31" i="2"/>
  <c r="AH31" i="2"/>
  <c r="BE30" i="2"/>
  <c r="AA30" i="2"/>
  <c r="CA29" i="2"/>
  <c r="AU29" i="2"/>
  <c r="N29" i="2"/>
  <c r="BT28" i="2"/>
  <c r="AS28" i="2"/>
  <c r="N28" i="2"/>
  <c r="BX27" i="2"/>
  <c r="AS27" i="2"/>
  <c r="Q27" i="2"/>
  <c r="BV26" i="2"/>
  <c r="AV26" i="2"/>
  <c r="R26" i="2"/>
  <c r="BY25" i="2"/>
  <c r="BA25" i="2"/>
  <c r="Y25" i="2"/>
  <c r="CH24" i="2"/>
  <c r="BE24" i="2"/>
  <c r="AG24" i="2"/>
  <c r="BQ23" i="2"/>
  <c r="AQ23" i="2"/>
  <c r="S23" i="2"/>
  <c r="CG22" i="2"/>
  <c r="BF22" i="2"/>
  <c r="AI22" i="2"/>
  <c r="BU21" i="2"/>
  <c r="AT21" i="2"/>
  <c r="W21" i="2"/>
  <c r="CI20" i="2"/>
  <c r="BK20" i="2"/>
  <c r="AQ20" i="2"/>
  <c r="W20" i="2"/>
  <c r="CH19" i="2"/>
  <c r="BN19" i="2"/>
  <c r="AT19" i="2"/>
  <c r="V19" i="2"/>
  <c r="BR18" i="2"/>
  <c r="AT18" i="2"/>
  <c r="Z18" i="2"/>
  <c r="BS17" i="2"/>
  <c r="AZ17" i="2"/>
  <c r="AG17" i="2"/>
  <c r="N17" i="2"/>
  <c r="CE16" i="2"/>
  <c r="BI16" i="2"/>
  <c r="AP16" i="2"/>
  <c r="W16" i="2"/>
  <c r="P63" i="2"/>
  <c r="L60" i="2"/>
  <c r="Z58" i="2"/>
  <c r="CG56" i="2"/>
  <c r="AJ55" i="2"/>
  <c r="CG53" i="2"/>
  <c r="CD52" i="2"/>
  <c r="BD51" i="2"/>
  <c r="BC50" i="2"/>
  <c r="AT49" i="2"/>
  <c r="BX48" i="2"/>
  <c r="AK47" i="2"/>
  <c r="AU46" i="2"/>
  <c r="BW45" i="2"/>
  <c r="CF44" i="2"/>
  <c r="AA44" i="2"/>
  <c r="AK43" i="2"/>
  <c r="BK42" i="2"/>
  <c r="BU41" i="2"/>
  <c r="AS40" i="2"/>
  <c r="BZ39" i="2"/>
  <c r="AC39" i="2"/>
  <c r="BI38" i="2"/>
  <c r="AZ37" i="2"/>
  <c r="BA36" i="2"/>
  <c r="BD35" i="2"/>
  <c r="BL34" i="2"/>
  <c r="W34" i="2"/>
  <c r="BT33" i="2"/>
  <c r="AM33" i="2"/>
  <c r="CF32" i="2"/>
  <c r="BA32" i="2"/>
  <c r="M32" i="2"/>
  <c r="BL31" i="2"/>
  <c r="AF31" i="2"/>
  <c r="BB30" i="2"/>
  <c r="Z30" i="2"/>
  <c r="BX29" i="2"/>
  <c r="AT29" i="2"/>
  <c r="M29" i="2"/>
  <c r="BS28" i="2"/>
  <c r="AN28" i="2"/>
  <c r="L28" i="2"/>
  <c r="BW27" i="2"/>
  <c r="AR27" i="2"/>
  <c r="P27" i="2"/>
  <c r="BU26" i="2"/>
  <c r="AU26" i="2"/>
  <c r="P26" i="2"/>
  <c r="BX25" i="2"/>
  <c r="AU25" i="2"/>
  <c r="V25" i="2"/>
  <c r="CG24" i="2"/>
  <c r="BD24" i="2"/>
  <c r="AF24" i="2"/>
  <c r="BP23" i="2"/>
  <c r="AP23" i="2"/>
  <c r="R23" i="2"/>
  <c r="CF22" i="2"/>
  <c r="BE22" i="2"/>
  <c r="AH22" i="2"/>
  <c r="L63" i="2"/>
  <c r="W58" i="2"/>
  <c r="BK56" i="2"/>
  <c r="AH55" i="2"/>
  <c r="CF53" i="2"/>
  <c r="AV52" i="2"/>
  <c r="BC51" i="2"/>
  <c r="AQ50" i="2"/>
  <c r="AS49" i="2"/>
  <c r="BW48" i="2"/>
  <c r="AE47" i="2"/>
  <c r="AT46" i="2"/>
  <c r="BP45" i="2"/>
  <c r="CE44" i="2"/>
  <c r="Z44" i="2"/>
  <c r="AI43" i="2"/>
  <c r="AX42" i="2"/>
  <c r="BT41" i="2"/>
  <c r="AO40" i="2"/>
  <c r="BT39" i="2"/>
  <c r="AB39" i="2"/>
  <c r="BG38" i="2"/>
  <c r="AX37" i="2"/>
  <c r="AU36" i="2"/>
  <c r="BC35" i="2"/>
  <c r="BF34" i="2"/>
  <c r="V34" i="2"/>
  <c r="BQ33" i="2"/>
  <c r="AL33" i="2"/>
  <c r="CE32" i="2"/>
  <c r="AX32" i="2"/>
  <c r="L32" i="2"/>
  <c r="BK31" i="2"/>
  <c r="AE31" i="2"/>
  <c r="CJ30" i="2"/>
  <c r="BA30" i="2"/>
  <c r="W30" i="2"/>
  <c r="BT29" i="2"/>
  <c r="AS29" i="2"/>
  <c r="BR28" i="2"/>
  <c r="AM28" i="2"/>
  <c r="BO27" i="2"/>
  <c r="AO27" i="2"/>
  <c r="O27" i="2"/>
  <c r="BT26" i="2"/>
  <c r="AR26" i="2"/>
  <c r="O26" i="2"/>
  <c r="BW25" i="2"/>
  <c r="AT25" i="2"/>
  <c r="U25" i="2"/>
  <c r="CB24" i="2"/>
  <c r="BB24" i="2"/>
  <c r="AD24" i="2"/>
  <c r="BO23" i="2"/>
  <c r="AO23" i="2"/>
  <c r="Q23" i="2"/>
  <c r="CA22" i="2"/>
  <c r="BC22" i="2"/>
  <c r="AG22" i="2"/>
  <c r="BS21" i="2"/>
  <c r="AR21" i="2"/>
  <c r="U21" i="2"/>
  <c r="CC20" i="2"/>
  <c r="BI20" i="2"/>
  <c r="AO20" i="2"/>
  <c r="Q20" i="2"/>
  <c r="CF19" i="2"/>
  <c r="BL19" i="2"/>
  <c r="AN19" i="2"/>
  <c r="T19" i="2"/>
  <c r="CJ18" i="2"/>
  <c r="BL18" i="2"/>
  <c r="AR18" i="2"/>
  <c r="X18" i="2"/>
  <c r="CJ17" i="2"/>
  <c r="BQ17" i="2"/>
  <c r="AX17" i="2"/>
  <c r="AE17" i="2"/>
  <c r="L17" i="2"/>
  <c r="BZ16" i="2"/>
  <c r="BG16" i="2"/>
  <c r="AN16" i="2"/>
  <c r="U16" i="2"/>
  <c r="AV78" i="2"/>
  <c r="AV79" i="2" s="1"/>
  <c r="BZ65" i="2"/>
  <c r="BJ56" i="2"/>
  <c r="AG55" i="2"/>
  <c r="BY53" i="2"/>
  <c r="AT52" i="2"/>
  <c r="AN51" i="2"/>
  <c r="AP50" i="2"/>
  <c r="AP49" i="2"/>
  <c r="BV48" i="2"/>
  <c r="T65" i="2"/>
  <c r="AK59" i="2"/>
  <c r="CD57" i="2"/>
  <c r="X56" i="2"/>
  <c r="BY54" i="2"/>
  <c r="BI53" i="2"/>
  <c r="O52" i="2"/>
  <c r="L51" i="2"/>
  <c r="AJ49" i="2"/>
  <c r="AT48" i="2"/>
  <c r="BU47" i="2"/>
  <c r="AA46" i="2"/>
  <c r="AS45" i="2"/>
  <c r="BR44" i="2"/>
  <c r="CG43" i="2"/>
  <c r="R43" i="2"/>
  <c r="AE42" i="2"/>
  <c r="AW41" i="2"/>
  <c r="CG40" i="2"/>
  <c r="T40" i="2"/>
  <c r="BJ39" i="2"/>
  <c r="AL38" i="2"/>
  <c r="CD37" i="2"/>
  <c r="AE37" i="2"/>
  <c r="CB36" i="2"/>
  <c r="AC36" i="2"/>
  <c r="BZ35" i="2"/>
  <c r="AL35" i="2"/>
  <c r="AT34" i="2"/>
  <c r="BH33" i="2"/>
  <c r="W33" i="2"/>
  <c r="BY32" i="2"/>
  <c r="AJ32" i="2"/>
  <c r="CF31" i="2"/>
  <c r="AZ31" i="2"/>
  <c r="Q31" i="2"/>
  <c r="BZ30" i="2"/>
  <c r="AT30" i="2"/>
  <c r="BN29" i="2"/>
  <c r="AF29" i="2"/>
  <c r="BF28" i="2"/>
  <c r="AD28" i="2"/>
  <c r="CJ27" i="2"/>
  <c r="BI27" i="2"/>
  <c r="AH27" i="2"/>
  <c r="BN26" i="2"/>
  <c r="AI26" i="2"/>
  <c r="BL25" i="2"/>
  <c r="AM25" i="2"/>
  <c r="BT24" i="2"/>
  <c r="AW24" i="2"/>
  <c r="T24" i="2"/>
  <c r="CF23" i="2"/>
  <c r="BF23" i="2"/>
  <c r="AH23" i="2"/>
  <c r="BT22" i="2"/>
  <c r="AX22" i="2"/>
  <c r="W22" i="2"/>
  <c r="CJ21" i="2"/>
  <c r="BI21" i="2"/>
  <c r="AL21" i="2"/>
  <c r="S65" i="2"/>
  <c r="CC61" i="2"/>
  <c r="AJ59" i="2"/>
  <c r="BQ57" i="2"/>
  <c r="W56" i="2"/>
  <c r="BW54" i="2"/>
  <c r="Y53" i="2"/>
  <c r="N52" i="2"/>
  <c r="AI49" i="2"/>
  <c r="AS48" i="2"/>
  <c r="BT47" i="2"/>
  <c r="CE46" i="2"/>
  <c r="Z46" i="2"/>
  <c r="AQ45" i="2"/>
  <c r="BQ44" i="2"/>
  <c r="CE43" i="2"/>
  <c r="AD42" i="2"/>
  <c r="AU41" i="2"/>
  <c r="CF40" i="2"/>
  <c r="S40" i="2"/>
  <c r="BI39" i="2"/>
  <c r="AK38" i="2"/>
  <c r="CB37" i="2"/>
  <c r="AD37" i="2"/>
  <c r="BZ36" i="2"/>
  <c r="AA36" i="2"/>
  <c r="BY35" i="2"/>
  <c r="AK35" i="2"/>
  <c r="CB34" i="2"/>
  <c r="AS34" i="2"/>
  <c r="BG33" i="2"/>
  <c r="V33" i="2"/>
  <c r="BX32" i="2"/>
  <c r="AG32" i="2"/>
  <c r="CE31" i="2"/>
  <c r="AY31" i="2"/>
  <c r="P31" i="2"/>
  <c r="BV30" i="2"/>
  <c r="AS30" i="2"/>
  <c r="BM29" i="2"/>
  <c r="AE29" i="2"/>
  <c r="CK28" i="2"/>
  <c r="BE28" i="2"/>
  <c r="AC28" i="2"/>
  <c r="CG27" i="2"/>
  <c r="BH27" i="2"/>
  <c r="AC27" i="2"/>
  <c r="BL26" i="2"/>
  <c r="AH26" i="2"/>
  <c r="BK25" i="2"/>
  <c r="AL25" i="2"/>
  <c r="BS24" i="2"/>
  <c r="AP24" i="2"/>
  <c r="R24" i="2"/>
  <c r="CE23" i="2"/>
  <c r="BE23" i="2"/>
  <c r="AG23" i="2"/>
  <c r="BS22" i="2"/>
  <c r="AR22" i="2"/>
  <c r="U22" i="2"/>
  <c r="CI21" i="2"/>
  <c r="BH21" i="2"/>
  <c r="AK21" i="2"/>
  <c r="BW20" i="2"/>
  <c r="BC20" i="2"/>
  <c r="AE20" i="2"/>
  <c r="BZ19" i="2"/>
  <c r="BB19" i="2"/>
  <c r="AH19" i="2"/>
  <c r="N19" i="2"/>
  <c r="BZ18" i="2"/>
  <c r="BF18" i="2"/>
  <c r="AL18" i="2"/>
  <c r="CH57" i="2"/>
  <c r="BM55" i="2"/>
  <c r="CK50" i="2"/>
  <c r="T49" i="2"/>
  <c r="BS47" i="2"/>
  <c r="AD46" i="2"/>
  <c r="BP43" i="2"/>
  <c r="AG42" i="2"/>
  <c r="CK38" i="2"/>
  <c r="CH37" i="2"/>
  <c r="U36" i="2"/>
  <c r="AN35" i="2"/>
  <c r="BE34" i="2"/>
  <c r="CE33" i="2"/>
  <c r="N33" i="2"/>
  <c r="AO32" i="2"/>
  <c r="BH31" i="2"/>
  <c r="AG30" i="2"/>
  <c r="BO29" i="2"/>
  <c r="AZ28" i="2"/>
  <c r="CF27" i="2"/>
  <c r="AJ27" i="2"/>
  <c r="BS26" i="2"/>
  <c r="Z26" i="2"/>
  <c r="BI25" i="2"/>
  <c r="P25" i="2"/>
  <c r="BA24" i="2"/>
  <c r="M24" i="2"/>
  <c r="BD23" i="2"/>
  <c r="N23" i="2"/>
  <c r="BB22" i="2"/>
  <c r="Q22" i="2"/>
  <c r="BJ21" i="2"/>
  <c r="V21" i="2"/>
  <c r="BX20" i="2"/>
  <c r="AT20" i="2"/>
  <c r="M20" i="2"/>
  <c r="BS19" i="2"/>
  <c r="AL19" i="2"/>
  <c r="BK18" i="2"/>
  <c r="AK18" i="2"/>
  <c r="BN17" i="2"/>
  <c r="AN17" i="2"/>
  <c r="Q17" i="2"/>
  <c r="BW16" i="2"/>
  <c r="AZ16" i="2"/>
  <c r="Z16" i="2"/>
  <c r="AF61" i="2"/>
  <c r="CG57" i="2"/>
  <c r="T55" i="2"/>
  <c r="CJ50" i="2"/>
  <c r="BL47" i="2"/>
  <c r="AB46" i="2"/>
  <c r="CB44" i="2"/>
  <c r="BN43" i="2"/>
  <c r="AB42" i="2"/>
  <c r="CI38" i="2"/>
  <c r="CG37" i="2"/>
  <c r="T36" i="2"/>
  <c r="AJ35" i="2"/>
  <c r="BC34" i="2"/>
  <c r="CD33" i="2"/>
  <c r="M33" i="2"/>
  <c r="AF32" i="2"/>
  <c r="BG31" i="2"/>
  <c r="CD30" i="2"/>
  <c r="AF30" i="2"/>
  <c r="BL29" i="2"/>
  <c r="AX28" i="2"/>
  <c r="CE27" i="2"/>
  <c r="AI27" i="2"/>
  <c r="BQ26" i="2"/>
  <c r="Y26" i="2"/>
  <c r="BG25" i="2"/>
  <c r="AZ24" i="2"/>
  <c r="L24" i="2"/>
  <c r="BA23" i="2"/>
  <c r="BA22" i="2"/>
  <c r="P22" i="2"/>
  <c r="BG21" i="2"/>
  <c r="S21" i="2"/>
  <c r="BV20" i="2"/>
  <c r="AP20" i="2"/>
  <c r="L20" i="2"/>
  <c r="BR19" i="2"/>
  <c r="AK19" i="2"/>
  <c r="BJ18" i="2"/>
  <c r="AF18" i="2"/>
  <c r="BM17" i="2"/>
  <c r="AM17" i="2"/>
  <c r="M17" i="2"/>
  <c r="BV16" i="2"/>
  <c r="AY16" i="2"/>
  <c r="V16" i="2"/>
  <c r="AE61" i="2"/>
  <c r="CF57" i="2"/>
  <c r="AS52" i="2"/>
  <c r="CI50" i="2"/>
  <c r="AT47" i="2"/>
  <c r="Y46" i="2"/>
  <c r="BZ44" i="2"/>
  <c r="BM43" i="2"/>
  <c r="V42" i="2"/>
  <c r="CI40" i="2"/>
  <c r="BR39" i="2"/>
  <c r="CH38" i="2"/>
  <c r="CA37" i="2"/>
  <c r="CE36" i="2"/>
  <c r="S36" i="2"/>
  <c r="AI35" i="2"/>
  <c r="BB34" i="2"/>
  <c r="BN33" i="2"/>
  <c r="L33" i="2"/>
  <c r="AE32" i="2"/>
  <c r="BC31" i="2"/>
  <c r="CC30" i="2"/>
  <c r="AE30" i="2"/>
  <c r="BB29" i="2"/>
  <c r="AL28" i="2"/>
  <c r="CD27" i="2"/>
  <c r="AB27" i="2"/>
  <c r="BP26" i="2"/>
  <c r="L26" i="2"/>
  <c r="BF25" i="2"/>
  <c r="AY24" i="2"/>
  <c r="AZ23" i="2"/>
  <c r="AZ22" i="2"/>
  <c r="BE21" i="2"/>
  <c r="R21" i="2"/>
  <c r="BU20" i="2"/>
  <c r="AN20" i="2"/>
  <c r="BQ19" i="2"/>
  <c r="AJ19" i="2"/>
  <c r="BI18" i="2"/>
  <c r="AE18" i="2"/>
  <c r="CI17" i="2"/>
  <c r="BL17" i="2"/>
  <c r="AL17" i="2"/>
  <c r="BU16" i="2"/>
  <c r="AU16" i="2"/>
  <c r="T16" i="2"/>
  <c r="AD61" i="2"/>
  <c r="AO57" i="2"/>
  <c r="CA54" i="2"/>
  <c r="AR52" i="2"/>
  <c r="AF50" i="2"/>
  <c r="AS47" i="2"/>
  <c r="BY44" i="2"/>
  <c r="AH43" i="2"/>
  <c r="U42" i="2"/>
  <c r="CH40" i="2"/>
  <c r="BP39" i="2"/>
  <c r="BS38" i="2"/>
  <c r="BZ37" i="2"/>
  <c r="CD36" i="2"/>
  <c r="AB35" i="2"/>
  <c r="AU34" i="2"/>
  <c r="BM33" i="2"/>
  <c r="AD32" i="2"/>
  <c r="AX31" i="2"/>
  <c r="CB30" i="2"/>
  <c r="S30" i="2"/>
  <c r="BA29" i="2"/>
  <c r="AK28" i="2"/>
  <c r="CB27" i="2"/>
  <c r="AA27" i="2"/>
  <c r="BO26" i="2"/>
  <c r="BE25" i="2"/>
  <c r="AX24" i="2"/>
  <c r="AY23" i="2"/>
  <c r="AY22" i="2"/>
  <c r="BD21" i="2"/>
  <c r="Q21" i="2"/>
  <c r="BT20" i="2"/>
  <c r="AM20" i="2"/>
  <c r="BM19" i="2"/>
  <c r="AI19" i="2"/>
  <c r="BH18" i="2"/>
  <c r="AD18" i="2"/>
  <c r="CH17" i="2"/>
  <c r="BK17" i="2"/>
  <c r="AK17" i="2"/>
  <c r="BT16" i="2"/>
  <c r="AT16" i="2"/>
  <c r="S16" i="2"/>
  <c r="AN57" i="2"/>
  <c r="BV54" i="2"/>
  <c r="AF52" i="2"/>
  <c r="AE50" i="2"/>
  <c r="BU48" i="2"/>
  <c r="AR47" i="2"/>
  <c r="BX44" i="2"/>
  <c r="AG43" i="2"/>
  <c r="CE40" i="2"/>
  <c r="BL39" i="2"/>
  <c r="BE38" i="2"/>
  <c r="BN37" i="2"/>
  <c r="CC36" i="2"/>
  <c r="CJ35" i="2"/>
  <c r="AA35" i="2"/>
  <c r="AR34" i="2"/>
  <c r="BJ33" i="2"/>
  <c r="CC32" i="2"/>
  <c r="AC32" i="2"/>
  <c r="AW31" i="2"/>
  <c r="CA30" i="2"/>
  <c r="N30" i="2"/>
  <c r="AZ29" i="2"/>
  <c r="CJ28" i="2"/>
  <c r="AJ28" i="2"/>
  <c r="CA27" i="2"/>
  <c r="Y27" i="2"/>
  <c r="BK26" i="2"/>
  <c r="AS25" i="2"/>
  <c r="AO24" i="2"/>
  <c r="CJ23" i="2"/>
  <c r="AX23" i="2"/>
  <c r="AQ22" i="2"/>
  <c r="BC21" i="2"/>
  <c r="L21" i="2"/>
  <c r="BS20" i="2"/>
  <c r="AH20" i="2"/>
  <c r="BK19" i="2"/>
  <c r="AG19" i="2"/>
  <c r="CK18" i="2"/>
  <c r="BG18" i="2"/>
  <c r="AC18" i="2"/>
  <c r="CG17" i="2"/>
  <c r="BJ17" i="2"/>
  <c r="AJ17" i="2"/>
  <c r="BS16" i="2"/>
  <c r="AS16" i="2"/>
  <c r="O16" i="2"/>
  <c r="AF65" i="2"/>
  <c r="CF60" i="2"/>
  <c r="AJ57" i="2"/>
  <c r="BG54" i="2"/>
  <c r="M52" i="2"/>
  <c r="AD50" i="2"/>
  <c r="BT48" i="2"/>
  <c r="W47" i="2"/>
  <c r="AX44" i="2"/>
  <c r="T43" i="2"/>
  <c r="CK41" i="2"/>
  <c r="BT40" i="2"/>
  <c r="BK39" i="2"/>
  <c r="BC38" i="2"/>
  <c r="BK37" i="2"/>
  <c r="BY36" i="2"/>
  <c r="CI35" i="2"/>
  <c r="U35" i="2"/>
  <c r="AQ34" i="2"/>
  <c r="BI33" i="2"/>
  <c r="CB32" i="2"/>
  <c r="W32" i="2"/>
  <c r="AV31" i="2"/>
  <c r="BS30" i="2"/>
  <c r="M30" i="2"/>
  <c r="AY29" i="2"/>
  <c r="CI28" i="2"/>
  <c r="AG28" i="2"/>
  <c r="BN27" i="2"/>
  <c r="X27" i="2"/>
  <c r="BD26" i="2"/>
  <c r="AR25" i="2"/>
  <c r="AN24" i="2"/>
  <c r="CI23" i="2"/>
  <c r="AN23" i="2"/>
  <c r="CK22" i="2"/>
  <c r="AP22" i="2"/>
  <c r="BB21" i="2"/>
  <c r="BN20" i="2"/>
  <c r="AG20" i="2"/>
  <c r="BJ19" i="2"/>
  <c r="AF19" i="2"/>
  <c r="CI18" i="2"/>
  <c r="BE18" i="2"/>
  <c r="Y18" i="2"/>
  <c r="CF17" i="2"/>
  <c r="BI17" i="2"/>
  <c r="AF17" i="2"/>
  <c r="BR16" i="2"/>
  <c r="AO16" i="2"/>
  <c r="N16" i="2"/>
  <c r="W64" i="2"/>
  <c r="AL59" i="2"/>
  <c r="AP56" i="2"/>
  <c r="BT51" i="2"/>
  <c r="AC48" i="2"/>
  <c r="CD46" i="2"/>
  <c r="AU45" i="2"/>
  <c r="AG44" i="2"/>
  <c r="CF42" i="2"/>
  <c r="BN41" i="2"/>
  <c r="AN40" i="2"/>
  <c r="AQ39" i="2"/>
  <c r="AH38" i="2"/>
  <c r="AN37" i="2"/>
  <c r="BH36" i="2"/>
  <c r="BR35" i="2"/>
  <c r="U34" i="2"/>
  <c r="AS33" i="2"/>
  <c r="BL32" i="2"/>
  <c r="AB31" i="2"/>
  <c r="BN30" i="2"/>
  <c r="CK29" i="2"/>
  <c r="AG29" i="2"/>
  <c r="BQ28" i="2"/>
  <c r="U28" i="2"/>
  <c r="BG27" i="2"/>
  <c r="AQ26" i="2"/>
  <c r="CD25" i="2"/>
  <c r="AI25" i="2"/>
  <c r="BX24" i="2"/>
  <c r="X24" i="2"/>
  <c r="BX23" i="2"/>
  <c r="AF23" i="2"/>
  <c r="BW22" i="2"/>
  <c r="AA22" i="2"/>
  <c r="CA21" i="2"/>
  <c r="AN21" i="2"/>
  <c r="BF20" i="2"/>
  <c r="AB20" i="2"/>
  <c r="CE19" i="2"/>
  <c r="BA19" i="2"/>
  <c r="U19" i="2"/>
  <c r="CA18" i="2"/>
  <c r="BA18" i="2"/>
  <c r="P18" i="2"/>
  <c r="CB17" i="2"/>
  <c r="AY17" i="2"/>
  <c r="X17" i="2"/>
  <c r="CK16" i="2"/>
  <c r="BH16" i="2"/>
  <c r="AJ16" i="2"/>
  <c r="L64" i="2"/>
  <c r="CB58" i="2"/>
  <c r="AK56" i="2"/>
  <c r="BO53" i="2"/>
  <c r="W51" i="2"/>
  <c r="BV49" i="2"/>
  <c r="Z48" i="2"/>
  <c r="BY46" i="2"/>
  <c r="AO45" i="2"/>
  <c r="CK43" i="2"/>
  <c r="CB42" i="2"/>
  <c r="AO41" i="2"/>
  <c r="AL16" i="2"/>
  <c r="CJ16" i="2"/>
  <c r="AT17" i="2"/>
  <c r="BC18" i="2"/>
  <c r="S19" i="2"/>
  <c r="CB19" i="2"/>
  <c r="AU20" i="2"/>
  <c r="BY21" i="2"/>
  <c r="BO22" i="2"/>
  <c r="AJ23" i="2"/>
  <c r="V24" i="2"/>
  <c r="R25" i="2"/>
  <c r="U29" i="2"/>
  <c r="L30" i="2"/>
  <c r="AD31" i="2"/>
  <c r="BJ32" i="2"/>
  <c r="AT36" i="2"/>
  <c r="BQ41" i="2"/>
  <c r="AT44" i="2"/>
  <c r="BX46" i="2"/>
  <c r="AL49" i="2"/>
  <c r="V53" i="2"/>
  <c r="Y57" i="2"/>
  <c r="U65" i="2"/>
  <c r="CS3" i="2"/>
  <c r="CN4" i="2"/>
  <c r="CQ4" i="2" s="1" a="1"/>
  <c r="CQ4" i="2" s="1"/>
  <c r="AZ80" i="2" l="1"/>
  <c r="U79" i="2"/>
  <c r="AY99" i="2"/>
  <c r="AD79" i="2"/>
  <c r="AD80" i="2" s="1"/>
  <c r="AY100" i="2"/>
  <c r="BS79" i="2"/>
  <c r="BU80" i="2" s="1"/>
  <c r="AY102" i="2"/>
  <c r="AY79" i="2"/>
  <c r="AY80" i="2" s="1"/>
  <c r="AY101" i="2"/>
  <c r="M79" i="2"/>
  <c r="D47" i="2" s="1"/>
  <c r="BR80" i="2"/>
  <c r="BR81" i="5" s="1"/>
  <c r="AM80" i="2"/>
  <c r="AM81" i="5" s="1"/>
  <c r="AA80" i="2"/>
  <c r="AA81" i="5" s="1"/>
  <c r="AL81" i="5"/>
  <c r="AL81" i="2"/>
  <c r="BQ81" i="5"/>
  <c r="BQ81" i="2"/>
  <c r="CD81" i="5"/>
  <c r="CD81" i="2"/>
  <c r="AI81" i="5"/>
  <c r="AI81" i="2"/>
  <c r="BW81" i="5"/>
  <c r="BW81" i="2"/>
  <c r="CO4" i="2" a="1"/>
  <c r="CO4" i="2" s="1"/>
  <c r="CC81" i="5"/>
  <c r="CC81" i="2"/>
  <c r="AG81" i="2"/>
  <c r="AG81" i="5"/>
  <c r="AQ81" i="5"/>
  <c r="AQ81" i="2"/>
  <c r="AT81" i="2"/>
  <c r="AT81" i="5"/>
  <c r="AZ81" i="2"/>
  <c r="AZ81" i="5"/>
  <c r="CH81" i="5"/>
  <c r="CH81" i="2"/>
  <c r="BE81" i="5"/>
  <c r="BE81" i="2"/>
  <c r="Z81" i="2"/>
  <c r="Z81" i="5"/>
  <c r="BG81" i="2"/>
  <c r="BG81" i="5"/>
  <c r="BJ81" i="5"/>
  <c r="BJ81" i="2"/>
  <c r="V80" i="2"/>
  <c r="U80" i="2"/>
  <c r="BI80" i="2"/>
  <c r="G61" i="2"/>
  <c r="N80" i="2"/>
  <c r="BD80" i="2"/>
  <c r="AH80" i="2"/>
  <c r="G54" i="2"/>
  <c r="BN80" i="2"/>
  <c r="G39" i="2"/>
  <c r="G33" i="2"/>
  <c r="G44" i="2"/>
  <c r="G31" i="2"/>
  <c r="G60" i="2"/>
  <c r="G66" i="2"/>
  <c r="G59" i="2"/>
  <c r="G56" i="2"/>
  <c r="G42" i="2"/>
  <c r="G58" i="2"/>
  <c r="G43" i="2"/>
  <c r="AN80" i="2"/>
  <c r="BX80" i="2"/>
  <c r="G26" i="2"/>
  <c r="G65" i="2"/>
  <c r="G16" i="2"/>
  <c r="G46" i="2"/>
  <c r="G52" i="2"/>
  <c r="G30" i="2"/>
  <c r="CG80" i="2"/>
  <c r="G47" i="2"/>
  <c r="G27" i="2"/>
  <c r="G18" i="2"/>
  <c r="AU80" i="2"/>
  <c r="CE80" i="2"/>
  <c r="BT80" i="2"/>
  <c r="Q80" i="2"/>
  <c r="G6" i="2"/>
  <c r="CR4" i="2" a="1"/>
  <c r="CR4" i="2" s="1"/>
  <c r="G10" i="2"/>
  <c r="D20" i="2"/>
  <c r="G20" i="2"/>
  <c r="G22" i="2"/>
  <c r="T80" i="2"/>
  <c r="G38" i="2"/>
  <c r="CI80" i="2"/>
  <c r="AP80" i="2"/>
  <c r="BZ80" i="2"/>
  <c r="AK80" i="2"/>
  <c r="BC80" i="2"/>
  <c r="BP80" i="2"/>
  <c r="G53" i="2"/>
  <c r="BF80" i="2"/>
  <c r="G19" i="2"/>
  <c r="G41" i="2"/>
  <c r="G51" i="2"/>
  <c r="G25" i="2"/>
  <c r="D46" i="2"/>
  <c r="D65" i="2"/>
  <c r="BV80" i="2"/>
  <c r="O80" i="2"/>
  <c r="D16" i="2"/>
  <c r="AJ80" i="2"/>
  <c r="AX80" i="2"/>
  <c r="G23" i="2"/>
  <c r="G48" i="2"/>
  <c r="D59" i="2"/>
  <c r="AE80" i="2"/>
  <c r="D18" i="2"/>
  <c r="G5" i="2"/>
  <c r="D50" i="2"/>
  <c r="G50" i="2"/>
  <c r="D42" i="2"/>
  <c r="D44" i="2"/>
  <c r="D66" i="2"/>
  <c r="X80" i="2"/>
  <c r="AB80" i="2"/>
  <c r="P80" i="2"/>
  <c r="G11" i="2"/>
  <c r="D45" i="2"/>
  <c r="CA3" i="2"/>
  <c r="BK3" i="2"/>
  <c r="AU3" i="2"/>
  <c r="AE3" i="2"/>
  <c r="O3" i="2"/>
  <c r="BZ3" i="2"/>
  <c r="BJ3" i="2"/>
  <c r="AT3" i="2"/>
  <c r="AD3" i="2"/>
  <c r="N3" i="2"/>
  <c r="BV3" i="2"/>
  <c r="BD3" i="2"/>
  <c r="AL3" i="2"/>
  <c r="T3" i="2"/>
  <c r="BU3" i="2"/>
  <c r="BC3" i="2"/>
  <c r="AK3" i="2"/>
  <c r="S3" i="2"/>
  <c r="BT3" i="2"/>
  <c r="BB3" i="2"/>
  <c r="AJ3" i="2"/>
  <c r="R3" i="2"/>
  <c r="CF3" i="2"/>
  <c r="BN3" i="2"/>
  <c r="AV3" i="2"/>
  <c r="AB3" i="2"/>
  <c r="CI3" i="2"/>
  <c r="BL3" i="2"/>
  <c r="AN3" i="2"/>
  <c r="M3" i="2"/>
  <c r="CH3" i="2"/>
  <c r="BI3" i="2"/>
  <c r="AM3" i="2"/>
  <c r="L3" i="2"/>
  <c r="CG3" i="2"/>
  <c r="BH3" i="2"/>
  <c r="AI3" i="2"/>
  <c r="CE3" i="2"/>
  <c r="BG3" i="2"/>
  <c r="AH3" i="2"/>
  <c r="AP3" i="2"/>
  <c r="CD3" i="2"/>
  <c r="BF3" i="2"/>
  <c r="AG3" i="2"/>
  <c r="Y3" i="2"/>
  <c r="BO3" i="2"/>
  <c r="CC3" i="2"/>
  <c r="BE3" i="2"/>
  <c r="AF3" i="2"/>
  <c r="BW3" i="2"/>
  <c r="CK3" i="2"/>
  <c r="CB3" i="2"/>
  <c r="BA3" i="2"/>
  <c r="AC3" i="2"/>
  <c r="BY3" i="2"/>
  <c r="AZ3" i="2"/>
  <c r="AA3" i="2"/>
  <c r="BX3" i="2"/>
  <c r="AY3" i="2"/>
  <c r="Z3" i="2"/>
  <c r="AX3" i="2"/>
  <c r="BM3" i="2"/>
  <c r="BS3" i="2"/>
  <c r="AW3" i="2"/>
  <c r="X3" i="2"/>
  <c r="BR3" i="2"/>
  <c r="AS3" i="2"/>
  <c r="W3" i="2"/>
  <c r="BQ3" i="2"/>
  <c r="AR3" i="2"/>
  <c r="V3" i="2"/>
  <c r="Q3" i="2"/>
  <c r="BP3" i="2"/>
  <c r="AQ3" i="2"/>
  <c r="U3" i="2"/>
  <c r="CJ3" i="2"/>
  <c r="AO3" i="2"/>
  <c r="P3" i="2"/>
  <c r="R80" i="2"/>
  <c r="W80" i="2"/>
  <c r="BB80" i="2"/>
  <c r="AR80" i="2"/>
  <c r="BK80" i="2"/>
  <c r="AF80" i="2"/>
  <c r="G12" i="2"/>
  <c r="D4" i="2"/>
  <c r="D12" i="2"/>
  <c r="G13" i="2"/>
  <c r="D63" i="2"/>
  <c r="D27" i="2"/>
  <c r="BS80" i="2"/>
  <c r="BA80" i="2"/>
  <c r="CF80" i="2"/>
  <c r="BH80" i="2"/>
  <c r="AC80" i="2"/>
  <c r="CA80" i="2"/>
  <c r="AV80" i="2"/>
  <c r="G7" i="2"/>
  <c r="D15" i="2"/>
  <c r="D32" i="2"/>
  <c r="D35" i="2"/>
  <c r="G35" i="2"/>
  <c r="D52" i="2"/>
  <c r="S80" i="2"/>
  <c r="AS80" i="2"/>
  <c r="BL80" i="2"/>
  <c r="G4" i="2"/>
  <c r="G36" i="2"/>
  <c r="D36" i="2"/>
  <c r="D21" i="2"/>
  <c r="G24" i="2"/>
  <c r="D24" i="2"/>
  <c r="G17" i="2"/>
  <c r="D17" i="2"/>
  <c r="D37" i="2"/>
  <c r="G37" i="2"/>
  <c r="AO80" i="2"/>
  <c r="D55" i="2"/>
  <c r="G55" i="2"/>
  <c r="BM80" i="2"/>
  <c r="CB80" i="2"/>
  <c r="G9" i="2"/>
  <c r="D14" i="2"/>
  <c r="D6" i="2"/>
  <c r="G34" i="2"/>
  <c r="D34" i="2"/>
  <c r="D64" i="2"/>
  <c r="G64" i="2"/>
  <c r="D28" i="2"/>
  <c r="G28" i="2"/>
  <c r="Y80" i="2"/>
  <c r="D56" i="2"/>
  <c r="G29" i="2"/>
  <c r="D29" i="2"/>
  <c r="AW80" i="2"/>
  <c r="CJ80" i="2"/>
  <c r="BY80" i="2"/>
  <c r="G32" i="2"/>
  <c r="K3" i="2"/>
  <c r="G57" i="2"/>
  <c r="D57" i="2"/>
  <c r="G45" i="2"/>
  <c r="G63" i="2"/>
  <c r="G21" i="2"/>
  <c r="D26" i="2"/>
  <c r="D39" i="2"/>
  <c r="G40" i="2"/>
  <c r="D40" i="2"/>
  <c r="CK80" i="2"/>
  <c r="D31" i="2"/>
  <c r="G14" i="2"/>
  <c r="CP4" i="2" a="1"/>
  <c r="CP4" i="2" s="1"/>
  <c r="D30" i="2"/>
  <c r="D43" i="2"/>
  <c r="BO80" i="2"/>
  <c r="D49" i="2"/>
  <c r="G49" i="2"/>
  <c r="D62" i="2"/>
  <c r="G62" i="2"/>
  <c r="G15" i="2"/>
  <c r="G8" i="2"/>
  <c r="D10" i="2"/>
  <c r="D54" i="2" l="1"/>
  <c r="D61" i="2"/>
  <c r="D5" i="2"/>
  <c r="D53" i="2"/>
  <c r="D33" i="2"/>
  <c r="AY81" i="5"/>
  <c r="AY81" i="2"/>
  <c r="AM81" i="2"/>
  <c r="D25" i="2"/>
  <c r="D60" i="2"/>
  <c r="D58" i="2"/>
  <c r="J58" i="2" s="1"/>
  <c r="H58" i="2" s="1"/>
  <c r="I58" i="2" s="1"/>
  <c r="D51" i="2"/>
  <c r="D8" i="2"/>
  <c r="D11" i="2"/>
  <c r="J11" i="2" s="1"/>
  <c r="H11" i="2" s="1"/>
  <c r="I11" i="2" s="1"/>
  <c r="D48" i="2"/>
  <c r="F48" i="2" s="1"/>
  <c r="D38" i="2"/>
  <c r="D7" i="2"/>
  <c r="BR81" i="2"/>
  <c r="D13" i="2"/>
  <c r="E13" i="2" s="1"/>
  <c r="D23" i="2"/>
  <c r="F23" i="2" s="1"/>
  <c r="D41" i="2"/>
  <c r="E41" i="2" s="1"/>
  <c r="D22" i="2"/>
  <c r="J22" i="2" s="1"/>
  <c r="H22" i="2" s="1"/>
  <c r="I22" i="2" s="1"/>
  <c r="D9" i="2"/>
  <c r="AA81" i="2"/>
  <c r="D19" i="2"/>
  <c r="BV81" i="5"/>
  <c r="BV81" i="2"/>
  <c r="BP81" i="2"/>
  <c r="BP81" i="5"/>
  <c r="BX81" i="5"/>
  <c r="BX81" i="2"/>
  <c r="AH81" i="5"/>
  <c r="AH81" i="2"/>
  <c r="BC81" i="2"/>
  <c r="BC81" i="5"/>
  <c r="AN81" i="5"/>
  <c r="AN81" i="2"/>
  <c r="BD81" i="5"/>
  <c r="BD81" i="2"/>
  <c r="BU81" i="2"/>
  <c r="BU81" i="5"/>
  <c r="AR81" i="5"/>
  <c r="AR81" i="2"/>
  <c r="AP81" i="2"/>
  <c r="AP81" i="5"/>
  <c r="CE81" i="2"/>
  <c r="CE81" i="5"/>
  <c r="AD81" i="2"/>
  <c r="AD81" i="5"/>
  <c r="Y81" i="2"/>
  <c r="Y81" i="5"/>
  <c r="AV81" i="2"/>
  <c r="AV81" i="5"/>
  <c r="BB81" i="5"/>
  <c r="BB81" i="2"/>
  <c r="CI81" i="5"/>
  <c r="CI81" i="2"/>
  <c r="AU81" i="2"/>
  <c r="AU81" i="5"/>
  <c r="BI81" i="5"/>
  <c r="BI81" i="2"/>
  <c r="N81" i="2"/>
  <c r="N81" i="5"/>
  <c r="BK81" i="5"/>
  <c r="BK81" i="2"/>
  <c r="AE81" i="2"/>
  <c r="AE81" i="5"/>
  <c r="BT81" i="5"/>
  <c r="BT81" i="2"/>
  <c r="CA81" i="2"/>
  <c r="CA81" i="5"/>
  <c r="W81" i="5"/>
  <c r="W81" i="2"/>
  <c r="U81" i="5"/>
  <c r="U81" i="2"/>
  <c r="AF81" i="5"/>
  <c r="AF81" i="2"/>
  <c r="AC81" i="5"/>
  <c r="AC81" i="2"/>
  <c r="R81" i="5"/>
  <c r="R81" i="2"/>
  <c r="V81" i="2"/>
  <c r="V81" i="5"/>
  <c r="BH81" i="5"/>
  <c r="BH81" i="2"/>
  <c r="T81" i="2"/>
  <c r="T81" i="5"/>
  <c r="Q81" i="5"/>
  <c r="Q81" i="2"/>
  <c r="BZ81" i="2"/>
  <c r="BZ81" i="5"/>
  <c r="BY81" i="5"/>
  <c r="BY81" i="2"/>
  <c r="CF81" i="5"/>
  <c r="CF81" i="2"/>
  <c r="P81" i="2"/>
  <c r="P81" i="5"/>
  <c r="CG81" i="2"/>
  <c r="CG81" i="5"/>
  <c r="BA81" i="5"/>
  <c r="BA81" i="2"/>
  <c r="AB81" i="5"/>
  <c r="AB81" i="2"/>
  <c r="CJ81" i="2"/>
  <c r="CJ81" i="5"/>
  <c r="CB81" i="2"/>
  <c r="CB81" i="5"/>
  <c r="AW81" i="5"/>
  <c r="AW81" i="2"/>
  <c r="BM81" i="5"/>
  <c r="BM81" i="2"/>
  <c r="BS81" i="5"/>
  <c r="BS81" i="2"/>
  <c r="X81" i="5"/>
  <c r="X81" i="2"/>
  <c r="AX81" i="5"/>
  <c r="AX81" i="2"/>
  <c r="O81" i="2"/>
  <c r="O81" i="5"/>
  <c r="BO81" i="5"/>
  <c r="BO81" i="2"/>
  <c r="BL81" i="2"/>
  <c r="BL81" i="5"/>
  <c r="BF81" i="2"/>
  <c r="BF81" i="5"/>
  <c r="AS81" i="5"/>
  <c r="AS81" i="2"/>
  <c r="AJ81" i="5"/>
  <c r="AJ81" i="2"/>
  <c r="AK81" i="5"/>
  <c r="AK81" i="2"/>
  <c r="CK81" i="5"/>
  <c r="CK81" i="2"/>
  <c r="AO81" i="5"/>
  <c r="AO81" i="2"/>
  <c r="S81" i="5"/>
  <c r="S81" i="2"/>
  <c r="BN81" i="2"/>
  <c r="BN81" i="5"/>
  <c r="D3" i="2"/>
  <c r="F3" i="2" s="1"/>
  <c r="G3" i="2"/>
  <c r="J41" i="2"/>
  <c r="H41" i="2" s="1"/>
  <c r="I41" i="2" s="1"/>
  <c r="F41" i="2"/>
  <c r="E22" i="2"/>
  <c r="CS5" i="2"/>
  <c r="CS28" i="2"/>
  <c r="CS224" i="2"/>
  <c r="CS55" i="2"/>
  <c r="CS213" i="2"/>
  <c r="CS109" i="2"/>
  <c r="CS178" i="2"/>
  <c r="CS132" i="2"/>
  <c r="CS312" i="2"/>
  <c r="CS474" i="2"/>
  <c r="CS62" i="2"/>
  <c r="CS362" i="2"/>
  <c r="CS258" i="2"/>
  <c r="CS329" i="2"/>
  <c r="CS179" i="2"/>
  <c r="CS157" i="2"/>
  <c r="CS158" i="2"/>
  <c r="CS397" i="2"/>
  <c r="CS414" i="2"/>
  <c r="CS230" i="2"/>
  <c r="CS282" i="2"/>
  <c r="CS72" i="2"/>
  <c r="CS293" i="2"/>
  <c r="CS105" i="2"/>
  <c r="CS372" i="2"/>
  <c r="CS186" i="2"/>
  <c r="CS437" i="2"/>
  <c r="CS235" i="2"/>
  <c r="CS486" i="2"/>
  <c r="CS321" i="2"/>
  <c r="J21" i="2"/>
  <c r="H21" i="2" s="1"/>
  <c r="I21" i="2" s="1"/>
  <c r="E21" i="2"/>
  <c r="F21" i="2"/>
  <c r="CS192" i="2"/>
  <c r="CS292" i="2"/>
  <c r="CS66" i="2"/>
  <c r="CS323" i="2"/>
  <c r="CS166" i="2"/>
  <c r="CS417" i="2"/>
  <c r="CS248" i="2"/>
  <c r="CS483" i="2"/>
  <c r="CS304" i="2"/>
  <c r="CS236" i="2"/>
  <c r="CS26" i="2"/>
  <c r="CS165" i="2"/>
  <c r="CS46" i="2"/>
  <c r="CS59" i="2"/>
  <c r="CS476" i="2"/>
  <c r="CS250" i="2"/>
  <c r="CS316" i="2"/>
  <c r="CS127" i="2"/>
  <c r="CS128" i="2"/>
  <c r="CS398" i="2"/>
  <c r="CS214" i="2"/>
  <c r="CS465" i="2"/>
  <c r="CS266" i="2"/>
  <c r="CS60" i="2"/>
  <c r="CS277" i="2"/>
  <c r="CS356" i="2"/>
  <c r="CS170" i="2"/>
  <c r="CS421" i="2"/>
  <c r="CS470" i="2"/>
  <c r="CS305" i="2"/>
  <c r="E9" i="2"/>
  <c r="J9" i="2"/>
  <c r="H9" i="2" s="1"/>
  <c r="I9" i="2" s="1"/>
  <c r="F9" i="2"/>
  <c r="CS274" i="2"/>
  <c r="CS345" i="2"/>
  <c r="CS202" i="2"/>
  <c r="F31" i="2"/>
  <c r="E31" i="2"/>
  <c r="J31" i="2"/>
  <c r="H31" i="2" s="1"/>
  <c r="I31" i="2" s="1"/>
  <c r="J19" i="2"/>
  <c r="H19" i="2" s="1"/>
  <c r="I19" i="2" s="1"/>
  <c r="E19" i="2"/>
  <c r="F19" i="2"/>
  <c r="J47" i="2"/>
  <c r="H47" i="2" s="1"/>
  <c r="I47" i="2" s="1"/>
  <c r="F47" i="2"/>
  <c r="E47" i="2"/>
  <c r="CS24" i="2"/>
  <c r="CS268" i="2"/>
  <c r="CS269" i="2"/>
  <c r="CS195" i="2"/>
  <c r="CS225" i="2"/>
  <c r="CS332" i="2"/>
  <c r="CS280" i="2"/>
  <c r="CS399" i="2"/>
  <c r="CS114" i="2"/>
  <c r="CS125" i="2"/>
  <c r="CS480" i="2"/>
  <c r="CS290" i="2"/>
  <c r="CS379" i="2"/>
  <c r="CS239" i="2"/>
  <c r="CS210" i="2"/>
  <c r="CS211" i="2"/>
  <c r="CS429" i="2"/>
  <c r="CS446" i="2"/>
  <c r="CS253" i="2"/>
  <c r="CS71" i="2"/>
  <c r="CS314" i="2"/>
  <c r="CS104" i="2"/>
  <c r="CS325" i="2"/>
  <c r="CS137" i="2"/>
  <c r="CS404" i="2"/>
  <c r="CS218" i="2"/>
  <c r="CS469" i="2"/>
  <c r="CS262" i="2"/>
  <c r="CS76" i="2"/>
  <c r="CS359" i="2"/>
  <c r="CS145" i="2"/>
  <c r="CS190" i="2"/>
  <c r="CS466" i="2"/>
  <c r="CS364" i="2"/>
  <c r="CS276" i="2"/>
  <c r="CS306" i="2"/>
  <c r="CS129" i="2"/>
  <c r="CS96" i="2"/>
  <c r="CS182" i="2"/>
  <c r="CS138" i="2"/>
  <c r="CS41" i="2"/>
  <c r="CS54" i="2"/>
  <c r="CS335" i="2"/>
  <c r="CS261" i="2"/>
  <c r="CS20" i="2"/>
  <c r="CS85" i="2"/>
  <c r="CS208" i="2"/>
  <c r="CS219" i="2"/>
  <c r="J27" i="2"/>
  <c r="H27" i="2" s="1"/>
  <c r="I27" i="2" s="1"/>
  <c r="F27" i="2"/>
  <c r="E27" i="2"/>
  <c r="E66" i="2"/>
  <c r="F66" i="2"/>
  <c r="J66" i="2"/>
  <c r="H66" i="2" s="1"/>
  <c r="I66" i="2" s="1"/>
  <c r="F33" i="2"/>
  <c r="E33" i="2"/>
  <c r="J33" i="2"/>
  <c r="H33" i="2" s="1"/>
  <c r="I33" i="2" s="1"/>
  <c r="CS23" i="2"/>
  <c r="CS35" i="2"/>
  <c r="CS10" i="2"/>
  <c r="CS367" i="2"/>
  <c r="CS394" i="2"/>
  <c r="CS431" i="2"/>
  <c r="CS441" i="2"/>
  <c r="CS295" i="2"/>
  <c r="CS472" i="2"/>
  <c r="CS161" i="2"/>
  <c r="CS163" i="2"/>
  <c r="CS322" i="2"/>
  <c r="CS296" i="2"/>
  <c r="CS415" i="2"/>
  <c r="CS259" i="2"/>
  <c r="CS240" i="2"/>
  <c r="CS241" i="2"/>
  <c r="CS445" i="2"/>
  <c r="CS462" i="2"/>
  <c r="CS271" i="2"/>
  <c r="CS87" i="2"/>
  <c r="CS330" i="2"/>
  <c r="CS120" i="2"/>
  <c r="CS339" i="2"/>
  <c r="CS153" i="2"/>
  <c r="CS420" i="2"/>
  <c r="CS234" i="2"/>
  <c r="CS485" i="2"/>
  <c r="CS278" i="2"/>
  <c r="CS92" i="2"/>
  <c r="CS375" i="2"/>
  <c r="CS223" i="2"/>
  <c r="CS327" i="2"/>
  <c r="CS298" i="2"/>
  <c r="CS343" i="2"/>
  <c r="F29" i="2"/>
  <c r="J29" i="2"/>
  <c r="H29" i="2" s="1"/>
  <c r="I29" i="2" s="1"/>
  <c r="E29" i="2"/>
  <c r="J40" i="2"/>
  <c r="H40" i="2" s="1"/>
  <c r="I40" i="2" s="1"/>
  <c r="F40" i="2"/>
  <c r="E40" i="2"/>
  <c r="J55" i="2"/>
  <c r="H55" i="2" s="1"/>
  <c r="I55" i="2" s="1"/>
  <c r="F55" i="2"/>
  <c r="E55" i="2"/>
  <c r="F63" i="2"/>
  <c r="E63" i="2"/>
  <c r="J63" i="2"/>
  <c r="H63" i="2" s="1"/>
  <c r="I63" i="2" s="1"/>
  <c r="F44" i="2"/>
  <c r="E44" i="2"/>
  <c r="J44" i="2"/>
  <c r="H44" i="2" s="1"/>
  <c r="I44" i="2" s="1"/>
  <c r="F61" i="2"/>
  <c r="E61" i="2"/>
  <c r="J61" i="2"/>
  <c r="H61" i="2" s="1"/>
  <c r="I61" i="2" s="1"/>
  <c r="F20" i="2"/>
  <c r="E20" i="2"/>
  <c r="J20" i="2"/>
  <c r="H20" i="2" s="1"/>
  <c r="I20" i="2" s="1"/>
  <c r="CS101" i="2"/>
  <c r="CS6" i="2"/>
  <c r="CS17" i="2"/>
  <c r="CS30" i="2"/>
  <c r="CS27" i="2"/>
  <c r="CS110" i="2"/>
  <c r="CS38" i="2"/>
  <c r="CS463" i="2"/>
  <c r="CS77" i="2"/>
  <c r="CS196" i="2"/>
  <c r="CS205" i="2"/>
  <c r="CS336" i="2"/>
  <c r="CS344" i="2"/>
  <c r="CS456" i="2"/>
  <c r="CS265" i="2"/>
  <c r="CS311" i="2"/>
  <c r="CS279" i="2"/>
  <c r="CS461" i="2"/>
  <c r="CS478" i="2"/>
  <c r="CS287" i="2"/>
  <c r="CS103" i="2"/>
  <c r="CS338" i="2"/>
  <c r="CS136" i="2"/>
  <c r="CS355" i="2"/>
  <c r="CS169" i="2"/>
  <c r="CS436" i="2"/>
  <c r="CS255" i="2"/>
  <c r="CS501" i="2"/>
  <c r="CS294" i="2"/>
  <c r="CS108" i="2"/>
  <c r="CS391" i="2"/>
  <c r="CS222" i="2"/>
  <c r="CS300" i="2"/>
  <c r="CS57" i="2"/>
  <c r="CS373" i="2"/>
  <c r="CS12" i="2"/>
  <c r="J38" i="2"/>
  <c r="H38" i="2" s="1"/>
  <c r="I38" i="2" s="1"/>
  <c r="F38" i="2"/>
  <c r="E38" i="2"/>
  <c r="CS393" i="2"/>
  <c r="CS251" i="2"/>
  <c r="CS164" i="2"/>
  <c r="CS237" i="2"/>
  <c r="CS98" i="2"/>
  <c r="CS382" i="2"/>
  <c r="CS449" i="2"/>
  <c r="CS498" i="2"/>
  <c r="CS340" i="2"/>
  <c r="CS405" i="2"/>
  <c r="CS289" i="2"/>
  <c r="J14" i="2"/>
  <c r="H14" i="2" s="1"/>
  <c r="I14" i="2" s="1"/>
  <c r="E14" i="2"/>
  <c r="F14" i="2"/>
  <c r="CS115" i="2"/>
  <c r="CS301" i="2"/>
  <c r="CS428" i="2"/>
  <c r="CS430" i="2"/>
  <c r="CS88" i="2"/>
  <c r="CS388" i="2"/>
  <c r="J56" i="2"/>
  <c r="H56" i="2" s="1"/>
  <c r="I56" i="2" s="1"/>
  <c r="F56" i="2"/>
  <c r="E56" i="2"/>
  <c r="J42" i="2"/>
  <c r="H42" i="2" s="1"/>
  <c r="I42" i="2" s="1"/>
  <c r="F42" i="2"/>
  <c r="E42" i="2"/>
  <c r="F16" i="2"/>
  <c r="E16" i="2"/>
  <c r="J16" i="2"/>
  <c r="H16" i="2" s="1"/>
  <c r="I16" i="2" s="1"/>
  <c r="J53" i="2"/>
  <c r="H53" i="2" s="1"/>
  <c r="I53" i="2" s="1"/>
  <c r="F53" i="2"/>
  <c r="E53" i="2"/>
  <c r="CS133" i="2"/>
  <c r="CS18" i="2"/>
  <c r="CS34" i="2"/>
  <c r="CS37" i="2"/>
  <c r="CS32" i="2"/>
  <c r="CS174" i="2"/>
  <c r="CS44" i="2"/>
  <c r="CS444" i="2"/>
  <c r="CS112" i="2"/>
  <c r="CS242" i="2"/>
  <c r="CS243" i="2"/>
  <c r="CS377" i="2"/>
  <c r="CS378" i="2"/>
  <c r="CS490" i="2"/>
  <c r="CS291" i="2"/>
  <c r="CS317" i="2"/>
  <c r="CS285" i="2"/>
  <c r="CS477" i="2"/>
  <c r="CS494" i="2"/>
  <c r="CS303" i="2"/>
  <c r="CS119" i="2"/>
  <c r="CS354" i="2"/>
  <c r="CS152" i="2"/>
  <c r="CS371" i="2"/>
  <c r="CS185" i="2"/>
  <c r="CS452" i="2"/>
  <c r="CS267" i="2"/>
  <c r="CS65" i="2"/>
  <c r="CS310" i="2"/>
  <c r="CS124" i="2"/>
  <c r="CS407" i="2"/>
  <c r="CS4" i="2"/>
  <c r="CS9" i="2"/>
  <c r="CS25" i="2"/>
  <c r="CS48" i="2"/>
  <c r="CS95" i="2"/>
  <c r="CS226" i="2"/>
  <c r="CS63" i="2"/>
  <c r="CS333" i="2"/>
  <c r="CS159" i="2"/>
  <c r="CS257" i="2"/>
  <c r="CS361" i="2"/>
  <c r="CS411" i="2"/>
  <c r="CS412" i="2"/>
  <c r="CS284" i="2"/>
  <c r="CS297" i="2"/>
  <c r="CS324" i="2"/>
  <c r="CS351" i="2"/>
  <c r="CS493" i="2"/>
  <c r="CS70" i="2"/>
  <c r="CS319" i="2"/>
  <c r="CS135" i="2"/>
  <c r="CS370" i="2"/>
  <c r="CS168" i="2"/>
  <c r="CS387" i="2"/>
  <c r="CS201" i="2"/>
  <c r="CS468" i="2"/>
  <c r="CS283" i="2"/>
  <c r="CS75" i="2"/>
  <c r="CS326" i="2"/>
  <c r="CS140" i="2"/>
  <c r="CS423" i="2"/>
  <c r="J54" i="2"/>
  <c r="H54" i="2" s="1"/>
  <c r="I54" i="2" s="1"/>
  <c r="F54" i="2"/>
  <c r="E54" i="2"/>
  <c r="CS308" i="2"/>
  <c r="CS177" i="2"/>
  <c r="CS171" i="2"/>
  <c r="CS180" i="2"/>
  <c r="J26" i="2"/>
  <c r="H26" i="2" s="1"/>
  <c r="I26" i="2" s="1"/>
  <c r="F26" i="2"/>
  <c r="E26" i="2"/>
  <c r="J37" i="2"/>
  <c r="H37" i="2" s="1"/>
  <c r="I37" i="2" s="1"/>
  <c r="F37" i="2"/>
  <c r="E37" i="2"/>
  <c r="J4" i="2"/>
  <c r="H4" i="2" s="1"/>
  <c r="I4" i="2" s="1"/>
  <c r="E4" i="2"/>
  <c r="F4" i="2"/>
  <c r="E50" i="2"/>
  <c r="J50" i="2"/>
  <c r="H50" i="2" s="1"/>
  <c r="I50" i="2" s="1"/>
  <c r="F50" i="2"/>
  <c r="E5" i="2"/>
  <c r="J5" i="2"/>
  <c r="H5" i="2" s="1"/>
  <c r="I5" i="2" s="1"/>
  <c r="F5" i="2"/>
  <c r="CS14" i="2"/>
  <c r="CS13" i="2"/>
  <c r="CS39" i="2"/>
  <c r="CS83" i="2"/>
  <c r="CS221" i="2"/>
  <c r="CS432" i="2"/>
  <c r="CS130" i="2"/>
  <c r="CS396" i="2"/>
  <c r="CS194" i="2"/>
  <c r="CS313" i="2"/>
  <c r="CS427" i="2"/>
  <c r="CS447" i="2"/>
  <c r="CS448" i="2"/>
  <c r="CS346" i="2"/>
  <c r="CS347" i="2"/>
  <c r="CS348" i="2"/>
  <c r="CS392" i="2"/>
  <c r="CS270" i="2"/>
  <c r="CS86" i="2"/>
  <c r="CS337" i="2"/>
  <c r="CS151" i="2"/>
  <c r="CS386" i="2"/>
  <c r="CS184" i="2"/>
  <c r="CS403" i="2"/>
  <c r="CS217" i="2"/>
  <c r="CS484" i="2"/>
  <c r="CS299" i="2"/>
  <c r="CS91" i="2"/>
  <c r="CS342" i="2"/>
  <c r="CS156" i="2"/>
  <c r="CS439" i="2"/>
  <c r="F60" i="2"/>
  <c r="E60" i="2"/>
  <c r="J60" i="2"/>
  <c r="H60" i="2" s="1"/>
  <c r="I60" i="2" s="1"/>
  <c r="CS350" i="2"/>
  <c r="J36" i="2"/>
  <c r="H36" i="2" s="1"/>
  <c r="I36" i="2" s="1"/>
  <c r="F36" i="2"/>
  <c r="E36" i="2"/>
  <c r="J51" i="2"/>
  <c r="H51" i="2" s="1"/>
  <c r="I51" i="2" s="1"/>
  <c r="E51" i="2"/>
  <c r="F51" i="2"/>
  <c r="CS31" i="2"/>
  <c r="CS360" i="2"/>
  <c r="CS68" i="2"/>
  <c r="CS433" i="2"/>
  <c r="CS249" i="2"/>
  <c r="CS438" i="2"/>
  <c r="CS263" i="2"/>
  <c r="CS19" i="2"/>
  <c r="CS191" i="2"/>
  <c r="CS264" i="2"/>
  <c r="CS244" i="2"/>
  <c r="CS453" i="2"/>
  <c r="F28" i="2"/>
  <c r="E28" i="2"/>
  <c r="J28" i="2"/>
  <c r="H28" i="2" s="1"/>
  <c r="I28" i="2" s="1"/>
  <c r="J17" i="2"/>
  <c r="H17" i="2" s="1"/>
  <c r="I17" i="2" s="1"/>
  <c r="F17" i="2"/>
  <c r="E17" i="2"/>
  <c r="J35" i="2"/>
  <c r="H35" i="2" s="1"/>
  <c r="I35" i="2" s="1"/>
  <c r="E35" i="2"/>
  <c r="F35" i="2"/>
  <c r="J65" i="2"/>
  <c r="H65" i="2" s="1"/>
  <c r="I65" i="2" s="1"/>
  <c r="F65" i="2"/>
  <c r="E65" i="2"/>
  <c r="CS15" i="2"/>
  <c r="CS40" i="2"/>
  <c r="CS100" i="2"/>
  <c r="CS58" i="2"/>
  <c r="CS197" i="2"/>
  <c r="CS260" i="2"/>
  <c r="CS43" i="2"/>
  <c r="CS189" i="2"/>
  <c r="CS464" i="2"/>
  <c r="CS238" i="2"/>
  <c r="CS328" i="2"/>
  <c r="CS479" i="2"/>
  <c r="CS488" i="2"/>
  <c r="CS489" i="2"/>
  <c r="CS380" i="2"/>
  <c r="CS383" i="2"/>
  <c r="CS384" i="2"/>
  <c r="CS426" i="2"/>
  <c r="CS286" i="2"/>
  <c r="CS102" i="2"/>
  <c r="CS353" i="2"/>
  <c r="CS167" i="2"/>
  <c r="CS402" i="2"/>
  <c r="CS200" i="2"/>
  <c r="CS419" i="2"/>
  <c r="CS233" i="2"/>
  <c r="CS500" i="2"/>
  <c r="CS315" i="2"/>
  <c r="CS107" i="2"/>
  <c r="CS358" i="2"/>
  <c r="CS172" i="2"/>
  <c r="CS455" i="2"/>
  <c r="F49" i="2"/>
  <c r="E49" i="2"/>
  <c r="J49" i="2"/>
  <c r="H49" i="2" s="1"/>
  <c r="I49" i="2" s="1"/>
  <c r="CS376" i="2"/>
  <c r="CS82" i="2"/>
  <c r="CS122" i="2"/>
  <c r="J6" i="2"/>
  <c r="H6" i="2" s="1"/>
  <c r="I6" i="2" s="1"/>
  <c r="E6" i="2"/>
  <c r="F6" i="2"/>
  <c r="CS162" i="2"/>
  <c r="CS443" i="2"/>
  <c r="CS206" i="2"/>
  <c r="CS349" i="2"/>
  <c r="CS245" i="2"/>
  <c r="CS499" i="2"/>
  <c r="CS187" i="2"/>
  <c r="CS16" i="2"/>
  <c r="CS42" i="2"/>
  <c r="CS36" i="2"/>
  <c r="CS410" i="2"/>
  <c r="CS229" i="2"/>
  <c r="CS126" i="2"/>
  <c r="CS97" i="2"/>
  <c r="CS365" i="2"/>
  <c r="CS198" i="2"/>
  <c r="CS254" i="2"/>
  <c r="CS73" i="2"/>
  <c r="CS154" i="2"/>
  <c r="CS203" i="2"/>
  <c r="CS454" i="2"/>
  <c r="E30" i="2"/>
  <c r="J30" i="2"/>
  <c r="H30" i="2" s="1"/>
  <c r="I30" i="2" s="1"/>
  <c r="F30" i="2"/>
  <c r="CS53" i="2"/>
  <c r="CS408" i="2"/>
  <c r="CS149" i="2"/>
  <c r="CS89" i="2"/>
  <c r="F32" i="2"/>
  <c r="E32" i="2"/>
  <c r="J32" i="2"/>
  <c r="H32" i="2" s="1"/>
  <c r="I32" i="2" s="1"/>
  <c r="F18" i="2"/>
  <c r="E18" i="2"/>
  <c r="J18" i="2"/>
  <c r="H18" i="2" s="1"/>
  <c r="I18" i="2" s="1"/>
  <c r="J46" i="2"/>
  <c r="H46" i="2" s="1"/>
  <c r="I46" i="2" s="1"/>
  <c r="F46" i="2"/>
  <c r="E46" i="2"/>
  <c r="CS7" i="2"/>
  <c r="CS52" i="2"/>
  <c r="CS142" i="2"/>
  <c r="CS144" i="2"/>
  <c r="CS368" i="2"/>
  <c r="CS395" i="2"/>
  <c r="CS113" i="2"/>
  <c r="CS442" i="2"/>
  <c r="CS69" i="2"/>
  <c r="CS252" i="2"/>
  <c r="CS352" i="2"/>
  <c r="CS47" i="2"/>
  <c r="CS93" i="2"/>
  <c r="CS94" i="2"/>
  <c r="CS416" i="2"/>
  <c r="CS424" i="2"/>
  <c r="CS425" i="2"/>
  <c r="CS460" i="2"/>
  <c r="CS302" i="2"/>
  <c r="CS118" i="2"/>
  <c r="CS369" i="2"/>
  <c r="CS183" i="2"/>
  <c r="CS418" i="2"/>
  <c r="CS216" i="2"/>
  <c r="CS435" i="2"/>
  <c r="CS247" i="2"/>
  <c r="CS74" i="2"/>
  <c r="CS331" i="2"/>
  <c r="CS123" i="2"/>
  <c r="CS374" i="2"/>
  <c r="CS188" i="2"/>
  <c r="CS471" i="2"/>
  <c r="CS49" i="2"/>
  <c r="CS193" i="2"/>
  <c r="CS176" i="2"/>
  <c r="CS61" i="2"/>
  <c r="CS231" i="2"/>
  <c r="CS422" i="2"/>
  <c r="F58" i="2"/>
  <c r="E58" i="2"/>
  <c r="CS440" i="2"/>
  <c r="CS67" i="2"/>
  <c r="CS389" i="2"/>
  <c r="F43" i="2"/>
  <c r="E43" i="2"/>
  <c r="J43" i="2"/>
  <c r="H43" i="2" s="1"/>
  <c r="I43" i="2" s="1"/>
  <c r="E11" i="2"/>
  <c r="CS21" i="2"/>
  <c r="CS173" i="2"/>
  <c r="CS413" i="2"/>
  <c r="CS309" i="2"/>
  <c r="CS502" i="2"/>
  <c r="J10" i="2"/>
  <c r="H10" i="2" s="1"/>
  <c r="I10" i="2" s="1"/>
  <c r="E10" i="2"/>
  <c r="F10" i="2"/>
  <c r="E12" i="2"/>
  <c r="J12" i="2"/>
  <c r="H12" i="2" s="1"/>
  <c r="I12" i="2" s="1"/>
  <c r="F12" i="2"/>
  <c r="J62" i="2"/>
  <c r="H62" i="2" s="1"/>
  <c r="I62" i="2" s="1"/>
  <c r="E62" i="2"/>
  <c r="F62" i="2"/>
  <c r="F64" i="2"/>
  <c r="E64" i="2"/>
  <c r="J64" i="2"/>
  <c r="H64" i="2" s="1"/>
  <c r="I64" i="2" s="1"/>
  <c r="J24" i="2"/>
  <c r="H24" i="2" s="1"/>
  <c r="I24" i="2" s="1"/>
  <c r="F24" i="2"/>
  <c r="E24" i="2"/>
  <c r="J15" i="2"/>
  <c r="H15" i="2" s="1"/>
  <c r="I15" i="2" s="1"/>
  <c r="E15" i="2"/>
  <c r="F15" i="2"/>
  <c r="CS50" i="2"/>
  <c r="CS141" i="2"/>
  <c r="CS22" i="2"/>
  <c r="CS363" i="2"/>
  <c r="CS84" i="2"/>
  <c r="CS99" i="2"/>
  <c r="CS175" i="2"/>
  <c r="CS45" i="2"/>
  <c r="CS111" i="2"/>
  <c r="CS400" i="2"/>
  <c r="CS409" i="2"/>
  <c r="CS56" i="2"/>
  <c r="CS116" i="2"/>
  <c r="CS117" i="2"/>
  <c r="CS457" i="2"/>
  <c r="CS458" i="2"/>
  <c r="CS459" i="2"/>
  <c r="CS496" i="2"/>
  <c r="CS318" i="2"/>
  <c r="CS134" i="2"/>
  <c r="CS385" i="2"/>
  <c r="CS199" i="2"/>
  <c r="CS434" i="2"/>
  <c r="CS232" i="2"/>
  <c r="CS451" i="2"/>
  <c r="CS272" i="2"/>
  <c r="CS90" i="2"/>
  <c r="CS341" i="2"/>
  <c r="CS139" i="2"/>
  <c r="CS390" i="2"/>
  <c r="CS204" i="2"/>
  <c r="CS487" i="2"/>
  <c r="CS275" i="2"/>
  <c r="E45" i="2"/>
  <c r="F45" i="2"/>
  <c r="J45" i="2"/>
  <c r="H45" i="2" s="1"/>
  <c r="I45" i="2" s="1"/>
  <c r="CS143" i="2"/>
  <c r="CS228" i="2"/>
  <c r="CS207" i="2"/>
  <c r="CS366" i="2"/>
  <c r="CS482" i="2"/>
  <c r="CS320" i="2"/>
  <c r="CS273" i="2"/>
  <c r="J8" i="2"/>
  <c r="H8" i="2" s="1"/>
  <c r="I8" i="2" s="1"/>
  <c r="E8" i="2"/>
  <c r="F8" i="2"/>
  <c r="CS29" i="2"/>
  <c r="E7" i="2"/>
  <c r="J7" i="2"/>
  <c r="H7" i="2" s="1"/>
  <c r="I7" i="2" s="1"/>
  <c r="F7" i="2"/>
  <c r="CS51" i="2"/>
  <c r="CS80" i="2"/>
  <c r="CS79" i="2"/>
  <c r="CS209" i="2"/>
  <c r="CS497" i="2"/>
  <c r="CS121" i="2"/>
  <c r="CS256" i="2"/>
  <c r="E39" i="2"/>
  <c r="F39" i="2"/>
  <c r="J39" i="2"/>
  <c r="H39" i="2" s="1"/>
  <c r="I39" i="2" s="1"/>
  <c r="F52" i="2"/>
  <c r="J52" i="2"/>
  <c r="H52" i="2" s="1"/>
  <c r="I52" i="2" s="1"/>
  <c r="E52" i="2"/>
  <c r="J57" i="2"/>
  <c r="H57" i="2" s="1"/>
  <c r="I57" i="2" s="1"/>
  <c r="F57" i="2"/>
  <c r="E57" i="2"/>
  <c r="J34" i="2"/>
  <c r="H34" i="2" s="1"/>
  <c r="I34" i="2" s="1"/>
  <c r="F34" i="2"/>
  <c r="E34" i="2"/>
  <c r="J3" i="2"/>
  <c r="H3" i="2" s="1"/>
  <c r="E3" i="2"/>
  <c r="J59" i="2"/>
  <c r="H59" i="2" s="1"/>
  <c r="I59" i="2" s="1"/>
  <c r="E59" i="2"/>
  <c r="F59" i="2"/>
  <c r="E25" i="2"/>
  <c r="J25" i="2"/>
  <c r="H25" i="2" s="1"/>
  <c r="I25" i="2" s="1"/>
  <c r="F25" i="2"/>
  <c r="CS11" i="2"/>
  <c r="CS8" i="2"/>
  <c r="CS33" i="2"/>
  <c r="CS78" i="2"/>
  <c r="CS212" i="2"/>
  <c r="CS160" i="2"/>
  <c r="CS227" i="2"/>
  <c r="CS131" i="2"/>
  <c r="CS148" i="2"/>
  <c r="CS473" i="2"/>
  <c r="CS475" i="2"/>
  <c r="CS64" i="2"/>
  <c r="CS146" i="2"/>
  <c r="CS147" i="2"/>
  <c r="CS491" i="2"/>
  <c r="CS492" i="2"/>
  <c r="CS495" i="2"/>
  <c r="CS307" i="2"/>
  <c r="CS334" i="2"/>
  <c r="CS150" i="2"/>
  <c r="CS401" i="2"/>
  <c r="CS215" i="2"/>
  <c r="CS450" i="2"/>
  <c r="CS246" i="2"/>
  <c r="CS467" i="2"/>
  <c r="CS288" i="2"/>
  <c r="CS106" i="2"/>
  <c r="CS357" i="2"/>
  <c r="CS155" i="2"/>
  <c r="CS406" i="2"/>
  <c r="CS220" i="2"/>
  <c r="CS503" i="2"/>
  <c r="J48" i="2" l="1"/>
  <c r="H48" i="2" s="1"/>
  <c r="I48" i="2" s="1"/>
  <c r="F11" i="2"/>
  <c r="F22" i="2"/>
  <c r="E48" i="2"/>
  <c r="E23" i="2"/>
  <c r="J23" i="2"/>
  <c r="H23" i="2" s="1"/>
  <c r="I23" i="2" s="1"/>
  <c r="F13" i="2"/>
  <c r="J13" i="2"/>
  <c r="H13" i="2" s="1"/>
  <c r="I13" i="2" s="1"/>
  <c r="E79" i="2"/>
  <c r="I3" i="2"/>
  <c r="E81" i="2"/>
  <c r="E83" i="2" l="1"/>
  <c r="E85" i="2" a="1"/>
  <c r="E8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<sst xmlns="http://schemas.openxmlformats.org/spreadsheetml/2006/main" count="3849" uniqueCount="1406">
  <si>
    <t>Cash flows</t>
  </si>
  <si>
    <t>FITTED VISUALISATION</t>
  </si>
  <si>
    <t>AVG yield</t>
  </si>
  <si>
    <t>Maturity</t>
  </si>
  <si>
    <t>Coupon</t>
  </si>
  <si>
    <t>Error</t>
  </si>
  <si>
    <t>Abs Error</t>
  </si>
  <si>
    <t>Yield</t>
  </si>
  <si>
    <t>Yield Model</t>
  </si>
  <si>
    <t xml:space="preserve">Yield Error </t>
  </si>
  <si>
    <t>- prices</t>
  </si>
  <si>
    <t>Time discretization</t>
  </si>
  <si>
    <t>Long term spot</t>
  </si>
  <si>
    <t>Time decay</t>
  </si>
  <si>
    <t>First hump</t>
  </si>
  <si>
    <t>Second hump</t>
  </si>
  <si>
    <t>Total</t>
  </si>
  <si>
    <t xml:space="preserve">INITIAL VALUES </t>
  </si>
  <si>
    <t xml:space="preserve">SOLVER VALUES </t>
  </si>
  <si>
    <t>INITIAL RESULTS</t>
  </si>
  <si>
    <t>SOLVER RESULTS</t>
  </si>
  <si>
    <r>
      <t>b</t>
    </r>
    <r>
      <rPr>
        <vertAlign val="subscript"/>
        <sz val="11"/>
        <color theme="1"/>
        <rFont val="Symbol"/>
        <family val="1"/>
        <charset val="2"/>
      </rPr>
      <t>0</t>
    </r>
  </si>
  <si>
    <t>Mean abs error</t>
  </si>
  <si>
    <t>MAE (Price)</t>
  </si>
  <si>
    <t>r(t)</t>
  </si>
  <si>
    <t>FITTED</t>
  </si>
  <si>
    <t>Spot</t>
  </si>
  <si>
    <r>
      <t>b</t>
    </r>
    <r>
      <rPr>
        <vertAlign val="subscript"/>
        <sz val="11"/>
        <color theme="1"/>
        <rFont val="Symbol"/>
        <family val="1"/>
        <charset val="2"/>
      </rPr>
      <t>1</t>
    </r>
    <r>
      <rPr>
        <sz val="10"/>
        <rFont val="Arial"/>
        <family val="2"/>
      </rPr>
      <t/>
    </r>
  </si>
  <si>
    <t>d(t)</t>
  </si>
  <si>
    <t>Discount factor</t>
  </si>
  <si>
    <r>
      <t>b</t>
    </r>
    <r>
      <rPr>
        <vertAlign val="subscript"/>
        <sz val="11"/>
        <color theme="1"/>
        <rFont val="Symbol"/>
        <family val="1"/>
        <charset val="2"/>
      </rPr>
      <t>2</t>
    </r>
    <r>
      <rPr>
        <sz val="10"/>
        <rFont val="Arial"/>
        <family val="2"/>
      </rPr>
      <t/>
    </r>
  </si>
  <si>
    <t>RMSE (Price)</t>
  </si>
  <si>
    <t>f(t)</t>
  </si>
  <si>
    <t>Forward</t>
  </si>
  <si>
    <r>
      <t>b</t>
    </r>
    <r>
      <rPr>
        <vertAlign val="subscript"/>
        <sz val="11"/>
        <color theme="1"/>
        <rFont val="Symbol"/>
        <family val="1"/>
        <charset val="2"/>
      </rPr>
      <t>3</t>
    </r>
    <r>
      <rPr>
        <sz val="10"/>
        <rFont val="Arial"/>
        <family val="2"/>
      </rPr>
      <t/>
    </r>
  </si>
  <si>
    <t>Forward credit spread</t>
  </si>
  <si>
    <t>t1</t>
  </si>
  <si>
    <t>RMSE (Yield)</t>
  </si>
  <si>
    <t>t2</t>
  </si>
  <si>
    <t>MAE (yield)</t>
  </si>
  <si>
    <t>BO356982 Corp</t>
  </si>
  <si>
    <t>Toyota Motor Corp</t>
  </si>
  <si>
    <t>TOYOTA</t>
  </si>
  <si>
    <t>JP</t>
  </si>
  <si>
    <t>JPY</t>
  </si>
  <si>
    <t>18/03/2026</t>
  </si>
  <si>
    <t>FIXED</t>
  </si>
  <si>
    <t>BO3569825</t>
  </si>
  <si>
    <t>JP363340BM36</t>
  </si>
  <si>
    <t>A+</t>
  </si>
  <si>
    <t>12/03/2021</t>
  </si>
  <si>
    <t>BO356985 Corp</t>
  </si>
  <si>
    <t>27/03/2026</t>
  </si>
  <si>
    <t>BO3569858</t>
  </si>
  <si>
    <t>JP363340AM37</t>
  </si>
  <si>
    <t>#N/A N/A</t>
  </si>
  <si>
    <t>BO579315 Corp</t>
  </si>
  <si>
    <t>Toyota Finance Corp</t>
  </si>
  <si>
    <t>15/04/2026</t>
  </si>
  <si>
    <t>BO5793159</t>
  </si>
  <si>
    <t>JP363360BM49</t>
  </si>
  <si>
    <t>09/04/2021</t>
  </si>
  <si>
    <t>LW169500 Corp</t>
  </si>
  <si>
    <t>03/06/2026</t>
  </si>
  <si>
    <t>LW1695003</t>
  </si>
  <si>
    <t>JP363340AG68</t>
  </si>
  <si>
    <t>27/05/2016</t>
  </si>
  <si>
    <t>ZI885852 Corp</t>
  </si>
  <si>
    <t>13/10/2026</t>
  </si>
  <si>
    <t>ZI8858527</t>
  </si>
  <si>
    <t>JP363360APA1</t>
  </si>
  <si>
    <t>06/10/2023</t>
  </si>
  <si>
    <t>13/04/2026</t>
  </si>
  <si>
    <t>YT821868 Corp</t>
  </si>
  <si>
    <t>11/12/2026</t>
  </si>
  <si>
    <t>YT8218687</t>
  </si>
  <si>
    <t>JP363360AQQ5</t>
  </si>
  <si>
    <t>06/12/2024</t>
  </si>
  <si>
    <t>12/06/2026</t>
  </si>
  <si>
    <t>ZD637368 Corp</t>
  </si>
  <si>
    <t>09/04/2027</t>
  </si>
  <si>
    <t>ZD6373686</t>
  </si>
  <si>
    <t>JP363360AQ46</t>
  </si>
  <si>
    <t>05/04/2024</t>
  </si>
  <si>
    <t>10/04/2026</t>
  </si>
  <si>
    <t>AN666209 Corp</t>
  </si>
  <si>
    <t>02/06/2027</t>
  </si>
  <si>
    <t>AN6662091</t>
  </si>
  <si>
    <t>JP363340CH65</t>
  </si>
  <si>
    <t>26/05/2017</t>
  </si>
  <si>
    <t>02/06/2026</t>
  </si>
  <si>
    <t>BW601098 Corp</t>
  </si>
  <si>
    <t>BW6010985</t>
  </si>
  <si>
    <t>JP363340AN69</t>
  </si>
  <si>
    <t>27/05/2022</t>
  </si>
  <si>
    <t>YN599739 Corp</t>
  </si>
  <si>
    <t>22/07/2027</t>
  </si>
  <si>
    <t>YN5997393</t>
  </si>
  <si>
    <t>JP363360AR78</t>
  </si>
  <si>
    <t>15/07/2025</t>
  </si>
  <si>
    <t>22/07/2026</t>
  </si>
  <si>
    <t>AO295977 Corp</t>
  </si>
  <si>
    <t>23/07/2027</t>
  </si>
  <si>
    <t>AO2959770</t>
  </si>
  <si>
    <t>JP363360CH78</t>
  </si>
  <si>
    <t>14/07/2017</t>
  </si>
  <si>
    <t>24/07/2026</t>
  </si>
  <si>
    <t>YV792963 Corp</t>
  </si>
  <si>
    <t>08/10/2027</t>
  </si>
  <si>
    <t>YV7929636</t>
  </si>
  <si>
    <t>JP363360AQA9</t>
  </si>
  <si>
    <t>04/10/2024</t>
  </si>
  <si>
    <t>YK172992 Corp</t>
  </si>
  <si>
    <t>15/10/2027</t>
  </si>
  <si>
    <t>YK1729929</t>
  </si>
  <si>
    <t>JP363360CRA3</t>
  </si>
  <si>
    <t>10/10/2025</t>
  </si>
  <si>
    <t>17/04/2026</t>
  </si>
  <si>
    <t>BZ742454 Corp</t>
  </si>
  <si>
    <t>21/10/2027</t>
  </si>
  <si>
    <t>BZ7424543</t>
  </si>
  <si>
    <t>JP363360BNA4</t>
  </si>
  <si>
    <t>14/10/2022</t>
  </si>
  <si>
    <t>21/04/2026</t>
  </si>
  <si>
    <t>AP577034 Corp</t>
  </si>
  <si>
    <t>22/10/2027</t>
  </si>
  <si>
    <t>AP5770346</t>
  </si>
  <si>
    <t>JP363360CHA4</t>
  </si>
  <si>
    <t>13/10/2017</t>
  </si>
  <si>
    <t>24/04/2026</t>
  </si>
  <si>
    <t>YT967931 Corp</t>
  </si>
  <si>
    <t>21/01/2028</t>
  </si>
  <si>
    <t>YT9679317</t>
  </si>
  <si>
    <t>JP363360AR11</t>
  </si>
  <si>
    <t>17/01/2025</t>
  </si>
  <si>
    <t>23/07/2026</t>
  </si>
  <si>
    <t>ZK701649 Corp</t>
  </si>
  <si>
    <t>01/06/2028</t>
  </si>
  <si>
    <t>ZK7016494</t>
  </si>
  <si>
    <t>JP363340AP67</t>
  </si>
  <si>
    <t>26/05/2023</t>
  </si>
  <si>
    <t>01/06/2026</t>
  </si>
  <si>
    <t>YN599935 Corp</t>
  </si>
  <si>
    <t>21/07/2028</t>
  </si>
  <si>
    <t>YN5999357</t>
  </si>
  <si>
    <t>JP363360BR77</t>
  </si>
  <si>
    <t>ZI885869 Corp</t>
  </si>
  <si>
    <t>13/10/2028</t>
  </si>
  <si>
    <t>ZI8858691</t>
  </si>
  <si>
    <t>JP363360BPA9</t>
  </si>
  <si>
    <t>YK173548 Corp</t>
  </si>
  <si>
    <t>17/10/2028</t>
  </si>
  <si>
    <t>YK1735488</t>
  </si>
  <si>
    <t>JP363360DRA1</t>
  </si>
  <si>
    <t>AU925890 Corp</t>
  </si>
  <si>
    <t>23/10/2028</t>
  </si>
  <si>
    <t>AU9258909</t>
  </si>
  <si>
    <t>JP363360CJA0</t>
  </si>
  <si>
    <t>10/10/2018</t>
  </si>
  <si>
    <t>23/04/2026</t>
  </si>
  <si>
    <t>DA928584 Corp</t>
  </si>
  <si>
    <t>01/12/2028</t>
  </si>
  <si>
    <t>DA9285846</t>
  </si>
  <si>
    <t>JP363360ARQ3</t>
  </si>
  <si>
    <t>27/11/2025</t>
  </si>
  <si>
    <t>ZD637375 Corp</t>
  </si>
  <si>
    <t>11/04/2029</t>
  </si>
  <si>
    <t>ZD6373751</t>
  </si>
  <si>
    <t>JP363360BQ45</t>
  </si>
  <si>
    <t>ZS613802 Corp</t>
  </si>
  <si>
    <t>24/05/2029</t>
  </si>
  <si>
    <t>ZS6138029</t>
  </si>
  <si>
    <t>JP363340BK53</t>
  </si>
  <si>
    <t>17/05/2019</t>
  </si>
  <si>
    <t>22/05/2026</t>
  </si>
  <si>
    <t>YV793180 Corp</t>
  </si>
  <si>
    <t>10/10/2029</t>
  </si>
  <si>
    <t>YV7931806</t>
  </si>
  <si>
    <t>JP363360BQA7</t>
  </si>
  <si>
    <t>YT968038 Corp</t>
  </si>
  <si>
    <t>23/01/2030</t>
  </si>
  <si>
    <t>YT9680380</t>
  </si>
  <si>
    <t>JP363360BR10</t>
  </si>
  <si>
    <t>YN600126 Corp</t>
  </si>
  <si>
    <t>22/07/2030</t>
  </si>
  <si>
    <t>YN6001260</t>
  </si>
  <si>
    <t>JP363360CR76</t>
  </si>
  <si>
    <t>YL396232 Corp</t>
  </si>
  <si>
    <t>04/09/2030</t>
  </si>
  <si>
    <t>YL3962328</t>
  </si>
  <si>
    <t>JP363340BR98</t>
  </si>
  <si>
    <t>29/08/2025</t>
  </si>
  <si>
    <t>04/09/2026</t>
  </si>
  <si>
    <t>YK173563 Corp</t>
  </si>
  <si>
    <t>17/10/2030</t>
  </si>
  <si>
    <t>YK1735637</t>
  </si>
  <si>
    <t>JP363360ARA7</t>
  </si>
  <si>
    <t>BO356983 Corp</t>
  </si>
  <si>
    <t>18/03/2031</t>
  </si>
  <si>
    <t>BO3569833</t>
  </si>
  <si>
    <t>JP363340CM35</t>
  </si>
  <si>
    <t>YS631917 Corp</t>
  </si>
  <si>
    <t>23/01/2032</t>
  </si>
  <si>
    <t>YS6319174</t>
  </si>
  <si>
    <t>JP363360CR19</t>
  </si>
  <si>
    <t>BW601183 Corp</t>
  </si>
  <si>
    <t>02/06/2032</t>
  </si>
  <si>
    <t>BW6011835</t>
  </si>
  <si>
    <t>JP363340BN68</t>
  </si>
  <si>
    <t>YK943560 Corp</t>
  </si>
  <si>
    <t>15/10/2032</t>
  </si>
  <si>
    <t>YK9435602</t>
  </si>
  <si>
    <t>JP363360BRA5</t>
  </si>
  <si>
    <t>ZK701516 Corp</t>
  </si>
  <si>
    <t>01/06/2033</t>
  </si>
  <si>
    <t>ZK7015165</t>
  </si>
  <si>
    <t>JP363340BP66</t>
  </si>
  <si>
    <t>YL396238 Corp</t>
  </si>
  <si>
    <t>04/09/2035</t>
  </si>
  <si>
    <t>YL3962385</t>
  </si>
  <si>
    <t>JP363340AR99</t>
  </si>
  <si>
    <t>LW169503 Corp</t>
  </si>
  <si>
    <t>03/06/2036</t>
  </si>
  <si>
    <t>LW1695037</t>
  </si>
  <si>
    <t>JP363340BG67</t>
  </si>
  <si>
    <t>AN666227 Corp</t>
  </si>
  <si>
    <t>02/06/2037</t>
  </si>
  <si>
    <t>AN6662273</t>
  </si>
  <si>
    <t>JP363340DH64</t>
  </si>
  <si>
    <t>Instrument</t>
  </si>
  <si>
    <t>Name</t>
  </si>
  <si>
    <t>Ticker</t>
  </si>
  <si>
    <t>Country/Region</t>
  </si>
  <si>
    <t>Currency</t>
  </si>
  <si>
    <t>Coupon Type</t>
  </si>
  <si>
    <t>Coupon Frequency</t>
  </si>
  <si>
    <t>Ask Yield to Maturity</t>
  </si>
  <si>
    <t>Bid Yield to Maturity</t>
  </si>
  <si>
    <t>Ask Price</t>
  </si>
  <si>
    <t>Bid Price</t>
  </si>
  <si>
    <t>Identifier</t>
  </si>
  <si>
    <t>ISIN</t>
  </si>
  <si>
    <t>Bloomberg Composite Rating</t>
  </si>
  <si>
    <t>Announce</t>
  </si>
  <si>
    <t>Next Coupon Settle Date</t>
  </si>
  <si>
    <t>Time</t>
  </si>
  <si>
    <t>AVG Price</t>
  </si>
  <si>
    <t>ID</t>
  </si>
  <si>
    <t>years ago</t>
  </si>
  <si>
    <t>Accrued Interest</t>
  </si>
  <si>
    <t>Clean price</t>
  </si>
  <si>
    <t>full forward formula</t>
  </si>
  <si>
    <t>MAE (Yield)</t>
  </si>
  <si>
    <t>AVG price</t>
  </si>
  <si>
    <t>id</t>
  </si>
  <si>
    <t>BO997638 Corp</t>
  </si>
  <si>
    <t>Japan Government Five Year Bond</t>
  </si>
  <si>
    <t>JGB</t>
  </si>
  <si>
    <t>20/03/2026</t>
  </si>
  <si>
    <t>BO9976388</t>
  </si>
  <si>
    <t>JP1051471M45</t>
  </si>
  <si>
    <t>EF329501 Corp</t>
  </si>
  <si>
    <t>Japan Government Twenty Year Bond</t>
  </si>
  <si>
    <t>EF3295013</t>
  </si>
  <si>
    <t>JP1200851630</t>
  </si>
  <si>
    <t>EF381218 Corp</t>
  </si>
  <si>
    <t>EF3812189</t>
  </si>
  <si>
    <t>JP1200861647</t>
  </si>
  <si>
    <t>EF452796 Corp</t>
  </si>
  <si>
    <t>EF4527968</t>
  </si>
  <si>
    <t>JP1200871653</t>
  </si>
  <si>
    <t>JK298261 Corp</t>
  </si>
  <si>
    <t>Japan Government Ten Year Bond</t>
  </si>
  <si>
    <t>JK2982615</t>
  </si>
  <si>
    <t>JP1103421G35</t>
  </si>
  <si>
    <t>ZB137529 Corp</t>
  </si>
  <si>
    <t>Japan Government Two Year Bond</t>
  </si>
  <si>
    <t>01/04/2026</t>
  </si>
  <si>
    <t>ZB1375292</t>
  </si>
  <si>
    <t>JP1024591Q43</t>
  </si>
  <si>
    <t>ZB651229 Corp</t>
  </si>
  <si>
    <t>01/05/2026</t>
  </si>
  <si>
    <t>ZB6512295</t>
  </si>
  <si>
    <t>JP1024601Q58</t>
  </si>
  <si>
    <t>YX440521 Corp</t>
  </si>
  <si>
    <t>YX4405214</t>
  </si>
  <si>
    <t>JP1024611Q64</t>
  </si>
  <si>
    <t>BQ447894 Corp</t>
  </si>
  <si>
    <t>20/06/2026</t>
  </si>
  <si>
    <t>BQ4478948</t>
  </si>
  <si>
    <t>JP1051481M76</t>
  </si>
  <si>
    <t>NR</t>
  </si>
  <si>
    <t>EF500367 Corp</t>
  </si>
  <si>
    <t>EF5003670</t>
  </si>
  <si>
    <t>JP1200881660</t>
  </si>
  <si>
    <t>EF659299 Corp</t>
  </si>
  <si>
    <t>EF6592994</t>
  </si>
  <si>
    <t>JP1200891685</t>
  </si>
  <si>
    <t>LW316486 Corp</t>
  </si>
  <si>
    <t>LW3164867</t>
  </si>
  <si>
    <t>JP1103431G66</t>
  </si>
  <si>
    <t>YW041715 Corp</t>
  </si>
  <si>
    <t>01/07/2026</t>
  </si>
  <si>
    <t>YW0417157</t>
  </si>
  <si>
    <t>JP1024621Q70</t>
  </si>
  <si>
    <t>YW691926 Corp</t>
  </si>
  <si>
    <t>01/08/2026</t>
  </si>
  <si>
    <t>YW6919263</t>
  </si>
  <si>
    <t>JP1024631Q86</t>
  </si>
  <si>
    <t>YV477187 Corp</t>
  </si>
  <si>
    <t>01/09/2026</t>
  </si>
  <si>
    <t>YV4771874</t>
  </si>
  <si>
    <t>JP1024641Q92</t>
  </si>
  <si>
    <t>BR962540 Corp</t>
  </si>
  <si>
    <t>20/09/2026</t>
  </si>
  <si>
    <t>BR9625400</t>
  </si>
  <si>
    <t>JP1051491MA0</t>
  </si>
  <si>
    <t>EF715379 Corp</t>
  </si>
  <si>
    <t>EF7153796</t>
  </si>
  <si>
    <t>JP1200901690</t>
  </si>
  <si>
    <t>EF794306 Corp</t>
  </si>
  <si>
    <t>EF7943063</t>
  </si>
  <si>
    <t>JP12009116A6</t>
  </si>
  <si>
    <t>QZ413850 Corp</t>
  </si>
  <si>
    <t>QZ4138504</t>
  </si>
  <si>
    <t>JP1103441G98</t>
  </si>
  <si>
    <t>YU173621 Corp</t>
  </si>
  <si>
    <t>01/10/2026</t>
  </si>
  <si>
    <t>YU1736211</t>
  </si>
  <si>
    <t>JP1024651QA4</t>
  </si>
  <si>
    <t>YU844361 Corp</t>
  </si>
  <si>
    <t>01/11/2026</t>
  </si>
  <si>
    <t>YU8443613</t>
  </si>
  <si>
    <t>JP1024661QB1</t>
  </si>
  <si>
    <t>YT642248 Corp</t>
  </si>
  <si>
    <t>01/12/2026</t>
  </si>
  <si>
    <t>YT6422489</t>
  </si>
  <si>
    <t>JP1024671QC8</t>
  </si>
  <si>
    <t>AL516835 Corp</t>
  </si>
  <si>
    <t>20/12/2026</t>
  </si>
  <si>
    <t>AL5168359</t>
  </si>
  <si>
    <t>JP1103451GC0</t>
  </si>
  <si>
    <t>BT484763 Corp</t>
  </si>
  <si>
    <t>BT4847633</t>
  </si>
  <si>
    <t>JP1051501N14</t>
  </si>
  <si>
    <t>EG057459 Corp</t>
  </si>
  <si>
    <t>EG0574590</t>
  </si>
  <si>
    <t>JP12009216C0</t>
  </si>
  <si>
    <t>YS259033 Corp</t>
  </si>
  <si>
    <t>01/01/2027</t>
  </si>
  <si>
    <t>YS2590331</t>
  </si>
  <si>
    <t>JP1024681R19</t>
  </si>
  <si>
    <t>YR145899 Corp</t>
  </si>
  <si>
    <t>01/02/2027</t>
  </si>
  <si>
    <t>YR1458995</t>
  </si>
  <si>
    <t>JP1024691R25</t>
  </si>
  <si>
    <t>YR907955 Corp</t>
  </si>
  <si>
    <t>01/03/2027</t>
  </si>
  <si>
    <t>YR9079553</t>
  </si>
  <si>
    <t>JP1024701R31</t>
  </si>
  <si>
    <t>AM713129 Corp</t>
  </si>
  <si>
    <t>20/03/2027</t>
  </si>
  <si>
    <t>AM7131296</t>
  </si>
  <si>
    <t>JP1103461H35</t>
  </si>
  <si>
    <t>BV894033 Corp</t>
  </si>
  <si>
    <t>BV8940330</t>
  </si>
  <si>
    <t>JP1051511N46</t>
  </si>
  <si>
    <t>BX331425 Corp</t>
  </si>
  <si>
    <t>BX3314255</t>
  </si>
  <si>
    <t>JP1051521N69</t>
  </si>
  <si>
    <t>EG278595 Corp</t>
  </si>
  <si>
    <t>EG2785954</t>
  </si>
  <si>
    <t>JP1200931739</t>
  </si>
  <si>
    <t>EG396905 Corp</t>
  </si>
  <si>
    <t>EG3969052</t>
  </si>
  <si>
    <t>JP1200941746</t>
  </si>
  <si>
    <t>YQ865312 Corp</t>
  </si>
  <si>
    <t>01/04/2027</t>
  </si>
  <si>
    <t>YQ8653129</t>
  </si>
  <si>
    <t>JP1024711R47</t>
  </si>
  <si>
    <t>YP920263 Corp</t>
  </si>
  <si>
    <t>01/05/2027</t>
  </si>
  <si>
    <t>YP9202639</t>
  </si>
  <si>
    <t>JP1024721R52</t>
  </si>
  <si>
    <t>YN009853 Corp</t>
  </si>
  <si>
    <t>01/06/2027</t>
  </si>
  <si>
    <t>YN0098536</t>
  </si>
  <si>
    <t>JP1024731R68</t>
  </si>
  <si>
    <t>AN821370 Corp</t>
  </si>
  <si>
    <t>20/06/2027</t>
  </si>
  <si>
    <t>AN8213703</t>
  </si>
  <si>
    <t>JP1103471H66</t>
  </si>
  <si>
    <t>BX810244 Corp</t>
  </si>
  <si>
    <t>BX8102440</t>
  </si>
  <si>
    <t>JP1051531N75</t>
  </si>
  <si>
    <t>EG586429 Corp</t>
  </si>
  <si>
    <t>EG5864293</t>
  </si>
  <si>
    <t>JP1200951760</t>
  </si>
  <si>
    <t>EG780776 Corp</t>
  </si>
  <si>
    <t>EG7807761</t>
  </si>
  <si>
    <t>JP1200961785</t>
  </si>
  <si>
    <t>YN766681 Corp</t>
  </si>
  <si>
    <t>01/07/2027</t>
  </si>
  <si>
    <t>YN7666814</t>
  </si>
  <si>
    <t>JP1024741R74</t>
  </si>
  <si>
    <t>YM801404 Corp</t>
  </si>
  <si>
    <t>01/08/2027</t>
  </si>
  <si>
    <t>YM8014040</t>
  </si>
  <si>
    <t>JP1024751R89</t>
  </si>
  <si>
    <t>YL701515 Corp</t>
  </si>
  <si>
    <t>01/09/2027</t>
  </si>
  <si>
    <t>YL7015156</t>
  </si>
  <si>
    <t>JP1024761R95</t>
  </si>
  <si>
    <t>AP027592 Corp</t>
  </si>
  <si>
    <t>20/09/2027</t>
  </si>
  <si>
    <t>AP0275929</t>
  </si>
  <si>
    <t>JP1103481H98</t>
  </si>
  <si>
    <t>BZ743105 Corp</t>
  </si>
  <si>
    <t>BZ7431050</t>
  </si>
  <si>
    <t>JP1051541NA0</t>
  </si>
  <si>
    <t>EG857336 Corp</t>
  </si>
  <si>
    <t>EG8573362</t>
  </si>
  <si>
    <t>JP1200971792</t>
  </si>
  <si>
    <t>EH063365 Corp</t>
  </si>
  <si>
    <t>EH0633659</t>
  </si>
  <si>
    <t>JP12009817B7</t>
  </si>
  <si>
    <t>YK553774 Corp</t>
  </si>
  <si>
    <t>01/10/2027</t>
  </si>
  <si>
    <t>YK5537740</t>
  </si>
  <si>
    <t>JP1024771RA8</t>
  </si>
  <si>
    <t>YJ827109 Corp</t>
  </si>
  <si>
    <t>01/11/2027</t>
  </si>
  <si>
    <t>YJ8271092</t>
  </si>
  <si>
    <t>JP1024781RB5</t>
  </si>
  <si>
    <t>DA962213 Corp</t>
  </si>
  <si>
    <t>01/12/2027</t>
  </si>
  <si>
    <t>DA9622139</t>
  </si>
  <si>
    <t>JP1024791RC2</t>
  </si>
  <si>
    <t>AQ307103 Corp</t>
  </si>
  <si>
    <t>20/12/2027</t>
  </si>
  <si>
    <t>AQ3071034</t>
  </si>
  <si>
    <t>JP1103491HC4</t>
  </si>
  <si>
    <t>EH131379 Corp</t>
  </si>
  <si>
    <t>EH1313798</t>
  </si>
  <si>
    <t>JP12009917C3</t>
  </si>
  <si>
    <t>ZL113533 Corp</t>
  </si>
  <si>
    <t>ZL1135330</t>
  </si>
  <si>
    <t>JP1051561P27</t>
  </si>
  <si>
    <t>ZM445143 Corp</t>
  </si>
  <si>
    <t>ZM4451435</t>
  </si>
  <si>
    <t>JP1051551P11</t>
  </si>
  <si>
    <t>DC578379 Corp</t>
  </si>
  <si>
    <t>01/01/2028</t>
  </si>
  <si>
    <t>DC5783790</t>
  </si>
  <si>
    <t>JP1024801S13</t>
  </si>
  <si>
    <t>YI570831 Corp</t>
  </si>
  <si>
    <t>01/02/2028</t>
  </si>
  <si>
    <t>YI5708312</t>
  </si>
  <si>
    <t>JP1024811S29</t>
  </si>
  <si>
    <t>DF972719 Corp</t>
  </si>
  <si>
    <t>01/03/2028</t>
  </si>
  <si>
    <t>DF9727192</t>
  </si>
  <si>
    <t>JP1024821S35</t>
  </si>
  <si>
    <t>AR545005 Corp</t>
  </si>
  <si>
    <t>20/03/2028</t>
  </si>
  <si>
    <t>AR5450051</t>
  </si>
  <si>
    <t>JP1103501J35</t>
  </si>
  <si>
    <t>EH269031 Corp</t>
  </si>
  <si>
    <t>EH2690319</t>
  </si>
  <si>
    <t>JP1201001839</t>
  </si>
  <si>
    <t>EH385409 Corp</t>
  </si>
  <si>
    <t>EH3854096</t>
  </si>
  <si>
    <t>JP1201011853</t>
  </si>
  <si>
    <t>ZK140252 Corp</t>
  </si>
  <si>
    <t>ZK1402526</t>
  </si>
  <si>
    <t>JP1051571P41</t>
  </si>
  <si>
    <t>ZK645188 Corp</t>
  </si>
  <si>
    <t>ZK6451882</t>
  </si>
  <si>
    <t>JP1051581P56</t>
  </si>
  <si>
    <t>AT427280 Corp</t>
  </si>
  <si>
    <t>20/06/2028</t>
  </si>
  <si>
    <t>AT4272809</t>
  </si>
  <si>
    <t>JP1103511J74</t>
  </si>
  <si>
    <t>EH423708 Corp</t>
  </si>
  <si>
    <t>EH4237085</t>
  </si>
  <si>
    <t>JP1201021860</t>
  </si>
  <si>
    <t>EH482900 Corp</t>
  </si>
  <si>
    <t>EH4829006</t>
  </si>
  <si>
    <t>JP1201031877</t>
  </si>
  <si>
    <t>EH528555 Corp</t>
  </si>
  <si>
    <t>EH5285554</t>
  </si>
  <si>
    <t>JP1201041884</t>
  </si>
  <si>
    <t>ZI391344 Corp</t>
  </si>
  <si>
    <t>ZI3913442</t>
  </si>
  <si>
    <t>JP1051601P86</t>
  </si>
  <si>
    <t>ZI861660 Corp</t>
  </si>
  <si>
    <t>ZI8616602</t>
  </si>
  <si>
    <t>JP1051611P92</t>
  </si>
  <si>
    <t>ZJ741523 Corp</t>
  </si>
  <si>
    <t>ZJ7415236</t>
  </si>
  <si>
    <t>JP1051591P70</t>
  </si>
  <si>
    <t>AU788839 Corp</t>
  </si>
  <si>
    <t>20/09/2028</t>
  </si>
  <si>
    <t>AU7888392</t>
  </si>
  <si>
    <t>JP1103521JA8</t>
  </si>
  <si>
    <t>EH562271 Corp</t>
  </si>
  <si>
    <t>EH5622715</t>
  </si>
  <si>
    <t>JP1201051891</t>
  </si>
  <si>
    <t>EH606623 Corp</t>
  </si>
  <si>
    <t>EH6066235</t>
  </si>
  <si>
    <t>JP12010618A8</t>
  </si>
  <si>
    <t>ZG134466 Corp</t>
  </si>
  <si>
    <t>ZG1344669</t>
  </si>
  <si>
    <t>JP1051631PB2</t>
  </si>
  <si>
    <t>ZH437639 Corp</t>
  </si>
  <si>
    <t>ZH4376393</t>
  </si>
  <si>
    <t>JP1051621PA5</t>
  </si>
  <si>
    <t>AW566680 Corp</t>
  </si>
  <si>
    <t>20/12/2028</t>
  </si>
  <si>
    <t>AW5666804</t>
  </si>
  <si>
    <t>JP1103531K10</t>
  </si>
  <si>
    <t>EH660472 Corp</t>
  </si>
  <si>
    <t>EH6604720</t>
  </si>
  <si>
    <t>JP12010718C2</t>
  </si>
  <si>
    <t>EH703406 Corp</t>
  </si>
  <si>
    <t>EH7034067</t>
  </si>
  <si>
    <t>JP1201081914</t>
  </si>
  <si>
    <t>ZD338443 Corp</t>
  </si>
  <si>
    <t>ZD3384439</t>
  </si>
  <si>
    <t>JP1470011Q24</t>
  </si>
  <si>
    <t>ZD670307 Corp</t>
  </si>
  <si>
    <t>ZD6703072</t>
  </si>
  <si>
    <t>JP1051661Q33</t>
  </si>
  <si>
    <t>ZF360535 Corp</t>
  </si>
  <si>
    <t>ZF3605358</t>
  </si>
  <si>
    <t>JP1051641Q12</t>
  </si>
  <si>
    <t>ZF953600 Corp</t>
  </si>
  <si>
    <t>ZF9536003</t>
  </si>
  <si>
    <t>JP1051651Q27</t>
  </si>
  <si>
    <t>AX991345 Corp</t>
  </si>
  <si>
    <t>20/03/2029</t>
  </si>
  <si>
    <t>AX9913457</t>
  </si>
  <si>
    <t>JP1103541K42</t>
  </si>
  <si>
    <t>EH761125 Corp</t>
  </si>
  <si>
    <t>EH7611252</t>
  </si>
  <si>
    <t>JP1201091939</t>
  </si>
  <si>
    <t>EH799588 Corp</t>
  </si>
  <si>
    <t>EH7995887</t>
  </si>
  <si>
    <t>JP1201101944</t>
  </si>
  <si>
    <t>YX094761 Corp</t>
  </si>
  <si>
    <t>YX0947615</t>
  </si>
  <si>
    <t>JP1051681Q54</t>
  </si>
  <si>
    <t>YX891742 Corp</t>
  </si>
  <si>
    <t>YX8917420</t>
  </si>
  <si>
    <t>JP1051691Q60</t>
  </si>
  <si>
    <t>ZB309355 Corp</t>
  </si>
  <si>
    <t>ZB3093554</t>
  </si>
  <si>
    <t>JP1051671Q49</t>
  </si>
  <si>
    <t>AZ459860 Corp</t>
  </si>
  <si>
    <t>20/06/2029</t>
  </si>
  <si>
    <t>AZ4598605</t>
  </si>
  <si>
    <t>JP1103551K72</t>
  </si>
  <si>
    <t>EH871549 Corp</t>
  </si>
  <si>
    <t>EH8715490</t>
  </si>
  <si>
    <t>JP1201111968</t>
  </si>
  <si>
    <t>EH914171 Corp</t>
  </si>
  <si>
    <t>EH9141712</t>
  </si>
  <si>
    <t>JP1201121975</t>
  </si>
  <si>
    <t>YV146917 Corp</t>
  </si>
  <si>
    <t>YV1469175</t>
  </si>
  <si>
    <t>JP1051711Q82</t>
  </si>
  <si>
    <t>YV698156 Corp</t>
  </si>
  <si>
    <t>YV6981562</t>
  </si>
  <si>
    <t>JP1051721Q98</t>
  </si>
  <si>
    <t>YW286965 Corp</t>
  </si>
  <si>
    <t>YW2869652</t>
  </si>
  <si>
    <t>JP1051701Q76</t>
  </si>
  <si>
    <t>YW503765 Corp</t>
  </si>
  <si>
    <t>YW5037653</t>
  </si>
  <si>
    <t>JP1470021Q71</t>
  </si>
  <si>
    <t>EC174534 Corp</t>
  </si>
  <si>
    <t>Japan Government Thirty Year Bond</t>
  </si>
  <si>
    <t>20/09/2029</t>
  </si>
  <si>
    <t>EC1745347</t>
  </si>
  <si>
    <t>JP1300011W09</t>
  </si>
  <si>
    <t>EH975344 Corp</t>
  </si>
  <si>
    <t>EH9753441</t>
  </si>
  <si>
    <t>JP1201131990</t>
  </si>
  <si>
    <t>YT301966 Corp</t>
  </si>
  <si>
    <t>YT3019668</t>
  </si>
  <si>
    <t>JP1051741QB7</t>
  </si>
  <si>
    <t>YU433144 Corp</t>
  </si>
  <si>
    <t>YU4331440</t>
  </si>
  <si>
    <t>JP1051731QA0</t>
  </si>
  <si>
    <t>ZR885925 Corp</t>
  </si>
  <si>
    <t>ZR8859251</t>
  </si>
  <si>
    <t>JP1103561KA2</t>
  </si>
  <si>
    <t>EI083545 Corp</t>
  </si>
  <si>
    <t>20/12/2029</t>
  </si>
  <si>
    <t>EI0835450</t>
  </si>
  <si>
    <t>JP12011419C6</t>
  </si>
  <si>
    <t>EI159052 Corp</t>
  </si>
  <si>
    <t>EI1590526</t>
  </si>
  <si>
    <t>JP1201151A21</t>
  </si>
  <si>
    <t>YQ248343 Corp</t>
  </si>
  <si>
    <t>YQ2483432</t>
  </si>
  <si>
    <t>JP1051771R39</t>
  </si>
  <si>
    <t>YR543118 Corp</t>
  </si>
  <si>
    <t>YR5431188</t>
  </si>
  <si>
    <t>JP1051761R23</t>
  </si>
  <si>
    <t>YS632004 Corp</t>
  </si>
  <si>
    <t>YS6320040</t>
  </si>
  <si>
    <t>JP1051751R17</t>
  </si>
  <si>
    <t>ZP316570 Corp</t>
  </si>
  <si>
    <t>ZP3165708</t>
  </si>
  <si>
    <t>JP1103571L10</t>
  </si>
  <si>
    <t>EC222031 Corp</t>
  </si>
  <si>
    <t>20/02/2030</t>
  </si>
  <si>
    <t>EC2220316</t>
  </si>
  <si>
    <t>JP1300021001</t>
  </si>
  <si>
    <t>BH527948 Corp</t>
  </si>
  <si>
    <t>20/03/2030</t>
  </si>
  <si>
    <t>BH5279485</t>
  </si>
  <si>
    <t>JP1103581L42</t>
  </si>
  <si>
    <t>EI190878 Corp</t>
  </si>
  <si>
    <t>EI1908785</t>
  </si>
  <si>
    <t>JP1201161A37</t>
  </si>
  <si>
    <t>EI232143 Corp</t>
  </si>
  <si>
    <t>EI2321434</t>
  </si>
  <si>
    <t>JP1201171A43</t>
  </si>
  <si>
    <t>YP408001 Corp</t>
  </si>
  <si>
    <t>YP4080014</t>
  </si>
  <si>
    <t>JP1051781R45</t>
  </si>
  <si>
    <t>EC256531 Corp</t>
  </si>
  <si>
    <t>20/05/2030</t>
  </si>
  <si>
    <t>EC2565314</t>
  </si>
  <si>
    <t>JP1300031000</t>
  </si>
  <si>
    <t>BK340998 Corp</t>
  </si>
  <si>
    <t>20/06/2030</t>
  </si>
  <si>
    <t>BK3409988</t>
  </si>
  <si>
    <t>JP1103591L73</t>
  </si>
  <si>
    <t>EI290341 Corp</t>
  </si>
  <si>
    <t>EI2903413</t>
  </si>
  <si>
    <t>JP1201181A66</t>
  </si>
  <si>
    <t>EI332542 Corp</t>
  </si>
  <si>
    <t>EI3325426</t>
  </si>
  <si>
    <t>JP1201191A72</t>
  </si>
  <si>
    <t>EI385485 Corp</t>
  </si>
  <si>
    <t>EI3854854</t>
  </si>
  <si>
    <t>JP1201201A88</t>
  </si>
  <si>
    <t>YK032880 Corp</t>
  </si>
  <si>
    <t>YK0328806</t>
  </si>
  <si>
    <t>JP1051801R90</t>
  </si>
  <si>
    <t>YM113944 Corp</t>
  </si>
  <si>
    <t>YM1139448</t>
  </si>
  <si>
    <t>JP1051791R76</t>
  </si>
  <si>
    <t>YM377386 Corp</t>
  </si>
  <si>
    <t>YM3773863</t>
  </si>
  <si>
    <t>JP1470031R78</t>
  </si>
  <si>
    <t>DC209344 Corp</t>
  </si>
  <si>
    <t>20/09/2030</t>
  </si>
  <si>
    <t>DC2093441</t>
  </si>
  <si>
    <t>JP1051821RC3</t>
  </si>
  <si>
    <t>EI404063 Corp</t>
  </si>
  <si>
    <t>EI4040636</t>
  </si>
  <si>
    <t>JP1201211A94</t>
  </si>
  <si>
    <t>EI444310 Corp</t>
  </si>
  <si>
    <t>EI4443103</t>
  </si>
  <si>
    <t>JP1201221AA5</t>
  </si>
  <si>
    <t>YK941325 Corp</t>
  </si>
  <si>
    <t>YK9413252</t>
  </si>
  <si>
    <t>JP1051811RA8</t>
  </si>
  <si>
    <t>ZO739535 Corp</t>
  </si>
  <si>
    <t>ZO7395353</t>
  </si>
  <si>
    <t>JP1103601LA4</t>
  </si>
  <si>
    <t>EC306656 Corp</t>
  </si>
  <si>
    <t>20/11/2030</t>
  </si>
  <si>
    <t>EC3066569</t>
  </si>
  <si>
    <t>JP1300041009</t>
  </si>
  <si>
    <t>BN361059 Corp</t>
  </si>
  <si>
    <t>20/12/2030</t>
  </si>
  <si>
    <t>BN3610597</t>
  </si>
  <si>
    <t>JP1103611M11</t>
  </si>
  <si>
    <t>EI513049 Corp</t>
  </si>
  <si>
    <t>EI5130493</t>
  </si>
  <si>
    <t>JP1201231AC0</t>
  </si>
  <si>
    <t>EI587608 Corp</t>
  </si>
  <si>
    <t>EI5876087</t>
  </si>
  <si>
    <t>JP1201241B22</t>
  </si>
  <si>
    <t>YI023856 Corp</t>
  </si>
  <si>
    <t>YI0238562</t>
  </si>
  <si>
    <t>JP1051831S10</t>
  </si>
  <si>
    <t>YI394740 Corp</t>
  </si>
  <si>
    <t>YI3947409</t>
  </si>
  <si>
    <t>JP1470041S18</t>
  </si>
  <si>
    <t>BO911343 Corp</t>
  </si>
  <si>
    <t>20/03/2031</t>
  </si>
  <si>
    <t>BO9113438</t>
  </si>
  <si>
    <t>JP1103621M43</t>
  </si>
  <si>
    <t>EI613256 Corp</t>
  </si>
  <si>
    <t>EI6132563</t>
  </si>
  <si>
    <t>JP1201251B37</t>
  </si>
  <si>
    <t>EI653529 Corp</t>
  </si>
  <si>
    <t>EI6535294</t>
  </si>
  <si>
    <t>JP1201261B43</t>
  </si>
  <si>
    <t>EI692405 Corp</t>
  </si>
  <si>
    <t>EI6924050</t>
  </si>
  <si>
    <t>JP1201271B58</t>
  </si>
  <si>
    <t>EC387594 Corp</t>
  </si>
  <si>
    <t>20/05/2031</t>
  </si>
  <si>
    <t>EC3875944</t>
  </si>
  <si>
    <t>JP1300051156</t>
  </si>
  <si>
    <t>BQ348089 Corp</t>
  </si>
  <si>
    <t>20/06/2031</t>
  </si>
  <si>
    <t>BQ3480895</t>
  </si>
  <si>
    <t>JP1103631M74</t>
  </si>
  <si>
    <t>EI713861 Corp</t>
  </si>
  <si>
    <t>EI7138619</t>
  </si>
  <si>
    <t>JP1201281B64</t>
  </si>
  <si>
    <t>EI795310 Corp</t>
  </si>
  <si>
    <t>EI7953108</t>
  </si>
  <si>
    <t>JP1201291B88</t>
  </si>
  <si>
    <t>BR788662 Corp</t>
  </si>
  <si>
    <t>20/09/2031</t>
  </si>
  <si>
    <t>BR7886624</t>
  </si>
  <si>
    <t>JP1103641MA8</t>
  </si>
  <si>
    <t>EI813196 Corp</t>
  </si>
  <si>
    <t>EI8131969</t>
  </si>
  <si>
    <t>JP1201301B94</t>
  </si>
  <si>
    <t>EI886396 Corp</t>
  </si>
  <si>
    <t>EI8863967</t>
  </si>
  <si>
    <t>JP1201311BB0</t>
  </si>
  <si>
    <t>EC474539 Corp</t>
  </si>
  <si>
    <t>20/11/2031</t>
  </si>
  <si>
    <t>EC4745393</t>
  </si>
  <si>
    <t>JP13000611B1</t>
  </si>
  <si>
    <t>BT330618 Corp</t>
  </si>
  <si>
    <t>20/12/2031</t>
  </si>
  <si>
    <t>BT3306185</t>
  </si>
  <si>
    <t>JP1103651N11</t>
  </si>
  <si>
    <t>EI910474 Corp</t>
  </si>
  <si>
    <t>EI9104742</t>
  </si>
  <si>
    <t>JP1201321BC7</t>
  </si>
  <si>
    <t>EJ001484 Corp</t>
  </si>
  <si>
    <t>EJ0014849</t>
  </si>
  <si>
    <t>JP1201331C14</t>
  </si>
  <si>
    <t>BV737650 Corp</t>
  </si>
  <si>
    <t>20/03/2032</t>
  </si>
  <si>
    <t>BV7376502</t>
  </si>
  <si>
    <t>JP1103661N43</t>
  </si>
  <si>
    <t>EJ096338 Corp</t>
  </si>
  <si>
    <t>EJ0963383</t>
  </si>
  <si>
    <t>JP1201341C38</t>
  </si>
  <si>
    <t>EJ146116 Corp</t>
  </si>
  <si>
    <t>EJ1461163</t>
  </si>
  <si>
    <t>JP1201351C43</t>
  </si>
  <si>
    <t>EJ213627 Corp</t>
  </si>
  <si>
    <t>EJ2136277</t>
  </si>
  <si>
    <t>JP1201361C58</t>
  </si>
  <si>
    <t>EC565086 Corp</t>
  </si>
  <si>
    <t>20/05/2032</t>
  </si>
  <si>
    <t>EC5650865</t>
  </si>
  <si>
    <t>JP1300071253</t>
  </si>
  <si>
    <t>BX625748 Corp</t>
  </si>
  <si>
    <t>20/06/2032</t>
  </si>
  <si>
    <t>BX6257485</t>
  </si>
  <si>
    <t>JP1103671N74</t>
  </si>
  <si>
    <t>EJ239794 Corp</t>
  </si>
  <si>
    <t>EJ2397945</t>
  </si>
  <si>
    <t>JP1201371C64</t>
  </si>
  <si>
    <t>EJ300145 Corp</t>
  </si>
  <si>
    <t>EJ3001454</t>
  </si>
  <si>
    <t>JP1201381C70</t>
  </si>
  <si>
    <t>EJ336551 Corp</t>
  </si>
  <si>
    <t>EJ3365511</t>
  </si>
  <si>
    <t>JP1201391C86</t>
  </si>
  <si>
    <t>BZ503564 Corp</t>
  </si>
  <si>
    <t>20/09/2032</t>
  </si>
  <si>
    <t>BZ5035648</t>
  </si>
  <si>
    <t>JP1103681NA2</t>
  </si>
  <si>
    <t>EJ363340 Corp</t>
  </si>
  <si>
    <t>EJ3633405</t>
  </si>
  <si>
    <t>JP1201401C92</t>
  </si>
  <si>
    <t>EC748607 Corp</t>
  </si>
  <si>
    <t>22/11/2032</t>
  </si>
  <si>
    <t>EC7486078</t>
  </si>
  <si>
    <t>JP13000812B5</t>
  </si>
  <si>
    <t>EC820426 Corp</t>
  </si>
  <si>
    <t>20/12/2032</t>
  </si>
  <si>
    <t>EC8204264</t>
  </si>
  <si>
    <t>JP1300091319</t>
  </si>
  <si>
    <t>EJ488345 Corp</t>
  </si>
  <si>
    <t>EJ4883454</t>
  </si>
  <si>
    <t>JP1201411CC4</t>
  </si>
  <si>
    <t>EJ565915 Corp</t>
  </si>
  <si>
    <t>EJ5659150</t>
  </si>
  <si>
    <t>JP1201421D22</t>
  </si>
  <si>
    <t>ZM259327 Corp</t>
  </si>
  <si>
    <t>ZM2593279</t>
  </si>
  <si>
    <t>JP1103691P11</t>
  </si>
  <si>
    <t>EC974778 Corp</t>
  </si>
  <si>
    <t>20/03/2033</t>
  </si>
  <si>
    <t>EC9747782</t>
  </si>
  <si>
    <t>JP1300101357</t>
  </si>
  <si>
    <t>EJ593960 Corp</t>
  </si>
  <si>
    <t>EJ5939602</t>
  </si>
  <si>
    <t>JP1201431D38</t>
  </si>
  <si>
    <t>EJ643211 Corp</t>
  </si>
  <si>
    <t>EJ6432110</t>
  </si>
  <si>
    <t>JP1201441D44</t>
  </si>
  <si>
    <t>ZK039857 Corp</t>
  </si>
  <si>
    <t>ZK0398576</t>
  </si>
  <si>
    <t>JP1103701P43</t>
  </si>
  <si>
    <t>ED067043 Corp</t>
  </si>
  <si>
    <t>20/06/2033</t>
  </si>
  <si>
    <t>ED0670437</t>
  </si>
  <si>
    <t>JP1300111372</t>
  </si>
  <si>
    <t>EJ724840 Corp</t>
  </si>
  <si>
    <t>EJ7248408</t>
  </si>
  <si>
    <t>JP1201451D66</t>
  </si>
  <si>
    <t>ZJ604342 Corp</t>
  </si>
  <si>
    <t>ZJ6043427</t>
  </si>
  <si>
    <t>JP1103711P74</t>
  </si>
  <si>
    <t>ED216135 Corp</t>
  </si>
  <si>
    <t>20/09/2033</t>
  </si>
  <si>
    <t>ED2161351</t>
  </si>
  <si>
    <t>JP13001213B5</t>
  </si>
  <si>
    <t>EJ843439 Corp</t>
  </si>
  <si>
    <t>EJ8434395</t>
  </si>
  <si>
    <t>JP1201461D98</t>
  </si>
  <si>
    <t>ZH264747 Corp</t>
  </si>
  <si>
    <t>ZH2647472</t>
  </si>
  <si>
    <t>JP1103721PA1</t>
  </si>
  <si>
    <t>ED335706 Corp</t>
  </si>
  <si>
    <t>20/12/2033</t>
  </si>
  <si>
    <t>ED3357065</t>
  </si>
  <si>
    <t>JP1300131420</t>
  </si>
  <si>
    <t>EJ994396 Corp</t>
  </si>
  <si>
    <t>EJ9943964</t>
  </si>
  <si>
    <t>JP1201471DC6</t>
  </si>
  <si>
    <t>ZD039327 Corp</t>
  </si>
  <si>
    <t>ZD0393276</t>
  </si>
  <si>
    <t>JP1480011Q23</t>
  </si>
  <si>
    <t>ZF266659 Corp</t>
  </si>
  <si>
    <t>ZF2666591</t>
  </si>
  <si>
    <t>JP1103731Q12</t>
  </si>
  <si>
    <t>ED424001 Corp</t>
  </si>
  <si>
    <t>20/03/2034</t>
  </si>
  <si>
    <t>ED4240013</t>
  </si>
  <si>
    <t>JP1300141445</t>
  </si>
  <si>
    <t>EK134061 Corp</t>
  </si>
  <si>
    <t>EK1340612</t>
  </si>
  <si>
    <t>JP1201481E36</t>
  </si>
  <si>
    <t>YX384834 Corp</t>
  </si>
  <si>
    <t>YX3848349</t>
  </si>
  <si>
    <t>JP1480021Q54</t>
  </si>
  <si>
    <t>ZB141254 Corp</t>
  </si>
  <si>
    <t>ZB1412541</t>
  </si>
  <si>
    <t>JP1103741Q44</t>
  </si>
  <si>
    <t>ED580618 Corp</t>
  </si>
  <si>
    <t>20/06/2034</t>
  </si>
  <si>
    <t>ED5806184</t>
  </si>
  <si>
    <t>JP1300151485</t>
  </si>
  <si>
    <t>EK339021 Corp</t>
  </si>
  <si>
    <t>EK3390219</t>
  </si>
  <si>
    <t>JP1201491E67</t>
  </si>
  <si>
    <t>YW129328 Corp</t>
  </si>
  <si>
    <t>YW1293284</t>
  </si>
  <si>
    <t>JP1103751Q74</t>
  </si>
  <si>
    <t>ED659106 Corp</t>
  </si>
  <si>
    <t>20/09/2034</t>
  </si>
  <si>
    <t>ED6591066</t>
  </si>
  <si>
    <t>JP13001614A6</t>
  </si>
  <si>
    <t>EK499681 Corp</t>
  </si>
  <si>
    <t>EK4996816</t>
  </si>
  <si>
    <t>JP1201501E99</t>
  </si>
  <si>
    <t>YU269893 Corp</t>
  </si>
  <si>
    <t>YU2698931</t>
  </si>
  <si>
    <t>JP1103761QA5</t>
  </si>
  <si>
    <t>ED819390 Corp</t>
  </si>
  <si>
    <t>20/12/2034</t>
  </si>
  <si>
    <t>ED8193903</t>
  </si>
  <si>
    <t>JP1300171525</t>
  </si>
  <si>
    <t>EK666093 Corp</t>
  </si>
  <si>
    <t>EK6660931</t>
  </si>
  <si>
    <t>JP1201511EC7</t>
  </si>
  <si>
    <t>YS443328 Corp</t>
  </si>
  <si>
    <t>YS4433282</t>
  </si>
  <si>
    <t>JP1103771R12</t>
  </si>
  <si>
    <t>ED903474 Corp</t>
  </si>
  <si>
    <t>20/03/2035</t>
  </si>
  <si>
    <t>ED9034742</t>
  </si>
  <si>
    <t>JP1300181540</t>
  </si>
  <si>
    <t>EK813746 Corp</t>
  </si>
  <si>
    <t>EK8137466</t>
  </si>
  <si>
    <t>JP1201521F37</t>
  </si>
  <si>
    <t>YQ993424 Corp</t>
  </si>
  <si>
    <t>YQ9934247</t>
  </si>
  <si>
    <t>JP1103781R44</t>
  </si>
  <si>
    <t>EF021292 Corp</t>
  </si>
  <si>
    <t>20/06/2035</t>
  </si>
  <si>
    <t>EF0212920</t>
  </si>
  <si>
    <t>JP1300191572</t>
  </si>
  <si>
    <t>EK972288 Corp</t>
  </si>
  <si>
    <t>EK9722886</t>
  </si>
  <si>
    <t>JP1201531F68</t>
  </si>
  <si>
    <t>YN917177 Corp</t>
  </si>
  <si>
    <t>YN9171771</t>
  </si>
  <si>
    <t>JP1103791R75</t>
  </si>
  <si>
    <t>EF138652 Corp</t>
  </si>
  <si>
    <t>20/09/2035</t>
  </si>
  <si>
    <t>EF1386525</t>
  </si>
  <si>
    <t>JP13002015A5</t>
  </si>
  <si>
    <t>UV890292 Corp</t>
  </si>
  <si>
    <t>UV8902925</t>
  </si>
  <si>
    <t>JP1201541F90</t>
  </si>
  <si>
    <t>YJ408080 Corp</t>
  </si>
  <si>
    <t>YJ4080802</t>
  </si>
  <si>
    <t>JP1480031RA4</t>
  </si>
  <si>
    <t>YK650334 Corp</t>
  </si>
  <si>
    <t>YK6503345</t>
  </si>
  <si>
    <t>JP1103801RA7</t>
  </si>
  <si>
    <t>DC746693 Corp</t>
  </si>
  <si>
    <t>20/12/2035</t>
  </si>
  <si>
    <t>DC7466931</t>
  </si>
  <si>
    <t>JP1103811S13</t>
  </si>
  <si>
    <t>EF250218 Corp</t>
  </si>
  <si>
    <t>EF2502187</t>
  </si>
  <si>
    <t>JP1300211610</t>
  </si>
  <si>
    <t>JV336866 Corp</t>
  </si>
  <si>
    <t>JV3368661</t>
  </si>
  <si>
    <t>JP1201551FC0</t>
  </si>
  <si>
    <t>EF371144 Corp</t>
  </si>
  <si>
    <t>20/03/2036</t>
  </si>
  <si>
    <t>EF3711449</t>
  </si>
  <si>
    <t>JP1300221643</t>
  </si>
  <si>
    <t>JK501604 Corp</t>
  </si>
  <si>
    <t>JK5016049</t>
  </si>
  <si>
    <t>JP1201561G37</t>
  </si>
  <si>
    <t>EF559765 Corp</t>
  </si>
  <si>
    <t>20/06/2036</t>
  </si>
  <si>
    <t>EF5597655</t>
  </si>
  <si>
    <t>JP1300231675</t>
  </si>
  <si>
    <t>LW545302 Corp</t>
  </si>
  <si>
    <t>LW5453029</t>
  </si>
  <si>
    <t>JP1201571G68</t>
  </si>
  <si>
    <t>EF778508 Corp</t>
  </si>
  <si>
    <t>20/09/2036</t>
  </si>
  <si>
    <t>EF7785084</t>
  </si>
  <si>
    <t>JP13002416A5</t>
  </si>
  <si>
    <t>QZ541542 Corp</t>
  </si>
  <si>
    <t>QZ5415422</t>
  </si>
  <si>
    <t>JP1201581G90</t>
  </si>
  <si>
    <t>AL797512 Corp</t>
  </si>
  <si>
    <t>20/12/2036</t>
  </si>
  <si>
    <t>AL7975124</t>
  </si>
  <si>
    <t>JP1201591GC4</t>
  </si>
  <si>
    <t>EG125261 Corp</t>
  </si>
  <si>
    <t>EG1252618</t>
  </si>
  <si>
    <t>JP1300251715</t>
  </si>
  <si>
    <t>AM850328 Corp</t>
  </si>
  <si>
    <t>20/03/2037</t>
  </si>
  <si>
    <t>AM8503287</t>
  </si>
  <si>
    <t>JP1201601H38</t>
  </si>
  <si>
    <t>EG375737 Corp</t>
  </si>
  <si>
    <t>EG3757374</t>
  </si>
  <si>
    <t>JP1300261748</t>
  </si>
  <si>
    <t>AN958432 Corp</t>
  </si>
  <si>
    <t>20/06/2037</t>
  </si>
  <si>
    <t>AN9584326</t>
  </si>
  <si>
    <t>JP1201611H69</t>
  </si>
  <si>
    <t>AP155275 Corp</t>
  </si>
  <si>
    <t>20/09/2037</t>
  </si>
  <si>
    <t>AP1552755</t>
  </si>
  <si>
    <t>JP1201621H91</t>
  </si>
  <si>
    <t>EG938408 Corp</t>
  </si>
  <si>
    <t>EG9384082</t>
  </si>
  <si>
    <t>JP13002717A6</t>
  </si>
  <si>
    <t>AQ417830 Corp</t>
  </si>
  <si>
    <t>20/12/2037</t>
  </si>
  <si>
    <t>AQ4178309</t>
  </si>
  <si>
    <t>JP1201631HC6</t>
  </si>
  <si>
    <t>AR775109 Corp</t>
  </si>
  <si>
    <t>20/03/2038</t>
  </si>
  <si>
    <t>AR7751092</t>
  </si>
  <si>
    <t>JP1201641J38</t>
  </si>
  <si>
    <t>EH314693 Corp</t>
  </si>
  <si>
    <t>EH3146931</t>
  </si>
  <si>
    <t>JP1300281845</t>
  </si>
  <si>
    <t>AT578853 Corp</t>
  </si>
  <si>
    <t>20/06/2038</t>
  </si>
  <si>
    <t>AT5788530</t>
  </si>
  <si>
    <t>JP1201651J76</t>
  </si>
  <si>
    <t>AV122750 Corp</t>
  </si>
  <si>
    <t>20/09/2038</t>
  </si>
  <si>
    <t>AV1227504</t>
  </si>
  <si>
    <t>JP1201661JA3</t>
  </si>
  <si>
    <t>EH598545 Corp</t>
  </si>
  <si>
    <t>EH5985450</t>
  </si>
  <si>
    <t>JP13002918A0</t>
  </si>
  <si>
    <t>AW892884 Corp</t>
  </si>
  <si>
    <t>20/12/2038</t>
  </si>
  <si>
    <t>AW8928847</t>
  </si>
  <si>
    <t>JP1201671K12</t>
  </si>
  <si>
    <t>EH791118 Corp</t>
  </si>
  <si>
    <t>20/03/2039</t>
  </si>
  <si>
    <t>EH7911181</t>
  </si>
  <si>
    <t>JP1300301940</t>
  </si>
  <si>
    <t>ZS214186 Corp</t>
  </si>
  <si>
    <t>ZS2141860</t>
  </si>
  <si>
    <t>JP1201681K44</t>
  </si>
  <si>
    <t>AZ694472 Corp</t>
  </si>
  <si>
    <t>20/06/2039</t>
  </si>
  <si>
    <t>AZ6944724</t>
  </si>
  <si>
    <t>JP1201691K75</t>
  </si>
  <si>
    <t>EI004805 Corp</t>
  </si>
  <si>
    <t>20/09/2039</t>
  </si>
  <si>
    <t>EI0048054</t>
  </si>
  <si>
    <t>JP13003119A4</t>
  </si>
  <si>
    <t>ZQ278992 Corp</t>
  </si>
  <si>
    <t>ZQ2789928</t>
  </si>
  <si>
    <t>JP1201701KA5</t>
  </si>
  <si>
    <t>ZP562354 Corp</t>
  </si>
  <si>
    <t>20/12/2039</t>
  </si>
  <si>
    <t>ZP5623548</t>
  </si>
  <si>
    <t>JP1201711L13</t>
  </si>
  <si>
    <t>BI018471 Corp</t>
  </si>
  <si>
    <t>20/03/2040</t>
  </si>
  <si>
    <t>BI0184712</t>
  </si>
  <si>
    <t>JP1201721L45</t>
  </si>
  <si>
    <t>EI181923 Corp</t>
  </si>
  <si>
    <t>EI1819230</t>
  </si>
  <si>
    <t>JP1300321A34</t>
  </si>
  <si>
    <t>BK594564 Corp</t>
  </si>
  <si>
    <t>20/06/2040</t>
  </si>
  <si>
    <t>BK5945641</t>
  </si>
  <si>
    <t>JP1201731L76</t>
  </si>
  <si>
    <t>BM027946 Corp</t>
  </si>
  <si>
    <t>20/09/2040</t>
  </si>
  <si>
    <t>BM0279463</t>
  </si>
  <si>
    <t>JP1201741LA9</t>
  </si>
  <si>
    <t>EI399537 Corp</t>
  </si>
  <si>
    <t>EI3995376</t>
  </si>
  <si>
    <t>JP1300331A99</t>
  </si>
  <si>
    <t>BN612844 Corp</t>
  </si>
  <si>
    <t>20/12/2040</t>
  </si>
  <si>
    <t>BN6128449</t>
  </si>
  <si>
    <t>JP1201751M13</t>
  </si>
  <si>
    <t>BP172580 Corp</t>
  </si>
  <si>
    <t>20/03/2041</t>
  </si>
  <si>
    <t>BP1725806</t>
  </si>
  <si>
    <t>JP1201761M45</t>
  </si>
  <si>
    <t>EI603757 Corp</t>
  </si>
  <si>
    <t>EI6037572</t>
  </si>
  <si>
    <t>JP1300341B39</t>
  </si>
  <si>
    <t>BQ516777 Corp</t>
  </si>
  <si>
    <t>20/06/2041</t>
  </si>
  <si>
    <t>BQ5167771</t>
  </si>
  <si>
    <t>JP1201771M76</t>
  </si>
  <si>
    <t>BS028901 Corp</t>
  </si>
  <si>
    <t>20/09/2041</t>
  </si>
  <si>
    <t>BS0289014</t>
  </si>
  <si>
    <t>JP1201781MA3</t>
  </si>
  <si>
    <t>EI805566 Corp</t>
  </si>
  <si>
    <t>EI8055663</t>
  </si>
  <si>
    <t>JP1300351B93</t>
  </si>
  <si>
    <t>BT530456 Corp</t>
  </si>
  <si>
    <t>20/12/2041</t>
  </si>
  <si>
    <t>BT5304568</t>
  </si>
  <si>
    <t>JP1201791N14</t>
  </si>
  <si>
    <t>BV949862 Corp</t>
  </si>
  <si>
    <t>20/03/2042</t>
  </si>
  <si>
    <t>BV9498627</t>
  </si>
  <si>
    <t>JP1201801N46</t>
  </si>
  <si>
    <t>EJ053825 Corp</t>
  </si>
  <si>
    <t>EJ0538250</t>
  </si>
  <si>
    <t>JP1300361C33</t>
  </si>
  <si>
    <t>BX863121 Corp</t>
  </si>
  <si>
    <t>20/06/2042</t>
  </si>
  <si>
    <t>BX8631216</t>
  </si>
  <si>
    <t>JP1201811N77</t>
  </si>
  <si>
    <t>BZ802616 Corp</t>
  </si>
  <si>
    <t>20/09/2042</t>
  </si>
  <si>
    <t>BZ8026164</t>
  </si>
  <si>
    <t>JP1201821NA5</t>
  </si>
  <si>
    <t>EJ353672 Corp</t>
  </si>
  <si>
    <t>EJ3536723</t>
  </si>
  <si>
    <t>JP1300371C98</t>
  </si>
  <si>
    <t>ZM541259 Corp</t>
  </si>
  <si>
    <t>20/12/2042</t>
  </si>
  <si>
    <t>ZM5412592</t>
  </si>
  <si>
    <t>JP1201831P14</t>
  </si>
  <si>
    <t>EJ586107 Corp</t>
  </si>
  <si>
    <t>20/03/2043</t>
  </si>
  <si>
    <t>EJ5861079</t>
  </si>
  <si>
    <t>JP1300381D38</t>
  </si>
  <si>
    <t>ZK305900 Corp</t>
  </si>
  <si>
    <t>ZK3059001</t>
  </si>
  <si>
    <t>JP1201841P46</t>
  </si>
  <si>
    <t>EJ709977 Corp</t>
  </si>
  <si>
    <t>20/06/2043</t>
  </si>
  <si>
    <t>EJ7099777</t>
  </si>
  <si>
    <t>JP1300391D69</t>
  </si>
  <si>
    <t>ZJ786530 Corp</t>
  </si>
  <si>
    <t>ZJ7865307</t>
  </si>
  <si>
    <t>JP1201851P76</t>
  </si>
  <si>
    <t>EJ827169 Corp</t>
  </si>
  <si>
    <t>20/09/2043</t>
  </si>
  <si>
    <t>EJ8271698</t>
  </si>
  <si>
    <t>JP1300401D91</t>
  </si>
  <si>
    <t>ZH548728 Corp</t>
  </si>
  <si>
    <t>ZH5487280</t>
  </si>
  <si>
    <t>JP1201861PA6</t>
  </si>
  <si>
    <t>EJ983025 Corp</t>
  </si>
  <si>
    <t>20/12/2043</t>
  </si>
  <si>
    <t>EJ9830252</t>
  </si>
  <si>
    <t>JP1300411DC2</t>
  </si>
  <si>
    <t>ZF423028 Corp</t>
  </si>
  <si>
    <t>ZF4230289</t>
  </si>
  <si>
    <t>JP1201871Q14</t>
  </si>
  <si>
    <t>EK112323 Corp</t>
  </si>
  <si>
    <t>20/03/2044</t>
  </si>
  <si>
    <t>EK1123232</t>
  </si>
  <si>
    <t>JP1300421E39</t>
  </si>
  <si>
    <t>ZB372665 Corp</t>
  </si>
  <si>
    <t>ZB3726658</t>
  </si>
  <si>
    <t>JP1201881Q46</t>
  </si>
  <si>
    <t>EK317779 Corp</t>
  </si>
  <si>
    <t>20/06/2044</t>
  </si>
  <si>
    <t>EK3177798</t>
  </si>
  <si>
    <t>JP1300431E60</t>
  </si>
  <si>
    <t>YW348675 Corp</t>
  </si>
  <si>
    <t>YW3486753</t>
  </si>
  <si>
    <t>JP1201891Q77</t>
  </si>
  <si>
    <t>EK482639 Corp</t>
  </si>
  <si>
    <t>20/09/2044</t>
  </si>
  <si>
    <t>EK4826393</t>
  </si>
  <si>
    <t>JP1300441E92</t>
  </si>
  <si>
    <t>YU740781 Corp</t>
  </si>
  <si>
    <t>YU7407817</t>
  </si>
  <si>
    <t>JP1201901QA8</t>
  </si>
  <si>
    <t>EK650156 Corp</t>
  </si>
  <si>
    <t>20/12/2044</t>
  </si>
  <si>
    <t>EK6501564</t>
  </si>
  <si>
    <t>JP1300451EC6</t>
  </si>
  <si>
    <t>YS702880 Corp</t>
  </si>
  <si>
    <t>YS7028808</t>
  </si>
  <si>
    <t>JP1201911R15</t>
  </si>
  <si>
    <t>EK789693 Corp</t>
  </si>
  <si>
    <t>20/03/2045</t>
  </si>
  <si>
    <t>EK7896930</t>
  </si>
  <si>
    <t>JP1300461F39</t>
  </si>
  <si>
    <t>YP620021 Corp</t>
  </si>
  <si>
    <t>YP6200214</t>
  </si>
  <si>
    <t>JP1201921R47</t>
  </si>
  <si>
    <t>EK957539 Corp</t>
  </si>
  <si>
    <t>20/06/2045</t>
  </si>
  <si>
    <t>EK9575391</t>
  </si>
  <si>
    <t>JP1300471F60</t>
  </si>
  <si>
    <t>YM201672 Corp</t>
  </si>
  <si>
    <t>YM2016728</t>
  </si>
  <si>
    <t>JP1201931R78</t>
  </si>
  <si>
    <t>UV814279 Corp</t>
  </si>
  <si>
    <t>20/09/2045</t>
  </si>
  <si>
    <t>UV8142795</t>
  </si>
  <si>
    <t>JP1300481F92</t>
  </si>
  <si>
    <t>YJ177433 Corp</t>
  </si>
  <si>
    <t>YJ1774332</t>
  </si>
  <si>
    <t>JP1201941RA2</t>
  </si>
  <si>
    <t>JV207518 Corp</t>
  </si>
  <si>
    <t>20/12/2045</t>
  </si>
  <si>
    <t>JV2075184</t>
  </si>
  <si>
    <t>JP1300491FC9</t>
  </si>
  <si>
    <t>YI189082 Corp</t>
  </si>
  <si>
    <t>YI1890825</t>
  </si>
  <si>
    <t>JP1201951S15</t>
  </si>
  <si>
    <t>JK380578 Corp</t>
  </si>
  <si>
    <t>20/03/2046</t>
  </si>
  <si>
    <t>JK3805781</t>
  </si>
  <si>
    <t>JP1300501G30</t>
  </si>
  <si>
    <t>LW361469 Corp</t>
  </si>
  <si>
    <t>20/06/2046</t>
  </si>
  <si>
    <t>LW3614697</t>
  </si>
  <si>
    <t>JP1300511G61</t>
  </si>
  <si>
    <t>QZ467563 Corp</t>
  </si>
  <si>
    <t>20/09/2046</t>
  </si>
  <si>
    <t>QZ4675638</t>
  </si>
  <si>
    <t>JP1300521G93</t>
  </si>
  <si>
    <t>AL662876 Corp</t>
  </si>
  <si>
    <t>20/12/2046</t>
  </si>
  <si>
    <t>AL6628765</t>
  </si>
  <si>
    <t>JP1300531GC0</t>
  </si>
  <si>
    <t>AM766737 Corp</t>
  </si>
  <si>
    <t>20/03/2047</t>
  </si>
  <si>
    <t>AM7667372</t>
  </si>
  <si>
    <t>JP1300541H31</t>
  </si>
  <si>
    <t>AN861997 Corp</t>
  </si>
  <si>
    <t>20/06/2047</t>
  </si>
  <si>
    <t>AN8619974</t>
  </si>
  <si>
    <t>JP1300551H61</t>
  </si>
  <si>
    <t>AP059339 Corp</t>
  </si>
  <si>
    <t>20/09/2047</t>
  </si>
  <si>
    <t>AP0593396</t>
  </si>
  <si>
    <t>JP1300561H93</t>
  </si>
  <si>
    <t>AQ340832 Corp</t>
  </si>
  <si>
    <t>20/12/2047</t>
  </si>
  <si>
    <t>AQ3408327</t>
  </si>
  <si>
    <t>JP1300571HC4</t>
  </si>
  <si>
    <t>AR620065 Corp</t>
  </si>
  <si>
    <t>20/03/2048</t>
  </si>
  <si>
    <t>AR6200653</t>
  </si>
  <si>
    <t>JP1300581J30</t>
  </si>
  <si>
    <t>EG883955 Corp</t>
  </si>
  <si>
    <t>Japan Government Forty Year Bond</t>
  </si>
  <si>
    <t>EG8839557</t>
  </si>
  <si>
    <t>JP14000117B7</t>
  </si>
  <si>
    <t>AT476518 Corp</t>
  </si>
  <si>
    <t>20/06/2048</t>
  </si>
  <si>
    <t>AT4765182</t>
  </si>
  <si>
    <t>JP1300591J79</t>
  </si>
  <si>
    <t>AU951286 Corp</t>
  </si>
  <si>
    <t>20/09/2048</t>
  </si>
  <si>
    <t>AU9512867</t>
  </si>
  <si>
    <t>JP1300601JA9</t>
  </si>
  <si>
    <t>AW634174 Corp</t>
  </si>
  <si>
    <t>20/12/2048</t>
  </si>
  <si>
    <t>AW6341746</t>
  </si>
  <si>
    <t>JP1300611K15</t>
  </si>
  <si>
    <t>EH829698 Corp</t>
  </si>
  <si>
    <t>20/03/2049</t>
  </si>
  <si>
    <t>EH8296988</t>
  </si>
  <si>
    <t>JP1400021950</t>
  </si>
  <si>
    <t>ZS052604 Corp</t>
  </si>
  <si>
    <t>ZS0526047</t>
  </si>
  <si>
    <t>JP1300621K47</t>
  </si>
  <si>
    <t>AZ527231 Corp</t>
  </si>
  <si>
    <t>20/06/2049</t>
  </si>
  <si>
    <t>AZ5272317</t>
  </si>
  <si>
    <t>JP1300631K78</t>
  </si>
  <si>
    <t>ZQ061592 Corp</t>
  </si>
  <si>
    <t>20/09/2049</t>
  </si>
  <si>
    <t>ZQ0615927</t>
  </si>
  <si>
    <t>JP1300641KA3</t>
  </si>
  <si>
    <t>ZP387400 Corp</t>
  </si>
  <si>
    <t>20/12/2049</t>
  </si>
  <si>
    <t>ZP3874002</t>
  </si>
  <si>
    <t>JP1300651L15</t>
  </si>
  <si>
    <t>BH620692 Corp</t>
  </si>
  <si>
    <t>20/03/2050</t>
  </si>
  <si>
    <t>BH6206925</t>
  </si>
  <si>
    <t>JP1300661L47</t>
  </si>
  <si>
    <t>EI252407 Corp</t>
  </si>
  <si>
    <t>EI2524078</t>
  </si>
  <si>
    <t>JP1400031A58</t>
  </si>
  <si>
    <t>BK411989 Corp</t>
  </si>
  <si>
    <t>20/06/2050</t>
  </si>
  <si>
    <t>BK4119891</t>
  </si>
  <si>
    <t>JP1300671L78</t>
  </si>
  <si>
    <t>ZO808012 Corp</t>
  </si>
  <si>
    <t>20/09/2050</t>
  </si>
  <si>
    <t>ZO8080129</t>
  </si>
  <si>
    <t>JP1300681LA7</t>
  </si>
  <si>
    <t>BN417655 Corp</t>
  </si>
  <si>
    <t>20/12/2050</t>
  </si>
  <si>
    <t>BN4176556</t>
  </si>
  <si>
    <t>JP1300691M16</t>
  </si>
  <si>
    <t>BO941870 Corp</t>
  </si>
  <si>
    <t>20/03/2051</t>
  </si>
  <si>
    <t>BO9418704</t>
  </si>
  <si>
    <t>JP1300701M48</t>
  </si>
  <si>
    <t>EI681422 Corp</t>
  </si>
  <si>
    <t>EI6814228</t>
  </si>
  <si>
    <t>JP1400041B55</t>
  </si>
  <si>
    <t>BQ405120 Corp</t>
  </si>
  <si>
    <t>20/06/2051</t>
  </si>
  <si>
    <t>BQ4051208</t>
  </si>
  <si>
    <t>JP1300711M79</t>
  </si>
  <si>
    <t>BR921605 Corp</t>
  </si>
  <si>
    <t>20/09/2051</t>
  </si>
  <si>
    <t>BR9216051</t>
  </si>
  <si>
    <t>JP1300721MA9</t>
  </si>
  <si>
    <t>BT386064 Corp</t>
  </si>
  <si>
    <t>20/12/2051</t>
  </si>
  <si>
    <t>BT3860645</t>
  </si>
  <si>
    <t>JP1300731N17</t>
  </si>
  <si>
    <t>BV801821 Corp</t>
  </si>
  <si>
    <t>20/03/2052</t>
  </si>
  <si>
    <t>BV8018210</t>
  </si>
  <si>
    <t>JP1300741N49</t>
  </si>
  <si>
    <t>EJ198645 Corp</t>
  </si>
  <si>
    <t>EJ1986458</t>
  </si>
  <si>
    <t>JP1400051C51</t>
  </si>
  <si>
    <t>BX715025 Corp</t>
  </si>
  <si>
    <t>20/06/2052</t>
  </si>
  <si>
    <t>BX7150259</t>
  </si>
  <si>
    <t>JP1300751N79</t>
  </si>
  <si>
    <t>BZ687913 Corp</t>
  </si>
  <si>
    <t>20/09/2052</t>
  </si>
  <si>
    <t>BZ6879135</t>
  </si>
  <si>
    <t>JP1300761NA3</t>
  </si>
  <si>
    <t>ZM378379 Corp</t>
  </si>
  <si>
    <t>20/12/2052</t>
  </si>
  <si>
    <t>ZM3783796</t>
  </si>
  <si>
    <t>JP1300771P16</t>
  </si>
  <si>
    <t>EJ687610 Corp</t>
  </si>
  <si>
    <t>20/03/2053</t>
  </si>
  <si>
    <t>EJ6876100</t>
  </si>
  <si>
    <t>JP1400061D58</t>
  </si>
  <si>
    <t>ZK098518 Corp</t>
  </si>
  <si>
    <t>ZK0985182</t>
  </si>
  <si>
    <t>JP1300781P48</t>
  </si>
  <si>
    <t>ZJ658086 Corp</t>
  </si>
  <si>
    <t>20/06/2053</t>
  </si>
  <si>
    <t>ZJ6580865</t>
  </si>
  <si>
    <t>JP1300791P79</t>
  </si>
  <si>
    <t>ZH320472 Corp</t>
  </si>
  <si>
    <t>20/09/2053</t>
  </si>
  <si>
    <t>ZH3204729</t>
  </si>
  <si>
    <t>JP1300801PA2</t>
  </si>
  <si>
    <t>ZF317568 Corp</t>
  </si>
  <si>
    <t>20/12/2053</t>
  </si>
  <si>
    <t>ZF3175683</t>
  </si>
  <si>
    <t>JP1300811Q17</t>
  </si>
  <si>
    <t>EK299024 Corp</t>
  </si>
  <si>
    <t>20/03/2054</t>
  </si>
  <si>
    <t>EK2990241</t>
  </si>
  <si>
    <t>JP1400071E55</t>
  </si>
  <si>
    <t>ZB197472 Corp</t>
  </si>
  <si>
    <t>ZB1974722</t>
  </si>
  <si>
    <t>JP1300821Q49</t>
  </si>
  <si>
    <t>YW192607 Corp</t>
  </si>
  <si>
    <t>20/06/2054</t>
  </si>
  <si>
    <t>YW1926073</t>
  </si>
  <si>
    <t>JP1300831Q70</t>
  </si>
  <si>
    <t>YU369993 Corp</t>
  </si>
  <si>
    <t>20/09/2054</t>
  </si>
  <si>
    <t>YU3699938</t>
  </si>
  <si>
    <t>JP1300841QA6</t>
  </si>
  <si>
    <t>YS522463 Corp</t>
  </si>
  <si>
    <t>20/12/2054</t>
  </si>
  <si>
    <t>YS5224631</t>
  </si>
  <si>
    <t>JP1300851R17</t>
  </si>
  <si>
    <t>EK877977 Corp</t>
  </si>
  <si>
    <t>20/03/2055</t>
  </si>
  <si>
    <t>EK8779770</t>
  </si>
  <si>
    <t>JP1400081F45</t>
  </si>
  <si>
    <t>YP285159 Corp</t>
  </si>
  <si>
    <t>YP2851598</t>
  </si>
  <si>
    <t>JP1300861R49</t>
  </si>
  <si>
    <t>YN990658 Corp</t>
  </si>
  <si>
    <t>20/06/2055</t>
  </si>
  <si>
    <t>YN9906580</t>
  </si>
  <si>
    <t>JP1300871R70</t>
  </si>
  <si>
    <t>YK837626 Corp</t>
  </si>
  <si>
    <t>20/09/2055</t>
  </si>
  <si>
    <t>YK8376260</t>
  </si>
  <si>
    <t>JP1300881RA0</t>
  </si>
  <si>
    <t>DC841111 Corp</t>
  </si>
  <si>
    <t>20/12/2055</t>
  </si>
  <si>
    <t>DC8411118</t>
  </si>
  <si>
    <t>JP1300891S18</t>
  </si>
  <si>
    <t>LW239433 Corp</t>
  </si>
  <si>
    <t>20/03/2056</t>
  </si>
  <si>
    <t>LW2394333</t>
  </si>
  <si>
    <t>JP1400091G59</t>
  </si>
  <si>
    <t>AN751153 Corp</t>
  </si>
  <si>
    <t>20/03/2057</t>
  </si>
  <si>
    <t>AN7511537</t>
  </si>
  <si>
    <t>JP1400101H56</t>
  </si>
  <si>
    <t>AS843222 Corp</t>
  </si>
  <si>
    <t>20/03/2058</t>
  </si>
  <si>
    <t>AS8432229</t>
  </si>
  <si>
    <t>JP1400111J52</t>
  </si>
  <si>
    <t>ZS877644 Corp</t>
  </si>
  <si>
    <t>20/03/2059</t>
  </si>
  <si>
    <t>ZS8776446</t>
  </si>
  <si>
    <t>JP1400121K57</t>
  </si>
  <si>
    <t>BJ706274 Corp</t>
  </si>
  <si>
    <t>20/03/2060</t>
  </si>
  <si>
    <t>BJ7062745</t>
  </si>
  <si>
    <t>JP1400131L54</t>
  </si>
  <si>
    <t>BP809355 Corp</t>
  </si>
  <si>
    <t>20/03/2061</t>
  </si>
  <si>
    <t>BP8093554</t>
  </si>
  <si>
    <t>JP1400141M51</t>
  </si>
  <si>
    <t>BW843591 Corp</t>
  </si>
  <si>
    <t>20/03/2062</t>
  </si>
  <si>
    <t>BW8435917</t>
  </si>
  <si>
    <t>JP1400151N57</t>
  </si>
  <si>
    <t>ZK786267 Corp</t>
  </si>
  <si>
    <t>20/03/2063</t>
  </si>
  <si>
    <t>ZK7862673</t>
  </si>
  <si>
    <t>JP1400161P53</t>
  </si>
  <si>
    <t>YX270525 Corp</t>
  </si>
  <si>
    <t>20/03/2064</t>
  </si>
  <si>
    <t>YX2705250</t>
  </si>
  <si>
    <t>JP1400171Q50</t>
  </si>
  <si>
    <t>YO939740 Corp</t>
  </si>
  <si>
    <t>20/03/2065</t>
  </si>
  <si>
    <t>YO9397408</t>
  </si>
  <si>
    <t>JP1400181R57</t>
  </si>
  <si>
    <t>Market Price</t>
  </si>
  <si>
    <t>Model Price</t>
  </si>
  <si>
    <t>Cashflows</t>
  </si>
  <si>
    <t>TIME rounded</t>
  </si>
  <si>
    <t>Last Coupon Settle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</si>
</sst>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00"/>
    <numFmt numFmtId="167" formatCode="0.000"/>
    <numFmt numFmtId="168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sz val="11"/>
      <color theme="8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2" applyFont="1" applyAlignment="1">
      <alignment horizontal="center"/>
    </xf>
    <xf numFmtId="0" fontId="1" fillId="0" borderId="0" xfId="2"/>
    <xf numFmtId="9" fontId="1" fillId="0" borderId="0" xfId="2" applyNumberFormat="1"/>
    <xf numFmtId="0" fontId="1" fillId="0" borderId="0" xfId="2" applyAlignment="1">
      <alignment horizontal="center"/>
    </xf>
    <xf numFmtId="164" fontId="3" fillId="0" borderId="0" xfId="2" applyNumberFormat="1" applyFont="1"/>
    <xf numFmtId="165" fontId="3" fillId="0" borderId="0" xfId="2" applyNumberFormat="1" applyFont="1"/>
    <xf numFmtId="0" fontId="4" fillId="0" borderId="0" xfId="2" applyFont="1"/>
    <xf numFmtId="9" fontId="4" fillId="0" borderId="0" xfId="2" applyNumberFormat="1" applyFont="1"/>
    <xf numFmtId="2" fontId="1" fillId="0" borderId="0" xfId="2" applyNumberFormat="1" applyAlignment="1">
      <alignment horizontal="center"/>
    </xf>
    <xf numFmtId="0" fontId="1" fillId="0" borderId="0" xfId="2" quotePrefix="1"/>
    <xf numFmtId="0" fontId="1" fillId="0" borderId="3" xfId="2" applyBorder="1"/>
    <xf numFmtId="0" fontId="1" fillId="0" borderId="4" xfId="2" applyBorder="1"/>
    <xf numFmtId="0" fontId="1" fillId="0" borderId="5" xfId="2" applyBorder="1"/>
    <xf numFmtId="10" fontId="1" fillId="0" borderId="0" xfId="2" applyNumberFormat="1"/>
    <xf numFmtId="164" fontId="1" fillId="0" borderId="0" xfId="1" applyNumberFormat="1" applyFont="1"/>
    <xf numFmtId="164" fontId="5" fillId="0" borderId="0" xfId="3" applyNumberFormat="1"/>
    <xf numFmtId="165" fontId="1" fillId="0" borderId="0" xfId="1" applyNumberFormat="1" applyFont="1"/>
    <xf numFmtId="2" fontId="1" fillId="0" borderId="0" xfId="1" applyNumberFormat="1" applyFont="1"/>
    <xf numFmtId="2" fontId="1" fillId="0" borderId="0" xfId="2" applyNumberFormat="1"/>
    <xf numFmtId="10" fontId="0" fillId="0" borderId="0" xfId="4" applyNumberFormat="1" applyFont="1" applyFill="1"/>
    <xf numFmtId="10" fontId="0" fillId="0" borderId="0" xfId="1" applyNumberFormat="1" applyFont="1" applyFill="1"/>
    <xf numFmtId="2" fontId="1" fillId="0" borderId="6" xfId="2" applyNumberFormat="1" applyBorder="1"/>
    <xf numFmtId="0" fontId="1" fillId="0" borderId="7" xfId="2" applyBorder="1"/>
    <xf numFmtId="1" fontId="1" fillId="0" borderId="0" xfId="2" applyNumberFormat="1"/>
    <xf numFmtId="164" fontId="1" fillId="0" borderId="0" xfId="2" applyNumberFormat="1"/>
    <xf numFmtId="165" fontId="1" fillId="0" borderId="0" xfId="2" applyNumberFormat="1"/>
    <xf numFmtId="9" fontId="0" fillId="0" borderId="0" xfId="1" applyFont="1" applyFill="1"/>
    <xf numFmtId="10" fontId="1" fillId="0" borderId="0" xfId="2" quotePrefix="1" applyNumberFormat="1"/>
    <xf numFmtId="165" fontId="6" fillId="0" borderId="0" xfId="2" applyNumberFormat="1" applyFont="1"/>
    <xf numFmtId="0" fontId="7" fillId="0" borderId="0" xfId="2" applyFont="1"/>
    <xf numFmtId="9" fontId="6" fillId="0" borderId="0" xfId="2" applyNumberFormat="1" applyFont="1"/>
    <xf numFmtId="9" fontId="7" fillId="0" borderId="0" xfId="2" applyNumberFormat="1" applyFont="1"/>
    <xf numFmtId="9" fontId="6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9" fontId="7" fillId="0" borderId="0" xfId="2" applyNumberFormat="1" applyFont="1" applyAlignment="1">
      <alignment horizontal="center" vertical="center"/>
    </xf>
    <xf numFmtId="164" fontId="8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10" fillId="0" borderId="0" xfId="2" applyFont="1" applyAlignment="1">
      <alignment horizontal="left" vertical="center"/>
    </xf>
    <xf numFmtId="2" fontId="2" fillId="0" borderId="0" xfId="2" applyNumberFormat="1" applyFont="1" applyAlignment="1">
      <alignment horizontal="left" vertical="center"/>
    </xf>
    <xf numFmtId="166" fontId="10" fillId="0" borderId="0" xfId="2" applyNumberFormat="1" applyFont="1" applyAlignment="1">
      <alignment horizontal="left" vertical="center"/>
    </xf>
    <xf numFmtId="167" fontId="1" fillId="0" borderId="0" xfId="2" quotePrefix="1" applyNumberFormat="1"/>
    <xf numFmtId="2" fontId="10" fillId="0" borderId="0" xfId="2" applyNumberFormat="1" applyFont="1" applyAlignment="1">
      <alignment horizontal="center"/>
    </xf>
    <xf numFmtId="2" fontId="2" fillId="0" borderId="0" xfId="2" applyNumberFormat="1" applyFont="1" applyAlignment="1">
      <alignment horizontal="center"/>
    </xf>
    <xf numFmtId="14" fontId="5" fillId="0" borderId="0" xfId="0" applyNumberFormat="1" applyFont="1"/>
    <xf numFmtId="0" fontId="5" fillId="0" borderId="0" xfId="3"/>
    <xf numFmtId="2" fontId="5" fillId="0" borderId="0" xfId="3" applyNumberFormat="1"/>
    <xf numFmtId="0" fontId="11" fillId="0" borderId="0" xfId="3" applyFont="1"/>
    <xf numFmtId="10" fontId="5" fillId="0" borderId="0" xfId="1" applyNumberFormat="1" applyFont="1"/>
    <xf numFmtId="168" fontId="5" fillId="0" borderId="0" xfId="3" applyNumberFormat="1"/>
    <xf numFmtId="167" fontId="5" fillId="0" borderId="0" xfId="3" applyNumberFormat="1"/>
    <xf numFmtId="1" fontId="5" fillId="0" borderId="0" xfId="3" applyNumberFormat="1"/>
    <xf numFmtId="2" fontId="1" fillId="0" borderId="8" xfId="2" applyNumberFormat="1" applyBorder="1"/>
    <xf numFmtId="0" fontId="1" fillId="0" borderId="9" xfId="2" applyBorder="1"/>
    <xf numFmtId="0" fontId="1" fillId="0" borderId="10" xfId="2" applyBorder="1"/>
    <xf numFmtId="2" fontId="3" fillId="0" borderId="0" xfId="2" applyNumberFormat="1" applyFont="1" applyAlignment="1">
      <alignment horizontal="center"/>
    </xf>
    <xf numFmtId="0" fontId="3" fillId="0" borderId="0" xfId="2" applyFont="1"/>
    <xf numFmtId="0" fontId="3" fillId="0" borderId="0" xfId="2" quotePrefix="1" applyFont="1"/>
    <xf numFmtId="14" fontId="0" fillId="0" borderId="0" xfId="0" applyNumberFormat="1"/>
    <xf numFmtId="14" fontId="5" fillId="0" borderId="0" xfId="3" applyNumberFormat="1"/>
    <xf numFmtId="0" fontId="3" fillId="0" borderId="0" xfId="2" applyFont="1" applyAlignment="1">
      <alignment horizontal="center"/>
    </xf>
    <xf numFmtId="0" fontId="1" fillId="0" borderId="2" xfId="2" applyBorder="1" applyAlignment="1">
      <alignment horizontal="center"/>
    </xf>
    <xf numFmtId="0" fontId="1" fillId="0" borderId="0" xfId="2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2" fontId="0" fillId="0" borderId="0" xfId="0" applyNumberFormat="1"/>
  </cellXfs>
  <cellStyles count="5">
    <cellStyle name="Normal" xfId="0" builtinId="0"/>
    <cellStyle name="Normal 2" xfId="2" xr:uid="{2544BCFF-C6A9-461C-A4B0-53B830D7153A}"/>
    <cellStyle name="Normal 3" xfId="3" xr:uid="{550BFD14-B958-4335-ACAA-7A46DED0F440}"/>
    <cellStyle name="Percent" xfId="1" builtinId="5"/>
    <cellStyle name="Percent 2" xfId="4" xr:uid="{C0D276F1-6850-4D00-BB9D-439F5B665F1D}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 (Goverment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Goverment'!$J$80:$K$80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'NSS Goverment'!$L$2:$CK$2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Goverment'!$L$80:$CK$80</c:f>
              <c:numCache>
                <c:formatCode>0.00%</c:formatCode>
                <c:ptCount val="78"/>
                <c:pt idx="2">
                  <c:v>1.4554587126496266E-2</c:v>
                </c:pt>
                <c:pt idx="3">
                  <c:v>1.5616380335399027E-2</c:v>
                </c:pt>
                <c:pt idx="4">
                  <c:v>1.6625259276050075E-2</c:v>
                </c:pt>
                <c:pt idx="5">
                  <c:v>1.7894185769266935E-2</c:v>
                </c:pt>
                <c:pt idx="6">
                  <c:v>1.93544611524048E-2</c:v>
                </c:pt>
                <c:pt idx="7">
                  <c:v>2.094926790581475E-2</c:v>
                </c:pt>
                <c:pt idx="8">
                  <c:v>2.2631875442195915E-2</c:v>
                </c:pt>
                <c:pt idx="9">
                  <c:v>2.4364108595605449E-2</c:v>
                </c:pt>
                <c:pt idx="10">
                  <c:v>2.6115037690876752E-2</c:v>
                </c:pt>
                <c:pt idx="11">
                  <c:v>2.7859856659642412E-2</c:v>
                </c:pt>
                <c:pt idx="12">
                  <c:v>2.9578921561643323E-2</c:v>
                </c:pt>
                <c:pt idx="13">
                  <c:v>3.1256926497437165E-2</c:v>
                </c:pt>
                <c:pt idx="14">
                  <c:v>3.2882197575721417E-2</c:v>
                </c:pt>
                <c:pt idx="15">
                  <c:v>3.4446088556885357E-2</c:v>
                </c:pt>
                <c:pt idx="16">
                  <c:v>3.5942464204475222E-2</c:v>
                </c:pt>
                <c:pt idx="17">
                  <c:v>3.7367259363763949E-2</c:v>
                </c:pt>
                <c:pt idx="18">
                  <c:v>3.8718103444574714E-2</c:v>
                </c:pt>
                <c:pt idx="19">
                  <c:v>3.9994001383014677E-2</c:v>
                </c:pt>
                <c:pt idx="20">
                  <c:v>4.1195063345572436E-2</c:v>
                </c:pt>
                <c:pt idx="21">
                  <c:v>4.2322276458060637E-2</c:v>
                </c:pt>
                <c:pt idx="22">
                  <c:v>4.3377312720969563E-2</c:v>
                </c:pt>
                <c:pt idx="23">
                  <c:v>4.4362368034838173E-2</c:v>
                </c:pt>
                <c:pt idx="24">
                  <c:v>4.5280027922323773E-2</c:v>
                </c:pt>
                <c:pt idx="25">
                  <c:v>4.613315611213209E-2</c:v>
                </c:pt>
                <c:pt idx="26">
                  <c:v>4.6924802655447628E-2</c:v>
                </c:pt>
                <c:pt idx="27">
                  <c:v>4.7658128687743107E-2</c:v>
                </c:pt>
                <c:pt idx="28">
                  <c:v>4.833634533571507E-2</c:v>
                </c:pt>
                <c:pt idx="29">
                  <c:v>4.89626646075072E-2</c:v>
                </c:pt>
                <c:pt idx="30">
                  <c:v>4.9540260400362524E-2</c:v>
                </c:pt>
                <c:pt idx="31">
                  <c:v>5.0072238018292303E-2</c:v>
                </c:pt>
                <c:pt idx="32">
                  <c:v>5.0561610817809077E-2</c:v>
                </c:pt>
                <c:pt idx="33">
                  <c:v>5.1011282796324942E-2</c:v>
                </c:pt>
                <c:pt idx="34">
                  <c:v>5.1424036108679294E-2</c:v>
                </c:pt>
                <c:pt idx="35">
                  <c:v>5.1802522645722382E-2</c:v>
                </c:pt>
                <c:pt idx="36">
                  <c:v>5.2149258937655318E-2</c:v>
                </c:pt>
                <c:pt idx="37">
                  <c:v>5.2466623756195707E-2</c:v>
                </c:pt>
                <c:pt idx="38">
                  <c:v>5.2756857885791986E-2</c:v>
                </c:pt>
                <c:pt idx="39">
                  <c:v>5.3022065617155834E-2</c:v>
                </c:pt>
                <c:pt idx="40">
                  <c:v>5.3264217587819296E-2</c:v>
                </c:pt>
                <c:pt idx="41">
                  <c:v>5.3485154655444456E-2</c:v>
                </c:pt>
                <c:pt idx="42">
                  <c:v>5.3686592542358857E-2</c:v>
                </c:pt>
                <c:pt idx="43">
                  <c:v>5.3870127034521653E-2</c:v>
                </c:pt>
                <c:pt idx="44">
                  <c:v>5.4037239556334216E-2</c:v>
                </c:pt>
                <c:pt idx="45">
                  <c:v>5.4189302975266251E-2</c:v>
                </c:pt>
                <c:pt idx="46">
                  <c:v>5.4327587517780662E-2</c:v>
                </c:pt>
                <c:pt idx="47">
                  <c:v>5.4453266701384617E-2</c:v>
                </c:pt>
                <c:pt idx="48">
                  <c:v>5.4567423207143806E-2</c:v>
                </c:pt>
                <c:pt idx="49">
                  <c:v>5.4671054633635308E-2</c:v>
                </c:pt>
                <c:pt idx="50">
                  <c:v>5.4765079086895874E-2</c:v>
                </c:pt>
                <c:pt idx="51">
                  <c:v>5.4850340572479839E-2</c:v>
                </c:pt>
                <c:pt idx="52">
                  <c:v>5.4927614165250382E-2</c:v>
                </c:pt>
                <c:pt idx="53">
                  <c:v>5.4997610940230812E-2</c:v>
                </c:pt>
                <c:pt idx="54">
                  <c:v>5.5060982654307811E-2</c:v>
                </c:pt>
                <c:pt idx="55">
                  <c:v>5.5118326173732024E-2</c:v>
                </c:pt>
                <c:pt idx="56">
                  <c:v>5.5170187646528701E-2</c:v>
                </c:pt>
                <c:pt idx="57">
                  <c:v>5.521706642218005E-2</c:v>
                </c:pt>
                <c:pt idx="58">
                  <c:v>5.5259418723581533E-2</c:v>
                </c:pt>
                <c:pt idx="59">
                  <c:v>5.5297661078256954E-2</c:v>
                </c:pt>
                <c:pt idx="60">
                  <c:v>5.5332173517288474E-2</c:v>
                </c:pt>
                <c:pt idx="61">
                  <c:v>5.5363302551375559E-2</c:v>
                </c:pt>
                <c:pt idx="62">
                  <c:v>5.53913639343937E-2</c:v>
                </c:pt>
                <c:pt idx="63">
                  <c:v>5.541664522513301E-2</c:v>
                </c:pt>
                <c:pt idx="64">
                  <c:v>5.5439408158028058E-2</c:v>
                </c:pt>
                <c:pt idx="65">
                  <c:v>5.5459890834001824E-2</c:v>
                </c:pt>
                <c:pt idx="66">
                  <c:v>5.5478309742206022E-2</c:v>
                </c:pt>
                <c:pt idx="67">
                  <c:v>5.5494861623329061E-2</c:v>
                </c:pt>
                <c:pt idx="68">
                  <c:v>5.5509725184849534E-2</c:v>
                </c:pt>
                <c:pt idx="69">
                  <c:v>5.5523062678278778E-2</c:v>
                </c:pt>
                <c:pt idx="70">
                  <c:v>5.5535021347954849E-2</c:v>
                </c:pt>
                <c:pt idx="71">
                  <c:v>5.5545734760478416E-2</c:v>
                </c:pt>
                <c:pt idx="72">
                  <c:v>5.5555324023614627E-2</c:v>
                </c:pt>
                <c:pt idx="73">
                  <c:v>5.556389890290836E-2</c:v>
                </c:pt>
                <c:pt idx="74">
                  <c:v>5.5571558843558577E-2</c:v>
                </c:pt>
                <c:pt idx="75">
                  <c:v>5.5578393905055812E-2</c:v>
                </c:pt>
                <c:pt idx="76">
                  <c:v>5.5584485615431278E-2</c:v>
                </c:pt>
                <c:pt idx="77">
                  <c:v>5.5589907751221412E-2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4-4F0E-8D44-F8D354122A1F}"/>
            </c:ext>
          </c:extLst>
        </c:ser>
        <c:ser>
          <c:idx val="1"/>
          <c:order val="1"/>
          <c:tx>
            <c:strRef>
              <c:f>'NSS Goverment'!$K$78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'NSS Goverment'!$L$2:$CK$2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Goverment'!$L$78:$CK$78</c:f>
              <c:numCache>
                <c:formatCode>0.00%</c:formatCode>
                <c:ptCount val="78"/>
                <c:pt idx="0">
                  <c:v>1.5529446517495061E-2</c:v>
                </c:pt>
                <c:pt idx="1">
                  <c:v>1.4725990403566053E-2</c:v>
                </c:pt>
                <c:pt idx="2">
                  <c:v>1.4879436232653665E-2</c:v>
                </c:pt>
                <c:pt idx="3">
                  <c:v>1.5171087751184311E-2</c:v>
                </c:pt>
                <c:pt idx="4">
                  <c:v>1.5577405394840455E-2</c:v>
                </c:pt>
                <c:pt idx="5">
                  <c:v>1.6077976692702285E-2</c:v>
                </c:pt>
                <c:pt idx="6">
                  <c:v>1.6655133820386362E-2</c:v>
                </c:pt>
                <c:pt idx="7">
                  <c:v>1.7293616162044036E-2</c:v>
                </c:pt>
                <c:pt idx="8">
                  <c:v>1.7980272695201128E-2</c:v>
                </c:pt>
                <c:pt idx="9">
                  <c:v>1.8703799602288781E-2</c:v>
                </c:pt>
                <c:pt idx="10">
                  <c:v>1.9454509036059713E-2</c:v>
                </c:pt>
                <c:pt idx="11">
                  <c:v>2.0224125430359719E-2</c:v>
                </c:pt>
                <c:pt idx="12">
                  <c:v>2.1005606159559848E-2</c:v>
                </c:pt>
                <c:pt idx="13">
                  <c:v>2.1792983715235283E-2</c:v>
                </c:pt>
                <c:pt idx="14">
                  <c:v>2.2581226892630899E-2</c:v>
                </c:pt>
                <c:pt idx="15">
                  <c:v>2.3366118766724491E-2</c:v>
                </c:pt>
                <c:pt idx="16">
                  <c:v>2.4144149492412906E-2</c:v>
                </c:pt>
                <c:pt idx="17">
                  <c:v>2.4912422189164146E-2</c:v>
                </c:pt>
                <c:pt idx="18">
                  <c:v>2.5668570370656105E-2</c:v>
                </c:pt>
                <c:pt idx="19">
                  <c:v>2.6410685557345888E-2</c:v>
                </c:pt>
                <c:pt idx="20">
                  <c:v>2.71372538671509E-2</c:v>
                </c:pt>
                <c:pt idx="21">
                  <c:v>2.7847100518747926E-2</c:v>
                </c:pt>
                <c:pt idx="22">
                  <c:v>2.8539341305435464E-2</c:v>
                </c:pt>
                <c:pt idx="23">
                  <c:v>2.9213340206849417E-2</c:v>
                </c:pt>
                <c:pt idx="24">
                  <c:v>2.9868672402668682E-2</c:v>
                </c:pt>
                <c:pt idx="25">
                  <c:v>3.0505092038209097E-2</c:v>
                </c:pt>
                <c:pt idx="26">
                  <c:v>3.1122504167736938E-2</c:v>
                </c:pt>
                <c:pt idx="27">
                  <c:v>3.1720940368551886E-2</c:v>
                </c:pt>
                <c:pt idx="28">
                  <c:v>3.2300537578382332E-2</c:v>
                </c:pt>
                <c:pt idx="29">
                  <c:v>3.2861519761280704E-2</c:v>
                </c:pt>
                <c:pt idx="30">
                  <c:v>3.3404182053782747E-2</c:v>
                </c:pt>
                <c:pt idx="31">
                  <c:v>3.3928877084291507E-2</c:v>
                </c:pt>
                <c:pt idx="32">
                  <c:v>3.4436003195078932E-2</c:v>
                </c:pt>
                <c:pt idx="33">
                  <c:v>3.4925994328507876E-2</c:v>
                </c:pt>
                <c:pt idx="34">
                  <c:v>3.5399311367547329E-2</c:v>
                </c:pt>
                <c:pt idx="35">
                  <c:v>3.5856434745812266E-2</c:v>
                </c:pt>
                <c:pt idx="36">
                  <c:v>3.629785816458439E-2</c:v>
                </c:pt>
                <c:pt idx="37">
                  <c:v>3.6724083273899408E-2</c:v>
                </c:pt>
                <c:pt idx="38">
                  <c:v>3.7135615192116396E-2</c:v>
                </c:pt>
                <c:pt idx="39">
                  <c:v>3.7532958753681442E-2</c:v>
                </c:pt>
                <c:pt idx="40">
                  <c:v>3.791661538829371E-2</c:v>
                </c:pt>
                <c:pt idx="41">
                  <c:v>3.8287080546586284E-2</c:v>
                </c:pt>
                <c:pt idx="42">
                  <c:v>3.864484159792942E-2</c:v>
                </c:pt>
                <c:pt idx="43">
                  <c:v>3.8990376135214347E-2</c:v>
                </c:pt>
                <c:pt idx="44">
                  <c:v>3.9324150629624591E-2</c:v>
                </c:pt>
                <c:pt idx="45">
                  <c:v>3.9646619385577703E-2</c:v>
                </c:pt>
                <c:pt idx="46">
                  <c:v>3.995822375233684E-2</c:v>
                </c:pt>
                <c:pt idx="47">
                  <c:v>4.0259391554347358E-2</c:v>
                </c:pt>
                <c:pt idx="48">
                  <c:v>4.0550536707239911E-2</c:v>
                </c:pt>
                <c:pt idx="49">
                  <c:v>4.0832058990734367E-2</c:v>
                </c:pt>
                <c:pt idx="50">
                  <c:v>4.1104343953449779E-2</c:v>
                </c:pt>
                <c:pt idx="51">
                  <c:v>4.136776292793494E-2</c:v>
                </c:pt>
                <c:pt idx="52">
                  <c:v>4.1622673137136738E-2</c:v>
                </c:pt>
                <c:pt idx="53">
                  <c:v>4.1869417876067655E-2</c:v>
                </c:pt>
                <c:pt idx="54">
                  <c:v>4.2108326754661501E-2</c:v>
                </c:pt>
                <c:pt idx="55">
                  <c:v>4.2339715989756263E-2</c:v>
                </c:pt>
                <c:pt idx="56">
                  <c:v>4.25638887358471E-2</c:v>
                </c:pt>
                <c:pt idx="57">
                  <c:v>4.278113544574124E-2</c:v>
                </c:pt>
                <c:pt idx="58">
                  <c:v>4.2991734253545015E-2</c:v>
                </c:pt>
                <c:pt idx="59">
                  <c:v>4.3195951373545427E-2</c:v>
                </c:pt>
                <c:pt idx="60">
                  <c:v>4.3394041509533306E-2</c:v>
                </c:pt>
                <c:pt idx="61">
                  <c:v>4.3586248269971796E-2</c:v>
                </c:pt>
                <c:pt idx="62">
                  <c:v>4.3772804585156887E-2</c:v>
                </c:pt>
                <c:pt idx="63">
                  <c:v>4.3953933123160802E-2</c:v>
                </c:pt>
                <c:pt idx="64">
                  <c:v>4.4129846701906221E-2</c:v>
                </c:pt>
                <c:pt idx="65">
                  <c:v>4.4300748695200065E-2</c:v>
                </c:pt>
                <c:pt idx="66">
                  <c:v>4.4466833430970423E-2</c:v>
                </c:pt>
                <c:pt idx="67">
                  <c:v>4.4628286580305501E-2</c:v>
                </c:pt>
                <c:pt idx="68">
                  <c:v>4.4785285536199614E-2</c:v>
                </c:pt>
                <c:pt idx="69">
                  <c:v>4.493799978117128E-2</c:v>
                </c:pt>
                <c:pt idx="70">
                  <c:v>4.5086591243141148E-2</c:v>
                </c:pt>
                <c:pt idx="71">
                  <c:v>4.5231214639145527E-2</c:v>
                </c:pt>
                <c:pt idx="72">
                  <c:v>4.5372017806620875E-2</c:v>
                </c:pt>
                <c:pt idx="73">
                  <c:v>4.5509142022127781E-2</c:v>
                </c:pt>
                <c:pt idx="74">
                  <c:v>4.5642722307495227E-2</c:v>
                </c:pt>
                <c:pt idx="75">
                  <c:v>4.5772887723458056E-2</c:v>
                </c:pt>
                <c:pt idx="76">
                  <c:v>4.5899761650937024E-2</c:v>
                </c:pt>
                <c:pt idx="77">
                  <c:v>4.6023462060172556E-2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94-4F0E-8D44-F8D35412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Model and market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Goverment'!$D$2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'NSS Goverment'!$A$3:$A$67</c:f>
              <c:numCache>
                <c:formatCode>0.0</c:formatCode>
                <c:ptCount val="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3.5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5</c:v>
                </c:pt>
                <c:pt idx="42">
                  <c:v>5.5</c:v>
                </c:pt>
                <c:pt idx="43">
                  <c:v>5.5</c:v>
                </c:pt>
                <c:pt idx="44">
                  <c:v>6</c:v>
                </c:pt>
                <c:pt idx="45">
                  <c:v>6</c:v>
                </c:pt>
                <c:pt idx="46">
                  <c:v>6.5</c:v>
                </c:pt>
                <c:pt idx="47">
                  <c:v>7</c:v>
                </c:pt>
                <c:pt idx="48">
                  <c:v>10</c:v>
                </c:pt>
                <c:pt idx="49">
                  <c:v>10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13.5</c:v>
                </c:pt>
                <c:pt idx="54">
                  <c:v>14</c:v>
                </c:pt>
                <c:pt idx="55">
                  <c:v>14</c:v>
                </c:pt>
                <c:pt idx="56">
                  <c:v>14.5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24</c:v>
                </c:pt>
                <c:pt idx="63">
                  <c:v>30</c:v>
                </c:pt>
              </c:numCache>
            </c:numRef>
          </c:xVal>
          <c:yVal>
            <c:numRef>
              <c:f>'NSS Goverment'!$D$3:$D$67</c:f>
              <c:numCache>
                <c:formatCode>0.00</c:formatCode>
                <c:ptCount val="65"/>
                <c:pt idx="0">
                  <c:v>99.237417468814584</c:v>
                </c:pt>
                <c:pt idx="1">
                  <c:v>99.331688301868283</c:v>
                </c:pt>
                <c:pt idx="2">
                  <c:v>99.629385669406361</c:v>
                </c:pt>
                <c:pt idx="3">
                  <c:v>99.331688301868283</c:v>
                </c:pt>
                <c:pt idx="4">
                  <c:v>99.237417468814584</c:v>
                </c:pt>
                <c:pt idx="5">
                  <c:v>99.331688301868283</c:v>
                </c:pt>
                <c:pt idx="6">
                  <c:v>99.237417468814584</c:v>
                </c:pt>
                <c:pt idx="7">
                  <c:v>99.331688301868283</c:v>
                </c:pt>
                <c:pt idx="8">
                  <c:v>98.746552960753235</c:v>
                </c:pt>
                <c:pt idx="9">
                  <c:v>98.55866079455302</c:v>
                </c:pt>
                <c:pt idx="10">
                  <c:v>98.104477981278322</c:v>
                </c:pt>
                <c:pt idx="11">
                  <c:v>98.104477981278322</c:v>
                </c:pt>
                <c:pt idx="12">
                  <c:v>98.104477981278322</c:v>
                </c:pt>
                <c:pt idx="13">
                  <c:v>98.400068096723359</c:v>
                </c:pt>
                <c:pt idx="14">
                  <c:v>98.695658212168354</c:v>
                </c:pt>
                <c:pt idx="15">
                  <c:v>97.426083887443596</c:v>
                </c:pt>
                <c:pt idx="16">
                  <c:v>97.818707463200326</c:v>
                </c:pt>
                <c:pt idx="17">
                  <c:v>97.426083887443596</c:v>
                </c:pt>
                <c:pt idx="18">
                  <c:v>97.426083887443596</c:v>
                </c:pt>
                <c:pt idx="19">
                  <c:v>97.818707463200326</c:v>
                </c:pt>
                <c:pt idx="20">
                  <c:v>98.211331038957013</c:v>
                </c:pt>
                <c:pt idx="21">
                  <c:v>97.426083887443596</c:v>
                </c:pt>
                <c:pt idx="22">
                  <c:v>96.69821490389225</c:v>
                </c:pt>
                <c:pt idx="23">
                  <c:v>98.164713777000983</c:v>
                </c:pt>
                <c:pt idx="24">
                  <c:v>97.675880819298058</c:v>
                </c:pt>
                <c:pt idx="25">
                  <c:v>96.69821490389225</c:v>
                </c:pt>
                <c:pt idx="26">
                  <c:v>97.675880819298058</c:v>
                </c:pt>
                <c:pt idx="27">
                  <c:v>98.164713777000983</c:v>
                </c:pt>
                <c:pt idx="28">
                  <c:v>97.187047861595161</c:v>
                </c:pt>
                <c:pt idx="29">
                  <c:v>97.675880819298058</c:v>
                </c:pt>
                <c:pt idx="30">
                  <c:v>95.911810247422693</c:v>
                </c:pt>
                <c:pt idx="31">
                  <c:v>97.664292069451662</c:v>
                </c:pt>
                <c:pt idx="32">
                  <c:v>95.911810247422693</c:v>
                </c:pt>
                <c:pt idx="33">
                  <c:v>97.664292069451662</c:v>
                </c:pt>
                <c:pt idx="34">
                  <c:v>95.061199751567401</c:v>
                </c:pt>
                <c:pt idx="35">
                  <c:v>95.061199751567401</c:v>
                </c:pt>
                <c:pt idx="36">
                  <c:v>94.14349817334616</c:v>
                </c:pt>
                <c:pt idx="37">
                  <c:v>94.14349817334616</c:v>
                </c:pt>
                <c:pt idx="38">
                  <c:v>93.158081769023724</c:v>
                </c:pt>
                <c:pt idx="39">
                  <c:v>93.158081769023724</c:v>
                </c:pt>
                <c:pt idx="40">
                  <c:v>93.158081769023724</c:v>
                </c:pt>
                <c:pt idx="41">
                  <c:v>92.106135419155692</c:v>
                </c:pt>
                <c:pt idx="42">
                  <c:v>90.990261557176908</c:v>
                </c:pt>
                <c:pt idx="43">
                  <c:v>90.990261557176908</c:v>
                </c:pt>
                <c:pt idx="44">
                  <c:v>90.948128619015407</c:v>
                </c:pt>
                <c:pt idx="45">
                  <c:v>90.948128619015407</c:v>
                </c:pt>
                <c:pt idx="46">
                  <c:v>89.80360649476178</c:v>
                </c:pt>
                <c:pt idx="47">
                  <c:v>91.221655589458493</c:v>
                </c:pt>
                <c:pt idx="48">
                  <c:v>84.222710339289961</c:v>
                </c:pt>
                <c:pt idx="49">
                  <c:v>80.6377488146193</c:v>
                </c:pt>
                <c:pt idx="50">
                  <c:v>77.836267317130577</c:v>
                </c:pt>
                <c:pt idx="51">
                  <c:v>74.328266109513365</c:v>
                </c:pt>
                <c:pt idx="52">
                  <c:v>72.980836539405729</c:v>
                </c:pt>
                <c:pt idx="53">
                  <c:v>72.980836539405729</c:v>
                </c:pt>
                <c:pt idx="54">
                  <c:v>73.995009124093059</c:v>
                </c:pt>
                <c:pt idx="55">
                  <c:v>73.995009124093059</c:v>
                </c:pt>
                <c:pt idx="56">
                  <c:v>72.730991952531483</c:v>
                </c:pt>
                <c:pt idx="57">
                  <c:v>71.478934804159081</c:v>
                </c:pt>
                <c:pt idx="58">
                  <c:v>56.905273383756573</c:v>
                </c:pt>
                <c:pt idx="59">
                  <c:v>54.002142317115748</c:v>
                </c:pt>
                <c:pt idx="60">
                  <c:v>53.092735337682633</c:v>
                </c:pt>
                <c:pt idx="61">
                  <c:v>53.092735337682633</c:v>
                </c:pt>
                <c:pt idx="62">
                  <c:v>52.204886748345317</c:v>
                </c:pt>
                <c:pt idx="63">
                  <c:v>43.117306424777951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6-43A5-8A5D-9232AA3EC0B0}"/>
            </c:ext>
          </c:extLst>
        </c:ser>
        <c:ser>
          <c:idx val="1"/>
          <c:order val="1"/>
          <c:tx>
            <c:strRef>
              <c:f>'NSS Goverment'!$C$2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Goverment'!$A$3:$A$67</c:f>
              <c:numCache>
                <c:formatCode>0.0</c:formatCode>
                <c:ptCount val="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3.5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5</c:v>
                </c:pt>
                <c:pt idx="42">
                  <c:v>5.5</c:v>
                </c:pt>
                <c:pt idx="43">
                  <c:v>5.5</c:v>
                </c:pt>
                <c:pt idx="44">
                  <c:v>6</c:v>
                </c:pt>
                <c:pt idx="45">
                  <c:v>6</c:v>
                </c:pt>
                <c:pt idx="46">
                  <c:v>6.5</c:v>
                </c:pt>
                <c:pt idx="47">
                  <c:v>7</c:v>
                </c:pt>
                <c:pt idx="48">
                  <c:v>10</c:v>
                </c:pt>
                <c:pt idx="49">
                  <c:v>10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13.5</c:v>
                </c:pt>
                <c:pt idx="54">
                  <c:v>14</c:v>
                </c:pt>
                <c:pt idx="55">
                  <c:v>14</c:v>
                </c:pt>
                <c:pt idx="56">
                  <c:v>14.5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24</c:v>
                </c:pt>
                <c:pt idx="63">
                  <c:v>30</c:v>
                </c:pt>
              </c:numCache>
            </c:numRef>
          </c:xVal>
          <c:yVal>
            <c:numRef>
              <c:f>'NSS Goverment'!$C$3:$C$67</c:f>
              <c:numCache>
                <c:formatCode>0.00</c:formatCode>
                <c:ptCount val="65"/>
                <c:pt idx="0">
                  <c:v>99.539000000000001</c:v>
                </c:pt>
                <c:pt idx="1">
                  <c:v>99.591999999999999</c:v>
                </c:pt>
                <c:pt idx="2">
                  <c:v>99.729500000000002</c:v>
                </c:pt>
                <c:pt idx="3">
                  <c:v>99.331500000000005</c:v>
                </c:pt>
                <c:pt idx="4">
                  <c:v>99.263000000000005</c:v>
                </c:pt>
                <c:pt idx="5">
                  <c:v>99.078499999999991</c:v>
                </c:pt>
                <c:pt idx="6">
                  <c:v>98.989499999999992</c:v>
                </c:pt>
                <c:pt idx="7">
                  <c:v>99.084999999999994</c:v>
                </c:pt>
                <c:pt idx="8">
                  <c:v>98.77600000000001</c:v>
                </c:pt>
                <c:pt idx="9">
                  <c:v>98.657499999999999</c:v>
                </c:pt>
                <c:pt idx="10">
                  <c:v>98.426000000000002</c:v>
                </c:pt>
                <c:pt idx="11">
                  <c:v>98.417000000000002</c:v>
                </c:pt>
                <c:pt idx="12">
                  <c:v>98.104500000000002</c:v>
                </c:pt>
                <c:pt idx="13">
                  <c:v>98.275499999999994</c:v>
                </c:pt>
                <c:pt idx="14">
                  <c:v>98.445499999999996</c:v>
                </c:pt>
                <c:pt idx="15">
                  <c:v>97.781000000000006</c:v>
                </c:pt>
                <c:pt idx="16">
                  <c:v>97.972999999999999</c:v>
                </c:pt>
                <c:pt idx="17">
                  <c:v>97.774000000000001</c:v>
                </c:pt>
                <c:pt idx="18">
                  <c:v>97.453499999999991</c:v>
                </c:pt>
                <c:pt idx="19">
                  <c:v>97.664000000000001</c:v>
                </c:pt>
                <c:pt idx="20">
                  <c:v>97.888999999999996</c:v>
                </c:pt>
                <c:pt idx="21">
                  <c:v>97.43549999999999</c:v>
                </c:pt>
                <c:pt idx="22">
                  <c:v>97.103999999999999</c:v>
                </c:pt>
                <c:pt idx="23">
                  <c:v>97.831999999999994</c:v>
                </c:pt>
                <c:pt idx="24">
                  <c:v>97.578499999999991</c:v>
                </c:pt>
                <c:pt idx="25">
                  <c:v>96.6995</c:v>
                </c:pt>
                <c:pt idx="26">
                  <c:v>97.244</c:v>
                </c:pt>
                <c:pt idx="27">
                  <c:v>97.507499999999993</c:v>
                </c:pt>
                <c:pt idx="28">
                  <c:v>96.978000000000009</c:v>
                </c:pt>
                <c:pt idx="29">
                  <c:v>97.244</c:v>
                </c:pt>
                <c:pt idx="30">
                  <c:v>96.294499999999999</c:v>
                </c:pt>
                <c:pt idx="31">
                  <c:v>97.174999999999997</c:v>
                </c:pt>
                <c:pt idx="32">
                  <c:v>95.846000000000004</c:v>
                </c:pt>
                <c:pt idx="33">
                  <c:v>96.799499999999995</c:v>
                </c:pt>
                <c:pt idx="34">
                  <c:v>95.403999999999996</c:v>
                </c:pt>
                <c:pt idx="35">
                  <c:v>94.936499999999995</c:v>
                </c:pt>
                <c:pt idx="36">
                  <c:v>94.484999999999999</c:v>
                </c:pt>
                <c:pt idx="37">
                  <c:v>94.031000000000006</c:v>
                </c:pt>
                <c:pt idx="38">
                  <c:v>93.595500000000001</c:v>
                </c:pt>
                <c:pt idx="39">
                  <c:v>93.12</c:v>
                </c:pt>
                <c:pt idx="40">
                  <c:v>92.654499999999999</c:v>
                </c:pt>
                <c:pt idx="41">
                  <c:v>92.173000000000002</c:v>
                </c:pt>
                <c:pt idx="42">
                  <c:v>91.65100000000001</c:v>
                </c:pt>
                <c:pt idx="43">
                  <c:v>91.1845</c:v>
                </c:pt>
                <c:pt idx="44">
                  <c:v>91.232500000000002</c:v>
                </c:pt>
                <c:pt idx="45">
                  <c:v>90.757499999999993</c:v>
                </c:pt>
                <c:pt idx="46">
                  <c:v>90.271000000000001</c:v>
                </c:pt>
                <c:pt idx="47">
                  <c:v>90.114000000000004</c:v>
                </c:pt>
                <c:pt idx="48">
                  <c:v>83.936999999999998</c:v>
                </c:pt>
                <c:pt idx="49">
                  <c:v>81.515000000000001</c:v>
                </c:pt>
                <c:pt idx="50">
                  <c:v>76.502499999999998</c:v>
                </c:pt>
                <c:pt idx="51">
                  <c:v>74.697000000000003</c:v>
                </c:pt>
                <c:pt idx="52">
                  <c:v>74.035499999999999</c:v>
                </c:pt>
                <c:pt idx="53">
                  <c:v>73.396000000000001</c:v>
                </c:pt>
                <c:pt idx="54">
                  <c:v>73.914500000000004</c:v>
                </c:pt>
                <c:pt idx="55">
                  <c:v>73.332999999999998</c:v>
                </c:pt>
                <c:pt idx="56">
                  <c:v>72.730999999999995</c:v>
                </c:pt>
                <c:pt idx="57">
                  <c:v>70.858499999999992</c:v>
                </c:pt>
                <c:pt idx="58">
                  <c:v>58.231999999999999</c:v>
                </c:pt>
                <c:pt idx="59">
                  <c:v>53.6965</c:v>
                </c:pt>
                <c:pt idx="60">
                  <c:v>53.173500000000004</c:v>
                </c:pt>
                <c:pt idx="61">
                  <c:v>52.658000000000001</c:v>
                </c:pt>
                <c:pt idx="62">
                  <c:v>52.198499999999996</c:v>
                </c:pt>
                <c:pt idx="63">
                  <c:v>43.823999999999998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66-43A5-8A5D-9232AA3E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34752"/>
        <c:axId val="184037456"/>
      </c:scatterChart>
      <c:valAx>
        <c:axId val="18403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7456"/>
        <c:crosses val="autoZero"/>
        <c:crossBetween val="midCat"/>
      </c:valAx>
      <c:valAx>
        <c:axId val="184037456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Goverment'!$A$3:$A$67</c:f>
              <c:numCache>
                <c:formatCode>0.0</c:formatCode>
                <c:ptCount val="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3.5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5</c:v>
                </c:pt>
                <c:pt idx="42">
                  <c:v>5.5</c:v>
                </c:pt>
                <c:pt idx="43">
                  <c:v>5.5</c:v>
                </c:pt>
                <c:pt idx="44">
                  <c:v>6</c:v>
                </c:pt>
                <c:pt idx="45">
                  <c:v>6</c:v>
                </c:pt>
                <c:pt idx="46">
                  <c:v>6.5</c:v>
                </c:pt>
                <c:pt idx="47">
                  <c:v>7</c:v>
                </c:pt>
                <c:pt idx="48">
                  <c:v>10</c:v>
                </c:pt>
                <c:pt idx="49">
                  <c:v>10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13.5</c:v>
                </c:pt>
                <c:pt idx="54">
                  <c:v>14</c:v>
                </c:pt>
                <c:pt idx="55">
                  <c:v>14</c:v>
                </c:pt>
                <c:pt idx="56">
                  <c:v>14.5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24</c:v>
                </c:pt>
                <c:pt idx="63">
                  <c:v>30</c:v>
                </c:pt>
              </c:numCache>
            </c:numRef>
          </c:xVal>
          <c:yVal>
            <c:numRef>
              <c:f>'NSS Goverment'!$E$3:$E$67</c:f>
              <c:numCache>
                <c:formatCode>0.00</c:formatCode>
                <c:ptCount val="65"/>
                <c:pt idx="0">
                  <c:v>-0.30158253118541722</c:v>
                </c:pt>
                <c:pt idx="1">
                  <c:v>-0.26031169813171573</c:v>
                </c:pt>
                <c:pt idx="2">
                  <c:v>-0.10011433059364094</c:v>
                </c:pt>
                <c:pt idx="3">
                  <c:v>1.8830186827756279E-4</c:v>
                </c:pt>
                <c:pt idx="4">
                  <c:v>-2.5582531185420976E-2</c:v>
                </c:pt>
                <c:pt idx="5">
                  <c:v>0.25318830186829189</c:v>
                </c:pt>
                <c:pt idx="6">
                  <c:v>0.24791746881459176</c:v>
                </c:pt>
                <c:pt idx="7">
                  <c:v>0.24668830186828927</c:v>
                </c:pt>
                <c:pt idx="8">
                  <c:v>-2.944703924677583E-2</c:v>
                </c:pt>
                <c:pt idx="9">
                  <c:v>-9.883920544697844E-2</c:v>
                </c:pt>
                <c:pt idx="10">
                  <c:v>-0.32152201872168007</c:v>
                </c:pt>
                <c:pt idx="11">
                  <c:v>-0.31252201872167973</c:v>
                </c:pt>
                <c:pt idx="12">
                  <c:v>-2.2018721679728515E-5</c:v>
                </c:pt>
                <c:pt idx="13">
                  <c:v>0.12456809672336533</c:v>
                </c:pt>
                <c:pt idx="14">
                  <c:v>0.25015821216835832</c:v>
                </c:pt>
                <c:pt idx="15">
                  <c:v>-0.35491611255640976</c:v>
                </c:pt>
                <c:pt idx="16">
                  <c:v>-0.15429253679967303</c:v>
                </c:pt>
                <c:pt idx="17">
                  <c:v>-0.34791611255640476</c:v>
                </c:pt>
                <c:pt idx="18">
                  <c:v>-2.7416112556394978E-2</c:v>
                </c:pt>
                <c:pt idx="19">
                  <c:v>0.15470746320032447</c:v>
                </c:pt>
                <c:pt idx="20">
                  <c:v>0.32233103895701731</c:v>
                </c:pt>
                <c:pt idx="21">
                  <c:v>-9.416112556394296E-3</c:v>
                </c:pt>
                <c:pt idx="22">
                  <c:v>-0.40578509610774915</c:v>
                </c:pt>
                <c:pt idx="23">
                  <c:v>0.33271377700098981</c:v>
                </c:pt>
                <c:pt idx="24">
                  <c:v>9.7380819298066967E-2</c:v>
                </c:pt>
                <c:pt idx="25">
                  <c:v>-1.2850961077504053E-3</c:v>
                </c:pt>
                <c:pt idx="26">
                  <c:v>0.43188081929805833</c:v>
                </c:pt>
                <c:pt idx="27">
                  <c:v>0.65721377700099026</c:v>
                </c:pt>
                <c:pt idx="28">
                  <c:v>0.20904786159515254</c:v>
                </c:pt>
                <c:pt idx="29">
                  <c:v>0.43188081929805833</c:v>
                </c:pt>
                <c:pt idx="30">
                  <c:v>-0.38268975257730631</c:v>
                </c:pt>
                <c:pt idx="31">
                  <c:v>0.4892920694516647</c:v>
                </c:pt>
                <c:pt idx="32">
                  <c:v>6.5810247422689372E-2</c:v>
                </c:pt>
                <c:pt idx="33">
                  <c:v>0.86479206945166709</c:v>
                </c:pt>
                <c:pt idx="34">
                  <c:v>-0.34280024843259582</c:v>
                </c:pt>
                <c:pt idx="35">
                  <c:v>0.12469975156740531</c:v>
                </c:pt>
                <c:pt idx="36">
                  <c:v>-0.34150182665383966</c:v>
                </c:pt>
                <c:pt idx="37">
                  <c:v>0.11249817334615386</c:v>
                </c:pt>
                <c:pt idx="38">
                  <c:v>-0.4374182309762773</c:v>
                </c:pt>
                <c:pt idx="39">
                  <c:v>3.8081769023719403E-2</c:v>
                </c:pt>
                <c:pt idx="40">
                  <c:v>0.5035817690237252</c:v>
                </c:pt>
                <c:pt idx="41">
                  <c:v>-6.686458084431024E-2</c:v>
                </c:pt>
                <c:pt idx="42">
                  <c:v>-0.6607384428231029</c:v>
                </c:pt>
                <c:pt idx="43">
                  <c:v>-0.19423844282309233</c:v>
                </c:pt>
                <c:pt idx="44">
                  <c:v>-0.28437138098459513</c:v>
                </c:pt>
                <c:pt idx="45">
                  <c:v>0.19062861901541339</c:v>
                </c:pt>
                <c:pt idx="46">
                  <c:v>-0.46739350523822054</c:v>
                </c:pt>
                <c:pt idx="47">
                  <c:v>1.1076555894584885</c:v>
                </c:pt>
                <c:pt idx="48">
                  <c:v>0.28571033928996314</c:v>
                </c:pt>
                <c:pt idx="49">
                  <c:v>-0.87725118538070035</c:v>
                </c:pt>
                <c:pt idx="50">
                  <c:v>1.3337673171305795</c:v>
                </c:pt>
                <c:pt idx="51">
                  <c:v>-0.36873389048663796</c:v>
                </c:pt>
                <c:pt idx="52">
                  <c:v>-1.05466346059427</c:v>
                </c:pt>
                <c:pt idx="53">
                  <c:v>-0.41516346059427178</c:v>
                </c:pt>
                <c:pt idx="54">
                  <c:v>8.0509124093055107E-2</c:v>
                </c:pt>
                <c:pt idx="55">
                  <c:v>0.66200912409306056</c:v>
                </c:pt>
                <c:pt idx="56">
                  <c:v>-8.0474685120179856E-6</c:v>
                </c:pt>
                <c:pt idx="57">
                  <c:v>0.62043480415908903</c:v>
                </c:pt>
                <c:pt idx="58">
                  <c:v>-1.3267266162434268</c:v>
                </c:pt>
                <c:pt idx="59">
                  <c:v>0.30564231711574763</c:v>
                </c:pt>
                <c:pt idx="60">
                  <c:v>-8.0764662317371005E-2</c:v>
                </c:pt>
                <c:pt idx="61">
                  <c:v>0.43473533768263195</c:v>
                </c:pt>
                <c:pt idx="62">
                  <c:v>6.3867483453208251E-3</c:v>
                </c:pt>
                <c:pt idx="63">
                  <c:v>-0.70669357522204734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9-47B2-9563-0ECEE3E18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3184"/>
        <c:axId val="184056304"/>
      </c:scatterChart>
      <c:valAx>
        <c:axId val="1840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304"/>
        <c:crosses val="autoZero"/>
        <c:crossBetween val="midCat"/>
      </c:valAx>
      <c:valAx>
        <c:axId val="1840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yield)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58137484723"/>
          <c:y val="0.165764071157772"/>
          <c:w val="0.82840789939425497"/>
          <c:h val="0.69798592884222799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Goverment'!$A$3:$A$67</c:f>
              <c:numCache>
                <c:formatCode>0.0</c:formatCode>
                <c:ptCount val="6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3.5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5</c:v>
                </c:pt>
                <c:pt idx="42">
                  <c:v>5.5</c:v>
                </c:pt>
                <c:pt idx="43">
                  <c:v>5.5</c:v>
                </c:pt>
                <c:pt idx="44">
                  <c:v>6</c:v>
                </c:pt>
                <c:pt idx="45">
                  <c:v>6</c:v>
                </c:pt>
                <c:pt idx="46">
                  <c:v>6.5</c:v>
                </c:pt>
                <c:pt idx="47">
                  <c:v>7</c:v>
                </c:pt>
                <c:pt idx="48">
                  <c:v>10</c:v>
                </c:pt>
                <c:pt idx="49">
                  <c:v>10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13.5</c:v>
                </c:pt>
                <c:pt idx="54">
                  <c:v>14</c:v>
                </c:pt>
                <c:pt idx="55">
                  <c:v>14</c:v>
                </c:pt>
                <c:pt idx="56">
                  <c:v>14.5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24</c:v>
                </c:pt>
                <c:pt idx="63">
                  <c:v>30</c:v>
                </c:pt>
              </c:numCache>
            </c:numRef>
          </c:xVal>
          <c:yVal>
            <c:numRef>
              <c:f>'NSS Goverment'!$I$3:$I$67</c:f>
              <c:numCache>
                <c:formatCode>0.00%</c:formatCode>
                <c:ptCount val="65"/>
                <c:pt idx="0">
                  <c:v>3.0532275253771779E-3</c:v>
                </c:pt>
                <c:pt idx="1">
                  <c:v>2.6339983086824947E-3</c:v>
                </c:pt>
                <c:pt idx="2">
                  <c:v>1.0116234001062985E-3</c:v>
                </c:pt>
                <c:pt idx="3">
                  <c:v>-1.9103541917253608E-6</c:v>
                </c:pt>
                <c:pt idx="4">
                  <c:v>2.5971819503456395E-4</c:v>
                </c:pt>
                <c:pt idx="5">
                  <c:v>-2.575197093021897E-3</c:v>
                </c:pt>
                <c:pt idx="6">
                  <c:v>-2.5238541788477065E-3</c:v>
                </c:pt>
                <c:pt idx="7">
                  <c:v>-2.508920511868018E-3</c:v>
                </c:pt>
                <c:pt idx="8">
                  <c:v>1.5023993216312093E-4</c:v>
                </c:pt>
                <c:pt idx="9">
                  <c:v>5.0473484190960427E-4</c:v>
                </c:pt>
                <c:pt idx="10">
                  <c:v>1.0992546494592581E-3</c:v>
                </c:pt>
                <c:pt idx="11">
                  <c:v>1.0685496713416232E-3</c:v>
                </c:pt>
                <c:pt idx="12">
                  <c:v>7.54445332873388E-8</c:v>
                </c:pt>
                <c:pt idx="13">
                  <c:v>-4.2632384603935591E-4</c:v>
                </c:pt>
                <c:pt idx="14">
                  <c:v>-8.5516136084429206E-4</c:v>
                </c:pt>
                <c:pt idx="15">
                  <c:v>9.169224522425079E-4</c:v>
                </c:pt>
                <c:pt idx="16">
                  <c:v>3.9812652324844322E-4</c:v>
                </c:pt>
                <c:pt idx="17">
                  <c:v>8.9887829559920362E-4</c:v>
                </c:pt>
                <c:pt idx="18">
                  <c:v>7.0978130854548738E-5</c:v>
                </c:pt>
                <c:pt idx="19">
                  <c:v>-3.9998769328608574E-4</c:v>
                </c:pt>
                <c:pt idx="20">
                  <c:v>-8.3217443011873726E-4</c:v>
                </c:pt>
                <c:pt idx="21">
                  <c:v>2.43803826052158E-5</c:v>
                </c:pt>
                <c:pt idx="22">
                  <c:v>8.4538847021309316E-4</c:v>
                </c:pt>
                <c:pt idx="23">
                  <c:v>-6.9006404915650243E-4</c:v>
                </c:pt>
                <c:pt idx="24">
                  <c:v>-2.0228690064927335E-4</c:v>
                </c:pt>
                <c:pt idx="25">
                  <c:v>2.6840175790798781E-6</c:v>
                </c:pt>
                <c:pt idx="26">
                  <c:v>-8.9899309088314894E-4</c:v>
                </c:pt>
                <c:pt idx="27">
                  <c:v>-1.3658251650052744E-3</c:v>
                </c:pt>
                <c:pt idx="28">
                  <c:v>-4.3586258837002845E-4</c:v>
                </c:pt>
                <c:pt idx="29">
                  <c:v>-8.9899309088314894E-4</c:v>
                </c:pt>
                <c:pt idx="30">
                  <c:v>6.7048389584201118E-4</c:v>
                </c:pt>
                <c:pt idx="31">
                  <c:v>-8.52727960799049E-4</c:v>
                </c:pt>
                <c:pt idx="32">
                  <c:v>-1.1561655860581332E-4</c:v>
                </c:pt>
                <c:pt idx="33">
                  <c:v>-1.5105689756387264E-3</c:v>
                </c:pt>
                <c:pt idx="34">
                  <c:v>5.1996409479859729E-4</c:v>
                </c:pt>
                <c:pt idx="35">
                  <c:v>-1.8967915304157756E-4</c:v>
                </c:pt>
                <c:pt idx="36">
                  <c:v>4.5806213740151591E-4</c:v>
                </c:pt>
                <c:pt idx="37">
                  <c:v>-1.5130613785907521E-4</c:v>
                </c:pt>
                <c:pt idx="38">
                  <c:v>5.27208419191183E-4</c:v>
                </c:pt>
                <c:pt idx="39">
                  <c:v>-4.6029397171132302E-5</c:v>
                </c:pt>
                <c:pt idx="40">
                  <c:v>-6.1037983660505724E-4</c:v>
                </c:pt>
                <c:pt idx="41">
                  <c:v>7.3588791318579538E-5</c:v>
                </c:pt>
                <c:pt idx="42">
                  <c:v>6.6742900416416617E-4</c:v>
                </c:pt>
                <c:pt idx="43">
                  <c:v>1.9675449773970399E-4</c:v>
                </c:pt>
                <c:pt idx="44">
                  <c:v>2.6581069388620371E-4</c:v>
                </c:pt>
                <c:pt idx="45">
                  <c:v>-1.7869497340461393E-4</c:v>
                </c:pt>
                <c:pt idx="46">
                  <c:v>4.0859494990086453E-4</c:v>
                </c:pt>
                <c:pt idx="47">
                  <c:v>-9.0705072977415035E-4</c:v>
                </c:pt>
                <c:pt idx="48">
                  <c:v>-1.7955135834424318E-4</c:v>
                </c:pt>
                <c:pt idx="49">
                  <c:v>5.5995043905476827E-4</c:v>
                </c:pt>
                <c:pt idx="50">
                  <c:v>-7.4248283337663423E-4</c:v>
                </c:pt>
                <c:pt idx="51">
                  <c:v>2.021051340763691E-4</c:v>
                </c:pt>
                <c:pt idx="52">
                  <c:v>5.6560013448447855E-4</c:v>
                </c:pt>
                <c:pt idx="53">
                  <c:v>2.2368416147977577E-4</c:v>
                </c:pt>
                <c:pt idx="54">
                  <c:v>-4.2148105904527E-5</c:v>
                </c:pt>
                <c:pt idx="55">
                  <c:v>-3.4805830937689741E-4</c:v>
                </c:pt>
                <c:pt idx="56">
                  <c:v>4.1503682712829004E-9</c:v>
                </c:pt>
                <c:pt idx="57">
                  <c:v>-3.1734339948386037E-4</c:v>
                </c:pt>
                <c:pt idx="58">
                  <c:v>6.3804186341753777E-4</c:v>
                </c:pt>
                <c:pt idx="59">
                  <c:v>-1.4398228294254523E-4</c:v>
                </c:pt>
                <c:pt idx="60">
                  <c:v>3.790395088798526E-5</c:v>
                </c:pt>
                <c:pt idx="61">
                  <c:v>-2.0514652655045928E-4</c:v>
                </c:pt>
                <c:pt idx="62">
                  <c:v>-3.0022178838517988E-6</c:v>
                </c:pt>
                <c:pt idx="63">
                  <c:v>3.400328876461689E-4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3-4C34-A39F-8BFD5551F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3168"/>
        <c:axId val="184396288"/>
      </c:scatterChart>
      <c:valAx>
        <c:axId val="1843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288"/>
        <c:crosses val="autoZero"/>
        <c:crossBetween val="midCat"/>
      </c:valAx>
      <c:valAx>
        <c:axId val="184396288"/>
        <c:scaling>
          <c:orientation val="minMax"/>
          <c:max val="2.5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bp&quot;%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Visualization split by component (Really far into the future)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'NSS Goverment'!$CO$2</c:f>
              <c:strCache>
                <c:ptCount val="1"/>
                <c:pt idx="0">
                  <c:v>Long term spot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Goverment'!$CN$3:$CN$503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Goverment'!$CO$3:$CO$503</c:f>
              <c:numCache>
                <c:formatCode>0.00%</c:formatCode>
                <c:ptCount val="501"/>
                <c:pt idx="0">
                  <c:v>5.560494859187675E-2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0.05</c:v>
                </c:pt>
                <c:pt idx="385">
                  <c:v>0.05</c:v>
                </c:pt>
                <c:pt idx="386">
                  <c:v>0.05</c:v>
                </c:pt>
                <c:pt idx="387">
                  <c:v>0.05</c:v>
                </c:pt>
                <c:pt idx="388">
                  <c:v>0.05</c:v>
                </c:pt>
                <c:pt idx="389">
                  <c:v>0.05</c:v>
                </c:pt>
                <c:pt idx="390">
                  <c:v>0.05</c:v>
                </c:pt>
                <c:pt idx="391">
                  <c:v>0.05</c:v>
                </c:pt>
                <c:pt idx="392">
                  <c:v>0.05</c:v>
                </c:pt>
                <c:pt idx="393">
                  <c:v>0.05</c:v>
                </c:pt>
                <c:pt idx="394">
                  <c:v>0.05</c:v>
                </c:pt>
                <c:pt idx="395">
                  <c:v>0.05</c:v>
                </c:pt>
                <c:pt idx="396">
                  <c:v>0.05</c:v>
                </c:pt>
                <c:pt idx="397">
                  <c:v>0.05</c:v>
                </c:pt>
                <c:pt idx="398">
                  <c:v>0.05</c:v>
                </c:pt>
                <c:pt idx="399">
                  <c:v>0.05</c:v>
                </c:pt>
                <c:pt idx="400">
                  <c:v>0.05</c:v>
                </c:pt>
                <c:pt idx="401">
                  <c:v>0.05</c:v>
                </c:pt>
                <c:pt idx="402">
                  <c:v>0.05</c:v>
                </c:pt>
                <c:pt idx="403">
                  <c:v>0.05</c:v>
                </c:pt>
                <c:pt idx="404">
                  <c:v>0.05</c:v>
                </c:pt>
                <c:pt idx="405">
                  <c:v>0.05</c:v>
                </c:pt>
                <c:pt idx="406">
                  <c:v>0.05</c:v>
                </c:pt>
                <c:pt idx="407">
                  <c:v>0.05</c:v>
                </c:pt>
                <c:pt idx="408">
                  <c:v>0.05</c:v>
                </c:pt>
                <c:pt idx="409">
                  <c:v>0.05</c:v>
                </c:pt>
                <c:pt idx="410">
                  <c:v>0.05</c:v>
                </c:pt>
                <c:pt idx="411">
                  <c:v>0.05</c:v>
                </c:pt>
                <c:pt idx="412">
                  <c:v>0.05</c:v>
                </c:pt>
                <c:pt idx="413">
                  <c:v>0.05</c:v>
                </c:pt>
                <c:pt idx="414">
                  <c:v>0.05</c:v>
                </c:pt>
                <c:pt idx="415">
                  <c:v>0.05</c:v>
                </c:pt>
                <c:pt idx="416">
                  <c:v>0.05</c:v>
                </c:pt>
                <c:pt idx="417">
                  <c:v>0.05</c:v>
                </c:pt>
                <c:pt idx="418">
                  <c:v>0.05</c:v>
                </c:pt>
                <c:pt idx="419">
                  <c:v>0.05</c:v>
                </c:pt>
                <c:pt idx="420">
                  <c:v>0.05</c:v>
                </c:pt>
                <c:pt idx="421">
                  <c:v>0.05</c:v>
                </c:pt>
                <c:pt idx="422">
                  <c:v>0.05</c:v>
                </c:pt>
                <c:pt idx="423">
                  <c:v>0.05</c:v>
                </c:pt>
                <c:pt idx="424">
                  <c:v>0.05</c:v>
                </c:pt>
                <c:pt idx="425">
                  <c:v>0.05</c:v>
                </c:pt>
                <c:pt idx="426">
                  <c:v>0.05</c:v>
                </c:pt>
                <c:pt idx="427">
                  <c:v>0.05</c:v>
                </c:pt>
                <c:pt idx="428">
                  <c:v>0.05</c:v>
                </c:pt>
                <c:pt idx="429">
                  <c:v>0.05</c:v>
                </c:pt>
                <c:pt idx="430">
                  <c:v>0.05</c:v>
                </c:pt>
                <c:pt idx="431">
                  <c:v>0.05</c:v>
                </c:pt>
                <c:pt idx="432">
                  <c:v>0.05</c:v>
                </c:pt>
                <c:pt idx="433">
                  <c:v>0.05</c:v>
                </c:pt>
                <c:pt idx="434">
                  <c:v>0.05</c:v>
                </c:pt>
                <c:pt idx="435">
                  <c:v>0.05</c:v>
                </c:pt>
                <c:pt idx="436">
                  <c:v>0.05</c:v>
                </c:pt>
                <c:pt idx="437">
                  <c:v>0.05</c:v>
                </c:pt>
                <c:pt idx="438">
                  <c:v>0.05</c:v>
                </c:pt>
                <c:pt idx="439">
                  <c:v>0.05</c:v>
                </c:pt>
                <c:pt idx="440">
                  <c:v>0.05</c:v>
                </c:pt>
                <c:pt idx="441">
                  <c:v>0.05</c:v>
                </c:pt>
                <c:pt idx="442">
                  <c:v>0.05</c:v>
                </c:pt>
                <c:pt idx="443">
                  <c:v>0.05</c:v>
                </c:pt>
                <c:pt idx="444">
                  <c:v>0.05</c:v>
                </c:pt>
                <c:pt idx="445">
                  <c:v>0.05</c:v>
                </c:pt>
                <c:pt idx="446">
                  <c:v>0.05</c:v>
                </c:pt>
                <c:pt idx="447">
                  <c:v>0.05</c:v>
                </c:pt>
                <c:pt idx="448">
                  <c:v>0.05</c:v>
                </c:pt>
                <c:pt idx="449">
                  <c:v>0.05</c:v>
                </c:pt>
                <c:pt idx="450">
                  <c:v>0.05</c:v>
                </c:pt>
                <c:pt idx="451">
                  <c:v>0.05</c:v>
                </c:pt>
                <c:pt idx="452">
                  <c:v>0.05</c:v>
                </c:pt>
                <c:pt idx="453">
                  <c:v>0.05</c:v>
                </c:pt>
                <c:pt idx="454">
                  <c:v>0.05</c:v>
                </c:pt>
                <c:pt idx="455">
                  <c:v>0.05</c:v>
                </c:pt>
                <c:pt idx="456">
                  <c:v>0.05</c:v>
                </c:pt>
                <c:pt idx="457">
                  <c:v>0.05</c:v>
                </c:pt>
                <c:pt idx="458">
                  <c:v>0.05</c:v>
                </c:pt>
                <c:pt idx="459">
                  <c:v>0.05</c:v>
                </c:pt>
                <c:pt idx="460">
                  <c:v>0.05</c:v>
                </c:pt>
                <c:pt idx="461">
                  <c:v>0.05</c:v>
                </c:pt>
                <c:pt idx="462">
                  <c:v>0.05</c:v>
                </c:pt>
                <c:pt idx="463">
                  <c:v>0.05</c:v>
                </c:pt>
                <c:pt idx="464">
                  <c:v>0.05</c:v>
                </c:pt>
                <c:pt idx="465">
                  <c:v>0.05</c:v>
                </c:pt>
                <c:pt idx="466">
                  <c:v>0.05</c:v>
                </c:pt>
                <c:pt idx="467">
                  <c:v>0.05</c:v>
                </c:pt>
                <c:pt idx="468">
                  <c:v>0.05</c:v>
                </c:pt>
                <c:pt idx="469">
                  <c:v>0.05</c:v>
                </c:pt>
                <c:pt idx="470">
                  <c:v>0.05</c:v>
                </c:pt>
                <c:pt idx="471">
                  <c:v>0.05</c:v>
                </c:pt>
                <c:pt idx="472">
                  <c:v>0.05</c:v>
                </c:pt>
                <c:pt idx="473">
                  <c:v>0.05</c:v>
                </c:pt>
                <c:pt idx="474">
                  <c:v>0.05</c:v>
                </c:pt>
                <c:pt idx="475">
                  <c:v>0.05</c:v>
                </c:pt>
                <c:pt idx="476">
                  <c:v>0.05</c:v>
                </c:pt>
                <c:pt idx="477">
                  <c:v>0.05</c:v>
                </c:pt>
                <c:pt idx="478">
                  <c:v>0.05</c:v>
                </c:pt>
                <c:pt idx="479">
                  <c:v>0.05</c:v>
                </c:pt>
                <c:pt idx="480">
                  <c:v>0.05</c:v>
                </c:pt>
                <c:pt idx="481">
                  <c:v>0.05</c:v>
                </c:pt>
                <c:pt idx="482">
                  <c:v>0.05</c:v>
                </c:pt>
                <c:pt idx="483">
                  <c:v>0.05</c:v>
                </c:pt>
                <c:pt idx="484">
                  <c:v>0.05</c:v>
                </c:pt>
                <c:pt idx="485">
                  <c:v>0.05</c:v>
                </c:pt>
                <c:pt idx="486">
                  <c:v>0.05</c:v>
                </c:pt>
                <c:pt idx="487">
                  <c:v>0.05</c:v>
                </c:pt>
                <c:pt idx="488">
                  <c:v>0.05</c:v>
                </c:pt>
                <c:pt idx="489">
                  <c:v>0.05</c:v>
                </c:pt>
                <c:pt idx="490">
                  <c:v>0.05</c:v>
                </c:pt>
                <c:pt idx="491">
                  <c:v>0.05</c:v>
                </c:pt>
                <c:pt idx="492">
                  <c:v>0.05</c:v>
                </c:pt>
                <c:pt idx="493">
                  <c:v>0.05</c:v>
                </c:pt>
                <c:pt idx="494">
                  <c:v>0.05</c:v>
                </c:pt>
                <c:pt idx="495">
                  <c:v>0.05</c:v>
                </c:pt>
                <c:pt idx="496">
                  <c:v>0.05</c:v>
                </c:pt>
                <c:pt idx="497">
                  <c:v>0.05</c:v>
                </c:pt>
                <c:pt idx="498">
                  <c:v>0.05</c:v>
                </c:pt>
                <c:pt idx="499">
                  <c:v>0.05</c:v>
                </c:pt>
                <c:pt idx="50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D-4273-92AF-858F1FDD38F5}"/>
            </c:ext>
          </c:extLst>
        </c:ser>
        <c:ser>
          <c:idx val="2"/>
          <c:order val="1"/>
          <c:tx>
            <c:strRef>
              <c:f>'NSS Goverment'!$CP$2</c:f>
              <c:strCache>
                <c:ptCount val="1"/>
                <c:pt idx="0">
                  <c:v>Time decay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Goverment'!$CN$3:$CN$503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Goverment'!$CP$3:$CP$503</c:f>
              <c:numCache>
                <c:formatCode>0.00%</c:formatCode>
                <c:ptCount val="501"/>
                <c:pt idx="0">
                  <c:v>-4.0658777038499981E-2</c:v>
                </c:pt>
                <c:pt idx="1">
                  <c:v>-3.8388015353827361E-2</c:v>
                </c:pt>
                <c:pt idx="2">
                  <c:v>-3.6284745407530107E-2</c:v>
                </c:pt>
                <c:pt idx="3">
                  <c:v>-3.4335125653920121E-2</c:v>
                </c:pt>
                <c:pt idx="4">
                  <c:v>-3.2526528408437089E-2</c:v>
                </c:pt>
                <c:pt idx="5">
                  <c:v>-3.0847432974904811E-2</c:v>
                </c:pt>
                <c:pt idx="6">
                  <c:v>-2.9287324559494326E-2</c:v>
                </c:pt>
                <c:pt idx="7">
                  <c:v>-2.7836602679222874E-2</c:v>
                </c:pt>
                <c:pt idx="8">
                  <c:v>-2.648649815463279E-2</c:v>
                </c:pt>
                <c:pt idx="9">
                  <c:v>-2.5228997864966924E-2</c:v>
                </c:pt>
                <c:pt idx="10">
                  <c:v>-2.4056776524084406E-2</c:v>
                </c:pt>
                <c:pt idx="11">
                  <c:v>-2.2963134807414128E-2</c:v>
                </c:pt>
                <c:pt idx="12">
                  <c:v>-2.1941943225206404E-2</c:v>
                </c:pt>
                <c:pt idx="13">
                  <c:v>-2.0987591195921616E-2</c:v>
                </c:pt>
                <c:pt idx="14">
                  <c:v>-2.0094940826421423E-2</c:v>
                </c:pt>
                <c:pt idx="15">
                  <c:v>-1.9259284953275595E-2</c:v>
                </c:pt>
                <c:pt idx="16">
                  <c:v>-1.8476309042477396E-2</c:v>
                </c:pt>
                <c:pt idx="17">
                  <c:v>-1.7742056583637006E-2</c:v>
                </c:pt>
                <c:pt idx="18">
                  <c:v>-1.7052897649709603E-2</c:v>
                </c:pt>
                <c:pt idx="19">
                  <c:v>-1.6405500324888911E-2</c:v>
                </c:pt>
                <c:pt idx="20">
                  <c:v>-1.5796804731793478E-2</c:v>
                </c:pt>
                <c:pt idx="21">
                  <c:v>-1.5223999414796761E-2</c:v>
                </c:pt>
                <c:pt idx="22">
                  <c:v>-1.4684499859575324E-2</c:v>
                </c:pt>
                <c:pt idx="23">
                  <c:v>-1.4175928949918915E-2</c:v>
                </c:pt>
                <c:pt idx="24">
                  <c:v>-1.3696099181782998E-2</c:v>
                </c:pt>
                <c:pt idx="25">
                  <c:v>-1.3242996471668336E-2</c:v>
                </c:pt>
                <c:pt idx="26">
                  <c:v>-1.28147654118632E-2</c:v>
                </c:pt>
                <c:pt idx="27">
                  <c:v>-1.2409695839043401E-2</c:v>
                </c:pt>
                <c:pt idx="28">
                  <c:v>-1.202621059533994E-2</c:v>
                </c:pt>
                <c:pt idx="29">
                  <c:v>-1.1662854372384715E-2</c:v>
                </c:pt>
                <c:pt idx="30">
                  <c:v>-1.1318283539150225E-2</c:v>
                </c:pt>
                <c:pt idx="31">
                  <c:v>-1.0991256863715979E-2</c:v>
                </c:pt>
                <c:pt idx="32">
                  <c:v>-1.0680627047519112E-2</c:v>
                </c:pt>
                <c:pt idx="33">
                  <c:v>-1.0385332998265644E-2</c:v>
                </c:pt>
                <c:pt idx="34">
                  <c:v>-1.0104392774570741E-2</c:v>
                </c:pt>
                <c:pt idx="35">
                  <c:v>-9.8368971416313306E-3</c:v>
                </c:pt>
                <c:pt idx="36">
                  <c:v>-9.582003682876308E-3</c:v>
                </c:pt>
                <c:pt idx="37">
                  <c:v>-9.3389314176456802E-3</c:v>
                </c:pt>
                <c:pt idx="38">
                  <c:v>-9.1069558795719707E-3</c:v>
                </c:pt>
                <c:pt idx="39">
                  <c:v>-8.885404614521945E-3</c:v>
                </c:pt>
                <c:pt idx="40">
                  <c:v>-8.6736530607460054E-3</c:v>
                </c:pt>
                <c:pt idx="41">
                  <c:v>-8.4711207773148153E-3</c:v>
                </c:pt>
                <c:pt idx="42">
                  <c:v>-8.2772679900318738E-3</c:v>
                </c:pt>
                <c:pt idx="43">
                  <c:v>-8.0915924268278976E-3</c:v>
                </c:pt>
                <c:pt idx="44">
                  <c:v>-7.9136264171960052E-3</c:v>
                </c:pt>
                <c:pt idx="45">
                  <c:v>-7.7429342325409959E-3</c:v>
                </c:pt>
                <c:pt idx="46">
                  <c:v>-7.5791096464142456E-3</c:v>
                </c:pt>
                <c:pt idx="47">
                  <c:v>-7.4217736955084984E-3</c:v>
                </c:pt>
                <c:pt idx="48">
                  <c:v>-7.2705726240127689E-3</c:v>
                </c:pt>
                <c:pt idx="49">
                  <c:v>-7.1251759954933267E-3</c:v>
                </c:pt>
                <c:pt idx="50">
                  <c:v>-6.98527495788763E-3</c:v>
                </c:pt>
                <c:pt idx="51">
                  <c:v>-6.8505806484877082E-3</c:v>
                </c:pt>
                <c:pt idx="52">
                  <c:v>-6.7208227269603682E-3</c:v>
                </c:pt>
                <c:pt idx="53">
                  <c:v>-6.5957480255147156E-3</c:v>
                </c:pt>
                <c:pt idx="54">
                  <c:v>-6.4751193062932352E-3</c:v>
                </c:pt>
                <c:pt idx="55">
                  <c:v>-6.3587141169399999E-3</c:v>
                </c:pt>
                <c:pt idx="56">
                  <c:v>-6.2463237360967979E-3</c:v>
                </c:pt>
                <c:pt idx="57">
                  <c:v>-6.1377522013027208E-3</c:v>
                </c:pt>
                <c:pt idx="58">
                  <c:v>-6.032815412431539E-3</c:v>
                </c:pt>
                <c:pt idx="59">
                  <c:v>-5.9313403044004651E-3</c:v>
                </c:pt>
                <c:pt idx="60">
                  <c:v>-5.8331640834288949E-3</c:v>
                </c:pt>
                <c:pt idx="61">
                  <c:v>-5.738133521621714E-3</c:v>
                </c:pt>
                <c:pt idx="62">
                  <c:v>-5.6461043051030876E-3</c:v>
                </c:pt>
                <c:pt idx="63">
                  <c:v>-5.5569404313376572E-3</c:v>
                </c:pt>
                <c:pt idx="64">
                  <c:v>-5.4705136516501858E-3</c:v>
                </c:pt>
                <c:pt idx="65">
                  <c:v>-5.3867029552956526E-3</c:v>
                </c:pt>
                <c:pt idx="66">
                  <c:v>-5.3053940917423071E-3</c:v>
                </c:pt>
                <c:pt idx="67">
                  <c:v>-5.226479128113309E-3</c:v>
                </c:pt>
                <c:pt idx="68">
                  <c:v>-5.149856038990608E-3</c:v>
                </c:pt>
                <c:pt idx="69">
                  <c:v>-5.0754283260200945E-3</c:v>
                </c:pt>
                <c:pt idx="70">
                  <c:v>-5.0031046649717031E-3</c:v>
                </c:pt>
                <c:pt idx="71">
                  <c:v>-4.9327985781040763E-3</c:v>
                </c:pt>
                <c:pt idx="72">
                  <c:v>-4.8644281298621684E-3</c:v>
                </c:pt>
                <c:pt idx="73">
                  <c:v>-4.7979156440994836E-3</c:v>
                </c:pt>
                <c:pt idx="74">
                  <c:v>-4.733187441165701E-3</c:v>
                </c:pt>
                <c:pt idx="75">
                  <c:v>-4.6701735933367076E-3</c:v>
                </c:pt>
                <c:pt idx="76">
                  <c:v>-4.608807697188559E-3</c:v>
                </c:pt>
                <c:pt idx="77">
                  <c:v>-4.5490266616307262E-3</c:v>
                </c:pt>
                <c:pt idx="78">
                  <c:v>-4.4907705104180583E-3</c:v>
                </c:pt>
                <c:pt idx="79">
                  <c:v>-4.4339821980561534E-3</c:v>
                </c:pt>
                <c:pt idx="80">
                  <c:v>-4.3786074381019658E-3</c:v>
                </c:pt>
                <c:pt idx="81">
                  <c:v>-4.3245945429412408E-3</c:v>
                </c:pt>
                <c:pt idx="82">
                  <c:v>-4.2718942741974747E-3</c:v>
                </c:pt>
                <c:pt idx="83">
                  <c:v>-4.2204597029939662E-3</c:v>
                </c:pt>
                <c:pt idx="84">
                  <c:v>-4.1702460793519103E-3</c:v>
                </c:pt>
                <c:pt idx="85">
                  <c:v>-4.1212107100636703E-3</c:v>
                </c:pt>
                <c:pt idx="86">
                  <c:v>-4.073312844431954E-3</c:v>
                </c:pt>
                <c:pt idx="87">
                  <c:v>-4.0265135673129091E-3</c:v>
                </c:pt>
                <c:pt idx="88">
                  <c:v>-3.98077569894454E-3</c:v>
                </c:pt>
                <c:pt idx="89">
                  <c:v>-3.9360637010817578E-3</c:v>
                </c:pt>
                <c:pt idx="90">
                  <c:v>-3.8923435889958889E-3</c:v>
                </c:pt>
                <c:pt idx="91">
                  <c:v>-3.8495828489301894E-3</c:v>
                </c:pt>
                <c:pt idx="92">
                  <c:v>-3.8077503606337203E-3</c:v>
                </c:pt>
                <c:pt idx="93">
                  <c:v>-3.7668163246244242E-3</c:v>
                </c:pt>
                <c:pt idx="94">
                  <c:v>-3.7267521938583524E-3</c:v>
                </c:pt>
                <c:pt idx="95">
                  <c:v>-3.6875306095060156E-3</c:v>
                </c:pt>
                <c:pt idx="96">
                  <c:v>-3.6491253405590142E-3</c:v>
                </c:pt>
                <c:pt idx="97">
                  <c:v>-3.6115112270104369E-3</c:v>
                </c:pt>
                <c:pt idx="98">
                  <c:v>-3.5746641263713387E-3</c:v>
                </c:pt>
                <c:pt idx="99">
                  <c:v>-3.5385608633028728E-3</c:v>
                </c:pt>
                <c:pt idx="100">
                  <c:v>-3.5031791821596337E-3</c:v>
                </c:pt>
                <c:pt idx="101">
                  <c:v>-3.4684977022544743E-3</c:v>
                </c:pt>
                <c:pt idx="102">
                  <c:v>-3.4344958756686236E-3</c:v>
                </c:pt>
                <c:pt idx="103">
                  <c:v>-3.4011539474434883E-3</c:v>
                </c:pt>
                <c:pt idx="104">
                  <c:v>-3.3684529180020677E-3</c:v>
                </c:pt>
                <c:pt idx="105">
                  <c:v>-3.3363745076586179E-3</c:v>
                </c:pt>
                <c:pt idx="106">
                  <c:v>-3.3049011230850806E-3</c:v>
                </c:pt>
                <c:pt idx="107">
                  <c:v>-3.2740158256119182E-3</c:v>
                </c:pt>
                <c:pt idx="108">
                  <c:v>-3.2437023012494488E-3</c:v>
                </c:pt>
                <c:pt idx="109">
                  <c:v>-3.2139448323235992E-3</c:v>
                </c:pt>
                <c:pt idx="110">
                  <c:v>-3.1847282706272228E-3</c:v>
                </c:pt>
                <c:pt idx="111">
                  <c:v>-3.156038011994836E-3</c:v>
                </c:pt>
                <c:pt idx="112">
                  <c:v>-3.1278599722148357E-3</c:v>
                </c:pt>
                <c:pt idx="113">
                  <c:v>-3.1001805641990101E-3</c:v>
                </c:pt>
                <c:pt idx="114">
                  <c:v>-3.0729866763345107E-3</c:v>
                </c:pt>
                <c:pt idx="115">
                  <c:v>-3.0462656519483766E-3</c:v>
                </c:pt>
                <c:pt idx="116">
                  <c:v>-3.0200052698193111E-3</c:v>
                </c:pt>
                <c:pt idx="117">
                  <c:v>-2.9941937256756927E-3</c:v>
                </c:pt>
                <c:pt idx="118">
                  <c:v>-2.9688196146227218E-3</c:v>
                </c:pt>
                <c:pt idx="119">
                  <c:v>-2.9438719144453305E-3</c:v>
                </c:pt>
                <c:pt idx="120">
                  <c:v>-2.9193399697368793E-3</c:v>
                </c:pt>
                <c:pt idx="121">
                  <c:v>-2.8952134768068516E-3</c:v>
                </c:pt>
                <c:pt idx="122">
                  <c:v>-2.8714824693237173E-3</c:v>
                </c:pt>
                <c:pt idx="123">
                  <c:v>-2.8481373046519089E-3</c:v>
                </c:pt>
                <c:pt idx="124">
                  <c:v>-2.8251686508443826E-3</c:v>
                </c:pt>
                <c:pt idx="125">
                  <c:v>-2.8025674742546769E-3</c:v>
                </c:pt>
                <c:pt idx="126">
                  <c:v>-2.7803250277345583E-3</c:v>
                </c:pt>
                <c:pt idx="127">
                  <c:v>-2.7584328393854625E-3</c:v>
                </c:pt>
                <c:pt idx="128">
                  <c:v>-2.7368827018338492E-3</c:v>
                </c:pt>
                <c:pt idx="129">
                  <c:v>-2.7156666620024115E-3</c:v>
                </c:pt>
                <c:pt idx="130">
                  <c:v>-2.6947770113507638E-3</c:v>
                </c:pt>
                <c:pt idx="131">
                  <c:v>-2.6742062765607953E-3</c:v>
                </c:pt>
                <c:pt idx="132">
                  <c:v>-2.6539472106433776E-3</c:v>
                </c:pt>
                <c:pt idx="133">
                  <c:v>-2.633992784444459E-3</c:v>
                </c:pt>
                <c:pt idx="134">
                  <c:v>-2.6143361785298871E-3</c:v>
                </c:pt>
                <c:pt idx="135">
                  <c:v>-2.5949707754294887E-3</c:v>
                </c:pt>
                <c:pt idx="136">
                  <c:v>-2.5758901522220747E-3</c:v>
                </c:pt>
                <c:pt idx="137">
                  <c:v>-2.5570880734440879E-3</c:v>
                </c:pt>
                <c:pt idx="138">
                  <c:v>-2.5385584843055902E-3</c:v>
                </c:pt>
                <c:pt idx="139">
                  <c:v>-2.5202955041982236E-3</c:v>
                </c:pt>
                <c:pt idx="140">
                  <c:v>-2.5022934204806399E-3</c:v>
                </c:pt>
                <c:pt idx="141">
                  <c:v>-2.484546682527703E-3</c:v>
                </c:pt>
                <c:pt idx="142">
                  <c:v>-2.4670498960305386E-3</c:v>
                </c:pt>
                <c:pt idx="143">
                  <c:v>-2.4497978175352163E-3</c:v>
                </c:pt>
                <c:pt idx="144">
                  <c:v>-2.4327853492085187E-3</c:v>
                </c:pt>
                <c:pt idx="145">
                  <c:v>-2.4160075338198871E-3</c:v>
                </c:pt>
                <c:pt idx="146">
                  <c:v>-2.3994595499292246E-3</c:v>
                </c:pt>
                <c:pt idx="147">
                  <c:v>-2.3831367072707941E-3</c:v>
                </c:pt>
                <c:pt idx="148">
                  <c:v>-2.3670344423239692E-3</c:v>
                </c:pt>
                <c:pt idx="149">
                  <c:v>-2.3511483140620892E-3</c:v>
                </c:pt>
                <c:pt idx="150">
                  <c:v>-2.3354739998711436E-3</c:v>
                </c:pt>
                <c:pt idx="151">
                  <c:v>-2.3200072916304236E-3</c:v>
                </c:pt>
                <c:pt idx="152">
                  <c:v>-2.304744091947716E-3</c:v>
                </c:pt>
                <c:pt idx="153">
                  <c:v>-2.2896804105419768E-3</c:v>
                </c:pt>
                <c:pt idx="154">
                  <c:v>-2.2748123607668064E-3</c:v>
                </c:pt>
                <c:pt idx="155">
                  <c:v>-2.2601361562683817E-3</c:v>
                </c:pt>
                <c:pt idx="156">
                  <c:v>-2.245648107771813E-3</c:v>
                </c:pt>
                <c:pt idx="157">
                  <c:v>-2.2313446199902329E-3</c:v>
                </c:pt>
                <c:pt idx="158">
                  <c:v>-2.2172221886511676E-3</c:v>
                </c:pt>
                <c:pt idx="159">
                  <c:v>-2.2032773976350529E-3</c:v>
                </c:pt>
                <c:pt idx="160">
                  <c:v>-2.189506916220987E-3</c:v>
                </c:pt>
                <c:pt idx="161">
                  <c:v>-2.1759074964350701E-3</c:v>
                </c:pt>
                <c:pt idx="162">
                  <c:v>-2.1624759704969017E-3</c:v>
                </c:pt>
                <c:pt idx="163">
                  <c:v>-2.149209248360024E-3</c:v>
                </c:pt>
                <c:pt idx="164">
                  <c:v>-2.1361043153423141E-3</c:v>
                </c:pt>
                <c:pt idx="165">
                  <c:v>-2.1231582298425044E-3</c:v>
                </c:pt>
                <c:pt idx="166">
                  <c:v>-2.1103681211392064E-3</c:v>
                </c:pt>
                <c:pt idx="167">
                  <c:v>-2.0977311872689853E-3</c:v>
                </c:pt>
                <c:pt idx="168">
                  <c:v>-2.0852446929801958E-3</c:v>
                </c:pt>
                <c:pt idx="169">
                  <c:v>-2.0729059677594332E-3</c:v>
                </c:pt>
                <c:pt idx="170">
                  <c:v>-2.0607124039276267E-3</c:v>
                </c:pt>
                <c:pt idx="171">
                  <c:v>-2.0486614548029186E-3</c:v>
                </c:pt>
                <c:pt idx="172">
                  <c:v>-2.03675063292761E-3</c:v>
                </c:pt>
                <c:pt idx="173">
                  <c:v>-2.0249775083565902E-3</c:v>
                </c:pt>
                <c:pt idx="174">
                  <c:v>-2.013339707004771E-3</c:v>
                </c:pt>
                <c:pt idx="175">
                  <c:v>-2.0018349090511751E-3</c:v>
                </c:pt>
                <c:pt idx="176">
                  <c:v>-1.990460847397413E-3</c:v>
                </c:pt>
                <c:pt idx="177">
                  <c:v>-1.9792153061784145E-3</c:v>
                </c:pt>
                <c:pt idx="178">
                  <c:v>-1.968096119323348E-3</c:v>
                </c:pt>
                <c:pt idx="179">
                  <c:v>-1.9571011691647731E-3</c:v>
                </c:pt>
                <c:pt idx="180">
                  <c:v>-1.946228385094149E-3</c:v>
                </c:pt>
                <c:pt idx="181">
                  <c:v>-1.9354757422619055E-3</c:v>
                </c:pt>
                <c:pt idx="182">
                  <c:v>-1.9248412603203632E-3</c:v>
                </c:pt>
                <c:pt idx="183">
                  <c:v>-1.9143230022078711E-3</c:v>
                </c:pt>
                <c:pt idx="184">
                  <c:v>-1.90391907297258E-3</c:v>
                </c:pt>
                <c:pt idx="185">
                  <c:v>-1.8936276186343685E-3</c:v>
                </c:pt>
                <c:pt idx="186">
                  <c:v>-1.8834468250834716E-3</c:v>
                </c:pt>
                <c:pt idx="187">
                  <c:v>-1.8733749170144521E-3</c:v>
                </c:pt>
                <c:pt idx="188">
                  <c:v>-1.8634101568941845E-3</c:v>
                </c:pt>
                <c:pt idx="189">
                  <c:v>-1.8535508439626058E-3</c:v>
                </c:pt>
                <c:pt idx="190">
                  <c:v>-1.8437953132650145E-3</c:v>
                </c:pt>
                <c:pt idx="191">
                  <c:v>-1.8341419347147731E-3</c:v>
                </c:pt>
                <c:pt idx="192">
                  <c:v>-1.8245891121852929E-3</c:v>
                </c:pt>
                <c:pt idx="193">
                  <c:v>-1.8151352826302517E-3</c:v>
                </c:pt>
                <c:pt idx="194">
                  <c:v>-1.805778915231018E-3</c:v>
                </c:pt>
                <c:pt idx="195">
                  <c:v>-1.7965185105703063E-3</c:v>
                </c:pt>
                <c:pt idx="196">
                  <c:v>-1.7873525998311306E-3</c:v>
                </c:pt>
                <c:pt idx="197">
                  <c:v>-1.7782797440201504E-3</c:v>
                </c:pt>
                <c:pt idx="198">
                  <c:v>-1.7692985332145577E-3</c:v>
                </c:pt>
                <c:pt idx="199">
                  <c:v>-1.7604075858316615E-3</c:v>
                </c:pt>
                <c:pt idx="200">
                  <c:v>-1.7516055479203931E-3</c:v>
                </c:pt>
                <c:pt idx="201">
                  <c:v>-1.7428910924739524E-3</c:v>
                </c:pt>
                <c:pt idx="202">
                  <c:v>-1.7342629187628768E-3</c:v>
                </c:pt>
                <c:pt idx="203">
                  <c:v>-1.725719751687818E-3</c:v>
                </c:pt>
                <c:pt idx="204">
                  <c:v>-1.7172603411513537E-3</c:v>
                </c:pt>
                <c:pt idx="205">
                  <c:v>-1.7088834614481894E-3</c:v>
                </c:pt>
                <c:pt idx="206">
                  <c:v>-1.7005879106731167E-3</c:v>
                </c:pt>
                <c:pt idx="207">
                  <c:v>-1.6923725101461343E-3</c:v>
                </c:pt>
                <c:pt idx="208">
                  <c:v>-1.684236103854152E-3</c:v>
                </c:pt>
                <c:pt idx="209">
                  <c:v>-1.6761775579087201E-3</c:v>
                </c:pt>
                <c:pt idx="210">
                  <c:v>-1.6681957600192545E-3</c:v>
                </c:pt>
                <c:pt idx="211">
                  <c:v>-1.6602896189812392E-3</c:v>
                </c:pt>
                <c:pt idx="212">
                  <c:v>-1.6524580641789164E-3</c:v>
                </c:pt>
                <c:pt idx="213">
                  <c:v>-1.6447000451019795E-3</c:v>
                </c:pt>
                <c:pt idx="214">
                  <c:v>-1.6370145308758236E-3</c:v>
                </c:pt>
                <c:pt idx="215">
                  <c:v>-1.6294005098049006E-3</c:v>
                </c:pt>
                <c:pt idx="216">
                  <c:v>-1.6218569889287608E-3</c:v>
                </c:pt>
                <c:pt idx="217">
                  <c:v>-1.6143829935903677E-3</c:v>
                </c:pt>
                <c:pt idx="218">
                  <c:v>-1.6069775670162969E-3</c:v>
                </c:pt>
                <c:pt idx="219">
                  <c:v>-1.599639769908434E-3</c:v>
                </c:pt>
                <c:pt idx="220">
                  <c:v>-1.5923686800468104E-3</c:v>
                </c:pt>
                <c:pt idx="221">
                  <c:v>-1.5851633919032172E-3</c:v>
                </c:pt>
                <c:pt idx="222">
                  <c:v>-1.5780230162652676E-3</c:v>
                </c:pt>
                <c:pt idx="223">
                  <c:v>-1.570946679870571E-3</c:v>
                </c:pt>
                <c:pt idx="224">
                  <c:v>-1.5639335250507058E-3</c:v>
                </c:pt>
                <c:pt idx="225">
                  <c:v>-1.5569827093846874E-3</c:v>
                </c:pt>
                <c:pt idx="226">
                  <c:v>-1.550093405361636E-3</c:v>
                </c:pt>
                <c:pt idx="227">
                  <c:v>-1.5432648000523591E-3</c:v>
                </c:pt>
                <c:pt idx="228">
                  <c:v>-1.5364960947895805E-3</c:v>
                </c:pt>
                <c:pt idx="229">
                  <c:v>-1.5297865048565409E-3</c:v>
                </c:pt>
                <c:pt idx="230">
                  <c:v>-1.5231352591837299E-3</c:v>
                </c:pt>
                <c:pt idx="231">
                  <c:v>-1.5165416000534886E-3</c:v>
                </c:pt>
                <c:pt idx="232">
                  <c:v>-1.5100047828122546E-3</c:v>
                </c:pt>
                <c:pt idx="233">
                  <c:v>-1.5035240755902177E-3</c:v>
                </c:pt>
                <c:pt idx="234">
                  <c:v>-1.4970987590281622E-3</c:v>
                </c:pt>
                <c:pt idx="235">
                  <c:v>-1.4907281260112832E-3</c:v>
                </c:pt>
                <c:pt idx="236">
                  <c:v>-1.4844114814097727E-3</c:v>
                </c:pt>
                <c:pt idx="237">
                  <c:v>-1.4781481418259714E-3</c:v>
                </c:pt>
                <c:pt idx="238">
                  <c:v>-1.4719374353478936E-3</c:v>
                </c:pt>
                <c:pt idx="239">
                  <c:v>-1.4657787013089428E-3</c:v>
                </c:pt>
                <c:pt idx="240">
                  <c:v>-1.4596712900536326E-3</c:v>
                </c:pt>
                <c:pt idx="241">
                  <c:v>-1.4536145627091393E-3</c:v>
                </c:pt>
                <c:pt idx="242">
                  <c:v>-1.44760789096252E-3</c:v>
                </c:pt>
                <c:pt idx="243">
                  <c:v>-1.441650656843433E-3</c:v>
                </c:pt>
                <c:pt idx="244">
                  <c:v>-1.4357422525121961E-3</c:v>
                </c:pt>
                <c:pt idx="245">
                  <c:v>-1.4298820800530416E-3</c:v>
                </c:pt>
                <c:pt idx="246">
                  <c:v>-1.424069551272408E-3</c:v>
                </c:pt>
                <c:pt idx="247">
                  <c:v>-1.4183040875021362E-3</c:v>
                </c:pt>
                <c:pt idx="248">
                  <c:v>-1.4125851194074245E-3</c:v>
                </c:pt>
                <c:pt idx="249">
                  <c:v>-1.4069120867994112E-3</c:v>
                </c:pt>
                <c:pt idx="250">
                  <c:v>-1.4012844384522567E-3</c:v>
                </c:pt>
                <c:pt idx="251">
                  <c:v>-1.3957016319245967E-3</c:v>
                </c:pt>
                <c:pt idx="252">
                  <c:v>-1.3901631333852473E-3</c:v>
                </c:pt>
                <c:pt idx="253">
                  <c:v>-1.3846684174430434E-3</c:v>
                </c:pt>
                <c:pt idx="254">
                  <c:v>-1.379216966980696E-3</c:v>
                </c:pt>
                <c:pt idx="255">
                  <c:v>-1.37380827299256E-3</c:v>
                </c:pt>
                <c:pt idx="256">
                  <c:v>-1.3684418344262039E-3</c:v>
                </c:pt>
                <c:pt idx="257">
                  <c:v>-1.3631171580276769E-3</c:v>
                </c:pt>
                <c:pt idx="258">
                  <c:v>-1.3578337581903769E-3</c:v>
                </c:pt>
                <c:pt idx="259">
                  <c:v>-1.3525911568074171E-3</c:v>
                </c:pt>
                <c:pt idx="260">
                  <c:v>-1.3473888831274016E-3</c:v>
                </c:pt>
                <c:pt idx="261">
                  <c:v>-1.3422264736135151E-3</c:v>
                </c:pt>
                <c:pt idx="262">
                  <c:v>-1.3371034718058403E-3</c:v>
                </c:pt>
                <c:pt idx="263">
                  <c:v>-1.3320194281868155E-3</c:v>
                </c:pt>
                <c:pt idx="264">
                  <c:v>-1.3269739000497523E-3</c:v>
                </c:pt>
                <c:pt idx="265">
                  <c:v>-1.3219664513703263E-3</c:v>
                </c:pt>
                <c:pt idx="266">
                  <c:v>-1.3169966526809706E-3</c:v>
                </c:pt>
                <c:pt idx="267">
                  <c:v>-1.3120640809480889E-3</c:v>
                </c:pt>
                <c:pt idx="268">
                  <c:v>-1.3071683194520187E-3</c:v>
                </c:pt>
                <c:pt idx="269">
                  <c:v>-1.3023089576696737E-3</c:v>
                </c:pt>
                <c:pt idx="270">
                  <c:v>-1.2974855911597901E-3</c:v>
                </c:pt>
                <c:pt idx="271">
                  <c:v>-1.2926978214507169E-3</c:v>
                </c:pt>
                <c:pt idx="272">
                  <c:v>-1.2879452559306807E-3</c:v>
                </c:pt>
                <c:pt idx="273">
                  <c:v>-1.2832275077404613E-3</c:v>
                </c:pt>
                <c:pt idx="274">
                  <c:v>-1.278544195668418E-3</c:v>
                </c:pt>
                <c:pt idx="275">
                  <c:v>-1.2738949440478076E-3</c:v>
                </c:pt>
                <c:pt idx="276">
                  <c:v>-1.2692793826563321E-3</c:v>
                </c:pt>
                <c:pt idx="277">
                  <c:v>-1.2646971466178632E-3</c:v>
                </c:pt>
                <c:pt idx="278">
                  <c:v>-1.2601478763062898E-3</c:v>
                </c:pt>
                <c:pt idx="279">
                  <c:v>-1.2556312172514296E-3</c:v>
                </c:pt>
                <c:pt idx="280">
                  <c:v>-1.2511468200469616E-3</c:v>
                </c:pt>
                <c:pt idx="281">
                  <c:v>-1.2466943402603186E-3</c:v>
                </c:pt>
                <c:pt idx="282">
                  <c:v>-1.2422734383445027E-3</c:v>
                </c:pt>
                <c:pt idx="283">
                  <c:v>-1.2378837795517668E-3</c:v>
                </c:pt>
                <c:pt idx="284">
                  <c:v>-1.2335250338491204E-3</c:v>
                </c:pt>
                <c:pt idx="285">
                  <c:v>-1.2291968758356155E-3</c:v>
                </c:pt>
                <c:pt idx="286">
                  <c:v>-1.2248989846613656E-3</c:v>
                </c:pt>
                <c:pt idx="287">
                  <c:v>-1.2206310439482604E-3</c:v>
                </c:pt>
                <c:pt idx="288">
                  <c:v>-1.2163927417123293E-3</c:v>
                </c:pt>
                <c:pt idx="289">
                  <c:v>-1.2121837702877196E-3</c:v>
                </c:pt>
                <c:pt idx="290">
                  <c:v>-1.208003826252245E-3</c:v>
                </c:pt>
                <c:pt idx="291">
                  <c:v>-1.2038526103544714E-3</c:v>
                </c:pt>
                <c:pt idx="292">
                  <c:v>-1.1997298274422988E-3</c:v>
                </c:pt>
                <c:pt idx="293">
                  <c:v>-1.195635186393008E-3</c:v>
                </c:pt>
                <c:pt idx="294">
                  <c:v>-1.1915684000447326E-3</c:v>
                </c:pt>
                <c:pt idx="295">
                  <c:v>-1.1875291851293269E-3</c:v>
                </c:pt>
                <c:pt idx="296">
                  <c:v>-1.1835172622065928E-3</c:v>
                </c:pt>
                <c:pt idx="297">
                  <c:v>-1.1795323555998367E-3</c:v>
                </c:pt>
                <c:pt idx="298">
                  <c:v>-1.1755741933327233E-3</c:v>
                </c:pt>
                <c:pt idx="299">
                  <c:v>-1.1716425070673966E-3</c:v>
                </c:pt>
                <c:pt idx="300">
                  <c:v>-1.1677370320438388E-3</c:v>
                </c:pt>
                <c:pt idx="301">
                  <c:v>-1.1638575070204375E-3</c:v>
                </c:pt>
                <c:pt idx="302">
                  <c:v>-1.1600036742157342E-3</c:v>
                </c:pt>
                <c:pt idx="303">
                  <c:v>-1.1561752792513258E-3</c:v>
                </c:pt>
                <c:pt idx="304">
                  <c:v>-1.1523720710958937E-3</c:v>
                </c:pt>
                <c:pt idx="305">
                  <c:v>-1.1485938020103336E-3</c:v>
                </c:pt>
                <c:pt idx="306">
                  <c:v>-1.1448402274939601E-3</c:v>
                </c:pt>
                <c:pt idx="307">
                  <c:v>-1.1411111062317647E-3</c:v>
                </c:pt>
                <c:pt idx="308">
                  <c:v>-1.1374062000427006E-3</c:v>
                </c:pt>
                <c:pt idx="309">
                  <c:v>-1.1337252738289703E-3</c:v>
                </c:pt>
                <c:pt idx="310">
                  <c:v>-1.1300680955262962E-3</c:v>
                </c:pt>
                <c:pt idx="311">
                  <c:v>-1.1264344360551507E-3</c:v>
                </c:pt>
                <c:pt idx="312">
                  <c:v>-1.1228240692729226E-3</c:v>
                </c:pt>
                <c:pt idx="313">
                  <c:v>-1.1192367719270026E-3</c:v>
                </c:pt>
                <c:pt idx="314">
                  <c:v>-1.1156723236087638E-3</c:v>
                </c:pt>
                <c:pt idx="315">
                  <c:v>-1.1121305067084185E-3</c:v>
                </c:pt>
                <c:pt idx="316">
                  <c:v>-1.1086111063707336E-3</c:v>
                </c:pt>
                <c:pt idx="317">
                  <c:v>-1.1051139104515831E-3</c:v>
                </c:pt>
                <c:pt idx="318">
                  <c:v>-1.1016387094753203E-3</c:v>
                </c:pt>
                <c:pt idx="319">
                  <c:v>-1.0981852965929525E-3</c:v>
                </c:pt>
                <c:pt idx="320">
                  <c:v>-1.0947534675410995E-3</c:v>
                </c:pt>
                <c:pt idx="321">
                  <c:v>-1.0913430206017192E-3</c:v>
                </c:pt>
                <c:pt idx="322">
                  <c:v>-1.0879537565625834E-3</c:v>
                </c:pt>
                <c:pt idx="323">
                  <c:v>-1.0845854786784889E-3</c:v>
                </c:pt>
                <c:pt idx="324">
                  <c:v>-1.0812379926331852E-3</c:v>
                </c:pt>
                <c:pt idx="325">
                  <c:v>-1.077911106502006E-3</c:v>
                </c:pt>
                <c:pt idx="326">
                  <c:v>-1.07460463071519E-3</c:v>
                </c:pt>
                <c:pt idx="327">
                  <c:v>-1.0713183780218713E-3</c:v>
                </c:pt>
                <c:pt idx="328">
                  <c:v>-1.0680521634547316E-3</c:v>
                </c:pt>
                <c:pt idx="329">
                  <c:v>-1.0648058042952947E-3</c:v>
                </c:pt>
                <c:pt idx="330">
                  <c:v>-1.0615791200398544E-3</c:v>
                </c:pt>
                <c:pt idx="331">
                  <c:v>-1.0583719323660179E-3</c:v>
                </c:pt>
                <c:pt idx="332">
                  <c:v>-1.0551840650998552E-3</c:v>
                </c:pt>
                <c:pt idx="333">
                  <c:v>-1.0520153441836394E-3</c:v>
                </c:pt>
                <c:pt idx="334">
                  <c:v>-1.0488655976441676E-3</c:v>
                </c:pt>
                <c:pt idx="335">
                  <c:v>-1.0457346555616477E-3</c:v>
                </c:pt>
                <c:pt idx="336">
                  <c:v>-1.0426223500391426E-3</c:v>
                </c:pt>
                <c:pt idx="337">
                  <c:v>-1.0395285151725577E-3</c:v>
                </c:pt>
                <c:pt idx="338">
                  <c:v>-1.0364529870211597E-3</c:v>
                </c:pt>
                <c:pt idx="339">
                  <c:v>-1.0333956035786193E-3</c:v>
                </c:pt>
                <c:pt idx="340">
                  <c:v>-1.0303562047445645E-3</c:v>
                </c:pt>
                <c:pt idx="341">
                  <c:v>-1.0273346322966332E-3</c:v>
                </c:pt>
                <c:pt idx="342">
                  <c:v>-1.0243307298630174E-3</c:v>
                </c:pt>
                <c:pt idx="343">
                  <c:v>-1.0213443428954867E-3</c:v>
                </c:pt>
                <c:pt idx="344">
                  <c:v>-1.0183753186428835E-3</c:v>
                </c:pt>
                <c:pt idx="345">
                  <c:v>-1.0154235061250782E-3</c:v>
                </c:pt>
                <c:pt idx="346">
                  <c:v>-1.0124887561073755E-3</c:v>
                </c:pt>
                <c:pt idx="347">
                  <c:v>-1.0095709210753657E-3</c:v>
                </c:pt>
                <c:pt idx="348">
                  <c:v>-1.0066698552102067E-3</c:v>
                </c:pt>
                <c:pt idx="349">
                  <c:v>-1.0037854143643322E-3</c:v>
                </c:pt>
                <c:pt idx="350">
                  <c:v>-1.0009174560375769E-3</c:v>
                </c:pt>
                <c:pt idx="351">
                  <c:v>-9.9806583935370917E-4</c:v>
                </c:pt>
                <c:pt idx="352">
                  <c:v>-9.9523042503736354E-4</c:v>
                </c:pt>
                <c:pt idx="353">
                  <c:v>-9.9241107539136514E-4</c:v>
                </c:pt>
                <c:pt idx="354">
                  <c:v>-9.8960765427444039E-4</c:v>
                </c:pt>
                <c:pt idx="355">
                  <c:v>-9.8682002707930127E-4</c:v>
                </c:pt>
                <c:pt idx="356">
                  <c:v>-9.8404806071110103E-4</c:v>
                </c:pt>
                <c:pt idx="357">
                  <c:v>-9.8129162356625182E-4</c:v>
                </c:pt>
                <c:pt idx="358">
                  <c:v>-9.7855058551159766E-4</c:v>
                </c:pt>
                <c:pt idx="359">
                  <c:v>-9.7582481786393296E-4</c:v>
                </c:pt>
                <c:pt idx="360">
                  <c:v>-9.7311419336986642E-4</c:v>
                </c:pt>
                <c:pt idx="361">
                  <c:v>-9.7041858618601641E-4</c:v>
                </c:pt>
                <c:pt idx="362">
                  <c:v>-9.6773787185953572E-4</c:v>
                </c:pt>
                <c:pt idx="363">
                  <c:v>-9.6507192730895842E-4</c:v>
                </c:pt>
                <c:pt idx="364">
                  <c:v>-9.6242063080536244E-4</c:v>
                </c:pt>
                <c:pt idx="365">
                  <c:v>-9.5978386195384085E-4</c:v>
                </c:pt>
                <c:pt idx="366">
                  <c:v>-9.5716150167527846E-4</c:v>
                </c:pt>
                <c:pt idx="367">
                  <c:v>-9.5455343218842483E-4</c:v>
                </c:pt>
                <c:pt idx="368">
                  <c:v>-9.5195953699226061E-4</c:v>
                </c:pt>
                <c:pt idx="369">
                  <c:v>-9.4937970084865014E-4</c:v>
                </c:pt>
                <c:pt idx="370">
                  <c:v>-9.4681380976527547E-4</c:v>
                </c:pt>
                <c:pt idx="371">
                  <c:v>-9.4426175097884612E-4</c:v>
                </c:pt>
                <c:pt idx="372">
                  <c:v>-9.4172341293858046E-4</c:v>
                </c:pt>
                <c:pt idx="373">
                  <c:v>-9.3919868528995155E-4</c:v>
                </c:pt>
                <c:pt idx="374">
                  <c:v>-9.3668745885869492E-4</c:v>
                </c:pt>
                <c:pt idx="375">
                  <c:v>-9.3418962563507173E-4</c:v>
                </c:pt>
                <c:pt idx="376">
                  <c:v>-9.3170507875838275E-4</c:v>
                </c:pt>
                <c:pt idx="377">
                  <c:v>-9.2923371250172918E-4</c:v>
                </c:pt>
                <c:pt idx="378">
                  <c:v>-9.2677542225701561E-4</c:v>
                </c:pt>
                <c:pt idx="379">
                  <c:v>-9.2433010452018971E-4</c:v>
                </c:pt>
                <c:pt idx="380">
                  <c:v>-9.2189765687671554E-4</c:v>
                </c:pt>
                <c:pt idx="381">
                  <c:v>-9.194779779872754E-4</c:v>
                </c:pt>
                <c:pt idx="382">
                  <c:v>-9.1707096757369605E-4</c:v>
                </c:pt>
                <c:pt idx="383">
                  <c:v>-9.1467652640509639E-4</c:v>
                </c:pt>
                <c:pt idx="384">
                  <c:v>-9.122945562842498E-4</c:v>
                </c:pt>
                <c:pt idx="385">
                  <c:v>-9.0992496003416078E-4</c:v>
                </c:pt>
                <c:pt idx="386">
                  <c:v>-9.0756764148484947E-4</c:v>
                </c:pt>
                <c:pt idx="387">
                  <c:v>-9.0522250546034081E-4</c:v>
                </c:pt>
                <c:pt idx="388">
                  <c:v>-9.0288945776585542E-4</c:v>
                </c:pt>
                <c:pt idx="389">
                  <c:v>-9.0056840517519767E-4</c:v>
                </c:pt>
                <c:pt idx="390">
                  <c:v>-8.9825925541833817E-4</c:v>
                </c:pt>
                <c:pt idx="391">
                  <c:v>-8.9596191716918643E-4</c:v>
                </c:pt>
                <c:pt idx="392">
                  <c:v>-8.9367630003355078E-4</c:v>
                </c:pt>
                <c:pt idx="393">
                  <c:v>-8.9140231453728219E-4</c:v>
                </c:pt>
                <c:pt idx="394">
                  <c:v>-8.8913987211459869E-4</c:v>
                </c:pt>
                <c:pt idx="395">
                  <c:v>-8.8688888509658723E-4</c:v>
                </c:pt>
                <c:pt idx="396">
                  <c:v>-8.846492666998787E-4</c:v>
                </c:pt>
                <c:pt idx="397">
                  <c:v>-8.8242093101549611E-4</c:v>
                </c:pt>
                <c:pt idx="398">
                  <c:v>-8.8020379299786928E-4</c:v>
                </c:pt>
                <c:pt idx="399">
                  <c:v>-8.7799776845401487E-4</c:v>
                </c:pt>
                <c:pt idx="400">
                  <c:v>-8.7580277403287985E-4</c:v>
                </c:pt>
                <c:pt idx="401">
                  <c:v>-8.7361872721484276E-4</c:v>
                </c:pt>
                <c:pt idx="402">
                  <c:v>-8.7144554630137305E-4</c:v>
                </c:pt>
                <c:pt idx="403">
                  <c:v>-8.6928315040484352E-4</c:v>
                </c:pt>
                <c:pt idx="404">
                  <c:v>-8.6713145943849489E-4</c:v>
                </c:pt>
                <c:pt idx="405">
                  <c:v>-8.6499039410654801E-4</c:v>
                </c:pt>
                <c:pt idx="406">
                  <c:v>-8.6285987589446297E-4</c:v>
                </c:pt>
                <c:pt idx="407">
                  <c:v>-8.6073982705934138E-4</c:v>
                </c:pt>
                <c:pt idx="408">
                  <c:v>-8.5863017062047043E-4</c:v>
                </c:pt>
                <c:pt idx="409">
                  <c:v>-8.5653083035000478E-4</c:v>
                </c:pt>
                <c:pt idx="410">
                  <c:v>-8.5444173076378526E-4</c:v>
                </c:pt>
                <c:pt idx="411">
                  <c:v>-8.5236279711229182E-4</c:v>
                </c:pt>
                <c:pt idx="412">
                  <c:v>-8.5029395537172803E-4</c:v>
                </c:pt>
                <c:pt idx="413">
                  <c:v>-8.4823513223523472E-4</c:v>
                </c:pt>
                <c:pt idx="414">
                  <c:v>-8.4618625510423176E-4</c:v>
                </c:pt>
                <c:pt idx="415">
                  <c:v>-8.4414725207988415E-4</c:v>
                </c:pt>
                <c:pt idx="416">
                  <c:v>-8.4211805195469217E-4</c:v>
                </c:pt>
                <c:pt idx="417">
                  <c:v>-8.4009858420420124E-4</c:v>
                </c:pt>
                <c:pt idx="418">
                  <c:v>-8.3808877897883236E-4</c:v>
                </c:pt>
                <c:pt idx="419">
                  <c:v>-8.36088567095828E-4</c:v>
                </c:pt>
                <c:pt idx="420">
                  <c:v>-8.340978800313141E-4</c:v>
                </c:pt>
                <c:pt idx="421">
                  <c:v>-8.321166499124749E-4</c:v>
                </c:pt>
                <c:pt idx="422">
                  <c:v>-8.3014480950983872E-4</c:v>
                </c:pt>
                <c:pt idx="423">
                  <c:v>-8.2818229222967363E-4</c:v>
                </c:pt>
                <c:pt idx="424">
                  <c:v>-8.2622903210649037E-4</c:v>
                </c:pt>
                <c:pt idx="425">
                  <c:v>-8.2428496379565157E-4</c:v>
                </c:pt>
                <c:pt idx="426">
                  <c:v>-8.2235002256608432E-4</c:v>
                </c:pt>
                <c:pt idx="427">
                  <c:v>-8.2042414429309585E-4</c:v>
                </c:pt>
                <c:pt idx="428">
                  <c:v>-8.1850726545128953E-4</c:v>
                </c:pt>
                <c:pt idx="429">
                  <c:v>-8.1659932310758029E-4</c:v>
                </c:pt>
                <c:pt idx="430">
                  <c:v>-8.147002549143068E-4</c:v>
                </c:pt>
                <c:pt idx="431">
                  <c:v>-8.128099991024407E-4</c:v>
                </c:pt>
                <c:pt idx="432">
                  <c:v>-8.109284944748887E-4</c:v>
                </c:pt>
                <c:pt idx="433">
                  <c:v>-8.0905568039988892E-4</c:v>
                </c:pt>
                <c:pt idx="434">
                  <c:v>-8.0719149680449757E-4</c:v>
                </c:pt>
                <c:pt idx="435">
                  <c:v>-8.0533588416816535E-4</c:v>
                </c:pt>
                <c:pt idx="436">
                  <c:v>-8.0348878351640344E-4</c:v>
                </c:pt>
                <c:pt idx="437">
                  <c:v>-8.0165013641453526E-4</c:v>
                </c:pt>
                <c:pt idx="438">
                  <c:v>-7.9981988496153407E-4</c:v>
                </c:pt>
                <c:pt idx="439">
                  <c:v>-7.9799797178394514E-4</c:v>
                </c:pt>
                <c:pt idx="440">
                  <c:v>-7.9618434002989077E-4</c:v>
                </c:pt>
                <c:pt idx="441">
                  <c:v>-7.9437893336315628E-4</c:v>
                </c:pt>
                <c:pt idx="442">
                  <c:v>-7.9258169595735728E-4</c:v>
                </c:pt>
                <c:pt idx="443">
                  <c:v>-7.9079257249018494E-4</c:v>
                </c:pt>
                <c:pt idx="444">
                  <c:v>-7.8901150813772954E-4</c:v>
                </c:pt>
                <c:pt idx="445">
                  <c:v>-7.8723844856888072E-4</c:v>
                </c:pt>
                <c:pt idx="446">
                  <c:v>-7.8547333993980251E-4</c:v>
                </c:pt>
                <c:pt idx="447">
                  <c:v>-7.8371612888848306E-4</c:v>
                </c:pt>
                <c:pt idx="448">
                  <c:v>-7.8196676252935697E-4</c:v>
                </c:pt>
                <c:pt idx="449">
                  <c:v>-7.8022518844799978E-4</c:v>
                </c:pt>
                <c:pt idx="450">
                  <c:v>-7.7849135469589318E-4</c:v>
                </c:pt>
                <c:pt idx="451">
                  <c:v>-7.7676520978525927E-4</c:v>
                </c:pt>
                <c:pt idx="452">
                  <c:v>-7.7504670268396445E-4</c:v>
                </c:pt>
                <c:pt idx="453">
                  <c:v>-7.7333578281048982E-4</c:v>
                </c:pt>
                <c:pt idx="454">
                  <c:v>-7.71632400028969E-4</c:v>
                </c:pt>
                <c:pt idx="455">
                  <c:v>-7.6993650464428993E-4</c:v>
                </c:pt>
                <c:pt idx="456">
                  <c:v>-7.68248047397263E-4</c:v>
                </c:pt>
                <c:pt idx="457">
                  <c:v>-7.66566979459851E-4</c:v>
                </c:pt>
                <c:pt idx="458">
                  <c:v>-7.6489325243046271E-4</c:v>
                </c:pt>
                <c:pt idx="459">
                  <c:v>-7.6322681832930697E-4</c:v>
                </c:pt>
                <c:pt idx="460">
                  <c:v>-7.6156762959380851E-4</c:v>
                </c:pt>
                <c:pt idx="461">
                  <c:v>-7.5991563907408218E-4</c:v>
                </c:pt>
                <c:pt idx="462">
                  <c:v>-7.5827080002846732E-4</c:v>
                </c:pt>
                <c:pt idx="463">
                  <c:v>-7.5663306611911858E-4</c:v>
                </c:pt>
                <c:pt idx="464">
                  <c:v>-7.5500239140765494E-4</c:v>
                </c:pt>
                <c:pt idx="465">
                  <c:v>-7.5337873035086428E-4</c:v>
                </c:pt>
                <c:pt idx="466">
                  <c:v>-7.5176203779646334E-4</c:v>
                </c:pt>
                <c:pt idx="467">
                  <c:v>-7.5015226897891208E-4</c:v>
                </c:pt>
                <c:pt idx="468">
                  <c:v>-7.4854937951528199E-4</c:v>
                </c:pt>
                <c:pt idx="469">
                  <c:v>-7.4695332540117689E-4</c:v>
                </c:pt>
                <c:pt idx="470">
                  <c:v>-7.4536406300670629E-4</c:v>
                </c:pt>
                <c:pt idx="471">
                  <c:v>-7.4378154907250946E-4</c:v>
                </c:pt>
                <c:pt idx="472">
                  <c:v>-7.4220574070583034E-4</c:v>
                </c:pt>
                <c:pt idx="473">
                  <c:v>-7.4063659537664255E-4</c:v>
                </c:pt>
                <c:pt idx="474">
                  <c:v>-7.3907407091382271E-4</c:v>
                </c:pt>
                <c:pt idx="475">
                  <c:v>-7.3751812550137247E-4</c:v>
                </c:pt>
                <c:pt idx="476">
                  <c:v>-7.3596871767468892E-4</c:v>
                </c:pt>
                <c:pt idx="477">
                  <c:v>-7.3442580631688037E-4</c:v>
                </c:pt>
                <c:pt idx="478">
                  <c:v>-7.3288935065512963E-4</c:v>
                </c:pt>
                <c:pt idx="479">
                  <c:v>-7.3135931025710213E-4</c:v>
                </c:pt>
                <c:pt idx="480">
                  <c:v>-7.2983564502739984E-4</c:v>
                </c:pt>
                <c:pt idx="481">
                  <c:v>-7.283183152040581E-4</c:v>
                </c:pt>
                <c:pt idx="482">
                  <c:v>-7.2680728135508701E-4</c:v>
                </c:pt>
                <c:pt idx="483">
                  <c:v>-7.2530250437505576E-4</c:v>
                </c:pt>
                <c:pt idx="484">
                  <c:v>-7.2380394548171893E-4</c:v>
                </c:pt>
                <c:pt idx="485">
                  <c:v>-7.2231156621268438E-4</c:v>
                </c:pt>
                <c:pt idx="486">
                  <c:v>-7.2082532842212329E-4</c:v>
                </c:pt>
                <c:pt idx="487">
                  <c:v>-7.1934519427751934E-4</c:v>
                </c:pt>
                <c:pt idx="488">
                  <c:v>-7.1787112625645887E-4</c:v>
                </c:pt>
                <c:pt idx="489">
                  <c:v>-7.1640308714345999E-4</c:v>
                </c:pt>
                <c:pt idx="490">
                  <c:v>-7.1494104002684065E-4</c:v>
                </c:pt>
                <c:pt idx="491">
                  <c:v>-7.1348494829562509E-4</c:v>
                </c:pt>
                <c:pt idx="492">
                  <c:v>-7.1203477563648772E-4</c:v>
                </c:pt>
                <c:pt idx="493">
                  <c:v>-7.1059048603073409E-4</c:v>
                </c:pt>
                <c:pt idx="494">
                  <c:v>-7.0915204375131974E-4</c:v>
                </c:pt>
                <c:pt idx="495">
                  <c:v>-7.0771941335990294E-4</c:v>
                </c:pt>
                <c:pt idx="496">
                  <c:v>-7.0629255970393529E-4</c:v>
                </c:pt>
                <c:pt idx="497">
                  <c:v>-7.0487144791378661E-4</c:v>
                </c:pt>
                <c:pt idx="498">
                  <c:v>-7.0345604339990344E-4</c:v>
                </c:pt>
                <c:pt idx="499">
                  <c:v>-7.0204631185000383E-4</c:v>
                </c:pt>
                <c:pt idx="500">
                  <c:v>-7.006422192263039E-4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D-4273-92AF-858F1FDD38F5}"/>
            </c:ext>
          </c:extLst>
        </c:ser>
        <c:ser>
          <c:idx val="3"/>
          <c:order val="2"/>
          <c:tx>
            <c:strRef>
              <c:f>'NSS Goverment'!$CQ$2</c:f>
              <c:strCache>
                <c:ptCount val="1"/>
                <c:pt idx="0">
                  <c:v>First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Goverment'!$CN$3:$CN$503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Goverment'!$CQ$3:$CQ$503</c:f>
              <c:numCache>
                <c:formatCode>0.00%</c:formatCode>
                <c:ptCount val="501"/>
                <c:pt idx="0">
                  <c:v>-5.3576812585363129E-9</c:v>
                </c:pt>
                <c:pt idx="1">
                  <c:v>-2.4790830098819013E-3</c:v>
                </c:pt>
                <c:pt idx="2">
                  <c:v>-4.5942127807805898E-3</c:v>
                </c:pt>
                <c:pt idx="3">
                  <c:v>-6.3903867053029598E-3</c:v>
                </c:pt>
                <c:pt idx="4">
                  <c:v>-7.9073324322553509E-3</c:v>
                </c:pt>
                <c:pt idx="5">
                  <c:v>-9.1801102221314799E-3</c:v>
                </c:pt>
                <c:pt idx="6">
                  <c:v>-1.0239647339680131E-2</c:v>
                </c:pt>
                <c:pt idx="7">
                  <c:v>-1.1113212092267517E-2</c:v>
                </c:pt>
                <c:pt idx="8">
                  <c:v>-1.1824834275199923E-2</c:v>
                </c:pt>
                <c:pt idx="9">
                  <c:v>-1.2395678031708698E-2</c:v>
                </c:pt>
                <c:pt idx="10">
                  <c:v>-1.2844372465503556E-2</c:v>
                </c:pt>
                <c:pt idx="11">
                  <c:v>-1.3187304748402906E-2</c:v>
                </c:pt>
                <c:pt idx="12">
                  <c:v>-1.3438879936310624E-2</c:v>
                </c:pt>
                <c:pt idx="13">
                  <c:v>-1.3611751236395303E-2</c:v>
                </c:pt>
                <c:pt idx="14">
                  <c:v>-1.3717024050220046E-2</c:v>
                </c:pt>
                <c:pt idx="15">
                  <c:v>-1.3764436745970259E-2</c:v>
                </c:pt>
                <c:pt idx="16">
                  <c:v>-1.3762520782674859E-2</c:v>
                </c:pt>
                <c:pt idx="17">
                  <c:v>-1.3718742515826851E-2</c:v>
                </c:pt>
                <c:pt idx="18">
                  <c:v>-1.3639628753003001E-2</c:v>
                </c:pt>
                <c:pt idx="19">
                  <c:v>-1.3530877896331743E-2</c:v>
                </c:pt>
                <c:pt idx="20">
                  <c:v>-1.3397458302737385E-2</c:v>
                </c:pt>
                <c:pt idx="21">
                  <c:v>-1.3243695309929091E-2</c:v>
                </c:pt>
                <c:pt idx="22">
                  <c:v>-1.3073348213553498E-2</c:v>
                </c:pt>
                <c:pt idx="23">
                  <c:v>-1.2889678336522365E-2</c:v>
                </c:pt>
                <c:pt idx="24">
                  <c:v>-1.2695509203244337E-2</c:v>
                </c:pt>
                <c:pt idx="25">
                  <c:v>-1.249327971753973E-2</c:v>
                </c:pt>
                <c:pt idx="26">
                  <c:v>-1.2285091141804452E-2</c:v>
                </c:pt>
                <c:pt idx="27">
                  <c:v>-1.2072748585096408E-2</c:v>
                </c:pt>
                <c:pt idx="28">
                  <c:v>-1.1857797627984921E-2</c:v>
                </c:pt>
                <c:pt idx="29">
                  <c:v>-1.1641556641109708E-2</c:v>
                </c:pt>
                <c:pt idx="30">
                  <c:v>-1.1425145291445829E-2</c:v>
                </c:pt>
                <c:pt idx="31">
                  <c:v>-1.1209509674378029E-2</c:v>
                </c:pt>
                <c:pt idx="32">
                  <c:v>-1.0995444460066133E-2</c:v>
                </c:pt>
                <c:pt idx="33">
                  <c:v>-1.0783612398532171E-2</c:v>
                </c:pt>
                <c:pt idx="34">
                  <c:v>-1.0574561488798137E-2</c:v>
                </c:pt>
                <c:pt idx="35">
                  <c:v>-1.0368740082698093E-2</c:v>
                </c:pt>
                <c:pt idx="36">
                  <c:v>-1.0166510163188178E-2</c:v>
                </c:pt>
                <c:pt idx="37">
                  <c:v>-9.9681590096466783E-3</c:v>
                </c:pt>
                <c:pt idx="38">
                  <c:v>-9.7739094384053701E-3</c:v>
                </c:pt>
                <c:pt idx="39">
                  <c:v>-9.5839287852384075E-3</c:v>
                </c:pt>
                <c:pt idx="40">
                  <c:v>-9.3983367774493065E-3</c:v>
                </c:pt>
                <c:pt idx="41">
                  <c:v>-9.2172124262682228E-3</c:v>
                </c:pt>
                <c:pt idx="42">
                  <c:v>-9.0406000552585922E-3</c:v>
                </c:pt>
                <c:pt idx="43">
                  <c:v>-8.8685145671194374E-3</c:v>
                </c:pt>
                <c:pt idx="44">
                  <c:v>-8.7009460394663913E-3</c:v>
                </c:pt>
                <c:pt idx="45">
                  <c:v>-8.5378637297111645E-3</c:v>
                </c:pt>
                <c:pt idx="46">
                  <c:v>-8.3792195598847968E-3</c:v>
                </c:pt>
                <c:pt idx="47">
                  <c:v>-8.2249511440314112E-3</c:v>
                </c:pt>
                <c:pt idx="48">
                  <c:v>-8.0749844135166223E-3</c:v>
                </c:pt>
                <c:pt idx="49">
                  <c:v>-7.9292358891435103E-3</c:v>
                </c:pt>
                <c:pt idx="50">
                  <c:v>-7.7876146432547507E-3</c:v>
                </c:pt>
                <c:pt idx="51">
                  <c:v>-7.6500239899392588E-3</c:v>
                </c:pt>
                <c:pt idx="52">
                  <c:v>-7.5163629369814425E-3</c:v>
                </c:pt>
                <c:pt idx="53">
                  <c:v>-7.3865274292252963E-3</c:v>
                </c:pt>
                <c:pt idx="54">
                  <c:v>-7.2604114095158601E-3</c:v>
                </c:pt>
                <c:pt idx="55">
                  <c:v>-7.1379077202752489E-3</c:v>
                </c:pt>
                <c:pt idx="56">
                  <c:v>-7.0189088660236893E-3</c:v>
                </c:pt>
                <c:pt idx="57">
                  <c:v>-6.9033076547269272E-3</c:v>
                </c:pt>
                <c:pt idx="58">
                  <c:v>-6.7909977337039743E-3</c:v>
                </c:pt>
                <c:pt idx="59">
                  <c:v>-6.681874033931271E-3</c:v>
                </c:pt>
                <c:pt idx="60">
                  <c:v>-6.5758331349024274E-3</c:v>
                </c:pt>
                <c:pt idx="61">
                  <c:v>-6.4727735607217323E-3</c:v>
                </c:pt>
                <c:pt idx="62">
                  <c:v>-6.3725960168018684E-3</c:v>
                </c:pt>
                <c:pt idx="63">
                  <c:v>-6.2752035753822089E-3</c:v>
                </c:pt>
                <c:pt idx="64">
                  <c:v>-6.1805018170657585E-3</c:v>
                </c:pt>
                <c:pt idx="65">
                  <c:v>-6.0883989346748844E-3</c:v>
                </c:pt>
                <c:pt idx="66">
                  <c:v>-5.9988058049343755E-3</c:v>
                </c:pt>
                <c:pt idx="67">
                  <c:v>-5.9116360327930188E-3</c:v>
                </c:pt>
                <c:pt idx="68">
                  <c:v>-5.8268059725806419E-3</c:v>
                </c:pt>
                <c:pt idx="69">
                  <c:v>-5.7442347296570431E-3</c:v>
                </c:pt>
                <c:pt idx="70">
                  <c:v>-5.6638441457337639E-3</c:v>
                </c:pt>
                <c:pt idx="71">
                  <c:v>-5.5855587706315308E-3</c:v>
                </c:pt>
                <c:pt idx="72">
                  <c:v>-5.5093058228690549E-3</c:v>
                </c:pt>
                <c:pt idx="73">
                  <c:v>-5.4350151411563926E-3</c:v>
                </c:pt>
                <c:pt idx="74">
                  <c:v>-5.3626191285832672E-3</c:v>
                </c:pt>
                <c:pt idx="75">
                  <c:v>-5.2920526910448162E-3</c:v>
                </c:pt>
                <c:pt idx="76">
                  <c:v>-5.2232531712301349E-3</c:v>
                </c:pt>
                <c:pt idx="77">
                  <c:v>-5.1561602793089968E-3</c:v>
                </c:pt>
                <c:pt idx="78">
                  <c:v>-5.090716021286132E-3</c:v>
                </c:pt>
                <c:pt idx="79">
                  <c:v>-5.0268646258474501E-3</c:v>
                </c:pt>
                <c:pt idx="80">
                  <c:v>-4.9645524703962312E-3</c:v>
                </c:pt>
                <c:pt idx="81">
                  <c:v>-4.9037280068672008E-3</c:v>
                </c:pt>
                <c:pt idx="82">
                  <c:v>-4.8443416878107097E-3</c:v>
                </c:pt>
                <c:pt idx="83">
                  <c:v>-4.786345893156115E-3</c:v>
                </c:pt>
                <c:pt idx="84">
                  <c:v>-4.7296948579914509E-3</c:v>
                </c:pt>
                <c:pt idx="85">
                  <c:v>-4.6743446016341604E-3</c:v>
                </c:pt>
                <c:pt idx="86">
                  <c:v>-4.6202528582139028E-3</c:v>
                </c:pt>
                <c:pt idx="87">
                  <c:v>-4.5673790089421256E-3</c:v>
                </c:pt>
                <c:pt idx="88">
                  <c:v>-4.5156840162033293E-3</c:v>
                </c:pt>
                <c:pt idx="89">
                  <c:v>-4.4651303595689175E-3</c:v>
                </c:pt>
                <c:pt idx="90">
                  <c:v>-4.415681973805455E-3</c:v>
                </c:pt>
                <c:pt idx="91">
                  <c:v>-4.3673041889244774E-3</c:v>
                </c:pt>
                <c:pt idx="92">
                  <c:v>-4.319963672300085E-3</c:v>
                </c:pt>
                <c:pt idx="93">
                  <c:v>-4.2736283728629842E-3</c:v>
                </c:pt>
                <c:pt idx="94">
                  <c:v>-4.2282674673649323E-3</c:v>
                </c:pt>
                <c:pt idx="95">
                  <c:v>-4.1838513086952739E-3</c:v>
                </c:pt>
                <c:pt idx="96">
                  <c:v>-4.140351376221282E-3</c:v>
                </c:pt>
                <c:pt idx="97">
                  <c:v>-4.0977402281157189E-3</c:v>
                </c:pt>
                <c:pt idx="98">
                  <c:v>-4.0559914556285567E-3</c:v>
                </c:pt>
                <c:pt idx="99">
                  <c:v>-4.0150796392544978E-3</c:v>
                </c:pt>
                <c:pt idx="100">
                  <c:v>-3.974980306744009E-3</c:v>
                </c:pt>
                <c:pt idx="101">
                  <c:v>-3.9356698929025385E-3</c:v>
                </c:pt>
                <c:pt idx="102">
                  <c:v>-3.897125701120475E-3</c:v>
                </c:pt>
                <c:pt idx="103">
                  <c:v>-3.859325866575019E-3</c:v>
                </c:pt>
                <c:pt idx="104">
                  <c:v>-3.8222493210443727E-3</c:v>
                </c:pt>
                <c:pt idx="105">
                  <c:v>-3.7858757592743901E-3</c:v>
                </c:pt>
                <c:pt idx="106">
                  <c:v>-3.7501856068380373E-3</c:v>
                </c:pt>
                <c:pt idx="107">
                  <c:v>-3.7151599894285634E-3</c:v>
                </c:pt>
                <c:pt idx="108">
                  <c:v>-3.6807807035281197E-3</c:v>
                </c:pt>
                <c:pt idx="109">
                  <c:v>-3.6470301883946687E-3</c:v>
                </c:pt>
                <c:pt idx="110">
                  <c:v>-3.6138914993112982E-3</c:v>
                </c:pt>
                <c:pt idx="111">
                  <c:v>-3.5813482820435177E-3</c:v>
                </c:pt>
                <c:pt idx="112">
                  <c:v>-3.549384748451618E-3</c:v>
                </c:pt>
                <c:pt idx="113">
                  <c:v>-3.5179856532068805E-3</c:v>
                </c:pt>
                <c:pt idx="114">
                  <c:v>-3.4871362715620624E-3</c:v>
                </c:pt>
                <c:pt idx="115">
                  <c:v>-3.4568223781283693E-3</c:v>
                </c:pt>
                <c:pt idx="116">
                  <c:v>-3.4270302266128589E-3</c:v>
                </c:pt>
                <c:pt idx="117">
                  <c:v>-3.3977465304720054E-3</c:v>
                </c:pt>
                <c:pt idx="118">
                  <c:v>-3.368958444438895E-3</c:v>
                </c:pt>
                <c:pt idx="119">
                  <c:v>-3.3406535468832742E-3</c:v>
                </c:pt>
                <c:pt idx="120">
                  <c:v>-3.3128198229653862E-3</c:v>
                </c:pt>
                <c:pt idx="121">
                  <c:v>-3.2854456485461978E-3</c:v>
                </c:pt>
                <c:pt idx="122">
                  <c:v>-3.2585197748182752E-3</c:v>
                </c:pt>
                <c:pt idx="123">
                  <c:v>-3.2320313136231476E-3</c:v>
                </c:pt>
                <c:pt idx="124">
                  <c:v>-3.2059697234225479E-3</c:v>
                </c:pt>
                <c:pt idx="125">
                  <c:v>-3.1803247958924344E-3</c:v>
                </c:pt>
                <c:pt idx="126">
                  <c:v>-3.1550866431101091E-3</c:v>
                </c:pt>
                <c:pt idx="127">
                  <c:v>-3.1302456853061853E-3</c:v>
                </c:pt>
                <c:pt idx="128">
                  <c:v>-3.1057926391544516E-3</c:v>
                </c:pt>
                <c:pt idx="129">
                  <c:v>-3.0817185065740143E-3</c:v>
                </c:pt>
                <c:pt idx="130">
                  <c:v>-3.0580145640192952E-3</c:v>
                </c:pt>
                <c:pt idx="131">
                  <c:v>-3.0346723522346611E-3</c:v>
                </c:pt>
                <c:pt idx="132">
                  <c:v>-3.0116836664515986E-3</c:v>
                </c:pt>
                <c:pt idx="133">
                  <c:v>-2.989040547007429E-3</c:v>
                </c:pt>
                <c:pt idx="134">
                  <c:v>-2.9667352703655549E-3</c:v>
                </c:pt>
                <c:pt idx="135">
                  <c:v>-2.9447603405182857E-3</c:v>
                </c:pt>
                <c:pt idx="136">
                  <c:v>-2.9231084807541459E-3</c:v>
                </c:pt>
                <c:pt idx="137">
                  <c:v>-2.9017726257725383E-3</c:v>
                </c:pt>
                <c:pt idx="138">
                  <c:v>-2.8807459141294289E-3</c:v>
                </c:pt>
                <c:pt idx="139">
                  <c:v>-2.8600216809985678E-3</c:v>
                </c:pt>
                <c:pt idx="140">
                  <c:v>-2.8395934512335072E-3</c:v>
                </c:pt>
                <c:pt idx="141">
                  <c:v>-2.8194549327164331E-3</c:v>
                </c:pt>
                <c:pt idx="142">
                  <c:v>-2.7996000099804975E-3</c:v>
                </c:pt>
                <c:pt idx="143">
                  <c:v>-2.7800227380930186E-3</c:v>
                </c:pt>
                <c:pt idx="144">
                  <c:v>-2.7607173367875442E-3</c:v>
                </c:pt>
                <c:pt idx="145">
                  <c:v>-2.7416781848333504E-3</c:v>
                </c:pt>
                <c:pt idx="146">
                  <c:v>-2.7228998146315393E-3</c:v>
                </c:pt>
                <c:pt idx="147">
                  <c:v>-2.7043769070274216E-3</c:v>
                </c:pt>
                <c:pt idx="148">
                  <c:v>-2.6861042863293811E-3</c:v>
                </c:pt>
                <c:pt idx="149">
                  <c:v>-2.6680769155249038E-3</c:v>
                </c:pt>
                <c:pt idx="150">
                  <c:v>-2.6502898916849166E-3</c:v>
                </c:pt>
                <c:pt idx="151">
                  <c:v>-2.6327384415480086E-3</c:v>
                </c:pt>
                <c:pt idx="152">
                  <c:v>-2.6154179172765287E-3</c:v>
                </c:pt>
                <c:pt idx="153">
                  <c:v>-2.598323792376931E-3</c:v>
                </c:pt>
                <c:pt idx="154">
                  <c:v>-2.5814516577771346E-3</c:v>
                </c:pt>
                <c:pt idx="155">
                  <c:v>-2.5647972180539939E-3</c:v>
                </c:pt>
                <c:pt idx="156">
                  <c:v>-2.5483562878043133E-3</c:v>
                </c:pt>
                <c:pt idx="157">
                  <c:v>-2.532124788153177E-3</c:v>
                </c:pt>
                <c:pt idx="158">
                  <c:v>-2.516098743393634E-3</c:v>
                </c:pt>
                <c:pt idx="159">
                  <c:v>-2.5002742777520902E-3</c:v>
                </c:pt>
                <c:pt idx="160">
                  <c:v>-2.4846476122740153E-3</c:v>
                </c:pt>
                <c:pt idx="161">
                  <c:v>-2.469215061824832E-3</c:v>
                </c:pt>
                <c:pt idx="162">
                  <c:v>-2.4539730322011045E-3</c:v>
                </c:pt>
                <c:pt idx="163">
                  <c:v>-2.4389180173473549E-3</c:v>
                </c:pt>
                <c:pt idx="164">
                  <c:v>-2.4240465966740934E-3</c:v>
                </c:pt>
                <c:pt idx="165">
                  <c:v>-2.4093554324728082E-3</c:v>
                </c:pt>
                <c:pt idx="166">
                  <c:v>-2.3948412674238933E-3</c:v>
                </c:pt>
                <c:pt idx="167">
                  <c:v>-2.380500922193675E-3</c:v>
                </c:pt>
                <c:pt idx="168">
                  <c:v>-2.3663312931168539E-3</c:v>
                </c:pt>
                <c:pt idx="169">
                  <c:v>-2.3523293499608821E-3</c:v>
                </c:pt>
                <c:pt idx="170">
                  <c:v>-2.3384921337689236E-3</c:v>
                </c:pt>
                <c:pt idx="171">
                  <c:v>-2.3248167547782221E-3</c:v>
                </c:pt>
                <c:pt idx="172">
                  <c:v>-2.3113003904108357E-3</c:v>
                </c:pt>
                <c:pt idx="173">
                  <c:v>-2.297940283333823E-3</c:v>
                </c:pt>
                <c:pt idx="174">
                  <c:v>-2.284733739586133E-3</c:v>
                </c:pt>
                <c:pt idx="175">
                  <c:v>-2.2716781267695264E-3</c:v>
                </c:pt>
                <c:pt idx="176">
                  <c:v>-2.2587708723010181E-3</c:v>
                </c:pt>
                <c:pt idx="177">
                  <c:v>-2.2460094617244132E-3</c:v>
                </c:pt>
                <c:pt idx="178">
                  <c:v>-2.2333914370786315E-3</c:v>
                </c:pt>
                <c:pt idx="179">
                  <c:v>-2.220914395320617E-3</c:v>
                </c:pt>
                <c:pt idx="180">
                  <c:v>-2.2085759868007032E-3</c:v>
                </c:pt>
                <c:pt idx="181">
                  <c:v>-2.1963739137884487E-3</c:v>
                </c:pt>
                <c:pt idx="182">
                  <c:v>-2.1843059290469701E-3</c:v>
                </c:pt>
                <c:pt idx="183">
                  <c:v>-2.1723698344539642E-3</c:v>
                </c:pt>
                <c:pt idx="184">
                  <c:v>-2.1605634796676224E-3</c:v>
                </c:pt>
                <c:pt idx="185">
                  <c:v>-2.1488847608357579E-3</c:v>
                </c:pt>
                <c:pt idx="186">
                  <c:v>-2.1373316193465282E-3</c:v>
                </c:pt>
                <c:pt idx="187">
                  <c:v>-2.125902040619188E-3</c:v>
                </c:pt>
                <c:pt idx="188">
                  <c:v>-2.114594052933402E-3</c:v>
                </c:pt>
                <c:pt idx="189">
                  <c:v>-2.1034057262956812E-3</c:v>
                </c:pt>
                <c:pt idx="190">
                  <c:v>-2.0923351713415862E-3</c:v>
                </c:pt>
                <c:pt idx="191">
                  <c:v>-2.0813805382723888E-3</c:v>
                </c:pt>
                <c:pt idx="192">
                  <c:v>-2.0705400158249334E-3</c:v>
                </c:pt>
                <c:pt idx="193">
                  <c:v>-2.0598118302735044E-3</c:v>
                </c:pt>
                <c:pt idx="194">
                  <c:v>-2.0491942444625416E-3</c:v>
                </c:pt>
                <c:pt idx="195">
                  <c:v>-2.0386855568691E-3</c:v>
                </c:pt>
                <c:pt idx="196">
                  <c:v>-2.0282841006939944E-3</c:v>
                </c:pt>
                <c:pt idx="197">
                  <c:v>-2.0179882429806088E-3</c:v>
                </c:pt>
                <c:pt idx="198">
                  <c:v>-2.0077963837604011E-3</c:v>
                </c:pt>
                <c:pt idx="199">
                  <c:v>-1.997706955224149E-3</c:v>
                </c:pt>
                <c:pt idx="200">
                  <c:v>-1.9877184209180611E-3</c:v>
                </c:pt>
                <c:pt idx="201">
                  <c:v>-1.9778292749638663E-3</c:v>
                </c:pt>
                <c:pt idx="202">
                  <c:v>-1.968038041302066E-3</c:v>
                </c:pt>
                <c:pt idx="203">
                  <c:v>-1.958343272957542E-3</c:v>
                </c:pt>
                <c:pt idx="204">
                  <c:v>-1.9487435513267611E-3</c:v>
                </c:pt>
                <c:pt idx="205">
                  <c:v>-1.9392374854858342E-3</c:v>
                </c:pt>
                <c:pt idx="206">
                  <c:v>-1.9298237115187246E-3</c:v>
                </c:pt>
                <c:pt idx="207">
                  <c:v>-1.9205008918649236E-3</c:v>
                </c:pt>
                <c:pt idx="208">
                  <c:v>-1.9112677146859395E-3</c:v>
                </c:pt>
                <c:pt idx="209">
                  <c:v>-1.9021228932499703E-3</c:v>
                </c:pt>
                <c:pt idx="210">
                  <c:v>-1.8930651653341513E-3</c:v>
                </c:pt>
                <c:pt idx="211">
                  <c:v>-1.8840932926438014E-3</c:v>
                </c:pt>
                <c:pt idx="212">
                  <c:v>-1.8752060602481009E-3</c:v>
                </c:pt>
                <c:pt idx="213">
                  <c:v>-1.8664022760316633E-3</c:v>
                </c:pt>
                <c:pt idx="214">
                  <c:v>-1.8576807701614817E-3</c:v>
                </c:pt>
                <c:pt idx="215">
                  <c:v>-1.8490403945687511E-3</c:v>
                </c:pt>
                <c:pt idx="216">
                  <c:v>-1.8404800224450797E-3</c:v>
                </c:pt>
                <c:pt idx="217">
                  <c:v>-1.8319985477526315E-3</c:v>
                </c:pt>
                <c:pt idx="218">
                  <c:v>-1.8235948847477473E-3</c:v>
                </c:pt>
                <c:pt idx="219">
                  <c:v>-1.8152679675176183E-3</c:v>
                </c:pt>
                <c:pt idx="220">
                  <c:v>-1.8070167495295927E-3</c:v>
                </c:pt>
                <c:pt idx="221">
                  <c:v>-1.7988402031927204E-3</c:v>
                </c:pt>
                <c:pt idx="222">
                  <c:v>-1.7907373194311425E-3</c:v>
                </c:pt>
                <c:pt idx="223">
                  <c:v>-1.7827071072689627E-3</c:v>
                </c:pt>
                <c:pt idx="224">
                  <c:v>-1.7747485934262348E-3</c:v>
                </c:pt>
                <c:pt idx="225">
                  <c:v>-1.7668608219257264E-3</c:v>
                </c:pt>
                <c:pt idx="226">
                  <c:v>-1.7590428537101171E-3</c:v>
                </c:pt>
                <c:pt idx="227">
                  <c:v>-1.751293766269319E-3</c:v>
                </c:pt>
                <c:pt idx="228">
                  <c:v>-1.7436126532776018E-3</c:v>
                </c:pt>
                <c:pt idx="229">
                  <c:v>-1.7359986242402256E-3</c:v>
                </c:pt>
                <c:pt idx="230">
                  <c:v>-1.7284508041492919E-3</c:v>
                </c:pt>
                <c:pt idx="231">
                  <c:v>-1.7209683331485329E-3</c:v>
                </c:pt>
                <c:pt idx="232">
                  <c:v>-1.7135503662067703E-3</c:v>
                </c:pt>
                <c:pt idx="233">
                  <c:v>-1.7061960727997815E-3</c:v>
                </c:pt>
                <c:pt idx="234">
                  <c:v>-1.6989046366003245E-3</c:v>
                </c:pt>
                <c:pt idx="235">
                  <c:v>-1.6916752551760759E-3</c:v>
                </c:pt>
                <c:pt idx="236">
                  <c:v>-1.6845071396952482E-3</c:v>
                </c:pt>
                <c:pt idx="237">
                  <c:v>-1.6773995146396599E-3</c:v>
                </c:pt>
                <c:pt idx="238">
                  <c:v>-1.670351617525039E-3</c:v>
                </c:pt>
                <c:pt idx="239">
                  <c:v>-1.6633626986283481E-3</c:v>
                </c:pt>
                <c:pt idx="240">
                  <c:v>-1.656432020721927E-3</c:v>
                </c:pt>
                <c:pt idx="241">
                  <c:v>-1.6495588588142517E-3</c:v>
                </c:pt>
                <c:pt idx="242">
                  <c:v>-1.6427424998971232E-3</c:v>
                </c:pt>
                <c:pt idx="243">
                  <c:v>-1.6359822426990989E-3</c:v>
                </c:pt>
                <c:pt idx="244">
                  <c:v>-1.6292773974449835E-3</c:v>
                </c:pt>
                <c:pt idx="245">
                  <c:v>-1.6226272856212131E-3</c:v>
                </c:pt>
                <c:pt idx="246">
                  <c:v>-1.6160312397469618E-3</c:v>
                </c:pt>
                <c:pt idx="247">
                  <c:v>-1.6094886031508065E-3</c:v>
                </c:pt>
                <c:pt idx="248">
                  <c:v>-1.6029987297527951E-3</c:v>
                </c:pt>
                <c:pt idx="249">
                  <c:v>-1.5965609838517673E-3</c:v>
                </c:pt>
                <c:pt idx="250">
                  <c:v>-1.5901747399177798E-3</c:v>
                </c:pt>
                <c:pt idx="251">
                  <c:v>-1.5838393823894908E-3</c:v>
                </c:pt>
                <c:pt idx="252">
                  <c:v>-1.5775543054763724E-3</c:v>
                </c:pt>
                <c:pt idx="253">
                  <c:v>-1.5713189129656102E-3</c:v>
                </c:pt>
                <c:pt idx="254">
                  <c:v>-1.5651326180335669E-3</c:v>
                </c:pt>
                <c:pt idx="255">
                  <c:v>-1.5589948430616808E-3</c:v>
                </c:pt>
                <c:pt idx="256">
                  <c:v>-1.5529050194566789E-3</c:v>
                </c:pt>
                <c:pt idx="257">
                  <c:v>-1.5468625874749868E-3</c:v>
                </c:pt>
                <c:pt idx="258">
                  <c:v>-1.5408669960512258E-3</c:v>
                </c:pt>
                <c:pt idx="259">
                  <c:v>-1.5349177026306783E-3</c:v>
                </c:pt>
                <c:pt idx="260">
                  <c:v>-1.52901417300562E-3</c:v>
                </c:pt>
                <c:pt idx="261">
                  <c:v>-1.5231558811554201E-3</c:v>
                </c:pt>
                <c:pt idx="262">
                  <c:v>-1.517342309090294E-3</c:v>
                </c:pt>
                <c:pt idx="263">
                  <c:v>-1.5115729466986297E-3</c:v>
                </c:pt>
                <c:pt idx="264">
                  <c:v>-1.5058472915977781E-3</c:v>
                </c:pt>
                <c:pt idx="265">
                  <c:v>-1.5001648489882241E-3</c:v>
                </c:pt>
                <c:pt idx="266">
                  <c:v>-1.4945251315110462E-3</c:v>
                </c:pt>
                <c:pt idx="267">
                  <c:v>-1.4889276591085806E-3</c:v>
                </c:pt>
                <c:pt idx="268">
                  <c:v>-1.483371958888202E-3</c:v>
                </c:pt>
                <c:pt idx="269">
                  <c:v>-1.4778575649891459E-3</c:v>
                </c:pt>
                <c:pt idx="270">
                  <c:v>-1.4723840184522885E-3</c:v>
                </c:pt>
                <c:pt idx="271">
                  <c:v>-1.4669508670928099E-3</c:v>
                </c:pt>
                <c:pt idx="272">
                  <c:v>-1.4615576653756674E-3</c:v>
                </c:pt>
                <c:pt idx="273">
                  <c:v>-1.4562039742938039E-3</c:v>
                </c:pt>
                <c:pt idx="274">
                  <c:v>-1.4508893612490237E-3</c:v>
                </c:pt>
                <c:pt idx="275">
                  <c:v>-1.4456133999354687E-3</c:v>
                </c:pt>
                <c:pt idx="276">
                  <c:v>-1.4403756702256268E-3</c:v>
                </c:pt>
                <c:pt idx="277">
                  <c:v>-1.4351757580588092E-3</c:v>
                </c:pt>
                <c:pt idx="278">
                  <c:v>-1.4300132553320339E-3</c:v>
                </c:pt>
                <c:pt idx="279">
                  <c:v>-1.4248877597932586E-3</c:v>
                </c:pt>
                <c:pt idx="280">
                  <c:v>-1.4197988749368978E-3</c:v>
                </c:pt>
                <c:pt idx="281">
                  <c:v>-1.4147462099015739E-3</c:v>
                </c:pt>
                <c:pt idx="282">
                  <c:v>-1.4097293793700427E-3</c:v>
                </c:pt>
                <c:pt idx="283">
                  <c:v>-1.4047480034712395E-3</c:v>
                </c:pt>
                <c:pt idx="284">
                  <c:v>-1.3998017076843961E-3</c:v>
                </c:pt>
                <c:pt idx="285">
                  <c:v>-1.3948901227451771E-3</c:v>
                </c:pt>
                <c:pt idx="286">
                  <c:v>-1.3900128845537821E-3</c:v>
                </c:pt>
                <c:pt idx="287">
                  <c:v>-1.385169634084973E-3</c:v>
                </c:pt>
                <c:pt idx="288">
                  <c:v>-1.3803600172999733E-3</c:v>
                </c:pt>
                <c:pt idx="289">
                  <c:v>-1.3755836850601964E-3</c:v>
                </c:pt>
                <c:pt idx="290">
                  <c:v>-1.3708402930427608E-3</c:v>
                </c:pt>
                <c:pt idx="291">
                  <c:v>-1.3661295016577466E-3</c:v>
                </c:pt>
                <c:pt idx="292">
                  <c:v>-1.3614509759671486E-3</c:v>
                </c:pt>
                <c:pt idx="293">
                  <c:v>-1.3568043856054958E-3</c:v>
                </c:pt>
                <c:pt idx="294">
                  <c:v>-1.3521894047020841E-3</c:v>
                </c:pt>
                <c:pt idx="295">
                  <c:v>-1.3476057118047967E-3</c:v>
                </c:pt>
                <c:pt idx="296">
                  <c:v>-1.3430529898054628E-3</c:v>
                </c:pt>
                <c:pt idx="297">
                  <c:v>-1.33853092586673E-3</c:v>
                </c:pt>
                <c:pt idx="298">
                  <c:v>-1.3340392113504039E-3</c:v>
                </c:pt>
                <c:pt idx="299">
                  <c:v>-1.3295775417472302E-3</c:v>
                </c:pt>
                <c:pt idx="300">
                  <c:v>-1.3251456166080771E-3</c:v>
                </c:pt>
                <c:pt idx="301">
                  <c:v>-1.3207431394764925E-3</c:v>
                </c:pt>
                <c:pt idx="302">
                  <c:v>-1.3163698178226004E-3</c:v>
                </c:pt>
                <c:pt idx="303">
                  <c:v>-1.3120253629783042E-3</c:v>
                </c:pt>
                <c:pt idx="304">
                  <c:v>-1.3077094900737732E-3</c:v>
                </c:pt>
                <c:pt idx="305">
                  <c:v>-1.303421917975173E-3</c:v>
                </c:pt>
                <c:pt idx="306">
                  <c:v>-1.2991623692236224E-3</c:v>
                </c:pt>
                <c:pt idx="307">
                  <c:v>-1.2949305699753388E-3</c:v>
                </c:pt>
                <c:pt idx="308">
                  <c:v>-1.2907262499429529E-3</c:v>
                </c:pt>
                <c:pt idx="309">
                  <c:v>-1.2865491423379612E-3</c:v>
                </c:pt>
                <c:pt idx="310">
                  <c:v>-1.2823989838142917E-3</c:v>
                </c:pt>
                <c:pt idx="311">
                  <c:v>-1.2782755144129607E-3</c:v>
                </c:pt>
                <c:pt idx="312">
                  <c:v>-1.2741784775077919E-3</c:v>
                </c:pt>
                <c:pt idx="313">
                  <c:v>-1.2701076197521768E-3</c:v>
                </c:pt>
                <c:pt idx="314">
                  <c:v>-1.2660626910268524E-3</c:v>
                </c:pt>
                <c:pt idx="315">
                  <c:v>-1.2620434443886728E-3</c:v>
                </c:pt>
                <c:pt idx="316">
                  <c:v>-1.2580496360203547E-3</c:v>
                </c:pt>
                <c:pt idx="317">
                  <c:v>-1.2540810251811744E-3</c:v>
                </c:pt>
                <c:pt idx="318">
                  <c:v>-1.2501373741585925E-3</c:v>
                </c:pt>
                <c:pt idx="319">
                  <c:v>-1.246218448220792E-3</c:v>
                </c:pt>
                <c:pt idx="320">
                  <c:v>-1.2423240155701022E-3</c:v>
                </c:pt>
                <c:pt idx="321">
                  <c:v>-1.2384538472972985E-3</c:v>
                </c:pt>
                <c:pt idx="322">
                  <c:v>-1.2346077173367484E-3</c:v>
                </c:pt>
                <c:pt idx="323">
                  <c:v>-1.2307854024223935E-3</c:v>
                </c:pt>
                <c:pt idx="324">
                  <c:v>-1.2269866820445471E-3</c:v>
                </c:pt>
                <c:pt idx="325">
                  <c:v>-1.223211338407487E-3</c:v>
                </c:pt>
                <c:pt idx="326">
                  <c:v>-1.2194591563878324E-3</c:v>
                </c:pt>
                <c:pt idx="327">
                  <c:v>-1.2157299234936802E-3</c:v>
                </c:pt>
                <c:pt idx="328">
                  <c:v>-1.2120234298244924E-3</c:v>
                </c:pt>
                <c:pt idx="329">
                  <c:v>-1.2083394680317129E-3</c:v>
                </c:pt>
                <c:pt idx="330">
                  <c:v>-1.2046778332801017E-3</c:v>
                </c:pt>
                <c:pt idx="331">
                  <c:v>-1.2010383232097693E-3</c:v>
                </c:pt>
                <c:pt idx="332">
                  <c:v>-1.1974207378988965E-3</c:v>
                </c:pt>
                <c:pt idx="333">
                  <c:v>-1.1938248798271281E-3</c:v>
                </c:pt>
                <c:pt idx="334">
                  <c:v>-1.1902505538396219E-3</c:v>
                </c:pt>
                <c:pt idx="335">
                  <c:v>-1.1866975671117423E-3</c:v>
                </c:pt>
                <c:pt idx="336">
                  <c:v>-1.1831657291143862E-3</c:v>
                </c:pt>
                <c:pt idx="337">
                  <c:v>-1.1796548515799221E-3</c:v>
                </c:pt>
                <c:pt idx="338">
                  <c:v>-1.176164748468739E-3</c:v>
                </c:pt>
                <c:pt idx="339">
                  <c:v>-1.1726952359363829E-3</c:v>
                </c:pt>
                <c:pt idx="340">
                  <c:v>-1.1692461323012759E-3</c:v>
                </c:pt>
                <c:pt idx="341">
                  <c:v>-1.1658172580130024E-3</c:v>
                </c:pt>
                <c:pt idx="342">
                  <c:v>-1.1624084356211515E-3</c:v>
                </c:pt>
                <c:pt idx="343">
                  <c:v>-1.1590194897447051E-3</c:v>
                </c:pt>
                <c:pt idx="344">
                  <c:v>-1.155650247041959E-3</c:v>
                </c:pt>
                <c:pt idx="345">
                  <c:v>-1.1523005361809679E-3</c:v>
                </c:pt>
                <c:pt idx="346">
                  <c:v>-1.1489701878105024E-3</c:v>
                </c:pt>
                <c:pt idx="347">
                  <c:v>-1.1456590345315096E-3</c:v>
                </c:pt>
                <c:pt idx="348">
                  <c:v>-1.1423669108690628E-3</c:v>
                </c:pt>
                <c:pt idx="349">
                  <c:v>-1.1390936532447962E-3</c:v>
                </c:pt>
                <c:pt idx="350">
                  <c:v>-1.135839099949811E-3</c:v>
                </c:pt>
                <c:pt idx="351">
                  <c:v>-1.1326030911180452E-3</c:v>
                </c:pt>
                <c:pt idx="352">
                  <c:v>-1.1293854687000962E-3</c:v>
                </c:pt>
                <c:pt idx="353">
                  <c:v>-1.1261860764374897E-3</c:v>
                </c:pt>
                <c:pt idx="354">
                  <c:v>-1.1230047598373839E-3</c:v>
                </c:pt>
                <c:pt idx="355">
                  <c:v>-1.1198413661477012E-3</c:v>
                </c:pt>
                <c:pt idx="356">
                  <c:v>-1.1166957443326795E-3</c:v>
                </c:pt>
                <c:pt idx="357">
                  <c:v>-1.1135677450488345E-3</c:v>
                </c:pt>
                <c:pt idx="358">
                  <c:v>-1.1104572206213238E-3</c:v>
                </c:pt>
                <c:pt idx="359">
                  <c:v>-1.1073640250207073E-3</c:v>
                </c:pt>
                <c:pt idx="360">
                  <c:v>-1.1042880138400941E-3</c:v>
                </c:pt>
                <c:pt idx="361">
                  <c:v>-1.1012290442726702E-3</c:v>
                </c:pt>
                <c:pt idx="362">
                  <c:v>-1.0981869750895964E-3</c:v>
                </c:pt>
                <c:pt idx="363">
                  <c:v>-1.0951616666182752E-3</c:v>
                </c:pt>
                <c:pt idx="364">
                  <c:v>-1.0921529807209724E-3</c:v>
                </c:pt>
                <c:pt idx="365">
                  <c:v>-1.0891607807737916E-3</c:v>
                </c:pt>
                <c:pt idx="366">
                  <c:v>-1.0861849316459943E-3</c:v>
                </c:pt>
                <c:pt idx="367">
                  <c:v>-1.0832252996796565E-3</c:v>
                </c:pt>
                <c:pt idx="368">
                  <c:v>-1.0802817526696573E-3</c:v>
                </c:pt>
                <c:pt idx="369">
                  <c:v>-1.0773541598439944E-3</c:v>
                </c:pt>
                <c:pt idx="370">
                  <c:v>-1.074442391844416E-3</c:v>
                </c:pt>
                <c:pt idx="371">
                  <c:v>-1.0715463207073689E-3</c:v>
                </c:pt>
                <c:pt idx="372">
                  <c:v>-1.0686658198452526E-3</c:v>
                </c:pt>
                <c:pt idx="373">
                  <c:v>-1.065800764027973E-3</c:v>
                </c:pt>
                <c:pt idx="374">
                  <c:v>-1.0629510293647965E-3</c:v>
                </c:pt>
                <c:pt idx="375">
                  <c:v>-1.0601164932864905E-3</c:v>
                </c:pt>
                <c:pt idx="376">
                  <c:v>-1.0572970345277496E-3</c:v>
                </c:pt>
                <c:pt idx="377">
                  <c:v>-1.0544925331099043E-3</c:v>
                </c:pt>
                <c:pt idx="378">
                  <c:v>-1.0517028703238992E-3</c:v>
                </c:pt>
                <c:pt idx="379">
                  <c:v>-1.048927928713546E-3</c:v>
                </c:pt>
                <c:pt idx="380">
                  <c:v>-1.0461675920590365E-3</c:v>
                </c:pt>
                <c:pt idx="381">
                  <c:v>-1.0434217453607188E-3</c:v>
                </c:pt>
                <c:pt idx="382">
                  <c:v>-1.0406902748231253E-3</c:v>
                </c:pt>
                <c:pt idx="383">
                  <c:v>-1.0379730678392531E-3</c:v>
                </c:pt>
                <c:pt idx="384">
                  <c:v>-1.0352700129750883E-3</c:v>
                </c:pt>
                <c:pt idx="385">
                  <c:v>-1.0325809999543738E-3</c:v>
                </c:pt>
                <c:pt idx="386">
                  <c:v>-1.0299059196436111E-3</c:v>
                </c:pt>
                <c:pt idx="387">
                  <c:v>-1.027244664037297E-3</c:v>
                </c:pt>
                <c:pt idx="388">
                  <c:v>-1.0245971262433863E-3</c:v>
                </c:pt>
                <c:pt idx="389">
                  <c:v>-1.0219632004689818E-3</c:v>
                </c:pt>
                <c:pt idx="390">
                  <c:v>-1.0193427820062407E-3</c:v>
                </c:pt>
                <c:pt idx="391">
                  <c:v>-1.0167357672185009E-3</c:v>
                </c:pt>
                <c:pt idx="392">
                  <c:v>-1.0141420535266169E-3</c:v>
                </c:pt>
                <c:pt idx="393">
                  <c:v>-1.0115615393955059E-3</c:v>
                </c:pt>
                <c:pt idx="394">
                  <c:v>-1.0089941243208982E-3</c:v>
                </c:pt>
                <c:pt idx="395">
                  <c:v>-1.0064397088162885E-3</c:v>
                </c:pt>
                <c:pt idx="396">
                  <c:v>-1.0038981944000857E-3</c:v>
                </c:pt>
                <c:pt idx="397">
                  <c:v>-1.0013694835829569E-3</c:v>
                </c:pt>
                <c:pt idx="398">
                  <c:v>-9.9885347985536168E-4</c:v>
                </c:pt>
                <c:pt idx="399">
                  <c:v>-9.9635008767527309E-4</c:v>
                </c:pt>
                <c:pt idx="400">
                  <c:v>-9.9385921245608477E-4</c:v>
                </c:pt>
                <c:pt idx="401">
                  <c:v>-9.9138076055469804E-4</c:v>
                </c:pt>
                <c:pt idx="402">
                  <c:v>-9.8891463925978597E-4</c:v>
                </c:pt>
                <c:pt idx="403">
                  <c:v>-9.8646075678023308E-4</c:v>
                </c:pt>
                <c:pt idx="404">
                  <c:v>-9.8401902223374743E-4</c:v>
                </c:pt>
                <c:pt idx="405">
                  <c:v>-9.8158934563563919E-4</c:v>
                </c:pt>
                <c:pt idx="406">
                  <c:v>-9.7917163788776825E-4</c:v>
                </c:pt>
                <c:pt idx="407">
                  <c:v>-9.7676581076765103E-4</c:v>
                </c:pt>
                <c:pt idx="408">
                  <c:v>-9.7437177691773026E-4</c:v>
                </c:pt>
                <c:pt idx="409">
                  <c:v>-9.7198944983480182E-4</c:v>
                </c:pt>
                <c:pt idx="410">
                  <c:v>-9.696187438595949E-4</c:v>
                </c:pt>
                <c:pt idx="411">
                  <c:v>-9.6725957416650583E-4</c:v>
                </c:pt>
                <c:pt idx="412">
                  <c:v>-9.6491185675348038E-4</c:v>
                </c:pt>
                <c:pt idx="413">
                  <c:v>-9.6257550843204345E-4</c:v>
                </c:pt>
                <c:pt idx="414">
                  <c:v>-9.6025044681747316E-4</c:v>
                </c:pt>
                <c:pt idx="415">
                  <c:v>-9.5793659031911797E-4</c:v>
                </c:pt>
                <c:pt idx="416">
                  <c:v>-9.5563385813085078E-4</c:v>
                </c:pt>
                <c:pt idx="417">
                  <c:v>-9.5334217022166406E-4</c:v>
                </c:pt>
                <c:pt idx="418">
                  <c:v>-9.5106144732639696E-4</c:v>
                </c:pt>
                <c:pt idx="419">
                  <c:v>-9.4879161093659639E-4</c:v>
                </c:pt>
                <c:pt idx="420">
                  <c:v>-9.4653258329150931E-4</c:v>
                </c:pt>
                <c:pt idx="421">
                  <c:v>-9.4428428736920177E-4</c:v>
                </c:pt>
                <c:pt idx="422">
                  <c:v>-9.4204664687780554E-4</c:v>
                </c:pt>
                <c:pt idx="423">
                  <c:v>-9.3981958624688865E-4</c:v>
                </c:pt>
                <c:pt idx="424">
                  <c:v>-9.3760303061894798E-4</c:v>
                </c:pt>
                <c:pt idx="425">
                  <c:v>-9.3539690584102091E-4</c:v>
                </c:pt>
                <c:pt idx="426">
                  <c:v>-9.3320113845641759E-4</c:v>
                </c:pt>
                <c:pt idx="427">
                  <c:v>-9.3101565569656648E-4</c:v>
                </c:pt>
                <c:pt idx="428">
                  <c:v>-9.2884038547297646E-4</c:v>
                </c:pt>
                <c:pt idx="429">
                  <c:v>-9.2667525636930986E-4</c:v>
                </c:pt>
                <c:pt idx="430">
                  <c:v>-9.2452019763356724E-4</c:v>
                </c:pt>
                <c:pt idx="431">
                  <c:v>-9.2237513917038032E-4</c:v>
                </c:pt>
                <c:pt idx="432">
                  <c:v>-9.2024001153341182E-4</c:v>
                </c:pt>
                <c:pt idx="433">
                  <c:v>-9.1811474591786126E-4</c:v>
                </c:pt>
                <c:pt idx="434">
                  <c:v>-9.1599927415307353E-4</c:v>
                </c:pt>
                <c:pt idx="435">
                  <c:v>-9.1389352869525027E-4</c:v>
                </c:pt>
                <c:pt idx="436">
                  <c:v>-9.1179744262026119E-4</c:v>
                </c:pt>
                <c:pt idx="437">
                  <c:v>-9.0971094961655357E-4</c:v>
                </c:pt>
                <c:pt idx="438">
                  <c:v>-9.0763398397815951E-4</c:v>
                </c:pt>
                <c:pt idx="439">
                  <c:v>-9.0556648059779941E-4</c:v>
                </c:pt>
                <c:pt idx="440">
                  <c:v>-9.0350837496007701E-4</c:v>
                </c:pt>
                <c:pt idx="441">
                  <c:v>-9.0145960313477071E-4</c:v>
                </c:pt>
                <c:pt idx="442">
                  <c:v>-8.9942010177021243E-4</c:v>
                </c:pt>
                <c:pt idx="443">
                  <c:v>-8.9738980808675827E-4</c:v>
                </c:pt>
                <c:pt idx="444">
                  <c:v>-8.9536865987034653E-4</c:v>
                </c:pt>
                <c:pt idx="445">
                  <c:v>-8.9335659546614351E-4</c:v>
                </c:pt>
                <c:pt idx="446">
                  <c:v>-8.9135355377227327E-4</c:v>
                </c:pt>
                <c:pt idx="447">
                  <c:v>-8.8935947423363288E-4</c:v>
                </c:pt>
                <c:pt idx="448">
                  <c:v>-8.8737429683579002E-4</c:v>
                </c:pt>
                <c:pt idx="449">
                  <c:v>-8.8539796209896181E-4</c:v>
                </c:pt>
                <c:pt idx="450">
                  <c:v>-8.834304110720753E-4</c:v>
                </c:pt>
                <c:pt idx="451">
                  <c:v>-8.8147158532690445E-4</c:v>
                </c:pt>
                <c:pt idx="452">
                  <c:v>-8.7952142695228741E-4</c:v>
                </c:pt>
                <c:pt idx="453">
                  <c:v>-8.775798785484192E-4</c:v>
                </c:pt>
                <c:pt idx="454">
                  <c:v>-8.7564688322122001E-4</c:v>
                </c:pt>
                <c:pt idx="455">
                  <c:v>-8.7372238457677782E-4</c:v>
                </c:pt>
                <c:pt idx="456">
                  <c:v>-8.7180632671586382E-4</c:v>
                </c:pt>
                <c:pt idx="457">
                  <c:v>-8.6989865422852056E-4</c:v>
                </c:pt>
                <c:pt idx="458">
                  <c:v>-8.6799931218872035E-4</c:v>
                </c:pt>
                <c:pt idx="459">
                  <c:v>-8.6610824614909339E-4</c:v>
                </c:pt>
                <c:pt idx="460">
                  <c:v>-8.6422540213572591E-4</c:v>
                </c:pt>
                <c:pt idx="461">
                  <c:v>-8.6235072664302365E-4</c:v>
                </c:pt>
                <c:pt idx="462">
                  <c:v>-8.6048416662864481E-4</c:v>
                </c:pt>
                <c:pt idx="463">
                  <c:v>-8.5862566950849651E-4</c:v>
                </c:pt>
                <c:pt idx="464">
                  <c:v>-8.5677518315179716E-4</c:v>
                </c:pt>
                <c:pt idx="465">
                  <c:v>-8.5493265587620185E-4</c:v>
                </c:pt>
                <c:pt idx="466">
                  <c:v>-8.5309803644299125E-4</c:v>
                </c:pt>
                <c:pt idx="467">
                  <c:v>-8.51271274052321E-4</c:v>
                </c:pt>
                <c:pt idx="468">
                  <c:v>-8.4945231833853403E-4</c:v>
                </c:pt>
                <c:pt idx="469">
                  <c:v>-8.476411193655308E-4</c:v>
                </c:pt>
                <c:pt idx="470">
                  <c:v>-8.4583762762219987E-4</c:v>
                </c:pt>
                <c:pt idx="471">
                  <c:v>-8.4404179401790635E-4</c:v>
                </c:pt>
                <c:pt idx="472">
                  <c:v>-8.4225356987803794E-4</c:v>
                </c:pt>
                <c:pt idx="473">
                  <c:v>-8.4047290693960663E-4</c:v>
                </c:pt>
                <c:pt idx="474">
                  <c:v>-8.3869975734690702E-4</c:v>
                </c:pt>
                <c:pt idx="475">
                  <c:v>-8.3693407364722938E-4</c:v>
                </c:pt>
                <c:pt idx="476">
                  <c:v>-8.3517580878662595E-4</c:v>
                </c:pt>
                <c:pt idx="477">
                  <c:v>-8.3342491610573157E-4</c:v>
                </c:pt>
                <c:pt idx="478">
                  <c:v>-8.3168134933563585E-4</c:v>
                </c:pt>
                <c:pt idx="479">
                  <c:v>-8.2994506259380786E-4</c:v>
                </c:pt>
                <c:pt idx="480">
                  <c:v>-8.2821601038007072E-4</c:v>
                </c:pt>
                <c:pt idx="481">
                  <c:v>-8.2649414757262772E-4</c:v>
                </c:pt>
                <c:pt idx="482">
                  <c:v>-8.2477942942413675E-4</c:v>
                </c:pt>
                <c:pt idx="483">
                  <c:v>-8.2307181155783415E-4</c:v>
                </c:pt>
                <c:pt idx="484">
                  <c:v>-8.2137124996370652E-4</c:v>
                </c:pt>
                <c:pt idx="485">
                  <c:v>-8.196777009947091E-4</c:v>
                </c:pt>
                <c:pt idx="486">
                  <c:v>-8.1799112136303281E-4</c:v>
                </c:pt>
                <c:pt idx="487">
                  <c:v>-8.1631146813641463E-4</c:v>
                </c:pt>
                <c:pt idx="488">
                  <c:v>-8.1463869873449573E-4</c:v>
                </c:pt>
                <c:pt idx="489">
                  <c:v>-8.1297277092522277E-4</c:v>
                </c:pt>
                <c:pt idx="490">
                  <c:v>-8.1131364282129373E-4</c:v>
                </c:pt>
                <c:pt idx="491">
                  <c:v>-8.0966127287664753E-4</c:v>
                </c:pt>
                <c:pt idx="492">
                  <c:v>-8.0801561988299588E-4</c:v>
                </c:pt>
                <c:pt idx="493">
                  <c:v>-8.0637664296639739E-4</c:v>
                </c:pt>
                <c:pt idx="494">
                  <c:v>-8.0474430158387433E-4</c:v>
                </c:pt>
                <c:pt idx="495">
                  <c:v>-8.0311855552006844E-4</c:v>
                </c:pt>
                <c:pt idx="496">
                  <c:v>-8.0149936488393926E-4</c:v>
                </c:pt>
                <c:pt idx="497">
                  <c:v>-7.9988669010550083E-4</c:v>
                </c:pt>
                <c:pt idx="498">
                  <c:v>-7.9828049193259823E-4</c:v>
                </c:pt>
                <c:pt idx="499">
                  <c:v>-7.9668073142772332E-4</c:v>
                </c:pt>
                <c:pt idx="500">
                  <c:v>-7.9508736996486775E-4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D-4273-92AF-858F1FDD38F5}"/>
            </c:ext>
          </c:extLst>
        </c:ser>
        <c:ser>
          <c:idx val="4"/>
          <c:order val="3"/>
          <c:tx>
            <c:strRef>
              <c:f>'NSS Goverment'!$CR$2</c:f>
              <c:strCache>
                <c:ptCount val="1"/>
                <c:pt idx="0">
                  <c:v>Second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Goverment'!$CN$3:$CN$503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Goverment'!$CR$3:$CR$503</c:f>
              <c:numCache>
                <c:formatCode>0.00%</c:formatCode>
                <c:ptCount val="501"/>
                <c:pt idx="0">
                  <c:v>2.500368189890718E-9</c:v>
                </c:pt>
                <c:pt idx="1">
                  <c:v>7.9159628932758358E-4</c:v>
                </c:pt>
                <c:pt idx="2">
                  <c:v>1.0330656523379225E-3</c:v>
                </c:pt>
                <c:pt idx="3">
                  <c:v>1.043590606774643E-3</c:v>
                </c:pt>
                <c:pt idx="4">
                  <c:v>9.6772585698538436E-4</c:v>
                </c:pt>
                <c:pt idx="5">
                  <c:v>8.6839949935690018E-4</c:v>
                </c:pt>
                <c:pt idx="6">
                  <c:v>7.7110824926977838E-4</c:v>
                </c:pt>
                <c:pt idx="7">
                  <c:v>6.8469112755196614E-4</c:v>
                </c:pt>
                <c:pt idx="8">
                  <c:v>6.1094067074599545E-4</c:v>
                </c:pt>
                <c:pt idx="9">
                  <c:v>5.4894447461213312E-4</c:v>
                </c:pt>
                <c:pt idx="10">
                  <c:v>4.9697222897276657E-4</c:v>
                </c:pt>
                <c:pt idx="11">
                  <c:v>4.5324190126344284E-4</c:v>
                </c:pt>
                <c:pt idx="12">
                  <c:v>4.1618955107554774E-4</c:v>
                </c:pt>
                <c:pt idx="13">
                  <c:v>3.8453031910728124E-4</c:v>
                </c:pt>
                <c:pt idx="14">
                  <c:v>3.5723968606736852E-4</c:v>
                </c:pt>
                <c:pt idx="15">
                  <c:v>3.3351065995914438E-4</c:v>
                </c:pt>
                <c:pt idx="16">
                  <c:v>3.1270923215993498E-4</c:v>
                </c:pt>
                <c:pt idx="17">
                  <c:v>2.9433581825423006E-4</c:v>
                </c:pt>
                <c:pt idx="18">
                  <c:v>2.7799432695385011E-4</c:v>
                </c:pt>
                <c:pt idx="19">
                  <c:v>2.6336823317628757E-4</c:v>
                </c:pt>
                <c:pt idx="20">
                  <c:v>2.502023833922866E-4</c:v>
                </c:pt>
                <c:pt idx="21">
                  <c:v>2.3828924941636436E-4</c:v>
                </c:pt>
                <c:pt idx="22">
                  <c:v>2.2745854467958555E-4</c:v>
                </c:pt>
                <c:pt idx="23">
                  <c:v>2.1756935122564029E-4</c:v>
                </c:pt>
                <c:pt idx="24">
                  <c:v>2.0850411389418681E-4</c:v>
                </c:pt>
                <c:pt idx="25">
                  <c:v>2.0016402452511909E-4</c:v>
                </c:pt>
                <c:pt idx="26">
                  <c:v>1.9246544531155492E-4</c:v>
                </c:pt>
                <c:pt idx="27">
                  <c:v>1.8533711380469857E-4</c:v>
                </c:pt>
                <c:pt idx="28">
                  <c:v>1.7871794021072447E-4</c:v>
                </c:pt>
                <c:pt idx="29">
                  <c:v>1.7255525707980847E-4</c:v>
                </c:pt>
                <c:pt idx="30">
                  <c:v>1.6680341737950168E-4</c:v>
                </c:pt>
                <c:pt idx="31">
                  <c:v>1.6142266306701827E-4</c:v>
                </c:pt>
                <c:pt idx="32">
                  <c:v>1.5637820538251331E-4</c:v>
                </c:pt>
                <c:pt idx="33">
                  <c:v>1.5163947215073606E-4</c:v>
                </c:pt>
                <c:pt idx="34">
                  <c:v>1.4717948780631088E-4</c:v>
                </c:pt>
                <c:pt idx="35">
                  <c:v>1.4297435964771374E-4</c:v>
                </c:pt>
                <c:pt idx="36">
                  <c:v>1.3900284968929543E-4</c:v>
                </c:pt>
                <c:pt idx="37">
                  <c:v>1.3524601592959738E-4</c:v>
                </c:pt>
                <c:pt idx="38">
                  <c:v>1.3168691025498011E-4</c:v>
                </c:pt>
                <c:pt idx="39">
                  <c:v>1.2831032281636378E-4</c:v>
                </c:pt>
                <c:pt idx="40">
                  <c:v>1.2510256474783892E-4</c:v>
                </c:pt>
                <c:pt idx="41">
                  <c:v>1.2205128268174806E-4</c:v>
                </c:pt>
                <c:pt idx="42">
                  <c:v>1.1914529976121266E-4</c:v>
                </c:pt>
                <c:pt idx="43">
                  <c:v>1.1637447883675957E-4</c:v>
                </c:pt>
                <c:pt idx="44">
                  <c:v>1.1372960431785393E-4</c:v>
                </c:pt>
                <c:pt idx="45">
                  <c:v>1.1120227977751224E-4</c:v>
                </c:pt>
                <c:pt idx="46">
                  <c:v>1.087848389128109E-4</c:v>
                </c:pt>
                <c:pt idx="47">
                  <c:v>1.0647026787212616E-4</c:v>
                </c:pt>
                <c:pt idx="48">
                  <c:v>1.0425213729146349E-4</c:v>
                </c:pt>
                <c:pt idx="49">
                  <c:v>1.0212454265286546E-4</c:v>
                </c:pt>
                <c:pt idx="50">
                  <c:v>1.0008205179980977E-4</c:v>
                </c:pt>
                <c:pt idx="51">
                  <c:v>9.8119658627265276E-5</c:v>
                </c:pt>
                <c:pt idx="52">
                  <c:v>9.6232742115202877E-5</c:v>
                </c:pt>
                <c:pt idx="53">
                  <c:v>9.4417029999821896E-5</c:v>
                </c:pt>
                <c:pt idx="54">
                  <c:v>9.2668566481306756E-5</c:v>
                </c:pt>
                <c:pt idx="55">
                  <c:v>9.0983683454373953E-5</c:v>
                </c:pt>
                <c:pt idx="56">
                  <c:v>8.9358974821260139E-5</c:v>
                </c:pt>
                <c:pt idx="57">
                  <c:v>8.779127350860647E-5</c:v>
                </c:pt>
                <c:pt idx="58">
                  <c:v>8.6277630861906376E-5</c:v>
                </c:pt>
                <c:pt idx="59">
                  <c:v>8.4815298135433394E-5</c:v>
                </c:pt>
                <c:pt idx="60">
                  <c:v>8.3401709833176162E-5</c:v>
                </c:pt>
                <c:pt idx="61">
                  <c:v>8.2034468688369996E-5</c:v>
                </c:pt>
                <c:pt idx="62">
                  <c:v>8.07113320966221E-5</c:v>
                </c:pt>
                <c:pt idx="63">
                  <c:v>7.9430199841120164E-5</c:v>
                </c:pt>
                <c:pt idx="64">
                  <c:v>7.8189102968602658E-5</c:v>
                </c:pt>
                <c:pt idx="65">
                  <c:v>7.6986193692162608E-5</c:v>
                </c:pt>
                <c:pt idx="66">
                  <c:v>7.5819736211978317E-5</c:v>
                </c:pt>
                <c:pt idx="67">
                  <c:v>7.4688098358068205E-5</c:v>
                </c:pt>
                <c:pt idx="68">
                  <c:v>7.3589743970449553E-5</c:v>
                </c:pt>
                <c:pt idx="69">
                  <c:v>7.2523225941892322E-5</c:v>
                </c:pt>
                <c:pt idx="70">
                  <c:v>7.1487179857008141E-5</c:v>
                </c:pt>
                <c:pt idx="71">
                  <c:v>7.0480318168881272E-5</c:v>
                </c:pt>
                <c:pt idx="72">
                  <c:v>6.9501424860980135E-5</c:v>
                </c:pt>
                <c:pt idx="73">
                  <c:v>6.8549350547816019E-5</c:v>
                </c:pt>
                <c:pt idx="74">
                  <c:v>6.7623007972845528E-5</c:v>
                </c:pt>
                <c:pt idx="75">
                  <c:v>6.6721367866540927E-5</c:v>
                </c:pt>
                <c:pt idx="76">
                  <c:v>6.5843455131454876E-5</c:v>
                </c:pt>
                <c:pt idx="77">
                  <c:v>6.4988345324552856E-5</c:v>
                </c:pt>
                <c:pt idx="78">
                  <c:v>6.4155161410135513E-5</c:v>
                </c:pt>
                <c:pt idx="79">
                  <c:v>6.3343070759374292E-5</c:v>
                </c:pt>
                <c:pt idx="80">
                  <c:v>6.2551282374882121E-5</c:v>
                </c:pt>
                <c:pt idx="81">
                  <c:v>6.1779044320871239E-5</c:v>
                </c:pt>
                <c:pt idx="82">
                  <c:v>6.1025641341348416E-5</c:v>
                </c:pt>
                <c:pt idx="83">
                  <c:v>6.0290392650488784E-5</c:v>
                </c:pt>
                <c:pt idx="84">
                  <c:v>5.9572649880840113E-5</c:v>
                </c:pt>
                <c:pt idx="85">
                  <c:v>5.8871795176359646E-5</c:v>
                </c:pt>
                <c:pt idx="86">
                  <c:v>5.8187239418494996E-5</c:v>
                </c:pt>
                <c:pt idx="87">
                  <c:v>5.751842057460425E-5</c:v>
                </c:pt>
                <c:pt idx="88">
                  <c:v>5.6864802158983751E-5</c:v>
                </c:pt>
                <c:pt idx="89">
                  <c:v>5.6225871797646848E-5</c:v>
                </c:pt>
                <c:pt idx="90">
                  <c:v>5.5601139888784101E-5</c:v>
                </c:pt>
                <c:pt idx="91">
                  <c:v>5.4990138351544726E-5</c:v>
                </c:pt>
                <c:pt idx="92">
                  <c:v>5.4392419456419248E-5</c:v>
                </c:pt>
                <c:pt idx="93">
                  <c:v>5.3807554731081405E-5</c:v>
                </c:pt>
                <c:pt idx="94">
                  <c:v>5.3235133936069884E-5</c:v>
                </c:pt>
                <c:pt idx="95">
                  <c:v>5.2674764105163891E-5</c:v>
                </c:pt>
                <c:pt idx="96">
                  <c:v>5.2126068645735094E-5</c:v>
                </c:pt>
                <c:pt idx="97">
                  <c:v>5.1588686494748141E-5</c:v>
                </c:pt>
                <c:pt idx="98">
                  <c:v>5.1062271326434383E-5</c:v>
                </c:pt>
                <c:pt idx="99">
                  <c:v>5.0546490807985556E-5</c:v>
                </c:pt>
                <c:pt idx="100">
                  <c:v>5.0041025899905698E-5</c:v>
                </c:pt>
                <c:pt idx="101">
                  <c:v>4.9545570197926433E-5</c:v>
                </c:pt>
                <c:pt idx="102">
                  <c:v>4.9059829313633038E-5</c:v>
                </c:pt>
                <c:pt idx="103">
                  <c:v>4.8583520291170579E-5</c:v>
                </c:pt>
                <c:pt idx="104">
                  <c:v>4.8116371057601635E-5</c:v>
                </c:pt>
                <c:pt idx="105">
                  <c:v>4.7658119904672092E-5</c:v>
                </c:pt>
                <c:pt idx="106">
                  <c:v>4.7208514999911043E-5</c:v>
                </c:pt>
                <c:pt idx="107">
                  <c:v>4.6767313925145517E-5</c:v>
                </c:pt>
                <c:pt idx="108">
                  <c:v>4.6334283240653432E-5</c:v>
                </c:pt>
                <c:pt idx="109">
                  <c:v>4.5909198073307983E-5</c:v>
                </c:pt>
                <c:pt idx="110">
                  <c:v>4.5491841727187004E-5</c:v>
                </c:pt>
                <c:pt idx="111">
                  <c:v>4.5082005315230352E-5</c:v>
                </c:pt>
                <c:pt idx="112">
                  <c:v>4.4679487410630083E-5</c:v>
                </c:pt>
                <c:pt idx="113">
                  <c:v>4.4284093716730704E-5</c:v>
                </c:pt>
                <c:pt idx="114">
                  <c:v>4.3895636754303242E-5</c:v>
                </c:pt>
                <c:pt idx="115">
                  <c:v>4.3513935565135388E-5</c:v>
                </c:pt>
                <c:pt idx="116">
                  <c:v>4.3138815430953188E-5</c:v>
                </c:pt>
                <c:pt idx="117">
                  <c:v>4.2770107606757007E-5</c:v>
                </c:pt>
                <c:pt idx="118">
                  <c:v>4.2407649067716697E-5</c:v>
                </c:pt>
                <c:pt idx="119">
                  <c:v>4.2051282268828321E-5</c:v>
                </c:pt>
                <c:pt idx="120">
                  <c:v>4.1700854916588081E-5</c:v>
                </c:pt>
                <c:pt idx="121">
                  <c:v>4.1356219751988181E-5</c:v>
                </c:pt>
                <c:pt idx="122">
                  <c:v>4.1017234344184998E-5</c:v>
                </c:pt>
                <c:pt idx="123">
                  <c:v>4.0683760894232275E-5</c:v>
                </c:pt>
                <c:pt idx="124">
                  <c:v>4.035566604831105E-5</c:v>
                </c:pt>
                <c:pt idx="125">
                  <c:v>4.0032820719924563E-5</c:v>
                </c:pt>
                <c:pt idx="126">
                  <c:v>3.9715099920560082E-5</c:v>
                </c:pt>
                <c:pt idx="127">
                  <c:v>3.9402382598350943E-5</c:v>
                </c:pt>
                <c:pt idx="128">
                  <c:v>3.9094551484301329E-5</c:v>
                </c:pt>
                <c:pt idx="129">
                  <c:v>3.8791492945663328E-5</c:v>
                </c:pt>
                <c:pt idx="130">
                  <c:v>3.8493096846081304E-5</c:v>
                </c:pt>
                <c:pt idx="131">
                  <c:v>3.8199256412141755E-5</c:v>
                </c:pt>
                <c:pt idx="132">
                  <c:v>3.7909868105989158E-5</c:v>
                </c:pt>
                <c:pt idx="133">
                  <c:v>3.7624831503688492E-5</c:v>
                </c:pt>
                <c:pt idx="134">
                  <c:v>3.7344049179034102E-5</c:v>
                </c:pt>
                <c:pt idx="135">
                  <c:v>3.7067426592522743E-5</c:v>
                </c:pt>
                <c:pt idx="136">
                  <c:v>3.6794871985224776E-5</c:v>
                </c:pt>
                <c:pt idx="137">
                  <c:v>3.6526296277303434E-5</c:v>
                </c:pt>
                <c:pt idx="138">
                  <c:v>3.6261612970946161E-5</c:v>
                </c:pt>
                <c:pt idx="139">
                  <c:v>3.600073805748612E-5</c:v>
                </c:pt>
                <c:pt idx="140">
                  <c:v>3.574358992850407E-5</c:v>
                </c:pt>
                <c:pt idx="141">
                  <c:v>3.5490089290713258E-5</c:v>
                </c:pt>
                <c:pt idx="142">
                  <c:v>3.5240159084440636E-5</c:v>
                </c:pt>
                <c:pt idx="143">
                  <c:v>3.4993724405528457E-5</c:v>
                </c:pt>
                <c:pt idx="144">
                  <c:v>3.4750712430490067E-5</c:v>
                </c:pt>
                <c:pt idx="145">
                  <c:v>3.4511052344762553E-5</c:v>
                </c:pt>
                <c:pt idx="146">
                  <c:v>3.4274675273908009E-5</c:v>
                </c:pt>
                <c:pt idx="147">
                  <c:v>3.4041514217622924E-5</c:v>
                </c:pt>
                <c:pt idx="148">
                  <c:v>3.3811503986422764E-5</c:v>
                </c:pt>
                <c:pt idx="149">
                  <c:v>3.3584581140876309E-5</c:v>
                </c:pt>
                <c:pt idx="150">
                  <c:v>3.3360683933270463E-5</c:v>
                </c:pt>
                <c:pt idx="151">
                  <c:v>3.3139752251593179E-5</c:v>
                </c:pt>
                <c:pt idx="152">
                  <c:v>3.2921727565727438E-5</c:v>
                </c:pt>
                <c:pt idx="153">
                  <c:v>3.2706552875755358E-5</c:v>
                </c:pt>
                <c:pt idx="154">
                  <c:v>3.2494172662276428E-5</c:v>
                </c:pt>
                <c:pt idx="155">
                  <c:v>3.2284532838648839E-5</c:v>
                </c:pt>
                <c:pt idx="156">
                  <c:v>3.2077580705067757E-5</c:v>
                </c:pt>
                <c:pt idx="157">
                  <c:v>3.1873264904398538E-5</c:v>
                </c:pt>
                <c:pt idx="158">
                  <c:v>3.1671535379687146E-5</c:v>
                </c:pt>
                <c:pt idx="159">
                  <c:v>3.1472343333274022E-5</c:v>
                </c:pt>
                <c:pt idx="160">
                  <c:v>3.1275641187441061E-5</c:v>
                </c:pt>
                <c:pt idx="161">
                  <c:v>3.1081382546525276E-5</c:v>
                </c:pt>
                <c:pt idx="162">
                  <c:v>3.0889522160435619E-5</c:v>
                </c:pt>
                <c:pt idx="163">
                  <c:v>3.0700015889512695E-5</c:v>
                </c:pt>
                <c:pt idx="164">
                  <c:v>3.0512820670674208E-5</c:v>
                </c:pt>
                <c:pt idx="165">
                  <c:v>3.032789448479133E-5</c:v>
                </c:pt>
                <c:pt idx="166">
                  <c:v>3.0145196325244392E-5</c:v>
                </c:pt>
                <c:pt idx="167">
                  <c:v>2.9964686167608199E-5</c:v>
                </c:pt>
                <c:pt idx="168">
                  <c:v>2.9786324940420056E-5</c:v>
                </c:pt>
                <c:pt idx="169">
                  <c:v>2.961007449698562E-5</c:v>
                </c:pt>
                <c:pt idx="170">
                  <c:v>2.9435897588179823E-5</c:v>
                </c:pt>
                <c:pt idx="171">
                  <c:v>2.9263757836202166E-5</c:v>
                </c:pt>
                <c:pt idx="172">
                  <c:v>2.9093619709247498E-5</c:v>
                </c:pt>
                <c:pt idx="173">
                  <c:v>2.8925448497055319E-5</c:v>
                </c:pt>
                <c:pt idx="174">
                  <c:v>2.8759210287302125E-5</c:v>
                </c:pt>
                <c:pt idx="175">
                  <c:v>2.8594871942803256E-5</c:v>
                </c:pt>
                <c:pt idx="176">
                  <c:v>2.8432401079491876E-5</c:v>
                </c:pt>
                <c:pt idx="177">
                  <c:v>2.8271766045144464E-5</c:v>
                </c:pt>
                <c:pt idx="178">
                  <c:v>2.8112935898823424E-5</c:v>
                </c:pt>
                <c:pt idx="179">
                  <c:v>2.7955880391008768E-5</c:v>
                </c:pt>
                <c:pt idx="180">
                  <c:v>2.7800569944392051E-5</c:v>
                </c:pt>
                <c:pt idx="181">
                  <c:v>2.7646975635307016E-5</c:v>
                </c:pt>
                <c:pt idx="182">
                  <c:v>2.7495069175772363E-5</c:v>
                </c:pt>
                <c:pt idx="183">
                  <c:v>2.7344822896123334E-5</c:v>
                </c:pt>
                <c:pt idx="184">
                  <c:v>2.7196209728209624E-5</c:v>
                </c:pt>
                <c:pt idx="185">
                  <c:v>2.7049203189138219E-5</c:v>
                </c:pt>
                <c:pt idx="186">
                  <c:v>2.6903777365540702E-5</c:v>
                </c:pt>
                <c:pt idx="187">
                  <c:v>2.6759906898345289E-5</c:v>
                </c:pt>
                <c:pt idx="188">
                  <c:v>2.6617566968034942E-5</c:v>
                </c:pt>
                <c:pt idx="189">
                  <c:v>2.6476733280373381E-5</c:v>
                </c:pt>
                <c:pt idx="190">
                  <c:v>2.6337382052581946E-5</c:v>
                </c:pt>
                <c:pt idx="191">
                  <c:v>2.6199489999950623E-5</c:v>
                </c:pt>
                <c:pt idx="192">
                  <c:v>2.6063034322867547E-5</c:v>
                </c:pt>
                <c:pt idx="193">
                  <c:v>2.5927992694251657E-5</c:v>
                </c:pt>
                <c:pt idx="194">
                  <c:v>2.579434324737407E-5</c:v>
                </c:pt>
                <c:pt idx="195">
                  <c:v>2.5662064564054203E-5</c:v>
                </c:pt>
                <c:pt idx="196">
                  <c:v>2.5531135663217192E-5</c:v>
                </c:pt>
                <c:pt idx="197">
                  <c:v>2.5401535989799845E-5</c:v>
                </c:pt>
                <c:pt idx="198">
                  <c:v>2.5273245403992778E-5</c:v>
                </c:pt>
                <c:pt idx="199">
                  <c:v>2.5146244170806881E-5</c:v>
                </c:pt>
                <c:pt idx="200">
                  <c:v>2.5020512949952849E-5</c:v>
                </c:pt>
                <c:pt idx="201">
                  <c:v>2.4896032786022737E-5</c:v>
                </c:pt>
                <c:pt idx="202">
                  <c:v>2.4772785098963216E-5</c:v>
                </c:pt>
                <c:pt idx="203">
                  <c:v>2.4650751674830394E-5</c:v>
                </c:pt>
                <c:pt idx="204">
                  <c:v>2.4529914656816519E-5</c:v>
                </c:pt>
                <c:pt idx="205">
                  <c:v>2.4410256536539365E-5</c:v>
                </c:pt>
                <c:pt idx="206">
                  <c:v>2.4291760145585289E-5</c:v>
                </c:pt>
                <c:pt idx="207">
                  <c:v>2.4174408647297441E-5</c:v>
                </c:pt>
                <c:pt idx="208">
                  <c:v>2.4058185528800817E-5</c:v>
                </c:pt>
                <c:pt idx="209">
                  <c:v>2.3943074593256316E-5</c:v>
                </c:pt>
                <c:pt idx="210">
                  <c:v>2.3829059952336046E-5</c:v>
                </c:pt>
                <c:pt idx="211">
                  <c:v>2.3716126018912656E-5</c:v>
                </c:pt>
                <c:pt idx="212">
                  <c:v>2.3604257499955521E-5</c:v>
                </c:pt>
                <c:pt idx="213">
                  <c:v>2.349343938962709E-5</c:v>
                </c:pt>
                <c:pt idx="214">
                  <c:v>2.3383656962572758E-5</c:v>
                </c:pt>
                <c:pt idx="215">
                  <c:v>2.3274895767397999E-5</c:v>
                </c:pt>
                <c:pt idx="216">
                  <c:v>2.3167141620326716E-5</c:v>
                </c:pt>
                <c:pt idx="217">
                  <c:v>2.3060380599034886E-5</c:v>
                </c:pt>
                <c:pt idx="218">
                  <c:v>2.2954599036653991E-5</c:v>
                </c:pt>
                <c:pt idx="219">
                  <c:v>2.2849783515938677E-5</c:v>
                </c:pt>
                <c:pt idx="220">
                  <c:v>2.2745920863593502E-5</c:v>
                </c:pt>
                <c:pt idx="221">
                  <c:v>2.2642998144753707E-5</c:v>
                </c:pt>
                <c:pt idx="222">
                  <c:v>2.2541002657615176E-5</c:v>
                </c:pt>
                <c:pt idx="223">
                  <c:v>2.2439921928208833E-5</c:v>
                </c:pt>
                <c:pt idx="224">
                  <c:v>2.2339743705315041E-5</c:v>
                </c:pt>
                <c:pt idx="225">
                  <c:v>2.2240455955513641E-5</c:v>
                </c:pt>
                <c:pt idx="226">
                  <c:v>2.2142046858365352E-5</c:v>
                </c:pt>
                <c:pt idx="227">
                  <c:v>2.204450480172057E-5</c:v>
                </c:pt>
                <c:pt idx="228">
                  <c:v>2.1947818377151621E-5</c:v>
                </c:pt>
                <c:pt idx="229">
                  <c:v>2.1851976375504672E-5</c:v>
                </c:pt>
                <c:pt idx="230">
                  <c:v>2.1756967782567694E-5</c:v>
                </c:pt>
                <c:pt idx="231">
                  <c:v>2.1662781774850951E-5</c:v>
                </c:pt>
                <c:pt idx="232">
                  <c:v>2.1569407715476594E-5</c:v>
                </c:pt>
                <c:pt idx="233">
                  <c:v>2.147683515017412E-5</c:v>
                </c:pt>
                <c:pt idx="234">
                  <c:v>2.1385053803378503E-5</c:v>
                </c:pt>
                <c:pt idx="235">
                  <c:v>2.1294053574427958E-5</c:v>
                </c:pt>
                <c:pt idx="236">
                  <c:v>2.1203824533858349E-5</c:v>
                </c:pt>
                <c:pt idx="237">
                  <c:v>2.1114356919791433E-5</c:v>
                </c:pt>
                <c:pt idx="238">
                  <c:v>2.102564113441416E-5</c:v>
                </c:pt>
                <c:pt idx="239">
                  <c:v>2.0937667740546317E-5</c:v>
                </c:pt>
                <c:pt idx="240">
                  <c:v>2.085042745829404E-5</c:v>
                </c:pt>
                <c:pt idx="241">
                  <c:v>2.0763911161786599E-5</c:v>
                </c:pt>
                <c:pt idx="242">
                  <c:v>2.067810987599409E-5</c:v>
                </c:pt>
                <c:pt idx="243">
                  <c:v>2.0593014773623745E-5</c:v>
                </c:pt>
                <c:pt idx="244">
                  <c:v>2.0508617172092499E-5</c:v>
                </c:pt>
                <c:pt idx="245">
                  <c:v>2.0424908530573754E-5</c:v>
                </c:pt>
                <c:pt idx="246">
                  <c:v>2.0341880447116137E-5</c:v>
                </c:pt>
                <c:pt idx="247">
                  <c:v>2.0259524655832265E-5</c:v>
                </c:pt>
                <c:pt idx="248">
                  <c:v>2.0177833024155525E-5</c:v>
                </c:pt>
                <c:pt idx="249">
                  <c:v>2.0096797550162931E-5</c:v>
                </c:pt>
                <c:pt idx="250">
                  <c:v>2.0016410359962281E-5</c:v>
                </c:pt>
                <c:pt idx="251">
                  <c:v>1.9936663705141712E-5</c:v>
                </c:pt>
                <c:pt idx="252">
                  <c:v>1.9857549960280041E-5</c:v>
                </c:pt>
                <c:pt idx="253">
                  <c:v>1.9779061620516088E-5</c:v>
                </c:pt>
                <c:pt idx="254">
                  <c:v>1.9701191299175472E-5</c:v>
                </c:pt>
                <c:pt idx="255">
                  <c:v>1.9623931725453214E-5</c:v>
                </c:pt>
                <c:pt idx="256">
                  <c:v>1.9547275742150665E-5</c:v>
                </c:pt>
                <c:pt idx="257">
                  <c:v>1.9471216303465252E-5</c:v>
                </c:pt>
                <c:pt idx="258">
                  <c:v>1.9395746472831664E-5</c:v>
                </c:pt>
                <c:pt idx="259">
                  <c:v>1.932085942081301E-5</c:v>
                </c:pt>
                <c:pt idx="260">
                  <c:v>1.9246548423040652E-5</c:v>
                </c:pt>
                <c:pt idx="261">
                  <c:v>1.9172806858201416E-5</c:v>
                </c:pt>
                <c:pt idx="262">
                  <c:v>1.9099628206070877E-5</c:v>
                </c:pt>
                <c:pt idx="263">
                  <c:v>1.902700604559152E-5</c:v>
                </c:pt>
                <c:pt idx="264">
                  <c:v>1.8954934052994579E-5</c:v>
                </c:pt>
                <c:pt idx="265">
                  <c:v>1.8883405999964414E-5</c:v>
                </c:pt>
                <c:pt idx="266">
                  <c:v>1.8812415751844246E-5</c:v>
                </c:pt>
                <c:pt idx="267">
                  <c:v>1.8741957265882284E-5</c:v>
                </c:pt>
                <c:pt idx="268">
                  <c:v>1.8672024589517051E-5</c:v>
                </c:pt>
                <c:pt idx="269">
                  <c:v>1.8602611858701003E-5</c:v>
                </c:pt>
                <c:pt idx="270">
                  <c:v>1.8533713296261372E-5</c:v>
                </c:pt>
                <c:pt idx="271">
                  <c:v>1.8465323210297305E-5</c:v>
                </c:pt>
                <c:pt idx="272">
                  <c:v>1.8397435992612388E-5</c:v>
                </c:pt>
                <c:pt idx="273">
                  <c:v>1.8330046117181575E-5</c:v>
                </c:pt>
                <c:pt idx="274">
                  <c:v>1.8263148138651717E-5</c:v>
                </c:pt>
                <c:pt idx="275">
                  <c:v>1.81967366908748E-5</c:v>
                </c:pt>
                <c:pt idx="276">
                  <c:v>1.813080648547308E-5</c:v>
                </c:pt>
                <c:pt idx="277">
                  <c:v>1.8065352310435271E-5</c:v>
                </c:pt>
                <c:pt idx="278">
                  <c:v>1.800036902874306E-5</c:v>
                </c:pt>
                <c:pt idx="279">
                  <c:v>1.7935851577027133E-5</c:v>
                </c:pt>
                <c:pt idx="280">
                  <c:v>1.7871794964252035E-5</c:v>
                </c:pt>
                <c:pt idx="281">
                  <c:v>1.7808194270429075E-5</c:v>
                </c:pt>
                <c:pt idx="282">
                  <c:v>1.7745044645356629E-5</c:v>
                </c:pt>
                <c:pt idx="283">
                  <c:v>1.7682341307387173E-5</c:v>
                </c:pt>
                <c:pt idx="284">
                  <c:v>1.7620079542220318E-5</c:v>
                </c:pt>
                <c:pt idx="285">
                  <c:v>1.7558254701721299E-5</c:v>
                </c:pt>
                <c:pt idx="286">
                  <c:v>1.7496862202764229E-5</c:v>
                </c:pt>
                <c:pt idx="287">
                  <c:v>1.7435897526099545E-5</c:v>
                </c:pt>
                <c:pt idx="288">
                  <c:v>1.7375356215245034E-5</c:v>
                </c:pt>
                <c:pt idx="289">
                  <c:v>1.7315233875399894E-5</c:v>
                </c:pt>
                <c:pt idx="290">
                  <c:v>1.7255526172381276E-5</c:v>
                </c:pt>
                <c:pt idx="291">
                  <c:v>1.7196228831582714E-5</c:v>
                </c:pt>
                <c:pt idx="292">
                  <c:v>1.7137337636954005E-5</c:v>
                </c:pt>
                <c:pt idx="293">
                  <c:v>1.7078848430001945E-5</c:v>
                </c:pt>
                <c:pt idx="294">
                  <c:v>1.7020757108811462E-5</c:v>
                </c:pt>
                <c:pt idx="295">
                  <c:v>1.6963059627086675E-5</c:v>
                </c:pt>
                <c:pt idx="296">
                  <c:v>1.6905751993211382E-5</c:v>
                </c:pt>
                <c:pt idx="297">
                  <c:v>1.6848830269328517E-5</c:v>
                </c:pt>
                <c:pt idx="298">
                  <c:v>1.6792290570438155E-5</c:v>
                </c:pt>
                <c:pt idx="299">
                  <c:v>1.673612906351361E-5</c:v>
                </c:pt>
                <c:pt idx="300">
                  <c:v>1.6680341966635232E-5</c:v>
                </c:pt>
                <c:pt idx="301">
                  <c:v>1.6624925548141426E-5</c:v>
                </c:pt>
                <c:pt idx="302">
                  <c:v>1.656987612579659E-5</c:v>
                </c:pt>
                <c:pt idx="303">
                  <c:v>1.6515190065975478E-5</c:v>
                </c:pt>
                <c:pt idx="304">
                  <c:v>1.6460863782863719E-5</c:v>
                </c:pt>
                <c:pt idx="305">
                  <c:v>1.6406893737674002E-5</c:v>
                </c:pt>
                <c:pt idx="306">
                  <c:v>1.6353276437877679E-5</c:v>
                </c:pt>
                <c:pt idx="307">
                  <c:v>1.6300008436451366E-5</c:v>
                </c:pt>
                <c:pt idx="308">
                  <c:v>1.6247086331138214E-5</c:v>
                </c:pt>
                <c:pt idx="309">
                  <c:v>1.6194506763723529E-5</c:v>
                </c:pt>
                <c:pt idx="310">
                  <c:v>1.6142266419324419E-5</c:v>
                </c:pt>
                <c:pt idx="311">
                  <c:v>1.6090362025693149E-5</c:v>
                </c:pt>
                <c:pt idx="312">
                  <c:v>1.6038790352533878E-5</c:v>
                </c:pt>
                <c:pt idx="313">
                  <c:v>1.5987548210832491E-5</c:v>
                </c:pt>
                <c:pt idx="314">
                  <c:v>1.5936632452199269E-5</c:v>
                </c:pt>
                <c:pt idx="315">
                  <c:v>1.5886039968224033E-5</c:v>
                </c:pt>
                <c:pt idx="316">
                  <c:v>1.5835767689843573E-5</c:v>
                </c:pt>
                <c:pt idx="317">
                  <c:v>1.578581258672104E-5</c:v>
                </c:pt>
                <c:pt idx="318">
                  <c:v>1.5736171666637011E-5</c:v>
                </c:pt>
                <c:pt idx="319">
                  <c:v>1.5686841974892068E-5</c:v>
                </c:pt>
                <c:pt idx="320">
                  <c:v>1.563782059372053E-5</c:v>
                </c:pt>
                <c:pt idx="321">
                  <c:v>1.5589104641715173E-5</c:v>
                </c:pt>
                <c:pt idx="322">
                  <c:v>1.5540691273262638E-5</c:v>
                </c:pt>
                <c:pt idx="323">
                  <c:v>1.5492577677989378E-5</c:v>
                </c:pt>
                <c:pt idx="324">
                  <c:v>1.544476108021781E-5</c:v>
                </c:pt>
                <c:pt idx="325">
                  <c:v>1.5397238738432522E-5</c:v>
                </c:pt>
                <c:pt idx="326">
                  <c:v>1.5350007944756347E-5</c:v>
                </c:pt>
                <c:pt idx="327">
                  <c:v>1.5303066024435992E-5</c:v>
                </c:pt>
                <c:pt idx="328">
                  <c:v>1.5256410335337104E-5</c:v>
                </c:pt>
                <c:pt idx="329">
                  <c:v>1.5210038267448541E-5</c:v>
                </c:pt>
                <c:pt idx="330">
                  <c:v>1.5163947242395665E-5</c:v>
                </c:pt>
                <c:pt idx="331">
                  <c:v>1.5118134712962444E-5</c:v>
                </c:pt>
                <c:pt idx="332">
                  <c:v>1.5072598162622196E-5</c:v>
                </c:pt>
                <c:pt idx="333">
                  <c:v>1.5027335105076785E-5</c:v>
                </c:pt>
                <c:pt idx="334">
                  <c:v>1.49823430838041E-5</c:v>
                </c:pt>
                <c:pt idx="335">
                  <c:v>1.4937619671613641E-5</c:v>
                </c:pt>
                <c:pt idx="336">
                  <c:v>1.4893162470210028E-5</c:v>
                </c:pt>
                <c:pt idx="337">
                  <c:v>1.4848969109764301E-5</c:v>
                </c:pt>
                <c:pt idx="338">
                  <c:v>1.480503724849281E-5</c:v>
                </c:pt>
                <c:pt idx="339">
                  <c:v>1.4761364572243569E-5</c:v>
                </c:pt>
                <c:pt idx="340">
                  <c:v>1.4717948794089912E-5</c:v>
                </c:pt>
                <c:pt idx="341">
                  <c:v>1.467478765393129E-5</c:v>
                </c:pt>
                <c:pt idx="342">
                  <c:v>1.4631878918101083E-5</c:v>
                </c:pt>
                <c:pt idx="343">
                  <c:v>1.4589220378981254E-5</c:v>
                </c:pt>
                <c:pt idx="344">
                  <c:v>1.4546809854623749E-5</c:v>
                </c:pt>
                <c:pt idx="345">
                  <c:v>1.4504645188378464E-5</c:v>
                </c:pt>
                <c:pt idx="346">
                  <c:v>1.446272424852766E-5</c:v>
                </c:pt>
                <c:pt idx="347">
                  <c:v>1.4421044927926715E-5</c:v>
                </c:pt>
                <c:pt idx="348">
                  <c:v>1.4379605143651063E-5</c:v>
                </c:pt>
                <c:pt idx="349">
                  <c:v>1.4338402836649196E-5</c:v>
                </c:pt>
                <c:pt idx="350">
                  <c:v>1.4297435971401628E-5</c:v>
                </c:pt>
                <c:pt idx="351">
                  <c:v>1.4256702535585669E-5</c:v>
                </c:pt>
                <c:pt idx="352">
                  <c:v>1.4216200539745938E-5</c:v>
                </c:pt>
                <c:pt idx="353">
                  <c:v>1.4175928016970455E-5</c:v>
                </c:pt>
                <c:pt idx="354">
                  <c:v>1.4135883022572232E-5</c:v>
                </c:pt>
                <c:pt idx="355">
                  <c:v>1.4096063633776254E-5</c:v>
                </c:pt>
                <c:pt idx="356">
                  <c:v>1.4056467949411712E-5</c:v>
                </c:pt>
                <c:pt idx="357">
                  <c:v>1.4017094089609439E-5</c:v>
                </c:pt>
                <c:pt idx="358">
                  <c:v>1.3977940195504384E-5</c:v>
                </c:pt>
                <c:pt idx="359">
                  <c:v>1.3939004428943093E-5</c:v>
                </c:pt>
                <c:pt idx="360">
                  <c:v>1.3900284972196025E-5</c:v>
                </c:pt>
                <c:pt idx="361">
                  <c:v>1.3861780027674708E-5</c:v>
                </c:pt>
                <c:pt idx="362">
                  <c:v>1.3823487817653508E-5</c:v>
                </c:pt>
                <c:pt idx="363">
                  <c:v>1.3785406583996062E-5</c:v>
                </c:pt>
                <c:pt idx="364">
                  <c:v>1.3747534587886181E-5</c:v>
                </c:pt>
                <c:pt idx="365">
                  <c:v>1.3709870109563207E-5</c:v>
                </c:pt>
                <c:pt idx="366">
                  <c:v>1.3672411448061667E-5</c:v>
                </c:pt>
                <c:pt idx="367">
                  <c:v>1.3635156920955233E-5</c:v>
                </c:pt>
                <c:pt idx="368">
                  <c:v>1.3598104864104812E-5</c:v>
                </c:pt>
                <c:pt idx="369">
                  <c:v>1.3561253631410759E-5</c:v>
                </c:pt>
                <c:pt idx="370">
                  <c:v>1.3524601594569109E-5</c:v>
                </c:pt>
                <c:pt idx="371">
                  <c:v>1.3488147142831726E-5</c:v>
                </c:pt>
                <c:pt idx="372">
                  <c:v>1.3451888682770351E-5</c:v>
                </c:pt>
                <c:pt idx="373">
                  <c:v>1.341582463804442E-5</c:v>
                </c:pt>
                <c:pt idx="374">
                  <c:v>1.3379953449172645E-5</c:v>
                </c:pt>
                <c:pt idx="375">
                  <c:v>1.3344273573308184E-5</c:v>
                </c:pt>
                <c:pt idx="376">
                  <c:v>1.3308783484017471E-5</c:v>
                </c:pt>
                <c:pt idx="377">
                  <c:v>1.3273481671062517E-5</c:v>
                </c:pt>
                <c:pt idx="378">
                  <c:v>1.3238366640186691E-5</c:v>
                </c:pt>
                <c:pt idx="379">
                  <c:v>1.3203436912903877E-5</c:v>
                </c:pt>
                <c:pt idx="380">
                  <c:v>1.3168691026290973E-5</c:v>
                </c:pt>
                <c:pt idx="381">
                  <c:v>1.3134127532783647E-5</c:v>
                </c:pt>
                <c:pt idx="382">
                  <c:v>1.3099744999975311E-5</c:v>
                </c:pt>
                <c:pt idx="383">
                  <c:v>1.3065542010419241E-5</c:v>
                </c:pt>
                <c:pt idx="384">
                  <c:v>1.3031517161433774E-5</c:v>
                </c:pt>
                <c:pt idx="385">
                  <c:v>1.299766906491057E-5</c:v>
                </c:pt>
                <c:pt idx="386">
                  <c:v>1.2963996347125829E-5</c:v>
                </c:pt>
                <c:pt idx="387">
                  <c:v>1.2930497648554443E-5</c:v>
                </c:pt>
                <c:pt idx="388">
                  <c:v>1.2897171623687035E-5</c:v>
                </c:pt>
                <c:pt idx="389">
                  <c:v>1.2864016940849793E-5</c:v>
                </c:pt>
                <c:pt idx="390">
                  <c:v>1.2831032282027101E-5</c:v>
                </c:pt>
                <c:pt idx="391">
                  <c:v>1.2798216342686878E-5</c:v>
                </c:pt>
                <c:pt idx="392">
                  <c:v>1.2765567831608596E-5</c:v>
                </c:pt>
                <c:pt idx="393">
                  <c:v>1.2733085470713918E-5</c:v>
                </c:pt>
                <c:pt idx="394">
                  <c:v>1.2700767994899923E-5</c:v>
                </c:pt>
                <c:pt idx="395">
                  <c:v>1.266861415187486E-5</c:v>
                </c:pt>
                <c:pt idx="396">
                  <c:v>1.2636622701996389E-5</c:v>
                </c:pt>
                <c:pt idx="397">
                  <c:v>1.2604792418112268E-5</c:v>
                </c:pt>
                <c:pt idx="398">
                  <c:v>1.257312208540344E-5</c:v>
                </c:pt>
                <c:pt idx="399">
                  <c:v>1.2541610501229498E-5</c:v>
                </c:pt>
                <c:pt idx="400">
                  <c:v>1.2510256474976425E-5</c:v>
                </c:pt>
                <c:pt idx="401">
                  <c:v>1.2479058827906658E-5</c:v>
                </c:pt>
                <c:pt idx="402">
                  <c:v>1.2448016393011369E-5</c:v>
                </c:pt>
                <c:pt idx="403">
                  <c:v>1.2417128014864937E-5</c:v>
                </c:pt>
                <c:pt idx="404">
                  <c:v>1.2386392549481608E-5</c:v>
                </c:pt>
                <c:pt idx="405">
                  <c:v>1.2355808864174246E-5</c:v>
                </c:pt>
                <c:pt idx="406">
                  <c:v>1.2325375837415197E-5</c:v>
                </c:pt>
                <c:pt idx="407">
                  <c:v>1.2295092358699188E-5</c:v>
                </c:pt>
                <c:pt idx="408">
                  <c:v>1.2264957328408259E-5</c:v>
                </c:pt>
                <c:pt idx="409">
                  <c:v>1.2234969657678655E-5</c:v>
                </c:pt>
                <c:pt idx="410">
                  <c:v>1.2205128268269682E-5</c:v>
                </c:pt>
                <c:pt idx="411">
                  <c:v>1.2175432092434476E-5</c:v>
                </c:pt>
                <c:pt idx="412">
                  <c:v>1.2145880072792645E-5</c:v>
                </c:pt>
                <c:pt idx="413">
                  <c:v>1.2116471162204769E-5</c:v>
                </c:pt>
                <c:pt idx="414">
                  <c:v>1.208720432364872E-5</c:v>
                </c:pt>
                <c:pt idx="415">
                  <c:v>1.2058078530097759E-5</c:v>
                </c:pt>
                <c:pt idx="416">
                  <c:v>1.2029092764400409E-5</c:v>
                </c:pt>
                <c:pt idx="417">
                  <c:v>1.2000246019162038E-5</c:v>
                </c:pt>
                <c:pt idx="418">
                  <c:v>1.1971537296628158E-5</c:v>
                </c:pt>
                <c:pt idx="419">
                  <c:v>1.1942965608569379E-5</c:v>
                </c:pt>
                <c:pt idx="420">
                  <c:v>1.1914529976168023E-5</c:v>
                </c:pt>
                <c:pt idx="421">
                  <c:v>1.1886229429906342E-5</c:v>
                </c:pt>
                <c:pt idx="422">
                  <c:v>1.1858063009456328E-5</c:v>
                </c:pt>
                <c:pt idx="423">
                  <c:v>1.1830029763571087E-5</c:v>
                </c:pt>
                <c:pt idx="424">
                  <c:v>1.1802128749977761E-5</c:v>
                </c:pt>
                <c:pt idx="425">
                  <c:v>1.1774359035271931E-5</c:v>
                </c:pt>
                <c:pt idx="426">
                  <c:v>1.1746719694813545E-5</c:v>
                </c:pt>
                <c:pt idx="427">
                  <c:v>1.1719209812624286E-5</c:v>
                </c:pt>
                <c:pt idx="428">
                  <c:v>1.1691828481286379E-5</c:v>
                </c:pt>
                <c:pt idx="429">
                  <c:v>1.166457480184282E-5</c:v>
                </c:pt>
                <c:pt idx="430">
                  <c:v>1.1637447883698999E-5</c:v>
                </c:pt>
                <c:pt idx="431">
                  <c:v>1.1610446844525685E-5</c:v>
                </c:pt>
                <c:pt idx="432">
                  <c:v>1.1583570810163358E-5</c:v>
                </c:pt>
                <c:pt idx="433">
                  <c:v>1.1556818914527875E-5</c:v>
                </c:pt>
                <c:pt idx="434">
                  <c:v>1.1530190299517443E-5</c:v>
                </c:pt>
                <c:pt idx="435">
                  <c:v>1.1503684114920852E-5</c:v>
                </c:pt>
                <c:pt idx="436">
                  <c:v>1.1477299518326996E-5</c:v>
                </c:pt>
                <c:pt idx="437">
                  <c:v>1.145103567503563E-5</c:v>
                </c:pt>
                <c:pt idx="438">
                  <c:v>1.1424891757969339E-5</c:v>
                </c:pt>
                <c:pt idx="439">
                  <c:v>1.1398866947586721E-5</c:v>
                </c:pt>
                <c:pt idx="440">
                  <c:v>1.1372960431796751E-5</c:v>
                </c:pt>
                <c:pt idx="441">
                  <c:v>1.1347171405874306E-5</c:v>
                </c:pt>
                <c:pt idx="442">
                  <c:v>1.1321499072376853E-5</c:v>
                </c:pt>
                <c:pt idx="443">
                  <c:v>1.1295942641062234E-5</c:v>
                </c:pt>
                <c:pt idx="444">
                  <c:v>1.1270501328807588E-5</c:v>
                </c:pt>
                <c:pt idx="445">
                  <c:v>1.124517435952937E-5</c:v>
                </c:pt>
                <c:pt idx="446">
                  <c:v>1.1219960964104417E-5</c:v>
                </c:pt>
                <c:pt idx="447">
                  <c:v>1.1194860380292102E-5</c:v>
                </c:pt>
                <c:pt idx="448">
                  <c:v>1.1169871852657521E-5</c:v>
                </c:pt>
                <c:pt idx="449">
                  <c:v>1.11449946324957E-5</c:v>
                </c:pt>
                <c:pt idx="450">
                  <c:v>1.1120227977756821E-5</c:v>
                </c:pt>
                <c:pt idx="451">
                  <c:v>1.1095571152972438E-5</c:v>
                </c:pt>
                <c:pt idx="452">
                  <c:v>1.1071023429182676E-5</c:v>
                </c:pt>
                <c:pt idx="453">
                  <c:v>1.1046584083864391E-5</c:v>
                </c:pt>
                <c:pt idx="454">
                  <c:v>1.1022252400860285E-5</c:v>
                </c:pt>
                <c:pt idx="455">
                  <c:v>1.0998027670308943E-5</c:v>
                </c:pt>
                <c:pt idx="456">
                  <c:v>1.097390918857581E-5</c:v>
                </c:pt>
                <c:pt idx="457">
                  <c:v>1.0949896258185055E-5</c:v>
                </c:pt>
                <c:pt idx="458">
                  <c:v>1.0925988187752336E-5</c:v>
                </c:pt>
                <c:pt idx="459">
                  <c:v>1.0902184291918452E-5</c:v>
                </c:pt>
                <c:pt idx="460">
                  <c:v>1.0878483891283847E-5</c:v>
                </c:pt>
                <c:pt idx="461">
                  <c:v>1.085488631234397E-5</c:v>
                </c:pt>
                <c:pt idx="462">
                  <c:v>1.0831390887425475E-5</c:v>
                </c:pt>
                <c:pt idx="463">
                  <c:v>1.0807996954623262E-5</c:v>
                </c:pt>
                <c:pt idx="464">
                  <c:v>1.0784703857738297E-5</c:v>
                </c:pt>
                <c:pt idx="465">
                  <c:v>1.076151094621628E-5</c:v>
                </c:pt>
                <c:pt idx="466">
                  <c:v>1.073841757508706E-5</c:v>
                </c:pt>
                <c:pt idx="467">
                  <c:v>1.0715423104904861E-5</c:v>
                </c:pt>
                <c:pt idx="468">
                  <c:v>1.0692526901689252E-5</c:v>
                </c:pt>
                <c:pt idx="469">
                  <c:v>1.0669728336866886E-5</c:v>
                </c:pt>
                <c:pt idx="470">
                  <c:v>1.0647026787213979E-5</c:v>
                </c:pt>
                <c:pt idx="471">
                  <c:v>1.062442163479951E-5</c:v>
                </c:pt>
                <c:pt idx="472">
                  <c:v>1.0601912266929174E-5</c:v>
                </c:pt>
                <c:pt idx="473">
                  <c:v>1.057949807609E-5</c:v>
                </c:pt>
                <c:pt idx="474">
                  <c:v>1.0557178459895716E-5</c:v>
                </c:pt>
                <c:pt idx="475">
                  <c:v>1.0534952821032778E-5</c:v>
                </c:pt>
                <c:pt idx="476">
                  <c:v>1.051282056720708E-5</c:v>
                </c:pt>
                <c:pt idx="477">
                  <c:v>1.0490781111091342E-5</c:v>
                </c:pt>
                <c:pt idx="478">
                  <c:v>1.0468833870273159E-5</c:v>
                </c:pt>
                <c:pt idx="479">
                  <c:v>1.0446978267203695E-5</c:v>
                </c:pt>
                <c:pt idx="480">
                  <c:v>1.042521372914702E-5</c:v>
                </c:pt>
                <c:pt idx="481">
                  <c:v>1.0403539688130084E-5</c:v>
                </c:pt>
                <c:pt idx="482">
                  <c:v>1.03819555808933E-5</c:v>
                </c:pt>
                <c:pt idx="483">
                  <c:v>1.036046084884176E-5</c:v>
                </c:pt>
                <c:pt idx="484">
                  <c:v>1.0339054937997045E-5</c:v>
                </c:pt>
                <c:pt idx="485">
                  <c:v>1.0317737298949629E-5</c:v>
                </c:pt>
                <c:pt idx="486">
                  <c:v>1.0296507386811873E-5</c:v>
                </c:pt>
                <c:pt idx="487">
                  <c:v>1.0275364661171602E-5</c:v>
                </c:pt>
                <c:pt idx="488">
                  <c:v>1.025430858604625E-5</c:v>
                </c:pt>
                <c:pt idx="489">
                  <c:v>1.0233338629837567E-5</c:v>
                </c:pt>
                <c:pt idx="490">
                  <c:v>1.0212454265286877E-5</c:v>
                </c:pt>
                <c:pt idx="491">
                  <c:v>1.0191654969430896E-5</c:v>
                </c:pt>
                <c:pt idx="492">
                  <c:v>1.0170940223558069E-5</c:v>
                </c:pt>
                <c:pt idx="493">
                  <c:v>1.0150309513165456E-5</c:v>
                </c:pt>
                <c:pt idx="494">
                  <c:v>1.0129762327916132E-5</c:v>
                </c:pt>
                <c:pt idx="495">
                  <c:v>1.0109298161597111E-5</c:v>
                </c:pt>
                <c:pt idx="496">
                  <c:v>1.0088916512077763E-5</c:v>
                </c:pt>
                <c:pt idx="497">
                  <c:v>1.0068616881268753E-5</c:v>
                </c:pt>
                <c:pt idx="498">
                  <c:v>1.0048398775081466E-5</c:v>
                </c:pt>
                <c:pt idx="499">
                  <c:v>1.0028261703387916E-5</c:v>
                </c:pt>
                <c:pt idx="500">
                  <c:v>1.0008205179981141E-5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0D-4273-92AF-858F1FDD38F5}"/>
            </c:ext>
          </c:extLst>
        </c:ser>
        <c:ser>
          <c:idx val="5"/>
          <c:order val="4"/>
          <c:tx>
            <c:strRef>
              <c:f>'NSS Goverment'!$CS$2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'NSS Goverment'!$CN$3:$CN$503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Goverment'!$CS$3:$CS$503</c:f>
              <c:numCache>
                <c:formatCode>0.00%</c:formatCode>
                <c:ptCount val="501"/>
                <c:pt idx="0">
                  <c:v>1.4946168696063701E-2</c:v>
                </c:pt>
                <c:pt idx="1">
                  <c:v>9.9244979256183242E-3</c:v>
                </c:pt>
                <c:pt idx="2">
                  <c:v>1.0154107464027229E-2</c:v>
                </c:pt>
                <c:pt idx="3">
                  <c:v>1.0318078247551566E-2</c:v>
                </c:pt>
                <c:pt idx="4">
                  <c:v>1.0533865016292948E-2</c:v>
                </c:pt>
                <c:pt idx="5">
                  <c:v>1.0840856302320612E-2</c:v>
                </c:pt>
                <c:pt idx="6">
                  <c:v>1.1244136350095324E-2</c:v>
                </c:pt>
                <c:pt idx="7">
                  <c:v>1.1734876356061578E-2</c:v>
                </c:pt>
                <c:pt idx="8">
                  <c:v>1.2299608240913286E-2</c:v>
                </c:pt>
                <c:pt idx="9">
                  <c:v>1.2924268577936514E-2</c:v>
                </c:pt>
                <c:pt idx="10">
                  <c:v>1.3595823239384807E-2</c:v>
                </c:pt>
                <c:pt idx="11">
                  <c:v>1.4302802345446411E-2</c:v>
                </c:pt>
                <c:pt idx="12">
                  <c:v>1.5035366389558522E-2</c:v>
                </c:pt>
                <c:pt idx="13">
                  <c:v>1.5785187886790366E-2</c:v>
                </c:pt>
                <c:pt idx="14">
                  <c:v>1.6545274809425903E-2</c:v>
                </c:pt>
                <c:pt idx="15">
                  <c:v>1.7309788960713293E-2</c:v>
                </c:pt>
                <c:pt idx="16">
                  <c:v>1.8073879407007686E-2</c:v>
                </c:pt>
                <c:pt idx="17">
                  <c:v>1.8833536718790376E-2</c:v>
                </c:pt>
                <c:pt idx="18">
                  <c:v>1.9585467924241248E-2</c:v>
                </c:pt>
                <c:pt idx="19">
                  <c:v>2.0326990011955638E-2</c:v>
                </c:pt>
                <c:pt idx="20">
                  <c:v>2.1055939348861429E-2</c:v>
                </c:pt>
                <c:pt idx="21">
                  <c:v>2.1770594524690517E-2</c:v>
                </c:pt>
                <c:pt idx="22">
                  <c:v>2.2469610471550765E-2</c:v>
                </c:pt>
                <c:pt idx="23">
                  <c:v>2.3151962064784364E-2</c:v>
                </c:pt>
                <c:pt idx="24">
                  <c:v>2.3816895728866857E-2</c:v>
                </c:pt>
                <c:pt idx="25">
                  <c:v>2.4463887835317055E-2</c:v>
                </c:pt>
                <c:pt idx="26">
                  <c:v>2.5092608891643903E-2</c:v>
                </c:pt>
                <c:pt idx="27">
                  <c:v>2.5702892689664889E-2</c:v>
                </c:pt>
                <c:pt idx="28">
                  <c:v>2.6294709716885866E-2</c:v>
                </c:pt>
                <c:pt idx="29">
                  <c:v>2.6868144243585391E-2</c:v>
                </c:pt>
                <c:pt idx="30">
                  <c:v>2.7423374586783452E-2</c:v>
                </c:pt>
                <c:pt idx="31">
                  <c:v>2.7960656124973015E-2</c:v>
                </c:pt>
                <c:pt idx="32">
                  <c:v>2.8480306697797272E-2</c:v>
                </c:pt>
                <c:pt idx="33">
                  <c:v>2.8982694075352922E-2</c:v>
                </c:pt>
                <c:pt idx="34">
                  <c:v>2.9468225224437431E-2</c:v>
                </c:pt>
                <c:pt idx="35">
                  <c:v>2.9937337135318296E-2</c:v>
                </c:pt>
                <c:pt idx="36">
                  <c:v>3.0390489003624808E-2</c:v>
                </c:pt>
                <c:pt idx="37">
                  <c:v>3.0828155588637246E-2</c:v>
                </c:pt>
                <c:pt idx="38">
                  <c:v>3.1250821592277642E-2</c:v>
                </c:pt>
                <c:pt idx="39">
                  <c:v>3.1658976923056012E-2</c:v>
                </c:pt>
                <c:pt idx="40">
                  <c:v>3.2053112726552528E-2</c:v>
                </c:pt>
                <c:pt idx="41">
                  <c:v>3.2433718079098714E-2</c:v>
                </c:pt>
                <c:pt idx="42">
                  <c:v>3.2801277254470747E-2</c:v>
                </c:pt>
                <c:pt idx="43">
                  <c:v>3.3156267484889423E-2</c:v>
                </c:pt>
                <c:pt idx="44">
                  <c:v>3.3499157147655459E-2</c:v>
                </c:pt>
                <c:pt idx="45">
                  <c:v>3.3830404317525355E-2</c:v>
                </c:pt>
                <c:pt idx="46">
                  <c:v>3.415045563261377E-2</c:v>
                </c:pt>
                <c:pt idx="47">
                  <c:v>3.4459745428332217E-2</c:v>
                </c:pt>
                <c:pt idx="48">
                  <c:v>3.4758695099762073E-2</c:v>
                </c:pt>
                <c:pt idx="49">
                  <c:v>3.5047712658016032E-2</c:v>
                </c:pt>
                <c:pt idx="50">
                  <c:v>3.5327192450657428E-2</c:v>
                </c:pt>
                <c:pt idx="51">
                  <c:v>3.5597515020200296E-2</c:v>
                </c:pt>
                <c:pt idx="52">
                  <c:v>3.5859047078173396E-2</c:v>
                </c:pt>
                <c:pt idx="53">
                  <c:v>3.6112141575259812E-2</c:v>
                </c:pt>
                <c:pt idx="54">
                  <c:v>3.6357137850672211E-2</c:v>
                </c:pt>
                <c:pt idx="55">
                  <c:v>3.6594361846239126E-2</c:v>
                </c:pt>
                <c:pt idx="56">
                  <c:v>3.6824126372700779E-2</c:v>
                </c:pt>
                <c:pt idx="57">
                  <c:v>3.7046731417478961E-2</c:v>
                </c:pt>
                <c:pt idx="58">
                  <c:v>3.72624644847264E-2</c:v>
                </c:pt>
                <c:pt idx="59">
                  <c:v>3.7471600959803703E-2</c:v>
                </c:pt>
                <c:pt idx="60">
                  <c:v>3.7674404491501855E-2</c:v>
                </c:pt>
                <c:pt idx="61">
                  <c:v>3.7871127386344926E-2</c:v>
                </c:pt>
                <c:pt idx="62">
                  <c:v>3.8062011010191674E-2</c:v>
                </c:pt>
                <c:pt idx="63">
                  <c:v>3.824728619312126E-2</c:v>
                </c:pt>
                <c:pt idx="64">
                  <c:v>3.8427173634252659E-2</c:v>
                </c:pt>
                <c:pt idx="65">
                  <c:v>3.860188430372162E-2</c:v>
                </c:pt>
                <c:pt idx="66">
                  <c:v>3.8771619839535303E-2</c:v>
                </c:pt>
                <c:pt idx="67">
                  <c:v>3.8936572937451744E-2</c:v>
                </c:pt>
                <c:pt idx="68">
                  <c:v>3.9096927732399193E-2</c:v>
                </c:pt>
                <c:pt idx="69">
                  <c:v>3.9252860170264761E-2</c:v>
                </c:pt>
                <c:pt idx="70">
                  <c:v>3.9404538369151539E-2</c:v>
                </c:pt>
                <c:pt idx="71">
                  <c:v>3.9552122969433279E-2</c:v>
                </c:pt>
                <c:pt idx="72">
                  <c:v>3.9695767472129759E-2</c:v>
                </c:pt>
                <c:pt idx="73">
                  <c:v>3.9835618565291941E-2</c:v>
                </c:pt>
                <c:pt idx="74">
                  <c:v>3.9971816438223881E-2</c:v>
                </c:pt>
                <c:pt idx="75">
                  <c:v>4.0104495083485021E-2</c:v>
                </c:pt>
                <c:pt idx="76">
                  <c:v>4.0233782586712771E-2</c:v>
                </c:pt>
                <c:pt idx="77">
                  <c:v>4.0359801404384832E-2</c:v>
                </c:pt>
                <c:pt idx="78">
                  <c:v>4.0482668629705947E-2</c:v>
                </c:pt>
                <c:pt idx="79">
                  <c:v>4.0602496246855774E-2</c:v>
                </c:pt>
                <c:pt idx="80">
                  <c:v>4.0719391373876687E-2</c:v>
                </c:pt>
                <c:pt idx="81">
                  <c:v>4.0833456494512428E-2</c:v>
                </c:pt>
                <c:pt idx="82">
                  <c:v>4.0944789679333168E-2</c:v>
                </c:pt>
                <c:pt idx="83">
                  <c:v>4.1053484796500408E-2</c:v>
                </c:pt>
                <c:pt idx="84">
                  <c:v>4.1159631712537482E-2</c:v>
                </c:pt>
                <c:pt idx="85">
                  <c:v>4.1263316483478529E-2</c:v>
                </c:pt>
                <c:pt idx="86">
                  <c:v>4.1364621536772644E-2</c:v>
                </c:pt>
                <c:pt idx="87">
                  <c:v>4.146362584431957E-2</c:v>
                </c:pt>
                <c:pt idx="88">
                  <c:v>4.1560405087011115E-2</c:v>
                </c:pt>
                <c:pt idx="89">
                  <c:v>4.1655031811146971E-2</c:v>
                </c:pt>
                <c:pt idx="90">
                  <c:v>4.1747575577087442E-2</c:v>
                </c:pt>
                <c:pt idx="91">
                  <c:v>4.1838103100496883E-2</c:v>
                </c:pt>
                <c:pt idx="92">
                  <c:v>4.1926678386522614E-2</c:v>
                </c:pt>
                <c:pt idx="93">
                  <c:v>4.2013362857243677E-2</c:v>
                </c:pt>
                <c:pt idx="94">
                  <c:v>4.2098215472712787E-2</c:v>
                </c:pt>
                <c:pt idx="95">
                  <c:v>4.2181292845903877E-2</c:v>
                </c:pt>
                <c:pt idx="96">
                  <c:v>4.2262649351865439E-2</c:v>
                </c:pt>
                <c:pt idx="97">
                  <c:v>4.2342337231368599E-2</c:v>
                </c:pt>
                <c:pt idx="98">
                  <c:v>4.2420406689326541E-2</c:v>
                </c:pt>
                <c:pt idx="99">
                  <c:v>4.2496905988250615E-2</c:v>
                </c:pt>
                <c:pt idx="100">
                  <c:v>4.2571881536996266E-2</c:v>
                </c:pt>
                <c:pt idx="101">
                  <c:v>4.2645377975040914E-2</c:v>
                </c:pt>
                <c:pt idx="102">
                  <c:v>4.2717438252524539E-2</c:v>
                </c:pt>
                <c:pt idx="103">
                  <c:v>4.2788103706272666E-2</c:v>
                </c:pt>
                <c:pt idx="104">
                  <c:v>4.2857414132011162E-2</c:v>
                </c:pt>
                <c:pt idx="105">
                  <c:v>4.2925407852971671E-2</c:v>
                </c:pt>
                <c:pt idx="106">
                  <c:v>4.2992121785076796E-2</c:v>
                </c:pt>
                <c:pt idx="107">
                  <c:v>4.3057591498884669E-2</c:v>
                </c:pt>
                <c:pt idx="108">
                  <c:v>4.3121851278463089E-2</c:v>
                </c:pt>
                <c:pt idx="109">
                  <c:v>4.3184934177355042E-2</c:v>
                </c:pt>
                <c:pt idx="110">
                  <c:v>4.3246872071788671E-2</c:v>
                </c:pt>
                <c:pt idx="111">
                  <c:v>4.3307695711276878E-2</c:v>
                </c:pt>
                <c:pt idx="112">
                  <c:v>4.3367434766744185E-2</c:v>
                </c:pt>
                <c:pt idx="113">
                  <c:v>4.3426117876310844E-2</c:v>
                </c:pt>
                <c:pt idx="114">
                  <c:v>4.3483772688857739E-2</c:v>
                </c:pt>
                <c:pt idx="115">
                  <c:v>4.3540425905488393E-2</c:v>
                </c:pt>
                <c:pt idx="116">
                  <c:v>4.3596103318998783E-2</c:v>
                </c:pt>
                <c:pt idx="117">
                  <c:v>4.3650829851459058E-2</c:v>
                </c:pt>
                <c:pt idx="118">
                  <c:v>4.3704629590006101E-2</c:v>
                </c:pt>
                <c:pt idx="119">
                  <c:v>4.3757525820940224E-2</c:v>
                </c:pt>
                <c:pt idx="120">
                  <c:v>4.3809541062214324E-2</c:v>
                </c:pt>
                <c:pt idx="121">
                  <c:v>4.3860697094398937E-2</c:v>
                </c:pt>
                <c:pt idx="122">
                  <c:v>4.3911014990202196E-2</c:v>
                </c:pt>
                <c:pt idx="123">
                  <c:v>4.3960515142619179E-2</c:v>
                </c:pt>
                <c:pt idx="124">
                  <c:v>4.4009217291781387E-2</c:v>
                </c:pt>
                <c:pt idx="125">
                  <c:v>4.4057140550572818E-2</c:v>
                </c:pt>
                <c:pt idx="126">
                  <c:v>4.4104303429075897E-2</c:v>
                </c:pt>
                <c:pt idx="127">
                  <c:v>4.4150723857906707E-2</c:v>
                </c:pt>
                <c:pt idx="128">
                  <c:v>4.4196419210495996E-2</c:v>
                </c:pt>
                <c:pt idx="129">
                  <c:v>4.4241406324369244E-2</c:v>
                </c:pt>
                <c:pt idx="130">
                  <c:v>4.4285701521476026E-2</c:v>
                </c:pt>
                <c:pt idx="131">
                  <c:v>4.4329320627616693E-2</c:v>
                </c:pt>
                <c:pt idx="132">
                  <c:v>4.4372278991011024E-2</c:v>
                </c:pt>
                <c:pt idx="133">
                  <c:v>4.4414591500051802E-2</c:v>
                </c:pt>
                <c:pt idx="134">
                  <c:v>4.4456272600283599E-2</c:v>
                </c:pt>
                <c:pt idx="135">
                  <c:v>4.4497336310644751E-2</c:v>
                </c:pt>
                <c:pt idx="136">
                  <c:v>4.4537796239009012E-2</c:v>
                </c:pt>
                <c:pt idx="137">
                  <c:v>4.4577665597060681E-2</c:v>
                </c:pt>
                <c:pt idx="138">
                  <c:v>4.4616957214535929E-2</c:v>
                </c:pt>
                <c:pt idx="139">
                  <c:v>4.4655683552860696E-2</c:v>
                </c:pt>
                <c:pt idx="140">
                  <c:v>4.469385671821436E-2</c:v>
                </c:pt>
                <c:pt idx="141">
                  <c:v>4.473148847404658E-2</c:v>
                </c:pt>
                <c:pt idx="142">
                  <c:v>4.4768590253073406E-2</c:v>
                </c:pt>
                <c:pt idx="143">
                  <c:v>4.4805173168777294E-2</c:v>
                </c:pt>
                <c:pt idx="144">
                  <c:v>4.4841248026434431E-2</c:v>
                </c:pt>
                <c:pt idx="145">
                  <c:v>4.4876825333691528E-2</c:v>
                </c:pt>
                <c:pt idx="146">
                  <c:v>4.4911915310713146E-2</c:v>
                </c:pt>
                <c:pt idx="147">
                  <c:v>4.4946527899919417E-2</c:v>
                </c:pt>
                <c:pt idx="148">
                  <c:v>4.4980672775333082E-2</c:v>
                </c:pt>
                <c:pt idx="149">
                  <c:v>4.5014359351553887E-2</c:v>
                </c:pt>
                <c:pt idx="150">
                  <c:v>4.5047596792377215E-2</c:v>
                </c:pt>
                <c:pt idx="151">
                  <c:v>4.5080394019073163E-2</c:v>
                </c:pt>
                <c:pt idx="152">
                  <c:v>4.5112759718341486E-2</c:v>
                </c:pt>
                <c:pt idx="153">
                  <c:v>4.514470234995685E-2</c:v>
                </c:pt>
                <c:pt idx="154">
                  <c:v>4.5176230154118334E-2</c:v>
                </c:pt>
                <c:pt idx="155">
                  <c:v>4.5207351158516276E-2</c:v>
                </c:pt>
                <c:pt idx="156">
                  <c:v>4.5238073185128937E-2</c:v>
                </c:pt>
                <c:pt idx="157">
                  <c:v>4.5268403856760987E-2</c:v>
                </c:pt>
                <c:pt idx="158">
                  <c:v>4.529835060333489E-2</c:v>
                </c:pt>
                <c:pt idx="159">
                  <c:v>4.5327920667946137E-2</c:v>
                </c:pt>
                <c:pt idx="160">
                  <c:v>4.5357121112692439E-2</c:v>
                </c:pt>
                <c:pt idx="161">
                  <c:v>4.5385958824286622E-2</c:v>
                </c:pt>
                <c:pt idx="162">
                  <c:v>4.5414440519462432E-2</c:v>
                </c:pt>
                <c:pt idx="163">
                  <c:v>4.5442572750182132E-2</c:v>
                </c:pt>
                <c:pt idx="164">
                  <c:v>4.5470361908654271E-2</c:v>
                </c:pt>
                <c:pt idx="165">
                  <c:v>4.5497814232169476E-2</c:v>
                </c:pt>
                <c:pt idx="166">
                  <c:v>4.5524935807762151E-2</c:v>
                </c:pt>
                <c:pt idx="167">
                  <c:v>4.5551732576704952E-2</c:v>
                </c:pt>
                <c:pt idx="168">
                  <c:v>4.5578210338843371E-2</c:v>
                </c:pt>
                <c:pt idx="169">
                  <c:v>4.5604374756776672E-2</c:v>
                </c:pt>
                <c:pt idx="170">
                  <c:v>4.5630231359891631E-2</c:v>
                </c:pt>
                <c:pt idx="171">
                  <c:v>4.5655785548255071E-2</c:v>
                </c:pt>
                <c:pt idx="172">
                  <c:v>4.5681042596370805E-2</c:v>
                </c:pt>
                <c:pt idx="173">
                  <c:v>4.5706007656806651E-2</c:v>
                </c:pt>
                <c:pt idx="174">
                  <c:v>4.5730685763696405E-2</c:v>
                </c:pt>
                <c:pt idx="175">
                  <c:v>4.5755081836122105E-2</c:v>
                </c:pt>
                <c:pt idx="176">
                  <c:v>4.5779200681381062E-2</c:v>
                </c:pt>
                <c:pt idx="177">
                  <c:v>4.5803046998142319E-2</c:v>
                </c:pt>
                <c:pt idx="178">
                  <c:v>4.5826625379496846E-2</c:v>
                </c:pt>
                <c:pt idx="179">
                  <c:v>4.584994031590562E-2</c:v>
                </c:pt>
                <c:pt idx="180">
                  <c:v>4.5872996198049541E-2</c:v>
                </c:pt>
                <c:pt idx="181">
                  <c:v>4.5895797319584958E-2</c:v>
                </c:pt>
                <c:pt idx="182">
                  <c:v>4.591834787980844E-2</c:v>
                </c:pt>
                <c:pt idx="183">
                  <c:v>4.5940651986234295E-2</c:v>
                </c:pt>
                <c:pt idx="184">
                  <c:v>4.5962713657088004E-2</c:v>
                </c:pt>
                <c:pt idx="185">
                  <c:v>4.5984536823719016E-2</c:v>
                </c:pt>
                <c:pt idx="186">
                  <c:v>4.6006125332935549E-2</c:v>
                </c:pt>
                <c:pt idx="187">
                  <c:v>4.6027482949264703E-2</c:v>
                </c:pt>
                <c:pt idx="188">
                  <c:v>4.6048613357140444E-2</c:v>
                </c:pt>
                <c:pt idx="189">
                  <c:v>4.6069520163022092E-2</c:v>
                </c:pt>
                <c:pt idx="190">
                  <c:v>4.6090206897445987E-2</c:v>
                </c:pt>
                <c:pt idx="191">
                  <c:v>4.611067701701279E-2</c:v>
                </c:pt>
                <c:pt idx="192">
                  <c:v>4.6130933906312649E-2</c:v>
                </c:pt>
                <c:pt idx="193">
                  <c:v>4.6150980879790492E-2</c:v>
                </c:pt>
                <c:pt idx="194">
                  <c:v>4.6170821183553812E-2</c:v>
                </c:pt>
                <c:pt idx="195">
                  <c:v>4.6190457997124651E-2</c:v>
                </c:pt>
                <c:pt idx="196">
                  <c:v>4.6209894435138101E-2</c:v>
                </c:pt>
                <c:pt idx="197">
                  <c:v>4.6229133548989047E-2</c:v>
                </c:pt>
                <c:pt idx="198">
                  <c:v>4.6248178328429035E-2</c:v>
                </c:pt>
                <c:pt idx="199">
                  <c:v>4.6267031703114997E-2</c:v>
                </c:pt>
                <c:pt idx="200">
                  <c:v>4.62856965441115E-2</c:v>
                </c:pt>
                <c:pt idx="201">
                  <c:v>4.6304175665348203E-2</c:v>
                </c:pt>
                <c:pt idx="202">
                  <c:v>4.6322471825034024E-2</c:v>
                </c:pt>
                <c:pt idx="203">
                  <c:v>4.6340587727029474E-2</c:v>
                </c:pt>
                <c:pt idx="204">
                  <c:v>4.6358526022178707E-2</c:v>
                </c:pt>
                <c:pt idx="205">
                  <c:v>4.6376289309602518E-2</c:v>
                </c:pt>
                <c:pt idx="206">
                  <c:v>4.6393880137953751E-2</c:v>
                </c:pt>
                <c:pt idx="207">
                  <c:v>4.6411301006636249E-2</c:v>
                </c:pt>
                <c:pt idx="208">
                  <c:v>4.6428554366988714E-2</c:v>
                </c:pt>
                <c:pt idx="209">
                  <c:v>4.6445642623434563E-2</c:v>
                </c:pt>
                <c:pt idx="210">
                  <c:v>4.6462568134598939E-2</c:v>
                </c:pt>
                <c:pt idx="211">
                  <c:v>4.6479333214393875E-2</c:v>
                </c:pt>
                <c:pt idx="212">
                  <c:v>4.6495940133072941E-2</c:v>
                </c:pt>
                <c:pt idx="213">
                  <c:v>4.6512391118255988E-2</c:v>
                </c:pt>
                <c:pt idx="214">
                  <c:v>4.6528688355925267E-2</c:v>
                </c:pt>
                <c:pt idx="215">
                  <c:v>4.6544833991393753E-2</c:v>
                </c:pt>
                <c:pt idx="216">
                  <c:v>4.6560830130246485E-2</c:v>
                </c:pt>
                <c:pt idx="217">
                  <c:v>4.6576678839256043E-2</c:v>
                </c:pt>
                <c:pt idx="218">
                  <c:v>4.6592382147272612E-2</c:v>
                </c:pt>
                <c:pt idx="219">
                  <c:v>4.6607942046089888E-2</c:v>
                </c:pt>
                <c:pt idx="220">
                  <c:v>4.6623360491287194E-2</c:v>
                </c:pt>
                <c:pt idx="221">
                  <c:v>4.6638639403048812E-2</c:v>
                </c:pt>
                <c:pt idx="222">
                  <c:v>4.6653780666961214E-2</c:v>
                </c:pt>
                <c:pt idx="223">
                  <c:v>4.666878613478867E-2</c:v>
                </c:pt>
                <c:pt idx="224">
                  <c:v>4.6683657625228372E-2</c:v>
                </c:pt>
                <c:pt idx="225">
                  <c:v>4.6698396924645107E-2</c:v>
                </c:pt>
                <c:pt idx="226">
                  <c:v>4.6713005787786616E-2</c:v>
                </c:pt>
                <c:pt idx="227">
                  <c:v>4.6727485938480043E-2</c:v>
                </c:pt>
                <c:pt idx="228">
                  <c:v>4.6741839070309973E-2</c:v>
                </c:pt>
                <c:pt idx="229">
                  <c:v>4.6756066847278739E-2</c:v>
                </c:pt>
                <c:pt idx="230">
                  <c:v>4.6770170904449543E-2</c:v>
                </c:pt>
                <c:pt idx="231">
                  <c:v>4.6784152848572833E-2</c:v>
                </c:pt>
                <c:pt idx="232">
                  <c:v>4.6798014258696459E-2</c:v>
                </c:pt>
                <c:pt idx="233">
                  <c:v>4.6811756686760173E-2</c:v>
                </c:pt>
                <c:pt idx="234">
                  <c:v>4.6825381658174896E-2</c:v>
                </c:pt>
                <c:pt idx="235">
                  <c:v>4.6838890672387071E-2</c:v>
                </c:pt>
                <c:pt idx="236">
                  <c:v>4.6852285203428837E-2</c:v>
                </c:pt>
                <c:pt idx="237">
                  <c:v>4.6865566700454157E-2</c:v>
                </c:pt>
                <c:pt idx="238">
                  <c:v>4.6878736588261485E-2</c:v>
                </c:pt>
                <c:pt idx="239">
                  <c:v>4.6891796267803258E-2</c:v>
                </c:pt>
                <c:pt idx="240">
                  <c:v>4.6904747116682743E-2</c:v>
                </c:pt>
                <c:pt idx="241">
                  <c:v>4.6917590489638394E-2</c:v>
                </c:pt>
                <c:pt idx="242">
                  <c:v>4.6930327719016347E-2</c:v>
                </c:pt>
                <c:pt idx="243">
                  <c:v>4.6942960115231101E-2</c:v>
                </c:pt>
                <c:pt idx="244">
                  <c:v>4.6955488967214916E-2</c:v>
                </c:pt>
                <c:pt idx="245">
                  <c:v>4.6967915542856321E-2</c:v>
                </c:pt>
                <c:pt idx="246">
                  <c:v>4.6980241089427749E-2</c:v>
                </c:pt>
                <c:pt idx="247">
                  <c:v>4.6992466834002891E-2</c:v>
                </c:pt>
                <c:pt idx="248">
                  <c:v>4.7004593983863939E-2</c:v>
                </c:pt>
                <c:pt idx="249">
                  <c:v>4.7016623726898986E-2</c:v>
                </c:pt>
                <c:pt idx="250">
                  <c:v>4.7028557231989926E-2</c:v>
                </c:pt>
                <c:pt idx="251">
                  <c:v>4.704039564939106E-2</c:v>
                </c:pt>
                <c:pt idx="252">
                  <c:v>4.7052140111098657E-2</c:v>
                </c:pt>
                <c:pt idx="253">
                  <c:v>4.7063791731211869E-2</c:v>
                </c:pt>
                <c:pt idx="254">
                  <c:v>4.7075351606284919E-2</c:v>
                </c:pt>
                <c:pt idx="255">
                  <c:v>4.7086820815671206E-2</c:v>
                </c:pt>
                <c:pt idx="256">
                  <c:v>4.709820042185927E-2</c:v>
                </c:pt>
                <c:pt idx="257">
                  <c:v>4.7109491470800804E-2</c:v>
                </c:pt>
                <c:pt idx="258">
                  <c:v>4.7120694992231239E-2</c:v>
                </c:pt>
                <c:pt idx="259">
                  <c:v>4.7131811999982724E-2</c:v>
                </c:pt>
                <c:pt idx="260">
                  <c:v>4.7142843492290025E-2</c:v>
                </c:pt>
                <c:pt idx="261">
                  <c:v>4.715379045208927E-2</c:v>
                </c:pt>
                <c:pt idx="262">
                  <c:v>4.7164653847309938E-2</c:v>
                </c:pt>
                <c:pt idx="263">
                  <c:v>4.7175434631160147E-2</c:v>
                </c:pt>
                <c:pt idx="264">
                  <c:v>4.7186133742405469E-2</c:v>
                </c:pt>
                <c:pt idx="265">
                  <c:v>4.7196752105641421E-2</c:v>
                </c:pt>
                <c:pt idx="266">
                  <c:v>4.7207290631559824E-2</c:v>
                </c:pt>
                <c:pt idx="267">
                  <c:v>4.7217750217209212E-2</c:v>
                </c:pt>
                <c:pt idx="268">
                  <c:v>4.7228131746249298E-2</c:v>
                </c:pt>
                <c:pt idx="269">
                  <c:v>4.7238436089199885E-2</c:v>
                </c:pt>
                <c:pt idx="270">
                  <c:v>4.7248664103684189E-2</c:v>
                </c:pt>
                <c:pt idx="271">
                  <c:v>4.7258816634666773E-2</c:v>
                </c:pt>
                <c:pt idx="272">
                  <c:v>4.7268894514686272E-2</c:v>
                </c:pt>
                <c:pt idx="273">
                  <c:v>4.7278898564082926E-2</c:v>
                </c:pt>
                <c:pt idx="274">
                  <c:v>4.7288829591221215E-2</c:v>
                </c:pt>
                <c:pt idx="275">
                  <c:v>4.7298688392707594E-2</c:v>
                </c:pt>
                <c:pt idx="276">
                  <c:v>4.7308475753603516E-2</c:v>
                </c:pt>
                <c:pt idx="277">
                  <c:v>4.7318192447633765E-2</c:v>
                </c:pt>
                <c:pt idx="278">
                  <c:v>4.7327839237390423E-2</c:v>
                </c:pt>
                <c:pt idx="279">
                  <c:v>4.7337416874532343E-2</c:v>
                </c:pt>
                <c:pt idx="280">
                  <c:v>4.734692609998039E-2</c:v>
                </c:pt>
                <c:pt idx="281">
                  <c:v>4.7356367644108534E-2</c:v>
                </c:pt>
                <c:pt idx="282">
                  <c:v>4.7365742226930817E-2</c:v>
                </c:pt>
                <c:pt idx="283">
                  <c:v>4.7375050558284386E-2</c:v>
                </c:pt>
                <c:pt idx="284">
                  <c:v>4.7384293338008712E-2</c:v>
                </c:pt>
                <c:pt idx="285">
                  <c:v>4.739347125612093E-2</c:v>
                </c:pt>
                <c:pt idx="286">
                  <c:v>4.740258499298762E-2</c:v>
                </c:pt>
                <c:pt idx="287">
                  <c:v>4.7411635219492869E-2</c:v>
                </c:pt>
                <c:pt idx="288">
                  <c:v>4.7420622597202949E-2</c:v>
                </c:pt>
                <c:pt idx="289">
                  <c:v>4.7429547778527488E-2</c:v>
                </c:pt>
                <c:pt idx="290">
                  <c:v>4.7438411406877379E-2</c:v>
                </c:pt>
                <c:pt idx="291">
                  <c:v>4.7447214116819368E-2</c:v>
                </c:pt>
                <c:pt idx="292">
                  <c:v>4.745595653422751E-2</c:v>
                </c:pt>
                <c:pt idx="293">
                  <c:v>4.7464639276431506E-2</c:v>
                </c:pt>
                <c:pt idx="294">
                  <c:v>4.7473262952362004E-2</c:v>
                </c:pt>
                <c:pt idx="295">
                  <c:v>4.7481828162692967E-2</c:v>
                </c:pt>
                <c:pt idx="296">
                  <c:v>4.7490335499981155E-2</c:v>
                </c:pt>
                <c:pt idx="297">
                  <c:v>4.7498785548802762E-2</c:v>
                </c:pt>
                <c:pt idx="298">
                  <c:v>4.7507178885887312E-2</c:v>
                </c:pt>
                <c:pt idx="299">
                  <c:v>4.7515516080248892E-2</c:v>
                </c:pt>
                <c:pt idx="300">
                  <c:v>4.7523797693314718E-2</c:v>
                </c:pt>
                <c:pt idx="301">
                  <c:v>4.7532024279051219E-2</c:v>
                </c:pt>
                <c:pt idx="302">
                  <c:v>4.754019638408747E-2</c:v>
                </c:pt>
                <c:pt idx="303">
                  <c:v>4.7548314547836354E-2</c:v>
                </c:pt>
                <c:pt idx="304">
                  <c:v>4.7556379302613201E-2</c:v>
                </c:pt>
                <c:pt idx="305">
                  <c:v>4.7564391173752163E-2</c:v>
                </c:pt>
                <c:pt idx="306">
                  <c:v>4.7572350679720293E-2</c:v>
                </c:pt>
                <c:pt idx="307">
                  <c:v>4.7580258332229348E-2</c:v>
                </c:pt>
                <c:pt idx="308">
                  <c:v>4.7588114636345491E-2</c:v>
                </c:pt>
                <c:pt idx="309">
                  <c:v>4.7595920090596801E-2</c:v>
                </c:pt>
                <c:pt idx="310">
                  <c:v>4.7603675187078746E-2</c:v>
                </c:pt>
                <c:pt idx="311">
                  <c:v>4.7611380411557581E-2</c:v>
                </c:pt>
                <c:pt idx="312">
                  <c:v>4.7619036243571826E-2</c:v>
                </c:pt>
                <c:pt idx="313">
                  <c:v>4.7626643156531652E-2</c:v>
                </c:pt>
                <c:pt idx="314">
                  <c:v>4.7634201617816584E-2</c:v>
                </c:pt>
                <c:pt idx="315">
                  <c:v>4.7641712088871128E-2</c:v>
                </c:pt>
                <c:pt idx="316">
                  <c:v>4.7649175025298758E-2</c:v>
                </c:pt>
                <c:pt idx="317">
                  <c:v>4.7656590876953973E-2</c:v>
                </c:pt>
                <c:pt idx="318">
                  <c:v>4.7663960088032725E-2</c:v>
                </c:pt>
                <c:pt idx="319">
                  <c:v>4.7671283097161149E-2</c:v>
                </c:pt>
                <c:pt idx="320">
                  <c:v>4.7678560337482523E-2</c:v>
                </c:pt>
                <c:pt idx="321">
                  <c:v>4.7685792236742706E-2</c:v>
                </c:pt>
                <c:pt idx="322">
                  <c:v>4.7692979217373928E-2</c:v>
                </c:pt>
                <c:pt idx="323">
                  <c:v>4.7700121696577107E-2</c:v>
                </c:pt>
                <c:pt idx="324">
                  <c:v>4.7707220086402491E-2</c:v>
                </c:pt>
                <c:pt idx="325">
                  <c:v>4.7714274793828948E-2</c:v>
                </c:pt>
                <c:pt idx="326">
                  <c:v>4.7721286220841735E-2</c:v>
                </c:pt>
                <c:pt idx="327">
                  <c:v>4.7728254764508884E-2</c:v>
                </c:pt>
                <c:pt idx="328">
                  <c:v>4.7735180817056119E-2</c:v>
                </c:pt>
                <c:pt idx="329">
                  <c:v>4.7742064765940444E-2</c:v>
                </c:pt>
                <c:pt idx="330">
                  <c:v>4.7748906993922445E-2</c:v>
                </c:pt>
                <c:pt idx="331">
                  <c:v>4.7755707879137181E-2</c:v>
                </c:pt>
                <c:pt idx="332">
                  <c:v>4.7762467795163868E-2</c:v>
                </c:pt>
                <c:pt idx="333">
                  <c:v>4.7769187111094312E-2</c:v>
                </c:pt>
                <c:pt idx="334">
                  <c:v>4.7775866191600014E-2</c:v>
                </c:pt>
                <c:pt idx="335">
                  <c:v>4.7782505396998229E-2</c:v>
                </c:pt>
                <c:pt idx="336">
                  <c:v>4.7789105083316685E-2</c:v>
                </c:pt>
                <c:pt idx="337">
                  <c:v>4.779566560235729E-2</c:v>
                </c:pt>
                <c:pt idx="338">
                  <c:v>4.78021873017586E-2</c:v>
                </c:pt>
                <c:pt idx="339">
                  <c:v>4.7808670525057245E-2</c:v>
                </c:pt>
                <c:pt idx="340">
                  <c:v>4.7815115611748255E-2</c:v>
                </c:pt>
                <c:pt idx="341">
                  <c:v>4.7821522897344301E-2</c:v>
                </c:pt>
                <c:pt idx="342">
                  <c:v>4.7827892713433934E-2</c:v>
                </c:pt>
                <c:pt idx="343">
                  <c:v>4.7834225387738794E-2</c:v>
                </c:pt>
                <c:pt idx="344">
                  <c:v>4.7840521244169786E-2</c:v>
                </c:pt>
                <c:pt idx="345">
                  <c:v>4.7846780602882333E-2</c:v>
                </c:pt>
                <c:pt idx="346">
                  <c:v>4.7853003780330652E-2</c:v>
                </c:pt>
                <c:pt idx="347">
                  <c:v>4.785919108932106E-2</c:v>
                </c:pt>
                <c:pt idx="348">
                  <c:v>4.7865342839064386E-2</c:v>
                </c:pt>
                <c:pt idx="349">
                  <c:v>4.7871459335227518E-2</c:v>
                </c:pt>
                <c:pt idx="350">
                  <c:v>4.7877540879984012E-2</c:v>
                </c:pt>
                <c:pt idx="351">
                  <c:v>4.7883587772063828E-2</c:v>
                </c:pt>
                <c:pt idx="352">
                  <c:v>4.7889600306802289E-2</c:v>
                </c:pt>
                <c:pt idx="353">
                  <c:v>4.7895578776188115E-2</c:v>
                </c:pt>
                <c:pt idx="354">
                  <c:v>4.7901523468910745E-2</c:v>
                </c:pt>
                <c:pt idx="355">
                  <c:v>4.7907434670406777E-2</c:v>
                </c:pt>
                <c:pt idx="356">
                  <c:v>4.7913312662905633E-2</c:v>
                </c:pt>
                <c:pt idx="357">
                  <c:v>4.7919157725474525E-2</c:v>
                </c:pt>
                <c:pt idx="358">
                  <c:v>4.7924970134062585E-2</c:v>
                </c:pt>
                <c:pt idx="359">
                  <c:v>4.7930750161544307E-2</c:v>
                </c:pt>
                <c:pt idx="360">
                  <c:v>4.7936498077762235E-2</c:v>
                </c:pt>
                <c:pt idx="361">
                  <c:v>4.7942214149568986E-2</c:v>
                </c:pt>
                <c:pt idx="362">
                  <c:v>4.7947898640868521E-2</c:v>
                </c:pt>
                <c:pt idx="363">
                  <c:v>4.7953551812656765E-2</c:v>
                </c:pt>
                <c:pt idx="364">
                  <c:v>4.7959173923061552E-2</c:v>
                </c:pt>
                <c:pt idx="365">
                  <c:v>4.7964765227381932E-2</c:v>
                </c:pt>
                <c:pt idx="366">
                  <c:v>4.7970325978126796E-2</c:v>
                </c:pt>
                <c:pt idx="367">
                  <c:v>4.7975856425052872E-2</c:v>
                </c:pt>
                <c:pt idx="368">
                  <c:v>4.7981356815202193E-2</c:v>
                </c:pt>
                <c:pt idx="369">
                  <c:v>4.7986827392938768E-2</c:v>
                </c:pt>
                <c:pt idx="370">
                  <c:v>4.7992268399984883E-2</c:v>
                </c:pt>
                <c:pt idx="371">
                  <c:v>4.7997680075456621E-2</c:v>
                </c:pt>
                <c:pt idx="372">
                  <c:v>4.8003062655898945E-2</c:v>
                </c:pt>
                <c:pt idx="373">
                  <c:v>4.800841637532012E-2</c:v>
                </c:pt>
                <c:pt idx="374">
                  <c:v>4.801374146522569E-2</c:v>
                </c:pt>
                <c:pt idx="375">
                  <c:v>4.801903815465175E-2</c:v>
                </c:pt>
                <c:pt idx="376">
                  <c:v>4.8024306670197893E-2</c:v>
                </c:pt>
                <c:pt idx="377">
                  <c:v>4.8029547236059435E-2</c:v>
                </c:pt>
                <c:pt idx="378">
                  <c:v>4.8034760074059275E-2</c:v>
                </c:pt>
                <c:pt idx="379">
                  <c:v>4.8039945403679167E-2</c:v>
                </c:pt>
                <c:pt idx="380">
                  <c:v>4.8045103442090543E-2</c:v>
                </c:pt>
                <c:pt idx="381">
                  <c:v>4.8050234404184787E-2</c:v>
                </c:pt>
                <c:pt idx="382">
                  <c:v>4.8055338502603157E-2</c:v>
                </c:pt>
                <c:pt idx="383">
                  <c:v>4.8060415947766076E-2</c:v>
                </c:pt>
                <c:pt idx="384">
                  <c:v>4.8065466947902098E-2</c:v>
                </c:pt>
                <c:pt idx="385">
                  <c:v>4.8070491709076374E-2</c:v>
                </c:pt>
                <c:pt idx="386">
                  <c:v>4.8075490435218672E-2</c:v>
                </c:pt>
                <c:pt idx="387">
                  <c:v>4.8080463328150927E-2</c:v>
                </c:pt>
                <c:pt idx="388">
                  <c:v>4.8085410587614445E-2</c:v>
                </c:pt>
                <c:pt idx="389">
                  <c:v>4.8090332411296677E-2</c:v>
                </c:pt>
                <c:pt idx="390">
                  <c:v>4.809522899485745E-2</c:v>
                </c:pt>
                <c:pt idx="391">
                  <c:v>4.8100100531955001E-2</c:v>
                </c:pt>
                <c:pt idx="392">
                  <c:v>4.8104947214271443E-2</c:v>
                </c:pt>
                <c:pt idx="393">
                  <c:v>4.8109769231537924E-2</c:v>
                </c:pt>
                <c:pt idx="394">
                  <c:v>4.8114566771559404E-2</c:v>
                </c:pt>
                <c:pt idx="395">
                  <c:v>4.8119340020239001E-2</c:v>
                </c:pt>
                <c:pt idx="396">
                  <c:v>4.8124089161602039E-2</c:v>
                </c:pt>
                <c:pt idx="397">
                  <c:v>4.8128814377819663E-2</c:v>
                </c:pt>
                <c:pt idx="398">
                  <c:v>4.8133515849232172E-2</c:v>
                </c:pt>
                <c:pt idx="399">
                  <c:v>4.813819375437195E-2</c:v>
                </c:pt>
                <c:pt idx="400">
                  <c:v>4.8142848269986008E-2</c:v>
                </c:pt>
                <c:pt idx="401">
                  <c:v>4.8147479571058367E-2</c:v>
                </c:pt>
                <c:pt idx="402">
                  <c:v>4.8152087830831858E-2</c:v>
                </c:pt>
                <c:pt idx="403">
                  <c:v>4.8156673220829789E-2</c:v>
                </c:pt>
                <c:pt idx="404">
                  <c:v>4.8161235910877245E-2</c:v>
                </c:pt>
                <c:pt idx="405">
                  <c:v>4.8165776069121993E-2</c:v>
                </c:pt>
                <c:pt idx="406">
                  <c:v>4.8170293862055187E-2</c:v>
                </c:pt>
                <c:pt idx="407">
                  <c:v>4.8174789454531707E-2</c:v>
                </c:pt>
                <c:pt idx="408">
                  <c:v>4.817926300979021E-2</c:v>
                </c:pt>
                <c:pt idx="409">
                  <c:v>4.8183714689472877E-2</c:v>
                </c:pt>
                <c:pt idx="410">
                  <c:v>4.818814465364489E-2</c:v>
                </c:pt>
                <c:pt idx="411">
                  <c:v>4.8192553060813638E-2</c:v>
                </c:pt>
                <c:pt idx="412">
                  <c:v>4.8196940067947586E-2</c:v>
                </c:pt>
                <c:pt idx="413">
                  <c:v>4.820130583049493E-2</c:v>
                </c:pt>
                <c:pt idx="414">
                  <c:v>4.8205650502401942E-2</c:v>
                </c:pt>
                <c:pt idx="415">
                  <c:v>4.8209974236131097E-2</c:v>
                </c:pt>
                <c:pt idx="416">
                  <c:v>4.8214277182678858E-2</c:v>
                </c:pt>
                <c:pt idx="417">
                  <c:v>4.8218559491593295E-2</c:v>
                </c:pt>
                <c:pt idx="418">
                  <c:v>4.8222821310991405E-2</c:v>
                </c:pt>
                <c:pt idx="419">
                  <c:v>4.8227062787576144E-2</c:v>
                </c:pt>
                <c:pt idx="420">
                  <c:v>4.8231284066653342E-2</c:v>
                </c:pt>
                <c:pt idx="421">
                  <c:v>4.8235485292148238E-2</c:v>
                </c:pt>
                <c:pt idx="422">
                  <c:v>4.8239666606621816E-2</c:v>
                </c:pt>
                <c:pt idx="423">
                  <c:v>4.8243828151287013E-2</c:v>
                </c:pt>
                <c:pt idx="424">
                  <c:v>4.8247970066024548E-2</c:v>
                </c:pt>
                <c:pt idx="425">
                  <c:v>4.8252092489398608E-2</c:v>
                </c:pt>
                <c:pt idx="426">
                  <c:v>4.8256195558672312E-2</c:v>
                </c:pt>
                <c:pt idx="427">
                  <c:v>4.8260279409822963E-2</c:v>
                </c:pt>
                <c:pt idx="428">
                  <c:v>4.8264344177557025E-2</c:v>
                </c:pt>
                <c:pt idx="429">
                  <c:v>4.8268389995324949E-2</c:v>
                </c:pt>
                <c:pt idx="430">
                  <c:v>4.8272416995335826E-2</c:v>
                </c:pt>
                <c:pt idx="431">
                  <c:v>4.8276425308571715E-2</c:v>
                </c:pt>
                <c:pt idx="432">
                  <c:v>4.8280415064801872E-2</c:v>
                </c:pt>
                <c:pt idx="433">
                  <c:v>4.828438639259678E-2</c:v>
                </c:pt>
                <c:pt idx="434">
                  <c:v>4.8288339419341943E-2</c:v>
                </c:pt>
                <c:pt idx="435">
                  <c:v>4.8292274271251504E-2</c:v>
                </c:pt>
                <c:pt idx="436">
                  <c:v>4.8296191073381671E-2</c:v>
                </c:pt>
                <c:pt idx="437">
                  <c:v>4.8300089949643951E-2</c:v>
                </c:pt>
                <c:pt idx="438">
                  <c:v>4.8303971022818276E-2</c:v>
                </c:pt>
                <c:pt idx="439">
                  <c:v>4.8307834414565841E-2</c:v>
                </c:pt>
                <c:pt idx="440">
                  <c:v>4.8311680245441836E-2</c:v>
                </c:pt>
                <c:pt idx="441">
                  <c:v>4.8315508634907953E-2</c:v>
                </c:pt>
                <c:pt idx="442">
                  <c:v>4.8319319701344808E-2</c:v>
                </c:pt>
                <c:pt idx="443">
                  <c:v>4.8323113562064125E-2</c:v>
                </c:pt>
                <c:pt idx="444">
                  <c:v>4.8326890333320729E-2</c:v>
                </c:pt>
                <c:pt idx="445">
                  <c:v>4.8330650130324504E-2</c:v>
                </c:pt>
                <c:pt idx="446">
                  <c:v>4.8334393067252034E-2</c:v>
                </c:pt>
                <c:pt idx="447">
                  <c:v>4.8338119257258186E-2</c:v>
                </c:pt>
                <c:pt idx="448">
                  <c:v>4.8341828812487518E-2</c:v>
                </c:pt>
                <c:pt idx="449">
                  <c:v>4.834552184408554E-2</c:v>
                </c:pt>
                <c:pt idx="450">
                  <c:v>4.8349198462209794E-2</c:v>
                </c:pt>
                <c:pt idx="451">
                  <c:v>4.8352858776040814E-2</c:v>
                </c:pt>
                <c:pt idx="452">
                  <c:v>4.8356502893792938E-2</c:v>
                </c:pt>
                <c:pt idx="453">
                  <c:v>4.836013092272496E-2</c:v>
                </c:pt>
                <c:pt idx="454">
                  <c:v>4.8363742969150678E-2</c:v>
                </c:pt>
                <c:pt idx="455">
                  <c:v>4.836733913844924E-2</c:v>
                </c:pt>
                <c:pt idx="456">
                  <c:v>4.8370919535075448E-2</c:v>
                </c:pt>
                <c:pt idx="457">
                  <c:v>4.8374484262569815E-2</c:v>
                </c:pt>
                <c:pt idx="458">
                  <c:v>4.8378033423568577E-2</c:v>
                </c:pt>
                <c:pt idx="459">
                  <c:v>4.8381567119813521E-2</c:v>
                </c:pt>
                <c:pt idx="460">
                  <c:v>4.8385085452161761E-2</c:v>
                </c:pt>
                <c:pt idx="461">
                  <c:v>4.8388588520595237E-2</c:v>
                </c:pt>
                <c:pt idx="462">
                  <c:v>4.8392076424230317E-2</c:v>
                </c:pt>
                <c:pt idx="463">
                  <c:v>4.8395549261327012E-2</c:v>
                </c:pt>
                <c:pt idx="464">
                  <c:v>4.8399007129298288E-2</c:v>
                </c:pt>
                <c:pt idx="465">
                  <c:v>4.8402450124719151E-2</c:v>
                </c:pt>
                <c:pt idx="466">
                  <c:v>4.8405878343335637E-2</c:v>
                </c:pt>
                <c:pt idx="467">
                  <c:v>4.8409291880073674E-2</c:v>
                </c:pt>
                <c:pt idx="468">
                  <c:v>4.8412690829047873E-2</c:v>
                </c:pt>
                <c:pt idx="469">
                  <c:v>4.8416075283570163E-2</c:v>
                </c:pt>
                <c:pt idx="470">
                  <c:v>4.8419445336158308E-2</c:v>
                </c:pt>
                <c:pt idx="471">
                  <c:v>4.8422801078544388E-2</c:v>
                </c:pt>
                <c:pt idx="472">
                  <c:v>4.8426142601683063E-2</c:v>
                </c:pt>
                <c:pt idx="473">
                  <c:v>4.8429469995759845E-2</c:v>
                </c:pt>
                <c:pt idx="474">
                  <c:v>4.8432783350199168E-2</c:v>
                </c:pt>
                <c:pt idx="475">
                  <c:v>4.8436082753672428E-2</c:v>
                </c:pt>
                <c:pt idx="476">
                  <c:v>4.8439368294105896E-2</c:v>
                </c:pt>
                <c:pt idx="477">
                  <c:v>4.8442640058688487E-2</c:v>
                </c:pt>
                <c:pt idx="478">
                  <c:v>4.8445898133879506E-2</c:v>
                </c:pt>
                <c:pt idx="479">
                  <c:v>4.8449142605416294E-2</c:v>
                </c:pt>
                <c:pt idx="480">
                  <c:v>4.8452373558321681E-2</c:v>
                </c:pt>
                <c:pt idx="481">
                  <c:v>4.8455591076911449E-2</c:v>
                </c:pt>
                <c:pt idx="482">
                  <c:v>4.8458795244801671E-2</c:v>
                </c:pt>
                <c:pt idx="483">
                  <c:v>4.8461986144915953E-2</c:v>
                </c:pt>
                <c:pt idx="484">
                  <c:v>4.846516385949258E-2</c:v>
                </c:pt>
                <c:pt idx="485">
                  <c:v>4.8468328470091554E-2</c:v>
                </c:pt>
                <c:pt idx="486">
                  <c:v>4.8471480057601657E-2</c:v>
                </c:pt>
                <c:pt idx="487">
                  <c:v>4.8474618702247244E-2</c:v>
                </c:pt>
                <c:pt idx="488">
                  <c:v>4.8477744483595098E-2</c:v>
                </c:pt>
                <c:pt idx="489">
                  <c:v>4.8480857480561156E-2</c:v>
                </c:pt>
                <c:pt idx="490">
                  <c:v>4.848395777141716E-2</c:v>
                </c:pt>
                <c:pt idx="491">
                  <c:v>4.8487045433797164E-2</c:v>
                </c:pt>
                <c:pt idx="492">
                  <c:v>4.8490120544704078E-2</c:v>
                </c:pt>
                <c:pt idx="493">
                  <c:v>4.8493183180516035E-2</c:v>
                </c:pt>
                <c:pt idx="494">
                  <c:v>4.8496233416992725E-2</c:v>
                </c:pt>
                <c:pt idx="495">
                  <c:v>4.8499271329281626E-2</c:v>
                </c:pt>
                <c:pt idx="496">
                  <c:v>4.850229699192421E-2</c:v>
                </c:pt>
                <c:pt idx="497">
                  <c:v>4.8505310478861988E-2</c:v>
                </c:pt>
                <c:pt idx="498">
                  <c:v>4.850831186344258E-2</c:v>
                </c:pt>
                <c:pt idx="499">
                  <c:v>4.8511301218425666E-2</c:v>
                </c:pt>
                <c:pt idx="500">
                  <c:v>4.851427861598881E-2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0D-4273-92AF-858F1FDD3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706112"/>
        <c:axId val="1644689792"/>
      </c:lineChart>
      <c:catAx>
        <c:axId val="164470611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979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446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Fitted Spot and Forward yield curves (Goverment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Goverment'!$J$80:$K$80</c:f>
              <c:strCache>
                <c:ptCount val="2"/>
                <c:pt idx="0">
                  <c:v>Forward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'NSS Goverment'!$L$2:$CK$2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Goverment'!$L$82:$CK$82</c:f>
              <c:numCache>
                <c:formatCode>General</c:formatCode>
                <c:ptCount val="78"/>
                <c:pt idx="2" formatCode="0.00%">
                  <c:v>1.4554587126496266E-2</c:v>
                </c:pt>
                <c:pt idx="3" formatCode="0.00%">
                  <c:v>1.5616380335399027E-2</c:v>
                </c:pt>
                <c:pt idx="4" formatCode="0.00%">
                  <c:v>1.6625259276050297E-2</c:v>
                </c:pt>
                <c:pt idx="5" formatCode="0.00%">
                  <c:v>1.7894185769266935E-2</c:v>
                </c:pt>
                <c:pt idx="6" formatCode="0.00%">
                  <c:v>1.93544611524048E-2</c:v>
                </c:pt>
                <c:pt idx="7" formatCode="0.00%">
                  <c:v>2.094926790581475E-2</c:v>
                </c:pt>
                <c:pt idx="8" formatCode="0.00%">
                  <c:v>2.2631875442195692E-2</c:v>
                </c:pt>
                <c:pt idx="9" formatCode="0.00%">
                  <c:v>2.4364108595605227E-2</c:v>
                </c:pt>
                <c:pt idx="10" formatCode="0.00%">
                  <c:v>2.611503769087653E-2</c:v>
                </c:pt>
                <c:pt idx="11" formatCode="0.00%">
                  <c:v>2.7859856659642634E-2</c:v>
                </c:pt>
                <c:pt idx="12" formatCode="0.00%">
                  <c:v>2.9578921561643323E-2</c:v>
                </c:pt>
                <c:pt idx="13" formatCode="0.00%">
                  <c:v>3.1256926497436943E-2</c:v>
                </c:pt>
                <c:pt idx="14" formatCode="0.00%">
                  <c:v>3.2882197575721195E-2</c:v>
                </c:pt>
                <c:pt idx="15" formatCode="0.00%">
                  <c:v>3.4446088556885357E-2</c:v>
                </c:pt>
                <c:pt idx="16" formatCode="0.00%">
                  <c:v>3.5942464204475222E-2</c:v>
                </c:pt>
                <c:pt idx="17" formatCode="0.00%">
                  <c:v>3.7367259363763949E-2</c:v>
                </c:pt>
                <c:pt idx="18" formatCode="0.00%">
                  <c:v>3.8718103444574714E-2</c:v>
                </c:pt>
                <c:pt idx="19" formatCode="0.00%">
                  <c:v>3.9994001383014677E-2</c:v>
                </c:pt>
                <c:pt idx="20" formatCode="0.00%">
                  <c:v>4.1195063345572436E-2</c:v>
                </c:pt>
                <c:pt idx="21" formatCode="0.00%">
                  <c:v>4.2322276458060637E-2</c:v>
                </c:pt>
                <c:pt idx="22" formatCode="0.00%">
                  <c:v>4.3377312720969563E-2</c:v>
                </c:pt>
                <c:pt idx="23" formatCode="0.00%">
                  <c:v>4.4362368034838173E-2</c:v>
                </c:pt>
                <c:pt idx="24" formatCode="0.00%">
                  <c:v>4.5280027922323773E-2</c:v>
                </c:pt>
                <c:pt idx="25" formatCode="0.00%">
                  <c:v>4.613315611213209E-2</c:v>
                </c:pt>
                <c:pt idx="26" formatCode="0.00%">
                  <c:v>4.6924802655447628E-2</c:v>
                </c:pt>
                <c:pt idx="27" formatCode="0.00%">
                  <c:v>4.7658128687743107E-2</c:v>
                </c:pt>
                <c:pt idx="28" formatCode="0.00%">
                  <c:v>4.833634533571507E-2</c:v>
                </c:pt>
                <c:pt idx="29" formatCode="0.00%">
                  <c:v>4.8962664607507422E-2</c:v>
                </c:pt>
                <c:pt idx="30" formatCode="0.00%">
                  <c:v>4.9540260400362301E-2</c:v>
                </c:pt>
                <c:pt idx="31" formatCode="0.00%">
                  <c:v>5.0072238018292303E-2</c:v>
                </c:pt>
                <c:pt idx="32" formatCode="0.00%">
                  <c:v>5.0561610817809077E-2</c:v>
                </c:pt>
                <c:pt idx="33" formatCode="0.00%">
                  <c:v>5.1011282796324942E-2</c:v>
                </c:pt>
                <c:pt idx="34" formatCode="0.00%">
                  <c:v>5.1424036108679072E-2</c:v>
                </c:pt>
                <c:pt idx="35" formatCode="0.00%">
                  <c:v>5.1802522645722382E-2</c:v>
                </c:pt>
                <c:pt idx="36" formatCode="0.00%">
                  <c:v>5.2149258937655318E-2</c:v>
                </c:pt>
                <c:pt idx="37" formatCode="0.00%">
                  <c:v>5.2466623756195929E-2</c:v>
                </c:pt>
                <c:pt idx="38" formatCode="0.00%">
                  <c:v>5.2756857885792208E-2</c:v>
                </c:pt>
                <c:pt idx="39" formatCode="0.00%">
                  <c:v>5.3022065617155612E-2</c:v>
                </c:pt>
                <c:pt idx="40" formatCode="0.00%">
                  <c:v>5.3264217587819296E-2</c:v>
                </c:pt>
                <c:pt idx="41" formatCode="0.00%">
                  <c:v>5.3485154655444456E-2</c:v>
                </c:pt>
                <c:pt idx="42" formatCode="0.00%">
                  <c:v>5.368659254235908E-2</c:v>
                </c:pt>
                <c:pt idx="43" formatCode="0.00%">
                  <c:v>5.3870127034521653E-2</c:v>
                </c:pt>
                <c:pt idx="44" formatCode="0.00%">
                  <c:v>5.4037239556333994E-2</c:v>
                </c:pt>
                <c:pt idx="45" formatCode="0.00%">
                  <c:v>5.4189302975266251E-2</c:v>
                </c:pt>
                <c:pt idx="46" formatCode="0.00%">
                  <c:v>5.4327587517780662E-2</c:v>
                </c:pt>
                <c:pt idx="47" formatCode="0.00%">
                  <c:v>5.4453266701384617E-2</c:v>
                </c:pt>
                <c:pt idx="48" formatCode="0.00%">
                  <c:v>5.4567423207143806E-2</c:v>
                </c:pt>
                <c:pt idx="49" formatCode="0.00%">
                  <c:v>5.4671054633635308E-2</c:v>
                </c:pt>
                <c:pt idx="50" formatCode="0.00%">
                  <c:v>5.4765079086895874E-2</c:v>
                </c:pt>
                <c:pt idx="51" formatCode="0.00%">
                  <c:v>5.4850340572480061E-2</c:v>
                </c:pt>
                <c:pt idx="52" formatCode="0.00%">
                  <c:v>5.4927614165250604E-2</c:v>
                </c:pt>
                <c:pt idx="53" formatCode="0.00%">
                  <c:v>5.4997610940230812E-2</c:v>
                </c:pt>
                <c:pt idx="54" formatCode="0.00%">
                  <c:v>5.5060982654307811E-2</c:v>
                </c:pt>
                <c:pt idx="55" formatCode="0.00%">
                  <c:v>5.5118326173732024E-2</c:v>
                </c:pt>
                <c:pt idx="56" formatCode="0.00%">
                  <c:v>5.5170187646528479E-2</c:v>
                </c:pt>
                <c:pt idx="57" formatCode="0.00%">
                  <c:v>5.521706642218005E-2</c:v>
                </c:pt>
                <c:pt idx="58" formatCode="0.00%">
                  <c:v>5.5259418723581311E-2</c:v>
                </c:pt>
                <c:pt idx="59" formatCode="0.00%">
                  <c:v>5.5297661078256732E-2</c:v>
                </c:pt>
                <c:pt idx="60" formatCode="0.00%">
                  <c:v>5.5332173517288696E-2</c:v>
                </c:pt>
                <c:pt idx="61" formatCode="0.00%">
                  <c:v>5.5363302551375559E-2</c:v>
                </c:pt>
                <c:pt idx="62" formatCode="0.00%">
                  <c:v>5.53913639343937E-2</c:v>
                </c:pt>
                <c:pt idx="63" formatCode="0.00%">
                  <c:v>5.5416645225132788E-2</c:v>
                </c:pt>
                <c:pt idx="64" formatCode="0.00%">
                  <c:v>5.5439408158028058E-2</c:v>
                </c:pt>
                <c:pt idx="65" formatCode="0.00%">
                  <c:v>5.5459890834001824E-2</c:v>
                </c:pt>
                <c:pt idx="66" formatCode="0.00%">
                  <c:v>5.5478309742206022E-2</c:v>
                </c:pt>
                <c:pt idx="67" formatCode="0.00%">
                  <c:v>5.5494861623329061E-2</c:v>
                </c:pt>
                <c:pt idx="68" formatCode="0.00%">
                  <c:v>5.5509725184849756E-2</c:v>
                </c:pt>
                <c:pt idx="69" formatCode="0.00%">
                  <c:v>5.5523062678278778E-2</c:v>
                </c:pt>
                <c:pt idx="70" formatCode="0.00%">
                  <c:v>5.5535021347954849E-2</c:v>
                </c:pt>
                <c:pt idx="71" formatCode="0.00%">
                  <c:v>5.5545734760478416E-2</c:v>
                </c:pt>
                <c:pt idx="72" formatCode="0.00%">
                  <c:v>5.5555324023614627E-2</c:v>
                </c:pt>
                <c:pt idx="73" formatCode="0.00%">
                  <c:v>5.556389890290836E-2</c:v>
                </c:pt>
                <c:pt idx="74" formatCode="0.00%">
                  <c:v>5.5571558843558577E-2</c:v>
                </c:pt>
                <c:pt idx="75" formatCode="0.00%">
                  <c:v>5.5578393905055812E-2</c:v>
                </c:pt>
                <c:pt idx="76" formatCode="0.00%">
                  <c:v>5.5584485615431278E-2</c:v>
                </c:pt>
                <c:pt idx="77" formatCode="0.00%">
                  <c:v>5.558990775122119E-2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C-489C-9E7C-5D7C10FA7885}"/>
            </c:ext>
          </c:extLst>
        </c:ser>
        <c:ser>
          <c:idx val="1"/>
          <c:order val="1"/>
          <c:tx>
            <c:strRef>
              <c:f>'NSS Goverment'!$K$78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'NSS Goverment'!$L$2:$CK$2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Goverment'!$L$78:$CK$78</c:f>
              <c:numCache>
                <c:formatCode>0.00%</c:formatCode>
                <c:ptCount val="78"/>
                <c:pt idx="0">
                  <c:v>1.5529446517495061E-2</c:v>
                </c:pt>
                <c:pt idx="1">
                  <c:v>1.4725990403566053E-2</c:v>
                </c:pt>
                <c:pt idx="2">
                  <c:v>1.4879436232653665E-2</c:v>
                </c:pt>
                <c:pt idx="3">
                  <c:v>1.5171087751184311E-2</c:v>
                </c:pt>
                <c:pt idx="4">
                  <c:v>1.5577405394840455E-2</c:v>
                </c:pt>
                <c:pt idx="5">
                  <c:v>1.6077976692702285E-2</c:v>
                </c:pt>
                <c:pt idx="6">
                  <c:v>1.6655133820386362E-2</c:v>
                </c:pt>
                <c:pt idx="7">
                  <c:v>1.7293616162044036E-2</c:v>
                </c:pt>
                <c:pt idx="8">
                  <c:v>1.7980272695201128E-2</c:v>
                </c:pt>
                <c:pt idx="9">
                  <c:v>1.8703799602288781E-2</c:v>
                </c:pt>
                <c:pt idx="10">
                  <c:v>1.9454509036059713E-2</c:v>
                </c:pt>
                <c:pt idx="11">
                  <c:v>2.0224125430359719E-2</c:v>
                </c:pt>
                <c:pt idx="12">
                  <c:v>2.1005606159559848E-2</c:v>
                </c:pt>
                <c:pt idx="13">
                  <c:v>2.1792983715235283E-2</c:v>
                </c:pt>
                <c:pt idx="14">
                  <c:v>2.2581226892630899E-2</c:v>
                </c:pt>
                <c:pt idx="15">
                  <c:v>2.3366118766724491E-2</c:v>
                </c:pt>
                <c:pt idx="16">
                  <c:v>2.4144149492412906E-2</c:v>
                </c:pt>
                <c:pt idx="17">
                  <c:v>2.4912422189164146E-2</c:v>
                </c:pt>
                <c:pt idx="18">
                  <c:v>2.5668570370656105E-2</c:v>
                </c:pt>
                <c:pt idx="19">
                  <c:v>2.6410685557345888E-2</c:v>
                </c:pt>
                <c:pt idx="20">
                  <c:v>2.71372538671509E-2</c:v>
                </c:pt>
                <c:pt idx="21">
                  <c:v>2.7847100518747926E-2</c:v>
                </c:pt>
                <c:pt idx="22">
                  <c:v>2.8539341305435464E-2</c:v>
                </c:pt>
                <c:pt idx="23">
                  <c:v>2.9213340206849417E-2</c:v>
                </c:pt>
                <c:pt idx="24">
                  <c:v>2.9868672402668682E-2</c:v>
                </c:pt>
                <c:pt idx="25">
                  <c:v>3.0505092038209097E-2</c:v>
                </c:pt>
                <c:pt idx="26">
                  <c:v>3.1122504167736938E-2</c:v>
                </c:pt>
                <c:pt idx="27">
                  <c:v>3.1720940368551886E-2</c:v>
                </c:pt>
                <c:pt idx="28">
                  <c:v>3.2300537578382332E-2</c:v>
                </c:pt>
                <c:pt idx="29">
                  <c:v>3.2861519761280704E-2</c:v>
                </c:pt>
                <c:pt idx="30">
                  <c:v>3.3404182053782747E-2</c:v>
                </c:pt>
                <c:pt idx="31">
                  <c:v>3.3928877084291507E-2</c:v>
                </c:pt>
                <c:pt idx="32">
                  <c:v>3.4436003195078932E-2</c:v>
                </c:pt>
                <c:pt idx="33">
                  <c:v>3.4925994328507876E-2</c:v>
                </c:pt>
                <c:pt idx="34">
                  <c:v>3.5399311367547329E-2</c:v>
                </c:pt>
                <c:pt idx="35">
                  <c:v>3.5856434745812266E-2</c:v>
                </c:pt>
                <c:pt idx="36">
                  <c:v>3.629785816458439E-2</c:v>
                </c:pt>
                <c:pt idx="37">
                  <c:v>3.6724083273899408E-2</c:v>
                </c:pt>
                <c:pt idx="38">
                  <c:v>3.7135615192116396E-2</c:v>
                </c:pt>
                <c:pt idx="39">
                  <c:v>3.7532958753681442E-2</c:v>
                </c:pt>
                <c:pt idx="40">
                  <c:v>3.791661538829371E-2</c:v>
                </c:pt>
                <c:pt idx="41">
                  <c:v>3.8287080546586284E-2</c:v>
                </c:pt>
                <c:pt idx="42">
                  <c:v>3.864484159792942E-2</c:v>
                </c:pt>
                <c:pt idx="43">
                  <c:v>3.8990376135214347E-2</c:v>
                </c:pt>
                <c:pt idx="44">
                  <c:v>3.9324150629624591E-2</c:v>
                </c:pt>
                <c:pt idx="45">
                  <c:v>3.9646619385577703E-2</c:v>
                </c:pt>
                <c:pt idx="46">
                  <c:v>3.995822375233684E-2</c:v>
                </c:pt>
                <c:pt idx="47">
                  <c:v>4.0259391554347358E-2</c:v>
                </c:pt>
                <c:pt idx="48">
                  <c:v>4.0550536707239911E-2</c:v>
                </c:pt>
                <c:pt idx="49">
                  <c:v>4.0832058990734367E-2</c:v>
                </c:pt>
                <c:pt idx="50">
                  <c:v>4.1104343953449779E-2</c:v>
                </c:pt>
                <c:pt idx="51">
                  <c:v>4.136776292793494E-2</c:v>
                </c:pt>
                <c:pt idx="52">
                  <c:v>4.1622673137136738E-2</c:v>
                </c:pt>
                <c:pt idx="53">
                  <c:v>4.1869417876067655E-2</c:v>
                </c:pt>
                <c:pt idx="54">
                  <c:v>4.2108326754661501E-2</c:v>
                </c:pt>
                <c:pt idx="55">
                  <c:v>4.2339715989756263E-2</c:v>
                </c:pt>
                <c:pt idx="56">
                  <c:v>4.25638887358471E-2</c:v>
                </c:pt>
                <c:pt idx="57">
                  <c:v>4.278113544574124E-2</c:v>
                </c:pt>
                <c:pt idx="58">
                  <c:v>4.2991734253545015E-2</c:v>
                </c:pt>
                <c:pt idx="59">
                  <c:v>4.3195951373545427E-2</c:v>
                </c:pt>
                <c:pt idx="60">
                  <c:v>4.3394041509533306E-2</c:v>
                </c:pt>
                <c:pt idx="61">
                  <c:v>4.3586248269971796E-2</c:v>
                </c:pt>
                <c:pt idx="62">
                  <c:v>4.3772804585156887E-2</c:v>
                </c:pt>
                <c:pt idx="63">
                  <c:v>4.3953933123160802E-2</c:v>
                </c:pt>
                <c:pt idx="64">
                  <c:v>4.4129846701906221E-2</c:v>
                </c:pt>
                <c:pt idx="65">
                  <c:v>4.4300748695200065E-2</c:v>
                </c:pt>
                <c:pt idx="66">
                  <c:v>4.4466833430970423E-2</c:v>
                </c:pt>
                <c:pt idx="67">
                  <c:v>4.4628286580305501E-2</c:v>
                </c:pt>
                <c:pt idx="68">
                  <c:v>4.4785285536199614E-2</c:v>
                </c:pt>
                <c:pt idx="69">
                  <c:v>4.493799978117128E-2</c:v>
                </c:pt>
                <c:pt idx="70">
                  <c:v>4.5086591243141148E-2</c:v>
                </c:pt>
                <c:pt idx="71">
                  <c:v>4.5231214639145527E-2</c:v>
                </c:pt>
                <c:pt idx="72">
                  <c:v>4.5372017806620875E-2</c:v>
                </c:pt>
                <c:pt idx="73">
                  <c:v>4.5509142022127781E-2</c:v>
                </c:pt>
                <c:pt idx="74">
                  <c:v>4.5642722307495227E-2</c:v>
                </c:pt>
                <c:pt idx="75">
                  <c:v>4.5772887723458056E-2</c:v>
                </c:pt>
                <c:pt idx="76">
                  <c:v>4.5899761650937024E-2</c:v>
                </c:pt>
                <c:pt idx="77">
                  <c:v>4.6023462060172556E-2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3C-489C-9E7C-5D7C10FA7885}"/>
            </c:ext>
          </c:extLst>
        </c:ser>
        <c:ser>
          <c:idx val="2"/>
          <c:order val="4"/>
          <c:tx>
            <c:strRef>
              <c:f>'NSS Goverment'!$EC$1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'NSS Goverment'!$A$3:$A$76</c:f>
              <c:numCache>
                <c:formatCode>0.0</c:formatCode>
                <c:ptCount val="7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3.5</c:v>
                </c:pt>
                <c:pt idx="35">
                  <c:v>3.5</c:v>
                </c:pt>
                <c:pt idx="36">
                  <c:v>4</c:v>
                </c:pt>
                <c:pt idx="37">
                  <c:v>4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5</c:v>
                </c:pt>
                <c:pt idx="42">
                  <c:v>5.5</c:v>
                </c:pt>
                <c:pt idx="43">
                  <c:v>5.5</c:v>
                </c:pt>
                <c:pt idx="44">
                  <c:v>6</c:v>
                </c:pt>
                <c:pt idx="45">
                  <c:v>6</c:v>
                </c:pt>
                <c:pt idx="46">
                  <c:v>6.5</c:v>
                </c:pt>
                <c:pt idx="47">
                  <c:v>7</c:v>
                </c:pt>
                <c:pt idx="48">
                  <c:v>10</c:v>
                </c:pt>
                <c:pt idx="49">
                  <c:v>10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13.5</c:v>
                </c:pt>
                <c:pt idx="54">
                  <c:v>14</c:v>
                </c:pt>
                <c:pt idx="55">
                  <c:v>14</c:v>
                </c:pt>
                <c:pt idx="56">
                  <c:v>14.5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24</c:v>
                </c:pt>
                <c:pt idx="63">
                  <c:v>30</c:v>
                </c:pt>
              </c:numCache>
            </c:numRef>
          </c:xVal>
          <c:yVal>
            <c:numRef>
              <c:f>'NSS Goverment'!$EC$2:$EC$245</c:f>
              <c:numCache>
                <c:formatCode>General</c:formatCode>
                <c:ptCount val="24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3C-489C-9E7C-5D7C10FA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'NSS Goverment'!$EE$1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'NSS Goverment'!$A$3:$A$76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2.5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3.5</c:v>
                      </c:pt>
                      <c:pt idx="35">
                        <c:v>3.5</c:v>
                      </c:pt>
                      <c:pt idx="36">
                        <c:v>4</c:v>
                      </c:pt>
                      <c:pt idx="37">
                        <c:v>4</c:v>
                      </c:pt>
                      <c:pt idx="38">
                        <c:v>4.5</c:v>
                      </c:pt>
                      <c:pt idx="39">
                        <c:v>4.5</c:v>
                      </c:pt>
                      <c:pt idx="40">
                        <c:v>4.5</c:v>
                      </c:pt>
                      <c:pt idx="41">
                        <c:v>5</c:v>
                      </c:pt>
                      <c:pt idx="42">
                        <c:v>5.5</c:v>
                      </c:pt>
                      <c:pt idx="43">
                        <c:v>5.5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6.5</c:v>
                      </c:pt>
                      <c:pt idx="47">
                        <c:v>7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12.5</c:v>
                      </c:pt>
                      <c:pt idx="51">
                        <c:v>13</c:v>
                      </c:pt>
                      <c:pt idx="52">
                        <c:v>13.5</c:v>
                      </c:pt>
                      <c:pt idx="53">
                        <c:v>13.5</c:v>
                      </c:pt>
                      <c:pt idx="54">
                        <c:v>14</c:v>
                      </c:pt>
                      <c:pt idx="55">
                        <c:v>14</c:v>
                      </c:pt>
                      <c:pt idx="56">
                        <c:v>14.5</c:v>
                      </c:pt>
                      <c:pt idx="57">
                        <c:v>15</c:v>
                      </c:pt>
                      <c:pt idx="58">
                        <c:v>20</c:v>
                      </c:pt>
                      <c:pt idx="59">
                        <c:v>23</c:v>
                      </c:pt>
                      <c:pt idx="60">
                        <c:v>23.5</c:v>
                      </c:pt>
                      <c:pt idx="61">
                        <c:v>23.5</c:v>
                      </c:pt>
                      <c:pt idx="62">
                        <c:v>24</c:v>
                      </c:pt>
                      <c:pt idx="6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'NSS Goverment'!$EE$2:$EE$245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A03C-489C-9E7C-5D7C10FA788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Goverment'!$ED$1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2.5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3.5</c:v>
                      </c:pt>
                      <c:pt idx="35">
                        <c:v>3.5</c:v>
                      </c:pt>
                      <c:pt idx="36">
                        <c:v>4</c:v>
                      </c:pt>
                      <c:pt idx="37">
                        <c:v>4</c:v>
                      </c:pt>
                      <c:pt idx="38">
                        <c:v>4.5</c:v>
                      </c:pt>
                      <c:pt idx="39">
                        <c:v>4.5</c:v>
                      </c:pt>
                      <c:pt idx="40">
                        <c:v>4.5</c:v>
                      </c:pt>
                      <c:pt idx="41">
                        <c:v>5</c:v>
                      </c:pt>
                      <c:pt idx="42">
                        <c:v>5.5</c:v>
                      </c:pt>
                      <c:pt idx="43">
                        <c:v>5.5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6.5</c:v>
                      </c:pt>
                      <c:pt idx="47">
                        <c:v>7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12.5</c:v>
                      </c:pt>
                      <c:pt idx="51">
                        <c:v>13</c:v>
                      </c:pt>
                      <c:pt idx="52">
                        <c:v>13.5</c:v>
                      </c:pt>
                      <c:pt idx="53">
                        <c:v>13.5</c:v>
                      </c:pt>
                      <c:pt idx="54">
                        <c:v>14</c:v>
                      </c:pt>
                      <c:pt idx="55">
                        <c:v>14</c:v>
                      </c:pt>
                      <c:pt idx="56">
                        <c:v>14.5</c:v>
                      </c:pt>
                      <c:pt idx="57">
                        <c:v>15</c:v>
                      </c:pt>
                      <c:pt idx="58">
                        <c:v>20</c:v>
                      </c:pt>
                      <c:pt idx="59">
                        <c:v>23</c:v>
                      </c:pt>
                      <c:pt idx="60">
                        <c:v>23.5</c:v>
                      </c:pt>
                      <c:pt idx="61">
                        <c:v>23.5</c:v>
                      </c:pt>
                      <c:pt idx="62">
                        <c:v>24</c:v>
                      </c:pt>
                      <c:pt idx="6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03C-489C-9E7C-5D7C10FA7885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 credit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Goverment'!$J$81:$K$81</c:f>
              <c:strCache>
                <c:ptCount val="2"/>
                <c:pt idx="0">
                  <c:v>Forward credit spread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'NSS Goverment'!$L$2:$CK$2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Goverment'!$L$81:$CK$81</c:f>
              <c:numCache>
                <c:formatCode>General</c:formatCode>
                <c:ptCount val="78"/>
                <c:pt idx="2" formatCode="0.00%">
                  <c:v>3.8507625787416178E-3</c:v>
                </c:pt>
                <c:pt idx="3" formatCode="0.00%">
                  <c:v>5.0934518589456079E-3</c:v>
                </c:pt>
                <c:pt idx="4" formatCode="0.00%">
                  <c:v>5.8554488424598095E-3</c:v>
                </c:pt>
                <c:pt idx="5" formatCode="0.00%">
                  <c:v>6.2720590476241789E-3</c:v>
                </c:pt>
                <c:pt idx="6" formatCode="0.00%">
                  <c:v>6.4152642156258821E-3</c:v>
                </c:pt>
                <c:pt idx="7" formatCode="0.00%">
                  <c:v>6.3450579214971992E-3</c:v>
                </c:pt>
                <c:pt idx="8" formatCode="0.00%">
                  <c:v>6.1112423475606636E-3</c:v>
                </c:pt>
                <c:pt idx="9" formatCode="0.00%">
                  <c:v>5.754962366810723E-3</c:v>
                </c:pt>
                <c:pt idx="10" formatCode="0.00%">
                  <c:v>5.3100180476521874E-3</c:v>
                </c:pt>
                <c:pt idx="11" formatCode="0.00%">
                  <c:v>4.8039891067399587E-3</c:v>
                </c:pt>
                <c:pt idx="12" formatCode="0.00%">
                  <c:v>4.2591989449864975E-3</c:v>
                </c:pt>
                <c:pt idx="13" formatCode="0.00%">
                  <c:v>3.6935412750209728E-3</c:v>
                </c:pt>
                <c:pt idx="14" formatCode="0.00%">
                  <c:v>3.1211886719215709E-3</c:v>
                </c:pt>
                <c:pt idx="15" formatCode="0.00%">
                  <c:v>2.5531994212770748E-3</c:v>
                </c:pt>
                <c:pt idx="16" formatCode="0.00%">
                  <c:v>1.9980366290166529E-3</c:v>
                </c:pt>
                <c:pt idx="17" formatCode="0.00%">
                  <c:v>1.4620115704622183E-3</c:v>
                </c:pt>
                <c:pt idx="18" formatCode="0.00%">
                  <c:v>9.4966159857734489E-4</c:v>
                </c:pt>
                <c:pt idx="19" formatCode="0.00%">
                  <c:v>4.6407153423277947E-4</c:v>
                </c:pt>
                <c:pt idx="20" formatCode="0.00%">
                  <c:v>7.1462729043236806E-6</c:v>
                </c:pt>
                <c:pt idx="21" formatCode="0.00%">
                  <c:v>-4.2015867650269101E-4</c:v>
                </c:pt>
                <c:pt idx="22" formatCode="0.00%">
                  <c:v>-8.1764288369390314E-4</c:v>
                </c:pt>
                <c:pt idx="23" formatCode="0.00%">
                  <c:v>-1.185697844790834E-3</c:v>
                </c:pt>
                <c:pt idx="24" formatCode="0.00%">
                  <c:v>-1.5251705735164212E-3</c:v>
                </c:pt>
                <c:pt idx="25" formatCode="0.00%">
                  <c:v>-1.8372501016157283E-3</c:v>
                </c:pt>
                <c:pt idx="26" formatCode="0.00%">
                  <c:v>-2.1233735597716574E-3</c:v>
                </c:pt>
                <c:pt idx="27" formatCode="0.00%">
                  <c:v>-2.3851489521868885E-3</c:v>
                </c:pt>
                <c:pt idx="28" formatCode="0.00%">
                  <c:v>-2.6242921247694451E-3</c:v>
                </c:pt>
                <c:pt idx="29" formatCode="0.00%">
                  <c:v>-2.8425757651204808E-3</c:v>
                </c:pt>
                <c:pt idx="30" formatCode="0.00%">
                  <c:v>-3.0417885683711177E-3</c:v>
                </c:pt>
                <c:pt idx="31" formatCode="0.00%">
                  <c:v>-3.2237029612536272E-3</c:v>
                </c:pt>
                <c:pt idx="32" formatCode="0.00%">
                  <c:v>-3.3900500020860314E-3</c:v>
                </c:pt>
                <c:pt idx="33" formatCode="0.00%">
                  <c:v>-3.5425002708999731E-3</c:v>
                </c:pt>
                <c:pt idx="34" formatCode="0.00%">
                  <c:v>-3.6826497346622578E-3</c:v>
                </c:pt>
                <c:pt idx="35" formatCode="0.00%">
                  <c:v>-3.8120097209419779E-3</c:v>
                </c:pt>
                <c:pt idx="36" formatCode="0.00%">
                  <c:v>-3.9320002620815142E-3</c:v>
                </c:pt>
                <c:pt idx="37" formatCode="0.00%">
                  <c:v>-4.0439461832522117E-3</c:v>
                </c:pt>
                <c:pt idx="38" formatCode="0.00%">
                  <c:v>-4.1490754039488209E-3</c:v>
                </c:pt>
                <c:pt idx="39" formatCode="0.00%">
                  <c:v>-4.2485190052992117E-3</c:v>
                </c:pt>
                <c:pt idx="40" formatCode="0.00%">
                  <c:v>-4.3433126871381678E-3</c:v>
                </c:pt>
                <c:pt idx="41" formatCode="0.00%">
                  <c:v>-4.4343992998259196E-3</c:v>
                </c:pt>
                <c:pt idx="42" formatCode="0.00%">
                  <c:v>-4.5226321882785303E-3</c:v>
                </c:pt>
                <c:pt idx="43" formatCode="0.00%">
                  <c:v>-4.6087791305691184E-3</c:v>
                </c:pt>
                <c:pt idx="44" formatCode="0.00%">
                  <c:v>-4.693526691772032E-3</c:v>
                </c:pt>
                <c:pt idx="45" formatCode="0.00%">
                  <c:v>-4.7774848458927988E-3</c:v>
                </c:pt>
                <c:pt idx="46" formatCode="0.00%">
                  <c:v>-4.8611917466285792E-3</c:v>
                </c:pt>
                <c:pt idx="47" formatCode="0.00%">
                  <c:v>-4.9451185508095907E-3</c:v>
                </c:pt>
                <c:pt idx="48" formatCode="0.00%">
                  <c:v>-5.0296742179287701E-3</c:v>
                </c:pt>
                <c:pt idx="49" formatCode="0.00%">
                  <c:v>-5.1152102259168775E-3</c:v>
                </c:pt>
                <c:pt idx="50" formatCode="0.00%">
                  <c:v>-5.2020251566471387E-3</c:v>
                </c:pt>
                <c:pt idx="51" formatCode="0.00%">
                  <c:v>-5.2903691166057421E-3</c:v>
                </c:pt>
                <c:pt idx="52" formatCode="0.00%">
                  <c:v>-5.3804479672798777E-3</c:v>
                </c:pt>
                <c:pt idx="53" formatCode="0.00%">
                  <c:v>-5.4724273477513297E-3</c:v>
                </c:pt>
                <c:pt idx="54" formatCode="0.00%">
                  <c:v>-5.5664364785130704E-3</c:v>
                </c:pt>
                <c:pt idx="55" formatCode="0.00%">
                  <c:v>-5.6625717404570342E-3</c:v>
                </c:pt>
                <c:pt idx="56" formatCode="0.00%">
                  <c:v>-5.7609000273932676E-3</c:v>
                </c:pt>
                <c:pt idx="57" formatCode="0.00%">
                  <c:v>-5.8614618736059221E-3</c:v>
                </c:pt>
                <c:pt idx="58" formatCode="0.00%">
                  <c:v>-5.964274360620303E-3</c:v>
                </c:pt>
                <c:pt idx="59" formatCode="0.00%">
                  <c:v>-6.0693338093653626E-3</c:v>
                </c:pt>
                <c:pt idx="60" formatCode="0.00%">
                  <c:v>-6.1766182654243718E-3</c:v>
                </c:pt>
                <c:pt idx="61" formatCode="0.00%">
                  <c:v>-6.2860897860139708E-3</c:v>
                </c:pt>
                <c:pt idx="62" formatCode="0.00%">
                  <c:v>-6.3976965382415152E-3</c:v>
                </c:pt>
                <c:pt idx="63" formatCode="0.00%">
                  <c:v>-6.5113747187171001E-3</c:v>
                </c:pt>
                <c:pt idx="64" formatCode="0.00%">
                  <c:v>-6.627050304497395E-3</c:v>
                </c:pt>
                <c:pt idx="65" formatCode="0.00%">
                  <c:v>-6.7446406457791763E-3</c:v>
                </c:pt>
                <c:pt idx="66" formatCode="0.00%">
                  <c:v>-6.8640559105892507E-3</c:v>
                </c:pt>
                <c:pt idx="67" formatCode="0.00%">
                  <c:v>-6.9852003912682648E-3</c:v>
                </c:pt>
                <c:pt idx="68" formatCode="0.00%">
                  <c:v>-7.1079736825923057E-3</c:v>
                </c:pt>
                <c:pt idx="69" formatCode="0.00%">
                  <c:v>-7.2322717409518678E-3</c:v>
                </c:pt>
                <c:pt idx="70" formatCode="0.00%">
                  <c:v>-7.3579878335017224E-3</c:v>
                </c:pt>
                <c:pt idx="71" formatCode="0.00%">
                  <c:v>-7.4850133857202739E-3</c:v>
                </c:pt>
                <c:pt idx="72" formatCode="0.00%">
                  <c:v>-7.6132387357283893E-3</c:v>
                </c:pt>
                <c:pt idx="73" formatCode="0.00%">
                  <c:v>-7.7425538029802787E-3</c:v>
                </c:pt>
                <c:pt idx="74" formatCode="0.00%">
                  <c:v>-7.872848678267097E-3</c:v>
                </c:pt>
                <c:pt idx="75" formatCode="0.00%">
                  <c:v>-8.0040141421873212E-3</c:v>
                </c:pt>
                <c:pt idx="76" formatCode="0.00%">
                  <c:v>-8.1359421181441682E-3</c:v>
                </c:pt>
                <c:pt idx="77" formatCode="0.00%">
                  <c:v>-8.2685260657184845E-3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3-430F-B65B-890CE0352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'NSS Goverment'!$EE$1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'NSS Goverment'!$A$3:$A$76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2.5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3.5</c:v>
                      </c:pt>
                      <c:pt idx="35">
                        <c:v>3.5</c:v>
                      </c:pt>
                      <c:pt idx="36">
                        <c:v>4</c:v>
                      </c:pt>
                      <c:pt idx="37">
                        <c:v>4</c:v>
                      </c:pt>
                      <c:pt idx="38">
                        <c:v>4.5</c:v>
                      </c:pt>
                      <c:pt idx="39">
                        <c:v>4.5</c:v>
                      </c:pt>
                      <c:pt idx="40">
                        <c:v>4.5</c:v>
                      </c:pt>
                      <c:pt idx="41">
                        <c:v>5</c:v>
                      </c:pt>
                      <c:pt idx="42">
                        <c:v>5.5</c:v>
                      </c:pt>
                      <c:pt idx="43">
                        <c:v>5.5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6.5</c:v>
                      </c:pt>
                      <c:pt idx="47">
                        <c:v>7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12.5</c:v>
                      </c:pt>
                      <c:pt idx="51">
                        <c:v>13</c:v>
                      </c:pt>
                      <c:pt idx="52">
                        <c:v>13.5</c:v>
                      </c:pt>
                      <c:pt idx="53">
                        <c:v>13.5</c:v>
                      </c:pt>
                      <c:pt idx="54">
                        <c:v>14</c:v>
                      </c:pt>
                      <c:pt idx="55">
                        <c:v>14</c:v>
                      </c:pt>
                      <c:pt idx="56">
                        <c:v>14.5</c:v>
                      </c:pt>
                      <c:pt idx="57">
                        <c:v>15</c:v>
                      </c:pt>
                      <c:pt idx="58">
                        <c:v>20</c:v>
                      </c:pt>
                      <c:pt idx="59">
                        <c:v>23</c:v>
                      </c:pt>
                      <c:pt idx="60">
                        <c:v>23.5</c:v>
                      </c:pt>
                      <c:pt idx="61">
                        <c:v>23.5</c:v>
                      </c:pt>
                      <c:pt idx="62">
                        <c:v>24</c:v>
                      </c:pt>
                      <c:pt idx="63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'NSS Goverment'!$EE$2:$EE$245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2A3-430F-B65B-890CE03525A1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Goverment'!$ED$1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0.5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2.5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3.5</c:v>
                      </c:pt>
                      <c:pt idx="35">
                        <c:v>3.5</c:v>
                      </c:pt>
                      <c:pt idx="36">
                        <c:v>4</c:v>
                      </c:pt>
                      <c:pt idx="37">
                        <c:v>4</c:v>
                      </c:pt>
                      <c:pt idx="38">
                        <c:v>4.5</c:v>
                      </c:pt>
                      <c:pt idx="39">
                        <c:v>4.5</c:v>
                      </c:pt>
                      <c:pt idx="40">
                        <c:v>4.5</c:v>
                      </c:pt>
                      <c:pt idx="41">
                        <c:v>5</c:v>
                      </c:pt>
                      <c:pt idx="42">
                        <c:v>5.5</c:v>
                      </c:pt>
                      <c:pt idx="43">
                        <c:v>5.5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6.5</c:v>
                      </c:pt>
                      <c:pt idx="47">
                        <c:v>7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12.5</c:v>
                      </c:pt>
                      <c:pt idx="51">
                        <c:v>13</c:v>
                      </c:pt>
                      <c:pt idx="52">
                        <c:v>13.5</c:v>
                      </c:pt>
                      <c:pt idx="53">
                        <c:v>13.5</c:v>
                      </c:pt>
                      <c:pt idx="54">
                        <c:v>14</c:v>
                      </c:pt>
                      <c:pt idx="55">
                        <c:v>14</c:v>
                      </c:pt>
                      <c:pt idx="56">
                        <c:v>14.5</c:v>
                      </c:pt>
                      <c:pt idx="57">
                        <c:v>15</c:v>
                      </c:pt>
                      <c:pt idx="58">
                        <c:v>20</c:v>
                      </c:pt>
                      <c:pt idx="59">
                        <c:v>23</c:v>
                      </c:pt>
                      <c:pt idx="60">
                        <c:v>23.5</c:v>
                      </c:pt>
                      <c:pt idx="61">
                        <c:v>23.5</c:v>
                      </c:pt>
                      <c:pt idx="62">
                        <c:v>24</c:v>
                      </c:pt>
                      <c:pt idx="63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Goverment'!$ED$2:$ED$245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2A3-430F-B65B-890CE03525A1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 (Corporate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Corporate'!$J$80:$K$80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'NSS Corporate'!$L$2:$CK$2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Corporate'!$L$80:$CK$80</c:f>
              <c:numCache>
                <c:formatCode>0.00%</c:formatCode>
                <c:ptCount val="78"/>
                <c:pt idx="2">
                  <c:v>1.8405349705237883E-2</c:v>
                </c:pt>
                <c:pt idx="3">
                  <c:v>2.0709832194344635E-2</c:v>
                </c:pt>
                <c:pt idx="4">
                  <c:v>2.2480708118509884E-2</c:v>
                </c:pt>
                <c:pt idx="5">
                  <c:v>2.4166244816891114E-2</c:v>
                </c:pt>
                <c:pt idx="6">
                  <c:v>2.5769725368030683E-2</c:v>
                </c:pt>
                <c:pt idx="7">
                  <c:v>2.7294325827311949E-2</c:v>
                </c:pt>
                <c:pt idx="8">
                  <c:v>2.8743117789756578E-2</c:v>
                </c:pt>
                <c:pt idx="9">
                  <c:v>3.0119070962416172E-2</c:v>
                </c:pt>
                <c:pt idx="10">
                  <c:v>3.142505573852894E-2</c:v>
                </c:pt>
                <c:pt idx="11">
                  <c:v>3.2663845766382371E-2</c:v>
                </c:pt>
                <c:pt idx="12">
                  <c:v>3.3838120506629821E-2</c:v>
                </c:pt>
                <c:pt idx="13">
                  <c:v>3.4950467772458138E-2</c:v>
                </c:pt>
                <c:pt idx="14">
                  <c:v>3.6003386247642988E-2</c:v>
                </c:pt>
                <c:pt idx="15">
                  <c:v>3.6999287978162432E-2</c:v>
                </c:pt>
                <c:pt idx="16">
                  <c:v>3.7940500833491875E-2</c:v>
                </c:pt>
                <c:pt idx="17">
                  <c:v>3.8829270934226168E-2</c:v>
                </c:pt>
                <c:pt idx="18">
                  <c:v>3.9667765043152059E-2</c:v>
                </c:pt>
                <c:pt idx="19">
                  <c:v>4.0458072917247456E-2</c:v>
                </c:pt>
                <c:pt idx="20">
                  <c:v>4.1202209618476759E-2</c:v>
                </c:pt>
                <c:pt idx="21">
                  <c:v>4.1902117781557946E-2</c:v>
                </c:pt>
                <c:pt idx="22">
                  <c:v>4.255966983727566E-2</c:v>
                </c:pt>
                <c:pt idx="23">
                  <c:v>4.3176670190047339E-2</c:v>
                </c:pt>
                <c:pt idx="24">
                  <c:v>4.3754857348807352E-2</c:v>
                </c:pt>
                <c:pt idx="25">
                  <c:v>4.4295906010516362E-2</c:v>
                </c:pt>
                <c:pt idx="26">
                  <c:v>4.4801429095675971E-2</c:v>
                </c:pt>
                <c:pt idx="27">
                  <c:v>4.5272979735556218E-2</c:v>
                </c:pt>
                <c:pt idx="28">
                  <c:v>4.5712053210945625E-2</c:v>
                </c:pt>
                <c:pt idx="29">
                  <c:v>4.6120088842386719E-2</c:v>
                </c:pt>
                <c:pt idx="30">
                  <c:v>4.6498471831991406E-2</c:v>
                </c:pt>
                <c:pt idx="31">
                  <c:v>4.6848535057038676E-2</c:v>
                </c:pt>
                <c:pt idx="32">
                  <c:v>4.7171560815723046E-2</c:v>
                </c:pt>
                <c:pt idx="33">
                  <c:v>4.7468782525424968E-2</c:v>
                </c:pt>
                <c:pt idx="34">
                  <c:v>4.7741386374017036E-2</c:v>
                </c:pt>
                <c:pt idx="35">
                  <c:v>4.7990512924780404E-2</c:v>
                </c:pt>
                <c:pt idx="36">
                  <c:v>4.8217258675573804E-2</c:v>
                </c:pt>
                <c:pt idx="37">
                  <c:v>4.8422677572943496E-2</c:v>
                </c:pt>
                <c:pt idx="38">
                  <c:v>4.8607782481843165E-2</c:v>
                </c:pt>
                <c:pt idx="39">
                  <c:v>4.8773546611856622E-2</c:v>
                </c:pt>
                <c:pt idx="40">
                  <c:v>4.8920904900681128E-2</c:v>
                </c:pt>
                <c:pt idx="41">
                  <c:v>4.9050755355618536E-2</c:v>
                </c:pt>
                <c:pt idx="42">
                  <c:v>4.9163960354080327E-2</c:v>
                </c:pt>
                <c:pt idx="43">
                  <c:v>4.9261347903952535E-2</c:v>
                </c:pt>
                <c:pt idx="44">
                  <c:v>4.9343712864562184E-2</c:v>
                </c:pt>
                <c:pt idx="45">
                  <c:v>4.9411818129373453E-2</c:v>
                </c:pt>
                <c:pt idx="46">
                  <c:v>4.9466395771152083E-2</c:v>
                </c:pt>
                <c:pt idx="47">
                  <c:v>4.9508148150575026E-2</c:v>
                </c:pt>
                <c:pt idx="48">
                  <c:v>4.9537748989215036E-2</c:v>
                </c:pt>
                <c:pt idx="49">
                  <c:v>4.955584440771843E-2</c:v>
                </c:pt>
                <c:pt idx="50">
                  <c:v>4.9563053930248735E-2</c:v>
                </c:pt>
                <c:pt idx="51">
                  <c:v>4.9559971455874097E-2</c:v>
                </c:pt>
                <c:pt idx="52">
                  <c:v>4.9547166197970505E-2</c:v>
                </c:pt>
                <c:pt idx="53">
                  <c:v>4.9525183592479483E-2</c:v>
                </c:pt>
                <c:pt idx="54">
                  <c:v>4.949454617579474E-2</c:v>
                </c:pt>
                <c:pt idx="55">
                  <c:v>4.945575443327499E-2</c:v>
                </c:pt>
                <c:pt idx="56">
                  <c:v>4.9409287619135434E-2</c:v>
                </c:pt>
                <c:pt idx="57">
                  <c:v>4.9355604548574128E-2</c:v>
                </c:pt>
                <c:pt idx="58">
                  <c:v>4.929514436296123E-2</c:v>
                </c:pt>
                <c:pt idx="59">
                  <c:v>4.9228327268891592E-2</c:v>
                </c:pt>
                <c:pt idx="60">
                  <c:v>4.9155555251864103E-2</c:v>
                </c:pt>
                <c:pt idx="61">
                  <c:v>4.9077212765361589E-2</c:v>
                </c:pt>
                <c:pt idx="62">
                  <c:v>4.8993667396152185E-2</c:v>
                </c:pt>
                <c:pt idx="63">
                  <c:v>4.890527050641591E-2</c:v>
                </c:pt>
                <c:pt idx="64">
                  <c:v>4.8812357853530663E-2</c:v>
                </c:pt>
                <c:pt idx="65">
                  <c:v>4.8715250188222647E-2</c:v>
                </c:pt>
                <c:pt idx="66">
                  <c:v>4.8614253831616772E-2</c:v>
                </c:pt>
                <c:pt idx="67">
                  <c:v>4.8509661232060797E-2</c:v>
                </c:pt>
                <c:pt idx="68">
                  <c:v>4.8401751502257229E-2</c:v>
                </c:pt>
                <c:pt idx="69">
                  <c:v>4.8290790937326911E-2</c:v>
                </c:pt>
                <c:pt idx="70">
                  <c:v>4.8177033514453127E-2</c:v>
                </c:pt>
                <c:pt idx="71">
                  <c:v>4.8060721374758142E-2</c:v>
                </c:pt>
                <c:pt idx="72">
                  <c:v>4.7942085287886238E-2</c:v>
                </c:pt>
                <c:pt idx="73">
                  <c:v>4.7821345099928081E-2</c:v>
                </c:pt>
                <c:pt idx="74">
                  <c:v>4.769871016529148E-2</c:v>
                </c:pt>
                <c:pt idx="75">
                  <c:v>4.7574379762868491E-2</c:v>
                </c:pt>
                <c:pt idx="76">
                  <c:v>4.744854349728711E-2</c:v>
                </c:pt>
                <c:pt idx="77">
                  <c:v>4.7321381685502928E-2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2-4649-9E63-C7ADFBEB12AF}"/>
            </c:ext>
          </c:extLst>
        </c:ser>
        <c:ser>
          <c:idx val="1"/>
          <c:order val="1"/>
          <c:tx>
            <c:strRef>
              <c:f>'NSS Corporate'!$K$78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'NSS Corporate'!$L$2:$CK$2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Corporate'!$L$78:$CK$78</c:f>
              <c:numCache>
                <c:formatCode>0.00%</c:formatCode>
                <c:ptCount val="78"/>
                <c:pt idx="0">
                  <c:v>1.6787222526608105E-2</c:v>
                </c:pt>
                <c:pt idx="1">
                  <c:v>1.6898380000111735E-2</c:v>
                </c:pt>
                <c:pt idx="2">
                  <c:v>1.7865688058249389E-2</c:v>
                </c:pt>
                <c:pt idx="3">
                  <c:v>1.8802323715751423E-2</c:v>
                </c:pt>
                <c:pt idx="4">
                  <c:v>1.9709191186969871E-2</c:v>
                </c:pt>
                <c:pt idx="5">
                  <c:v>2.0587168711067888E-2</c:v>
                </c:pt>
                <c:pt idx="6">
                  <c:v>2.1437109289184651E-2</c:v>
                </c:pt>
                <c:pt idx="7">
                  <c:v>2.2259841400819387E-2</c:v>
                </c:pt>
                <c:pt idx="8">
                  <c:v>2.3056169700017514E-2</c:v>
                </c:pt>
                <c:pt idx="9">
                  <c:v>2.3826875691926739E-2</c:v>
                </c:pt>
                <c:pt idx="10">
                  <c:v>2.4572718390273661E-2</c:v>
                </c:pt>
                <c:pt idx="11">
                  <c:v>2.5294434956297119E-2</c:v>
                </c:pt>
                <c:pt idx="12">
                  <c:v>2.5992741319658862E-2</c:v>
                </c:pt>
                <c:pt idx="13">
                  <c:v>2.6668332781837681E-2</c:v>
                </c:pt>
                <c:pt idx="14">
                  <c:v>2.732188460249934E-2</c:v>
                </c:pt>
                <c:pt idx="15">
                  <c:v>2.7954052569320126E-2</c:v>
                </c:pt>
                <c:pt idx="16">
                  <c:v>2.856547355172917E-2</c:v>
                </c:pt>
                <c:pt idx="17">
                  <c:v>2.9156766039021259E-2</c:v>
                </c:pt>
                <c:pt idx="18">
                  <c:v>2.9728530663279264E-2</c:v>
                </c:pt>
                <c:pt idx="19">
                  <c:v>3.0281350707533117E-2</c:v>
                </c:pt>
                <c:pt idx="20">
                  <c:v>3.0815792599570152E-2</c:v>
                </c:pt>
                <c:pt idx="21">
                  <c:v>3.1332406391800238E-2</c:v>
                </c:pt>
                <c:pt idx="22">
                  <c:v>3.1831726227567414E-2</c:v>
                </c:pt>
                <c:pt idx="23">
                  <c:v>3.2314270794289342E-2</c:v>
                </c:pt>
                <c:pt idx="24">
                  <c:v>3.278054376379462E-2</c:v>
                </c:pt>
                <c:pt idx="25">
                  <c:v>3.3231034220218045E-2</c:v>
                </c:pt>
                <c:pt idx="26">
                  <c:v>3.3666217075803542E-2</c:v>
                </c:pt>
                <c:pt idx="27">
                  <c:v>3.4086553474955011E-2</c:v>
                </c:pt>
                <c:pt idx="28">
                  <c:v>3.4492491186865343E-2</c:v>
                </c:pt>
                <c:pt idx="29">
                  <c:v>3.4884464987045047E-2</c:v>
                </c:pt>
                <c:pt idx="30">
                  <c:v>3.5262897028062616E-2</c:v>
                </c:pt>
                <c:pt idx="31">
                  <c:v>3.5628197199800135E-2</c:v>
                </c:pt>
                <c:pt idx="32">
                  <c:v>3.5980763479519159E-2</c:v>
                </c:pt>
                <c:pt idx="33">
                  <c:v>3.6320982272023482E-2</c:v>
                </c:pt>
                <c:pt idx="34">
                  <c:v>3.6649228740197506E-2</c:v>
                </c:pt>
                <c:pt idx="35">
                  <c:v>3.6965867126191113E-2</c:v>
                </c:pt>
                <c:pt idx="36">
                  <c:v>3.7271251063514074E-2</c:v>
                </c:pt>
                <c:pt idx="37">
                  <c:v>3.7565723880296185E-2</c:v>
                </c:pt>
                <c:pt idx="38">
                  <c:v>3.7849618893961601E-2</c:v>
                </c:pt>
                <c:pt idx="39">
                  <c:v>3.8123259697559003E-2</c:v>
                </c:pt>
                <c:pt idx="40">
                  <c:v>3.8386960437982925E-2</c:v>
                </c:pt>
                <c:pt idx="41">
                  <c:v>3.8641026086314055E-2</c:v>
                </c:pt>
                <c:pt idx="42">
                  <c:v>3.8885752700500875E-2</c:v>
                </c:pt>
                <c:pt idx="43">
                  <c:v>3.9121427680598161E-2</c:v>
                </c:pt>
                <c:pt idx="44">
                  <c:v>3.9348330016771925E-2</c:v>
                </c:pt>
                <c:pt idx="45">
                  <c:v>3.956673053027486E-2</c:v>
                </c:pt>
                <c:pt idx="46">
                  <c:v>3.9776892107589917E-2</c:v>
                </c:pt>
                <c:pt idx="47">
                  <c:v>3.9979069927934985E-2</c:v>
                </c:pt>
                <c:pt idx="48">
                  <c:v>4.0173511684315294E-2</c:v>
                </c:pt>
                <c:pt idx="49">
                  <c:v>4.0360457798305757E-2</c:v>
                </c:pt>
                <c:pt idx="50">
                  <c:v>4.0540141628739819E-2</c:v>
                </c:pt>
                <c:pt idx="51">
                  <c:v>4.0712789674476536E-2</c:v>
                </c:pt>
                <c:pt idx="52">
                  <c:v>4.0878621771412937E-2</c:v>
                </c:pt>
                <c:pt idx="53">
                  <c:v>4.1037851283903949E-2</c:v>
                </c:pt>
                <c:pt idx="54">
                  <c:v>4.1190685290747438E-2</c:v>
                </c:pt>
                <c:pt idx="55">
                  <c:v>4.133732476588782E-2</c:v>
                </c:pt>
                <c:pt idx="56">
                  <c:v>4.1477964753987066E-2</c:v>
                </c:pt>
                <c:pt idx="57">
                  <c:v>4.1612794541007983E-2</c:v>
                </c:pt>
                <c:pt idx="58">
                  <c:v>4.1741997819950499E-2</c:v>
                </c:pt>
                <c:pt idx="59">
                  <c:v>4.1865752851877616E-2</c:v>
                </c:pt>
                <c:pt idx="60">
                  <c:v>4.1984232622364073E-2</c:v>
                </c:pt>
                <c:pt idx="61">
                  <c:v>4.2097604993496796E-2</c:v>
                </c:pt>
                <c:pt idx="62">
                  <c:v>4.2206032851552798E-2</c:v>
                </c:pt>
                <c:pt idx="63">
                  <c:v>4.230967425047652E-2</c:v>
                </c:pt>
                <c:pt idx="64">
                  <c:v>4.2408682551275168E-2</c:v>
                </c:pt>
                <c:pt idx="65">
                  <c:v>4.2503206557447382E-2</c:v>
                </c:pt>
                <c:pt idx="66">
                  <c:v>4.2593390646557198E-2</c:v>
                </c:pt>
                <c:pt idx="67">
                  <c:v>4.2679374898062283E-2</c:v>
                </c:pt>
                <c:pt idx="68">
                  <c:v>4.2761295217502118E-2</c:v>
                </c:pt>
                <c:pt idx="69">
                  <c:v>4.2839283457149102E-2</c:v>
                </c:pt>
                <c:pt idx="70">
                  <c:v>4.2913467533222435E-2</c:v>
                </c:pt>
                <c:pt idx="71">
                  <c:v>4.2983971539761995E-2</c:v>
                </c:pt>
                <c:pt idx="72">
                  <c:v>4.3050915859256522E-2</c:v>
                </c:pt>
                <c:pt idx="73">
                  <c:v>4.3114417270117965E-2</c:v>
                </c:pt>
                <c:pt idx="74">
                  <c:v>4.3174589051091082E-2</c:v>
                </c:pt>
                <c:pt idx="75">
                  <c:v>4.3231541082684996E-2</c:v>
                </c:pt>
                <c:pt idx="76">
                  <c:v>4.3285379945710939E-2</c:v>
                </c:pt>
                <c:pt idx="77">
                  <c:v>4.3336209017007972E-2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82-4649-9E63-C7ADFBEB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Model and market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Corporate'!$D$1</c:f>
              <c:strCache>
                <c:ptCount val="1"/>
                <c:pt idx="0">
                  <c:v>Model 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'NSS Corporate'!$A$3:$A$71</c:f>
              <c:numCache>
                <c:formatCode>0.0</c:formatCode>
                <c:ptCount val="6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'NSS Corporate'!$D$3:$D$71</c:f>
              <c:numCache>
                <c:formatCode>0.00</c:formatCode>
                <c:ptCount val="69"/>
                <c:pt idx="0">
                  <c:v>99.537994007267216</c:v>
                </c:pt>
                <c:pt idx="1">
                  <c:v>99.155931520123531</c:v>
                </c:pt>
                <c:pt idx="2">
                  <c:v>98.7727634702035</c:v>
                </c:pt>
                <c:pt idx="3">
                  <c:v>98.555503235712777</c:v>
                </c:pt>
                <c:pt idx="4">
                  <c:v>98.861642657040619</c:v>
                </c:pt>
                <c:pt idx="5">
                  <c:v>98.514089839826696</c:v>
                </c:pt>
                <c:pt idx="6">
                  <c:v>98.160224150025655</c:v>
                </c:pt>
                <c:pt idx="7">
                  <c:v>97.634058259473946</c:v>
                </c:pt>
                <c:pt idx="8">
                  <c:v>96.789594065700271</c:v>
                </c:pt>
                <c:pt idx="9">
                  <c:v>94.940492467039533</c:v>
                </c:pt>
                <c:pt idx="10">
                  <c:v>92.123966191716605</c:v>
                </c:pt>
                <c:pt idx="11">
                  <c:v>89.702502276574961</c:v>
                </c:pt>
                <c:pt idx="12">
                  <c:v>80.220009259997155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2-47E5-AA05-9AAD3393A903}"/>
            </c:ext>
          </c:extLst>
        </c:ser>
        <c:ser>
          <c:idx val="1"/>
          <c:order val="1"/>
          <c:tx>
            <c:strRef>
              <c:f>'NSS Corporate'!$C$1</c:f>
              <c:strCache>
                <c:ptCount val="1"/>
                <c:pt idx="0">
                  <c:v>Market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Corporate'!$A$3:$A$71</c:f>
              <c:numCache>
                <c:formatCode>0.0</c:formatCode>
                <c:ptCount val="6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'NSS Corporate'!$C$3:$C$71</c:f>
              <c:numCache>
                <c:formatCode>0.00</c:formatCode>
                <c:ptCount val="69"/>
                <c:pt idx="0">
                  <c:v>99.537999999999997</c:v>
                </c:pt>
                <c:pt idx="1">
                  <c:v>99.092500000000001</c:v>
                </c:pt>
                <c:pt idx="2">
                  <c:v>98.719500000000011</c:v>
                </c:pt>
                <c:pt idx="3">
                  <c:v>98.58850000000001</c:v>
                </c:pt>
                <c:pt idx="4">
                  <c:v>98.543499999999995</c:v>
                </c:pt>
                <c:pt idx="5">
                  <c:v>98.362499999999997</c:v>
                </c:pt>
                <c:pt idx="6">
                  <c:v>98.171999999999997</c:v>
                </c:pt>
                <c:pt idx="7">
                  <c:v>97.513999999999996</c:v>
                </c:pt>
                <c:pt idx="8">
                  <c:v>96.853999999999999</c:v>
                </c:pt>
                <c:pt idx="9">
                  <c:v>95.417500000000004</c:v>
                </c:pt>
                <c:pt idx="10">
                  <c:v>91.959000000000003</c:v>
                </c:pt>
                <c:pt idx="11">
                  <c:v>89.953999999999994</c:v>
                </c:pt>
                <c:pt idx="12">
                  <c:v>80.22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22-47E5-AA05-9AAD3393A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34752"/>
        <c:axId val="184037456"/>
      </c:scatterChart>
      <c:valAx>
        <c:axId val="18403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7456"/>
        <c:crosses val="autoZero"/>
        <c:crossBetween val="midCat"/>
      </c:valAx>
      <c:valAx>
        <c:axId val="184037456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Corporate'!$A$3:$A$71</c:f>
              <c:numCache>
                <c:formatCode>0.0</c:formatCode>
                <c:ptCount val="6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'NSS Corporate'!$E$3:$E$71</c:f>
              <c:numCache>
                <c:formatCode>0.00</c:formatCode>
                <c:ptCount val="69"/>
                <c:pt idx="0">
                  <c:v>-5.9927327811237774E-6</c:v>
                </c:pt>
                <c:pt idx="1">
                  <c:v>6.3431520123529594E-2</c:v>
                </c:pt>
                <c:pt idx="2">
                  <c:v>5.326347020348976E-2</c:v>
                </c:pt>
                <c:pt idx="3">
                  <c:v>-3.2996764287233304E-2</c:v>
                </c:pt>
                <c:pt idx="4">
                  <c:v>0.3181426570406245</c:v>
                </c:pt>
                <c:pt idx="5">
                  <c:v>0.15158983982669838</c:v>
                </c:pt>
                <c:pt idx="6">
                  <c:v>-1.1775849974341668E-2</c:v>
                </c:pt>
                <c:pt idx="7">
                  <c:v>0.1200582594739501</c:v>
                </c:pt>
                <c:pt idx="8">
                  <c:v>-6.4405934299728074E-2</c:v>
                </c:pt>
                <c:pt idx="9">
                  <c:v>-0.47700753296047083</c:v>
                </c:pt>
                <c:pt idx="10">
                  <c:v>0.16496619171660143</c:v>
                </c:pt>
                <c:pt idx="11">
                  <c:v>-0.2514977234250324</c:v>
                </c:pt>
                <c:pt idx="12">
                  <c:v>9.2599971566187378E-6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A-4C4D-9DC5-FB1D66DA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3184"/>
        <c:axId val="184056304"/>
      </c:scatterChart>
      <c:valAx>
        <c:axId val="1840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304"/>
        <c:crosses val="autoZero"/>
        <c:crossBetween val="midCat"/>
      </c:valAx>
      <c:valAx>
        <c:axId val="1840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yield)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58137484723"/>
          <c:y val="0.165764071157772"/>
          <c:w val="0.82840789939425497"/>
          <c:h val="0.69798592884222799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'NSS Corporate'!$A$3:$A$71</c:f>
              <c:numCache>
                <c:formatCode>0.0</c:formatCode>
                <c:ptCount val="6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'NSS Corporate'!$I$3:$I$71</c:f>
              <c:numCache>
                <c:formatCode>0.00%</c:formatCode>
                <c:ptCount val="69"/>
                <c:pt idx="0">
                  <c:v>6.0708715388102519E-8</c:v>
                </c:pt>
                <c:pt idx="1">
                  <c:v>-3.2337309291174954E-4</c:v>
                </c:pt>
                <c:pt idx="2">
                  <c:v>-2.7230569049341291E-4</c:v>
                </c:pt>
                <c:pt idx="3">
                  <c:v>1.6886147348760261E-4</c:v>
                </c:pt>
                <c:pt idx="4">
                  <c:v>-1.6286624953512074E-3</c:v>
                </c:pt>
                <c:pt idx="5">
                  <c:v>-5.2002290519403971E-4</c:v>
                </c:pt>
                <c:pt idx="6">
                  <c:v>4.0448795273428928E-5</c:v>
                </c:pt>
                <c:pt idx="7">
                  <c:v>-3.1209200366211221E-4</c:v>
                </c:pt>
                <c:pt idx="8">
                  <c:v>1.3520896564744866E-4</c:v>
                </c:pt>
                <c:pt idx="9">
                  <c:v>8.4674175512988725E-4</c:v>
                </c:pt>
                <c:pt idx="10">
                  <c:v>-2.03307959642407E-4</c:v>
                </c:pt>
                <c:pt idx="11">
                  <c:v>2.4074008244201472E-4</c:v>
                </c:pt>
                <c:pt idx="12">
                  <c:v>-6.0810363411434309E-9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4-46E8-A4C1-BA814198D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3168"/>
        <c:axId val="184396288"/>
      </c:scatterChart>
      <c:valAx>
        <c:axId val="1843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288"/>
        <c:crosses val="autoZero"/>
        <c:crossBetween val="midCat"/>
      </c:valAx>
      <c:valAx>
        <c:axId val="184396288"/>
        <c:scaling>
          <c:orientation val="minMax"/>
          <c:max val="2.5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bp&quot;%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Visualization split by component (Really far into the future)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'NSS Corporate'!$CO$2</c:f>
              <c:strCache>
                <c:ptCount val="1"/>
                <c:pt idx="0">
                  <c:v>Long term spot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Corporate'!$CN$3:$CN$503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Corporate'!$CO$3:$CO$503</c:f>
              <c:numCache>
                <c:formatCode>0.00%</c:formatCode>
                <c:ptCount val="501"/>
                <c:pt idx="0">
                  <c:v>3.6780012704100286E-2</c:v>
                </c:pt>
                <c:pt idx="1">
                  <c:v>3.6780012704100286E-2</c:v>
                </c:pt>
                <c:pt idx="2">
                  <c:v>3.6780012704100286E-2</c:v>
                </c:pt>
                <c:pt idx="3">
                  <c:v>3.6780012704100286E-2</c:v>
                </c:pt>
                <c:pt idx="4">
                  <c:v>3.6780012704100286E-2</c:v>
                </c:pt>
                <c:pt idx="5">
                  <c:v>3.6780012704100286E-2</c:v>
                </c:pt>
                <c:pt idx="6">
                  <c:v>3.6780012704100286E-2</c:v>
                </c:pt>
                <c:pt idx="7">
                  <c:v>3.6780012704100286E-2</c:v>
                </c:pt>
                <c:pt idx="8">
                  <c:v>3.6780012704100286E-2</c:v>
                </c:pt>
                <c:pt idx="9">
                  <c:v>3.6780012704100286E-2</c:v>
                </c:pt>
                <c:pt idx="10">
                  <c:v>3.6780012704100286E-2</c:v>
                </c:pt>
                <c:pt idx="11">
                  <c:v>3.6780012704100286E-2</c:v>
                </c:pt>
                <c:pt idx="12">
                  <c:v>3.6780012704100286E-2</c:v>
                </c:pt>
                <c:pt idx="13">
                  <c:v>3.6780012704100286E-2</c:v>
                </c:pt>
                <c:pt idx="14">
                  <c:v>3.6780012704100286E-2</c:v>
                </c:pt>
                <c:pt idx="15">
                  <c:v>3.6780012704100286E-2</c:v>
                </c:pt>
                <c:pt idx="16">
                  <c:v>3.6780012704100286E-2</c:v>
                </c:pt>
                <c:pt idx="17">
                  <c:v>3.6780012704100286E-2</c:v>
                </c:pt>
                <c:pt idx="18">
                  <c:v>3.6780012704100286E-2</c:v>
                </c:pt>
                <c:pt idx="19">
                  <c:v>3.6780012704100286E-2</c:v>
                </c:pt>
                <c:pt idx="20">
                  <c:v>3.6780012704100286E-2</c:v>
                </c:pt>
                <c:pt idx="21">
                  <c:v>3.6780012704100286E-2</c:v>
                </c:pt>
                <c:pt idx="22">
                  <c:v>3.6780012704100286E-2</c:v>
                </c:pt>
                <c:pt idx="23">
                  <c:v>3.6780012704100286E-2</c:v>
                </c:pt>
                <c:pt idx="24">
                  <c:v>3.6780012704100286E-2</c:v>
                </c:pt>
                <c:pt idx="25">
                  <c:v>3.6780012704100286E-2</c:v>
                </c:pt>
                <c:pt idx="26">
                  <c:v>3.6780012704100286E-2</c:v>
                </c:pt>
                <c:pt idx="27">
                  <c:v>3.6780012704100286E-2</c:v>
                </c:pt>
                <c:pt idx="28">
                  <c:v>3.6780012704100286E-2</c:v>
                </c:pt>
                <c:pt idx="29">
                  <c:v>3.6780012704100286E-2</c:v>
                </c:pt>
                <c:pt idx="30">
                  <c:v>3.6780012704100286E-2</c:v>
                </c:pt>
                <c:pt idx="31">
                  <c:v>3.6780012704100286E-2</c:v>
                </c:pt>
                <c:pt idx="32">
                  <c:v>3.6780012704100286E-2</c:v>
                </c:pt>
                <c:pt idx="33">
                  <c:v>3.6780012704100286E-2</c:v>
                </c:pt>
                <c:pt idx="34">
                  <c:v>3.6780012704100286E-2</c:v>
                </c:pt>
                <c:pt idx="35">
                  <c:v>3.6780012704100286E-2</c:v>
                </c:pt>
                <c:pt idx="36">
                  <c:v>3.6780012704100286E-2</c:v>
                </c:pt>
                <c:pt idx="37">
                  <c:v>3.6780012704100286E-2</c:v>
                </c:pt>
                <c:pt idx="38">
                  <c:v>3.6780012704100286E-2</c:v>
                </c:pt>
                <c:pt idx="39">
                  <c:v>3.6780012704100286E-2</c:v>
                </c:pt>
                <c:pt idx="40">
                  <c:v>3.6780012704100286E-2</c:v>
                </c:pt>
                <c:pt idx="41">
                  <c:v>3.6780012704100286E-2</c:v>
                </c:pt>
                <c:pt idx="42">
                  <c:v>3.6780012704100286E-2</c:v>
                </c:pt>
                <c:pt idx="43">
                  <c:v>3.6780012704100286E-2</c:v>
                </c:pt>
                <c:pt idx="44">
                  <c:v>3.6780012704100286E-2</c:v>
                </c:pt>
                <c:pt idx="45">
                  <c:v>3.6780012704100286E-2</c:v>
                </c:pt>
                <c:pt idx="46">
                  <c:v>3.6780012704100286E-2</c:v>
                </c:pt>
                <c:pt idx="47">
                  <c:v>3.6780012704100286E-2</c:v>
                </c:pt>
                <c:pt idx="48">
                  <c:v>3.6780012704100286E-2</c:v>
                </c:pt>
                <c:pt idx="49">
                  <c:v>3.6780012704100286E-2</c:v>
                </c:pt>
                <c:pt idx="50">
                  <c:v>3.6780012704100286E-2</c:v>
                </c:pt>
                <c:pt idx="51">
                  <c:v>3.6780012704100286E-2</c:v>
                </c:pt>
                <c:pt idx="52">
                  <c:v>3.6780012704100286E-2</c:v>
                </c:pt>
                <c:pt idx="53">
                  <c:v>3.6780012704100286E-2</c:v>
                </c:pt>
                <c:pt idx="54">
                  <c:v>3.6780012704100286E-2</c:v>
                </c:pt>
                <c:pt idx="55">
                  <c:v>3.6780012704100286E-2</c:v>
                </c:pt>
                <c:pt idx="56">
                  <c:v>3.6780012704100286E-2</c:v>
                </c:pt>
                <c:pt idx="57">
                  <c:v>3.6780012704100286E-2</c:v>
                </c:pt>
                <c:pt idx="58">
                  <c:v>3.6780012704100286E-2</c:v>
                </c:pt>
                <c:pt idx="59">
                  <c:v>3.6780012704100286E-2</c:v>
                </c:pt>
                <c:pt idx="60">
                  <c:v>3.6780012704100286E-2</c:v>
                </c:pt>
                <c:pt idx="61">
                  <c:v>3.6780012704100286E-2</c:v>
                </c:pt>
                <c:pt idx="62">
                  <c:v>3.6780012704100286E-2</c:v>
                </c:pt>
                <c:pt idx="63">
                  <c:v>3.6780012704100286E-2</c:v>
                </c:pt>
                <c:pt idx="64">
                  <c:v>3.6780012704100286E-2</c:v>
                </c:pt>
                <c:pt idx="65">
                  <c:v>3.6780012704100286E-2</c:v>
                </c:pt>
                <c:pt idx="66">
                  <c:v>3.6780012704100286E-2</c:v>
                </c:pt>
                <c:pt idx="67">
                  <c:v>3.6780012704100286E-2</c:v>
                </c:pt>
                <c:pt idx="68">
                  <c:v>3.6780012704100286E-2</c:v>
                </c:pt>
                <c:pt idx="69">
                  <c:v>3.6780012704100286E-2</c:v>
                </c:pt>
                <c:pt idx="70">
                  <c:v>3.6780012704100286E-2</c:v>
                </c:pt>
                <c:pt idx="71">
                  <c:v>3.6780012704100286E-2</c:v>
                </c:pt>
                <c:pt idx="72">
                  <c:v>3.6780012704100286E-2</c:v>
                </c:pt>
                <c:pt idx="73">
                  <c:v>3.6780012704100286E-2</c:v>
                </c:pt>
                <c:pt idx="74">
                  <c:v>3.6780012704100286E-2</c:v>
                </c:pt>
                <c:pt idx="75">
                  <c:v>3.6780012704100286E-2</c:v>
                </c:pt>
                <c:pt idx="76">
                  <c:v>3.6780012704100286E-2</c:v>
                </c:pt>
                <c:pt idx="77">
                  <c:v>3.6780012704100286E-2</c:v>
                </c:pt>
                <c:pt idx="78">
                  <c:v>3.6780012704100286E-2</c:v>
                </c:pt>
                <c:pt idx="79">
                  <c:v>3.6780012704100286E-2</c:v>
                </c:pt>
                <c:pt idx="80">
                  <c:v>3.6780012704100286E-2</c:v>
                </c:pt>
                <c:pt idx="81">
                  <c:v>3.6780012704100286E-2</c:v>
                </c:pt>
                <c:pt idx="82">
                  <c:v>3.6780012704100286E-2</c:v>
                </c:pt>
                <c:pt idx="83">
                  <c:v>3.6780012704100286E-2</c:v>
                </c:pt>
                <c:pt idx="84">
                  <c:v>3.6780012704100286E-2</c:v>
                </c:pt>
                <c:pt idx="85">
                  <c:v>3.6780012704100286E-2</c:v>
                </c:pt>
                <c:pt idx="86">
                  <c:v>3.6780012704100286E-2</c:v>
                </c:pt>
                <c:pt idx="87">
                  <c:v>3.6780012704100286E-2</c:v>
                </c:pt>
                <c:pt idx="88">
                  <c:v>3.6780012704100286E-2</c:v>
                </c:pt>
                <c:pt idx="89">
                  <c:v>3.6780012704100286E-2</c:v>
                </c:pt>
                <c:pt idx="90">
                  <c:v>3.6780012704100286E-2</c:v>
                </c:pt>
                <c:pt idx="91">
                  <c:v>3.6780012704100286E-2</c:v>
                </c:pt>
                <c:pt idx="92">
                  <c:v>3.6780012704100286E-2</c:v>
                </c:pt>
                <c:pt idx="93">
                  <c:v>3.6780012704100286E-2</c:v>
                </c:pt>
                <c:pt idx="94">
                  <c:v>3.6780012704100286E-2</c:v>
                </c:pt>
                <c:pt idx="95">
                  <c:v>3.6780012704100286E-2</c:v>
                </c:pt>
                <c:pt idx="96">
                  <c:v>3.6780012704100286E-2</c:v>
                </c:pt>
                <c:pt idx="97">
                  <c:v>3.6780012704100286E-2</c:v>
                </c:pt>
                <c:pt idx="98">
                  <c:v>3.6780012704100286E-2</c:v>
                </c:pt>
                <c:pt idx="99">
                  <c:v>3.6780012704100286E-2</c:v>
                </c:pt>
                <c:pt idx="100">
                  <c:v>3.6780012704100286E-2</c:v>
                </c:pt>
                <c:pt idx="101">
                  <c:v>3.6780012704100286E-2</c:v>
                </c:pt>
                <c:pt idx="102">
                  <c:v>3.6780012704100286E-2</c:v>
                </c:pt>
                <c:pt idx="103">
                  <c:v>3.6780012704100286E-2</c:v>
                </c:pt>
                <c:pt idx="104">
                  <c:v>3.6780012704100286E-2</c:v>
                </c:pt>
                <c:pt idx="105">
                  <c:v>3.6780012704100286E-2</c:v>
                </c:pt>
                <c:pt idx="106">
                  <c:v>3.6780012704100286E-2</c:v>
                </c:pt>
                <c:pt idx="107">
                  <c:v>3.6780012704100286E-2</c:v>
                </c:pt>
                <c:pt idx="108">
                  <c:v>3.6780012704100286E-2</c:v>
                </c:pt>
                <c:pt idx="109">
                  <c:v>3.6780012704100286E-2</c:v>
                </c:pt>
                <c:pt idx="110">
                  <c:v>3.6780012704100286E-2</c:v>
                </c:pt>
                <c:pt idx="111">
                  <c:v>3.6780012704100286E-2</c:v>
                </c:pt>
                <c:pt idx="112">
                  <c:v>3.6780012704100286E-2</c:v>
                </c:pt>
                <c:pt idx="113">
                  <c:v>3.6780012704100286E-2</c:v>
                </c:pt>
                <c:pt idx="114">
                  <c:v>3.6780012704100286E-2</c:v>
                </c:pt>
                <c:pt idx="115">
                  <c:v>3.6780012704100286E-2</c:v>
                </c:pt>
                <c:pt idx="116">
                  <c:v>3.6780012704100286E-2</c:v>
                </c:pt>
                <c:pt idx="117">
                  <c:v>3.6780012704100286E-2</c:v>
                </c:pt>
                <c:pt idx="118">
                  <c:v>3.6780012704100286E-2</c:v>
                </c:pt>
                <c:pt idx="119">
                  <c:v>3.6780012704100286E-2</c:v>
                </c:pt>
                <c:pt idx="120">
                  <c:v>3.6780012704100286E-2</c:v>
                </c:pt>
                <c:pt idx="121">
                  <c:v>3.6780012704100286E-2</c:v>
                </c:pt>
                <c:pt idx="122">
                  <c:v>3.6780012704100286E-2</c:v>
                </c:pt>
                <c:pt idx="123">
                  <c:v>3.6780012704100286E-2</c:v>
                </c:pt>
                <c:pt idx="124">
                  <c:v>3.6780012704100286E-2</c:v>
                </c:pt>
                <c:pt idx="125">
                  <c:v>3.6780012704100286E-2</c:v>
                </c:pt>
                <c:pt idx="126">
                  <c:v>3.6780012704100286E-2</c:v>
                </c:pt>
                <c:pt idx="127">
                  <c:v>3.6780012704100286E-2</c:v>
                </c:pt>
                <c:pt idx="128">
                  <c:v>3.6780012704100286E-2</c:v>
                </c:pt>
                <c:pt idx="129">
                  <c:v>3.6780012704100286E-2</c:v>
                </c:pt>
                <c:pt idx="130">
                  <c:v>3.6780012704100286E-2</c:v>
                </c:pt>
                <c:pt idx="131">
                  <c:v>3.6780012704100286E-2</c:v>
                </c:pt>
                <c:pt idx="132">
                  <c:v>3.6780012704100286E-2</c:v>
                </c:pt>
                <c:pt idx="133">
                  <c:v>3.6780012704100286E-2</c:v>
                </c:pt>
                <c:pt idx="134">
                  <c:v>3.6780012704100286E-2</c:v>
                </c:pt>
                <c:pt idx="135">
                  <c:v>3.6780012704100286E-2</c:v>
                </c:pt>
                <c:pt idx="136">
                  <c:v>3.6780012704100286E-2</c:v>
                </c:pt>
                <c:pt idx="137">
                  <c:v>3.6780012704100286E-2</c:v>
                </c:pt>
                <c:pt idx="138">
                  <c:v>3.6780012704100286E-2</c:v>
                </c:pt>
                <c:pt idx="139">
                  <c:v>3.6780012704100286E-2</c:v>
                </c:pt>
                <c:pt idx="140">
                  <c:v>3.6780012704100286E-2</c:v>
                </c:pt>
                <c:pt idx="141">
                  <c:v>3.6780012704100286E-2</c:v>
                </c:pt>
                <c:pt idx="142">
                  <c:v>3.6780012704100286E-2</c:v>
                </c:pt>
                <c:pt idx="143">
                  <c:v>3.6780012704100286E-2</c:v>
                </c:pt>
                <c:pt idx="144">
                  <c:v>3.6780012704100286E-2</c:v>
                </c:pt>
                <c:pt idx="145">
                  <c:v>3.6780012704100286E-2</c:v>
                </c:pt>
                <c:pt idx="146">
                  <c:v>3.6780012704100286E-2</c:v>
                </c:pt>
                <c:pt idx="147">
                  <c:v>3.6780012704100286E-2</c:v>
                </c:pt>
                <c:pt idx="148">
                  <c:v>3.6780012704100286E-2</c:v>
                </c:pt>
                <c:pt idx="149">
                  <c:v>3.6780012704100286E-2</c:v>
                </c:pt>
                <c:pt idx="150">
                  <c:v>3.6780012704100286E-2</c:v>
                </c:pt>
                <c:pt idx="151">
                  <c:v>3.6780012704100286E-2</c:v>
                </c:pt>
                <c:pt idx="152">
                  <c:v>3.6780012704100286E-2</c:v>
                </c:pt>
                <c:pt idx="153">
                  <c:v>3.6780012704100286E-2</c:v>
                </c:pt>
                <c:pt idx="154">
                  <c:v>3.6780012704100286E-2</c:v>
                </c:pt>
                <c:pt idx="155">
                  <c:v>3.6780012704100286E-2</c:v>
                </c:pt>
                <c:pt idx="156">
                  <c:v>3.6780012704100286E-2</c:v>
                </c:pt>
                <c:pt idx="157">
                  <c:v>3.6780012704100286E-2</c:v>
                </c:pt>
                <c:pt idx="158">
                  <c:v>3.6780012704100286E-2</c:v>
                </c:pt>
                <c:pt idx="159">
                  <c:v>3.6780012704100286E-2</c:v>
                </c:pt>
                <c:pt idx="160">
                  <c:v>3.6780012704100286E-2</c:v>
                </c:pt>
                <c:pt idx="161">
                  <c:v>3.6780012704100286E-2</c:v>
                </c:pt>
                <c:pt idx="162">
                  <c:v>3.6780012704100286E-2</c:v>
                </c:pt>
                <c:pt idx="163">
                  <c:v>3.6780012704100286E-2</c:v>
                </c:pt>
                <c:pt idx="164">
                  <c:v>3.6780012704100286E-2</c:v>
                </c:pt>
                <c:pt idx="165">
                  <c:v>3.6780012704100286E-2</c:v>
                </c:pt>
                <c:pt idx="166">
                  <c:v>3.6780012704100286E-2</c:v>
                </c:pt>
                <c:pt idx="167">
                  <c:v>3.6780012704100286E-2</c:v>
                </c:pt>
                <c:pt idx="168">
                  <c:v>3.6780012704100286E-2</c:v>
                </c:pt>
                <c:pt idx="169">
                  <c:v>3.6780012704100286E-2</c:v>
                </c:pt>
                <c:pt idx="170">
                  <c:v>3.6780012704100286E-2</c:v>
                </c:pt>
                <c:pt idx="171">
                  <c:v>3.6780012704100286E-2</c:v>
                </c:pt>
                <c:pt idx="172">
                  <c:v>3.6780012704100286E-2</c:v>
                </c:pt>
                <c:pt idx="173">
                  <c:v>3.6780012704100286E-2</c:v>
                </c:pt>
                <c:pt idx="174">
                  <c:v>3.6780012704100286E-2</c:v>
                </c:pt>
                <c:pt idx="175">
                  <c:v>3.6780012704100286E-2</c:v>
                </c:pt>
                <c:pt idx="176">
                  <c:v>3.6780012704100286E-2</c:v>
                </c:pt>
                <c:pt idx="177">
                  <c:v>3.6780012704100286E-2</c:v>
                </c:pt>
                <c:pt idx="178">
                  <c:v>3.6780012704100286E-2</c:v>
                </c:pt>
                <c:pt idx="179">
                  <c:v>3.6780012704100286E-2</c:v>
                </c:pt>
                <c:pt idx="180">
                  <c:v>3.6780012704100286E-2</c:v>
                </c:pt>
                <c:pt idx="181">
                  <c:v>3.6780012704100286E-2</c:v>
                </c:pt>
                <c:pt idx="182">
                  <c:v>3.6780012704100286E-2</c:v>
                </c:pt>
                <c:pt idx="183">
                  <c:v>3.6780012704100286E-2</c:v>
                </c:pt>
                <c:pt idx="184">
                  <c:v>3.6780012704100286E-2</c:v>
                </c:pt>
                <c:pt idx="185">
                  <c:v>3.6780012704100286E-2</c:v>
                </c:pt>
                <c:pt idx="186">
                  <c:v>3.6780012704100286E-2</c:v>
                </c:pt>
                <c:pt idx="187">
                  <c:v>3.6780012704100286E-2</c:v>
                </c:pt>
                <c:pt idx="188">
                  <c:v>3.6780012704100286E-2</c:v>
                </c:pt>
                <c:pt idx="189">
                  <c:v>3.6780012704100286E-2</c:v>
                </c:pt>
                <c:pt idx="190">
                  <c:v>3.6780012704100286E-2</c:v>
                </c:pt>
                <c:pt idx="191">
                  <c:v>3.6780012704100286E-2</c:v>
                </c:pt>
                <c:pt idx="192">
                  <c:v>3.6780012704100286E-2</c:v>
                </c:pt>
                <c:pt idx="193">
                  <c:v>3.6780012704100286E-2</c:v>
                </c:pt>
                <c:pt idx="194">
                  <c:v>3.6780012704100286E-2</c:v>
                </c:pt>
                <c:pt idx="195">
                  <c:v>3.6780012704100286E-2</c:v>
                </c:pt>
                <c:pt idx="196">
                  <c:v>3.6780012704100286E-2</c:v>
                </c:pt>
                <c:pt idx="197">
                  <c:v>3.6780012704100286E-2</c:v>
                </c:pt>
                <c:pt idx="198">
                  <c:v>3.6780012704100286E-2</c:v>
                </c:pt>
                <c:pt idx="199">
                  <c:v>3.6780012704100286E-2</c:v>
                </c:pt>
                <c:pt idx="200">
                  <c:v>3.6780012704100286E-2</c:v>
                </c:pt>
                <c:pt idx="201">
                  <c:v>3.6780012704100286E-2</c:v>
                </c:pt>
                <c:pt idx="202">
                  <c:v>3.6780012704100286E-2</c:v>
                </c:pt>
                <c:pt idx="203">
                  <c:v>3.6780012704100286E-2</c:v>
                </c:pt>
                <c:pt idx="204">
                  <c:v>3.6780012704100286E-2</c:v>
                </c:pt>
                <c:pt idx="205">
                  <c:v>3.6780012704100286E-2</c:v>
                </c:pt>
                <c:pt idx="206">
                  <c:v>3.6780012704100286E-2</c:v>
                </c:pt>
                <c:pt idx="207">
                  <c:v>3.6780012704100286E-2</c:v>
                </c:pt>
                <c:pt idx="208">
                  <c:v>3.6780012704100286E-2</c:v>
                </c:pt>
                <c:pt idx="209">
                  <c:v>3.6780012704100286E-2</c:v>
                </c:pt>
                <c:pt idx="210">
                  <c:v>3.6780012704100286E-2</c:v>
                </c:pt>
                <c:pt idx="211">
                  <c:v>3.6780012704100286E-2</c:v>
                </c:pt>
                <c:pt idx="212">
                  <c:v>3.6780012704100286E-2</c:v>
                </c:pt>
                <c:pt idx="213">
                  <c:v>3.6780012704100286E-2</c:v>
                </c:pt>
                <c:pt idx="214">
                  <c:v>3.6780012704100286E-2</c:v>
                </c:pt>
                <c:pt idx="215">
                  <c:v>3.6780012704100286E-2</c:v>
                </c:pt>
                <c:pt idx="216">
                  <c:v>3.6780012704100286E-2</c:v>
                </c:pt>
                <c:pt idx="217">
                  <c:v>3.6780012704100286E-2</c:v>
                </c:pt>
                <c:pt idx="218">
                  <c:v>3.6780012704100286E-2</c:v>
                </c:pt>
                <c:pt idx="219">
                  <c:v>3.6780012704100286E-2</c:v>
                </c:pt>
                <c:pt idx="220">
                  <c:v>3.6780012704100286E-2</c:v>
                </c:pt>
                <c:pt idx="221">
                  <c:v>3.6780012704100286E-2</c:v>
                </c:pt>
                <c:pt idx="222">
                  <c:v>3.6780012704100286E-2</c:v>
                </c:pt>
                <c:pt idx="223">
                  <c:v>3.6780012704100286E-2</c:v>
                </c:pt>
                <c:pt idx="224">
                  <c:v>3.6780012704100286E-2</c:v>
                </c:pt>
                <c:pt idx="225">
                  <c:v>3.6780012704100286E-2</c:v>
                </c:pt>
                <c:pt idx="226">
                  <c:v>3.6780012704100286E-2</c:v>
                </c:pt>
                <c:pt idx="227">
                  <c:v>3.6780012704100286E-2</c:v>
                </c:pt>
                <c:pt idx="228">
                  <c:v>3.6780012704100286E-2</c:v>
                </c:pt>
                <c:pt idx="229">
                  <c:v>3.6780012704100286E-2</c:v>
                </c:pt>
                <c:pt idx="230">
                  <c:v>3.6780012704100286E-2</c:v>
                </c:pt>
                <c:pt idx="231">
                  <c:v>3.6780012704100286E-2</c:v>
                </c:pt>
                <c:pt idx="232">
                  <c:v>3.6780012704100286E-2</c:v>
                </c:pt>
                <c:pt idx="233">
                  <c:v>3.6780012704100286E-2</c:v>
                </c:pt>
                <c:pt idx="234">
                  <c:v>3.6780012704100286E-2</c:v>
                </c:pt>
                <c:pt idx="235">
                  <c:v>3.6780012704100286E-2</c:v>
                </c:pt>
                <c:pt idx="236">
                  <c:v>3.6780012704100286E-2</c:v>
                </c:pt>
                <c:pt idx="237">
                  <c:v>3.6780012704100286E-2</c:v>
                </c:pt>
                <c:pt idx="238">
                  <c:v>3.6780012704100286E-2</c:v>
                </c:pt>
                <c:pt idx="239">
                  <c:v>3.6780012704100286E-2</c:v>
                </c:pt>
                <c:pt idx="240">
                  <c:v>3.6780012704100286E-2</c:v>
                </c:pt>
                <c:pt idx="241">
                  <c:v>3.6780012704100286E-2</c:v>
                </c:pt>
                <c:pt idx="242">
                  <c:v>3.6780012704100286E-2</c:v>
                </c:pt>
                <c:pt idx="243">
                  <c:v>3.6780012704100286E-2</c:v>
                </c:pt>
                <c:pt idx="244">
                  <c:v>3.6780012704100286E-2</c:v>
                </c:pt>
                <c:pt idx="245">
                  <c:v>3.6780012704100286E-2</c:v>
                </c:pt>
                <c:pt idx="246">
                  <c:v>3.6780012704100286E-2</c:v>
                </c:pt>
                <c:pt idx="247">
                  <c:v>3.6780012704100286E-2</c:v>
                </c:pt>
                <c:pt idx="248">
                  <c:v>3.6780012704100286E-2</c:v>
                </c:pt>
                <c:pt idx="249">
                  <c:v>3.6780012704100286E-2</c:v>
                </c:pt>
                <c:pt idx="250">
                  <c:v>3.6780012704100286E-2</c:v>
                </c:pt>
                <c:pt idx="251">
                  <c:v>3.6780012704100286E-2</c:v>
                </c:pt>
                <c:pt idx="252">
                  <c:v>3.6780012704100286E-2</c:v>
                </c:pt>
                <c:pt idx="253">
                  <c:v>3.6780012704100286E-2</c:v>
                </c:pt>
                <c:pt idx="254">
                  <c:v>3.6780012704100286E-2</c:v>
                </c:pt>
                <c:pt idx="255">
                  <c:v>3.6780012704100286E-2</c:v>
                </c:pt>
                <c:pt idx="256">
                  <c:v>3.6780012704100286E-2</c:v>
                </c:pt>
                <c:pt idx="257">
                  <c:v>3.6780012704100286E-2</c:v>
                </c:pt>
                <c:pt idx="258">
                  <c:v>3.6780012704100286E-2</c:v>
                </c:pt>
                <c:pt idx="259">
                  <c:v>3.6780012704100286E-2</c:v>
                </c:pt>
                <c:pt idx="260">
                  <c:v>3.6780012704100286E-2</c:v>
                </c:pt>
                <c:pt idx="261">
                  <c:v>3.6780012704100286E-2</c:v>
                </c:pt>
                <c:pt idx="262">
                  <c:v>3.6780012704100286E-2</c:v>
                </c:pt>
                <c:pt idx="263">
                  <c:v>3.6780012704100286E-2</c:v>
                </c:pt>
                <c:pt idx="264">
                  <c:v>3.6780012704100286E-2</c:v>
                </c:pt>
                <c:pt idx="265">
                  <c:v>3.6780012704100286E-2</c:v>
                </c:pt>
                <c:pt idx="266">
                  <c:v>3.6780012704100286E-2</c:v>
                </c:pt>
                <c:pt idx="267">
                  <c:v>3.6780012704100286E-2</c:v>
                </c:pt>
                <c:pt idx="268">
                  <c:v>3.6780012704100286E-2</c:v>
                </c:pt>
                <c:pt idx="269">
                  <c:v>3.6780012704100286E-2</c:v>
                </c:pt>
                <c:pt idx="270">
                  <c:v>3.6780012704100286E-2</c:v>
                </c:pt>
                <c:pt idx="271">
                  <c:v>3.6780012704100286E-2</c:v>
                </c:pt>
                <c:pt idx="272">
                  <c:v>3.6780012704100286E-2</c:v>
                </c:pt>
                <c:pt idx="273">
                  <c:v>3.6780012704100286E-2</c:v>
                </c:pt>
                <c:pt idx="274">
                  <c:v>3.6780012704100286E-2</c:v>
                </c:pt>
                <c:pt idx="275">
                  <c:v>3.6780012704100286E-2</c:v>
                </c:pt>
                <c:pt idx="276">
                  <c:v>3.6780012704100286E-2</c:v>
                </c:pt>
                <c:pt idx="277">
                  <c:v>3.6780012704100286E-2</c:v>
                </c:pt>
                <c:pt idx="278">
                  <c:v>3.6780012704100286E-2</c:v>
                </c:pt>
                <c:pt idx="279">
                  <c:v>3.6780012704100286E-2</c:v>
                </c:pt>
                <c:pt idx="280">
                  <c:v>3.6780012704100286E-2</c:v>
                </c:pt>
                <c:pt idx="281">
                  <c:v>3.6780012704100286E-2</c:v>
                </c:pt>
                <c:pt idx="282">
                  <c:v>3.6780012704100286E-2</c:v>
                </c:pt>
                <c:pt idx="283">
                  <c:v>3.6780012704100286E-2</c:v>
                </c:pt>
                <c:pt idx="284">
                  <c:v>3.6780012704100286E-2</c:v>
                </c:pt>
                <c:pt idx="285">
                  <c:v>3.6780012704100286E-2</c:v>
                </c:pt>
                <c:pt idx="286">
                  <c:v>3.6780012704100286E-2</c:v>
                </c:pt>
                <c:pt idx="287">
                  <c:v>3.6780012704100286E-2</c:v>
                </c:pt>
                <c:pt idx="288">
                  <c:v>3.6780012704100286E-2</c:v>
                </c:pt>
                <c:pt idx="289">
                  <c:v>3.6780012704100286E-2</c:v>
                </c:pt>
                <c:pt idx="290">
                  <c:v>3.6780012704100286E-2</c:v>
                </c:pt>
                <c:pt idx="291">
                  <c:v>3.6780012704100286E-2</c:v>
                </c:pt>
                <c:pt idx="292">
                  <c:v>3.6780012704100286E-2</c:v>
                </c:pt>
                <c:pt idx="293">
                  <c:v>3.6780012704100286E-2</c:v>
                </c:pt>
                <c:pt idx="294">
                  <c:v>3.6780012704100286E-2</c:v>
                </c:pt>
                <c:pt idx="295">
                  <c:v>3.6780012704100286E-2</c:v>
                </c:pt>
                <c:pt idx="296">
                  <c:v>3.6780012704100286E-2</c:v>
                </c:pt>
                <c:pt idx="297">
                  <c:v>3.6780012704100286E-2</c:v>
                </c:pt>
                <c:pt idx="298">
                  <c:v>3.6780012704100286E-2</c:v>
                </c:pt>
                <c:pt idx="299">
                  <c:v>3.6780012704100286E-2</c:v>
                </c:pt>
                <c:pt idx="300">
                  <c:v>3.6780012704100286E-2</c:v>
                </c:pt>
                <c:pt idx="301">
                  <c:v>3.6780012704100286E-2</c:v>
                </c:pt>
                <c:pt idx="302">
                  <c:v>3.6780012704100286E-2</c:v>
                </c:pt>
                <c:pt idx="303">
                  <c:v>3.6780012704100286E-2</c:v>
                </c:pt>
                <c:pt idx="304">
                  <c:v>3.6780012704100286E-2</c:v>
                </c:pt>
                <c:pt idx="305">
                  <c:v>3.6780012704100286E-2</c:v>
                </c:pt>
                <c:pt idx="306">
                  <c:v>3.6780012704100286E-2</c:v>
                </c:pt>
                <c:pt idx="307">
                  <c:v>3.6780012704100286E-2</c:v>
                </c:pt>
                <c:pt idx="308">
                  <c:v>3.6780012704100286E-2</c:v>
                </c:pt>
                <c:pt idx="309">
                  <c:v>3.6780012704100286E-2</c:v>
                </c:pt>
                <c:pt idx="310">
                  <c:v>3.6780012704100286E-2</c:v>
                </c:pt>
                <c:pt idx="311">
                  <c:v>3.6780012704100286E-2</c:v>
                </c:pt>
                <c:pt idx="312">
                  <c:v>3.6780012704100286E-2</c:v>
                </c:pt>
                <c:pt idx="313">
                  <c:v>3.6780012704100286E-2</c:v>
                </c:pt>
                <c:pt idx="314">
                  <c:v>3.6780012704100286E-2</c:v>
                </c:pt>
                <c:pt idx="315">
                  <c:v>3.6780012704100286E-2</c:v>
                </c:pt>
                <c:pt idx="316">
                  <c:v>3.6780012704100286E-2</c:v>
                </c:pt>
                <c:pt idx="317">
                  <c:v>3.6780012704100286E-2</c:v>
                </c:pt>
                <c:pt idx="318">
                  <c:v>3.6780012704100286E-2</c:v>
                </c:pt>
                <c:pt idx="319">
                  <c:v>3.6780012704100286E-2</c:v>
                </c:pt>
                <c:pt idx="320">
                  <c:v>3.6780012704100286E-2</c:v>
                </c:pt>
                <c:pt idx="321">
                  <c:v>3.6780012704100286E-2</c:v>
                </c:pt>
                <c:pt idx="322">
                  <c:v>3.6780012704100286E-2</c:v>
                </c:pt>
                <c:pt idx="323">
                  <c:v>3.6780012704100286E-2</c:v>
                </c:pt>
                <c:pt idx="324">
                  <c:v>3.6780012704100286E-2</c:v>
                </c:pt>
                <c:pt idx="325">
                  <c:v>3.6780012704100286E-2</c:v>
                </c:pt>
                <c:pt idx="326">
                  <c:v>3.6780012704100286E-2</c:v>
                </c:pt>
                <c:pt idx="327">
                  <c:v>3.6780012704100286E-2</c:v>
                </c:pt>
                <c:pt idx="328">
                  <c:v>3.6780012704100286E-2</c:v>
                </c:pt>
                <c:pt idx="329">
                  <c:v>3.6780012704100286E-2</c:v>
                </c:pt>
                <c:pt idx="330">
                  <c:v>3.6780012704100286E-2</c:v>
                </c:pt>
                <c:pt idx="331">
                  <c:v>3.6780012704100286E-2</c:v>
                </c:pt>
                <c:pt idx="332">
                  <c:v>3.6780012704100286E-2</c:v>
                </c:pt>
                <c:pt idx="333">
                  <c:v>3.6780012704100286E-2</c:v>
                </c:pt>
                <c:pt idx="334">
                  <c:v>3.6780012704100286E-2</c:v>
                </c:pt>
                <c:pt idx="335">
                  <c:v>3.6780012704100286E-2</c:v>
                </c:pt>
                <c:pt idx="336">
                  <c:v>3.6780012704100286E-2</c:v>
                </c:pt>
                <c:pt idx="337">
                  <c:v>3.6780012704100286E-2</c:v>
                </c:pt>
                <c:pt idx="338">
                  <c:v>3.6780012704100286E-2</c:v>
                </c:pt>
                <c:pt idx="339">
                  <c:v>3.6780012704100286E-2</c:v>
                </c:pt>
                <c:pt idx="340">
                  <c:v>3.6780012704100286E-2</c:v>
                </c:pt>
                <c:pt idx="341">
                  <c:v>3.6780012704100286E-2</c:v>
                </c:pt>
                <c:pt idx="342">
                  <c:v>3.6780012704100286E-2</c:v>
                </c:pt>
                <c:pt idx="343">
                  <c:v>3.6780012704100286E-2</c:v>
                </c:pt>
                <c:pt idx="344">
                  <c:v>3.6780012704100286E-2</c:v>
                </c:pt>
                <c:pt idx="345">
                  <c:v>3.6780012704100286E-2</c:v>
                </c:pt>
                <c:pt idx="346">
                  <c:v>3.6780012704100286E-2</c:v>
                </c:pt>
                <c:pt idx="347">
                  <c:v>3.6780012704100286E-2</c:v>
                </c:pt>
                <c:pt idx="348">
                  <c:v>3.6780012704100286E-2</c:v>
                </c:pt>
                <c:pt idx="349">
                  <c:v>3.6780012704100286E-2</c:v>
                </c:pt>
                <c:pt idx="350">
                  <c:v>3.6780012704100286E-2</c:v>
                </c:pt>
                <c:pt idx="351">
                  <c:v>3.6780012704100286E-2</c:v>
                </c:pt>
                <c:pt idx="352">
                  <c:v>3.6780012704100286E-2</c:v>
                </c:pt>
                <c:pt idx="353">
                  <c:v>3.6780012704100286E-2</c:v>
                </c:pt>
                <c:pt idx="354">
                  <c:v>3.6780012704100286E-2</c:v>
                </c:pt>
                <c:pt idx="355">
                  <c:v>3.6780012704100286E-2</c:v>
                </c:pt>
                <c:pt idx="356">
                  <c:v>3.6780012704100286E-2</c:v>
                </c:pt>
                <c:pt idx="357">
                  <c:v>3.6780012704100286E-2</c:v>
                </c:pt>
                <c:pt idx="358">
                  <c:v>3.6780012704100286E-2</c:v>
                </c:pt>
                <c:pt idx="359">
                  <c:v>3.6780012704100286E-2</c:v>
                </c:pt>
                <c:pt idx="360">
                  <c:v>3.6780012704100286E-2</c:v>
                </c:pt>
                <c:pt idx="361">
                  <c:v>3.6780012704100286E-2</c:v>
                </c:pt>
                <c:pt idx="362">
                  <c:v>3.6780012704100286E-2</c:v>
                </c:pt>
                <c:pt idx="363">
                  <c:v>3.6780012704100286E-2</c:v>
                </c:pt>
                <c:pt idx="364">
                  <c:v>3.6780012704100286E-2</c:v>
                </c:pt>
                <c:pt idx="365">
                  <c:v>3.6780012704100286E-2</c:v>
                </c:pt>
                <c:pt idx="366">
                  <c:v>3.6780012704100286E-2</c:v>
                </c:pt>
                <c:pt idx="367">
                  <c:v>3.6780012704100286E-2</c:v>
                </c:pt>
                <c:pt idx="368">
                  <c:v>3.6780012704100286E-2</c:v>
                </c:pt>
                <c:pt idx="369">
                  <c:v>3.6780012704100286E-2</c:v>
                </c:pt>
                <c:pt idx="370">
                  <c:v>3.6780012704100286E-2</c:v>
                </c:pt>
                <c:pt idx="371">
                  <c:v>3.6780012704100286E-2</c:v>
                </c:pt>
                <c:pt idx="372">
                  <c:v>3.6780012704100286E-2</c:v>
                </c:pt>
                <c:pt idx="373">
                  <c:v>3.6780012704100286E-2</c:v>
                </c:pt>
                <c:pt idx="374">
                  <c:v>3.6780012704100286E-2</c:v>
                </c:pt>
                <c:pt idx="375">
                  <c:v>3.6780012704100286E-2</c:v>
                </c:pt>
                <c:pt idx="376">
                  <c:v>3.6780012704100286E-2</c:v>
                </c:pt>
                <c:pt idx="377">
                  <c:v>3.6780012704100286E-2</c:v>
                </c:pt>
                <c:pt idx="378">
                  <c:v>3.6780012704100286E-2</c:v>
                </c:pt>
                <c:pt idx="379">
                  <c:v>3.6780012704100286E-2</c:v>
                </c:pt>
                <c:pt idx="380">
                  <c:v>3.6780012704100286E-2</c:v>
                </c:pt>
                <c:pt idx="381">
                  <c:v>3.6780012704100286E-2</c:v>
                </c:pt>
                <c:pt idx="382">
                  <c:v>3.6780012704100286E-2</c:v>
                </c:pt>
                <c:pt idx="383">
                  <c:v>3.6780012704100286E-2</c:v>
                </c:pt>
                <c:pt idx="384">
                  <c:v>3.6780012704100286E-2</c:v>
                </c:pt>
                <c:pt idx="385">
                  <c:v>3.6780012704100286E-2</c:v>
                </c:pt>
                <c:pt idx="386">
                  <c:v>3.6780012704100286E-2</c:v>
                </c:pt>
                <c:pt idx="387">
                  <c:v>3.6780012704100286E-2</c:v>
                </c:pt>
                <c:pt idx="388">
                  <c:v>3.6780012704100286E-2</c:v>
                </c:pt>
                <c:pt idx="389">
                  <c:v>3.6780012704100286E-2</c:v>
                </c:pt>
                <c:pt idx="390">
                  <c:v>3.6780012704100286E-2</c:v>
                </c:pt>
                <c:pt idx="391">
                  <c:v>3.6780012704100286E-2</c:v>
                </c:pt>
                <c:pt idx="392">
                  <c:v>3.6780012704100286E-2</c:v>
                </c:pt>
                <c:pt idx="393">
                  <c:v>3.6780012704100286E-2</c:v>
                </c:pt>
                <c:pt idx="394">
                  <c:v>3.6780012704100286E-2</c:v>
                </c:pt>
                <c:pt idx="395">
                  <c:v>3.6780012704100286E-2</c:v>
                </c:pt>
                <c:pt idx="396">
                  <c:v>3.6780012704100286E-2</c:v>
                </c:pt>
                <c:pt idx="397">
                  <c:v>3.6780012704100286E-2</c:v>
                </c:pt>
                <c:pt idx="398">
                  <c:v>3.6780012704100286E-2</c:v>
                </c:pt>
                <c:pt idx="399">
                  <c:v>3.6780012704100286E-2</c:v>
                </c:pt>
                <c:pt idx="400">
                  <c:v>3.6780012704100286E-2</c:v>
                </c:pt>
                <c:pt idx="401">
                  <c:v>3.6780012704100286E-2</c:v>
                </c:pt>
                <c:pt idx="402">
                  <c:v>3.6780012704100286E-2</c:v>
                </c:pt>
                <c:pt idx="403">
                  <c:v>3.6780012704100286E-2</c:v>
                </c:pt>
                <c:pt idx="404">
                  <c:v>3.6780012704100286E-2</c:v>
                </c:pt>
                <c:pt idx="405">
                  <c:v>3.6780012704100286E-2</c:v>
                </c:pt>
                <c:pt idx="406">
                  <c:v>3.6780012704100286E-2</c:v>
                </c:pt>
                <c:pt idx="407">
                  <c:v>3.6780012704100286E-2</c:v>
                </c:pt>
                <c:pt idx="408">
                  <c:v>3.6780012704100286E-2</c:v>
                </c:pt>
                <c:pt idx="409">
                  <c:v>3.6780012704100286E-2</c:v>
                </c:pt>
                <c:pt idx="410">
                  <c:v>3.6780012704100286E-2</c:v>
                </c:pt>
                <c:pt idx="411">
                  <c:v>3.6780012704100286E-2</c:v>
                </c:pt>
                <c:pt idx="412">
                  <c:v>3.6780012704100286E-2</c:v>
                </c:pt>
                <c:pt idx="413">
                  <c:v>3.6780012704100286E-2</c:v>
                </c:pt>
                <c:pt idx="414">
                  <c:v>3.6780012704100286E-2</c:v>
                </c:pt>
                <c:pt idx="415">
                  <c:v>3.6780012704100286E-2</c:v>
                </c:pt>
                <c:pt idx="416">
                  <c:v>3.6780012704100286E-2</c:v>
                </c:pt>
                <c:pt idx="417">
                  <c:v>3.6780012704100286E-2</c:v>
                </c:pt>
                <c:pt idx="418">
                  <c:v>3.6780012704100286E-2</c:v>
                </c:pt>
                <c:pt idx="419">
                  <c:v>3.6780012704100286E-2</c:v>
                </c:pt>
                <c:pt idx="420">
                  <c:v>3.6780012704100286E-2</c:v>
                </c:pt>
                <c:pt idx="421">
                  <c:v>3.6780012704100286E-2</c:v>
                </c:pt>
                <c:pt idx="422">
                  <c:v>3.6780012704100286E-2</c:v>
                </c:pt>
                <c:pt idx="423">
                  <c:v>3.6780012704100286E-2</c:v>
                </c:pt>
                <c:pt idx="424">
                  <c:v>3.6780012704100286E-2</c:v>
                </c:pt>
                <c:pt idx="425">
                  <c:v>3.6780012704100286E-2</c:v>
                </c:pt>
                <c:pt idx="426">
                  <c:v>3.6780012704100286E-2</c:v>
                </c:pt>
                <c:pt idx="427">
                  <c:v>3.6780012704100286E-2</c:v>
                </c:pt>
                <c:pt idx="428">
                  <c:v>3.6780012704100286E-2</c:v>
                </c:pt>
                <c:pt idx="429">
                  <c:v>3.6780012704100286E-2</c:v>
                </c:pt>
                <c:pt idx="430">
                  <c:v>3.6780012704100286E-2</c:v>
                </c:pt>
                <c:pt idx="431">
                  <c:v>3.6780012704100286E-2</c:v>
                </c:pt>
                <c:pt idx="432">
                  <c:v>3.6780012704100286E-2</c:v>
                </c:pt>
                <c:pt idx="433">
                  <c:v>3.6780012704100286E-2</c:v>
                </c:pt>
                <c:pt idx="434">
                  <c:v>3.6780012704100286E-2</c:v>
                </c:pt>
                <c:pt idx="435">
                  <c:v>3.6780012704100286E-2</c:v>
                </c:pt>
                <c:pt idx="436">
                  <c:v>3.6780012704100286E-2</c:v>
                </c:pt>
                <c:pt idx="437">
                  <c:v>3.6780012704100286E-2</c:v>
                </c:pt>
                <c:pt idx="438">
                  <c:v>3.6780012704100286E-2</c:v>
                </c:pt>
                <c:pt idx="439">
                  <c:v>3.6780012704100286E-2</c:v>
                </c:pt>
                <c:pt idx="440">
                  <c:v>3.6780012704100286E-2</c:v>
                </c:pt>
                <c:pt idx="441">
                  <c:v>3.6780012704100286E-2</c:v>
                </c:pt>
                <c:pt idx="442">
                  <c:v>3.6780012704100286E-2</c:v>
                </c:pt>
                <c:pt idx="443">
                  <c:v>3.6780012704100286E-2</c:v>
                </c:pt>
                <c:pt idx="444">
                  <c:v>3.6780012704100286E-2</c:v>
                </c:pt>
                <c:pt idx="445">
                  <c:v>3.6780012704100286E-2</c:v>
                </c:pt>
                <c:pt idx="446">
                  <c:v>3.6780012704100286E-2</c:v>
                </c:pt>
                <c:pt idx="447">
                  <c:v>3.6780012704100286E-2</c:v>
                </c:pt>
                <c:pt idx="448">
                  <c:v>3.6780012704100286E-2</c:v>
                </c:pt>
                <c:pt idx="449">
                  <c:v>3.6780012704100286E-2</c:v>
                </c:pt>
                <c:pt idx="450">
                  <c:v>3.6780012704100286E-2</c:v>
                </c:pt>
                <c:pt idx="451">
                  <c:v>3.6780012704100286E-2</c:v>
                </c:pt>
                <c:pt idx="452">
                  <c:v>3.6780012704100286E-2</c:v>
                </c:pt>
                <c:pt idx="453">
                  <c:v>3.6780012704100286E-2</c:v>
                </c:pt>
                <c:pt idx="454">
                  <c:v>3.6780012704100286E-2</c:v>
                </c:pt>
                <c:pt idx="455">
                  <c:v>3.6780012704100286E-2</c:v>
                </c:pt>
                <c:pt idx="456">
                  <c:v>3.6780012704100286E-2</c:v>
                </c:pt>
                <c:pt idx="457">
                  <c:v>3.6780012704100286E-2</c:v>
                </c:pt>
                <c:pt idx="458">
                  <c:v>3.6780012704100286E-2</c:v>
                </c:pt>
                <c:pt idx="459">
                  <c:v>3.6780012704100286E-2</c:v>
                </c:pt>
                <c:pt idx="460">
                  <c:v>3.6780012704100286E-2</c:v>
                </c:pt>
                <c:pt idx="461">
                  <c:v>3.6780012704100286E-2</c:v>
                </c:pt>
                <c:pt idx="462">
                  <c:v>3.6780012704100286E-2</c:v>
                </c:pt>
                <c:pt idx="463">
                  <c:v>3.6780012704100286E-2</c:v>
                </c:pt>
                <c:pt idx="464">
                  <c:v>3.6780012704100286E-2</c:v>
                </c:pt>
                <c:pt idx="465">
                  <c:v>3.6780012704100286E-2</c:v>
                </c:pt>
                <c:pt idx="466">
                  <c:v>3.6780012704100286E-2</c:v>
                </c:pt>
                <c:pt idx="467">
                  <c:v>3.6780012704100286E-2</c:v>
                </c:pt>
                <c:pt idx="468">
                  <c:v>3.6780012704100286E-2</c:v>
                </c:pt>
                <c:pt idx="469">
                  <c:v>3.6780012704100286E-2</c:v>
                </c:pt>
                <c:pt idx="470">
                  <c:v>3.6780012704100286E-2</c:v>
                </c:pt>
                <c:pt idx="471">
                  <c:v>3.6780012704100286E-2</c:v>
                </c:pt>
                <c:pt idx="472">
                  <c:v>3.6780012704100286E-2</c:v>
                </c:pt>
                <c:pt idx="473">
                  <c:v>3.6780012704100286E-2</c:v>
                </c:pt>
                <c:pt idx="474">
                  <c:v>3.6780012704100286E-2</c:v>
                </c:pt>
                <c:pt idx="475">
                  <c:v>3.6780012704100286E-2</c:v>
                </c:pt>
                <c:pt idx="476">
                  <c:v>3.6780012704100286E-2</c:v>
                </c:pt>
                <c:pt idx="477">
                  <c:v>3.6780012704100286E-2</c:v>
                </c:pt>
                <c:pt idx="478">
                  <c:v>3.6780012704100286E-2</c:v>
                </c:pt>
                <c:pt idx="479">
                  <c:v>3.6780012704100286E-2</c:v>
                </c:pt>
                <c:pt idx="480">
                  <c:v>3.6780012704100286E-2</c:v>
                </c:pt>
                <c:pt idx="481">
                  <c:v>3.6780012704100286E-2</c:v>
                </c:pt>
                <c:pt idx="482">
                  <c:v>3.6780012704100286E-2</c:v>
                </c:pt>
                <c:pt idx="483">
                  <c:v>3.6780012704100286E-2</c:v>
                </c:pt>
                <c:pt idx="484">
                  <c:v>3.6780012704100286E-2</c:v>
                </c:pt>
                <c:pt idx="485">
                  <c:v>3.6780012704100286E-2</c:v>
                </c:pt>
                <c:pt idx="486">
                  <c:v>3.6780012704100286E-2</c:v>
                </c:pt>
                <c:pt idx="487">
                  <c:v>3.6780012704100286E-2</c:v>
                </c:pt>
                <c:pt idx="488">
                  <c:v>3.6780012704100286E-2</c:v>
                </c:pt>
                <c:pt idx="489">
                  <c:v>3.6780012704100286E-2</c:v>
                </c:pt>
                <c:pt idx="490">
                  <c:v>3.6780012704100286E-2</c:v>
                </c:pt>
                <c:pt idx="491">
                  <c:v>3.6780012704100286E-2</c:v>
                </c:pt>
                <c:pt idx="492">
                  <c:v>3.6780012704100286E-2</c:v>
                </c:pt>
                <c:pt idx="493">
                  <c:v>3.6780012704100286E-2</c:v>
                </c:pt>
                <c:pt idx="494">
                  <c:v>3.6780012704100286E-2</c:v>
                </c:pt>
                <c:pt idx="495">
                  <c:v>3.6780012704100286E-2</c:v>
                </c:pt>
                <c:pt idx="496">
                  <c:v>3.6780012704100286E-2</c:v>
                </c:pt>
                <c:pt idx="497">
                  <c:v>3.6780012704100286E-2</c:v>
                </c:pt>
                <c:pt idx="498">
                  <c:v>3.6780012704100286E-2</c:v>
                </c:pt>
                <c:pt idx="499">
                  <c:v>3.6780012704100286E-2</c:v>
                </c:pt>
                <c:pt idx="500">
                  <c:v>3.6780012704100286E-2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5-4892-B852-3EB0187866F5}"/>
            </c:ext>
          </c:extLst>
        </c:ser>
        <c:ser>
          <c:idx val="2"/>
          <c:order val="1"/>
          <c:tx>
            <c:strRef>
              <c:f>'NSS Corporate'!$CP$2</c:f>
              <c:strCache>
                <c:ptCount val="1"/>
                <c:pt idx="0">
                  <c:v>Time decay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Corporate'!$CN$3:$CN$503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Corporate'!$CP$3:$CP$503</c:f>
              <c:numCache>
                <c:formatCode>0.00%</c:formatCode>
                <c:ptCount val="501"/>
                <c:pt idx="0">
                  <c:v>-2.1912016713116267E-2</c:v>
                </c:pt>
                <c:pt idx="1">
                  <c:v>-2.1606522310573962E-2</c:v>
                </c:pt>
                <c:pt idx="2">
                  <c:v>-2.1306692952680933E-2</c:v>
                </c:pt>
                <c:pt idx="3">
                  <c:v>-2.1012411156927521E-2</c:v>
                </c:pt>
                <c:pt idx="4">
                  <c:v>-2.0723561449710215E-2</c:v>
                </c:pt>
                <c:pt idx="5">
                  <c:v>-2.0440030921271765E-2</c:v>
                </c:pt>
                <c:pt idx="6">
                  <c:v>-2.0161709166404588E-2</c:v>
                </c:pt>
                <c:pt idx="7">
                  <c:v>-1.9888488226564704E-2</c:v>
                </c:pt>
                <c:pt idx="8">
                  <c:v>-1.9620262533362142E-2</c:v>
                </c:pt>
                <c:pt idx="9">
                  <c:v>-1.9356928853394031E-2</c:v>
                </c:pt>
                <c:pt idx="10">
                  <c:v>-1.9098386234388299E-2</c:v>
                </c:pt>
                <c:pt idx="11">
                  <c:v>-1.8844535952625724E-2</c:v>
                </c:pt>
                <c:pt idx="12">
                  <c:v>-1.859528146160969E-2</c:v>
                </c:pt>
                <c:pt idx="13">
                  <c:v>-1.8350528341953182E-2</c:v>
                </c:pt>
                <c:pt idx="14">
                  <c:v>-1.8110184252453646E-2</c:v>
                </c:pt>
                <c:pt idx="15">
                  <c:v>-1.7874158882326921E-2</c:v>
                </c:pt>
                <c:pt idx="16">
                  <c:v>-1.7642363904572168E-2</c:v>
                </c:pt>
                <c:pt idx="17">
                  <c:v>-1.741471293044046E-2</c:v>
                </c:pt>
                <c:pt idx="18">
                  <c:v>-1.7191121464980308E-2</c:v>
                </c:pt>
                <c:pt idx="19">
                  <c:v>-1.6971506863634106E-2</c:v>
                </c:pt>
                <c:pt idx="20">
                  <c:v>-1.6755788289860112E-2</c:v>
                </c:pt>
                <c:pt idx="21">
                  <c:v>-1.6543886673755129E-2</c:v>
                </c:pt>
                <c:pt idx="22">
                  <c:v>-1.6335724671653822E-2</c:v>
                </c:pt>
                <c:pt idx="23">
                  <c:v>-1.6131226626681004E-2</c:v>
                </c:pt>
                <c:pt idx="24">
                  <c:v>-1.5930318530233953E-2</c:v>
                </c:pt>
                <c:pt idx="25">
                  <c:v>-1.5732927984372324E-2</c:v>
                </c:pt>
                <c:pt idx="26">
                  <c:v>-1.553898416509376E-2</c:v>
                </c:pt>
                <c:pt idx="27">
                  <c:v>-1.5348417786473879E-2</c:v>
                </c:pt>
                <c:pt idx="28">
                  <c:v>-1.5161161065649822E-2</c:v>
                </c:pt>
                <c:pt idx="29">
                  <c:v>-1.4977147688627021E-2</c:v>
                </c:pt>
                <c:pt idx="30">
                  <c:v>-1.4796312776889446E-2</c:v>
                </c:pt>
                <c:pt idx="31">
                  <c:v>-1.4618592854793904E-2</c:v>
                </c:pt>
                <c:pt idx="32">
                  <c:v>-1.4443925817729644E-2</c:v>
                </c:pt>
                <c:pt idx="33">
                  <c:v>-1.4272250901024793E-2</c:v>
                </c:pt>
                <c:pt idx="34">
                  <c:v>-1.4103508649581759E-2</c:v>
                </c:pt>
                <c:pt idx="35">
                  <c:v>-1.3937640888224001E-2</c:v>
                </c:pt>
                <c:pt idx="36">
                  <c:v>-1.3774590692737206E-2</c:v>
                </c:pt>
                <c:pt idx="37">
                  <c:v>-1.3614302361588131E-2</c:v>
                </c:pt>
                <c:pt idx="38">
                  <c:v>-1.3456721388304879E-2</c:v>
                </c:pt>
                <c:pt idx="39">
                  <c:v>-1.3301794434502801E-2</c:v>
                </c:pt>
                <c:pt idx="40">
                  <c:v>-1.3149469303540473E-2</c:v>
                </c:pt>
                <c:pt idx="41">
                  <c:v>-1.2999694914790768E-2</c:v>
                </c:pt>
                <c:pt idx="42">
                  <c:v>-1.2852421278512187E-2</c:v>
                </c:pt>
                <c:pt idx="43">
                  <c:v>-1.2707599471306182E-2</c:v>
                </c:pt>
                <c:pt idx="44">
                  <c:v>-1.2565181612146413E-2</c:v>
                </c:pt>
                <c:pt idx="45">
                  <c:v>-1.2425120838966262E-2</c:v>
                </c:pt>
                <c:pt idx="46">
                  <c:v>-1.2287371285791313E-2</c:v>
                </c:pt>
                <c:pt idx="47">
                  <c:v>-1.2151888060403723E-2</c:v>
                </c:pt>
                <c:pt idx="48">
                  <c:v>-1.2018627222525854E-2</c:v>
                </c:pt>
                <c:pt idx="49">
                  <c:v>-1.1887545762510715E-2</c:v>
                </c:pt>
                <c:pt idx="50">
                  <c:v>-1.1758601580527189E-2</c:v>
                </c:pt>
                <c:pt idx="51">
                  <c:v>-1.1631753466228198E-2</c:v>
                </c:pt>
                <c:pt idx="52">
                  <c:v>-1.1506961078890361E-2</c:v>
                </c:pt>
                <c:pt idx="53">
                  <c:v>-1.1384184928013859E-2</c:v>
                </c:pt>
                <c:pt idx="54">
                  <c:v>-1.1263386354371595E-2</c:v>
                </c:pt>
                <c:pt idx="55">
                  <c:v>-1.1144527511496945E-2</c:v>
                </c:pt>
                <c:pt idx="56">
                  <c:v>-1.102757134759968E-2</c:v>
                </c:pt>
                <c:pt idx="57">
                  <c:v>-1.0912481587899888E-2</c:v>
                </c:pt>
                <c:pt idx="58">
                  <c:v>-1.0799222717369949E-2</c:v>
                </c:pt>
                <c:pt idx="59">
                  <c:v>-1.0687759963874888E-2</c:v>
                </c:pt>
                <c:pt idx="60">
                  <c:v>-1.0578059281701677E-2</c:v>
                </c:pt>
                <c:pt idx="61">
                  <c:v>-1.0470087335468213E-2</c:v>
                </c:pt>
                <c:pt idx="62">
                  <c:v>-1.0363811484403013E-2</c:v>
                </c:pt>
                <c:pt idx="63">
                  <c:v>-1.0259199766986816E-2</c:v>
                </c:pt>
                <c:pt idx="64">
                  <c:v>-1.0156220885947554E-2</c:v>
                </c:pt>
                <c:pt idx="65">
                  <c:v>-1.0054844193600301E-2</c:v>
                </c:pt>
                <c:pt idx="66">
                  <c:v>-9.9550396775240409E-3</c:v>
                </c:pt>
                <c:pt idx="67">
                  <c:v>-9.856777946567306E-3</c:v>
                </c:pt>
                <c:pt idx="68">
                  <c:v>-9.7600302171749181E-3</c:v>
                </c:pt>
                <c:pt idx="69">
                  <c:v>-9.6647683000282113E-3</c:v>
                </c:pt>
                <c:pt idx="70">
                  <c:v>-9.5709645869913977E-3</c:v>
                </c:pt>
                <c:pt idx="71">
                  <c:v>-9.478592038356777E-3</c:v>
                </c:pt>
                <c:pt idx="72">
                  <c:v>-9.3876241703818378E-3</c:v>
                </c:pt>
                <c:pt idx="73">
                  <c:v>-9.2980350431112607E-3</c:v>
                </c:pt>
                <c:pt idx="74">
                  <c:v>-9.2097992484772191E-3</c:v>
                </c:pt>
                <c:pt idx="75">
                  <c:v>-9.1228918986713467E-3</c:v>
                </c:pt>
                <c:pt idx="76">
                  <c:v>-9.0372886147820249E-3</c:v>
                </c:pt>
                <c:pt idx="77">
                  <c:v>-8.9529655156907247E-3</c:v>
                </c:pt>
                <c:pt idx="78">
                  <c:v>-8.8698992072213326E-3</c:v>
                </c:pt>
                <c:pt idx="79">
                  <c:v>-8.7880667715365124E-3</c:v>
                </c:pt>
                <c:pt idx="80">
                  <c:v>-8.707445756775286E-3</c:v>
                </c:pt>
                <c:pt idx="81">
                  <c:v>-8.6280141669262053E-3</c:v>
                </c:pt>
                <c:pt idx="82">
                  <c:v>-8.5497504519305642E-3</c:v>
                </c:pt>
                <c:pt idx="83">
                  <c:v>-8.4726334980102565E-3</c:v>
                </c:pt>
                <c:pt idx="84">
                  <c:v>-8.3966426182150548E-3</c:v>
                </c:pt>
                <c:pt idx="85">
                  <c:v>-8.3217575431841113E-3</c:v>
                </c:pt>
                <c:pt idx="86">
                  <c:v>-8.2479584121167345E-3</c:v>
                </c:pt>
                <c:pt idx="87">
                  <c:v>-8.1752257639474933E-3</c:v>
                </c:pt>
                <c:pt idx="88">
                  <c:v>-8.1035405287209067E-3</c:v>
                </c:pt>
                <c:pt idx="89">
                  <c:v>-8.0328840191610327E-3</c:v>
                </c:pt>
                <c:pt idx="90">
                  <c:v>-7.9632379224314452E-3</c:v>
                </c:pt>
                <c:pt idx="91">
                  <c:v>-7.8945842920811003E-3</c:v>
                </c:pt>
                <c:pt idx="92">
                  <c:v>-7.8269055401718069E-3</c:v>
                </c:pt>
                <c:pt idx="93">
                  <c:v>-7.7601844295830426E-3</c:v>
                </c:pt>
                <c:pt idx="94">
                  <c:v>-7.6944040664899968E-3</c:v>
                </c:pt>
                <c:pt idx="95">
                  <c:v>-7.6295478930107942E-3</c:v>
                </c:pt>
                <c:pt idx="96">
                  <c:v>-7.5655996800189935E-3</c:v>
                </c:pt>
                <c:pt idx="97">
                  <c:v>-7.5025435201174686E-3</c:v>
                </c:pt>
                <c:pt idx="98">
                  <c:v>-7.4403638207699791E-3</c:v>
                </c:pt>
                <c:pt idx="99">
                  <c:v>-7.3790452975867234E-3</c:v>
                </c:pt>
                <c:pt idx="100">
                  <c:v>-7.3185729677603291E-3</c:v>
                </c:pt>
                <c:pt idx="101">
                  <c:v>-7.2589321436487744E-3</c:v>
                </c:pt>
                <c:pt idx="102">
                  <c:v>-7.2001084265018445E-3</c:v>
                </c:pt>
                <c:pt idx="103">
                  <c:v>-7.1420877003277958E-3</c:v>
                </c:pt>
                <c:pt idx="104">
                  <c:v>-7.0848561258969791E-3</c:v>
                </c:pt>
                <c:pt idx="105">
                  <c:v>-7.0284001348792577E-3</c:v>
                </c:pt>
                <c:pt idx="106">
                  <c:v>-6.9727064241121225E-3</c:v>
                </c:pt>
                <c:pt idx="107">
                  <c:v>-6.9177619499964874E-3</c:v>
                </c:pt>
                <c:pt idx="108">
                  <c:v>-6.8635539230172144E-3</c:v>
                </c:pt>
                <c:pt idx="109">
                  <c:v>-6.8100698023854898E-3</c:v>
                </c:pt>
                <c:pt idx="110">
                  <c:v>-6.7572972908002456E-3</c:v>
                </c:pt>
                <c:pt idx="111">
                  <c:v>-6.7052243293258748E-3</c:v>
                </c:pt>
                <c:pt idx="112">
                  <c:v>-6.6538390923835686E-3</c:v>
                </c:pt>
                <c:pt idx="113">
                  <c:v>-6.6031299828536553E-3</c:v>
                </c:pt>
                <c:pt idx="114">
                  <c:v>-6.553085627286394E-3</c:v>
                </c:pt>
                <c:pt idx="115">
                  <c:v>-6.5036948712187161E-3</c:v>
                </c:pt>
                <c:pt idx="116">
                  <c:v>-6.4549467745945036E-3</c:v>
                </c:pt>
                <c:pt idx="117">
                  <c:v>-6.4068306072859963E-3</c:v>
                </c:pt>
                <c:pt idx="118">
                  <c:v>-6.3593358447140433E-3</c:v>
                </c:pt>
                <c:pt idx="119">
                  <c:v>-6.3124521635648991E-3</c:v>
                </c:pt>
                <c:pt idx="120">
                  <c:v>-6.2661694376013738E-3</c:v>
                </c:pt>
                <c:pt idx="121">
                  <c:v>-6.2204777335661656E-3</c:v>
                </c:pt>
                <c:pt idx="122">
                  <c:v>-6.1753673071752785E-3</c:v>
                </c:pt>
                <c:pt idx="123">
                  <c:v>-6.1308285991994527E-3</c:v>
                </c:pt>
                <c:pt idx="124">
                  <c:v>-6.0868522316315926E-3</c:v>
                </c:pt>
                <c:pt idx="125">
                  <c:v>-6.0434290039382572E-3</c:v>
                </c:pt>
                <c:pt idx="126">
                  <c:v>-6.0005498893932517E-3</c:v>
                </c:pt>
                <c:pt idx="127">
                  <c:v>-5.9582060314914932E-3</c:v>
                </c:pt>
                <c:pt idx="128">
                  <c:v>-5.9163887404412741E-3</c:v>
                </c:pt>
                <c:pt idx="129">
                  <c:v>-5.8750894897331915E-3</c:v>
                </c:pt>
                <c:pt idx="130">
                  <c:v>-5.8342999127839398E-3</c:v>
                </c:pt>
                <c:pt idx="131">
                  <c:v>-5.7940117996533175E-3</c:v>
                </c:pt>
                <c:pt idx="132">
                  <c:v>-5.7542170938327418E-3</c:v>
                </c:pt>
                <c:pt idx="133">
                  <c:v>-5.7149078891036795E-3</c:v>
                </c:pt>
                <c:pt idx="134">
                  <c:v>-5.676076426464385E-3</c:v>
                </c:pt>
                <c:pt idx="135">
                  <c:v>-5.637715091123408E-3</c:v>
                </c:pt>
                <c:pt idx="136">
                  <c:v>-5.5998164095583496E-3</c:v>
                </c:pt>
                <c:pt idx="137">
                  <c:v>-5.5623730466384117E-3</c:v>
                </c:pt>
                <c:pt idx="138">
                  <c:v>-5.5253778028092537E-3</c:v>
                </c:pt>
                <c:pt idx="139">
                  <c:v>-5.4888236113387993E-3</c:v>
                </c:pt>
                <c:pt idx="140">
                  <c:v>-5.4527035356225634E-3</c:v>
                </c:pt>
                <c:pt idx="141">
                  <c:v>-5.417010766547211E-3</c:v>
                </c:pt>
                <c:pt idx="142">
                  <c:v>-5.3817386199109798E-3</c:v>
                </c:pt>
                <c:pt idx="143">
                  <c:v>-5.3468805338997257E-3</c:v>
                </c:pt>
                <c:pt idx="144">
                  <c:v>-5.3124300666173175E-3</c:v>
                </c:pt>
                <c:pt idx="145">
                  <c:v>-5.2783808936691578E-3</c:v>
                </c:pt>
                <c:pt idx="146">
                  <c:v>-5.2447268057976533E-3</c:v>
                </c:pt>
                <c:pt idx="147">
                  <c:v>-5.2114617065684363E-3</c:v>
                </c:pt>
                <c:pt idx="148">
                  <c:v>-5.1785796101062277E-3</c:v>
                </c:pt>
                <c:pt idx="149">
                  <c:v>-5.1460746388792078E-3</c:v>
                </c:pt>
                <c:pt idx="150">
                  <c:v>-5.113941021530813E-3</c:v>
                </c:pt>
                <c:pt idx="151">
                  <c:v>-5.0821730907579018E-3</c:v>
                </c:pt>
                <c:pt idx="152">
                  <c:v>-5.0507652812342395E-3</c:v>
                </c:pt>
                <c:pt idx="153">
                  <c:v>-5.0197121275782994E-3</c:v>
                </c:pt>
                <c:pt idx="154">
                  <c:v>-4.9890082623643816E-3</c:v>
                </c:pt>
                <c:pt idx="155">
                  <c:v>-4.9586484141760897E-3</c:v>
                </c:pt>
                <c:pt idx="156">
                  <c:v>-4.9286274057012049E-3</c:v>
                </c:pt>
                <c:pt idx="157">
                  <c:v>-4.8989401518670607E-3</c:v>
                </c:pt>
                <c:pt idx="158">
                  <c:v>-4.8695816580154793E-3</c:v>
                </c:pt>
                <c:pt idx="159">
                  <c:v>-4.84054701811643E-3</c:v>
                </c:pt>
                <c:pt idx="160">
                  <c:v>-4.81183141301951E-3</c:v>
                </c:pt>
                <c:pt idx="161">
                  <c:v>-4.7834301087424326E-3</c:v>
                </c:pt>
                <c:pt idx="162">
                  <c:v>-4.7553384547956877E-3</c:v>
                </c:pt>
                <c:pt idx="163">
                  <c:v>-4.7275518825425824E-3</c:v>
                </c:pt>
                <c:pt idx="164">
                  <c:v>-4.7000659035938575E-3</c:v>
                </c:pt>
                <c:pt idx="165">
                  <c:v>-4.6728761082361434E-3</c:v>
                </c:pt>
                <c:pt idx="166">
                  <c:v>-4.6459781638934754E-3</c:v>
                </c:pt>
                <c:pt idx="167">
                  <c:v>-4.6193678136211549E-3</c:v>
                </c:pt>
                <c:pt idx="168">
                  <c:v>-4.5930408746312481E-3</c:v>
                </c:pt>
                <c:pt idx="169">
                  <c:v>-4.5669932368489954E-3</c:v>
                </c:pt>
                <c:pt idx="170">
                  <c:v>-4.5412208614994754E-3</c:v>
                </c:pt>
                <c:pt idx="171">
                  <c:v>-4.5157197797238572E-3</c:v>
                </c:pt>
                <c:pt idx="172">
                  <c:v>-4.4904860912245619E-3</c:v>
                </c:pt>
                <c:pt idx="173">
                  <c:v>-4.465515962938732E-3</c:v>
                </c:pt>
                <c:pt idx="174">
                  <c:v>-4.4408056277393535E-3</c:v>
                </c:pt>
                <c:pt idx="175">
                  <c:v>-4.4163513831634521E-3</c:v>
                </c:pt>
                <c:pt idx="176">
                  <c:v>-4.3921495901667502E-3</c:v>
                </c:pt>
                <c:pt idx="177">
                  <c:v>-4.3681966719042072E-3</c:v>
                </c:pt>
                <c:pt idx="178">
                  <c:v>-4.3444891125358851E-3</c:v>
                </c:pt>
                <c:pt idx="179">
                  <c:v>-4.3210234560575704E-3</c:v>
                </c:pt>
                <c:pt idx="180">
                  <c:v>-4.2977963051556243E-3</c:v>
                </c:pt>
                <c:pt idx="181">
                  <c:v>-4.2748043200855207E-3</c:v>
                </c:pt>
                <c:pt idx="182">
                  <c:v>-4.2520442175735702E-3</c:v>
                </c:pt>
                <c:pt idx="183">
                  <c:v>-4.2295127697412945E-3</c:v>
                </c:pt>
                <c:pt idx="184">
                  <c:v>-4.207206803051998E-3</c:v>
                </c:pt>
                <c:pt idx="185">
                  <c:v>-4.1851231972790176E-3</c:v>
                </c:pt>
                <c:pt idx="186">
                  <c:v>-4.1632588844951971E-3</c:v>
                </c:pt>
                <c:pt idx="187">
                  <c:v>-4.1416108480831172E-3</c:v>
                </c:pt>
                <c:pt idx="188">
                  <c:v>-4.120176121765645E-3</c:v>
                </c:pt>
                <c:pt idx="189">
                  <c:v>-4.0989517886563355E-3</c:v>
                </c:pt>
                <c:pt idx="190">
                  <c:v>-4.0779349803292788E-3</c:v>
                </c:pt>
                <c:pt idx="191">
                  <c:v>-4.0571228759079614E-3</c:v>
                </c:pt>
                <c:pt idx="192">
                  <c:v>-4.0365127011727318E-3</c:v>
                </c:pt>
                <c:pt idx="193">
                  <c:v>-4.0161017276864651E-3</c:v>
                </c:pt>
                <c:pt idx="194">
                  <c:v>-3.9958872719380372E-3</c:v>
                </c:pt>
                <c:pt idx="195">
                  <c:v>-3.9758666945032264E-3</c:v>
                </c:pt>
                <c:pt idx="196">
                  <c:v>-3.9560373992226575E-3</c:v>
                </c:pt>
                <c:pt idx="197">
                  <c:v>-3.9363968323964322E-3</c:v>
                </c:pt>
                <c:pt idx="198">
                  <c:v>-3.9169424819950824E-3</c:v>
                </c:pt>
                <c:pt idx="199">
                  <c:v>-3.8976718768864854E-3</c:v>
                </c:pt>
                <c:pt idx="200">
                  <c:v>-3.8785825860784186E-3</c:v>
                </c:pt>
                <c:pt idx="201">
                  <c:v>-3.8596722179764032E-3</c:v>
                </c:pt>
                <c:pt idx="202">
                  <c:v>-3.8409384196565091E-3</c:v>
                </c:pt>
                <c:pt idx="203">
                  <c:v>-3.822378876152807E-3</c:v>
                </c:pt>
                <c:pt idx="204">
                  <c:v>-3.803991309759155E-3</c:v>
                </c:pt>
                <c:pt idx="205">
                  <c:v>-3.7857734793450026E-3</c:v>
                </c:pt>
                <c:pt idx="206">
                  <c:v>-3.7677231796849242E-3</c:v>
                </c:pt>
                <c:pt idx="207">
                  <c:v>-3.7498382408015893E-3</c:v>
                </c:pt>
                <c:pt idx="208">
                  <c:v>-3.7321165273218669E-3</c:v>
                </c:pt>
                <c:pt idx="209">
                  <c:v>-3.7145559378458093E-3</c:v>
                </c:pt>
                <c:pt idx="210">
                  <c:v>-3.6971544043282174E-3</c:v>
                </c:pt>
                <c:pt idx="211">
                  <c:v>-3.6799098914725411E-3</c:v>
                </c:pt>
                <c:pt idx="212">
                  <c:v>-3.6628203961368319E-3</c:v>
                </c:pt>
                <c:pt idx="213">
                  <c:v>-3.6458839467515131E-3</c:v>
                </c:pt>
                <c:pt idx="214">
                  <c:v>-3.6290986027487011E-3</c:v>
                </c:pt>
                <c:pt idx="215">
                  <c:v>-3.6124624540028417E-3</c:v>
                </c:pt>
                <c:pt idx="216">
                  <c:v>-3.5959736202824184E-3</c:v>
                </c:pt>
                <c:pt idx="217">
                  <c:v>-3.5796302507125036E-3</c:v>
                </c:pt>
                <c:pt idx="218">
                  <c:v>-3.5634305232479157E-3</c:v>
                </c:pt>
                <c:pt idx="219">
                  <c:v>-3.5473726441567701E-3</c:v>
                </c:pt>
                <c:pt idx="220">
                  <c:v>-3.5314548475141906E-3</c:v>
                </c:pt>
                <c:pt idx="221">
                  <c:v>-3.5156753947059834E-3</c:v>
                </c:pt>
                <c:pt idx="222">
                  <c:v>-3.5000325739420511E-3</c:v>
                </c:pt>
                <c:pt idx="223">
                  <c:v>-3.4845246997793509E-3</c:v>
                </c:pt>
                <c:pt idx="224">
                  <c:v>-3.469150112654194E-3</c:v>
                </c:pt>
                <c:pt idx="225">
                  <c:v>-3.4539071784236838E-3</c:v>
                </c:pt>
                <c:pt idx="226">
                  <c:v>-3.43879428791612E-3</c:v>
                </c:pt>
                <c:pt idx="227">
                  <c:v>-3.4238098564901591E-3</c:v>
                </c:pt>
                <c:pt idx="228">
                  <c:v>-3.4089523236025621E-3</c:v>
                </c:pt>
                <c:pt idx="229">
                  <c:v>-3.3942201523843485E-3</c:v>
                </c:pt>
                <c:pt idx="230">
                  <c:v>-3.3796118292251775E-3</c:v>
                </c:pt>
                <c:pt idx="231">
                  <c:v>-3.3651258633657917E-3</c:v>
                </c:pt>
                <c:pt idx="232">
                  <c:v>-3.3507607864983451E-3</c:v>
                </c:pt>
                <c:pt idx="233">
                  <c:v>-3.336515152374465E-3</c:v>
                </c:pt>
                <c:pt idx="234">
                  <c:v>-3.3223875364208765E-3</c:v>
                </c:pt>
                <c:pt idx="235">
                  <c:v>-3.3083765353624376E-3</c:v>
                </c:pt>
                <c:pt idx="236">
                  <c:v>-3.2944807668524334E-3</c:v>
                </c:pt>
                <c:pt idx="237">
                  <c:v>-3.2806988691099735E-3</c:v>
                </c:pt>
                <c:pt idx="238">
                  <c:v>-3.2670295005643515E-3</c:v>
                </c:pt>
                <c:pt idx="239">
                  <c:v>-3.2534713395062208E-3</c:v>
                </c:pt>
                <c:pt idx="240">
                  <c:v>-3.2400230837454453E-3</c:v>
                </c:pt>
                <c:pt idx="241">
                  <c:v>-3.2266834502754881E-3</c:v>
                </c:pt>
                <c:pt idx="242">
                  <c:v>-3.2134511749442062E-3</c:v>
                </c:pt>
                <c:pt idx="243">
                  <c:v>-3.2003250121309191E-3</c:v>
                </c:pt>
                <c:pt idx="244">
                  <c:v>-3.1873037344296129E-3</c:v>
                </c:pt>
                <c:pt idx="245">
                  <c:v>-3.1743861323381773E-3</c:v>
                </c:pt>
                <c:pt idx="246">
                  <c:v>-3.1615710139535199E-3</c:v>
                </c:pt>
                <c:pt idx="247">
                  <c:v>-3.1488572046724696E-3</c:v>
                </c:pt>
                <c:pt idx="248">
                  <c:v>-3.1362435468983317E-3</c:v>
                </c:pt>
                <c:pt idx="249">
                  <c:v>-3.1237288997529762E-3</c:v>
                </c:pt>
                <c:pt idx="250">
                  <c:v>-3.1113121387943703E-3</c:v>
                </c:pt>
                <c:pt idx="251">
                  <c:v>-3.0989921557394145E-3</c:v>
                </c:pt>
                <c:pt idx="252">
                  <c:v>-3.0867678581919947E-3</c:v>
                </c:pt>
                <c:pt idx="253">
                  <c:v>-3.0746381693761405E-3</c:v>
                </c:pt>
                <c:pt idx="254">
                  <c:v>-3.062602027874178E-3</c:v>
                </c:pt>
                <c:pt idx="255">
                  <c:v>-3.0506583873697864E-3</c:v>
                </c:pt>
                <c:pt idx="256">
                  <c:v>-3.0388062163958546E-3</c:v>
                </c:pt>
                <c:pt idx="257">
                  <c:v>-3.0270444980870391E-3</c:v>
                </c:pt>
                <c:pt idx="258">
                  <c:v>-3.0153722299369324E-3</c:v>
                </c:pt>
                <c:pt idx="259">
                  <c:v>-3.0037884235597457E-3</c:v>
                </c:pt>
                <c:pt idx="260">
                  <c:v>-2.9922921044564141E-3</c:v>
                </c:pt>
                <c:pt idx="261">
                  <c:v>-2.9808823117850438E-3</c:v>
                </c:pt>
                <c:pt idx="262">
                  <c:v>-2.9695580981356023E-3</c:v>
                </c:pt>
                <c:pt idx="263">
                  <c:v>-2.9583185293087723E-3</c:v>
                </c:pt>
                <c:pt idx="264">
                  <c:v>-2.9471626840988905E-3</c:v>
                </c:pt>
                <c:pt idx="265">
                  <c:v>-2.9360896540808782E-3</c:v>
                </c:pt>
                <c:pt idx="266">
                  <c:v>-2.9250985434010942E-3</c:v>
                </c:pt>
                <c:pt idx="267">
                  <c:v>-2.91418846857203E-3</c:v>
                </c:pt>
                <c:pt idx="268">
                  <c:v>-2.9033585582707634E-3</c:v>
                </c:pt>
                <c:pt idx="269">
                  <c:v>-2.8926079531411057E-3</c:v>
                </c:pt>
                <c:pt idx="270">
                  <c:v>-2.8819358055993628E-3</c:v>
                </c:pt>
                <c:pt idx="271">
                  <c:v>-2.8713412796436376E-3</c:v>
                </c:pt>
                <c:pt idx="272">
                  <c:v>-2.8608235506666119E-3</c:v>
                </c:pt>
                <c:pt idx="273">
                  <c:v>-2.850381805271726E-3</c:v>
                </c:pt>
                <c:pt idx="274">
                  <c:v>-2.8400152410927013E-3</c:v>
                </c:pt>
                <c:pt idx="275">
                  <c:v>-2.8297230666163306E-3</c:v>
                </c:pt>
                <c:pt idx="276">
                  <c:v>-2.8195045010084769E-3</c:v>
                </c:pt>
                <c:pt idx="277">
                  <c:v>-2.8093587739432165E-3</c:v>
                </c:pt>
                <c:pt idx="278">
                  <c:v>-2.799285125435062E-3</c:v>
                </c:pt>
                <c:pt idx="279">
                  <c:v>-2.7892828056742076E-3</c:v>
                </c:pt>
                <c:pt idx="280">
                  <c:v>-2.7793510748647375E-3</c:v>
                </c:pt>
                <c:pt idx="281">
                  <c:v>-2.7694892030657356E-3</c:v>
                </c:pt>
                <c:pt idx="282">
                  <c:v>-2.759696470035245E-3</c:v>
                </c:pt>
                <c:pt idx="283">
                  <c:v>-2.7499721650770161E-3</c:v>
                </c:pt>
                <c:pt idx="284">
                  <c:v>-2.7403155868899955E-3</c:v>
                </c:pt>
                <c:pt idx="285">
                  <c:v>-2.7307260434204913E-3</c:v>
                </c:pt>
                <c:pt idx="286">
                  <c:v>-2.7212028517169785E-3</c:v>
                </c:pt>
                <c:pt idx="287">
                  <c:v>-2.7117453377874792E-3</c:v>
                </c:pt>
                <c:pt idx="288">
                  <c:v>-2.7023528364594714E-3</c:v>
                </c:pt>
                <c:pt idx="289">
                  <c:v>-2.6930246912422848E-3</c:v>
                </c:pt>
                <c:pt idx="290">
                  <c:v>-2.6837602541919217E-3</c:v>
                </c:pt>
                <c:pt idx="291">
                  <c:v>-2.6745588857782702E-3</c:v>
                </c:pt>
                <c:pt idx="292">
                  <c:v>-2.6654199547546534E-3</c:v>
                </c:pt>
                <c:pt idx="293">
                  <c:v>-2.6563428380296738E-3</c:v>
                </c:pt>
                <c:pt idx="294">
                  <c:v>-2.6473269205413087E-3</c:v>
                </c:pt>
                <c:pt idx="295">
                  <c:v>-2.6383715951332123E-3</c:v>
                </c:pt>
                <c:pt idx="296">
                  <c:v>-2.6294762624331819E-3</c:v>
                </c:pt>
                <c:pt idx="297">
                  <c:v>-2.620640330733749E-3</c:v>
                </c:pt>
                <c:pt idx="298">
                  <c:v>-2.6118632158748482E-3</c:v>
                </c:pt>
                <c:pt idx="299">
                  <c:v>-2.6031443411285351E-3</c:v>
                </c:pt>
                <c:pt idx="300">
                  <c:v>-2.5944831370857029E-3</c:v>
                </c:pt>
                <c:pt idx="301">
                  <c:v>-2.5858790415447656E-3</c:v>
                </c:pt>
                <c:pt idx="302">
                  <c:v>-2.5773314994022691E-3</c:v>
                </c:pt>
                <c:pt idx="303">
                  <c:v>-2.5688399625453948E-3</c:v>
                </c:pt>
                <c:pt idx="304">
                  <c:v>-2.5604038897463158E-3</c:v>
                </c:pt>
                <c:pt idx="305">
                  <c:v>-2.5520227465583747E-3</c:v>
                </c:pt>
                <c:pt idx="306">
                  <c:v>-2.543696005214046E-3</c:v>
                </c:pt>
                <c:pt idx="307">
                  <c:v>-2.5354231445246524E-3</c:v>
                </c:pt>
                <c:pt idx="308">
                  <c:v>-2.5272036497817948E-3</c:v>
                </c:pt>
                <c:pt idx="309">
                  <c:v>-2.5190370126604777E-3</c:v>
                </c:pt>
                <c:pt idx="310">
                  <c:v>-2.5109227311238764E-3</c:v>
                </c:pt>
                <c:pt idx="311">
                  <c:v>-2.5028603093297367E-3</c:v>
                </c:pt>
                <c:pt idx="312">
                  <c:v>-2.4948492575383673E-3</c:v>
                </c:pt>
                <c:pt idx="313">
                  <c:v>-2.486889092022188E-3</c:v>
                </c:pt>
                <c:pt idx="314">
                  <c:v>-2.4789793349768189E-3</c:v>
                </c:pt>
                <c:pt idx="315">
                  <c:v>-2.4711195144336714E-3</c:v>
                </c:pt>
                <c:pt idx="316">
                  <c:v>-2.4633091641740154E-3</c:v>
                </c:pt>
                <c:pt idx="317">
                  <c:v>-2.4555478236444974E-3</c:v>
                </c:pt>
                <c:pt idx="318">
                  <c:v>-2.4478350378740786E-3</c:v>
                </c:pt>
                <c:pt idx="319">
                  <c:v>-2.4401703573923711E-3</c:v>
                </c:pt>
                <c:pt idx="320">
                  <c:v>-2.4325533381493432E-3</c:v>
                </c:pt>
                <c:pt idx="321">
                  <c:v>-2.4249835414363696E-3</c:v>
                </c:pt>
                <c:pt idx="322">
                  <c:v>-2.4174605338085973E-3</c:v>
                </c:pt>
                <c:pt idx="323">
                  <c:v>-2.4099838870086129E-3</c:v>
                </c:pt>
                <c:pt idx="324">
                  <c:v>-2.4025531778913787E-3</c:v>
                </c:pt>
                <c:pt idx="325">
                  <c:v>-2.3951679883504129E-3</c:v>
                </c:pt>
                <c:pt idx="326">
                  <c:v>-2.3878279052451986E-3</c:v>
                </c:pt>
                <c:pt idx="327">
                  <c:v>-2.3805325203297961E-3</c:v>
                </c:pt>
                <c:pt idx="328">
                  <c:v>-2.3732814301826309E-3</c:v>
                </c:pt>
                <c:pt idx="329">
                  <c:v>-2.3660742361374444E-3</c:v>
                </c:pt>
                <c:pt idx="330">
                  <c:v>-2.3589105442153803E-3</c:v>
                </c:pt>
                <c:pt idx="331">
                  <c:v>-2.3517899650581874E-3</c:v>
                </c:pt>
                <c:pt idx="332">
                  <c:v>-2.344712113862518E-3</c:v>
                </c:pt>
                <c:pt idx="333">
                  <c:v>-2.337676610315306E-3</c:v>
                </c:pt>
                <c:pt idx="334">
                  <c:v>-2.3306830785301959E-3</c:v>
                </c:pt>
                <c:pt idx="335">
                  <c:v>-2.3237311469850148E-3</c:v>
                </c:pt>
                <c:pt idx="336">
                  <c:v>-2.3168204484602609E-3</c:v>
                </c:pt>
                <c:pt idx="337">
                  <c:v>-2.3099506199785909E-3</c:v>
                </c:pt>
                <c:pt idx="338">
                  <c:v>-2.3031213027452906E-3</c:v>
                </c:pt>
                <c:pt idx="339">
                  <c:v>-2.2963321420897127E-3</c:v>
                </c:pt>
                <c:pt idx="340">
                  <c:v>-2.2895827874076543E-3</c:v>
                </c:pt>
                <c:pt idx="341">
                  <c:v>-2.2828728921046727E-3</c:v>
                </c:pt>
                <c:pt idx="342">
                  <c:v>-2.2762021135403093E-3</c:v>
                </c:pt>
                <c:pt idx="343">
                  <c:v>-2.2695701129732118E-3</c:v>
                </c:pt>
                <c:pt idx="344">
                  <c:v>-2.2629765555071371E-3</c:v>
                </c:pt>
                <c:pt idx="345">
                  <c:v>-2.2564211100378211E-3</c:v>
                </c:pt>
                <c:pt idx="346">
                  <c:v>-2.2499034492006915E-3</c:v>
                </c:pt>
                <c:pt idx="347">
                  <c:v>-2.2434232493194254E-3</c:v>
                </c:pt>
                <c:pt idx="348">
                  <c:v>-2.2369801903553165E-3</c:v>
                </c:pt>
                <c:pt idx="349">
                  <c:v>-2.2305739558574544E-3</c:v>
                </c:pt>
                <c:pt idx="350">
                  <c:v>-2.2242042329136905E-3</c:v>
                </c:pt>
                <c:pt idx="351">
                  <c:v>-2.2178707121023821E-3</c:v>
                </c:pt>
                <c:pt idx="352">
                  <c:v>-2.2115730874448986E-3</c:v>
                </c:pt>
                <c:pt idx="353">
                  <c:v>-2.20531105635888E-3</c:v>
                </c:pt>
                <c:pt idx="354">
                  <c:v>-2.1990843196122265E-3</c:v>
                </c:pt>
                <c:pt idx="355">
                  <c:v>-2.1928925812778177E-3</c:v>
                </c:pt>
                <c:pt idx="356">
                  <c:v>-2.1867355486889345E-3</c:v>
                </c:pt>
                <c:pt idx="357">
                  <c:v>-2.1806129323953889E-3</c:v>
                </c:pt>
                <c:pt idx="358">
                  <c:v>-2.1745244461203296E-3</c:v>
                </c:pt>
                <c:pt idx="359">
                  <c:v>-2.1684698067177305E-3</c:v>
                </c:pt>
                <c:pt idx="360">
                  <c:v>-2.1624487341305324E-3</c:v>
                </c:pt>
                <c:pt idx="361">
                  <c:v>-2.1564609513494435E-3</c:v>
                </c:pt>
                <c:pt idx="362">
                  <c:v>-2.1505061843723732E-3</c:v>
                </c:pt>
                <c:pt idx="363">
                  <c:v>-2.1445841621644977E-3</c:v>
                </c:pt>
                <c:pt idx="364">
                  <c:v>-2.1386946166189395E-3</c:v>
                </c:pt>
                <c:pt idx="365">
                  <c:v>-2.1328372825180565E-3</c:v>
                </c:pt>
                <c:pt idx="366">
                  <c:v>-2.1270118974953257E-3</c:v>
                </c:pt>
                <c:pt idx="367">
                  <c:v>-2.1212182019978102E-3</c:v>
                </c:pt>
                <c:pt idx="368">
                  <c:v>-2.1154559392492075E-3</c:v>
                </c:pt>
                <c:pt idx="369">
                  <c:v>-2.1097248552134577E-3</c:v>
                </c:pt>
                <c:pt idx="370">
                  <c:v>-2.1040246985589103E-3</c:v>
                </c:pt>
                <c:pt idx="371">
                  <c:v>-2.0983552206230386E-3</c:v>
                </c:pt>
                <c:pt idx="372">
                  <c:v>-2.0927161753776877E-3</c:v>
                </c:pt>
                <c:pt idx="373">
                  <c:v>-2.0871073193948525E-3</c:v>
                </c:pt>
                <c:pt idx="374">
                  <c:v>-2.0815284118129765E-3</c:v>
                </c:pt>
                <c:pt idx="375">
                  <c:v>-2.0759792143037552E-3</c:v>
                </c:pt>
                <c:pt idx="376">
                  <c:v>-2.0704594910394467E-3</c:v>
                </c:pt>
                <c:pt idx="377">
                  <c:v>-2.0649690086606692E-3</c:v>
                </c:pt>
                <c:pt idx="378">
                  <c:v>-2.0595075362446888E-3</c:v>
                </c:pt>
                <c:pt idx="379">
                  <c:v>-2.0540748452741809E-3</c:v>
                </c:pt>
                <c:pt idx="380">
                  <c:v>-2.0486707096064555E-3</c:v>
                </c:pt>
                <c:pt idx="381">
                  <c:v>-2.0432949054431529E-3</c:v>
                </c:pt>
                <c:pt idx="382">
                  <c:v>-2.03794721130038E-3</c:v>
                </c:pt>
                <c:pt idx="383">
                  <c:v>-2.0326274079793013E-3</c:v>
                </c:pt>
                <c:pt idx="384">
                  <c:v>-2.0273352785371594E-3</c:v>
                </c:pt>
                <c:pt idx="385">
                  <c:v>-2.0220706082587337E-3</c:v>
                </c:pt>
                <c:pt idx="386">
                  <c:v>-2.0168331846282146E-3</c:v>
                </c:pt>
                <c:pt idx="387">
                  <c:v>-2.0116227973014963E-3</c:v>
                </c:pt>
                <c:pt idx="388">
                  <c:v>-2.0064392380788809E-3</c:v>
                </c:pt>
                <c:pt idx="389">
                  <c:v>-2.0012823008781796E-3</c:v>
                </c:pt>
                <c:pt idx="390">
                  <c:v>-1.9961517817082136E-3</c:v>
                </c:pt>
                <c:pt idx="391">
                  <c:v>-1.9910474786427003E-3</c:v>
                </c:pt>
                <c:pt idx="392">
                  <c:v>-1.9859691917945266E-3</c:v>
                </c:pt>
                <c:pt idx="393">
                  <c:v>-1.9809167232903908E-3</c:v>
                </c:pt>
                <c:pt idx="394">
                  <c:v>-1.9758898772458218E-3</c:v>
                </c:pt>
                <c:pt idx="395">
                  <c:v>-1.9708884597405569E-3</c:v>
                </c:pt>
                <c:pt idx="396">
                  <c:v>-1.9659122787942813E-3</c:v>
                </c:pt>
                <c:pt idx="397">
                  <c:v>-1.9609611443427146E-3</c:v>
                </c:pt>
                <c:pt idx="398">
                  <c:v>-1.9560348682140468E-3</c:v>
                </c:pt>
                <c:pt idx="399">
                  <c:v>-1.9511332641057155E-3</c:v>
                </c:pt>
                <c:pt idx="400">
                  <c:v>-1.9462561475615133E-3</c:v>
                </c:pt>
                <c:pt idx="401">
                  <c:v>-1.941403335949029E-3</c:v>
                </c:pt>
                <c:pt idx="402">
                  <c:v>-1.9365746484374118E-3</c:v>
                </c:pt>
                <c:pt idx="403">
                  <c:v>-1.9317699059754518E-3</c:v>
                </c:pt>
                <c:pt idx="404">
                  <c:v>-1.9269889312699764E-3</c:v>
                </c:pt>
                <c:pt idx="405">
                  <c:v>-1.9222315487645552E-3</c:v>
                </c:pt>
                <c:pt idx="406">
                  <c:v>-1.9174975846185064E-3</c:v>
                </c:pt>
                <c:pt idx="407">
                  <c:v>-1.9127868666862029E-3</c:v>
                </c:pt>
                <c:pt idx="408">
                  <c:v>-1.9080992244966731E-3</c:v>
                </c:pt>
                <c:pt idx="409">
                  <c:v>-1.9034344892334889E-3</c:v>
                </c:pt>
                <c:pt idx="410">
                  <c:v>-1.8987924937149373E-3</c:v>
                </c:pt>
                <c:pt idx="411">
                  <c:v>-1.8941730723744759E-3</c:v>
                </c:pt>
                <c:pt idx="412">
                  <c:v>-1.8895760612414588E-3</c:v>
                </c:pt>
                <c:pt idx="413">
                  <c:v>-1.8850012979221363E-3</c:v>
                </c:pt>
                <c:pt idx="414">
                  <c:v>-1.88044862158092E-3</c:v>
                </c:pt>
                <c:pt idx="415">
                  <c:v>-1.8759178729219109E-3</c:v>
                </c:pt>
                <c:pt idx="416">
                  <c:v>-1.8714088941706836E-3</c:v>
                </c:pt>
                <c:pt idx="417">
                  <c:v>-1.8669215290563288E-3</c:v>
                </c:pt>
                <c:pt idx="418">
                  <c:v>-1.8624556227937409E-3</c:v>
                </c:pt>
                <c:pt idx="419">
                  <c:v>-1.8580110220661541E-3</c:v>
                </c:pt>
                <c:pt idx="420">
                  <c:v>-1.8535875750079209E-3</c:v>
                </c:pt>
                <c:pt idx="421">
                  <c:v>-1.8491851311875276E-3</c:v>
                </c:pt>
                <c:pt idx="422">
                  <c:v>-1.8448035415908454E-3</c:v>
                </c:pt>
                <c:pt idx="423">
                  <c:v>-1.8404426586046115E-3</c:v>
                </c:pt>
                <c:pt idx="424">
                  <c:v>-1.8361023360001388E-3</c:v>
                </c:pt>
                <c:pt idx="425">
                  <c:v>-1.831782428917248E-3</c:v>
                </c:pt>
                <c:pt idx="426">
                  <c:v>-1.8274827938484194E-3</c:v>
                </c:pt>
                <c:pt idx="427">
                  <c:v>-1.8232032886231625E-3</c:v>
                </c:pt>
                <c:pt idx="428">
                  <c:v>-1.8189437723926006E-3</c:v>
                </c:pt>
                <c:pt idx="429">
                  <c:v>-1.8147041056142611E-3</c:v>
                </c:pt>
                <c:pt idx="430">
                  <c:v>-1.8104841500370759E-3</c:v>
                </c:pt>
                <c:pt idx="431">
                  <c:v>-1.8062837686865848E-3</c:v>
                </c:pt>
                <c:pt idx="432">
                  <c:v>-1.8021028258503383E-3</c:v>
                </c:pt>
                <c:pt idx="433">
                  <c:v>-1.7979411870634996E-3</c:v>
                </c:pt>
                <c:pt idx="434">
                  <c:v>-1.7937987190946377E-3</c:v>
                </c:pt>
                <c:pt idx="435">
                  <c:v>-1.7896752899317153E-3</c:v>
                </c:pt>
                <c:pt idx="436">
                  <c:v>-1.7855707687682626E-3</c:v>
                </c:pt>
                <c:pt idx="437">
                  <c:v>-1.7814850259897383E-3</c:v>
                </c:pt>
                <c:pt idx="438">
                  <c:v>-1.7774179331600708E-3</c:v>
                </c:pt>
                <c:pt idx="439">
                  <c:v>-1.7733693630083815E-3</c:v>
                </c:pt>
                <c:pt idx="440">
                  <c:v>-1.7693391894158842E-3</c:v>
                </c:pt>
                <c:pt idx="441">
                  <c:v>-1.7653272874029596E-3</c:v>
                </c:pt>
                <c:pt idx="442">
                  <c:v>-1.7613335331163992E-3</c:v>
                </c:pt>
                <c:pt idx="443">
                  <c:v>-1.7573578038168215E-3</c:v>
                </c:pt>
                <c:pt idx="444">
                  <c:v>-1.7533999778662525E-3</c:v>
                </c:pt>
                <c:pt idx="445">
                  <c:v>-1.7494599347158708E-3</c:v>
                </c:pt>
                <c:pt idx="446">
                  <c:v>-1.7455375548939144E-3</c:v>
                </c:pt>
                <c:pt idx="447">
                  <c:v>-1.7416327199937464E-3</c:v>
                </c:pt>
                <c:pt idx="448">
                  <c:v>-1.737745312662078E-3</c:v>
                </c:pt>
                <c:pt idx="449">
                  <c:v>-1.7338752165873446E-3</c:v>
                </c:pt>
                <c:pt idx="450">
                  <c:v>-1.7300223164882348E-3</c:v>
                </c:pt>
                <c:pt idx="451">
                  <c:v>-1.7261864981023692E-3</c:v>
                </c:pt>
                <c:pt idx="452">
                  <c:v>-1.7223676481751258E-3</c:v>
                </c:pt>
                <c:pt idx="453">
                  <c:v>-1.7185656544486136E-3</c:v>
                </c:pt>
                <c:pt idx="454">
                  <c:v>-1.7147804056507835E-3</c:v>
                </c:pt>
                <c:pt idx="455">
                  <c:v>-1.7110117914846867E-3</c:v>
                </c:pt>
                <c:pt idx="456">
                  <c:v>-1.707259702617868E-3</c:v>
                </c:pt>
                <c:pt idx="457">
                  <c:v>-1.7035240306718968E-3</c:v>
                </c:pt>
                <c:pt idx="458">
                  <c:v>-1.6998046682120348E-3</c:v>
                </c:pt>
                <c:pt idx="459">
                  <c:v>-1.6961015087370325E-3</c:v>
                </c:pt>
                <c:pt idx="460">
                  <c:v>-1.6924144466690611E-3</c:v>
                </c:pt>
                <c:pt idx="461">
                  <c:v>-1.6887433773437699E-3</c:v>
                </c:pt>
                <c:pt idx="462">
                  <c:v>-1.6850881970004732E-3</c:v>
                </c:pt>
                <c:pt idx="463">
                  <c:v>-1.6814488027724604E-3</c:v>
                </c:pt>
                <c:pt idx="464">
                  <c:v>-1.6778250926774308E-3</c:v>
                </c:pt>
                <c:pt idx="465">
                  <c:v>-1.67421696560805E-3</c:v>
                </c:pt>
                <c:pt idx="466">
                  <c:v>-1.6706243213226238E-3</c:v>
                </c:pt>
                <c:pt idx="467">
                  <c:v>-1.6670470604358944E-3</c:v>
                </c:pt>
                <c:pt idx="468">
                  <c:v>-1.6634850844099484E-3</c:v>
                </c:pt>
                <c:pt idx="469">
                  <c:v>-1.6599382955452427E-3</c:v>
                </c:pt>
                <c:pt idx="470">
                  <c:v>-1.6564065969717414E-3</c:v>
                </c:pt>
                <c:pt idx="471">
                  <c:v>-1.6528898926401652E-3</c:v>
                </c:pt>
                <c:pt idx="472">
                  <c:v>-1.64938808731335E-3</c:v>
                </c:pt>
                <c:pt idx="473">
                  <c:v>-1.6459010865577139E-3</c:v>
                </c:pt>
                <c:pt idx="474">
                  <c:v>-1.6424287967348296E-3</c:v>
                </c:pt>
                <c:pt idx="475">
                  <c:v>-1.6389711249931048E-3</c:v>
                </c:pt>
                <c:pt idx="476">
                  <c:v>-1.6355279792595622E-3</c:v>
                </c:pt>
                <c:pt idx="477">
                  <c:v>-1.6320992682317249E-3</c:v>
                </c:pt>
                <c:pt idx="478">
                  <c:v>-1.6286849013696007E-3</c:v>
                </c:pt>
                <c:pt idx="479">
                  <c:v>-1.6252847888877662E-3</c:v>
                </c:pt>
                <c:pt idx="480">
                  <c:v>-1.6218988417475478E-3</c:v>
                </c:pt>
                <c:pt idx="481">
                  <c:v>-1.6185269716493002E-3</c:v>
                </c:pt>
                <c:pt idx="482">
                  <c:v>-1.6151690910247798E-3</c:v>
                </c:pt>
                <c:pt idx="483">
                  <c:v>-1.6118251130296103E-3</c:v>
                </c:pt>
                <c:pt idx="484">
                  <c:v>-1.6084949515358423E-3</c:v>
                </c:pt>
                <c:pt idx="485">
                  <c:v>-1.605178521124604E-3</c:v>
                </c:pt>
                <c:pt idx="486">
                  <c:v>-1.6018757370788396E-3</c:v>
                </c:pt>
                <c:pt idx="487">
                  <c:v>-1.5985865153761386E-3</c:v>
                </c:pt>
                <c:pt idx="488">
                  <c:v>-1.595310772681651E-3</c:v>
                </c:pt>
                <c:pt idx="489">
                  <c:v>-1.5920484263410885E-3</c:v>
                </c:pt>
                <c:pt idx="490">
                  <c:v>-1.5887993943738113E-3</c:v>
                </c:pt>
                <c:pt idx="491">
                  <c:v>-1.5855635954659982E-3</c:v>
                </c:pt>
                <c:pt idx="492">
                  <c:v>-1.5823409489638981E-3</c:v>
                </c:pt>
                <c:pt idx="493">
                  <c:v>-1.5791313748671648E-3</c:v>
                </c:pt>
                <c:pt idx="494">
                  <c:v>-1.57593479382227E-3</c:v>
                </c:pt>
                <c:pt idx="495">
                  <c:v>-1.5727511271159977E-3</c:v>
                </c:pt>
                <c:pt idx="496">
                  <c:v>-1.5695802966690132E-3</c:v>
                </c:pt>
                <c:pt idx="497">
                  <c:v>-1.5664222250295135E-3</c:v>
                </c:pt>
                <c:pt idx="498">
                  <c:v>-1.5632768353669474E-3</c:v>
                </c:pt>
                <c:pt idx="499">
                  <c:v>-1.5601440514658184E-3</c:v>
                </c:pt>
                <c:pt idx="500">
                  <c:v>-1.5570237977195541E-3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5-4892-B852-3EB0187866F5}"/>
            </c:ext>
          </c:extLst>
        </c:ser>
        <c:ser>
          <c:idx val="3"/>
          <c:order val="2"/>
          <c:tx>
            <c:strRef>
              <c:f>'NSS Corporate'!$CQ$2</c:f>
              <c:strCache>
                <c:ptCount val="1"/>
                <c:pt idx="0">
                  <c:v>First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Corporate'!$CN$3:$CN$503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Corporate'!$CQ$3:$CQ$503</c:f>
              <c:numCache>
                <c:formatCode>0.00%</c:formatCode>
                <c:ptCount val="501"/>
                <c:pt idx="0">
                  <c:v>1.4819519269788485E-9</c:v>
                </c:pt>
                <c:pt idx="1">
                  <c:v>7.2597819972507638E-4</c:v>
                </c:pt>
                <c:pt idx="2">
                  <c:v>1.4250602486923776E-3</c:v>
                </c:pt>
                <c:pt idx="3">
                  <c:v>2.0980865110766262E-3</c:v>
                </c:pt>
                <c:pt idx="4">
                  <c:v>2.7458724613613566E-3</c:v>
                </c:pt>
                <c:pt idx="5">
                  <c:v>3.3692094041413469E-3</c:v>
                </c:pt>
                <c:pt idx="6">
                  <c:v>3.9688651733721832E-3</c:v>
                </c:pt>
                <c:pt idx="7">
                  <c:v>4.545584811649071E-3</c:v>
                </c:pt>
                <c:pt idx="8">
                  <c:v>5.1000912300812494E-3</c:v>
                </c:pt>
                <c:pt idx="9">
                  <c:v>5.6330858493112588E-3</c:v>
                </c:pt>
                <c:pt idx="10">
                  <c:v>6.145249222214752E-3</c:v>
                </c:pt>
                <c:pt idx="11">
                  <c:v>6.6372416387990973E-3</c:v>
                </c:pt>
                <c:pt idx="12">
                  <c:v>7.1097037138065236E-3</c:v>
                </c:pt>
                <c:pt idx="13">
                  <c:v>7.5632569575117574E-3</c:v>
                </c:pt>
                <c:pt idx="14">
                  <c:v>7.998504330191036E-3</c:v>
                </c:pt>
                <c:pt idx="15">
                  <c:v>8.4160307807259731E-3</c:v>
                </c:pt>
                <c:pt idx="16">
                  <c:v>8.8164037697920066E-3</c:v>
                </c:pt>
                <c:pt idx="17">
                  <c:v>9.2001737780693389E-3</c:v>
                </c:pt>
                <c:pt idx="18">
                  <c:v>9.5678747999012846E-3</c:v>
                </c:pt>
                <c:pt idx="19">
                  <c:v>9.9200248228130897E-3</c:v>
                </c:pt>
                <c:pt idx="20">
                  <c:v>1.0257126293292944E-2</c:v>
                </c:pt>
                <c:pt idx="21">
                  <c:v>1.0579666569225004E-2</c:v>
                </c:pt>
                <c:pt idx="22">
                  <c:v>1.0888118359353766E-2</c:v>
                </c:pt>
                <c:pt idx="23">
                  <c:v>1.1182940150148131E-2</c:v>
                </c:pt>
                <c:pt idx="24">
                  <c:v>1.1464576620423009E-2</c:v>
                </c:pt>
                <c:pt idx="25">
                  <c:v>1.1733459044066662E-2</c:v>
                </c:pt>
                <c:pt idx="26">
                  <c:v>1.1990005681211521E-2</c:v>
                </c:pt>
                <c:pt idx="27">
                  <c:v>1.2234622158177137E-2</c:v>
                </c:pt>
                <c:pt idx="28">
                  <c:v>1.2467701836504546E-2</c:v>
                </c:pt>
                <c:pt idx="29">
                  <c:v>1.2689626171392077E-2</c:v>
                </c:pt>
                <c:pt idx="30">
                  <c:v>1.2900765059834207E-2</c:v>
                </c:pt>
                <c:pt idx="31">
                  <c:v>1.3101477178756231E-2</c:v>
                </c:pt>
                <c:pt idx="32">
                  <c:v>1.3292110313429495E-2</c:v>
                </c:pt>
                <c:pt idx="33">
                  <c:v>1.3473001676443667E-2</c:v>
                </c:pt>
                <c:pt idx="34">
                  <c:v>1.3644478217504951E-2</c:v>
                </c:pt>
                <c:pt idx="35">
                  <c:v>1.3806856924321228E-2</c:v>
                </c:pt>
                <c:pt idx="36">
                  <c:v>1.3960445114828031E-2</c:v>
                </c:pt>
                <c:pt idx="37">
                  <c:v>1.4105540721001916E-2</c:v>
                </c:pt>
                <c:pt idx="38">
                  <c:v>1.4242432564500786E-2</c:v>
                </c:pt>
                <c:pt idx="39">
                  <c:v>1.4371400624364114E-2</c:v>
                </c:pt>
                <c:pt idx="40">
                  <c:v>1.4492716296999188E-2</c:v>
                </c:pt>
                <c:pt idx="41">
                  <c:v>1.4606642648673408E-2</c:v>
                </c:pt>
                <c:pt idx="42">
                  <c:v>1.4713434660725958E-2</c:v>
                </c:pt>
                <c:pt idx="43">
                  <c:v>1.4813339467706774E-2</c:v>
                </c:pt>
                <c:pt idx="44">
                  <c:v>1.4906596588644284E-2</c:v>
                </c:pt>
                <c:pt idx="45">
                  <c:v>1.49934381516379E-2</c:v>
                </c:pt>
                <c:pt idx="46">
                  <c:v>1.5074089111965883E-2</c:v>
                </c:pt>
                <c:pt idx="47">
                  <c:v>1.5148767463893362E-2</c:v>
                </c:pt>
                <c:pt idx="48">
                  <c:v>1.5217684446360558E-2</c:v>
                </c:pt>
                <c:pt idx="49">
                  <c:v>1.5281044742725722E-2</c:v>
                </c:pt>
                <c:pt idx="50">
                  <c:v>1.5339046674732664E-2</c:v>
                </c:pt>
                <c:pt idx="51">
                  <c:v>1.5391882390867733E-2</c:v>
                </c:pt>
                <c:pt idx="52">
                  <c:v>1.5439738049266606E-2</c:v>
                </c:pt>
                <c:pt idx="53">
                  <c:v>1.5482793995326502E-2</c:v>
                </c:pt>
                <c:pt idx="54">
                  <c:v>1.5521224934175258E-2</c:v>
                </c:pt>
                <c:pt idx="55">
                  <c:v>1.5555200098144102E-2</c:v>
                </c:pt>
                <c:pt idx="56">
                  <c:v>1.5584883409387223E-2</c:v>
                </c:pt>
                <c:pt idx="57">
                  <c:v>1.5610433637786671E-2</c:v>
                </c:pt>
                <c:pt idx="58">
                  <c:v>1.563200455427765E-2</c:v>
                </c:pt>
                <c:pt idx="59">
                  <c:v>1.5649745079725101E-2</c:v>
                </c:pt>
                <c:pt idx="60">
                  <c:v>1.566379942947901E-2</c:v>
                </c:pt>
                <c:pt idx="61">
                  <c:v>1.5674307253732003E-2</c:v>
                </c:pt>
                <c:pt idx="62">
                  <c:v>1.5681403773799521E-2</c:v>
                </c:pt>
                <c:pt idx="63">
                  <c:v>1.5685219914439323E-2</c:v>
                </c:pt>
                <c:pt idx="64">
                  <c:v>1.5685882432323786E-2</c:v>
                </c:pt>
                <c:pt idx="65">
                  <c:v>1.5683514040775188E-2</c:v>
                </c:pt>
                <c:pt idx="66">
                  <c:v>1.5678233530871135E-2</c:v>
                </c:pt>
                <c:pt idx="67">
                  <c:v>1.567015588902422E-2</c:v>
                </c:pt>
                <c:pt idx="68">
                  <c:v>1.5659392411136917E-2</c:v>
                </c:pt>
                <c:pt idx="69">
                  <c:v>1.5646050813430044E-2</c:v>
                </c:pt>
                <c:pt idx="70">
                  <c:v>1.5630235340040211E-2</c:v>
                </c:pt>
                <c:pt idx="71">
                  <c:v>1.5612046867478928E-2</c:v>
                </c:pt>
                <c:pt idx="72">
                  <c:v>1.5591583006043547E-2</c:v>
                </c:pt>
                <c:pt idx="73">
                  <c:v>1.5568938198267497E-2</c:v>
                </c:pt>
                <c:pt idx="74">
                  <c:v>1.5544203814494896E-2</c:v>
                </c:pt>
                <c:pt idx="75">
                  <c:v>1.5517468245662141E-2</c:v>
                </c:pt>
                <c:pt idx="76">
                  <c:v>1.548881699336674E-2</c:v>
                </c:pt>
                <c:pt idx="77">
                  <c:v>1.545833275730138E-2</c:v>
                </c:pt>
                <c:pt idx="78">
                  <c:v>1.5426095520129015E-2</c:v>
                </c:pt>
                <c:pt idx="79">
                  <c:v>1.5392182629872532E-2</c:v>
                </c:pt>
                <c:pt idx="80">
                  <c:v>1.5356668879890555E-2</c:v>
                </c:pt>
                <c:pt idx="81">
                  <c:v>1.531962658650885E-2</c:v>
                </c:pt>
                <c:pt idx="82">
                  <c:v>1.5281125664374803E-2</c:v>
                </c:pt>
                <c:pt idx="83">
                  <c:v>1.5241233699600579E-2</c:v>
                </c:pt>
                <c:pt idx="84">
                  <c:v>1.520001602075864E-2</c:v>
                </c:pt>
                <c:pt idx="85">
                  <c:v>1.5157535767791538E-2</c:v>
                </c:pt>
                <c:pt idx="86">
                  <c:v>1.5113853958896079E-2</c:v>
                </c:pt>
                <c:pt idx="87">
                  <c:v>1.5069029555440277E-2</c:v>
                </c:pt>
                <c:pt idx="88">
                  <c:v>1.5023119524969854E-2</c:v>
                </c:pt>
                <c:pt idx="89">
                  <c:v>1.4976178902359428E-2</c:v>
                </c:pt>
                <c:pt idx="90">
                  <c:v>1.4928260849161859E-2</c:v>
                </c:pt>
                <c:pt idx="91">
                  <c:v>1.4879416711207905E-2</c:v>
                </c:pt>
                <c:pt idx="92">
                  <c:v>1.4829696074506623E-2</c:v>
                </c:pt>
                <c:pt idx="93">
                  <c:v>1.4779146819495659E-2</c:v>
                </c:pt>
                <c:pt idx="94">
                  <c:v>1.4727815173689101E-2</c:v>
                </c:pt>
                <c:pt idx="95">
                  <c:v>1.4675745762769279E-2</c:v>
                </c:pt>
                <c:pt idx="96">
                  <c:v>1.4622981660167447E-2</c:v>
                </c:pt>
                <c:pt idx="97">
                  <c:v>1.4569564435177103E-2</c:v>
                </c:pt>
                <c:pt idx="98">
                  <c:v>1.4515534199642468E-2</c:v>
                </c:pt>
                <c:pt idx="99">
                  <c:v>1.4460929653263293E-2</c:v>
                </c:pt>
                <c:pt idx="100">
                  <c:v>1.4405788127556138E-2</c:v>
                </c:pt>
                <c:pt idx="101">
                  <c:v>1.4350145628511069E-2</c:v>
                </c:pt>
                <c:pt idx="102">
                  <c:v>1.4294036877981517E-2</c:v>
                </c:pt>
                <c:pt idx="103">
                  <c:v>1.4237495353844104E-2</c:v>
                </c:pt>
                <c:pt idx="104">
                  <c:v>1.4180553328964129E-2</c:v>
                </c:pt>
                <c:pt idx="105">
                  <c:v>1.4123241909001296E-2</c:v>
                </c:pt>
                <c:pt idx="106">
                  <c:v>1.4065591069089488E-2</c:v>
                </c:pt>
                <c:pt idx="107">
                  <c:v>1.400762968942313E-2</c:v>
                </c:pt>
                <c:pt idx="108">
                  <c:v>1.3949385589782112E-2</c:v>
                </c:pt>
                <c:pt idx="109">
                  <c:v>1.3890885563025913E-2</c:v>
                </c:pt>
                <c:pt idx="110">
                  <c:v>1.383215540758709E-2</c:v>
                </c:pt>
                <c:pt idx="111">
                  <c:v>1.3773219958993138E-2</c:v>
                </c:pt>
                <c:pt idx="112">
                  <c:v>1.3714103120445041E-2</c:v>
                </c:pt>
                <c:pt idx="113">
                  <c:v>1.3654827892480008E-2</c:v>
                </c:pt>
                <c:pt idx="114">
                  <c:v>1.3595416401744997E-2</c:v>
                </c:pt>
                <c:pt idx="115">
                  <c:v>1.353588992890704E-2</c:v>
                </c:pt>
                <c:pt idx="116">
                  <c:v>1.3476268935725476E-2</c:v>
                </c:pt>
                <c:pt idx="117">
                  <c:v>1.3416573091310578E-2</c:v>
                </c:pt>
                <c:pt idx="118">
                  <c:v>1.3356821297592303E-2</c:v>
                </c:pt>
                <c:pt idx="119">
                  <c:v>1.3297031714022229E-2</c:v>
                </c:pt>
                <c:pt idx="120">
                  <c:v>1.3237221781531097E-2</c:v>
                </c:pt>
                <c:pt idx="121">
                  <c:v>1.3177408245763703E-2</c:v>
                </c:pt>
                <c:pt idx="122">
                  <c:v>1.3117607179612288E-2</c:v>
                </c:pt>
                <c:pt idx="123">
                  <c:v>1.305783400506893E-2</c:v>
                </c:pt>
                <c:pt idx="124">
                  <c:v>1.2998103514416895E-2</c:v>
                </c:pt>
                <c:pt idx="125">
                  <c:v>1.2938429890780282E-2</c:v>
                </c:pt>
                <c:pt idx="126">
                  <c:v>1.2878826728050819E-2</c:v>
                </c:pt>
                <c:pt idx="127">
                  <c:v>1.2819307050209975E-2</c:v>
                </c:pt>
                <c:pt idx="128">
                  <c:v>1.275988333006425E-2</c:v>
                </c:pt>
                <c:pt idx="129">
                  <c:v>1.2700567507410752E-2</c:v>
                </c:pt>
                <c:pt idx="130">
                  <c:v>1.2641371006649874E-2</c:v>
                </c:pt>
                <c:pt idx="131">
                  <c:v>1.2582304753861252E-2</c:v>
                </c:pt>
                <c:pt idx="132">
                  <c:v>1.2523379193358858E-2</c:v>
                </c:pt>
                <c:pt idx="133">
                  <c:v>1.2464604303740452E-2</c:v>
                </c:pt>
                <c:pt idx="134">
                  <c:v>1.240598961344638E-2</c:v>
                </c:pt>
                <c:pt idx="135">
                  <c:v>1.2347544215842074E-2</c:v>
                </c:pt>
                <c:pt idx="136">
                  <c:v>1.2289276783838366E-2</c:v>
                </c:pt>
                <c:pt idx="137">
                  <c:v>1.223119558406317E-2</c:v>
                </c:pt>
                <c:pt idx="138">
                  <c:v>1.2173308490597853E-2</c:v>
                </c:pt>
                <c:pt idx="139">
                  <c:v>1.2115622998291055E-2</c:v>
                </c:pt>
                <c:pt idx="140">
                  <c:v>1.2058146235662502E-2</c:v>
                </c:pt>
                <c:pt idx="141">
                  <c:v>1.2000884977408909E-2</c:v>
                </c:pt>
                <c:pt idx="142">
                  <c:v>1.1943845656523736E-2</c:v>
                </c:pt>
                <c:pt idx="143">
                  <c:v>1.1887034376042252E-2</c:v>
                </c:pt>
                <c:pt idx="144">
                  <c:v>1.1830456920422953E-2</c:v>
                </c:pt>
                <c:pt idx="145">
                  <c:v>1.1774118766576159E-2</c:v>
                </c:pt>
                <c:pt idx="146">
                  <c:v>1.1718025094550243E-2</c:v>
                </c:pt>
                <c:pt idx="147">
                  <c:v>1.1662180797885609E-2</c:v>
                </c:pt>
                <c:pt idx="148">
                  <c:v>1.1606590493646353E-2</c:v>
                </c:pt>
                <c:pt idx="149">
                  <c:v>1.1551258532139133E-2</c:v>
                </c:pt>
                <c:pt idx="150">
                  <c:v>1.149618900632856E-2</c:v>
                </c:pt>
                <c:pt idx="151">
                  <c:v>1.1441385760958156E-2</c:v>
                </c:pt>
                <c:pt idx="152">
                  <c:v>1.1386852401385639E-2</c:v>
                </c:pt>
                <c:pt idx="153">
                  <c:v>1.1332592302141047E-2</c:v>
                </c:pt>
                <c:pt idx="154">
                  <c:v>1.1278608615215947E-2</c:v>
                </c:pt>
                <c:pt idx="155">
                  <c:v>1.1224904278091809E-2</c:v>
                </c:pt>
                <c:pt idx="156">
                  <c:v>1.117148202151527E-2</c:v>
                </c:pt>
                <c:pt idx="157">
                  <c:v>1.1118344377027916E-2</c:v>
                </c:pt>
                <c:pt idx="158">
                  <c:v>1.1065493684257856E-2</c:v>
                </c:pt>
                <c:pt idx="159">
                  <c:v>1.1012932097980311E-2</c:v>
                </c:pt>
                <c:pt idx="160">
                  <c:v>1.0960661594954041E-2</c:v>
                </c:pt>
                <c:pt idx="161">
                  <c:v>1.0908683980540417E-2</c:v>
                </c:pt>
                <c:pt idx="162">
                  <c:v>1.0857000895111603E-2</c:v>
                </c:pt>
                <c:pt idx="163">
                  <c:v>1.0805613820254209E-2</c:v>
                </c:pt>
                <c:pt idx="164">
                  <c:v>1.0754524084774571E-2</c:v>
                </c:pt>
                <c:pt idx="165">
                  <c:v>1.070373287051161E-2</c:v>
                </c:pt>
                <c:pt idx="166">
                  <c:v>1.0653241217963077E-2</c:v>
                </c:pt>
                <c:pt idx="167">
                  <c:v>1.0603050031730794E-2</c:v>
                </c:pt>
                <c:pt idx="168">
                  <c:v>1.0553160085790396E-2</c:v>
                </c:pt>
                <c:pt idx="169">
                  <c:v>1.0503572028590809E-2</c:v>
                </c:pt>
                <c:pt idx="170">
                  <c:v>1.0454286387988657E-2</c:v>
                </c:pt>
                <c:pt idx="171">
                  <c:v>1.0405303576022606E-2</c:v>
                </c:pt>
                <c:pt idx="172">
                  <c:v>1.0356623893532436E-2</c:v>
                </c:pt>
                <c:pt idx="173">
                  <c:v>1.0308247534627604E-2</c:v>
                </c:pt>
                <c:pt idx="174">
                  <c:v>1.0260174591009837E-2</c:v>
                </c:pt>
                <c:pt idx="175">
                  <c:v>1.0212405056154198E-2</c:v>
                </c:pt>
                <c:pt idx="176">
                  <c:v>1.0164938829352928E-2</c:v>
                </c:pt>
                <c:pt idx="177">
                  <c:v>1.011777571962626E-2</c:v>
                </c:pt>
                <c:pt idx="178">
                  <c:v>1.0070915449504204E-2</c:v>
                </c:pt>
                <c:pt idx="179">
                  <c:v>1.0024357658683324E-2</c:v>
                </c:pt>
                <c:pt idx="180">
                  <c:v>9.978101907562242E-3</c:v>
                </c:pt>
                <c:pt idx="181">
                  <c:v>9.9321476806596264E-3</c:v>
                </c:pt>
                <c:pt idx="182">
                  <c:v>9.8864943899182722E-3</c:v>
                </c:pt>
                <c:pt idx="183">
                  <c:v>9.8411413778987031E-3</c:v>
                </c:pt>
                <c:pt idx="184">
                  <c:v>9.7960879208657606E-3</c:v>
                </c:pt>
                <c:pt idx="185">
                  <c:v>9.7513332317714016E-3</c:v>
                </c:pt>
                <c:pt idx="186">
                  <c:v>9.7068764631369625E-3</c:v>
                </c:pt>
                <c:pt idx="187">
                  <c:v>9.662716709837909E-3</c:v>
                </c:pt>
                <c:pt idx="188">
                  <c:v>9.6188530117941543E-3</c:v>
                </c:pt>
                <c:pt idx="189">
                  <c:v>9.5752843565688125E-3</c:v>
                </c:pt>
                <c:pt idx="190">
                  <c:v>9.5320096818782337E-3</c:v>
                </c:pt>
                <c:pt idx="191">
                  <c:v>9.4890278780160649E-3</c:v>
                </c:pt>
                <c:pt idx="192">
                  <c:v>9.4463377901940048E-3</c:v>
                </c:pt>
                <c:pt idx="193">
                  <c:v>9.4039382208018288E-3</c:v>
                </c:pt>
                <c:pt idx="194">
                  <c:v>9.3618279315892169E-3</c:v>
                </c:pt>
                <c:pt idx="195">
                  <c:v>9.3200056457717773E-3</c:v>
                </c:pt>
                <c:pt idx="196">
                  <c:v>9.2784700500636742E-3</c:v>
                </c:pt>
                <c:pt idx="197">
                  <c:v>9.237219796639112E-3</c:v>
                </c:pt>
                <c:pt idx="198">
                  <c:v>9.1962535050249365E-3</c:v>
                </c:pt>
                <c:pt idx="199">
                  <c:v>9.1555697639264712E-3</c:v>
                </c:pt>
                <c:pt idx="200">
                  <c:v>9.1151671329887073E-3</c:v>
                </c:pt>
                <c:pt idx="201">
                  <c:v>9.0750441444948805E-3</c:v>
                </c:pt>
                <c:pt idx="202">
                  <c:v>9.0351993050043784E-3</c:v>
                </c:pt>
                <c:pt idx="203">
                  <c:v>8.9956310969319178E-3</c:v>
                </c:pt>
                <c:pt idx="204">
                  <c:v>8.956337980069836E-3</c:v>
                </c:pt>
                <c:pt idx="205">
                  <c:v>8.917318393055278E-3</c:v>
                </c:pt>
                <c:pt idx="206">
                  <c:v>8.8785707547840379E-3</c:v>
                </c:pt>
                <c:pt idx="207">
                  <c:v>8.8400934657727765E-3</c:v>
                </c:pt>
                <c:pt idx="208">
                  <c:v>8.8018849094711783E-3</c:v>
                </c:pt>
                <c:pt idx="209">
                  <c:v>8.7639434535257254E-3</c:v>
                </c:pt>
                <c:pt idx="210">
                  <c:v>8.7262674509965745E-3</c:v>
                </c:pt>
                <c:pt idx="211">
                  <c:v>8.688855241529056E-3</c:v>
                </c:pt>
                <c:pt idx="212">
                  <c:v>8.6517051524812559E-3</c:v>
                </c:pt>
                <c:pt idx="213">
                  <c:v>8.6148155000090633E-3</c:v>
                </c:pt>
                <c:pt idx="214">
                  <c:v>8.578184590110078E-3</c:v>
                </c:pt>
                <c:pt idx="215">
                  <c:v>8.5418107196276825E-3</c:v>
                </c:pt>
                <c:pt idx="216">
                  <c:v>8.5056921772165735E-3</c:v>
                </c:pt>
                <c:pt idx="217">
                  <c:v>8.4698272442709933E-3</c:v>
                </c:pt>
                <c:pt idx="218">
                  <c:v>8.4342141958168772E-3</c:v>
                </c:pt>
                <c:pt idx="219">
                  <c:v>8.3988513013690796E-3</c:v>
                </c:pt>
                <c:pt idx="220">
                  <c:v>8.3637368257548153E-3</c:v>
                </c:pt>
                <c:pt idx="221">
                  <c:v>8.3288690299044271E-3</c:v>
                </c:pt>
                <c:pt idx="222">
                  <c:v>8.294246171610533E-3</c:v>
                </c:pt>
                <c:pt idx="223">
                  <c:v>8.2598665062566107E-3</c:v>
                </c:pt>
                <c:pt idx="224">
                  <c:v>8.2257282875159952E-3</c:v>
                </c:pt>
                <c:pt idx="225">
                  <c:v>8.1918297680222789E-3</c:v>
                </c:pt>
                <c:pt idx="226">
                  <c:v>8.158169200012064E-3</c:v>
                </c:pt>
                <c:pt idx="227">
                  <c:v>8.1247448359409724E-3</c:v>
                </c:pt>
                <c:pt idx="228">
                  <c:v>8.0915549290737805E-3</c:v>
                </c:pt>
                <c:pt idx="229">
                  <c:v>8.0585977340496013E-3</c:v>
                </c:pt>
                <c:pt idx="230">
                  <c:v>8.0258715074228576E-3</c:v>
                </c:pt>
                <c:pt idx="231">
                  <c:v>7.9933745081809393E-3</c:v>
                </c:pt>
                <c:pt idx="232">
                  <c:v>7.9611049982392639E-3</c:v>
                </c:pt>
                <c:pt idx="233">
                  <c:v>7.9290612429145438E-3</c:v>
                </c:pt>
                <c:pt idx="234">
                  <c:v>7.8972415113769592E-3</c:v>
                </c:pt>
                <c:pt idx="235">
                  <c:v>7.8656440770819794E-3</c:v>
                </c:pt>
                <c:pt idx="236">
                  <c:v>7.8342672181825109E-3</c:v>
                </c:pt>
                <c:pt idx="237">
                  <c:v>7.8031092179220258E-3</c:v>
                </c:pt>
                <c:pt idx="238">
                  <c:v>7.772168365009352E-3</c:v>
                </c:pt>
                <c:pt idx="239">
                  <c:v>7.7414429539757268E-3</c:v>
                </c:pt>
                <c:pt idx="240">
                  <c:v>7.7109312855147393E-3</c:v>
                </c:pt>
                <c:pt idx="241">
                  <c:v>7.6806316668057255E-3</c:v>
                </c:pt>
                <c:pt idx="242">
                  <c:v>7.6505424118212349E-3</c:v>
                </c:pt>
                <c:pt idx="243">
                  <c:v>7.6206618416190678E-3</c:v>
                </c:pt>
                <c:pt idx="244">
                  <c:v>7.5909882846194633E-3</c:v>
                </c:pt>
                <c:pt idx="245">
                  <c:v>7.5615200768679334E-3</c:v>
                </c:pt>
                <c:pt idx="246">
                  <c:v>7.5322555622842442E-3</c:v>
                </c:pt>
                <c:pt idx="247">
                  <c:v>7.5031930928980677E-3</c:v>
                </c:pt>
                <c:pt idx="248">
                  <c:v>7.474331029071718E-3</c:v>
                </c:pt>
                <c:pt idx="249">
                  <c:v>7.4456677397104817E-3</c:v>
                </c:pt>
                <c:pt idx="250">
                  <c:v>7.4172016024609665E-3</c:v>
                </c:pt>
                <c:pt idx="251">
                  <c:v>7.3889310038978756E-3</c:v>
                </c:pt>
                <c:pt idx="252">
                  <c:v>7.360854339699666E-3</c:v>
                </c:pt>
                <c:pt idx="253">
                  <c:v>7.3329700148134606E-3</c:v>
                </c:pt>
                <c:pt idx="254">
                  <c:v>7.3052764436096155E-3</c:v>
                </c:pt>
                <c:pt idx="255">
                  <c:v>7.2777720500263078E-3</c:v>
                </c:pt>
                <c:pt idx="256">
                  <c:v>7.2504552677045385E-3</c:v>
                </c:pt>
                <c:pt idx="257">
                  <c:v>7.2233245401138691E-3</c:v>
                </c:pt>
                <c:pt idx="258">
                  <c:v>7.1963783206692514E-3</c:v>
                </c:pt>
                <c:pt idx="259">
                  <c:v>7.1696150728392926E-3</c:v>
                </c:pt>
                <c:pt idx="260">
                  <c:v>7.1430332702462386E-3</c:v>
                </c:pt>
                <c:pt idx="261">
                  <c:v>7.1166313967580414E-3</c:v>
                </c:pt>
                <c:pt idx="262">
                  <c:v>7.0904079465727637E-3</c:v>
                </c:pt>
                <c:pt idx="263">
                  <c:v>7.0643614242956124E-3</c:v>
                </c:pt>
                <c:pt idx="264">
                  <c:v>7.0384903450089421E-3</c:v>
                </c:pt>
                <c:pt idx="265">
                  <c:v>7.0127932343354103E-3</c:v>
                </c:pt>
                <c:pt idx="266">
                  <c:v>6.9872686284946266E-3</c:v>
                </c:pt>
                <c:pt idx="267">
                  <c:v>6.9619150743534973E-3</c:v>
                </c:pt>
                <c:pt idx="268">
                  <c:v>6.9367311294705443E-3</c:v>
                </c:pt>
                <c:pt idx="269">
                  <c:v>6.9117153621344254E-3</c:v>
                </c:pt>
                <c:pt idx="270">
                  <c:v>6.8868663513968779E-3</c:v>
                </c:pt>
                <c:pt idx="271">
                  <c:v>6.8621826871003294E-3</c:v>
                </c:pt>
                <c:pt idx="272">
                  <c:v>6.8376629699003575E-3</c:v>
                </c:pt>
                <c:pt idx="273">
                  <c:v>6.8133058112832641E-3</c:v>
                </c:pt>
                <c:pt idx="274">
                  <c:v>6.7891098335788906E-3</c:v>
                </c:pt>
                <c:pt idx="275">
                  <c:v>6.765073669968937E-3</c:v>
                </c:pt>
                <c:pt idx="276">
                  <c:v>6.74119596449093E-3</c:v>
                </c:pt>
                <c:pt idx="277">
                  <c:v>6.717475372038058E-3</c:v>
                </c:pt>
                <c:pt idx="278">
                  <c:v>6.6939105583549924E-3</c:v>
                </c:pt>
                <c:pt idx="279">
                  <c:v>6.6705002000299433E-3</c:v>
                </c:pt>
                <c:pt idx="280">
                  <c:v>6.6472429844830396E-3</c:v>
                </c:pt>
                <c:pt idx="281">
                  <c:v>6.6241376099512523E-3</c:v>
                </c:pt>
                <c:pt idx="282">
                  <c:v>6.6011827854699614E-3</c:v>
                </c:pt>
                <c:pt idx="283">
                  <c:v>6.5783772308513665E-3</c:v>
                </c:pt>
                <c:pt idx="284">
                  <c:v>6.5557196766598399E-3</c:v>
                </c:pt>
                <c:pt idx="285">
                  <c:v>6.5332088641843981E-3</c:v>
                </c:pt>
                <c:pt idx="286">
                  <c:v>6.5108435454083822E-3</c:v>
                </c:pt>
                <c:pt idx="287">
                  <c:v>6.4886224829765315E-3</c:v>
                </c:pt>
                <c:pt idx="288">
                  <c:v>6.4665444501595271E-3</c:v>
                </c:pt>
                <c:pt idx="289">
                  <c:v>6.4446082308161415E-3</c:v>
                </c:pt>
                <c:pt idx="290">
                  <c:v>6.4228126193531295E-3</c:v>
                </c:pt>
                <c:pt idx="291">
                  <c:v>6.401156420682938E-3</c:v>
                </c:pt>
                <c:pt idx="292">
                  <c:v>6.3796384501793721E-3</c:v>
                </c:pt>
                <c:pt idx="293">
                  <c:v>6.358257533631311E-3</c:v>
                </c:pt>
                <c:pt idx="294">
                  <c:v>6.3370125071945662E-3</c:v>
                </c:pt>
                <c:pt idx="295">
                  <c:v>6.3159022173420003E-3</c:v>
                </c:pt>
                <c:pt idx="296">
                  <c:v>6.2949255208119698E-3</c:v>
                </c:pt>
                <c:pt idx="297">
                  <c:v>6.2740812845552239E-3</c:v>
                </c:pt>
                <c:pt idx="298">
                  <c:v>6.2533683856802998E-3</c:v>
                </c:pt>
                <c:pt idx="299">
                  <c:v>6.2327857113975366E-3</c:v>
                </c:pt>
                <c:pt idx="300">
                  <c:v>6.2123321589617692E-3</c:v>
                </c:pt>
                <c:pt idx="301">
                  <c:v>6.192006635613782E-3</c:v>
                </c:pt>
                <c:pt idx="302">
                  <c:v>6.171808058520605E-3</c:v>
                </c:pt>
                <c:pt idx="303">
                  <c:v>6.1517353547147222E-3</c:v>
                </c:pt>
                <c:pt idx="304">
                  <c:v>6.1317874610322563E-3</c:v>
                </c:pt>
                <c:pt idx="305">
                  <c:v>6.111963324050204E-3</c:v>
                </c:pt>
                <c:pt idx="306">
                  <c:v>6.0922619000227827E-3</c:v>
                </c:pt>
                <c:pt idx="307">
                  <c:v>6.0726821548169555E-3</c:v>
                </c:pt>
                <c:pt idx="308">
                  <c:v>6.0532230638471853E-3</c:v>
                </c:pt>
                <c:pt idx="309">
                  <c:v>6.0338836120094998E-3</c:v>
                </c:pt>
                <c:pt idx="310">
                  <c:v>6.014662793614874E-3</c:v>
                </c:pt>
                <c:pt idx="311">
                  <c:v>5.9955596123220474E-3</c:v>
                </c:pt>
                <c:pt idx="312">
                  <c:v>5.9765730810697783E-3</c:v>
                </c:pt>
                <c:pt idx="313">
                  <c:v>5.9577022220086038E-3</c:v>
                </c:pt>
                <c:pt idx="314">
                  <c:v>5.9389460664321493E-3</c:v>
                </c:pt>
                <c:pt idx="315">
                  <c:v>5.920303654708043E-3</c:v>
                </c:pt>
                <c:pt idx="316">
                  <c:v>5.9017740362084662E-3</c:v>
                </c:pt>
                <c:pt idx="317">
                  <c:v>5.8833562692403776E-3</c:v>
                </c:pt>
                <c:pt idx="318">
                  <c:v>5.8650494209754808E-3</c:v>
                </c:pt>
                <c:pt idx="319">
                  <c:v>5.8468525673799334E-3</c:v>
                </c:pt>
                <c:pt idx="320">
                  <c:v>5.8287647931438702E-3</c:v>
                </c:pt>
                <c:pt idx="321">
                  <c:v>5.8107851916107574E-3</c:v>
                </c:pt>
                <c:pt idx="322">
                  <c:v>5.7929128647066144E-3</c:v>
                </c:pt>
                <c:pt idx="323">
                  <c:v>5.7751469228691423E-3</c:v>
                </c:pt>
                <c:pt idx="324">
                  <c:v>5.757486484976781E-3</c:v>
                </c:pt>
                <c:pt idx="325">
                  <c:v>5.7399306782777377E-3</c:v>
                </c:pt>
                <c:pt idx="326">
                  <c:v>5.7224786383190058E-3</c:v>
                </c:pt>
                <c:pt idx="327">
                  <c:v>5.7051295088754042E-3</c:v>
                </c:pt>
                <c:pt idx="328">
                  <c:v>5.6878824418786647E-3</c:v>
                </c:pt>
                <c:pt idx="329">
                  <c:v>5.6707365973465932E-3</c:v>
                </c:pt>
                <c:pt idx="330">
                  <c:v>5.653691143312327E-3</c:v>
                </c:pt>
                <c:pt idx="331">
                  <c:v>5.6367452557537188E-3</c:v>
                </c:pt>
                <c:pt idx="332">
                  <c:v>5.6198981185228468E-3</c:v>
                </c:pt>
                <c:pt idx="333">
                  <c:v>5.6031489232757107E-3</c:v>
                </c:pt>
                <c:pt idx="334">
                  <c:v>5.5864968694020961E-3</c:v>
                </c:pt>
                <c:pt idx="335">
                  <c:v>5.5699411639556443E-3</c:v>
                </c:pt>
                <c:pt idx="336">
                  <c:v>5.5534810215841493E-3</c:v>
                </c:pt>
                <c:pt idx="337">
                  <c:v>5.5371156644600872E-3</c:v>
                </c:pt>
                <c:pt idx="338">
                  <c:v>5.5208443222114038E-3</c:v>
                </c:pt>
                <c:pt idx="339">
                  <c:v>5.5046662318525745E-3</c:v>
                </c:pt>
                <c:pt idx="340">
                  <c:v>5.4885806377159467E-3</c:v>
                </c:pt>
                <c:pt idx="341">
                  <c:v>5.4725867913833839E-3</c:v>
                </c:pt>
                <c:pt idx="342">
                  <c:v>5.4566839516182282E-3</c:v>
                </c:pt>
                <c:pt idx="343">
                  <c:v>5.4408713842975798E-3</c:v>
                </c:pt>
                <c:pt idx="344">
                  <c:v>5.4251483623449252E-3</c:v>
                </c:pt>
                <c:pt idx="345">
                  <c:v>5.4095141656631115E-3</c:v>
                </c:pt>
                <c:pt idx="346">
                  <c:v>5.3939680810676741E-3</c:v>
                </c:pt>
                <c:pt idx="347">
                  <c:v>5.3785094022205486E-3</c:v>
                </c:pt>
                <c:pt idx="348">
                  <c:v>5.3631374295641581E-3</c:v>
                </c:pt>
                <c:pt idx="349">
                  <c:v>5.3478514702558835E-3</c:v>
                </c:pt>
                <c:pt idx="350">
                  <c:v>5.3326508381029425E-3</c:v>
                </c:pt>
                <c:pt idx="351">
                  <c:v>5.3175348534976732E-3</c:v>
                </c:pt>
                <c:pt idx="352">
                  <c:v>5.3025028433532186E-3</c:v>
                </c:pt>
                <c:pt idx="353">
                  <c:v>5.2875541410396494E-3</c:v>
                </c:pt>
                <c:pt idx="354">
                  <c:v>5.2726880863205056E-3</c:v>
                </c:pt>
                <c:pt idx="355">
                  <c:v>5.257904025289771E-3</c:v>
                </c:pt>
                <c:pt idx="356">
                  <c:v>5.2432013103092838E-3</c:v>
                </c:pt>
                <c:pt idx="357">
                  <c:v>5.2285792999466002E-3</c:v>
                </c:pt>
                <c:pt idx="358">
                  <c:v>5.2140373589132979E-3</c:v>
                </c:pt>
                <c:pt idx="359">
                  <c:v>5.199574858003742E-3</c:v>
                </c:pt>
                <c:pt idx="360">
                  <c:v>5.1851911740342926E-3</c:v>
                </c:pt>
                <c:pt idx="361">
                  <c:v>5.1708856897829947E-3</c:v>
                </c:pt>
                <c:pt idx="362">
                  <c:v>5.1566577939297113E-3</c:v>
                </c:pt>
                <c:pt idx="363">
                  <c:v>5.1425068809967433E-3</c:v>
                </c:pt>
                <c:pt idx="364">
                  <c:v>5.1284323512898996E-3</c:v>
                </c:pt>
                <c:pt idx="365">
                  <c:v>5.114433610840058E-3</c:v>
                </c:pt>
                <c:pt idx="366">
                  <c:v>5.1005100713451892E-3</c:v>
                </c:pt>
                <c:pt idx="367">
                  <c:v>5.0866611501128563E-3</c:v>
                </c:pt>
                <c:pt idx="368">
                  <c:v>5.0728862700032025E-3</c:v>
                </c:pt>
                <c:pt idx="369">
                  <c:v>5.0591848593724096E-3</c:v>
                </c:pt>
                <c:pt idx="370">
                  <c:v>5.0455563520166351E-3</c:v>
                </c:pt>
                <c:pt idx="371">
                  <c:v>5.0320001871164361E-3</c:v>
                </c:pt>
                <c:pt idx="372">
                  <c:v>5.0185158091816725E-3</c:v>
                </c:pt>
                <c:pt idx="373">
                  <c:v>5.0051026679968878E-3</c:v>
                </c:pt>
                <c:pt idx="374">
                  <c:v>4.991760218567183E-3</c:v>
                </c:pt>
                <c:pt idx="375">
                  <c:v>4.978487921064559E-3</c:v>
                </c:pt>
                <c:pt idx="376">
                  <c:v>4.9652852407747463E-3</c:v>
                </c:pt>
                <c:pt idx="377">
                  <c:v>4.9521516480445183E-3</c:v>
                </c:pt>
                <c:pt idx="378">
                  <c:v>4.9390866182294864E-3</c:v>
                </c:pt>
                <c:pt idx="379">
                  <c:v>4.9260896316423658E-3</c:v>
                </c:pt>
                <c:pt idx="380">
                  <c:v>4.9131601735017284E-3</c:v>
                </c:pt>
                <c:pt idx="381">
                  <c:v>4.9002977338812349E-3</c:v>
                </c:pt>
                <c:pt idx="382">
                  <c:v>4.8875018076593351E-3</c:v>
                </c:pt>
                <c:pt idx="383">
                  <c:v>4.8747718944694473E-3</c:v>
                </c:pt>
                <c:pt idx="384">
                  <c:v>4.8621074986506148E-3</c:v>
                </c:pt>
                <c:pt idx="385">
                  <c:v>4.8495081291986351E-3</c:v>
                </c:pt>
                <c:pt idx="386">
                  <c:v>4.8369732997176488E-3</c:v>
                </c:pt>
                <c:pt idx="387">
                  <c:v>4.8245025283722076E-3</c:v>
                </c:pt>
                <c:pt idx="388">
                  <c:v>4.8120953378398088E-3</c:v>
                </c:pt>
                <c:pt idx="389">
                  <c:v>4.7997512552638835E-3</c:v>
                </c:pt>
                <c:pt idx="390">
                  <c:v>4.7874698122072632E-3</c:v>
                </c:pt>
                <c:pt idx="391">
                  <c:v>4.7752505446060876E-3</c:v>
                </c:pt>
                <c:pt idx="392">
                  <c:v>4.7630929927241902E-3</c:v>
                </c:pt>
                <c:pt idx="393">
                  <c:v>4.7509967011079195E-3</c:v>
                </c:pt>
                <c:pt idx="394">
                  <c:v>4.7389612185414322E-3</c:v>
                </c:pt>
                <c:pt idx="395">
                  <c:v>4.7269860980024142E-3</c:v>
                </c:pt>
                <c:pt idx="396">
                  <c:v>4.7150708966182727E-3</c:v>
                </c:pt>
                <c:pt idx="397">
                  <c:v>4.7032151756227552E-3</c:v>
                </c:pt>
                <c:pt idx="398">
                  <c:v>4.6914185003130195E-3</c:v>
                </c:pt>
                <c:pt idx="399">
                  <c:v>4.6796804400071413E-3</c:v>
                </c:pt>
                <c:pt idx="400">
                  <c:v>4.6680005680020528E-3</c:v>
                </c:pt>
                <c:pt idx="401">
                  <c:v>4.6563784615319221E-3</c:v>
                </c:pt>
                <c:pt idx="402">
                  <c:v>4.6448137017269606E-3</c:v>
                </c:pt>
                <c:pt idx="403">
                  <c:v>4.6333058735726559E-3</c:v>
                </c:pt>
                <c:pt idx="404">
                  <c:v>4.621854565869425E-3</c:v>
                </c:pt>
                <c:pt idx="405">
                  <c:v>4.610459371192705E-3</c:v>
                </c:pt>
                <c:pt idx="406">
                  <c:v>4.5991198858534345E-3</c:v>
                </c:pt>
                <c:pt idx="407">
                  <c:v>4.5878357098589825E-3</c:v>
                </c:pt>
                <c:pt idx="408">
                  <c:v>4.5766064468744571E-3</c:v>
                </c:pt>
                <c:pt idx="409">
                  <c:v>4.5654317041844495E-3</c:v>
                </c:pt>
                <c:pt idx="410">
                  <c:v>4.5543110926551606E-3</c:v>
                </c:pt>
                <c:pt idx="411">
                  <c:v>4.5432442266969495E-3</c:v>
                </c:pt>
                <c:pt idx="412">
                  <c:v>4.5322307242272666E-3</c:v>
                </c:pt>
                <c:pt idx="413">
                  <c:v>4.5212702066339825E-3</c:v>
                </c:pt>
                <c:pt idx="414">
                  <c:v>4.510362298739125E-3</c:v>
                </c:pt>
                <c:pt idx="415">
                  <c:v>4.4995066287629787E-3</c:v>
                </c:pt>
                <c:pt idx="416">
                  <c:v>4.4887028282885929E-3</c:v>
                </c:pt>
                <c:pt idx="417">
                  <c:v>4.4779505322266634E-3</c:v>
                </c:pt>
                <c:pt idx="418">
                  <c:v>4.4672493787807823E-3</c:v>
                </c:pt>
                <c:pt idx="419">
                  <c:v>4.4565990094130844E-3</c:v>
                </c:pt>
                <c:pt idx="420">
                  <c:v>4.4459990688102457E-3</c:v>
                </c:pt>
                <c:pt idx="421">
                  <c:v>4.4354492048498621E-3</c:v>
                </c:pt>
                <c:pt idx="422">
                  <c:v>4.4249490685671919E-3</c:v>
                </c:pt>
                <c:pt idx="423">
                  <c:v>4.4144983141222493E-3</c:v>
                </c:pt>
                <c:pt idx="424">
                  <c:v>4.4040965987672751E-3</c:v>
                </c:pt>
                <c:pt idx="425">
                  <c:v>4.3937435828145452E-3</c:v>
                </c:pt>
                <c:pt idx="426">
                  <c:v>4.3834389296045417E-3</c:v>
                </c:pt>
                <c:pt idx="427">
                  <c:v>4.3731823054744632E-3</c:v>
                </c:pt>
                <c:pt idx="428">
                  <c:v>4.3629733797270944E-3</c:v>
                </c:pt>
                <c:pt idx="429">
                  <c:v>4.3528118245999958E-3</c:v>
                </c:pt>
                <c:pt idx="430">
                  <c:v>4.3426973152350563E-3</c:v>
                </c:pt>
                <c:pt idx="431">
                  <c:v>4.3326295296483592E-3</c:v>
                </c:pt>
                <c:pt idx="432">
                  <c:v>4.3226081487003961E-3</c:v>
                </c:pt>
                <c:pt idx="433">
                  <c:v>4.3126328560665964E-3</c:v>
                </c:pt>
                <c:pt idx="434">
                  <c:v>4.3027033382081912E-3</c:v>
                </c:pt>
                <c:pt idx="435">
                  <c:v>4.2928192843433976E-3</c:v>
                </c:pt>
                <c:pt idx="436">
                  <c:v>4.282980386418913E-3</c:v>
                </c:pt>
                <c:pt idx="437">
                  <c:v>4.2731863390817418E-3</c:v>
                </c:pt>
                <c:pt idx="438">
                  <c:v>4.2634368396513101E-3</c:v>
                </c:pt>
                <c:pt idx="439">
                  <c:v>4.2537315880919165E-3</c:v>
                </c:pt>
                <c:pt idx="440">
                  <c:v>4.2440702869854649E-3</c:v>
                </c:pt>
                <c:pt idx="441">
                  <c:v>4.2344526415045193E-3</c:v>
                </c:pt>
                <c:pt idx="442">
                  <c:v>4.2248783593856372E-3</c:v>
                </c:pt>
                <c:pt idx="443">
                  <c:v>4.2153471509030231E-3</c:v>
                </c:pt>
                <c:pt idx="444">
                  <c:v>4.2058587288424558E-3</c:v>
                </c:pt>
                <c:pt idx="445">
                  <c:v>4.1964128084755114E-3</c:v>
                </c:pt>
                <c:pt idx="446">
                  <c:v>4.1870091075340799E-3</c:v>
                </c:pt>
                <c:pt idx="447">
                  <c:v>4.1776473461851591E-3</c:v>
                </c:pt>
                <c:pt idx="448">
                  <c:v>4.1683272470059264E-3</c:v>
                </c:pt>
                <c:pt idx="449">
                  <c:v>4.1590485349590998E-3</c:v>
                </c:pt>
                <c:pt idx="450">
                  <c:v>4.1498109373685581E-3</c:v>
                </c:pt>
                <c:pt idx="451">
                  <c:v>4.140614183895254E-3</c:v>
                </c:pt>
                <c:pt idx="452">
                  <c:v>4.1314580065133673E-3</c:v>
                </c:pt>
                <c:pt idx="453">
                  <c:v>4.1223421394867565E-3</c:v>
                </c:pt>
                <c:pt idx="454">
                  <c:v>4.1132663193456497E-3</c:v>
                </c:pt>
                <c:pt idx="455">
                  <c:v>4.1042302848636027E-3</c:v>
                </c:pt>
                <c:pt idx="456">
                  <c:v>4.0952337770347189E-3</c:v>
                </c:pt>
                <c:pt idx="457">
                  <c:v>4.0862765390511178E-3</c:v>
                </c:pt>
                <c:pt idx="458">
                  <c:v>4.0773583162806611E-3</c:v>
                </c:pt>
                <c:pt idx="459">
                  <c:v>4.0684788562449191E-3</c:v>
                </c:pt>
                <c:pt idx="460">
                  <c:v>4.0596379085973931E-3</c:v>
                </c:pt>
                <c:pt idx="461">
                  <c:v>4.0508352251019744E-3</c:v>
                </c:pt>
                <c:pt idx="462">
                  <c:v>4.0420705596116487E-3</c:v>
                </c:pt>
                <c:pt idx="463">
                  <c:v>4.0333436680474299E-3</c:v>
                </c:pt>
                <c:pt idx="464">
                  <c:v>4.024654308377543E-3</c:v>
                </c:pt>
                <c:pt idx="465">
                  <c:v>4.0160022405968283E-3</c:v>
                </c:pt>
                <c:pt idx="466">
                  <c:v>4.0073872267063788E-3</c:v>
                </c:pt>
                <c:pt idx="467">
                  <c:v>3.9988090306934078E-3</c:v>
                </c:pt>
                <c:pt idx="468">
                  <c:v>3.990267418511338E-3</c:v>
                </c:pt>
                <c:pt idx="469">
                  <c:v>3.9817621580601151E-3</c:v>
                </c:pt>
                <c:pt idx="470">
                  <c:v>3.9732930191667395E-3</c:v>
                </c:pt>
                <c:pt idx="471">
                  <c:v>3.9648597735660205E-3</c:v>
                </c:pt>
                <c:pt idx="472">
                  <c:v>3.9564621948815319E-3</c:v>
                </c:pt>
                <c:pt idx="473">
                  <c:v>3.9481000586068004E-3</c:v>
                </c:pt>
                <c:pt idx="474">
                  <c:v>3.9397731420866833E-3</c:v>
                </c:pt>
                <c:pt idx="475">
                  <c:v>3.9314812244989729E-3</c:v>
                </c:pt>
                <c:pt idx="476">
                  <c:v>3.923224086836187E-3</c:v>
                </c:pt>
                <c:pt idx="477">
                  <c:v>3.9150015118875779E-3</c:v>
                </c:pt>
                <c:pt idx="478">
                  <c:v>3.9068132842213325E-3</c:v>
                </c:pt>
                <c:pt idx="479">
                  <c:v>3.8986591901669773E-3</c:v>
                </c:pt>
                <c:pt idx="480">
                  <c:v>3.8905390177979755E-3</c:v>
                </c:pt>
                <c:pt idx="481">
                  <c:v>3.8824525569145112E-3</c:v>
                </c:pt>
                <c:pt idx="482">
                  <c:v>3.874399599026484E-3</c:v>
                </c:pt>
                <c:pt idx="483">
                  <c:v>3.8663799373366676E-3</c:v>
                </c:pt>
                <c:pt idx="484">
                  <c:v>3.8583933667240798E-3</c:v>
                </c:pt>
                <c:pt idx="485">
                  <c:v>3.8504396837275206E-3</c:v>
                </c:pt>
                <c:pt idx="486">
                  <c:v>3.8425186865292983E-3</c:v>
                </c:pt>
                <c:pt idx="487">
                  <c:v>3.8346301749391364E-3</c:v>
                </c:pt>
                <c:pt idx="488">
                  <c:v>3.8267739503782608E-3</c:v>
                </c:pt>
                <c:pt idx="489">
                  <c:v>3.8189498158636604E-3</c:v>
                </c:pt>
                <c:pt idx="490">
                  <c:v>3.8111575759925244E-3</c:v>
                </c:pt>
                <c:pt idx="491">
                  <c:v>3.8033970369268453E-3</c:v>
                </c:pt>
                <c:pt idx="492">
                  <c:v>3.795668006378206E-3</c:v>
                </c:pt>
                <c:pt idx="493">
                  <c:v>3.7879702935927164E-3</c:v>
                </c:pt>
                <c:pt idx="494">
                  <c:v>3.7803037093361381E-3</c:v>
                </c:pt>
                <c:pt idx="495">
                  <c:v>3.7726680658791509E-3</c:v>
                </c:pt>
                <c:pt idx="496">
                  <c:v>3.7650631769828016E-3</c:v>
                </c:pt>
                <c:pt idx="497">
                  <c:v>3.7574888578840986E-3</c:v>
                </c:pt>
                <c:pt idx="498">
                  <c:v>3.7499449252817738E-3</c:v>
                </c:pt>
                <c:pt idx="499">
                  <c:v>3.7424311973221968E-3</c:v>
                </c:pt>
                <c:pt idx="500">
                  <c:v>3.7349474935854513E-3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5-4892-B852-3EB0187866F5}"/>
            </c:ext>
          </c:extLst>
        </c:ser>
        <c:ser>
          <c:idx val="4"/>
          <c:order val="3"/>
          <c:tx>
            <c:strRef>
              <c:f>'NSS Corporate'!$CR$2</c:f>
              <c:strCache>
                <c:ptCount val="1"/>
                <c:pt idx="0">
                  <c:v>Second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'NSS Corporate'!$CN$3:$CN$503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Corporate'!$CR$3:$CR$503</c:f>
              <c:numCache>
                <c:formatCode>0.00%</c:formatCode>
                <c:ptCount val="501"/>
                <c:pt idx="0">
                  <c:v>2.0944027355237646E-9</c:v>
                </c:pt>
                <c:pt idx="1">
                  <c:v>8.8775393335670553E-4</c:v>
                </c:pt>
                <c:pt idx="2">
                  <c:v>1.7609213717264024E-3</c:v>
                </c:pt>
                <c:pt idx="3">
                  <c:v>2.6197044929360527E-3</c:v>
                </c:pt>
                <c:pt idx="4">
                  <c:v>3.4643028180811105E-3</c:v>
                </c:pt>
                <c:pt idx="5">
                  <c:v>4.2949132456181595E-3</c:v>
                </c:pt>
                <c:pt idx="6">
                  <c:v>5.111730085021679E-3</c:v>
                </c:pt>
                <c:pt idx="7">
                  <c:v>5.9149450900181991E-3</c:v>
                </c:pt>
                <c:pt idx="8">
                  <c:v>6.704747491396274E-3</c:v>
                </c:pt>
                <c:pt idx="9">
                  <c:v>7.4813240294024363E-3</c:v>
                </c:pt>
                <c:pt idx="10">
                  <c:v>8.2448589857253562E-3</c:v>
                </c:pt>
                <c:pt idx="11">
                  <c:v>8.9955342150755888E-3</c:v>
                </c:pt>
                <c:pt idx="12">
                  <c:v>9.7335291763639246E-3</c:v>
                </c:pt>
                <c:pt idx="13">
                  <c:v>1.0459020963485556E-2</c:v>
                </c:pt>
                <c:pt idx="14">
                  <c:v>1.1172184335712725E-2</c:v>
                </c:pt>
                <c:pt idx="15">
                  <c:v>1.1873191747703002E-2</c:v>
                </c:pt>
                <c:pt idx="16">
                  <c:v>1.2562213379126363E-2</c:v>
                </c:pt>
                <c:pt idx="17">
                  <c:v>1.3239417163916564E-2</c:v>
                </c:pt>
                <c:pt idx="18">
                  <c:v>1.3904968819151623E-2</c:v>
                </c:pt>
                <c:pt idx="19">
                  <c:v>1.4559031873567897E-2</c:v>
                </c:pt>
                <c:pt idx="20">
                  <c:v>1.5201767695712128E-2</c:v>
                </c:pt>
                <c:pt idx="21">
                  <c:v>1.5833335521736592E-2</c:v>
                </c:pt>
                <c:pt idx="22">
                  <c:v>1.6453892482841358E-2</c:v>
                </c:pt>
                <c:pt idx="23">
                  <c:v>1.7063593632368101E-2</c:v>
                </c:pt>
                <c:pt idx="24">
                  <c:v>1.7662591972550518E-2</c:v>
                </c:pt>
                <c:pt idx="25">
                  <c:v>1.8251038480924364E-2</c:v>
                </c:pt>
                <c:pt idx="26">
                  <c:v>1.8829082136403046E-2</c:v>
                </c:pt>
                <c:pt idx="27">
                  <c:v>1.9396869945021655E-2</c:v>
                </c:pt>
                <c:pt idx="28">
                  <c:v>1.9954546965353974E-2</c:v>
                </c:pt>
                <c:pt idx="29">
                  <c:v>2.0502256333607159E-2</c:v>
                </c:pt>
                <c:pt idx="30">
                  <c:v>2.1040139288397194E-2</c:v>
                </c:pt>
                <c:pt idx="31">
                  <c:v>2.1568335195210092E-2</c:v>
                </c:pt>
                <c:pt idx="32">
                  <c:v>2.2086981570551875E-2</c:v>
                </c:pt>
                <c:pt idx="33">
                  <c:v>2.2596214105792215E-2</c:v>
                </c:pt>
                <c:pt idx="34">
                  <c:v>2.3096166690704658E-2</c:v>
                </c:pt>
                <c:pt idx="35">
                  <c:v>2.3586971436707887E-2</c:v>
                </c:pt>
                <c:pt idx="36">
                  <c:v>2.4068758699811663E-2</c:v>
                </c:pt>
                <c:pt idx="37">
                  <c:v>2.4541657103271056E-2</c:v>
                </c:pt>
                <c:pt idx="38">
                  <c:v>2.500579355995269E-2</c:v>
                </c:pt>
                <c:pt idx="39">
                  <c:v>2.5461293294416359E-2</c:v>
                </c:pt>
                <c:pt idx="40">
                  <c:v>2.5908279864716405E-2</c:v>
                </c:pt>
                <c:pt idx="41">
                  <c:v>2.6346875183925495E-2</c:v>
                </c:pt>
                <c:pt idx="42">
                  <c:v>2.6777199541384463E-2</c:v>
                </c:pt>
                <c:pt idx="43">
                  <c:v>2.7199371623682491E-2</c:v>
                </c:pt>
                <c:pt idx="44">
                  <c:v>2.7613508535369872E-2</c:v>
                </c:pt>
                <c:pt idx="45">
                  <c:v>2.8019725819407277E-2</c:v>
                </c:pt>
                <c:pt idx="46">
                  <c:v>2.8418137477355197E-2</c:v>
                </c:pt>
                <c:pt idx="47">
                  <c:v>2.8808855989305934E-2</c:v>
                </c:pt>
                <c:pt idx="48">
                  <c:v>2.9191992333562577E-2</c:v>
                </c:pt>
                <c:pt idx="49">
                  <c:v>2.9567656006066756E-2</c:v>
                </c:pt>
                <c:pt idx="50">
                  <c:v>2.9935955039579683E-2</c:v>
                </c:pt>
                <c:pt idx="51">
                  <c:v>3.0296996022618577E-2</c:v>
                </c:pt>
                <c:pt idx="52">
                  <c:v>3.0650884118152338E-2</c:v>
                </c:pt>
                <c:pt idx="53">
                  <c:v>3.0997723082058774E-2</c:v>
                </c:pt>
                <c:pt idx="54">
                  <c:v>3.133761528134698E-2</c:v>
                </c:pt>
                <c:pt idx="55">
                  <c:v>3.1670661712147503E-2</c:v>
                </c:pt>
                <c:pt idx="56">
                  <c:v>3.1996962017473554E-2</c:v>
                </c:pt>
                <c:pt idx="57">
                  <c:v>3.2316614504755425E-2</c:v>
                </c:pt>
                <c:pt idx="58">
                  <c:v>3.2629716163152009E-2</c:v>
                </c:pt>
                <c:pt idx="59">
                  <c:v>3.2936362680641484E-2</c:v>
                </c:pt>
                <c:pt idx="60">
                  <c:v>3.3236648460894039E-2</c:v>
                </c:pt>
                <c:pt idx="61">
                  <c:v>3.3530666639929756E-2</c:v>
                </c:pt>
                <c:pt idx="62">
                  <c:v>3.3818509102563933E-2</c:v>
                </c:pt>
                <c:pt idx="63">
                  <c:v>3.410026649864286E-2</c:v>
                </c:pt>
                <c:pt idx="64">
                  <c:v>3.4376028259072426E-2</c:v>
                </c:pt>
                <c:pt idx="65">
                  <c:v>3.4645882611642427E-2</c:v>
                </c:pt>
                <c:pt idx="66">
                  <c:v>3.4909916596649021E-2</c:v>
                </c:pt>
                <c:pt idx="67">
                  <c:v>3.516821608231762E-2</c:v>
                </c:pt>
                <c:pt idx="68">
                  <c:v>3.5420865780029537E-2</c:v>
                </c:pt>
                <c:pt idx="69">
                  <c:v>3.5667949259353751E-2</c:v>
                </c:pt>
                <c:pt idx="70">
                  <c:v>3.5909548962887283E-2</c:v>
                </c:pt>
                <c:pt idx="71">
                  <c:v>3.614574622090589E-2</c:v>
                </c:pt>
                <c:pt idx="72">
                  <c:v>3.6376621265827878E-2</c:v>
                </c:pt>
                <c:pt idx="73">
                  <c:v>3.6602253246493202E-2</c:v>
                </c:pt>
                <c:pt idx="74">
                  <c:v>3.6822720242260173E-2</c:v>
                </c:pt>
                <c:pt idx="75">
                  <c:v>3.7038099276922309E-2</c:v>
                </c:pt>
                <c:pt idx="76">
                  <c:v>3.7248466332447244E-2</c:v>
                </c:pt>
                <c:pt idx="77">
                  <c:v>3.7453896362540352E-2</c:v>
                </c:pt>
                <c:pt idx="78">
                  <c:v>3.7654463306034884E-2</c:v>
                </c:pt>
                <c:pt idx="79">
                  <c:v>3.7850240100110982E-2</c:v>
                </c:pt>
                <c:pt idx="80">
                  <c:v>3.8041298693346222E-2</c:v>
                </c:pt>
                <c:pt idx="81">
                  <c:v>3.8227710058598569E-2</c:v>
                </c:pt>
                <c:pt idx="82">
                  <c:v>3.8409544205725503E-2</c:v>
                </c:pt>
                <c:pt idx="83">
                  <c:v>3.8586870194139811E-2</c:v>
                </c:pt>
                <c:pt idx="84">
                  <c:v>3.8759756145205354E-2</c:v>
                </c:pt>
                <c:pt idx="85">
                  <c:v>3.8928269254474027E-2</c:v>
                </c:pt>
                <c:pt idx="86">
                  <c:v>3.9092475803766319E-2</c:v>
                </c:pt>
                <c:pt idx="87">
                  <c:v>3.9252441173097348E-2</c:v>
                </c:pt>
                <c:pt idx="88">
                  <c:v>3.9408229852450176E-2</c:v>
                </c:pt>
                <c:pt idx="89">
                  <c:v>3.9559905453398755E-2</c:v>
                </c:pt>
                <c:pt idx="90">
                  <c:v>3.9707530720581759E-2</c:v>
                </c:pt>
                <c:pt idx="91">
                  <c:v>3.9851167543029996E-2</c:v>
                </c:pt>
                <c:pt idx="92">
                  <c:v>3.9990876965348386E-2</c:v>
                </c:pt>
                <c:pt idx="93">
                  <c:v>4.0126719198755115E-2</c:v>
                </c:pt>
                <c:pt idx="94">
                  <c:v>4.0258753631979172E-2</c:v>
                </c:pt>
                <c:pt idx="95">
                  <c:v>4.0387038842018531E-2</c:v>
                </c:pt>
                <c:pt idx="96">
                  <c:v>4.0511632604760386E-2</c:v>
                </c:pt>
                <c:pt idx="97">
                  <c:v>4.0632591905465504E-2</c:v>
                </c:pt>
                <c:pt idx="98">
                  <c:v>4.074997294911796E-2</c:v>
                </c:pt>
                <c:pt idx="99">
                  <c:v>4.086383117064258E-2</c:v>
                </c:pt>
                <c:pt idx="100">
                  <c:v>4.0974221244991185E-2</c:v>
                </c:pt>
                <c:pt idx="101">
                  <c:v>4.1081197097099668E-2</c:v>
                </c:pt>
                <c:pt idx="102">
                  <c:v>4.1184811911717335E-2</c:v>
                </c:pt>
                <c:pt idx="103">
                  <c:v>4.1285118143110325E-2</c:v>
                </c:pt>
                <c:pt idx="104">
                  <c:v>4.1382167524640481E-2</c:v>
                </c:pt>
                <c:pt idx="105">
                  <c:v>4.1476011078221367E-2</c:v>
                </c:pt>
                <c:pt idx="106">
                  <c:v>4.1566699123653031E-2</c:v>
                </c:pt>
                <c:pt idx="107">
                  <c:v>4.1654281287836992E-2</c:v>
                </c:pt>
                <c:pt idx="108">
                  <c:v>4.1738806513872941E-2</c:v>
                </c:pt>
                <c:pt idx="109">
                  <c:v>4.1820323070038704E-2</c:v>
                </c:pt>
                <c:pt idx="110">
                  <c:v>4.1898878558654887E-2</c:v>
                </c:pt>
                <c:pt idx="111">
                  <c:v>4.1974519924835807E-2</c:v>
                </c:pt>
                <c:pt idx="112">
                  <c:v>4.2047293465128067E-2</c:v>
                </c:pt>
                <c:pt idx="113">
                  <c:v>4.2117244836037938E-2</c:v>
                </c:pt>
                <c:pt idx="114">
                  <c:v>4.2184419062449512E-2</c:v>
                </c:pt>
                <c:pt idx="115">
                  <c:v>4.2248860545934581E-2</c:v>
                </c:pt>
                <c:pt idx="116">
                  <c:v>4.2310613072955715E-2</c:v>
                </c:pt>
                <c:pt idx="117">
                  <c:v>4.2369719822963871E-2</c:v>
                </c:pt>
                <c:pt idx="118">
                  <c:v>4.2426223376392153E-2</c:v>
                </c:pt>
                <c:pt idx="119">
                  <c:v>4.2480165722546454E-2</c:v>
                </c:pt>
                <c:pt idx="120">
                  <c:v>4.2531588267394969E-2</c:v>
                </c:pt>
                <c:pt idx="121">
                  <c:v>4.2580531841257319E-2</c:v>
                </c:pt>
                <c:pt idx="122">
                  <c:v>4.2627036706394811E-2</c:v>
                </c:pt>
                <c:pt idx="123">
                  <c:v>4.2671142564503182E-2</c:v>
                </c:pt>
                <c:pt idx="124">
                  <c:v>4.2712888564108806E-2</c:v>
                </c:pt>
                <c:pt idx="125">
                  <c:v>4.2752313307869681E-2</c:v>
                </c:pt>
                <c:pt idx="126">
                  <c:v>4.2789454859782569E-2</c:v>
                </c:pt>
                <c:pt idx="127">
                  <c:v>4.2824350752297319E-2</c:v>
                </c:pt>
                <c:pt idx="128">
                  <c:v>4.2857037993339536E-2</c:v>
                </c:pt>
                <c:pt idx="129">
                  <c:v>4.2887553073242768E-2</c:v>
                </c:pt>
                <c:pt idx="130">
                  <c:v>4.2915931971591596E-2</c:v>
                </c:pt>
                <c:pt idx="131">
                  <c:v>4.294221016397639E-2</c:v>
                </c:pt>
                <c:pt idx="132">
                  <c:v>4.2966422628661016E-2</c:v>
                </c:pt>
                <c:pt idx="133">
                  <c:v>4.2988603853164789E-2</c:v>
                </c:pt>
                <c:pt idx="134">
                  <c:v>4.3008787840759365E-2</c:v>
                </c:pt>
                <c:pt idx="135">
                  <c:v>4.3027008116882037E-2</c:v>
                </c:pt>
                <c:pt idx="136">
                  <c:v>4.3043297735466321E-2</c:v>
                </c:pt>
                <c:pt idx="137">
                  <c:v>4.3057689285190721E-2</c:v>
                </c:pt>
                <c:pt idx="138">
                  <c:v>4.3070214895647135E-2</c:v>
                </c:pt>
                <c:pt idx="139">
                  <c:v>4.3080906243429501E-2</c:v>
                </c:pt>
                <c:pt idx="140">
                  <c:v>4.3089794558143962E-2</c:v>
                </c:pt>
                <c:pt idx="141">
                  <c:v>4.3096910628341416E-2</c:v>
                </c:pt>
                <c:pt idx="142">
                  <c:v>4.3102284807373478E-2</c:v>
                </c:pt>
                <c:pt idx="143">
                  <c:v>4.310594701917287E-2</c:v>
                </c:pt>
                <c:pt idx="144">
                  <c:v>4.3107926763959123E-2</c:v>
                </c:pt>
                <c:pt idx="145">
                  <c:v>4.31082531238706E-2</c:v>
                </c:pt>
                <c:pt idx="146">
                  <c:v>4.3106954768523748E-2</c:v>
                </c:pt>
                <c:pt idx="147">
                  <c:v>4.3104059960500506E-2</c:v>
                </c:pt>
                <c:pt idx="148">
                  <c:v>4.3099596560764841E-2</c:v>
                </c:pt>
                <c:pt idx="149">
                  <c:v>4.3093592034009164E-2</c:v>
                </c:pt>
                <c:pt idx="150">
                  <c:v>4.3086073453931721E-2</c:v>
                </c:pt>
                <c:pt idx="151">
                  <c:v>4.3077067508445741E-2</c:v>
                </c:pt>
                <c:pt idx="152">
                  <c:v>4.3066600504821036E-2</c:v>
                </c:pt>
                <c:pt idx="153">
                  <c:v>4.3054698374759316E-2</c:v>
                </c:pt>
                <c:pt idx="154">
                  <c:v>4.3041386679403666E-2</c:v>
                </c:pt>
                <c:pt idx="155">
                  <c:v>4.3026690614283276E-2</c:v>
                </c:pt>
                <c:pt idx="156">
                  <c:v>4.3010635014194047E-2</c:v>
                </c:pt>
                <c:pt idx="157">
                  <c:v>4.2993244358016186E-2</c:v>
                </c:pt>
                <c:pt idx="158">
                  <c:v>4.2974542773469203E-2</c:v>
                </c:pt>
                <c:pt idx="159">
                  <c:v>4.2954554041805475E-2</c:v>
                </c:pt>
                <c:pt idx="160">
                  <c:v>4.2933301602442901E-2</c:v>
                </c:pt>
                <c:pt idx="161">
                  <c:v>4.2910808557537553E-2</c:v>
                </c:pt>
                <c:pt idx="162">
                  <c:v>4.2887097676497121E-2</c:v>
                </c:pt>
                <c:pt idx="163">
                  <c:v>4.2862191400435706E-2</c:v>
                </c:pt>
                <c:pt idx="164">
                  <c:v>4.2836111846570941E-2</c:v>
                </c:pt>
                <c:pt idx="165">
                  <c:v>4.2808880812564107E-2</c:v>
                </c:pt>
                <c:pt idx="166">
                  <c:v>4.2780519780803862E-2</c:v>
                </c:pt>
                <c:pt idx="167">
                  <c:v>4.275104992263442E-2</c:v>
                </c:pt>
                <c:pt idx="168">
                  <c:v>4.2720492102528859E-2</c:v>
                </c:pt>
                <c:pt idx="169">
                  <c:v>4.2688866882208278E-2</c:v>
                </c:pt>
                <c:pt idx="170">
                  <c:v>4.2656194524707418E-2</c:v>
                </c:pt>
                <c:pt idx="171">
                  <c:v>4.2622494998387467E-2</c:v>
                </c:pt>
                <c:pt idx="172">
                  <c:v>4.2587787980896845E-2</c:v>
                </c:pt>
                <c:pt idx="173">
                  <c:v>4.2552092863080392E-2</c:v>
                </c:pt>
                <c:pt idx="174">
                  <c:v>4.2515428752837842E-2</c:v>
                </c:pt>
                <c:pt idx="175">
                  <c:v>4.2477814478932112E-2</c:v>
                </c:pt>
                <c:pt idx="176">
                  <c:v>4.2439268594748031E-2</c:v>
                </c:pt>
                <c:pt idx="177">
                  <c:v>4.2399809382002288E-2</c:v>
                </c:pt>
                <c:pt idx="178">
                  <c:v>4.2359454854404975E-2</c:v>
                </c:pt>
                <c:pt idx="179">
                  <c:v>4.2318222761273672E-2</c:v>
                </c:pt>
                <c:pt idx="180">
                  <c:v>4.2276130591100275E-2</c:v>
                </c:pt>
                <c:pt idx="181">
                  <c:v>4.223319557507163E-2</c:v>
                </c:pt>
                <c:pt idx="182">
                  <c:v>4.2189434690544099E-2</c:v>
                </c:pt>
                <c:pt idx="183">
                  <c:v>4.2144864664473057E-2</c:v>
                </c:pt>
                <c:pt idx="184">
                  <c:v>4.2099501976797606E-2</c:v>
                </c:pt>
                <c:pt idx="185">
                  <c:v>4.2053362863781189E-2</c:v>
                </c:pt>
                <c:pt idx="186">
                  <c:v>4.2006463321308724E-2</c:v>
                </c:pt>
                <c:pt idx="187">
                  <c:v>4.1958819108140762E-2</c:v>
                </c:pt>
                <c:pt idx="188">
                  <c:v>4.191044574912503E-2</c:v>
                </c:pt>
                <c:pt idx="189">
                  <c:v>4.1861358538366387E-2</c:v>
                </c:pt>
                <c:pt idx="190">
                  <c:v>4.1811572542355173E-2</c:v>
                </c:pt>
                <c:pt idx="191">
                  <c:v>4.1761102603054795E-2</c:v>
                </c:pt>
                <c:pt idx="192">
                  <c:v>4.1709963340949126E-2</c:v>
                </c:pt>
                <c:pt idx="193">
                  <c:v>4.1658169158049936E-2</c:v>
                </c:pt>
                <c:pt idx="194">
                  <c:v>4.1605734240865215E-2</c:v>
                </c:pt>
                <c:pt idx="195">
                  <c:v>4.1552672563328563E-2</c:v>
                </c:pt>
                <c:pt idx="196">
                  <c:v>4.149899788969047E-2</c:v>
                </c:pt>
                <c:pt idx="197">
                  <c:v>4.1444723777371649E-2</c:v>
                </c:pt>
                <c:pt idx="198">
                  <c:v>4.1389863579779161E-2</c:v>
                </c:pt>
                <c:pt idx="199">
                  <c:v>4.1334430449085684E-2</c:v>
                </c:pt>
                <c:pt idx="200">
                  <c:v>4.1278437338972455E-2</c:v>
                </c:pt>
                <c:pt idx="201">
                  <c:v>4.1221897007336285E-2</c:v>
                </c:pt>
                <c:pt idx="202">
                  <c:v>4.1164822018961142E-2</c:v>
                </c:pt>
                <c:pt idx="203">
                  <c:v>4.1107224748154814E-2</c:v>
                </c:pt>
                <c:pt idx="204">
                  <c:v>4.104911738135103E-2</c:v>
                </c:pt>
                <c:pt idx="205">
                  <c:v>4.0990511919677404E-2</c:v>
                </c:pt>
                <c:pt idx="206">
                  <c:v>4.0931420181489923E-2</c:v>
                </c:pt>
                <c:pt idx="207">
                  <c:v>4.0871853804873987E-2</c:v>
                </c:pt>
                <c:pt idx="208">
                  <c:v>4.0811824250112899E-2</c:v>
                </c:pt>
                <c:pt idx="209">
                  <c:v>4.075134280212378E-2</c:v>
                </c:pt>
                <c:pt idx="210">
                  <c:v>4.0690420572861707E-2</c:v>
                </c:pt>
                <c:pt idx="211">
                  <c:v>4.0629068503692148E-2</c:v>
                </c:pt>
                <c:pt idx="212">
                  <c:v>4.0567297367732388E-2</c:v>
                </c:pt>
                <c:pt idx="213">
                  <c:v>4.0505117772162161E-2</c:v>
                </c:pt>
                <c:pt idx="214">
                  <c:v>4.0442540160503963E-2</c:v>
                </c:pt>
                <c:pt idx="215">
                  <c:v>4.0379574814873337E-2</c:v>
                </c:pt>
                <c:pt idx="216">
                  <c:v>4.0316231858199748E-2</c:v>
                </c:pt>
                <c:pt idx="217">
                  <c:v>4.0252521256418067E-2</c:v>
                </c:pt>
                <c:pt idx="218">
                  <c:v>4.0188452820631444E-2</c:v>
                </c:pt>
                <c:pt idx="219">
                  <c:v>4.0124036209245588E-2</c:v>
                </c:pt>
                <c:pt idx="220">
                  <c:v>4.0059280930075013E-2</c:v>
                </c:pt>
                <c:pt idx="221">
                  <c:v>3.9994196342421635E-2</c:v>
                </c:pt>
                <c:pt idx="222">
                  <c:v>3.9928791659125933E-2</c:v>
                </c:pt>
                <c:pt idx="223">
                  <c:v>3.9863075948591058E-2</c:v>
                </c:pt>
                <c:pt idx="224">
                  <c:v>3.9797058136780465E-2</c:v>
                </c:pt>
                <c:pt idx="225">
                  <c:v>3.9730747009189028E-2</c:v>
                </c:pt>
                <c:pt idx="226">
                  <c:v>3.9664151212788275E-2</c:v>
                </c:pt>
                <c:pt idx="227">
                  <c:v>3.9597279257945976E-2</c:v>
                </c:pt>
                <c:pt idx="228">
                  <c:v>3.9530139520320383E-2</c:v>
                </c:pt>
                <c:pt idx="229">
                  <c:v>3.9462740242729541E-2</c:v>
                </c:pt>
                <c:pt idx="230">
                  <c:v>3.9395089536995831E-2</c:v>
                </c:pt>
                <c:pt idx="231">
                  <c:v>3.9327195385766282E-2</c:v>
                </c:pt>
                <c:pt idx="232">
                  <c:v>3.9259065644308769E-2</c:v>
                </c:pt>
                <c:pt idx="233">
                  <c:v>3.9190708042284514E-2</c:v>
                </c:pt>
                <c:pt idx="234">
                  <c:v>3.912213018549715E-2</c:v>
                </c:pt>
                <c:pt idx="235">
                  <c:v>3.905333955761868E-2</c:v>
                </c:pt>
                <c:pt idx="236">
                  <c:v>3.8984343521892624E-2</c:v>
                </c:pt>
                <c:pt idx="237">
                  <c:v>3.8915149322814646E-2</c:v>
                </c:pt>
                <c:pt idx="238">
                  <c:v>3.884576408779087E-2</c:v>
                </c:pt>
                <c:pt idx="239">
                  <c:v>3.8776194828774369E-2</c:v>
                </c:pt>
                <c:pt idx="240">
                  <c:v>3.8706448443879909E-2</c:v>
                </c:pt>
                <c:pt idx="241">
                  <c:v>3.8636531718977296E-2</c:v>
                </c:pt>
                <c:pt idx="242">
                  <c:v>3.8566451329263687E-2</c:v>
                </c:pt>
                <c:pt idx="243">
                  <c:v>3.8496213840814975E-2</c:v>
                </c:pt>
                <c:pt idx="244">
                  <c:v>3.8425825712116675E-2</c:v>
                </c:pt>
                <c:pt idx="245">
                  <c:v>3.8355293295574446E-2</c:v>
                </c:pt>
                <c:pt idx="246">
                  <c:v>3.8284622839004655E-2</c:v>
                </c:pt>
                <c:pt idx="247">
                  <c:v>3.8213820487105088E-2</c:v>
                </c:pt>
                <c:pt idx="248">
                  <c:v>3.8142892282906134E-2</c:v>
                </c:pt>
                <c:pt idx="249">
                  <c:v>3.8071844169202715E-2</c:v>
                </c:pt>
                <c:pt idx="250">
                  <c:v>3.8000681989967262E-2</c:v>
                </c:pt>
                <c:pt idx="251">
                  <c:v>3.7929411491743753E-2</c:v>
                </c:pt>
                <c:pt idx="252">
                  <c:v>3.7858038325023352E-2</c:v>
                </c:pt>
                <c:pt idx="253">
                  <c:v>3.7786568045601689E-2</c:v>
                </c:pt>
                <c:pt idx="254">
                  <c:v>3.7715006115918097E-2</c:v>
                </c:pt>
                <c:pt idx="255">
                  <c:v>3.7643357906377031E-2</c:v>
                </c:pt>
                <c:pt idx="256">
                  <c:v>3.7571628696651857E-2</c:v>
                </c:pt>
                <c:pt idx="257">
                  <c:v>3.7499823676971307E-2</c:v>
                </c:pt>
                <c:pt idx="258">
                  <c:v>3.7427947949388793E-2</c:v>
                </c:pt>
                <c:pt idx="259">
                  <c:v>3.7356006529034751E-2</c:v>
                </c:pt>
                <c:pt idx="260">
                  <c:v>3.728400434535236E-2</c:v>
                </c:pt>
                <c:pt idx="261">
                  <c:v>3.7211946243316696E-2</c:v>
                </c:pt>
                <c:pt idx="262">
                  <c:v>3.7139836984637652E-2</c:v>
                </c:pt>
                <c:pt idx="263">
                  <c:v>3.7067681248946847E-2</c:v>
                </c:pt>
                <c:pt idx="264">
                  <c:v>3.6995483634968573E-2</c:v>
                </c:pt>
                <c:pt idx="265">
                  <c:v>3.6923248661675137E-2</c:v>
                </c:pt>
                <c:pt idx="266">
                  <c:v>3.6850980769426861E-2</c:v>
                </c:pt>
                <c:pt idx="267">
                  <c:v>3.6778684321096641E-2</c:v>
                </c:pt>
                <c:pt idx="268">
                  <c:v>3.670636360317963E-2</c:v>
                </c:pt>
                <c:pt idx="269">
                  <c:v>3.6634022826887998E-2</c:v>
                </c:pt>
                <c:pt idx="270">
                  <c:v>3.6561666129231028E-2</c:v>
                </c:pt>
                <c:pt idx="271">
                  <c:v>3.6489297574080759E-2</c:v>
                </c:pt>
                <c:pt idx="272">
                  <c:v>3.6416921153223335E-2</c:v>
                </c:pt>
                <c:pt idx="273">
                  <c:v>3.6344540787396289E-2</c:v>
                </c:pt>
                <c:pt idx="274">
                  <c:v>3.6272160327311891E-2</c:v>
                </c:pt>
                <c:pt idx="275">
                  <c:v>3.6199783554666756E-2</c:v>
                </c:pt>
                <c:pt idx="276">
                  <c:v>3.6127414183137897E-2</c:v>
                </c:pt>
                <c:pt idx="277">
                  <c:v>3.6055055859365449E-2</c:v>
                </c:pt>
                <c:pt idx="278">
                  <c:v>3.5982712163922133E-2</c:v>
                </c:pt>
                <c:pt idx="279">
                  <c:v>3.5910386612269696E-2</c:v>
                </c:pt>
                <c:pt idx="280">
                  <c:v>3.5838082655702541E-2</c:v>
                </c:pt>
                <c:pt idx="281">
                  <c:v>3.5765803682278594E-2</c:v>
                </c:pt>
                <c:pt idx="282">
                  <c:v>3.5693553017737689E-2</c:v>
                </c:pt>
                <c:pt idx="283">
                  <c:v>3.5621333926407532E-2</c:v>
                </c:pt>
                <c:pt idx="284">
                  <c:v>3.5549149612097576E-2</c:v>
                </c:pt>
                <c:pt idx="285">
                  <c:v>3.5477003218980681E-2</c:v>
                </c:pt>
                <c:pt idx="286">
                  <c:v>3.540489783246302E-2</c:v>
                </c:pt>
                <c:pt idx="287">
                  <c:v>3.53328364800422E-2</c:v>
                </c:pt>
                <c:pt idx="288">
                  <c:v>3.5260822132153813E-2</c:v>
                </c:pt>
                <c:pt idx="289">
                  <c:v>3.518885770300649E-2</c:v>
                </c:pt>
                <c:pt idx="290">
                  <c:v>3.5116946051405827E-2</c:v>
                </c:pt>
                <c:pt idx="291">
                  <c:v>3.504508998156701E-2</c:v>
                </c:pt>
                <c:pt idx="292">
                  <c:v>3.4973292243916529E-2</c:v>
                </c:pt>
                <c:pt idx="293">
                  <c:v>3.4901555535883061E-2</c:v>
                </c:pt>
                <c:pt idx="294">
                  <c:v>3.4829882502677594E-2</c:v>
                </c:pt>
                <c:pt idx="295">
                  <c:v>3.4758275738063039E-2</c:v>
                </c:pt>
                <c:pt idx="296">
                  <c:v>3.46867377851134E-2</c:v>
                </c:pt>
                <c:pt idx="297">
                  <c:v>3.4615271136962604E-2</c:v>
                </c:pt>
                <c:pt idx="298">
                  <c:v>3.4543878237543249E-2</c:v>
                </c:pt>
                <c:pt idx="299">
                  <c:v>3.4472561482315291E-2</c:v>
                </c:pt>
                <c:pt idx="300">
                  <c:v>3.4401323218984849E-2</c:v>
                </c:pt>
                <c:pt idx="301">
                  <c:v>3.4330165748213209E-2</c:v>
                </c:pt>
                <c:pt idx="302">
                  <c:v>3.4259091324316239E-2</c:v>
                </c:pt>
                <c:pt idx="303">
                  <c:v>3.4188102155954303E-2</c:v>
                </c:pt>
                <c:pt idx="304">
                  <c:v>3.411720040681273E-2</c:v>
                </c:pt>
                <c:pt idx="305">
                  <c:v>3.4046388196273043E-2</c:v>
                </c:pt>
                <c:pt idx="306">
                  <c:v>3.3975667600075116E-2</c:v>
                </c:pt>
                <c:pt idx="307">
                  <c:v>3.3905040650970206E-2</c:v>
                </c:pt>
                <c:pt idx="308">
                  <c:v>3.3834509339365125E-2</c:v>
                </c:pt>
                <c:pt idx="309">
                  <c:v>3.3764075613957653E-2</c:v>
                </c:pt>
                <c:pt idx="310">
                  <c:v>3.3693741382363251E-2</c:v>
                </c:pt>
                <c:pt idx="311">
                  <c:v>3.3623508511733166E-2</c:v>
                </c:pt>
                <c:pt idx="312">
                  <c:v>3.3553378829364225E-2</c:v>
                </c:pt>
                <c:pt idx="313">
                  <c:v>3.3483354123300148E-2</c:v>
                </c:pt>
                <c:pt idx="314">
                  <c:v>3.3413436142924746E-2</c:v>
                </c:pt>
                <c:pt idx="315">
                  <c:v>3.3343626599546886E-2</c:v>
                </c:pt>
                <c:pt idx="316">
                  <c:v>3.3273927166977579E-2</c:v>
                </c:pt>
                <c:pt idx="317">
                  <c:v>3.3204339482099068E-2</c:v>
                </c:pt>
                <c:pt idx="318">
                  <c:v>3.3134865145426143E-2</c:v>
                </c:pt>
                <c:pt idx="319">
                  <c:v>3.3065505721659727E-2</c:v>
                </c:pt>
                <c:pt idx="320">
                  <c:v>3.299626274023295E-2</c:v>
                </c:pt>
                <c:pt idx="321">
                  <c:v>3.2927137695849616E-2</c:v>
                </c:pt>
                <c:pt idx="322">
                  <c:v>3.2858132049015304E-2</c:v>
                </c:pt>
                <c:pt idx="323">
                  <c:v>3.2789247226561249E-2</c:v>
                </c:pt>
                <c:pt idx="324">
                  <c:v>3.2720484622160873E-2</c:v>
                </c:pt>
                <c:pt idx="325">
                  <c:v>3.2651845596839313E-2</c:v>
                </c:pt>
                <c:pt idx="326">
                  <c:v>3.258333147947591E-2</c:v>
                </c:pt>
                <c:pt idx="327">
                  <c:v>3.2514943567299726E-2</c:v>
                </c:pt>
                <c:pt idx="328">
                  <c:v>3.2446683126378252E-2</c:v>
                </c:pt>
                <c:pt idx="329">
                  <c:v>3.2378551392099435E-2</c:v>
                </c:pt>
                <c:pt idx="330">
                  <c:v>3.2310549569646914E-2</c:v>
                </c:pt>
                <c:pt idx="331">
                  <c:v>3.2242678834468831E-2</c:v>
                </c:pt>
                <c:pt idx="332">
                  <c:v>3.217494033274005E-2</c:v>
                </c:pt>
                <c:pt idx="333">
                  <c:v>3.2107335181818054E-2</c:v>
                </c:pt>
                <c:pt idx="334">
                  <c:v>3.2039864470692472E-2</c:v>
                </c:pt>
                <c:pt idx="335">
                  <c:v>3.1972529260428449E-2</c:v>
                </c:pt>
                <c:pt idx="336">
                  <c:v>3.1905330584603764E-2</c:v>
                </c:pt>
                <c:pt idx="337">
                  <c:v>3.1838269449740025E-2</c:v>
                </c:pt>
                <c:pt idx="338">
                  <c:v>3.1771346835727722E-2</c:v>
                </c:pt>
                <c:pt idx="339">
                  <c:v>3.1704563696245518E-2</c:v>
                </c:pt>
                <c:pt idx="340">
                  <c:v>3.1637920959173615E-2</c:v>
                </c:pt>
                <c:pt idx="341">
                  <c:v>3.1571419527001397E-2</c:v>
                </c:pt>
                <c:pt idx="342">
                  <c:v>3.1505060277229442E-2</c:v>
                </c:pt>
                <c:pt idx="343">
                  <c:v>3.1438844062765842E-2</c:v>
                </c:pt>
                <c:pt idx="344">
                  <c:v>3.1372771712317102E-2</c:v>
                </c:pt>
                <c:pt idx="345">
                  <c:v>3.1306844030773481E-2</c:v>
                </c:pt>
                <c:pt idx="346">
                  <c:v>3.124106179958908E-2</c:v>
                </c:pt>
                <c:pt idx="347">
                  <c:v>3.1175425777156512E-2</c:v>
                </c:pt>
                <c:pt idx="348">
                  <c:v>3.110993669917635E-2</c:v>
                </c:pt>
                <c:pt idx="349">
                  <c:v>3.1044595279021463E-2</c:v>
                </c:pt>
                <c:pt idx="350">
                  <c:v>3.0979402208096224E-2</c:v>
                </c:pt>
                <c:pt idx="351">
                  <c:v>3.0914358156190633E-2</c:v>
                </c:pt>
                <c:pt idx="352">
                  <c:v>3.0849463771829577E-2</c:v>
                </c:pt>
                <c:pt idx="353">
                  <c:v>3.078471968261709E-2</c:v>
                </c:pt>
                <c:pt idx="354">
                  <c:v>3.0720126495575855E-2</c:v>
                </c:pt>
                <c:pt idx="355">
                  <c:v>3.0655684797481864E-2</c:v>
                </c:pt>
                <c:pt idx="356">
                  <c:v>3.0591395155194444E-2</c:v>
                </c:pt>
                <c:pt idx="357">
                  <c:v>3.0527258115981608E-2</c:v>
                </c:pt>
                <c:pt idx="358">
                  <c:v>3.0463274207840771E-2</c:v>
                </c:pt>
                <c:pt idx="359">
                  <c:v>3.039944393981504E-2</c:v>
                </c:pt>
                <c:pt idx="360">
                  <c:v>3.0335767802304986E-2</c:v>
                </c:pt>
                <c:pt idx="361">
                  <c:v>3.0272246267376013E-2</c:v>
                </c:pt>
                <c:pt idx="362">
                  <c:v>3.0208879789061376E-2</c:v>
                </c:pt>
                <c:pt idx="363">
                  <c:v>3.0145668803660992E-2</c:v>
                </c:pt>
                <c:pt idx="364">
                  <c:v>3.0082613730035897E-2</c:v>
                </c:pt>
                <c:pt idx="365">
                  <c:v>3.0019714969898633E-2</c:v>
                </c:pt>
                <c:pt idx="366">
                  <c:v>2.9956972908099448E-2</c:v>
                </c:pt>
                <c:pt idx="367">
                  <c:v>2.9894387912908511E-2</c:v>
                </c:pt>
                <c:pt idx="368">
                  <c:v>2.983196033629406E-2</c:v>
                </c:pt>
                <c:pt idx="369">
                  <c:v>2.976969051419659E-2</c:v>
                </c:pt>
                <c:pt idx="370">
                  <c:v>2.9707578766799188E-2</c:v>
                </c:pt>
                <c:pt idx="371">
                  <c:v>2.9645625398794003E-2</c:v>
                </c:pt>
                <c:pt idx="372">
                  <c:v>2.9583830699644879E-2</c:v>
                </c:pt>
                <c:pt idx="373">
                  <c:v>2.9522194943846298E-2</c:v>
                </c:pt>
                <c:pt idx="374">
                  <c:v>2.9460718391178586E-2</c:v>
                </c:pt>
                <c:pt idx="375">
                  <c:v>2.939940128695951E-2</c:v>
                </c:pt>
                <c:pt idx="376">
                  <c:v>2.9338243862292231E-2</c:v>
                </c:pt>
                <c:pt idx="377">
                  <c:v>2.9277246334309739E-2</c:v>
                </c:pt>
                <c:pt idx="378">
                  <c:v>2.9216408906415789E-2</c:v>
                </c:pt>
                <c:pt idx="379">
                  <c:v>2.9155731768522368E-2</c:v>
                </c:pt>
                <c:pt idx="380">
                  <c:v>2.909521509728373E-2</c:v>
                </c:pt>
                <c:pt idx="381">
                  <c:v>2.9034859056327141E-2</c:v>
                </c:pt>
                <c:pt idx="382">
                  <c:v>2.8974663796480216E-2</c:v>
                </c:pt>
                <c:pt idx="383">
                  <c:v>2.8914629455995041E-2</c:v>
                </c:pt>
                <c:pt idx="384">
                  <c:v>2.8854756160769077E-2</c:v>
                </c:pt>
                <c:pt idx="385">
                  <c:v>2.8795044024562795E-2</c:v>
                </c:pt>
                <c:pt idx="386">
                  <c:v>2.8735493149214295E-2</c:v>
                </c:pt>
                <c:pt idx="387">
                  <c:v>2.8676103624850683E-2</c:v>
                </c:pt>
                <c:pt idx="388">
                  <c:v>2.8616875530096515E-2</c:v>
                </c:pt>
                <c:pt idx="389">
                  <c:v>2.8557808932279143E-2</c:v>
                </c:pt>
                <c:pt idx="390">
                  <c:v>2.8498903887631107E-2</c:v>
                </c:pt>
                <c:pt idx="391">
                  <c:v>2.8440160441489611E-2</c:v>
                </c:pt>
                <c:pt idx="392">
                  <c:v>2.8381578628493061E-2</c:v>
                </c:pt>
                <c:pt idx="393">
                  <c:v>2.8323158472774768E-2</c:v>
                </c:pt>
                <c:pt idx="394">
                  <c:v>2.826489998815386E-2</c:v>
                </c:pt>
                <c:pt idx="395">
                  <c:v>2.8206803178323338E-2</c:v>
                </c:pt>
                <c:pt idx="396">
                  <c:v>2.8148868037035459E-2</c:v>
                </c:pt>
                <c:pt idx="397">
                  <c:v>2.8091094548284387E-2</c:v>
                </c:pt>
                <c:pt idx="398">
                  <c:v>2.8033482686486158E-2</c:v>
                </c:pt>
                <c:pt idx="399">
                  <c:v>2.7976032416656027E-2</c:v>
                </c:pt>
                <c:pt idx="400">
                  <c:v>2.7918743694583224E-2</c:v>
                </c:pt>
                <c:pt idx="401">
                  <c:v>2.7861616467003122E-2</c:v>
                </c:pt>
                <c:pt idx="402">
                  <c:v>2.7804650671766913E-2</c:v>
                </c:pt>
                <c:pt idx="403">
                  <c:v>2.7747846238008751E-2</c:v>
                </c:pt>
                <c:pt idx="404">
                  <c:v>2.7691203086310432E-2</c:v>
                </c:pt>
                <c:pt idx="405">
                  <c:v>2.7634721128863716E-2</c:v>
                </c:pt>
                <c:pt idx="406">
                  <c:v>2.7578400269630168E-2</c:v>
                </c:pt>
                <c:pt idx="407">
                  <c:v>2.7522240404498681E-2</c:v>
                </c:pt>
                <c:pt idx="408">
                  <c:v>2.7466241421440656E-2</c:v>
                </c:pt>
                <c:pt idx="409">
                  <c:v>2.7410403200662924E-2</c:v>
                </c:pt>
                <c:pt idx="410">
                  <c:v>2.7354725614758314E-2</c:v>
                </c:pt>
                <c:pt idx="411">
                  <c:v>2.7299208528854101E-2</c:v>
                </c:pt>
                <c:pt idx="412">
                  <c:v>2.7243851800758133E-2</c:v>
                </c:pt>
                <c:pt idx="413">
                  <c:v>2.7188655281102873E-2</c:v>
                </c:pt>
                <c:pt idx="414">
                  <c:v>2.7133618813487245E-2</c:v>
                </c:pt>
                <c:pt idx="415">
                  <c:v>2.7078742234616371E-2</c:v>
                </c:pt>
                <c:pt idx="416">
                  <c:v>2.7024025374439247E-2</c:v>
                </c:pt>
                <c:pt idx="417">
                  <c:v>2.6969468056284317E-2</c:v>
                </c:pt>
                <c:pt idx="418">
                  <c:v>2.6915070096993076E-2</c:v>
                </c:pt>
                <c:pt idx="419">
                  <c:v>2.6860831307051587E-2</c:v>
                </c:pt>
                <c:pt idx="420">
                  <c:v>2.6806751490720107E-2</c:v>
                </c:pt>
                <c:pt idx="421">
                  <c:v>2.6752830446160714E-2</c:v>
                </c:pt>
                <c:pt idx="422">
                  <c:v>2.6699067965563011E-2</c:v>
                </c:pt>
                <c:pt idx="423">
                  <c:v>2.6645463835267967E-2</c:v>
                </c:pt>
                <c:pt idx="424">
                  <c:v>2.659201783588987E-2</c:v>
                </c:pt>
                <c:pt idx="425">
                  <c:v>2.6538729742436425E-2</c:v>
                </c:pt>
                <c:pt idx="426">
                  <c:v>2.6485599324427043E-2</c:v>
                </c:pt>
                <c:pt idx="427">
                  <c:v>2.643262634600934E-2</c:v>
                </c:pt>
                <c:pt idx="428">
                  <c:v>2.6379810566073872E-2</c:v>
                </c:pt>
                <c:pt idx="429">
                  <c:v>2.6327151738367117E-2</c:v>
                </c:pt>
                <c:pt idx="430">
                  <c:v>2.6274649611602707E-2</c:v>
                </c:pt>
                <c:pt idx="431">
                  <c:v>2.6222303929571051E-2</c:v>
                </c:pt>
                <c:pt idx="432">
                  <c:v>2.617011443124715E-2</c:v>
                </c:pt>
                <c:pt idx="433">
                  <c:v>2.6118080850896907E-2</c:v>
                </c:pt>
                <c:pt idx="434">
                  <c:v>2.6066202918181715E-2</c:v>
                </c:pt>
                <c:pt idx="435">
                  <c:v>2.6014480358261434E-2</c:v>
                </c:pt>
                <c:pt idx="436">
                  <c:v>2.5962912891895864E-2</c:v>
                </c:pt>
                <c:pt idx="437">
                  <c:v>2.591150023554457E-2</c:v>
                </c:pt>
                <c:pt idx="438">
                  <c:v>2.586024210146522E-2</c:v>
                </c:pt>
                <c:pt idx="439">
                  <c:v>2.5809138197810395E-2</c:v>
                </c:pt>
                <c:pt idx="440">
                  <c:v>2.5758188228722886E-2</c:v>
                </c:pt>
                <c:pt idx="441">
                  <c:v>2.570739189442952E-2</c:v>
                </c:pt>
                <c:pt idx="442">
                  <c:v>2.5656748891333545E-2</c:v>
                </c:pt>
                <c:pt idx="443">
                  <c:v>2.5606258912105564E-2</c:v>
                </c:pt>
                <c:pt idx="444">
                  <c:v>2.5555921645773052E-2</c:v>
                </c:pt>
                <c:pt idx="445">
                  <c:v>2.5505736777808485E-2</c:v>
                </c:pt>
                <c:pt idx="446">
                  <c:v>2.5455703990216086E-2</c:v>
                </c:pt>
                <c:pt idx="447">
                  <c:v>2.5405822961617221E-2</c:v>
                </c:pt>
                <c:pt idx="448">
                  <c:v>2.5356093367334444E-2</c:v>
                </c:pt>
                <c:pt idx="449">
                  <c:v>2.5306514879474218E-2</c:v>
                </c:pt>
                <c:pt idx="450">
                  <c:v>2.5257087167008366E-2</c:v>
                </c:pt>
                <c:pt idx="451">
                  <c:v>2.5207809895854208E-2</c:v>
                </c:pt>
                <c:pt idx="452">
                  <c:v>2.515868272895341E-2</c:v>
                </c:pt>
                <c:pt idx="453">
                  <c:v>2.5109705326349662E-2</c:v>
                </c:pt>
                <c:pt idx="454">
                  <c:v>2.5060877345265062E-2</c:v>
                </c:pt>
                <c:pt idx="455">
                  <c:v>2.5012198440175267E-2</c:v>
                </c:pt>
                <c:pt idx="456">
                  <c:v>2.4963668262883539E-2</c:v>
                </c:pt>
                <c:pt idx="457">
                  <c:v>2.4915286462593507E-2</c:v>
                </c:pt>
                <c:pt idx="458">
                  <c:v>2.4867052685980856E-2</c:v>
                </c:pt>
                <c:pt idx="459">
                  <c:v>2.4818966577263773E-2</c:v>
                </c:pt>
                <c:pt idx="460">
                  <c:v>2.4771027778272361E-2</c:v>
                </c:pt>
                <c:pt idx="461">
                  <c:v>2.4723235928516874E-2</c:v>
                </c:pt>
                <c:pt idx="462">
                  <c:v>2.4675590665254873E-2</c:v>
                </c:pt>
                <c:pt idx="463">
                  <c:v>2.462809162355729E-2</c:v>
                </c:pt>
                <c:pt idx="464">
                  <c:v>2.4580738436373446E-2</c:v>
                </c:pt>
                <c:pt idx="465">
                  <c:v>2.4533530734594969E-2</c:v>
                </c:pt>
                <c:pt idx="466">
                  <c:v>2.4486468147118735E-2</c:v>
                </c:pt>
                <c:pt idx="467">
                  <c:v>2.4439550300908722E-2</c:v>
                </c:pt>
                <c:pt idx="468">
                  <c:v>2.4392776821056925E-2</c:v>
                </c:pt>
                <c:pt idx="469">
                  <c:v>2.4346147330843174E-2</c:v>
                </c:pt>
                <c:pt idx="470">
                  <c:v>2.4299661451794106E-2</c:v>
                </c:pt>
                <c:pt idx="471">
                  <c:v>2.4253318803741035E-2</c:v>
                </c:pt>
                <c:pt idx="472">
                  <c:v>2.4207119004876949E-2</c:v>
                </c:pt>
                <c:pt idx="473">
                  <c:v>2.4161061671812568E-2</c:v>
                </c:pt>
                <c:pt idx="474">
                  <c:v>2.4115146419631424E-2</c:v>
                </c:pt>
                <c:pt idx="475">
                  <c:v>2.406937286194406E-2</c:v>
                </c:pt>
                <c:pt idx="476">
                  <c:v>2.4023740610941344E-2</c:v>
                </c:pt>
                <c:pt idx="477">
                  <c:v>2.3978249277446864E-2</c:v>
                </c:pt>
                <c:pt idx="478">
                  <c:v>2.3932898470968453E-2</c:v>
                </c:pt>
                <c:pt idx="479">
                  <c:v>2.3887687799748876E-2</c:v>
                </c:pt>
                <c:pt idx="480">
                  <c:v>2.3842616870815632E-2</c:v>
                </c:pt>
                <c:pt idx="481">
                  <c:v>2.3797685290029947E-2</c:v>
                </c:pt>
                <c:pt idx="482">
                  <c:v>2.3752892662134911E-2</c:v>
                </c:pt>
                <c:pt idx="483">
                  <c:v>2.370823859080284E-2</c:v>
                </c:pt>
                <c:pt idx="484">
                  <c:v>2.3663722678681789E-2</c:v>
                </c:pt>
                <c:pt idx="485">
                  <c:v>2.3619344527441306E-2</c:v>
                </c:pt>
                <c:pt idx="486">
                  <c:v>2.3575103737817408E-2</c:v>
                </c:pt>
                <c:pt idx="487">
                  <c:v>2.353099990965676E-2</c:v>
                </c:pt>
                <c:pt idx="488">
                  <c:v>2.3487032641960122E-2</c:v>
                </c:pt>
                <c:pt idx="489">
                  <c:v>2.3443201532925024E-2</c:v>
                </c:pt>
                <c:pt idx="490">
                  <c:v>2.3399506179987758E-2</c:v>
                </c:pt>
                <c:pt idx="491">
                  <c:v>2.3355946179864553E-2</c:v>
                </c:pt>
                <c:pt idx="492">
                  <c:v>2.3312521128592143E-2</c:v>
                </c:pt>
                <c:pt idx="493">
                  <c:v>2.3269230621567539E-2</c:v>
                </c:pt>
                <c:pt idx="494">
                  <c:v>2.3226074253587154E-2</c:v>
                </c:pt>
                <c:pt idx="495">
                  <c:v>2.3183051618885231E-2</c:v>
                </c:pt>
                <c:pt idx="496">
                  <c:v>2.3140162311171608E-2</c:v>
                </c:pt>
                <c:pt idx="497">
                  <c:v>2.3097405923668792E-2</c:v>
                </c:pt>
                <c:pt idx="498">
                  <c:v>2.30547820491484E-2</c:v>
                </c:pt>
                <c:pt idx="499">
                  <c:v>2.3012290279966961E-2</c:v>
                </c:pt>
                <c:pt idx="500">
                  <c:v>2.2969930208101039E-2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5-4892-B852-3EB0187866F5}"/>
            </c:ext>
          </c:extLst>
        </c:ser>
        <c:ser>
          <c:idx val="5"/>
          <c:order val="4"/>
          <c:tx>
            <c:strRef>
              <c:f>'NSS Corporate'!$CS$2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'NSS Corporate'!$CN$3:$CN$503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'NSS Corporate'!$CS$3:$CS$503</c:f>
              <c:numCache>
                <c:formatCode>0.00%</c:formatCode>
                <c:ptCount val="501"/>
                <c:pt idx="0">
                  <c:v>1.4867999567338683E-2</c:v>
                </c:pt>
                <c:pt idx="1">
                  <c:v>1.6787222526608105E-2</c:v>
                </c:pt>
                <c:pt idx="2">
                  <c:v>1.8659301371838133E-2</c:v>
                </c:pt>
                <c:pt idx="3">
                  <c:v>2.0485392551185443E-2</c:v>
                </c:pt>
                <c:pt idx="4">
                  <c:v>2.2266626533832538E-2</c:v>
                </c:pt>
                <c:pt idx="5">
                  <c:v>2.4004104432588026E-2</c:v>
                </c:pt>
                <c:pt idx="6">
                  <c:v>2.569889879608956E-2</c:v>
                </c:pt>
                <c:pt idx="7">
                  <c:v>2.735205437920285E-2</c:v>
                </c:pt>
                <c:pt idx="8">
                  <c:v>2.8964588892215669E-2</c:v>
                </c:pt>
                <c:pt idx="9">
                  <c:v>3.053749372941995E-2</c:v>
                </c:pt>
                <c:pt idx="10">
                  <c:v>3.2071734677652092E-2</c:v>
                </c:pt>
                <c:pt idx="11">
                  <c:v>3.356825260534925E-2</c:v>
                </c:pt>
                <c:pt idx="12">
                  <c:v>3.5027964132661044E-2</c:v>
                </c:pt>
                <c:pt idx="13">
                  <c:v>3.6451762283144416E-2</c:v>
                </c:pt>
                <c:pt idx="14">
                  <c:v>3.7840517117550397E-2</c:v>
                </c:pt>
                <c:pt idx="15">
                  <c:v>3.9195076350202342E-2</c:v>
                </c:pt>
                <c:pt idx="16">
                  <c:v>4.0516265948446491E-2</c:v>
                </c:pt>
                <c:pt idx="17">
                  <c:v>4.1804890715645728E-2</c:v>
                </c:pt>
                <c:pt idx="18">
                  <c:v>4.3061734858172884E-2</c:v>
                </c:pt>
                <c:pt idx="19">
                  <c:v>4.4287562536847166E-2</c:v>
                </c:pt>
                <c:pt idx="20">
                  <c:v>4.5483118403245246E-2</c:v>
                </c:pt>
                <c:pt idx="21">
                  <c:v>4.6649128121306754E-2</c:v>
                </c:pt>
                <c:pt idx="22">
                  <c:v>4.7786298874641586E-2</c:v>
                </c:pt>
                <c:pt idx="23">
                  <c:v>4.8895319859935518E-2</c:v>
                </c:pt>
                <c:pt idx="24">
                  <c:v>4.9976862766839859E-2</c:v>
                </c:pt>
                <c:pt idx="25">
                  <c:v>5.1031582244718987E-2</c:v>
                </c:pt>
                <c:pt idx="26">
                  <c:v>5.206011635662109E-2</c:v>
                </c:pt>
                <c:pt idx="27">
                  <c:v>5.3063087020825198E-2</c:v>
                </c:pt>
                <c:pt idx="28">
                  <c:v>5.4041100440308985E-2</c:v>
                </c:pt>
                <c:pt idx="29">
                  <c:v>5.4994747520472502E-2</c:v>
                </c:pt>
                <c:pt idx="30">
                  <c:v>5.5924604275442241E-2</c:v>
                </c:pt>
                <c:pt idx="31">
                  <c:v>5.6831232223272708E-2</c:v>
                </c:pt>
                <c:pt idx="32">
                  <c:v>5.771517877035201E-2</c:v>
                </c:pt>
                <c:pt idx="33">
                  <c:v>5.8576977585311371E-2</c:v>
                </c:pt>
                <c:pt idx="34">
                  <c:v>5.9417148962728136E-2</c:v>
                </c:pt>
                <c:pt idx="35">
                  <c:v>6.0236200176905397E-2</c:v>
                </c:pt>
                <c:pt idx="36">
                  <c:v>6.1034625826002775E-2</c:v>
                </c:pt>
                <c:pt idx="37">
                  <c:v>6.1812908166785127E-2</c:v>
                </c:pt>
                <c:pt idx="38">
                  <c:v>6.2571517440248886E-2</c:v>
                </c:pt>
                <c:pt idx="39">
                  <c:v>6.3310912188377963E-2</c:v>
                </c:pt>
                <c:pt idx="40">
                  <c:v>6.4031539562275405E-2</c:v>
                </c:pt>
                <c:pt idx="41">
                  <c:v>6.4733835621908417E-2</c:v>
                </c:pt>
                <c:pt idx="42">
                  <c:v>6.5418225627698515E-2</c:v>
                </c:pt>
                <c:pt idx="43">
                  <c:v>6.608512432418337E-2</c:v>
                </c:pt>
                <c:pt idx="44">
                  <c:v>6.673493621596803E-2</c:v>
                </c:pt>
                <c:pt idx="45">
                  <c:v>6.7368055836179205E-2</c:v>
                </c:pt>
                <c:pt idx="46">
                  <c:v>6.7984868007630053E-2</c:v>
                </c:pt>
                <c:pt idx="47">
                  <c:v>6.8585748096895854E-2</c:v>
                </c:pt>
                <c:pt idx="48">
                  <c:v>6.9171062261497565E-2</c:v>
                </c:pt>
                <c:pt idx="49">
                  <c:v>6.974116769038205E-2</c:v>
                </c:pt>
                <c:pt idx="50">
                  <c:v>7.0296412837885444E-2</c:v>
                </c:pt>
                <c:pt idx="51">
                  <c:v>7.0837137651358406E-2</c:v>
                </c:pt>
                <c:pt idx="52">
                  <c:v>7.1363673792628868E-2</c:v>
                </c:pt>
                <c:pt idx="53">
                  <c:v>7.1876344853471705E-2</c:v>
                </c:pt>
                <c:pt idx="54">
                  <c:v>7.2375466565250929E-2</c:v>
                </c:pt>
                <c:pt idx="55">
                  <c:v>7.2861347002894955E-2</c:v>
                </c:pt>
                <c:pt idx="56">
                  <c:v>7.3334286783361388E-2</c:v>
                </c:pt>
                <c:pt idx="57">
                  <c:v>7.3794579258742499E-2</c:v>
                </c:pt>
                <c:pt idx="58">
                  <c:v>7.4242510704159992E-2</c:v>
                </c:pt>
                <c:pt idx="59">
                  <c:v>7.4678360500591984E-2</c:v>
                </c:pt>
                <c:pt idx="60">
                  <c:v>7.5102401312771655E-2</c:v>
                </c:pt>
                <c:pt idx="61">
                  <c:v>7.5514899262293822E-2</c:v>
                </c:pt>
                <c:pt idx="62">
                  <c:v>7.5916114096060722E-2</c:v>
                </c:pt>
                <c:pt idx="63">
                  <c:v>7.6306299350195644E-2</c:v>
                </c:pt>
                <c:pt idx="64">
                  <c:v>7.6685702509548953E-2</c:v>
                </c:pt>
                <c:pt idx="65">
                  <c:v>7.7054565162917588E-2</c:v>
                </c:pt>
                <c:pt idx="66">
                  <c:v>7.7413123154096403E-2</c:v>
                </c:pt>
                <c:pt idx="67">
                  <c:v>7.7761606728874819E-2</c:v>
                </c:pt>
                <c:pt idx="68">
                  <c:v>7.810024067809182E-2</c:v>
                </c:pt>
                <c:pt idx="69">
                  <c:v>7.8429244476855869E-2</c:v>
                </c:pt>
                <c:pt idx="70">
                  <c:v>7.8748832420036385E-2</c:v>
                </c:pt>
                <c:pt idx="71">
                  <c:v>7.9059213754128332E-2</c:v>
                </c:pt>
                <c:pt idx="72">
                  <c:v>7.936059280558988E-2</c:v>
                </c:pt>
                <c:pt idx="73">
                  <c:v>7.9653169105749724E-2</c:v>
                </c:pt>
                <c:pt idx="74">
                  <c:v>7.9937137512378131E-2</c:v>
                </c:pt>
                <c:pt idx="75">
                  <c:v>8.0212688328013398E-2</c:v>
                </c:pt>
                <c:pt idx="76">
                  <c:v>8.0480007415132254E-2</c:v>
                </c:pt>
                <c:pt idx="77">
                  <c:v>8.0739276308251284E-2</c:v>
                </c:pt>
                <c:pt idx="78">
                  <c:v>8.0990672323042856E-2</c:v>
                </c:pt>
                <c:pt idx="79">
                  <c:v>8.1234368662547296E-2</c:v>
                </c:pt>
                <c:pt idx="80">
                  <c:v>8.1470534520561771E-2</c:v>
                </c:pt>
                <c:pt idx="81">
                  <c:v>8.1699335182281507E-2</c:v>
                </c:pt>
                <c:pt idx="82">
                  <c:v>8.1920932122270029E-2</c:v>
                </c:pt>
                <c:pt idx="83">
                  <c:v>8.2135483099830417E-2</c:v>
                </c:pt>
                <c:pt idx="84">
                  <c:v>8.2343142251849216E-2</c:v>
                </c:pt>
                <c:pt idx="85">
                  <c:v>8.2544060183181736E-2</c:v>
                </c:pt>
                <c:pt idx="86">
                  <c:v>8.2738384054645953E-2</c:v>
                </c:pt>
                <c:pt idx="87">
                  <c:v>8.2926257668690412E-2</c:v>
                </c:pt>
                <c:pt idx="88">
                  <c:v>8.3107821552799416E-2</c:v>
                </c:pt>
                <c:pt idx="89">
                  <c:v>8.328321304069744E-2</c:v>
                </c:pt>
                <c:pt idx="90">
                  <c:v>8.345256635141246E-2</c:v>
                </c:pt>
                <c:pt idx="91">
                  <c:v>8.3616012666257095E-2</c:v>
                </c:pt>
                <c:pt idx="92">
                  <c:v>8.3773680203783479E-2</c:v>
                </c:pt>
                <c:pt idx="93">
                  <c:v>8.3925694292768013E-2</c:v>
                </c:pt>
                <c:pt idx="94">
                  <c:v>8.4072177443278565E-2</c:v>
                </c:pt>
                <c:pt idx="95">
                  <c:v>8.4213249415877295E-2</c:v>
                </c:pt>
                <c:pt idx="96">
                  <c:v>8.4349027289009129E-2</c:v>
                </c:pt>
                <c:pt idx="97">
                  <c:v>8.4479625524625429E-2</c:v>
                </c:pt>
                <c:pt idx="98">
                  <c:v>8.4605156032090734E-2</c:v>
                </c:pt>
                <c:pt idx="99">
                  <c:v>8.4725728230419434E-2</c:v>
                </c:pt>
                <c:pt idx="100">
                  <c:v>8.4841449108887274E-2</c:v>
                </c:pt>
                <c:pt idx="101">
                  <c:v>8.4952423286062256E-2</c:v>
                </c:pt>
                <c:pt idx="102">
                  <c:v>8.5058753067297294E-2</c:v>
                </c:pt>
                <c:pt idx="103">
                  <c:v>8.5160538500726912E-2</c:v>
                </c:pt>
                <c:pt idx="104">
                  <c:v>8.5257877431807919E-2</c:v>
                </c:pt>
                <c:pt idx="105">
                  <c:v>8.5350865556443695E-2</c:v>
                </c:pt>
                <c:pt idx="106">
                  <c:v>8.5439596472730681E-2</c:v>
                </c:pt>
                <c:pt idx="107">
                  <c:v>8.5524161731363929E-2</c:v>
                </c:pt>
                <c:pt idx="108">
                  <c:v>8.560465088473812E-2</c:v>
                </c:pt>
                <c:pt idx="109">
                  <c:v>8.5681151534779412E-2</c:v>
                </c:pt>
                <c:pt idx="110">
                  <c:v>8.5753749379542013E-2</c:v>
                </c:pt>
                <c:pt idx="111">
                  <c:v>8.5822528258603356E-2</c:v>
                </c:pt>
                <c:pt idx="112">
                  <c:v>8.588757019728982E-2</c:v>
                </c:pt>
                <c:pt idx="113">
                  <c:v>8.594895544976458E-2</c:v>
                </c:pt>
                <c:pt idx="114">
                  <c:v>8.6006762541008391E-2</c:v>
                </c:pt>
                <c:pt idx="115">
                  <c:v>8.6061068307723199E-2</c:v>
                </c:pt>
                <c:pt idx="116">
                  <c:v>8.6111947938186967E-2</c:v>
                </c:pt>
                <c:pt idx="117">
                  <c:v>8.615947501108874E-2</c:v>
                </c:pt>
                <c:pt idx="118">
                  <c:v>8.6203721533370692E-2</c:v>
                </c:pt>
                <c:pt idx="119">
                  <c:v>8.624475797710407E-2</c:v>
                </c:pt>
                <c:pt idx="120">
                  <c:v>8.6282653315424979E-2</c:v>
                </c:pt>
                <c:pt idx="121">
                  <c:v>8.6317475057555146E-2</c:v>
                </c:pt>
                <c:pt idx="122">
                  <c:v>8.6349289282932104E-2</c:v>
                </c:pt>
                <c:pt idx="123">
                  <c:v>8.6378160674472945E-2</c:v>
                </c:pt>
                <c:pt idx="124">
                  <c:v>8.6404152550994401E-2</c:v>
                </c:pt>
                <c:pt idx="125">
                  <c:v>8.6427326898811996E-2</c:v>
                </c:pt>
                <c:pt idx="126">
                  <c:v>8.6447744402540425E-2</c:v>
                </c:pt>
                <c:pt idx="127">
                  <c:v>8.6465464475116077E-2</c:v>
                </c:pt>
                <c:pt idx="128">
                  <c:v>8.6480545287062796E-2</c:v>
                </c:pt>
                <c:pt idx="129">
                  <c:v>8.649304379502061E-2</c:v>
                </c:pt>
                <c:pt idx="130">
                  <c:v>8.6503015769557823E-2</c:v>
                </c:pt>
                <c:pt idx="131">
                  <c:v>8.6510515822284612E-2</c:v>
                </c:pt>
                <c:pt idx="132">
                  <c:v>8.6515597432287414E-2</c:v>
                </c:pt>
                <c:pt idx="133">
                  <c:v>8.6518312971901851E-2</c:v>
                </c:pt>
                <c:pt idx="134">
                  <c:v>8.651871373184164E-2</c:v>
                </c:pt>
                <c:pt idx="135">
                  <c:v>8.6516849945700997E-2</c:v>
                </c:pt>
                <c:pt idx="136">
                  <c:v>8.6512770813846618E-2</c:v>
                </c:pt>
                <c:pt idx="137">
                  <c:v>8.6506524526715756E-2</c:v>
                </c:pt>
                <c:pt idx="138">
                  <c:v>8.6498158287536014E-2</c:v>
                </c:pt>
                <c:pt idx="139">
                  <c:v>8.6487718334482044E-2</c:v>
                </c:pt>
                <c:pt idx="140">
                  <c:v>8.6475249962284187E-2</c:v>
                </c:pt>
                <c:pt idx="141">
                  <c:v>8.6460797543303408E-2</c:v>
                </c:pt>
                <c:pt idx="142">
                  <c:v>8.6444404548086523E-2</c:v>
                </c:pt>
                <c:pt idx="143">
                  <c:v>8.6426113565415685E-2</c:v>
                </c:pt>
                <c:pt idx="144">
                  <c:v>8.6405966321865049E-2</c:v>
                </c:pt>
                <c:pt idx="145">
                  <c:v>8.6384003700877884E-2</c:v>
                </c:pt>
                <c:pt idx="146">
                  <c:v>8.636026576137662E-2</c:v>
                </c:pt>
                <c:pt idx="147">
                  <c:v>8.6334791755917961E-2</c:v>
                </c:pt>
                <c:pt idx="148">
                  <c:v>8.6307620148405262E-2</c:v>
                </c:pt>
                <c:pt idx="149">
                  <c:v>8.6278788631369369E-2</c:v>
                </c:pt>
                <c:pt idx="150">
                  <c:v>8.6248334142829758E-2</c:v>
                </c:pt>
                <c:pt idx="151">
                  <c:v>8.6216292882746279E-2</c:v>
                </c:pt>
                <c:pt idx="152">
                  <c:v>8.6182700329072714E-2</c:v>
                </c:pt>
                <c:pt idx="153">
                  <c:v>8.6147591253422362E-2</c:v>
                </c:pt>
                <c:pt idx="154">
                  <c:v>8.6110999736355526E-2</c:v>
                </c:pt>
                <c:pt idx="155">
                  <c:v>8.6072959182299277E-2</c:v>
                </c:pt>
                <c:pt idx="156">
                  <c:v>8.6033502334108392E-2</c:v>
                </c:pt>
                <c:pt idx="157">
                  <c:v>8.5992661287277339E-2</c:v>
                </c:pt>
                <c:pt idx="158">
                  <c:v>8.5950467503811856E-2</c:v>
                </c:pt>
                <c:pt idx="159">
                  <c:v>8.5906951825769629E-2</c:v>
                </c:pt>
                <c:pt idx="160">
                  <c:v>8.5862144488477718E-2</c:v>
                </c:pt>
                <c:pt idx="161">
                  <c:v>8.5816075133435823E-2</c:v>
                </c:pt>
                <c:pt idx="162">
                  <c:v>8.576877282091333E-2</c:v>
                </c:pt>
                <c:pt idx="163">
                  <c:v>8.5720266042247611E-2</c:v>
                </c:pt>
                <c:pt idx="164">
                  <c:v>8.5670582731851935E-2</c:v>
                </c:pt>
                <c:pt idx="165">
                  <c:v>8.5619750278939866E-2</c:v>
                </c:pt>
                <c:pt idx="166">
                  <c:v>8.5567795538973757E-2</c:v>
                </c:pt>
                <c:pt idx="167">
                  <c:v>8.5514744844844337E-2</c:v>
                </c:pt>
                <c:pt idx="168">
                  <c:v>8.5460624017788284E-2</c:v>
                </c:pt>
                <c:pt idx="169">
                  <c:v>8.5405458378050386E-2</c:v>
                </c:pt>
                <c:pt idx="170">
                  <c:v>8.5349272755296884E-2</c:v>
                </c:pt>
                <c:pt idx="171">
                  <c:v>8.5292091498786499E-2</c:v>
                </c:pt>
                <c:pt idx="172">
                  <c:v>8.5233938487305011E-2</c:v>
                </c:pt>
                <c:pt idx="173">
                  <c:v>8.5174837138869558E-2</c:v>
                </c:pt>
                <c:pt idx="174">
                  <c:v>8.5114810420208603E-2</c:v>
                </c:pt>
                <c:pt idx="175">
                  <c:v>8.505388085602314E-2</c:v>
                </c:pt>
                <c:pt idx="176">
                  <c:v>8.4992070538034495E-2</c:v>
                </c:pt>
                <c:pt idx="177">
                  <c:v>8.492940113382462E-2</c:v>
                </c:pt>
                <c:pt idx="178">
                  <c:v>8.4865893895473582E-2</c:v>
                </c:pt>
                <c:pt idx="179">
                  <c:v>8.4801569667999718E-2</c:v>
                </c:pt>
                <c:pt idx="180">
                  <c:v>8.4736448897607175E-2</c:v>
                </c:pt>
                <c:pt idx="181">
                  <c:v>8.4670551639746017E-2</c:v>
                </c:pt>
                <c:pt idx="182">
                  <c:v>8.4603897566989078E-2</c:v>
                </c:pt>
                <c:pt idx="183">
                  <c:v>8.453650597673075E-2</c:v>
                </c:pt>
                <c:pt idx="184">
                  <c:v>8.4468395798711654E-2</c:v>
                </c:pt>
                <c:pt idx="185">
                  <c:v>8.4399585602373858E-2</c:v>
                </c:pt>
                <c:pt idx="186">
                  <c:v>8.4330093604050776E-2</c:v>
                </c:pt>
                <c:pt idx="187">
                  <c:v>8.4259937673995838E-2</c:v>
                </c:pt>
                <c:pt idx="188">
                  <c:v>8.4189135343253826E-2</c:v>
                </c:pt>
                <c:pt idx="189">
                  <c:v>8.4117703810379141E-2</c:v>
                </c:pt>
                <c:pt idx="190">
                  <c:v>8.404565994800442E-2</c:v>
                </c:pt>
                <c:pt idx="191">
                  <c:v>8.397302030926318E-2</c:v>
                </c:pt>
                <c:pt idx="192">
                  <c:v>8.3899801134070695E-2</c:v>
                </c:pt>
                <c:pt idx="193">
                  <c:v>8.3826018355265583E-2</c:v>
                </c:pt>
                <c:pt idx="194">
                  <c:v>8.3751687604616681E-2</c:v>
                </c:pt>
                <c:pt idx="195">
                  <c:v>8.3676824218697404E-2</c:v>
                </c:pt>
                <c:pt idx="196">
                  <c:v>8.3601443244631771E-2</c:v>
                </c:pt>
                <c:pt idx="197">
                  <c:v>8.3525559445714617E-2</c:v>
                </c:pt>
                <c:pt idx="198">
                  <c:v>8.3449187306909312E-2</c:v>
                </c:pt>
                <c:pt idx="199">
                  <c:v>8.337234104022595E-2</c:v>
                </c:pt>
                <c:pt idx="200">
                  <c:v>8.3295034589983025E-2</c:v>
                </c:pt>
                <c:pt idx="201">
                  <c:v>8.3217281637955054E-2</c:v>
                </c:pt>
                <c:pt idx="202">
                  <c:v>8.3139095608409291E-2</c:v>
                </c:pt>
                <c:pt idx="203">
                  <c:v>8.3060489673034213E-2</c:v>
                </c:pt>
                <c:pt idx="204">
                  <c:v>8.2981476755761993E-2</c:v>
                </c:pt>
                <c:pt idx="205">
                  <c:v>8.2902069537487966E-2</c:v>
                </c:pt>
                <c:pt idx="206">
                  <c:v>8.2822280460689318E-2</c:v>
                </c:pt>
                <c:pt idx="207">
                  <c:v>8.2742121733945462E-2</c:v>
                </c:pt>
                <c:pt idx="208">
                  <c:v>8.2661605336362493E-2</c:v>
                </c:pt>
                <c:pt idx="209">
                  <c:v>8.2580743021903991E-2</c:v>
                </c:pt>
                <c:pt idx="210">
                  <c:v>8.2499546323630352E-2</c:v>
                </c:pt>
                <c:pt idx="211">
                  <c:v>8.2418026557848939E-2</c:v>
                </c:pt>
                <c:pt idx="212">
                  <c:v>8.2336194828177098E-2</c:v>
                </c:pt>
                <c:pt idx="213">
                  <c:v>8.225406202952E-2</c:v>
                </c:pt>
                <c:pt idx="214">
                  <c:v>8.2171638851965628E-2</c:v>
                </c:pt>
                <c:pt idx="215">
                  <c:v>8.2088935784598471E-2</c:v>
                </c:pt>
                <c:pt idx="216">
                  <c:v>8.2005963119234193E-2</c:v>
                </c:pt>
                <c:pt idx="217">
                  <c:v>8.1922730954076844E-2</c:v>
                </c:pt>
                <c:pt idx="218">
                  <c:v>8.1839249197300692E-2</c:v>
                </c:pt>
                <c:pt idx="219">
                  <c:v>8.1755527570558179E-2</c:v>
                </c:pt>
                <c:pt idx="220">
                  <c:v>8.167157561241592E-2</c:v>
                </c:pt>
                <c:pt idx="221">
                  <c:v>8.1587402681720364E-2</c:v>
                </c:pt>
                <c:pt idx="222">
                  <c:v>8.1503017960894708E-2</c:v>
                </c:pt>
                <c:pt idx="223">
                  <c:v>8.1418430459168606E-2</c:v>
                </c:pt>
                <c:pt idx="224">
                  <c:v>8.1333649015742554E-2</c:v>
                </c:pt>
                <c:pt idx="225">
                  <c:v>8.1248682302887898E-2</c:v>
                </c:pt>
                <c:pt idx="226">
                  <c:v>8.1163538828984499E-2</c:v>
                </c:pt>
                <c:pt idx="227">
                  <c:v>8.1078226941497078E-2</c:v>
                </c:pt>
                <c:pt idx="228">
                  <c:v>8.0992754829891878E-2</c:v>
                </c:pt>
                <c:pt idx="229">
                  <c:v>8.0907130528495075E-2</c:v>
                </c:pt>
                <c:pt idx="230">
                  <c:v>8.0821361919293788E-2</c:v>
                </c:pt>
                <c:pt idx="231">
                  <c:v>8.0735456734681715E-2</c:v>
                </c:pt>
                <c:pt idx="232">
                  <c:v>8.064942256014998E-2</c:v>
                </c:pt>
                <c:pt idx="233">
                  <c:v>8.0563266836924885E-2</c:v>
                </c:pt>
                <c:pt idx="234">
                  <c:v>8.0476996864553521E-2</c:v>
                </c:pt>
                <c:pt idx="235">
                  <c:v>8.0390619803438507E-2</c:v>
                </c:pt>
                <c:pt idx="236">
                  <c:v>8.0304142677322998E-2</c:v>
                </c:pt>
                <c:pt idx="237">
                  <c:v>8.0217572375726992E-2</c:v>
                </c:pt>
                <c:pt idx="238">
                  <c:v>8.0130915656336149E-2</c:v>
                </c:pt>
                <c:pt idx="239">
                  <c:v>8.0044179147344158E-2</c:v>
                </c:pt>
                <c:pt idx="240">
                  <c:v>7.9957369349749494E-2</c:v>
                </c:pt>
                <c:pt idx="241">
                  <c:v>7.9870492639607826E-2</c:v>
                </c:pt>
                <c:pt idx="242">
                  <c:v>7.9783555270241002E-2</c:v>
                </c:pt>
                <c:pt idx="243">
                  <c:v>7.9696563374403409E-2</c:v>
                </c:pt>
                <c:pt idx="244">
                  <c:v>7.9609522966406804E-2</c:v>
                </c:pt>
                <c:pt idx="245">
                  <c:v>7.9522439944204493E-2</c:v>
                </c:pt>
                <c:pt idx="246">
                  <c:v>7.9435320091435668E-2</c:v>
                </c:pt>
                <c:pt idx="247">
                  <c:v>7.9348169079430972E-2</c:v>
                </c:pt>
                <c:pt idx="248">
                  <c:v>7.9260992469179808E-2</c:v>
                </c:pt>
                <c:pt idx="249">
                  <c:v>7.9173795713260497E-2</c:v>
                </c:pt>
                <c:pt idx="250">
                  <c:v>7.9086584157734147E-2</c:v>
                </c:pt>
                <c:pt idx="251">
                  <c:v>7.8999363044002499E-2</c:v>
                </c:pt>
                <c:pt idx="252">
                  <c:v>7.8912137510631308E-2</c:v>
                </c:pt>
                <c:pt idx="253">
                  <c:v>7.8824912595139296E-2</c:v>
                </c:pt>
                <c:pt idx="254">
                  <c:v>7.8737693235753817E-2</c:v>
                </c:pt>
                <c:pt idx="255">
                  <c:v>7.8650484273133842E-2</c:v>
                </c:pt>
                <c:pt idx="256">
                  <c:v>7.8563290452060827E-2</c:v>
                </c:pt>
                <c:pt idx="257">
                  <c:v>7.847611642309843E-2</c:v>
                </c:pt>
                <c:pt idx="258">
                  <c:v>7.8388966744221397E-2</c:v>
                </c:pt>
                <c:pt idx="259">
                  <c:v>7.8301845882414595E-2</c:v>
                </c:pt>
                <c:pt idx="260">
                  <c:v>7.8214758215242458E-2</c:v>
                </c:pt>
                <c:pt idx="261">
                  <c:v>7.812770803238997E-2</c:v>
                </c:pt>
                <c:pt idx="262">
                  <c:v>7.8040699537175101E-2</c:v>
                </c:pt>
                <c:pt idx="263">
                  <c:v>7.7953736848033972E-2</c:v>
                </c:pt>
                <c:pt idx="264">
                  <c:v>7.7866823999978907E-2</c:v>
                </c:pt>
                <c:pt idx="265">
                  <c:v>7.7779964946029956E-2</c:v>
                </c:pt>
                <c:pt idx="266">
                  <c:v>7.7693163558620687E-2</c:v>
                </c:pt>
                <c:pt idx="267">
                  <c:v>7.7606423630978388E-2</c:v>
                </c:pt>
                <c:pt idx="268">
                  <c:v>7.7519748878479705E-2</c:v>
                </c:pt>
                <c:pt idx="269">
                  <c:v>7.7433142939981603E-2</c:v>
                </c:pt>
                <c:pt idx="270">
                  <c:v>7.7346609379128822E-2</c:v>
                </c:pt>
                <c:pt idx="271">
                  <c:v>7.726015168563774E-2</c:v>
                </c:pt>
                <c:pt idx="272">
                  <c:v>7.7173773276557361E-2</c:v>
                </c:pt>
                <c:pt idx="273">
                  <c:v>7.7087477497508106E-2</c:v>
                </c:pt>
                <c:pt idx="274">
                  <c:v>7.7001267623898362E-2</c:v>
                </c:pt>
                <c:pt idx="275">
                  <c:v>7.6915146862119643E-2</c:v>
                </c:pt>
                <c:pt idx="276">
                  <c:v>7.6829118350720635E-2</c:v>
                </c:pt>
                <c:pt idx="277">
                  <c:v>7.6743185161560576E-2</c:v>
                </c:pt>
                <c:pt idx="278">
                  <c:v>7.665735030094234E-2</c:v>
                </c:pt>
                <c:pt idx="279">
                  <c:v>7.6571616710725723E-2</c:v>
                </c:pt>
                <c:pt idx="280">
                  <c:v>7.648598726942113E-2</c:v>
                </c:pt>
                <c:pt idx="281">
                  <c:v>7.64004647932644E-2</c:v>
                </c:pt>
                <c:pt idx="282">
                  <c:v>7.6315052037272693E-2</c:v>
                </c:pt>
                <c:pt idx="283">
                  <c:v>7.6229751696282169E-2</c:v>
                </c:pt>
                <c:pt idx="284">
                  <c:v>7.6144566405967701E-2</c:v>
                </c:pt>
                <c:pt idx="285">
                  <c:v>7.6059498743844878E-2</c:v>
                </c:pt>
                <c:pt idx="286">
                  <c:v>7.5974551230254705E-2</c:v>
                </c:pt>
                <c:pt idx="287">
                  <c:v>7.5889726329331539E-2</c:v>
                </c:pt>
                <c:pt idx="288">
                  <c:v>7.5805026449954155E-2</c:v>
                </c:pt>
                <c:pt idx="289">
                  <c:v>7.572045394668063E-2</c:v>
                </c:pt>
                <c:pt idx="290">
                  <c:v>7.5636011120667312E-2</c:v>
                </c:pt>
                <c:pt idx="291">
                  <c:v>7.5551700220571963E-2</c:v>
                </c:pt>
                <c:pt idx="292">
                  <c:v>7.5467523443441542E-2</c:v>
                </c:pt>
                <c:pt idx="293">
                  <c:v>7.5383482935584986E-2</c:v>
                </c:pt>
                <c:pt idx="294">
                  <c:v>7.5299580793431131E-2</c:v>
                </c:pt>
                <c:pt idx="295">
                  <c:v>7.5215819064372108E-2</c:v>
                </c:pt>
                <c:pt idx="296">
                  <c:v>7.5132199747592471E-2</c:v>
                </c:pt>
                <c:pt idx="297">
                  <c:v>7.5048724794884364E-2</c:v>
                </c:pt>
                <c:pt idx="298">
                  <c:v>7.4965396111448993E-2</c:v>
                </c:pt>
                <c:pt idx="299">
                  <c:v>7.4882215556684575E-2</c:v>
                </c:pt>
                <c:pt idx="300">
                  <c:v>7.4799184944961197E-2</c:v>
                </c:pt>
                <c:pt idx="301">
                  <c:v>7.4716306046382519E-2</c:v>
                </c:pt>
                <c:pt idx="302">
                  <c:v>7.4633580587534859E-2</c:v>
                </c:pt>
                <c:pt idx="303">
                  <c:v>7.4551010252223909E-2</c:v>
                </c:pt>
                <c:pt idx="304">
                  <c:v>7.4468596682198962E-2</c:v>
                </c:pt>
                <c:pt idx="305">
                  <c:v>7.4386341477865159E-2</c:v>
                </c:pt>
                <c:pt idx="306">
                  <c:v>7.4304246198984139E-2</c:v>
                </c:pt>
                <c:pt idx="307">
                  <c:v>7.4222312365362794E-2</c:v>
                </c:pt>
                <c:pt idx="308">
                  <c:v>7.4140541457530795E-2</c:v>
                </c:pt>
                <c:pt idx="309">
                  <c:v>7.4058934917406963E-2</c:v>
                </c:pt>
                <c:pt idx="310">
                  <c:v>7.3977494148954534E-2</c:v>
                </c:pt>
                <c:pt idx="311">
                  <c:v>7.3896220518825759E-2</c:v>
                </c:pt>
                <c:pt idx="312">
                  <c:v>7.381511535699592E-2</c:v>
                </c:pt>
                <c:pt idx="313">
                  <c:v>7.3734179957386847E-2</c:v>
                </c:pt>
                <c:pt idx="314">
                  <c:v>7.3653415578480375E-2</c:v>
                </c:pt>
                <c:pt idx="315">
                  <c:v>7.3572823443921548E-2</c:v>
                </c:pt>
                <c:pt idx="316">
                  <c:v>7.3492404743112305E-2</c:v>
                </c:pt>
                <c:pt idx="317">
                  <c:v>7.3412160631795231E-2</c:v>
                </c:pt>
                <c:pt idx="318">
                  <c:v>7.3332092232627821E-2</c:v>
                </c:pt>
                <c:pt idx="319">
                  <c:v>7.3252200635747583E-2</c:v>
                </c:pt>
                <c:pt idx="320">
                  <c:v>7.317248689932776E-2</c:v>
                </c:pt>
                <c:pt idx="321">
                  <c:v>7.3092952050124282E-2</c:v>
                </c:pt>
                <c:pt idx="322">
                  <c:v>7.3013597084013615E-2</c:v>
                </c:pt>
                <c:pt idx="323">
                  <c:v>7.2934422966522069E-2</c:v>
                </c:pt>
                <c:pt idx="324">
                  <c:v>7.2855430633346568E-2</c:v>
                </c:pt>
                <c:pt idx="325">
                  <c:v>7.277662099086693E-2</c:v>
                </c:pt>
                <c:pt idx="326">
                  <c:v>7.2697994916649994E-2</c:v>
                </c:pt>
                <c:pt idx="327">
                  <c:v>7.2619553259945624E-2</c:v>
                </c:pt>
                <c:pt idx="328">
                  <c:v>7.2541296842174571E-2</c:v>
                </c:pt>
                <c:pt idx="329">
                  <c:v>7.2463226457408866E-2</c:v>
                </c:pt>
                <c:pt idx="330">
                  <c:v>7.2385342872844149E-2</c:v>
                </c:pt>
                <c:pt idx="331">
                  <c:v>7.230764682926466E-2</c:v>
                </c:pt>
                <c:pt idx="332">
                  <c:v>7.2230139041500663E-2</c:v>
                </c:pt>
                <c:pt idx="333">
                  <c:v>7.2152820198878739E-2</c:v>
                </c:pt>
                <c:pt idx="334">
                  <c:v>7.2075690965664657E-2</c:v>
                </c:pt>
                <c:pt idx="335">
                  <c:v>7.1998751981499354E-2</c:v>
                </c:pt>
                <c:pt idx="336">
                  <c:v>7.1922003861827941E-2</c:v>
                </c:pt>
                <c:pt idx="337">
                  <c:v>7.184544719832181E-2</c:v>
                </c:pt>
                <c:pt idx="338">
                  <c:v>7.1769082559294123E-2</c:v>
                </c:pt>
                <c:pt idx="339">
                  <c:v>7.1692910490108674E-2</c:v>
                </c:pt>
                <c:pt idx="340">
                  <c:v>7.1616931513582199E-2</c:v>
                </c:pt>
                <c:pt idx="341">
                  <c:v>7.1541146130380401E-2</c:v>
                </c:pt>
                <c:pt idx="342">
                  <c:v>7.146555481940764E-2</c:v>
                </c:pt>
                <c:pt idx="343">
                  <c:v>7.1390158038190488E-2</c:v>
                </c:pt>
                <c:pt idx="344">
                  <c:v>7.1314956223255177E-2</c:v>
                </c:pt>
                <c:pt idx="345">
                  <c:v>7.1239949790499052E-2</c:v>
                </c:pt>
                <c:pt idx="346">
                  <c:v>7.1165139135556346E-2</c:v>
                </c:pt>
                <c:pt idx="347">
                  <c:v>7.1090524634157923E-2</c:v>
                </c:pt>
                <c:pt idx="348">
                  <c:v>7.1016106642485477E-2</c:v>
                </c:pt>
                <c:pt idx="349">
                  <c:v>7.0941885497520174E-2</c:v>
                </c:pt>
                <c:pt idx="350">
                  <c:v>7.0867861517385763E-2</c:v>
                </c:pt>
                <c:pt idx="351">
                  <c:v>7.0794035001686212E-2</c:v>
                </c:pt>
                <c:pt idx="352">
                  <c:v>7.0720406231838187E-2</c:v>
                </c:pt>
                <c:pt idx="353">
                  <c:v>7.0646975471398143E-2</c:v>
                </c:pt>
                <c:pt idx="354">
                  <c:v>7.0573742966384412E-2</c:v>
                </c:pt>
                <c:pt idx="355">
                  <c:v>7.0500708945594098E-2</c:v>
                </c:pt>
                <c:pt idx="356">
                  <c:v>7.0427873620915071E-2</c:v>
                </c:pt>
                <c:pt idx="357">
                  <c:v>7.0355237187633105E-2</c:v>
                </c:pt>
                <c:pt idx="358">
                  <c:v>7.0282799824734024E-2</c:v>
                </c:pt>
                <c:pt idx="359">
                  <c:v>7.0210561695201332E-2</c:v>
                </c:pt>
                <c:pt idx="360">
                  <c:v>7.013852294630904E-2</c:v>
                </c:pt>
                <c:pt idx="361">
                  <c:v>7.0066683709909844E-2</c:v>
                </c:pt>
                <c:pt idx="362">
                  <c:v>6.9995044102718992E-2</c:v>
                </c:pt>
                <c:pt idx="363">
                  <c:v>6.9923604226593522E-2</c:v>
                </c:pt>
                <c:pt idx="364">
                  <c:v>6.9852364168807149E-2</c:v>
                </c:pt>
                <c:pt idx="365">
                  <c:v>6.9781324002320927E-2</c:v>
                </c:pt>
                <c:pt idx="366">
                  <c:v>6.9710483786049604E-2</c:v>
                </c:pt>
                <c:pt idx="367">
                  <c:v>6.9639843565123843E-2</c:v>
                </c:pt>
                <c:pt idx="368">
                  <c:v>6.9569403371148336E-2</c:v>
                </c:pt>
                <c:pt idx="369">
                  <c:v>6.9499163222455834E-2</c:v>
                </c:pt>
                <c:pt idx="370">
                  <c:v>6.94291231243572E-2</c:v>
                </c:pt>
                <c:pt idx="371">
                  <c:v>6.9359283069387684E-2</c:v>
                </c:pt>
                <c:pt idx="372">
                  <c:v>6.9289643037549156E-2</c:v>
                </c:pt>
                <c:pt idx="373">
                  <c:v>6.9220202996548616E-2</c:v>
                </c:pt>
                <c:pt idx="374">
                  <c:v>6.915096290203307E-2</c:v>
                </c:pt>
                <c:pt idx="375">
                  <c:v>6.9081922697820597E-2</c:v>
                </c:pt>
                <c:pt idx="376">
                  <c:v>6.9013082316127822E-2</c:v>
                </c:pt>
                <c:pt idx="377">
                  <c:v>6.8944441677793872E-2</c:v>
                </c:pt>
                <c:pt idx="378">
                  <c:v>6.8876000692500869E-2</c:v>
                </c:pt>
                <c:pt idx="379">
                  <c:v>6.8807759258990839E-2</c:v>
                </c:pt>
                <c:pt idx="380">
                  <c:v>6.873971726527929E-2</c:v>
                </c:pt>
                <c:pt idx="381">
                  <c:v>6.8671874588865506E-2</c:v>
                </c:pt>
                <c:pt idx="382">
                  <c:v>6.8604231096939458E-2</c:v>
                </c:pt>
                <c:pt idx="383">
                  <c:v>6.8536786646585482E-2</c:v>
                </c:pt>
                <c:pt idx="384">
                  <c:v>6.8469541084982821E-2</c:v>
                </c:pt>
                <c:pt idx="385">
                  <c:v>6.8402494249602985E-2</c:v>
                </c:pt>
                <c:pt idx="386">
                  <c:v>6.833564596840401E-2</c:v>
                </c:pt>
                <c:pt idx="387">
                  <c:v>6.8268996060021681E-2</c:v>
                </c:pt>
                <c:pt idx="388">
                  <c:v>6.8202544333957726E-2</c:v>
                </c:pt>
                <c:pt idx="389">
                  <c:v>6.8136290590765133E-2</c:v>
                </c:pt>
                <c:pt idx="390">
                  <c:v>6.8070234622230441E-2</c:v>
                </c:pt>
                <c:pt idx="391">
                  <c:v>6.8004376211553294E-2</c:v>
                </c:pt>
                <c:pt idx="392">
                  <c:v>6.7938715133523009E-2</c:v>
                </c:pt>
                <c:pt idx="393">
                  <c:v>6.7873251154692588E-2</c:v>
                </c:pt>
                <c:pt idx="394">
                  <c:v>6.7807984033549762E-2</c:v>
                </c:pt>
                <c:pt idx="395">
                  <c:v>6.7742913520685483E-2</c:v>
                </c:pt>
                <c:pt idx="396">
                  <c:v>6.7678039358959746E-2</c:v>
                </c:pt>
                <c:pt idx="397">
                  <c:v>6.7613361283664714E-2</c:v>
                </c:pt>
                <c:pt idx="398">
                  <c:v>6.7548879022685415E-2</c:v>
                </c:pt>
                <c:pt idx="399">
                  <c:v>6.7484592296657736E-2</c:v>
                </c:pt>
                <c:pt idx="400">
                  <c:v>6.7420500819124055E-2</c:v>
                </c:pt>
                <c:pt idx="401">
                  <c:v>6.7356604296686301E-2</c:v>
                </c:pt>
                <c:pt idx="402">
                  <c:v>6.7292902429156753E-2</c:v>
                </c:pt>
                <c:pt idx="403">
                  <c:v>6.7229394909706239E-2</c:v>
                </c:pt>
                <c:pt idx="404">
                  <c:v>6.7166081425010168E-2</c:v>
                </c:pt>
                <c:pt idx="405">
                  <c:v>6.7102961655392146E-2</c:v>
                </c:pt>
                <c:pt idx="406">
                  <c:v>6.7040035274965382E-2</c:v>
                </c:pt>
                <c:pt idx="407">
                  <c:v>6.6977301951771748E-2</c:v>
                </c:pt>
                <c:pt idx="408">
                  <c:v>6.6914761347918725E-2</c:v>
                </c:pt>
                <c:pt idx="409">
                  <c:v>6.6852413119714169E-2</c:v>
                </c:pt>
                <c:pt idx="410">
                  <c:v>6.6790256917798815E-2</c:v>
                </c:pt>
                <c:pt idx="411">
                  <c:v>6.6728292387276858E-2</c:v>
                </c:pt>
                <c:pt idx="412">
                  <c:v>6.6666519167844218E-2</c:v>
                </c:pt>
                <c:pt idx="413">
                  <c:v>6.6604936893915001E-2</c:v>
                </c:pt>
                <c:pt idx="414">
                  <c:v>6.6543545194745743E-2</c:v>
                </c:pt>
                <c:pt idx="415">
                  <c:v>6.6482343694557716E-2</c:v>
                </c:pt>
                <c:pt idx="416">
                  <c:v>6.6421332012657444E-2</c:v>
                </c:pt>
                <c:pt idx="417">
                  <c:v>6.636050976355494E-2</c:v>
                </c:pt>
                <c:pt idx="418">
                  <c:v>6.6299876557080403E-2</c:v>
                </c:pt>
                <c:pt idx="419">
                  <c:v>6.6239431998498799E-2</c:v>
                </c:pt>
                <c:pt idx="420">
                  <c:v>6.6179175688622721E-2</c:v>
                </c:pt>
                <c:pt idx="421">
                  <c:v>6.6119107223923335E-2</c:v>
                </c:pt>
                <c:pt idx="422">
                  <c:v>6.6059226196639648E-2</c:v>
                </c:pt>
                <c:pt idx="423">
                  <c:v>6.5999532194885885E-2</c:v>
                </c:pt>
                <c:pt idx="424">
                  <c:v>6.5940024802757291E-2</c:v>
                </c:pt>
                <c:pt idx="425">
                  <c:v>6.5880703600434007E-2</c:v>
                </c:pt>
                <c:pt idx="426">
                  <c:v>6.5821568164283459E-2</c:v>
                </c:pt>
                <c:pt idx="427">
                  <c:v>6.5762618066960932E-2</c:v>
                </c:pt>
                <c:pt idx="428">
                  <c:v>6.5703852877508656E-2</c:v>
                </c:pt>
                <c:pt idx="429">
                  <c:v>6.5645272161453133E-2</c:v>
                </c:pt>
                <c:pt idx="430">
                  <c:v>6.5586875480900975E-2</c:v>
                </c:pt>
                <c:pt idx="431">
                  <c:v>6.5528662394633105E-2</c:v>
                </c:pt>
                <c:pt idx="432">
                  <c:v>6.5470632458197495E-2</c:v>
                </c:pt>
                <c:pt idx="433">
                  <c:v>6.5412785224000292E-2</c:v>
                </c:pt>
                <c:pt idx="434">
                  <c:v>6.5355120241395559E-2</c:v>
                </c:pt>
                <c:pt idx="435">
                  <c:v>6.5297637056773411E-2</c:v>
                </c:pt>
                <c:pt idx="436">
                  <c:v>6.5240335213646805E-2</c:v>
                </c:pt>
                <c:pt idx="437">
                  <c:v>6.5183214252736862E-2</c:v>
                </c:pt>
                <c:pt idx="438">
                  <c:v>6.5126273712056745E-2</c:v>
                </c:pt>
                <c:pt idx="439">
                  <c:v>6.5069513126994216E-2</c:v>
                </c:pt>
                <c:pt idx="440">
                  <c:v>6.5012932030392753E-2</c:v>
                </c:pt>
                <c:pt idx="441">
                  <c:v>6.4956529952631376E-2</c:v>
                </c:pt>
                <c:pt idx="442">
                  <c:v>6.4900306421703066E-2</c:v>
                </c:pt>
                <c:pt idx="443">
                  <c:v>6.4844260963292044E-2</c:v>
                </c:pt>
                <c:pt idx="444">
                  <c:v>6.4788393100849537E-2</c:v>
                </c:pt>
                <c:pt idx="445">
                  <c:v>6.4732702355668414E-2</c:v>
                </c:pt>
                <c:pt idx="446">
                  <c:v>6.4677188246956535E-2</c:v>
                </c:pt>
                <c:pt idx="447">
                  <c:v>6.4621850291908922E-2</c:v>
                </c:pt>
                <c:pt idx="448">
                  <c:v>6.4566688005778583E-2</c:v>
                </c:pt>
                <c:pt idx="449">
                  <c:v>6.4511700901946259E-2</c:v>
                </c:pt>
                <c:pt idx="450">
                  <c:v>6.4456888491988967E-2</c:v>
                </c:pt>
                <c:pt idx="451">
                  <c:v>6.4402250285747378E-2</c:v>
                </c:pt>
                <c:pt idx="452">
                  <c:v>6.4347785791391943E-2</c:v>
                </c:pt>
                <c:pt idx="453">
                  <c:v>6.4293494515488089E-2</c:v>
                </c:pt>
                <c:pt idx="454">
                  <c:v>6.4239375963060216E-2</c:v>
                </c:pt>
                <c:pt idx="455">
                  <c:v>6.4185429637654473E-2</c:v>
                </c:pt>
                <c:pt idx="456">
                  <c:v>6.413165504140067E-2</c:v>
                </c:pt>
                <c:pt idx="457">
                  <c:v>6.4078051675073022E-2</c:v>
                </c:pt>
                <c:pt idx="458">
                  <c:v>6.4024619038149766E-2</c:v>
                </c:pt>
                <c:pt idx="459">
                  <c:v>6.3971356628871948E-2</c:v>
                </c:pt>
                <c:pt idx="460">
                  <c:v>6.3918263944300988E-2</c:v>
                </c:pt>
                <c:pt idx="461">
                  <c:v>6.3865340480375371E-2</c:v>
                </c:pt>
                <c:pt idx="462">
                  <c:v>6.381258573196634E-2</c:v>
                </c:pt>
                <c:pt idx="463">
                  <c:v>6.3759999192932543E-2</c:v>
                </c:pt>
                <c:pt idx="464">
                  <c:v>6.370758035617384E-2</c:v>
                </c:pt>
                <c:pt idx="465">
                  <c:v>6.3655328713684026E-2</c:v>
                </c:pt>
                <c:pt idx="466">
                  <c:v>6.360324375660277E-2</c:v>
                </c:pt>
                <c:pt idx="467">
                  <c:v>6.3551324975266513E-2</c:v>
                </c:pt>
                <c:pt idx="468">
                  <c:v>6.3499571859258599E-2</c:v>
                </c:pt>
                <c:pt idx="469">
                  <c:v>6.3447983897458329E-2</c:v>
                </c:pt>
                <c:pt idx="470">
                  <c:v>6.3396560578089386E-2</c:v>
                </c:pt>
                <c:pt idx="471">
                  <c:v>6.3345301388767178E-2</c:v>
                </c:pt>
                <c:pt idx="472">
                  <c:v>6.3294205816545407E-2</c:v>
                </c:pt>
                <c:pt idx="473">
                  <c:v>6.3243273347961954E-2</c:v>
                </c:pt>
                <c:pt idx="474">
                  <c:v>6.3192503469083561E-2</c:v>
                </c:pt>
                <c:pt idx="475">
                  <c:v>6.3141895665550216E-2</c:v>
                </c:pt>
                <c:pt idx="476">
                  <c:v>6.3091449422618254E-2</c:v>
                </c:pt>
                <c:pt idx="477">
                  <c:v>6.3041164225203006E-2</c:v>
                </c:pt>
                <c:pt idx="478">
                  <c:v>6.2991039557920472E-2</c:v>
                </c:pt>
                <c:pt idx="479">
                  <c:v>6.2941074905128375E-2</c:v>
                </c:pt>
                <c:pt idx="480">
                  <c:v>6.2891269750966344E-2</c:v>
                </c:pt>
                <c:pt idx="481">
                  <c:v>6.2841623579395448E-2</c:v>
                </c:pt>
                <c:pt idx="482">
                  <c:v>6.2792135874236904E-2</c:v>
                </c:pt>
                <c:pt idx="483">
                  <c:v>6.2742806119210182E-2</c:v>
                </c:pt>
                <c:pt idx="484">
                  <c:v>6.2693633797970313E-2</c:v>
                </c:pt>
                <c:pt idx="485">
                  <c:v>6.2644618394144508E-2</c:v>
                </c:pt>
                <c:pt idx="486">
                  <c:v>6.2595759391368147E-2</c:v>
                </c:pt>
                <c:pt idx="487">
                  <c:v>6.2547056273320051E-2</c:v>
                </c:pt>
                <c:pt idx="488">
                  <c:v>6.2498508523757018E-2</c:v>
                </c:pt>
                <c:pt idx="489">
                  <c:v>6.2450115626547884E-2</c:v>
                </c:pt>
                <c:pt idx="490">
                  <c:v>6.2401877065706754E-2</c:v>
                </c:pt>
                <c:pt idx="491">
                  <c:v>6.2353792325425678E-2</c:v>
                </c:pt>
                <c:pt idx="492">
                  <c:v>6.2305860890106743E-2</c:v>
                </c:pt>
                <c:pt idx="493">
                  <c:v>6.2258082244393373E-2</c:v>
                </c:pt>
                <c:pt idx="494">
                  <c:v>6.2210455873201301E-2</c:v>
                </c:pt>
                <c:pt idx="495">
                  <c:v>6.216298126174867E-2</c:v>
                </c:pt>
                <c:pt idx="496">
                  <c:v>6.211565789558568E-2</c:v>
                </c:pt>
                <c:pt idx="497">
                  <c:v>6.2068485260623668E-2</c:v>
                </c:pt>
                <c:pt idx="498">
                  <c:v>6.2021462843163511E-2</c:v>
                </c:pt>
                <c:pt idx="499">
                  <c:v>6.1974590129923623E-2</c:v>
                </c:pt>
                <c:pt idx="500">
                  <c:v>6.192786660806722E-2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5-4892-B852-3EB018786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706112"/>
        <c:axId val="1644689792"/>
      </c:lineChart>
      <c:catAx>
        <c:axId val="164470611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979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446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'NSS Corporate'!$J$80:$K$80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'NSS Corporate'!$L$2:$CK$2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Corporate'!$L$80:$CK$80</c:f>
              <c:numCache>
                <c:formatCode>0.00%</c:formatCode>
                <c:ptCount val="78"/>
                <c:pt idx="2">
                  <c:v>1.8405349705237883E-2</c:v>
                </c:pt>
                <c:pt idx="3">
                  <c:v>2.0709832194344635E-2</c:v>
                </c:pt>
                <c:pt idx="4">
                  <c:v>2.2480708118509884E-2</c:v>
                </c:pt>
                <c:pt idx="5">
                  <c:v>2.4166244816891114E-2</c:v>
                </c:pt>
                <c:pt idx="6">
                  <c:v>2.5769725368030683E-2</c:v>
                </c:pt>
                <c:pt idx="7">
                  <c:v>2.7294325827311949E-2</c:v>
                </c:pt>
                <c:pt idx="8">
                  <c:v>2.8743117789756578E-2</c:v>
                </c:pt>
                <c:pt idx="9">
                  <c:v>3.0119070962416172E-2</c:v>
                </c:pt>
                <c:pt idx="10">
                  <c:v>3.142505573852894E-2</c:v>
                </c:pt>
                <c:pt idx="11">
                  <c:v>3.2663845766382371E-2</c:v>
                </c:pt>
                <c:pt idx="12">
                  <c:v>3.3838120506629821E-2</c:v>
                </c:pt>
                <c:pt idx="13">
                  <c:v>3.4950467772458138E-2</c:v>
                </c:pt>
                <c:pt idx="14">
                  <c:v>3.6003386247642988E-2</c:v>
                </c:pt>
                <c:pt idx="15">
                  <c:v>3.6999287978162432E-2</c:v>
                </c:pt>
                <c:pt idx="16">
                  <c:v>3.7940500833491875E-2</c:v>
                </c:pt>
                <c:pt idx="17">
                  <c:v>3.8829270934226168E-2</c:v>
                </c:pt>
                <c:pt idx="18">
                  <c:v>3.9667765043152059E-2</c:v>
                </c:pt>
                <c:pt idx="19">
                  <c:v>4.0458072917247456E-2</c:v>
                </c:pt>
                <c:pt idx="20">
                  <c:v>4.1202209618476759E-2</c:v>
                </c:pt>
                <c:pt idx="21">
                  <c:v>4.1902117781557946E-2</c:v>
                </c:pt>
                <c:pt idx="22">
                  <c:v>4.255966983727566E-2</c:v>
                </c:pt>
                <c:pt idx="23">
                  <c:v>4.3176670190047339E-2</c:v>
                </c:pt>
                <c:pt idx="24">
                  <c:v>4.3754857348807352E-2</c:v>
                </c:pt>
                <c:pt idx="25">
                  <c:v>4.4295906010516362E-2</c:v>
                </c:pt>
                <c:pt idx="26">
                  <c:v>4.4801429095675971E-2</c:v>
                </c:pt>
                <c:pt idx="27">
                  <c:v>4.5272979735556218E-2</c:v>
                </c:pt>
                <c:pt idx="28">
                  <c:v>4.5712053210945625E-2</c:v>
                </c:pt>
                <c:pt idx="29">
                  <c:v>4.6120088842386719E-2</c:v>
                </c:pt>
                <c:pt idx="30">
                  <c:v>4.6498471831991406E-2</c:v>
                </c:pt>
                <c:pt idx="31">
                  <c:v>4.6848535057038676E-2</c:v>
                </c:pt>
                <c:pt idx="32">
                  <c:v>4.7171560815723046E-2</c:v>
                </c:pt>
                <c:pt idx="33">
                  <c:v>4.7468782525424968E-2</c:v>
                </c:pt>
                <c:pt idx="34">
                  <c:v>4.7741386374017036E-2</c:v>
                </c:pt>
                <c:pt idx="35">
                  <c:v>4.7990512924780404E-2</c:v>
                </c:pt>
                <c:pt idx="36">
                  <c:v>4.8217258675573804E-2</c:v>
                </c:pt>
                <c:pt idx="37">
                  <c:v>4.8422677572943496E-2</c:v>
                </c:pt>
                <c:pt idx="38">
                  <c:v>4.8607782481843165E-2</c:v>
                </c:pt>
                <c:pt idx="39">
                  <c:v>4.8773546611856622E-2</c:v>
                </c:pt>
                <c:pt idx="40">
                  <c:v>4.8920904900681128E-2</c:v>
                </c:pt>
                <c:pt idx="41">
                  <c:v>4.9050755355618536E-2</c:v>
                </c:pt>
                <c:pt idx="42">
                  <c:v>4.9163960354080327E-2</c:v>
                </c:pt>
                <c:pt idx="43">
                  <c:v>4.9261347903952535E-2</c:v>
                </c:pt>
                <c:pt idx="44">
                  <c:v>4.9343712864562184E-2</c:v>
                </c:pt>
                <c:pt idx="45">
                  <c:v>4.9411818129373453E-2</c:v>
                </c:pt>
                <c:pt idx="46">
                  <c:v>4.9466395771152083E-2</c:v>
                </c:pt>
                <c:pt idx="47">
                  <c:v>4.9508148150575026E-2</c:v>
                </c:pt>
                <c:pt idx="48">
                  <c:v>4.9537748989215036E-2</c:v>
                </c:pt>
                <c:pt idx="49">
                  <c:v>4.955584440771843E-2</c:v>
                </c:pt>
                <c:pt idx="50">
                  <c:v>4.9563053930248735E-2</c:v>
                </c:pt>
                <c:pt idx="51">
                  <c:v>4.9559971455874097E-2</c:v>
                </c:pt>
                <c:pt idx="52">
                  <c:v>4.9547166197970505E-2</c:v>
                </c:pt>
                <c:pt idx="53">
                  <c:v>4.9525183592479483E-2</c:v>
                </c:pt>
                <c:pt idx="54">
                  <c:v>4.949454617579474E-2</c:v>
                </c:pt>
                <c:pt idx="55">
                  <c:v>4.945575443327499E-2</c:v>
                </c:pt>
                <c:pt idx="56">
                  <c:v>4.9409287619135434E-2</c:v>
                </c:pt>
                <c:pt idx="57">
                  <c:v>4.9355604548574128E-2</c:v>
                </c:pt>
                <c:pt idx="58">
                  <c:v>4.929514436296123E-2</c:v>
                </c:pt>
                <c:pt idx="59">
                  <c:v>4.9228327268891592E-2</c:v>
                </c:pt>
                <c:pt idx="60">
                  <c:v>4.9155555251864103E-2</c:v>
                </c:pt>
                <c:pt idx="61">
                  <c:v>4.9077212765361589E-2</c:v>
                </c:pt>
                <c:pt idx="62">
                  <c:v>4.8993667396152185E-2</c:v>
                </c:pt>
                <c:pt idx="63">
                  <c:v>4.890527050641591E-2</c:v>
                </c:pt>
                <c:pt idx="64">
                  <c:v>4.8812357853530663E-2</c:v>
                </c:pt>
                <c:pt idx="65">
                  <c:v>4.8715250188222647E-2</c:v>
                </c:pt>
                <c:pt idx="66">
                  <c:v>4.8614253831616772E-2</c:v>
                </c:pt>
                <c:pt idx="67">
                  <c:v>4.8509661232060797E-2</c:v>
                </c:pt>
                <c:pt idx="68">
                  <c:v>4.8401751502257229E-2</c:v>
                </c:pt>
                <c:pt idx="69">
                  <c:v>4.8290790937326911E-2</c:v>
                </c:pt>
                <c:pt idx="70">
                  <c:v>4.8177033514453127E-2</c:v>
                </c:pt>
                <c:pt idx="71">
                  <c:v>4.8060721374758142E-2</c:v>
                </c:pt>
                <c:pt idx="72">
                  <c:v>4.7942085287886238E-2</c:v>
                </c:pt>
                <c:pt idx="73">
                  <c:v>4.7821345099928081E-2</c:v>
                </c:pt>
                <c:pt idx="74">
                  <c:v>4.769871016529148E-2</c:v>
                </c:pt>
                <c:pt idx="75">
                  <c:v>4.7574379762868491E-2</c:v>
                </c:pt>
                <c:pt idx="76">
                  <c:v>4.744854349728711E-2</c:v>
                </c:pt>
                <c:pt idx="77">
                  <c:v>4.7321381685502928E-2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7-49E7-B2E0-75247EBF8CAB}"/>
            </c:ext>
          </c:extLst>
        </c:ser>
        <c:ser>
          <c:idx val="1"/>
          <c:order val="1"/>
          <c:tx>
            <c:strRef>
              <c:f>'NSS Corporate'!$K$78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'NSS Corporate'!$L$2:$CK$2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Corporate'!$L$78:$CK$78</c:f>
              <c:numCache>
                <c:formatCode>0.00%</c:formatCode>
                <c:ptCount val="78"/>
                <c:pt idx="0">
                  <c:v>1.6787222526608105E-2</c:v>
                </c:pt>
                <c:pt idx="1">
                  <c:v>1.6898380000111735E-2</c:v>
                </c:pt>
                <c:pt idx="2">
                  <c:v>1.7865688058249389E-2</c:v>
                </c:pt>
                <c:pt idx="3">
                  <c:v>1.8802323715751423E-2</c:v>
                </c:pt>
                <c:pt idx="4">
                  <c:v>1.9709191186969871E-2</c:v>
                </c:pt>
                <c:pt idx="5">
                  <c:v>2.0587168711067888E-2</c:v>
                </c:pt>
                <c:pt idx="6">
                  <c:v>2.1437109289184651E-2</c:v>
                </c:pt>
                <c:pt idx="7">
                  <c:v>2.2259841400819387E-2</c:v>
                </c:pt>
                <c:pt idx="8">
                  <c:v>2.3056169700017514E-2</c:v>
                </c:pt>
                <c:pt idx="9">
                  <c:v>2.3826875691926739E-2</c:v>
                </c:pt>
                <c:pt idx="10">
                  <c:v>2.4572718390273661E-2</c:v>
                </c:pt>
                <c:pt idx="11">
                  <c:v>2.5294434956297119E-2</c:v>
                </c:pt>
                <c:pt idx="12">
                  <c:v>2.5992741319658862E-2</c:v>
                </c:pt>
                <c:pt idx="13">
                  <c:v>2.6668332781837681E-2</c:v>
                </c:pt>
                <c:pt idx="14">
                  <c:v>2.732188460249934E-2</c:v>
                </c:pt>
                <c:pt idx="15">
                  <c:v>2.7954052569320126E-2</c:v>
                </c:pt>
                <c:pt idx="16">
                  <c:v>2.856547355172917E-2</c:v>
                </c:pt>
                <c:pt idx="17">
                  <c:v>2.9156766039021259E-2</c:v>
                </c:pt>
                <c:pt idx="18">
                  <c:v>2.9728530663279264E-2</c:v>
                </c:pt>
                <c:pt idx="19">
                  <c:v>3.0281350707533117E-2</c:v>
                </c:pt>
                <c:pt idx="20">
                  <c:v>3.0815792599570152E-2</c:v>
                </c:pt>
                <c:pt idx="21">
                  <c:v>3.1332406391800238E-2</c:v>
                </c:pt>
                <c:pt idx="22">
                  <c:v>3.1831726227567414E-2</c:v>
                </c:pt>
                <c:pt idx="23">
                  <c:v>3.2314270794289342E-2</c:v>
                </c:pt>
                <c:pt idx="24">
                  <c:v>3.278054376379462E-2</c:v>
                </c:pt>
                <c:pt idx="25">
                  <c:v>3.3231034220218045E-2</c:v>
                </c:pt>
                <c:pt idx="26">
                  <c:v>3.3666217075803542E-2</c:v>
                </c:pt>
                <c:pt idx="27">
                  <c:v>3.4086553474955011E-2</c:v>
                </c:pt>
                <c:pt idx="28">
                  <c:v>3.4492491186865343E-2</c:v>
                </c:pt>
                <c:pt idx="29">
                  <c:v>3.4884464987045047E-2</c:v>
                </c:pt>
                <c:pt idx="30">
                  <c:v>3.5262897028062616E-2</c:v>
                </c:pt>
                <c:pt idx="31">
                  <c:v>3.5628197199800135E-2</c:v>
                </c:pt>
                <c:pt idx="32">
                  <c:v>3.5980763479519159E-2</c:v>
                </c:pt>
                <c:pt idx="33">
                  <c:v>3.6320982272023482E-2</c:v>
                </c:pt>
                <c:pt idx="34">
                  <c:v>3.6649228740197506E-2</c:v>
                </c:pt>
                <c:pt idx="35">
                  <c:v>3.6965867126191113E-2</c:v>
                </c:pt>
                <c:pt idx="36">
                  <c:v>3.7271251063514074E-2</c:v>
                </c:pt>
                <c:pt idx="37">
                  <c:v>3.7565723880296185E-2</c:v>
                </c:pt>
                <c:pt idx="38">
                  <c:v>3.7849618893961601E-2</c:v>
                </c:pt>
                <c:pt idx="39">
                  <c:v>3.8123259697559003E-2</c:v>
                </c:pt>
                <c:pt idx="40">
                  <c:v>3.8386960437982925E-2</c:v>
                </c:pt>
                <c:pt idx="41">
                  <c:v>3.8641026086314055E-2</c:v>
                </c:pt>
                <c:pt idx="42">
                  <c:v>3.8885752700500875E-2</c:v>
                </c:pt>
                <c:pt idx="43">
                  <c:v>3.9121427680598161E-2</c:v>
                </c:pt>
                <c:pt idx="44">
                  <c:v>3.9348330016771925E-2</c:v>
                </c:pt>
                <c:pt idx="45">
                  <c:v>3.956673053027486E-2</c:v>
                </c:pt>
                <c:pt idx="46">
                  <c:v>3.9776892107589917E-2</c:v>
                </c:pt>
                <c:pt idx="47">
                  <c:v>3.9979069927934985E-2</c:v>
                </c:pt>
                <c:pt idx="48">
                  <c:v>4.0173511684315294E-2</c:v>
                </c:pt>
                <c:pt idx="49">
                  <c:v>4.0360457798305757E-2</c:v>
                </c:pt>
                <c:pt idx="50">
                  <c:v>4.0540141628739819E-2</c:v>
                </c:pt>
                <c:pt idx="51">
                  <c:v>4.0712789674476536E-2</c:v>
                </c:pt>
                <c:pt idx="52">
                  <c:v>4.0878621771412937E-2</c:v>
                </c:pt>
                <c:pt idx="53">
                  <c:v>4.1037851283903949E-2</c:v>
                </c:pt>
                <c:pt idx="54">
                  <c:v>4.1190685290747438E-2</c:v>
                </c:pt>
                <c:pt idx="55">
                  <c:v>4.133732476588782E-2</c:v>
                </c:pt>
                <c:pt idx="56">
                  <c:v>4.1477964753987066E-2</c:v>
                </c:pt>
                <c:pt idx="57">
                  <c:v>4.1612794541007983E-2</c:v>
                </c:pt>
                <c:pt idx="58">
                  <c:v>4.1741997819950499E-2</c:v>
                </c:pt>
                <c:pt idx="59">
                  <c:v>4.1865752851877616E-2</c:v>
                </c:pt>
                <c:pt idx="60">
                  <c:v>4.1984232622364073E-2</c:v>
                </c:pt>
                <c:pt idx="61">
                  <c:v>4.2097604993496796E-2</c:v>
                </c:pt>
                <c:pt idx="62">
                  <c:v>4.2206032851552798E-2</c:v>
                </c:pt>
                <c:pt idx="63">
                  <c:v>4.230967425047652E-2</c:v>
                </c:pt>
                <c:pt idx="64">
                  <c:v>4.2408682551275168E-2</c:v>
                </c:pt>
                <c:pt idx="65">
                  <c:v>4.2503206557447382E-2</c:v>
                </c:pt>
                <c:pt idx="66">
                  <c:v>4.2593390646557198E-2</c:v>
                </c:pt>
                <c:pt idx="67">
                  <c:v>4.2679374898062283E-2</c:v>
                </c:pt>
                <c:pt idx="68">
                  <c:v>4.2761295217502118E-2</c:v>
                </c:pt>
                <c:pt idx="69">
                  <c:v>4.2839283457149102E-2</c:v>
                </c:pt>
                <c:pt idx="70">
                  <c:v>4.2913467533222435E-2</c:v>
                </c:pt>
                <c:pt idx="71">
                  <c:v>4.2983971539761995E-2</c:v>
                </c:pt>
                <c:pt idx="72">
                  <c:v>4.3050915859256522E-2</c:v>
                </c:pt>
                <c:pt idx="73">
                  <c:v>4.3114417270117965E-2</c:v>
                </c:pt>
                <c:pt idx="74">
                  <c:v>4.3174589051091082E-2</c:v>
                </c:pt>
                <c:pt idx="75">
                  <c:v>4.3231541082684996E-2</c:v>
                </c:pt>
                <c:pt idx="76">
                  <c:v>4.3285379945710939E-2</c:v>
                </c:pt>
                <c:pt idx="77">
                  <c:v>4.3336209017007972E-2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7-49E7-B2E0-75247EBF8CAB}"/>
            </c:ext>
          </c:extLst>
        </c:ser>
        <c:ser>
          <c:idx val="2"/>
          <c:order val="4"/>
          <c:tx>
            <c:strRef>
              <c:f>'NSS Corporate'!$EC$1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'NSS Corporate'!$A$3:$A$76</c:f>
              <c:numCache>
                <c:formatCode>0.0</c:formatCode>
                <c:ptCount val="74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'NSS Corporate'!$EC$2:$EC$245</c:f>
              <c:numCache>
                <c:formatCode>General</c:formatCode>
                <c:ptCount val="24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F7-49E7-B2E0-75247EBF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'NSS Corporate'!$EE$1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'NSS Corporate'!$A$3:$A$76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'NSS Corporate'!$EE$2:$EE$245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AF7-49E7-B2E0-75247EBF8CA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Corporate'!$ED$1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F7-49E7-B2E0-75247EBF8CAB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'NSS Corporate'!$J$81</c:f>
              <c:strCache>
                <c:ptCount val="1"/>
                <c:pt idx="0">
                  <c:v>Forward credit spread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'NSS Corporate'!$L$2:$CK$2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'NSS Corporate'!$L$81:$CK$81</c:f>
              <c:numCache>
                <c:formatCode>General</c:formatCode>
                <c:ptCount val="78"/>
                <c:pt idx="2" formatCode="0.00%">
                  <c:v>3.8507625787416178E-3</c:v>
                </c:pt>
                <c:pt idx="3" formatCode="0.00%">
                  <c:v>5.0934518589456079E-3</c:v>
                </c:pt>
                <c:pt idx="4" formatCode="0.00%">
                  <c:v>5.8554488424598095E-3</c:v>
                </c:pt>
                <c:pt idx="5" formatCode="0.00%">
                  <c:v>6.2720590476241789E-3</c:v>
                </c:pt>
                <c:pt idx="6" formatCode="0.00%">
                  <c:v>6.4152642156258821E-3</c:v>
                </c:pt>
                <c:pt idx="7" formatCode="0.00%">
                  <c:v>6.3450579214971992E-3</c:v>
                </c:pt>
                <c:pt idx="8" formatCode="0.00%">
                  <c:v>6.1112423475606636E-3</c:v>
                </c:pt>
                <c:pt idx="9" formatCode="0.00%">
                  <c:v>5.754962366810723E-3</c:v>
                </c:pt>
                <c:pt idx="10" formatCode="0.00%">
                  <c:v>5.3100180476521874E-3</c:v>
                </c:pt>
                <c:pt idx="11" formatCode="0.00%">
                  <c:v>4.8039891067399587E-3</c:v>
                </c:pt>
                <c:pt idx="12" formatCode="0.00%">
                  <c:v>4.2591989449864975E-3</c:v>
                </c:pt>
                <c:pt idx="13" formatCode="0.00%">
                  <c:v>3.6935412750209728E-3</c:v>
                </c:pt>
                <c:pt idx="14" formatCode="0.00%">
                  <c:v>3.1211886719215709E-3</c:v>
                </c:pt>
                <c:pt idx="15" formatCode="0.00%">
                  <c:v>2.5531994212770748E-3</c:v>
                </c:pt>
                <c:pt idx="16" formatCode="0.00%">
                  <c:v>1.9980366290166529E-3</c:v>
                </c:pt>
                <c:pt idx="17" formatCode="0.00%">
                  <c:v>1.4620115704622183E-3</c:v>
                </c:pt>
                <c:pt idx="18" formatCode="0.00%">
                  <c:v>9.4966159857734489E-4</c:v>
                </c:pt>
                <c:pt idx="19" formatCode="0.00%">
                  <c:v>4.6407153423277947E-4</c:v>
                </c:pt>
                <c:pt idx="20" formatCode="0.00%">
                  <c:v>7.1462729043236806E-6</c:v>
                </c:pt>
                <c:pt idx="21" formatCode="0.00%">
                  <c:v>-4.2015867650269101E-4</c:v>
                </c:pt>
                <c:pt idx="22" formatCode="0.00%">
                  <c:v>-8.1764288369390314E-4</c:v>
                </c:pt>
                <c:pt idx="23" formatCode="0.00%">
                  <c:v>-1.185697844790834E-3</c:v>
                </c:pt>
                <c:pt idx="24" formatCode="0.00%">
                  <c:v>-1.5251705735164212E-3</c:v>
                </c:pt>
                <c:pt idx="25" formatCode="0.00%">
                  <c:v>-1.8372501016157283E-3</c:v>
                </c:pt>
                <c:pt idx="26" formatCode="0.00%">
                  <c:v>-2.1233735597716574E-3</c:v>
                </c:pt>
                <c:pt idx="27" formatCode="0.00%">
                  <c:v>-2.3851489521868885E-3</c:v>
                </c:pt>
                <c:pt idx="28" formatCode="0.00%">
                  <c:v>-2.6242921247694451E-3</c:v>
                </c:pt>
                <c:pt idx="29" formatCode="0.00%">
                  <c:v>-2.8425757651204808E-3</c:v>
                </c:pt>
                <c:pt idx="30" formatCode="0.00%">
                  <c:v>-3.0417885683711177E-3</c:v>
                </c:pt>
                <c:pt idx="31" formatCode="0.00%">
                  <c:v>-3.2237029612536272E-3</c:v>
                </c:pt>
                <c:pt idx="32" formatCode="0.00%">
                  <c:v>-3.3900500020860314E-3</c:v>
                </c:pt>
                <c:pt idx="33" formatCode="0.00%">
                  <c:v>-3.5425002708999731E-3</c:v>
                </c:pt>
                <c:pt idx="34" formatCode="0.00%">
                  <c:v>-3.6826497346622578E-3</c:v>
                </c:pt>
                <c:pt idx="35" formatCode="0.00%">
                  <c:v>-3.8120097209419779E-3</c:v>
                </c:pt>
                <c:pt idx="36" formatCode="0.00%">
                  <c:v>-3.9320002620815142E-3</c:v>
                </c:pt>
                <c:pt idx="37" formatCode="0.00%">
                  <c:v>-4.0439461832522117E-3</c:v>
                </c:pt>
                <c:pt idx="38" formatCode="0.00%">
                  <c:v>-4.1490754039488209E-3</c:v>
                </c:pt>
                <c:pt idx="39" formatCode="0.00%">
                  <c:v>-4.2485190052992117E-3</c:v>
                </c:pt>
                <c:pt idx="40" formatCode="0.00%">
                  <c:v>-4.3433126871381678E-3</c:v>
                </c:pt>
                <c:pt idx="41" formatCode="0.00%">
                  <c:v>-4.4343992998259196E-3</c:v>
                </c:pt>
                <c:pt idx="42" formatCode="0.00%">
                  <c:v>-4.5226321882785303E-3</c:v>
                </c:pt>
                <c:pt idx="43" formatCode="0.00%">
                  <c:v>-4.6087791305691184E-3</c:v>
                </c:pt>
                <c:pt idx="44" formatCode="0.00%">
                  <c:v>-4.693526691772032E-3</c:v>
                </c:pt>
                <c:pt idx="45" formatCode="0.00%">
                  <c:v>-4.7774848458927988E-3</c:v>
                </c:pt>
                <c:pt idx="46" formatCode="0.00%">
                  <c:v>-4.8611917466285792E-3</c:v>
                </c:pt>
                <c:pt idx="47" formatCode="0.00%">
                  <c:v>-4.9451185508095907E-3</c:v>
                </c:pt>
                <c:pt idx="48" formatCode="0.00%">
                  <c:v>-5.0296742179287701E-3</c:v>
                </c:pt>
                <c:pt idx="49" formatCode="0.00%">
                  <c:v>-5.1152102259168775E-3</c:v>
                </c:pt>
                <c:pt idx="50" formatCode="0.00%">
                  <c:v>-5.2020251566471387E-3</c:v>
                </c:pt>
                <c:pt idx="51" formatCode="0.00%">
                  <c:v>-5.2903691166057421E-3</c:v>
                </c:pt>
                <c:pt idx="52" formatCode="0.00%">
                  <c:v>-5.3804479672798777E-3</c:v>
                </c:pt>
                <c:pt idx="53" formatCode="0.00%">
                  <c:v>-5.4724273477513297E-3</c:v>
                </c:pt>
                <c:pt idx="54" formatCode="0.00%">
                  <c:v>-5.5664364785130704E-3</c:v>
                </c:pt>
                <c:pt idx="55" formatCode="0.00%">
                  <c:v>-5.6625717404570342E-3</c:v>
                </c:pt>
                <c:pt idx="56" formatCode="0.00%">
                  <c:v>-5.7609000273932676E-3</c:v>
                </c:pt>
                <c:pt idx="57" formatCode="0.00%">
                  <c:v>-5.8614618736059221E-3</c:v>
                </c:pt>
                <c:pt idx="58" formatCode="0.00%">
                  <c:v>-5.964274360620303E-3</c:v>
                </c:pt>
                <c:pt idx="59" formatCode="0.00%">
                  <c:v>-6.0693338093653626E-3</c:v>
                </c:pt>
                <c:pt idx="60" formatCode="0.00%">
                  <c:v>-6.1766182654243718E-3</c:v>
                </c:pt>
                <c:pt idx="61" formatCode="0.00%">
                  <c:v>-6.2860897860139708E-3</c:v>
                </c:pt>
                <c:pt idx="62" formatCode="0.00%">
                  <c:v>-6.3976965382415152E-3</c:v>
                </c:pt>
                <c:pt idx="63" formatCode="0.00%">
                  <c:v>-6.5113747187171001E-3</c:v>
                </c:pt>
                <c:pt idx="64" formatCode="0.00%">
                  <c:v>-6.627050304497395E-3</c:v>
                </c:pt>
                <c:pt idx="65" formatCode="0.00%">
                  <c:v>-6.7446406457791763E-3</c:v>
                </c:pt>
                <c:pt idx="66" formatCode="0.00%">
                  <c:v>-6.8640559105892507E-3</c:v>
                </c:pt>
                <c:pt idx="67" formatCode="0.00%">
                  <c:v>-6.9852003912682648E-3</c:v>
                </c:pt>
                <c:pt idx="68" formatCode="0.00%">
                  <c:v>-7.1079736825923057E-3</c:v>
                </c:pt>
                <c:pt idx="69" formatCode="0.00%">
                  <c:v>-7.2322717409518678E-3</c:v>
                </c:pt>
                <c:pt idx="70" formatCode="0.00%">
                  <c:v>-7.3579878335017224E-3</c:v>
                </c:pt>
                <c:pt idx="71" formatCode="0.00%">
                  <c:v>-7.4850133857202739E-3</c:v>
                </c:pt>
                <c:pt idx="72" formatCode="0.00%">
                  <c:v>-7.6132387357283893E-3</c:v>
                </c:pt>
                <c:pt idx="73" formatCode="0.00%">
                  <c:v>-7.7425538029802787E-3</c:v>
                </c:pt>
                <c:pt idx="74" formatCode="0.00%">
                  <c:v>-7.872848678267097E-3</c:v>
                </c:pt>
                <c:pt idx="75" formatCode="0.00%">
                  <c:v>-8.0040141421873212E-3</c:v>
                </c:pt>
                <c:pt idx="76" formatCode="0.00%">
                  <c:v>-8.1359421181441682E-3</c:v>
                </c:pt>
                <c:pt idx="77" formatCode="0.00%">
                  <c:v>-8.2685260657184845E-3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5-475B-9D9C-4AA65C92C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'NSS Corporate'!$EE$1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'NSS Corporate'!$A$3:$A$76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'NSS Corporate'!$EE$2:$EE$245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85-475B-9D9C-4AA65C92C088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Corporate'!$ED$1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Corporate'!$A$3:$A$76</c15:sqref>
                        </c15:formulaRef>
                      </c:ext>
                    </c:extLst>
                    <c:numCache>
                      <c:formatCode>0.0</c:formatCode>
                      <c:ptCount val="7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'NSS Corporate'!$ED$2:$ED$245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85-475B-9D9C-4AA65C92C088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1039036</xdr:colOff>
      <xdr:row>86</xdr:row>
      <xdr:rowOff>0</xdr:rowOff>
    </xdr:from>
    <xdr:to>
      <xdr:col>12</xdr:col>
      <xdr:colOff>118991</xdr:colOff>
      <xdr:row>107</xdr:row>
      <xdr:rowOff>105340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BBDA3-3D3D-49C9-BF68-44C3C83D5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51901</xdr:colOff>
      <xdr:row>86</xdr:row>
      <xdr:rowOff>0</xdr:rowOff>
    </xdr:from>
    <xdr:to>
      <xdr:col>29</xdr:col>
      <xdr:colOff>23741</xdr:colOff>
      <xdr:row>107</xdr:row>
      <xdr:rowOff>105340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42B0EB-3102-46D0-B93D-39799C4D3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190446</xdr:colOff>
      <xdr:row>113</xdr:row>
      <xdr:rowOff>90493</xdr:rowOff>
    </xdr:from>
    <xdr:to>
      <xdr:col>29</xdr:col>
      <xdr:colOff>162286</xdr:colOff>
      <xdr:row>135</xdr:row>
      <xdr:rowOff>13993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A2BE9D-BE46-4482-9F0D-B413ED514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1013114</xdr:colOff>
      <xdr:row>113</xdr:row>
      <xdr:rowOff>90493</xdr:rowOff>
    </xdr:from>
    <xdr:to>
      <xdr:col>12</xdr:col>
      <xdr:colOff>93069</xdr:colOff>
      <xdr:row>135</xdr:row>
      <xdr:rowOff>13993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96823C-4980-489B-AD69-D8CA854B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99</xdr:col>
      <xdr:colOff>0</xdr:colOff>
      <xdr:row>1</xdr:row>
      <xdr:rowOff>0</xdr:rowOff>
    </xdr:from>
    <xdr:to>
      <xdr:col>128</xdr:col>
      <xdr:colOff>263867</xdr:colOff>
      <xdr:row>23</xdr:row>
      <xdr:rowOff>3253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DCB4B5-0810-44F4-A1F6-8E1ABBEC2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86</xdr:row>
      <xdr:rowOff>0</xdr:rowOff>
    </xdr:from>
    <xdr:to>
      <xdr:col>45</xdr:col>
      <xdr:colOff>247774</xdr:colOff>
      <xdr:row>107</xdr:row>
      <xdr:rowOff>105337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9688BD-8188-4565-B895-FB956D713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109</xdr:row>
      <xdr:rowOff>149413</xdr:rowOff>
    </xdr:from>
    <xdr:to>
      <xdr:col>45</xdr:col>
      <xdr:colOff>247774</xdr:colOff>
      <xdr:row>131</xdr:row>
      <xdr:rowOff>77323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BE08AC-E39B-48C5-AD3E-BC0FBC057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1039036</xdr:colOff>
      <xdr:row>86</xdr:row>
      <xdr:rowOff>0</xdr:rowOff>
    </xdr:from>
    <xdr:to>
      <xdr:col>12</xdr:col>
      <xdr:colOff>118991</xdr:colOff>
      <xdr:row>107</xdr:row>
      <xdr:rowOff>105340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45913-0E49-495D-9A9B-BCB37E77F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51901</xdr:colOff>
      <xdr:row>86</xdr:row>
      <xdr:rowOff>0</xdr:rowOff>
    </xdr:from>
    <xdr:to>
      <xdr:col>29</xdr:col>
      <xdr:colOff>23741</xdr:colOff>
      <xdr:row>107</xdr:row>
      <xdr:rowOff>105340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75C9B-062A-492D-AD78-0C622ADDB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190446</xdr:colOff>
      <xdr:row>113</xdr:row>
      <xdr:rowOff>90493</xdr:rowOff>
    </xdr:from>
    <xdr:to>
      <xdr:col>29</xdr:col>
      <xdr:colOff>162286</xdr:colOff>
      <xdr:row>135</xdr:row>
      <xdr:rowOff>13993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8A18C-0559-44E1-9063-2BF5AC1E3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1013114</xdr:colOff>
      <xdr:row>113</xdr:row>
      <xdr:rowOff>90493</xdr:rowOff>
    </xdr:from>
    <xdr:to>
      <xdr:col>12</xdr:col>
      <xdr:colOff>93069</xdr:colOff>
      <xdr:row>135</xdr:row>
      <xdr:rowOff>13993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5D9A36-5507-4139-A517-E666D6167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99</xdr:col>
      <xdr:colOff>0</xdr:colOff>
      <xdr:row>1</xdr:row>
      <xdr:rowOff>0</xdr:rowOff>
    </xdr:from>
    <xdr:to>
      <xdr:col>128</xdr:col>
      <xdr:colOff>263867</xdr:colOff>
      <xdr:row>23</xdr:row>
      <xdr:rowOff>3253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7C39CB-B008-442B-AF34-1269B5343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86</xdr:row>
      <xdr:rowOff>0</xdr:rowOff>
    </xdr:from>
    <xdr:to>
      <xdr:col>45</xdr:col>
      <xdr:colOff>247774</xdr:colOff>
      <xdr:row>107</xdr:row>
      <xdr:rowOff>105337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0CB42B-2FB1-4840-8436-6D2B046AC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114</xdr:row>
      <xdr:rowOff>158750</xdr:rowOff>
    </xdr:from>
    <xdr:to>
      <xdr:col>45</xdr:col>
      <xdr:colOff>247774</xdr:colOff>
      <xdr:row>136</xdr:row>
      <xdr:rowOff>82659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29504A-73C0-4CCB-88D4-C90C3E174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9A8C-6D6E-4B76-96DE-29CFA7EB4AF0}">
  <sheetPr>
    <tabColor theme="4"/>
  </sheetPr>
  <dimension ref="A1:AA327"/>
  <sheetViews>
    <sheetView tabSelected="1" topLeftCell="R1" zoomScale="149" workbookViewId="0">
      <selection activeCell="Y2" sqref="Y2"/>
    </sheetView>
  </sheetViews>
  <sheetFormatPr defaultRowHeight="14.25" x14ac:dyDescent="0.45"/>
  <cols>
    <col min="1" max="1" width="13.59765625" bestFit="1" customWidth="1"/>
    <col min="2" max="2" width="29.46484375" bestFit="1" customWidth="1"/>
    <col min="3" max="3" width="5.3984375" bestFit="1" customWidth="1"/>
    <col min="4" max="4" width="12.9296875" bestFit="1" customWidth="1"/>
    <col min="5" max="5" width="7.796875" bestFit="1" customWidth="1"/>
    <col min="6" max="6" width="9.9296875" bestFit="1" customWidth="1"/>
    <col min="7" max="7" width="10.86328125" bestFit="1" customWidth="1"/>
    <col min="8" max="8" width="15.46484375" bestFit="1" customWidth="1"/>
    <col min="9" max="9" width="6.9296875" bestFit="1" customWidth="1"/>
    <col min="10" max="10" width="16.33203125" bestFit="1" customWidth="1"/>
    <col min="11" max="11" width="16.1328125" bestFit="1" customWidth="1"/>
    <col min="12" max="13" width="7.73046875" bestFit="1" customWidth="1"/>
    <col min="14" max="14" width="10.3984375" bestFit="1" customWidth="1"/>
    <col min="15" max="15" width="13" bestFit="1" customWidth="1"/>
    <col min="16" max="16" width="23.59765625" bestFit="1" customWidth="1"/>
    <col min="17" max="17" width="9.9296875" style="59" bestFit="1" customWidth="1"/>
    <col min="18" max="18" width="19.86328125" style="59" bestFit="1" customWidth="1"/>
    <col min="19" max="19" width="11.73046875" bestFit="1" customWidth="1"/>
    <col min="20" max="20" width="8.73046875" bestFit="1" customWidth="1"/>
    <col min="21" max="21" width="3.73046875" bestFit="1" customWidth="1"/>
    <col min="22" max="22" width="11.33203125" bestFit="1" customWidth="1"/>
    <col min="23" max="23" width="8" bestFit="1" customWidth="1"/>
    <col min="24" max="24" width="10.1328125" bestFit="1" customWidth="1"/>
    <col min="25" max="25" width="13.53125" bestFit="1" customWidth="1"/>
    <col min="26" max="27" width="11.73046875" bestFit="1" customWidth="1"/>
  </cols>
  <sheetData>
    <row r="1" spans="1:27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3</v>
      </c>
      <c r="G1" t="s">
        <v>234</v>
      </c>
      <c r="H1" t="s">
        <v>235</v>
      </c>
      <c r="I1" t="s">
        <v>4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s="59" t="s">
        <v>243</v>
      </c>
      <c r="R1" s="59" t="s">
        <v>244</v>
      </c>
      <c r="S1" t="s">
        <v>245</v>
      </c>
      <c r="T1" t="s">
        <v>253</v>
      </c>
      <c r="U1" t="s">
        <v>254</v>
      </c>
      <c r="V1" t="s">
        <v>1404</v>
      </c>
      <c r="W1" t="s">
        <v>248</v>
      </c>
      <c r="X1" t="s">
        <v>1405</v>
      </c>
      <c r="Y1" t="s">
        <v>249</v>
      </c>
      <c r="Z1" t="s">
        <v>250</v>
      </c>
      <c r="AA1" t="s">
        <v>2</v>
      </c>
    </row>
    <row r="2" spans="1:27" x14ac:dyDescent="0.45">
      <c r="A2" t="s">
        <v>255</v>
      </c>
      <c r="B2" t="s">
        <v>256</v>
      </c>
      <c r="C2" t="s">
        <v>257</v>
      </c>
      <c r="D2" t="s">
        <v>43</v>
      </c>
      <c r="E2" t="s">
        <v>44</v>
      </c>
      <c r="F2" t="s">
        <v>258</v>
      </c>
      <c r="G2" t="s">
        <v>46</v>
      </c>
      <c r="H2">
        <v>2</v>
      </c>
      <c r="I2">
        <v>5.0000000000000001E-3</v>
      </c>
      <c r="J2">
        <v>0.74800000668121813</v>
      </c>
      <c r="K2">
        <v>0.76600000752848729</v>
      </c>
      <c r="L2">
        <v>99.983000000000004</v>
      </c>
      <c r="M2">
        <v>99.983000000000004</v>
      </c>
      <c r="N2" t="s">
        <v>259</v>
      </c>
      <c r="O2" t="s">
        <v>260</v>
      </c>
      <c r="P2" t="s">
        <v>49</v>
      </c>
      <c r="Q2" s="59">
        <v>44287</v>
      </c>
      <c r="R2" s="59">
        <v>46101</v>
      </c>
      <c r="S2">
        <v>0</v>
      </c>
      <c r="T2">
        <v>99.983000000000004</v>
      </c>
      <c r="U2">
        <v>47</v>
      </c>
      <c r="V2">
        <v>0</v>
      </c>
      <c r="W2">
        <v>5</v>
      </c>
      <c r="X2" s="59">
        <v>45921</v>
      </c>
      <c r="Y2" s="66">
        <f ca="1">((TODAY()-10)-X2)/180</f>
        <v>0.94444444444444442</v>
      </c>
      <c r="Z2" s="66">
        <f ca="1">T2-Y2</f>
        <v>99.038555555555561</v>
      </c>
      <c r="AA2">
        <v>0.75700000710485271</v>
      </c>
    </row>
    <row r="3" spans="1:27" x14ac:dyDescent="0.45">
      <c r="A3" t="s">
        <v>261</v>
      </c>
      <c r="B3" t="s">
        <v>262</v>
      </c>
      <c r="C3" t="s">
        <v>257</v>
      </c>
      <c r="D3" t="s">
        <v>43</v>
      </c>
      <c r="E3" t="s">
        <v>44</v>
      </c>
      <c r="F3" t="s">
        <v>258</v>
      </c>
      <c r="G3" t="s">
        <v>46</v>
      </c>
      <c r="H3">
        <v>2</v>
      </c>
      <c r="I3">
        <v>2.1</v>
      </c>
      <c r="J3">
        <v>0.74799999999936484</v>
      </c>
      <c r="K3">
        <v>0.77100000000052027</v>
      </c>
      <c r="L3">
        <v>100.029</v>
      </c>
      <c r="M3">
        <v>100.029</v>
      </c>
      <c r="N3" t="s">
        <v>263</v>
      </c>
      <c r="O3" t="s">
        <v>264</v>
      </c>
      <c r="P3" t="s">
        <v>49</v>
      </c>
      <c r="Q3" s="59">
        <v>38792</v>
      </c>
      <c r="R3" s="59">
        <v>46101</v>
      </c>
      <c r="S3">
        <v>0</v>
      </c>
      <c r="T3">
        <v>100.029</v>
      </c>
      <c r="U3">
        <v>103</v>
      </c>
      <c r="V3">
        <v>0</v>
      </c>
      <c r="W3">
        <v>20</v>
      </c>
      <c r="X3" s="59">
        <v>45921</v>
      </c>
      <c r="Y3" s="66">
        <f t="shared" ref="Y2:Y65" ca="1" si="0">((TODAY()-10)-X3)/180*(I3/2)</f>
        <v>0.9916666666666667</v>
      </c>
      <c r="Z3" s="66">
        <f t="shared" ref="Z3:Z66" ca="1" si="1">T3-Y3</f>
        <v>99.037333333333336</v>
      </c>
      <c r="AA3">
        <v>0.75949999999994255</v>
      </c>
    </row>
    <row r="4" spans="1:27" x14ac:dyDescent="0.45">
      <c r="A4" t="s">
        <v>265</v>
      </c>
      <c r="B4" t="s">
        <v>262</v>
      </c>
      <c r="C4" t="s">
        <v>257</v>
      </c>
      <c r="D4" t="s">
        <v>43</v>
      </c>
      <c r="E4" t="s">
        <v>44</v>
      </c>
      <c r="F4" t="s">
        <v>258</v>
      </c>
      <c r="G4" t="s">
        <v>46</v>
      </c>
      <c r="H4">
        <v>2</v>
      </c>
      <c r="I4">
        <v>2.2999999999999998</v>
      </c>
      <c r="J4">
        <v>0.73599999999969556</v>
      </c>
      <c r="K4">
        <v>0.76799999999905377</v>
      </c>
      <c r="L4">
        <v>100.03400000000001</v>
      </c>
      <c r="M4">
        <v>100.033</v>
      </c>
      <c r="N4" t="s">
        <v>266</v>
      </c>
      <c r="O4" t="s">
        <v>267</v>
      </c>
      <c r="P4" t="s">
        <v>49</v>
      </c>
      <c r="Q4" s="59">
        <v>38832</v>
      </c>
      <c r="R4" s="59">
        <v>46101</v>
      </c>
      <c r="S4">
        <v>0</v>
      </c>
      <c r="T4">
        <v>100.0335</v>
      </c>
      <c r="U4">
        <v>105</v>
      </c>
      <c r="V4">
        <v>0</v>
      </c>
      <c r="W4">
        <v>20</v>
      </c>
      <c r="X4" s="59">
        <v>45921</v>
      </c>
      <c r="Y4" s="66">
        <f t="shared" ca="1" si="0"/>
        <v>1.086111111111111</v>
      </c>
      <c r="Z4" s="66">
        <f t="shared" ca="1" si="1"/>
        <v>98.947388888888895</v>
      </c>
      <c r="AA4">
        <v>0.75199999999937472</v>
      </c>
    </row>
    <row r="5" spans="1:27" x14ac:dyDescent="0.45">
      <c r="A5" t="s">
        <v>268</v>
      </c>
      <c r="B5" t="s">
        <v>262</v>
      </c>
      <c r="C5" t="s">
        <v>257</v>
      </c>
      <c r="D5" t="s">
        <v>43</v>
      </c>
      <c r="E5" t="s">
        <v>44</v>
      </c>
      <c r="F5" t="s">
        <v>258</v>
      </c>
      <c r="G5" t="s">
        <v>46</v>
      </c>
      <c r="H5">
        <v>2</v>
      </c>
      <c r="I5">
        <v>2.2000000000000002</v>
      </c>
      <c r="J5">
        <v>0.73700000000022381</v>
      </c>
      <c r="K5">
        <v>0.76199999999929613</v>
      </c>
      <c r="L5">
        <v>100.032</v>
      </c>
      <c r="M5">
        <v>100.03100000000001</v>
      </c>
      <c r="N5" t="s">
        <v>269</v>
      </c>
      <c r="O5" t="s">
        <v>270</v>
      </c>
      <c r="P5" t="s">
        <v>49</v>
      </c>
      <c r="Q5" s="59">
        <v>38862</v>
      </c>
      <c r="R5" s="59">
        <v>46101</v>
      </c>
      <c r="S5">
        <v>0</v>
      </c>
      <c r="T5">
        <v>100.03149999999999</v>
      </c>
      <c r="U5">
        <v>106</v>
      </c>
      <c r="V5">
        <v>0</v>
      </c>
      <c r="W5">
        <v>20</v>
      </c>
      <c r="X5" s="59">
        <v>45921</v>
      </c>
      <c r="Y5" s="66">
        <f t="shared" ca="1" si="0"/>
        <v>1.038888888888889</v>
      </c>
      <c r="Z5" s="66">
        <f t="shared" ca="1" si="1"/>
        <v>98.992611111111103</v>
      </c>
      <c r="AA5">
        <v>0.74949999999976002</v>
      </c>
    </row>
    <row r="6" spans="1:27" x14ac:dyDescent="0.45">
      <c r="A6" t="s">
        <v>271</v>
      </c>
      <c r="B6" t="s">
        <v>272</v>
      </c>
      <c r="C6" t="s">
        <v>257</v>
      </c>
      <c r="D6" t="s">
        <v>43</v>
      </c>
      <c r="E6" t="s">
        <v>44</v>
      </c>
      <c r="F6" t="s">
        <v>258</v>
      </c>
      <c r="G6" t="s">
        <v>46</v>
      </c>
      <c r="H6">
        <v>2</v>
      </c>
      <c r="I6">
        <v>0.1</v>
      </c>
      <c r="J6">
        <v>0.74000000286817924</v>
      </c>
      <c r="K6">
        <v>0.76300000357648134</v>
      </c>
      <c r="L6">
        <v>99.984999999999999</v>
      </c>
      <c r="M6">
        <v>99.984999999999999</v>
      </c>
      <c r="N6" t="s">
        <v>273</v>
      </c>
      <c r="O6" t="s">
        <v>274</v>
      </c>
      <c r="P6" t="s">
        <v>49</v>
      </c>
      <c r="Q6" s="59">
        <v>42430</v>
      </c>
      <c r="R6" s="59">
        <v>46101</v>
      </c>
      <c r="S6">
        <v>0</v>
      </c>
      <c r="T6">
        <v>99.984999999999999</v>
      </c>
      <c r="U6">
        <v>206</v>
      </c>
      <c r="V6">
        <v>0</v>
      </c>
      <c r="W6">
        <v>10</v>
      </c>
      <c r="X6" s="59">
        <v>45921</v>
      </c>
      <c r="Y6" s="66">
        <f t="shared" ca="1" si="0"/>
        <v>4.7222222222222221E-2</v>
      </c>
      <c r="Z6" s="66">
        <f t="shared" ca="1" si="1"/>
        <v>99.937777777777782</v>
      </c>
      <c r="AA6">
        <v>0.75150000322233024</v>
      </c>
    </row>
    <row r="7" spans="1:27" x14ac:dyDescent="0.45">
      <c r="A7" t="s">
        <v>275</v>
      </c>
      <c r="B7" t="s">
        <v>276</v>
      </c>
      <c r="C7" t="s">
        <v>257</v>
      </c>
      <c r="D7" t="s">
        <v>43</v>
      </c>
      <c r="E7" t="s">
        <v>44</v>
      </c>
      <c r="F7" t="s">
        <v>277</v>
      </c>
      <c r="G7" t="s">
        <v>46</v>
      </c>
      <c r="H7">
        <v>2</v>
      </c>
      <c r="I7">
        <v>0.2</v>
      </c>
      <c r="J7">
        <v>0.73500000326512127</v>
      </c>
      <c r="K7">
        <v>0.75800000574591553</v>
      </c>
      <c r="L7">
        <v>99.97</v>
      </c>
      <c r="M7">
        <v>99.968999999999994</v>
      </c>
      <c r="N7" t="s">
        <v>278</v>
      </c>
      <c r="O7" t="s">
        <v>279</v>
      </c>
      <c r="P7" t="s">
        <v>49</v>
      </c>
      <c r="Q7" s="59">
        <v>45373</v>
      </c>
      <c r="R7" s="59">
        <v>46113</v>
      </c>
      <c r="S7">
        <v>3.2854209445585217E-2</v>
      </c>
      <c r="T7">
        <v>99.969499999999996</v>
      </c>
      <c r="U7">
        <v>280</v>
      </c>
      <c r="V7">
        <v>0</v>
      </c>
      <c r="W7">
        <v>2</v>
      </c>
      <c r="X7" s="59">
        <v>45933</v>
      </c>
      <c r="Y7" s="66">
        <f t="shared" ca="1" si="0"/>
        <v>8.7777777777777788E-2</v>
      </c>
      <c r="Z7" s="66">
        <f t="shared" ca="1" si="1"/>
        <v>99.881722222222223</v>
      </c>
      <c r="AA7">
        <v>0.74650000450551834</v>
      </c>
    </row>
    <row r="8" spans="1:27" x14ac:dyDescent="0.45">
      <c r="A8" t="s">
        <v>280</v>
      </c>
      <c r="B8" t="s">
        <v>276</v>
      </c>
      <c r="C8" t="s">
        <v>257</v>
      </c>
      <c r="D8" t="s">
        <v>43</v>
      </c>
      <c r="E8" t="s">
        <v>44</v>
      </c>
      <c r="F8" t="s">
        <v>281</v>
      </c>
      <c r="G8" t="s">
        <v>46</v>
      </c>
      <c r="H8">
        <v>2</v>
      </c>
      <c r="I8">
        <v>0.3</v>
      </c>
      <c r="J8">
        <v>0.75000000000001288</v>
      </c>
      <c r="K8">
        <v>0.77300000000015368</v>
      </c>
      <c r="L8">
        <v>99.938000000000002</v>
      </c>
      <c r="M8">
        <v>99.935000000000002</v>
      </c>
      <c r="N8" t="s">
        <v>282</v>
      </c>
      <c r="O8" t="s">
        <v>283</v>
      </c>
      <c r="P8" t="s">
        <v>49</v>
      </c>
      <c r="Q8" s="59">
        <v>45398</v>
      </c>
      <c r="R8" s="59">
        <v>46143</v>
      </c>
      <c r="S8">
        <v>0.11498973305954825</v>
      </c>
      <c r="T8">
        <v>99.936499999999995</v>
      </c>
      <c r="U8">
        <v>285</v>
      </c>
      <c r="V8">
        <v>0</v>
      </c>
      <c r="W8">
        <v>2</v>
      </c>
      <c r="X8" s="59">
        <v>45963</v>
      </c>
      <c r="Y8" s="66">
        <f t="shared" ca="1" si="0"/>
        <v>0.10666666666666667</v>
      </c>
      <c r="Z8" s="66">
        <f t="shared" ca="1" si="1"/>
        <v>99.829833333333326</v>
      </c>
      <c r="AA8">
        <v>0.76150000000008333</v>
      </c>
    </row>
    <row r="9" spans="1:27" x14ac:dyDescent="0.45">
      <c r="A9" t="s">
        <v>284</v>
      </c>
      <c r="B9" t="s">
        <v>276</v>
      </c>
      <c r="C9" t="s">
        <v>257</v>
      </c>
      <c r="D9" t="s">
        <v>43</v>
      </c>
      <c r="E9" t="s">
        <v>44</v>
      </c>
      <c r="F9" t="s">
        <v>141</v>
      </c>
      <c r="G9" t="s">
        <v>46</v>
      </c>
      <c r="H9">
        <v>2</v>
      </c>
      <c r="I9">
        <v>0.4</v>
      </c>
      <c r="J9">
        <v>0.76299999999997958</v>
      </c>
      <c r="K9">
        <v>0.78500000000007186</v>
      </c>
      <c r="L9">
        <v>99.918999999999997</v>
      </c>
      <c r="M9">
        <v>99.914000000000001</v>
      </c>
      <c r="N9" t="s">
        <v>285</v>
      </c>
      <c r="O9" t="s">
        <v>286</v>
      </c>
      <c r="P9" t="s">
        <v>49</v>
      </c>
      <c r="Q9" s="59">
        <v>45435</v>
      </c>
      <c r="R9" s="59">
        <v>46174</v>
      </c>
      <c r="S9">
        <v>0.1998631074606434</v>
      </c>
      <c r="T9">
        <v>99.916499999999999</v>
      </c>
      <c r="U9">
        <v>278</v>
      </c>
      <c r="V9">
        <v>0</v>
      </c>
      <c r="W9">
        <v>2</v>
      </c>
      <c r="X9" s="59">
        <v>45994</v>
      </c>
      <c r="Y9" s="66">
        <f t="shared" ca="1" si="0"/>
        <v>0.10777777777777778</v>
      </c>
      <c r="Z9" s="66">
        <f t="shared" ca="1" si="1"/>
        <v>99.808722222222215</v>
      </c>
      <c r="AA9">
        <v>0.77400000000002578</v>
      </c>
    </row>
    <row r="10" spans="1:27" x14ac:dyDescent="0.45">
      <c r="A10" t="s">
        <v>287</v>
      </c>
      <c r="B10" t="s">
        <v>256</v>
      </c>
      <c r="C10" t="s">
        <v>257</v>
      </c>
      <c r="D10" t="s">
        <v>43</v>
      </c>
      <c r="E10" t="s">
        <v>44</v>
      </c>
      <c r="F10" t="s">
        <v>288</v>
      </c>
      <c r="G10" t="s">
        <v>46</v>
      </c>
      <c r="H10">
        <v>2</v>
      </c>
      <c r="I10">
        <v>5.0000000000000001E-3</v>
      </c>
      <c r="J10">
        <v>0.78000000000208691</v>
      </c>
      <c r="K10">
        <v>0.80300000000260652</v>
      </c>
      <c r="L10">
        <v>99.787999999999997</v>
      </c>
      <c r="M10">
        <v>99.781000000000006</v>
      </c>
      <c r="N10" t="s">
        <v>289</v>
      </c>
      <c r="O10" t="s">
        <v>290</v>
      </c>
      <c r="P10" t="s">
        <v>291</v>
      </c>
      <c r="Q10" s="59">
        <v>44378</v>
      </c>
      <c r="R10" s="59">
        <v>46193</v>
      </c>
      <c r="S10">
        <v>0.2518822724161533</v>
      </c>
      <c r="T10">
        <v>99.784500000000008</v>
      </c>
      <c r="U10">
        <v>52</v>
      </c>
      <c r="V10">
        <v>0</v>
      </c>
      <c r="W10">
        <v>5</v>
      </c>
      <c r="X10" s="59">
        <v>46013</v>
      </c>
      <c r="Y10" s="66">
        <f t="shared" ca="1" si="0"/>
        <v>1.0833333333333335E-3</v>
      </c>
      <c r="Z10" s="66">
        <f t="shared" ca="1" si="1"/>
        <v>99.783416666666682</v>
      </c>
      <c r="AA10">
        <v>0.79150000000234666</v>
      </c>
    </row>
    <row r="11" spans="1:27" x14ac:dyDescent="0.45">
      <c r="A11" t="s">
        <v>292</v>
      </c>
      <c r="B11" t="s">
        <v>262</v>
      </c>
      <c r="C11" t="s">
        <v>257</v>
      </c>
      <c r="D11" t="s">
        <v>43</v>
      </c>
      <c r="E11" t="s">
        <v>44</v>
      </c>
      <c r="F11" t="s">
        <v>288</v>
      </c>
      <c r="G11" t="s">
        <v>46</v>
      </c>
      <c r="H11">
        <v>2</v>
      </c>
      <c r="I11">
        <v>2.2999999999999998</v>
      </c>
      <c r="J11">
        <v>0.78599999982026514</v>
      </c>
      <c r="K11">
        <v>0.80999999983663351</v>
      </c>
      <c r="L11">
        <v>100.413</v>
      </c>
      <c r="M11">
        <v>100.407</v>
      </c>
      <c r="N11" t="s">
        <v>293</v>
      </c>
      <c r="O11" t="s">
        <v>294</v>
      </c>
      <c r="P11" t="s">
        <v>49</v>
      </c>
      <c r="Q11" s="59">
        <v>38888</v>
      </c>
      <c r="R11" s="59">
        <v>46193</v>
      </c>
      <c r="S11">
        <v>0.2518822724161533</v>
      </c>
      <c r="T11">
        <v>100.41</v>
      </c>
      <c r="U11">
        <v>107</v>
      </c>
      <c r="V11">
        <v>0</v>
      </c>
      <c r="W11">
        <v>20</v>
      </c>
      <c r="X11" s="59">
        <v>46013</v>
      </c>
      <c r="Y11" s="66">
        <f t="shared" ca="1" si="0"/>
        <v>0.49833333333333329</v>
      </c>
      <c r="Z11" s="66">
        <f t="shared" ca="1" si="1"/>
        <v>99.911666666666662</v>
      </c>
      <c r="AA11">
        <v>0.79799999982844927</v>
      </c>
    </row>
    <row r="12" spans="1:27" x14ac:dyDescent="0.45">
      <c r="A12" t="s">
        <v>295</v>
      </c>
      <c r="B12" t="s">
        <v>262</v>
      </c>
      <c r="C12" t="s">
        <v>257</v>
      </c>
      <c r="D12" t="s">
        <v>43</v>
      </c>
      <c r="E12" t="s">
        <v>44</v>
      </c>
      <c r="F12" t="s">
        <v>288</v>
      </c>
      <c r="G12" t="s">
        <v>46</v>
      </c>
      <c r="H12">
        <v>2</v>
      </c>
      <c r="I12">
        <v>2.2000000000000002</v>
      </c>
      <c r="J12">
        <v>0.77999999987736057</v>
      </c>
      <c r="K12">
        <v>0.80999999989240323</v>
      </c>
      <c r="L12">
        <v>100.38800000000001</v>
      </c>
      <c r="M12">
        <v>100.379</v>
      </c>
      <c r="N12" t="s">
        <v>296</v>
      </c>
      <c r="O12" t="s">
        <v>297</v>
      </c>
      <c r="P12" t="s">
        <v>49</v>
      </c>
      <c r="Q12" s="59">
        <v>38953</v>
      </c>
      <c r="R12" s="59">
        <v>46193</v>
      </c>
      <c r="S12">
        <v>0.2518822724161533</v>
      </c>
      <c r="T12">
        <v>100.3835</v>
      </c>
      <c r="U12">
        <v>109</v>
      </c>
      <c r="V12">
        <v>0</v>
      </c>
      <c r="W12">
        <v>20</v>
      </c>
      <c r="X12" s="59">
        <v>46013</v>
      </c>
      <c r="Y12" s="66">
        <f t="shared" ca="1" si="0"/>
        <v>0.47666666666666674</v>
      </c>
      <c r="Z12" s="66">
        <f t="shared" ca="1" si="1"/>
        <v>99.906833333333324</v>
      </c>
      <c r="AA12">
        <v>0.7949999998848819</v>
      </c>
    </row>
    <row r="13" spans="1:27" x14ac:dyDescent="0.45">
      <c r="A13" t="s">
        <v>298</v>
      </c>
      <c r="B13" t="s">
        <v>272</v>
      </c>
      <c r="C13" t="s">
        <v>257</v>
      </c>
      <c r="D13" t="s">
        <v>43</v>
      </c>
      <c r="E13" t="s">
        <v>44</v>
      </c>
      <c r="F13" t="s">
        <v>288</v>
      </c>
      <c r="G13" t="s">
        <v>46</v>
      </c>
      <c r="H13">
        <v>2</v>
      </c>
      <c r="I13">
        <v>0.1</v>
      </c>
      <c r="J13">
        <v>0.77200000000052893</v>
      </c>
      <c r="K13">
        <v>0.79400000000069337</v>
      </c>
      <c r="L13">
        <v>99.816000000000003</v>
      </c>
      <c r="M13">
        <v>99.81</v>
      </c>
      <c r="N13" t="s">
        <v>299</v>
      </c>
      <c r="O13" t="s">
        <v>300</v>
      </c>
      <c r="P13" t="s">
        <v>49</v>
      </c>
      <c r="Q13" s="59">
        <v>42523</v>
      </c>
      <c r="R13" s="59">
        <v>46193</v>
      </c>
      <c r="S13">
        <v>0.2518822724161533</v>
      </c>
      <c r="T13">
        <v>99.813000000000002</v>
      </c>
      <c r="U13">
        <v>212</v>
      </c>
      <c r="V13">
        <v>0</v>
      </c>
      <c r="W13">
        <v>10</v>
      </c>
      <c r="X13" s="59">
        <v>46013</v>
      </c>
      <c r="Y13" s="66">
        <f t="shared" ca="1" si="0"/>
        <v>2.1666666666666667E-2</v>
      </c>
      <c r="Z13" s="66">
        <f t="shared" ca="1" si="1"/>
        <v>99.791333333333341</v>
      </c>
      <c r="AA13">
        <v>0.78300000000061121</v>
      </c>
    </row>
    <row r="14" spans="1:27" x14ac:dyDescent="0.45">
      <c r="A14" t="s">
        <v>301</v>
      </c>
      <c r="B14" t="s">
        <v>276</v>
      </c>
      <c r="C14" t="s">
        <v>257</v>
      </c>
      <c r="D14" t="s">
        <v>43</v>
      </c>
      <c r="E14" t="s">
        <v>44</v>
      </c>
      <c r="F14" t="s">
        <v>302</v>
      </c>
      <c r="G14" t="s">
        <v>46</v>
      </c>
      <c r="H14">
        <v>2</v>
      </c>
      <c r="I14">
        <v>0.4</v>
      </c>
      <c r="J14">
        <v>0.79000000000009518</v>
      </c>
      <c r="K14">
        <v>0.81299999999999473</v>
      </c>
      <c r="L14">
        <v>99.881</v>
      </c>
      <c r="M14">
        <v>99.873999999999995</v>
      </c>
      <c r="N14" t="s">
        <v>303</v>
      </c>
      <c r="O14" t="s">
        <v>304</v>
      </c>
      <c r="P14" t="s">
        <v>49</v>
      </c>
      <c r="Q14" s="59">
        <v>45463</v>
      </c>
      <c r="R14" s="59">
        <v>46204</v>
      </c>
      <c r="S14">
        <v>0.28199863107460643</v>
      </c>
      <c r="T14">
        <v>99.877499999999998</v>
      </c>
      <c r="U14">
        <v>268</v>
      </c>
      <c r="V14">
        <v>0</v>
      </c>
      <c r="W14">
        <v>2</v>
      </c>
      <c r="X14" s="59">
        <v>46024</v>
      </c>
      <c r="Y14" s="66">
        <f t="shared" ca="1" si="0"/>
        <v>7.4444444444444452E-2</v>
      </c>
      <c r="Z14" s="66">
        <f t="shared" ca="1" si="1"/>
        <v>99.803055555555559</v>
      </c>
      <c r="AA14">
        <v>0.80150000000004495</v>
      </c>
    </row>
    <row r="15" spans="1:27" x14ac:dyDescent="0.45">
      <c r="A15" t="s">
        <v>305</v>
      </c>
      <c r="B15" t="s">
        <v>276</v>
      </c>
      <c r="C15" t="s">
        <v>257</v>
      </c>
      <c r="D15" t="s">
        <v>43</v>
      </c>
      <c r="E15" t="s">
        <v>44</v>
      </c>
      <c r="F15" t="s">
        <v>306</v>
      </c>
      <c r="G15" t="s">
        <v>46</v>
      </c>
      <c r="H15">
        <v>2</v>
      </c>
      <c r="I15">
        <v>0.4</v>
      </c>
      <c r="J15">
        <v>0.82400000000008433</v>
      </c>
      <c r="K15">
        <v>0.84700000000012676</v>
      </c>
      <c r="L15">
        <v>99.834999999999994</v>
      </c>
      <c r="M15">
        <v>99.825999999999993</v>
      </c>
      <c r="N15" t="s">
        <v>307</v>
      </c>
      <c r="O15" t="s">
        <v>308</v>
      </c>
      <c r="P15" t="s">
        <v>49</v>
      </c>
      <c r="Q15" s="59">
        <v>45492</v>
      </c>
      <c r="R15" s="59">
        <v>46235</v>
      </c>
      <c r="S15">
        <v>0.36687200547570159</v>
      </c>
      <c r="T15">
        <v>99.830500000000001</v>
      </c>
      <c r="U15">
        <v>274</v>
      </c>
      <c r="V15">
        <v>0</v>
      </c>
      <c r="W15">
        <v>2</v>
      </c>
      <c r="X15" s="59">
        <v>46055</v>
      </c>
      <c r="Y15" s="66">
        <f t="shared" ca="1" si="0"/>
        <v>4.0000000000000008E-2</v>
      </c>
      <c r="Z15" s="66">
        <f t="shared" ca="1" si="1"/>
        <v>99.790499999999994</v>
      </c>
      <c r="AA15">
        <v>0.8355000000001056</v>
      </c>
    </row>
    <row r="16" spans="1:27" x14ac:dyDescent="0.45">
      <c r="A16" t="s">
        <v>309</v>
      </c>
      <c r="B16" t="s">
        <v>276</v>
      </c>
      <c r="C16" t="s">
        <v>257</v>
      </c>
      <c r="D16" t="s">
        <v>43</v>
      </c>
      <c r="E16" t="s">
        <v>44</v>
      </c>
      <c r="F16" t="s">
        <v>310</v>
      </c>
      <c r="G16" t="s">
        <v>46</v>
      </c>
      <c r="H16">
        <v>2</v>
      </c>
      <c r="I16">
        <v>0.4</v>
      </c>
      <c r="J16">
        <v>0.85300000000007992</v>
      </c>
      <c r="K16">
        <v>0.87600000000003142</v>
      </c>
      <c r="L16">
        <v>99.786000000000001</v>
      </c>
      <c r="M16">
        <v>99.775000000000006</v>
      </c>
      <c r="N16" t="s">
        <v>311</v>
      </c>
      <c r="O16" t="s">
        <v>312</v>
      </c>
      <c r="P16" t="s">
        <v>49</v>
      </c>
      <c r="Q16" s="59">
        <v>45526</v>
      </c>
      <c r="R16" s="59">
        <v>46266</v>
      </c>
      <c r="S16">
        <v>0.45174537987679669</v>
      </c>
      <c r="T16">
        <v>99.780500000000004</v>
      </c>
      <c r="U16">
        <v>266</v>
      </c>
      <c r="V16">
        <v>0</v>
      </c>
      <c r="W16">
        <v>2</v>
      </c>
      <c r="X16" s="59">
        <v>46086</v>
      </c>
      <c r="Y16" s="66">
        <f t="shared" ca="1" si="0"/>
        <v>5.5555555555555558E-3</v>
      </c>
      <c r="Z16" s="66">
        <f t="shared" ca="1" si="1"/>
        <v>99.774944444444444</v>
      </c>
      <c r="AA16">
        <v>0.86450000000005567</v>
      </c>
    </row>
    <row r="17" spans="1:27" x14ac:dyDescent="0.45">
      <c r="A17" t="s">
        <v>313</v>
      </c>
      <c r="B17" t="s">
        <v>256</v>
      </c>
      <c r="C17" t="s">
        <v>257</v>
      </c>
      <c r="D17" t="s">
        <v>43</v>
      </c>
      <c r="E17" t="s">
        <v>44</v>
      </c>
      <c r="F17" t="s">
        <v>314</v>
      </c>
      <c r="G17" t="s">
        <v>46</v>
      </c>
      <c r="H17">
        <v>2</v>
      </c>
      <c r="I17">
        <v>5.0000000000000001E-3</v>
      </c>
      <c r="J17">
        <v>0.87299999999121713</v>
      </c>
      <c r="K17">
        <v>0.89599999999030333</v>
      </c>
      <c r="L17">
        <v>99.545000000000002</v>
      </c>
      <c r="M17">
        <v>99.533000000000001</v>
      </c>
      <c r="N17" t="s">
        <v>315</v>
      </c>
      <c r="O17" t="s">
        <v>316</v>
      </c>
      <c r="P17" t="s">
        <v>49</v>
      </c>
      <c r="Q17" s="59">
        <v>44476</v>
      </c>
      <c r="R17" s="59">
        <v>46101</v>
      </c>
      <c r="S17">
        <v>0.50376454483230659</v>
      </c>
      <c r="T17">
        <v>99.539000000000001</v>
      </c>
      <c r="U17">
        <v>56</v>
      </c>
      <c r="V17">
        <v>0.5</v>
      </c>
      <c r="W17">
        <v>5</v>
      </c>
      <c r="X17" s="59">
        <v>45921</v>
      </c>
      <c r="Y17" s="66">
        <f t="shared" ca="1" si="0"/>
        <v>2.3611111111111111E-3</v>
      </c>
      <c r="Z17" s="66">
        <f t="shared" ca="1" si="1"/>
        <v>99.536638888888888</v>
      </c>
      <c r="AA17">
        <v>0.88449999999076023</v>
      </c>
    </row>
    <row r="18" spans="1:27" x14ac:dyDescent="0.45">
      <c r="A18" t="s">
        <v>317</v>
      </c>
      <c r="B18" t="s">
        <v>262</v>
      </c>
      <c r="C18" t="s">
        <v>257</v>
      </c>
      <c r="D18" t="s">
        <v>43</v>
      </c>
      <c r="E18" t="s">
        <v>44</v>
      </c>
      <c r="F18" t="s">
        <v>314</v>
      </c>
      <c r="G18" t="s">
        <v>46</v>
      </c>
      <c r="H18">
        <v>2</v>
      </c>
      <c r="I18">
        <v>2.2000000000000002</v>
      </c>
      <c r="J18">
        <v>0.86100000004291655</v>
      </c>
      <c r="K18">
        <v>0.89000000003944801</v>
      </c>
      <c r="L18">
        <v>100.70099999999999</v>
      </c>
      <c r="M18">
        <v>100.685</v>
      </c>
      <c r="N18" t="s">
        <v>318</v>
      </c>
      <c r="O18" t="s">
        <v>319</v>
      </c>
      <c r="P18" t="s">
        <v>49</v>
      </c>
      <c r="Q18" s="59">
        <v>38981</v>
      </c>
      <c r="R18" s="59">
        <v>46101</v>
      </c>
      <c r="S18">
        <v>0.50376454483230659</v>
      </c>
      <c r="T18">
        <v>100.693</v>
      </c>
      <c r="U18">
        <v>110</v>
      </c>
      <c r="V18">
        <v>0.5</v>
      </c>
      <c r="W18">
        <v>20</v>
      </c>
      <c r="X18" s="59">
        <v>45921</v>
      </c>
      <c r="Y18" s="66">
        <f t="shared" ca="1" si="0"/>
        <v>1.038888888888889</v>
      </c>
      <c r="Z18" s="66">
        <f t="shared" ca="1" si="1"/>
        <v>99.654111111111106</v>
      </c>
      <c r="AA18">
        <v>0.87550000004118234</v>
      </c>
    </row>
    <row r="19" spans="1:27" x14ac:dyDescent="0.45">
      <c r="A19" t="s">
        <v>320</v>
      </c>
      <c r="B19" t="s">
        <v>262</v>
      </c>
      <c r="C19" t="s">
        <v>257</v>
      </c>
      <c r="D19" t="s">
        <v>43</v>
      </c>
      <c r="E19" t="s">
        <v>44</v>
      </c>
      <c r="F19" t="s">
        <v>314</v>
      </c>
      <c r="G19" t="s">
        <v>46</v>
      </c>
      <c r="H19">
        <v>2</v>
      </c>
      <c r="I19">
        <v>2.2999999999999998</v>
      </c>
      <c r="J19">
        <v>0.86900000005551981</v>
      </c>
      <c r="K19">
        <v>0.8950000000516708</v>
      </c>
      <c r="L19">
        <v>100.749</v>
      </c>
      <c r="M19">
        <v>100.735</v>
      </c>
      <c r="N19" t="s">
        <v>321</v>
      </c>
      <c r="O19" t="s">
        <v>322</v>
      </c>
      <c r="P19" t="s">
        <v>49</v>
      </c>
      <c r="Q19" s="59">
        <v>39014</v>
      </c>
      <c r="R19" s="59">
        <v>46101</v>
      </c>
      <c r="S19">
        <v>0.50376454483230659</v>
      </c>
      <c r="T19">
        <v>100.74199999999999</v>
      </c>
      <c r="U19">
        <v>112</v>
      </c>
      <c r="V19">
        <v>0.5</v>
      </c>
      <c r="W19">
        <v>20</v>
      </c>
      <c r="X19" s="59">
        <v>45921</v>
      </c>
      <c r="Y19" s="66">
        <f t="shared" ca="1" si="0"/>
        <v>1.086111111111111</v>
      </c>
      <c r="Z19" s="66">
        <f t="shared" ca="1" si="1"/>
        <v>99.655888888888882</v>
      </c>
      <c r="AA19">
        <v>0.88200000005359525</v>
      </c>
    </row>
    <row r="20" spans="1:27" x14ac:dyDescent="0.45">
      <c r="A20" t="s">
        <v>323</v>
      </c>
      <c r="B20" t="s">
        <v>272</v>
      </c>
      <c r="C20" t="s">
        <v>257</v>
      </c>
      <c r="D20" t="s">
        <v>43</v>
      </c>
      <c r="E20" t="s">
        <v>44</v>
      </c>
      <c r="F20" t="s">
        <v>314</v>
      </c>
      <c r="G20" t="s">
        <v>46</v>
      </c>
      <c r="H20">
        <v>2</v>
      </c>
      <c r="I20">
        <v>0.1</v>
      </c>
      <c r="J20">
        <v>0.86699999999443811</v>
      </c>
      <c r="K20">
        <v>0.88899999999382628</v>
      </c>
      <c r="L20">
        <v>99.597999999999999</v>
      </c>
      <c r="M20">
        <v>99.585999999999999</v>
      </c>
      <c r="N20" t="s">
        <v>324</v>
      </c>
      <c r="O20" t="s">
        <v>325</v>
      </c>
      <c r="P20" t="s">
        <v>49</v>
      </c>
      <c r="Q20" s="59">
        <v>42614</v>
      </c>
      <c r="R20" s="59">
        <v>46101</v>
      </c>
      <c r="S20">
        <v>0.50376454483230659</v>
      </c>
      <c r="T20">
        <v>99.591999999999999</v>
      </c>
      <c r="U20">
        <v>215</v>
      </c>
      <c r="V20">
        <v>0.5</v>
      </c>
      <c r="W20">
        <v>10</v>
      </c>
      <c r="X20" s="59">
        <v>45921</v>
      </c>
      <c r="Y20" s="66">
        <f t="shared" ca="1" si="0"/>
        <v>4.7222222222222221E-2</v>
      </c>
      <c r="Z20" s="66">
        <f t="shared" ca="1" si="1"/>
        <v>99.544777777777782</v>
      </c>
      <c r="AA20">
        <v>0.87799999999413214</v>
      </c>
    </row>
    <row r="21" spans="1:27" x14ac:dyDescent="0.45">
      <c r="A21" t="s">
        <v>326</v>
      </c>
      <c r="B21" t="s">
        <v>276</v>
      </c>
      <c r="C21" t="s">
        <v>257</v>
      </c>
      <c r="D21" t="s">
        <v>43</v>
      </c>
      <c r="E21" t="s">
        <v>44</v>
      </c>
      <c r="F21" t="s">
        <v>327</v>
      </c>
      <c r="G21" t="s">
        <v>46</v>
      </c>
      <c r="H21">
        <v>2</v>
      </c>
      <c r="I21">
        <v>0.4</v>
      </c>
      <c r="J21">
        <v>0.87599999999905209</v>
      </c>
      <c r="K21">
        <v>0.89999999999891589</v>
      </c>
      <c r="L21">
        <v>99.736000000000004</v>
      </c>
      <c r="M21">
        <v>99.722999999999999</v>
      </c>
      <c r="N21" t="s">
        <v>328</v>
      </c>
      <c r="O21" t="s">
        <v>329</v>
      </c>
      <c r="P21" t="s">
        <v>49</v>
      </c>
      <c r="Q21" s="59">
        <v>45555</v>
      </c>
      <c r="R21" s="59">
        <v>46113</v>
      </c>
      <c r="S21">
        <v>0.53388090349075978</v>
      </c>
      <c r="T21">
        <v>99.729500000000002</v>
      </c>
      <c r="U21">
        <v>259</v>
      </c>
      <c r="V21">
        <v>0.5</v>
      </c>
      <c r="W21">
        <v>2</v>
      </c>
      <c r="X21" s="59">
        <v>45933</v>
      </c>
      <c r="Y21" s="66">
        <f t="shared" ca="1" si="0"/>
        <v>0.17555555555555558</v>
      </c>
      <c r="Z21" s="66">
        <f t="shared" ca="1" si="1"/>
        <v>99.55394444444444</v>
      </c>
      <c r="AA21">
        <v>0.88799999999898405</v>
      </c>
    </row>
    <row r="22" spans="1:27" x14ac:dyDescent="0.45">
      <c r="A22" t="s">
        <v>330</v>
      </c>
      <c r="B22" t="s">
        <v>276</v>
      </c>
      <c r="C22" t="s">
        <v>257</v>
      </c>
      <c r="D22" t="s">
        <v>43</v>
      </c>
      <c r="E22" t="s">
        <v>44</v>
      </c>
      <c r="F22" t="s">
        <v>331</v>
      </c>
      <c r="G22" t="s">
        <v>46</v>
      </c>
      <c r="H22">
        <v>2</v>
      </c>
      <c r="I22">
        <v>0.5</v>
      </c>
      <c r="J22">
        <v>0.91699999999956083</v>
      </c>
      <c r="K22">
        <v>0.94099999999944961</v>
      </c>
      <c r="L22">
        <v>99.733999999999995</v>
      </c>
      <c r="M22">
        <v>99.718000000000004</v>
      </c>
      <c r="N22" t="s">
        <v>332</v>
      </c>
      <c r="O22" t="s">
        <v>333</v>
      </c>
      <c r="P22" t="s">
        <v>49</v>
      </c>
      <c r="Q22" s="59">
        <v>45587</v>
      </c>
      <c r="R22" s="59">
        <v>46143</v>
      </c>
      <c r="S22">
        <v>0.61875427789185489</v>
      </c>
      <c r="T22">
        <v>99.725999999999999</v>
      </c>
      <c r="U22">
        <v>264</v>
      </c>
      <c r="V22">
        <v>0.5</v>
      </c>
      <c r="W22">
        <v>2</v>
      </c>
      <c r="X22" s="59">
        <v>45963</v>
      </c>
      <c r="Y22" s="66">
        <f t="shared" ca="1" si="0"/>
        <v>0.17777777777777778</v>
      </c>
      <c r="Z22" s="66">
        <f t="shared" ca="1" si="1"/>
        <v>99.548222222222222</v>
      </c>
      <c r="AA22">
        <v>0.92899999999950522</v>
      </c>
    </row>
    <row r="23" spans="1:27" x14ac:dyDescent="0.45">
      <c r="A23" t="s">
        <v>334</v>
      </c>
      <c r="B23" t="s">
        <v>276</v>
      </c>
      <c r="C23" t="s">
        <v>257</v>
      </c>
      <c r="D23" t="s">
        <v>43</v>
      </c>
      <c r="E23" t="s">
        <v>44</v>
      </c>
      <c r="F23" t="s">
        <v>335</v>
      </c>
      <c r="G23" t="s">
        <v>46</v>
      </c>
      <c r="H23">
        <v>2</v>
      </c>
      <c r="I23">
        <v>0.6</v>
      </c>
      <c r="J23">
        <v>0.93199999999986527</v>
      </c>
      <c r="K23">
        <v>0.95399999999982954</v>
      </c>
      <c r="L23">
        <v>99.760999999999996</v>
      </c>
      <c r="M23">
        <v>99.745000000000005</v>
      </c>
      <c r="N23" t="s">
        <v>336</v>
      </c>
      <c r="O23" t="s">
        <v>337</v>
      </c>
      <c r="P23" t="s">
        <v>49</v>
      </c>
      <c r="Q23" s="59">
        <v>45618</v>
      </c>
      <c r="R23" s="59">
        <v>46174</v>
      </c>
      <c r="S23">
        <v>0.70088980150581792</v>
      </c>
      <c r="T23">
        <v>99.753</v>
      </c>
      <c r="U23">
        <v>258</v>
      </c>
      <c r="V23">
        <v>0.5</v>
      </c>
      <c r="W23">
        <v>2</v>
      </c>
      <c r="X23" s="59">
        <v>45994</v>
      </c>
      <c r="Y23" s="66">
        <f t="shared" ca="1" si="0"/>
        <v>0.16166666666666665</v>
      </c>
      <c r="Z23" s="66">
        <f t="shared" ca="1" si="1"/>
        <v>99.591333333333338</v>
      </c>
      <c r="AA23">
        <v>0.9429999999998474</v>
      </c>
    </row>
    <row r="24" spans="1:27" x14ac:dyDescent="0.45">
      <c r="A24" t="s">
        <v>338</v>
      </c>
      <c r="B24" t="s">
        <v>272</v>
      </c>
      <c r="C24" t="s">
        <v>257</v>
      </c>
      <c r="D24" t="s">
        <v>43</v>
      </c>
      <c r="E24" t="s">
        <v>44</v>
      </c>
      <c r="F24" t="s">
        <v>339</v>
      </c>
      <c r="G24" t="s">
        <v>46</v>
      </c>
      <c r="H24">
        <v>2</v>
      </c>
      <c r="I24">
        <v>0.1</v>
      </c>
      <c r="J24">
        <v>0.95699999999828878</v>
      </c>
      <c r="K24">
        <v>0.97899999999814125</v>
      </c>
      <c r="L24">
        <v>99.34</v>
      </c>
      <c r="M24">
        <v>99.322999999999993</v>
      </c>
      <c r="N24" t="s">
        <v>340</v>
      </c>
      <c r="O24" t="s">
        <v>341</v>
      </c>
      <c r="P24" t="s">
        <v>49</v>
      </c>
      <c r="Q24" s="59">
        <v>42705</v>
      </c>
      <c r="R24" s="59">
        <v>46193</v>
      </c>
      <c r="S24">
        <v>0.75290896646132788</v>
      </c>
      <c r="T24">
        <v>99.331500000000005</v>
      </c>
      <c r="U24">
        <v>1</v>
      </c>
      <c r="V24">
        <v>0.5</v>
      </c>
      <c r="W24">
        <v>10</v>
      </c>
      <c r="X24" s="59">
        <v>46013</v>
      </c>
      <c r="Y24" s="66">
        <f t="shared" ca="1" si="0"/>
        <v>2.1666666666666667E-2</v>
      </c>
      <c r="Z24" s="66">
        <f t="shared" ca="1" si="1"/>
        <v>99.309833333333344</v>
      </c>
      <c r="AA24">
        <v>0.96799999999821495</v>
      </c>
    </row>
    <row r="25" spans="1:27" x14ac:dyDescent="0.45">
      <c r="A25" t="s">
        <v>342</v>
      </c>
      <c r="B25" t="s">
        <v>256</v>
      </c>
      <c r="C25" t="s">
        <v>257</v>
      </c>
      <c r="D25" t="s">
        <v>43</v>
      </c>
      <c r="E25" t="s">
        <v>44</v>
      </c>
      <c r="F25" t="s">
        <v>339</v>
      </c>
      <c r="G25" t="s">
        <v>46</v>
      </c>
      <c r="H25">
        <v>2</v>
      </c>
      <c r="I25">
        <v>5.0000000000000001E-3</v>
      </c>
      <c r="J25">
        <v>0.95099999999759166</v>
      </c>
      <c r="K25">
        <v>0.97299999999740294</v>
      </c>
      <c r="L25">
        <v>99.271000000000001</v>
      </c>
      <c r="M25">
        <v>99.254999999999995</v>
      </c>
      <c r="N25" t="s">
        <v>343</v>
      </c>
      <c r="O25" t="s">
        <v>344</v>
      </c>
      <c r="P25" t="s">
        <v>291</v>
      </c>
      <c r="Q25" s="59">
        <v>44566</v>
      </c>
      <c r="R25" s="59">
        <v>46193</v>
      </c>
      <c r="S25">
        <v>0.75290896646132788</v>
      </c>
      <c r="T25">
        <v>99.263000000000005</v>
      </c>
      <c r="U25">
        <v>60</v>
      </c>
      <c r="V25">
        <v>0.5</v>
      </c>
      <c r="W25">
        <v>4</v>
      </c>
      <c r="X25" s="59">
        <v>46013</v>
      </c>
      <c r="Y25" s="66">
        <f t="shared" ca="1" si="0"/>
        <v>1.0833333333333335E-3</v>
      </c>
      <c r="Z25" s="66">
        <f t="shared" ca="1" si="1"/>
        <v>99.261916666666679</v>
      </c>
      <c r="AA25">
        <v>0.9619999999974973</v>
      </c>
    </row>
    <row r="26" spans="1:27" x14ac:dyDescent="0.45">
      <c r="A26" t="s">
        <v>345</v>
      </c>
      <c r="B26" t="s">
        <v>262</v>
      </c>
      <c r="C26" t="s">
        <v>257</v>
      </c>
      <c r="D26" t="s">
        <v>43</v>
      </c>
      <c r="E26" t="s">
        <v>44</v>
      </c>
      <c r="F26" t="s">
        <v>339</v>
      </c>
      <c r="G26" t="s">
        <v>46</v>
      </c>
      <c r="H26">
        <v>2</v>
      </c>
      <c r="I26">
        <v>2.1</v>
      </c>
      <c r="J26">
        <v>0.94000000000417872</v>
      </c>
      <c r="K26">
        <v>0.96500000000389108</v>
      </c>
      <c r="L26">
        <v>100.892</v>
      </c>
      <c r="M26">
        <v>100.873</v>
      </c>
      <c r="N26" t="s">
        <v>346</v>
      </c>
      <c r="O26" t="s">
        <v>347</v>
      </c>
      <c r="P26" t="s">
        <v>49</v>
      </c>
      <c r="Q26" s="59">
        <v>39070</v>
      </c>
      <c r="R26" s="59">
        <v>46193</v>
      </c>
      <c r="S26">
        <v>0.75290896646132788</v>
      </c>
      <c r="T26">
        <v>100.88249999999999</v>
      </c>
      <c r="U26">
        <v>113</v>
      </c>
      <c r="V26">
        <v>0.5</v>
      </c>
      <c r="W26">
        <v>20</v>
      </c>
      <c r="X26" s="59">
        <v>46013</v>
      </c>
      <c r="Y26" s="66">
        <f t="shared" ca="1" si="0"/>
        <v>0.45500000000000002</v>
      </c>
      <c r="Z26" s="66">
        <f t="shared" ca="1" si="1"/>
        <v>100.42749999999999</v>
      </c>
      <c r="AA26">
        <v>0.9525000000040349</v>
      </c>
    </row>
    <row r="27" spans="1:27" x14ac:dyDescent="0.45">
      <c r="A27" t="s">
        <v>348</v>
      </c>
      <c r="B27" t="s">
        <v>276</v>
      </c>
      <c r="C27" t="s">
        <v>257</v>
      </c>
      <c r="D27" t="s">
        <v>43</v>
      </c>
      <c r="E27" t="s">
        <v>44</v>
      </c>
      <c r="F27" t="s">
        <v>349</v>
      </c>
      <c r="G27" t="s">
        <v>46</v>
      </c>
      <c r="H27">
        <v>2</v>
      </c>
      <c r="I27">
        <v>0.6</v>
      </c>
      <c r="J27">
        <v>0.95899999999990848</v>
      </c>
      <c r="K27">
        <v>0.97699999999990728</v>
      </c>
      <c r="L27">
        <v>99.712000000000003</v>
      </c>
      <c r="M27">
        <v>99.697000000000003</v>
      </c>
      <c r="N27" t="s">
        <v>350</v>
      </c>
      <c r="O27" t="s">
        <v>351</v>
      </c>
      <c r="P27" t="s">
        <v>49</v>
      </c>
      <c r="Q27" s="59">
        <v>45645</v>
      </c>
      <c r="R27" s="59">
        <v>46204</v>
      </c>
      <c r="S27">
        <v>0.78576317590691303</v>
      </c>
      <c r="T27">
        <v>99.704499999999996</v>
      </c>
      <c r="U27">
        <v>252</v>
      </c>
      <c r="V27">
        <v>0.5</v>
      </c>
      <c r="W27">
        <v>2</v>
      </c>
      <c r="X27" s="59">
        <v>46024</v>
      </c>
      <c r="Y27" s="66">
        <f t="shared" ca="1" si="0"/>
        <v>0.11166666666666666</v>
      </c>
      <c r="Z27" s="66">
        <f t="shared" ca="1" si="1"/>
        <v>99.592833333333331</v>
      </c>
      <c r="AA27">
        <v>0.96799999999990782</v>
      </c>
    </row>
    <row r="28" spans="1:27" x14ac:dyDescent="0.45">
      <c r="A28" t="s">
        <v>352</v>
      </c>
      <c r="B28" t="s">
        <v>276</v>
      </c>
      <c r="C28" t="s">
        <v>257</v>
      </c>
      <c r="D28" t="s">
        <v>43</v>
      </c>
      <c r="E28" t="s">
        <v>44</v>
      </c>
      <c r="F28" t="s">
        <v>353</v>
      </c>
      <c r="G28" t="s">
        <v>46</v>
      </c>
      <c r="H28">
        <v>2</v>
      </c>
      <c r="I28">
        <v>0.7</v>
      </c>
      <c r="J28">
        <v>0.9719999999999771</v>
      </c>
      <c r="K28">
        <v>0.99399999999998112</v>
      </c>
      <c r="L28">
        <v>99.759</v>
      </c>
      <c r="M28">
        <v>99.739000000000004</v>
      </c>
      <c r="N28" t="s">
        <v>354</v>
      </c>
      <c r="O28" t="s">
        <v>355</v>
      </c>
      <c r="P28" t="s">
        <v>49</v>
      </c>
      <c r="Q28" s="59">
        <v>45681</v>
      </c>
      <c r="R28" s="59">
        <v>46235</v>
      </c>
      <c r="S28">
        <v>0.87063655030800824</v>
      </c>
      <c r="T28">
        <v>99.748999999999995</v>
      </c>
      <c r="U28">
        <v>249</v>
      </c>
      <c r="V28">
        <v>0.5</v>
      </c>
      <c r="W28">
        <v>1</v>
      </c>
      <c r="X28" s="59">
        <v>46055</v>
      </c>
      <c r="Y28" s="66">
        <f t="shared" ca="1" si="0"/>
        <v>6.9999999999999993E-2</v>
      </c>
      <c r="Z28" s="66">
        <f t="shared" ca="1" si="1"/>
        <v>99.679000000000002</v>
      </c>
      <c r="AA28">
        <v>0.98299999999997911</v>
      </c>
    </row>
    <row r="29" spans="1:27" x14ac:dyDescent="0.45">
      <c r="A29" t="s">
        <v>356</v>
      </c>
      <c r="B29" t="s">
        <v>276</v>
      </c>
      <c r="C29" t="s">
        <v>257</v>
      </c>
      <c r="D29" t="s">
        <v>43</v>
      </c>
      <c r="E29" t="s">
        <v>44</v>
      </c>
      <c r="F29" t="s">
        <v>357</v>
      </c>
      <c r="G29" t="s">
        <v>46</v>
      </c>
      <c r="H29">
        <v>2</v>
      </c>
      <c r="I29">
        <v>0.8</v>
      </c>
      <c r="J29">
        <v>0.97599999965068007</v>
      </c>
      <c r="K29">
        <v>0.99899999955023644</v>
      </c>
      <c r="L29">
        <v>99.83</v>
      </c>
      <c r="M29">
        <v>99.808000000000007</v>
      </c>
      <c r="N29" t="s">
        <v>358</v>
      </c>
      <c r="O29" t="s">
        <v>359</v>
      </c>
      <c r="P29" t="s">
        <v>49</v>
      </c>
      <c r="Q29" s="59">
        <v>45708</v>
      </c>
      <c r="R29" s="59">
        <v>46266</v>
      </c>
      <c r="S29">
        <v>0.94729637234770703</v>
      </c>
      <c r="T29">
        <v>99.819000000000003</v>
      </c>
      <c r="U29">
        <v>251</v>
      </c>
      <c r="V29">
        <v>0.5</v>
      </c>
      <c r="W29">
        <v>1</v>
      </c>
      <c r="X29" s="59">
        <v>46086</v>
      </c>
      <c r="Y29" s="66">
        <f t="shared" ca="1" si="0"/>
        <v>1.1111111111111112E-2</v>
      </c>
      <c r="Z29" s="66">
        <f t="shared" ca="1" si="1"/>
        <v>99.807888888888897</v>
      </c>
      <c r="AA29">
        <v>0.98749999960045831</v>
      </c>
    </row>
    <row r="30" spans="1:27" x14ac:dyDescent="0.45">
      <c r="A30" t="s">
        <v>360</v>
      </c>
      <c r="B30" t="s">
        <v>272</v>
      </c>
      <c r="C30" t="s">
        <v>257</v>
      </c>
      <c r="D30" t="s">
        <v>43</v>
      </c>
      <c r="E30" t="s">
        <v>44</v>
      </c>
      <c r="F30" t="s">
        <v>361</v>
      </c>
      <c r="G30" t="s">
        <v>46</v>
      </c>
      <c r="H30">
        <v>2</v>
      </c>
      <c r="I30">
        <v>0.1</v>
      </c>
      <c r="J30">
        <v>0.99999999983467414</v>
      </c>
      <c r="K30">
        <v>1.0209999998197796</v>
      </c>
      <c r="L30">
        <v>99.088999999999999</v>
      </c>
      <c r="M30">
        <v>99.067999999999998</v>
      </c>
      <c r="N30" t="s">
        <v>362</v>
      </c>
      <c r="O30" t="s">
        <v>363</v>
      </c>
      <c r="P30" t="s">
        <v>49</v>
      </c>
      <c r="Q30" s="59">
        <v>42796</v>
      </c>
      <c r="R30" s="59">
        <v>46101</v>
      </c>
      <c r="S30">
        <v>0.99931553730321698</v>
      </c>
      <c r="T30">
        <v>99.078499999999991</v>
      </c>
      <c r="U30">
        <v>4</v>
      </c>
      <c r="V30">
        <v>0.5</v>
      </c>
      <c r="W30">
        <v>9</v>
      </c>
      <c r="X30" s="59">
        <v>45921</v>
      </c>
      <c r="Y30" s="66">
        <f t="shared" ca="1" si="0"/>
        <v>4.7222222222222221E-2</v>
      </c>
      <c r="Z30" s="66">
        <f t="shared" ca="1" si="1"/>
        <v>99.031277777777774</v>
      </c>
      <c r="AA30">
        <v>1.0104999998272268</v>
      </c>
    </row>
    <row r="31" spans="1:27" x14ac:dyDescent="0.45">
      <c r="A31" t="s">
        <v>364</v>
      </c>
      <c r="B31" t="s">
        <v>256</v>
      </c>
      <c r="C31" t="s">
        <v>257</v>
      </c>
      <c r="D31" t="s">
        <v>43</v>
      </c>
      <c r="E31" t="s">
        <v>44</v>
      </c>
      <c r="F31" t="s">
        <v>361</v>
      </c>
      <c r="G31" t="s">
        <v>46</v>
      </c>
      <c r="H31">
        <v>2</v>
      </c>
      <c r="I31">
        <v>5.0000000000000001E-3</v>
      </c>
      <c r="J31">
        <v>0.99099999976548092</v>
      </c>
      <c r="K31">
        <v>1.0159999997422651</v>
      </c>
      <c r="L31">
        <v>99.001999999999995</v>
      </c>
      <c r="M31">
        <v>98.977000000000004</v>
      </c>
      <c r="N31" t="s">
        <v>365</v>
      </c>
      <c r="O31" t="s">
        <v>366</v>
      </c>
      <c r="P31" t="s">
        <v>49</v>
      </c>
      <c r="Q31" s="59">
        <v>44656</v>
      </c>
      <c r="R31" s="59">
        <v>46101</v>
      </c>
      <c r="S31">
        <v>0.99931553730321698</v>
      </c>
      <c r="T31">
        <v>98.989499999999992</v>
      </c>
      <c r="U31">
        <v>64</v>
      </c>
      <c r="V31">
        <v>0.5</v>
      </c>
      <c r="W31">
        <v>4</v>
      </c>
      <c r="X31" s="59">
        <v>45921</v>
      </c>
      <c r="Y31" s="66">
        <f t="shared" ca="1" si="0"/>
        <v>2.3611111111111111E-3</v>
      </c>
      <c r="Z31" s="66">
        <f t="shared" ca="1" si="1"/>
        <v>98.987138888888879</v>
      </c>
      <c r="AA31">
        <v>1.0034999997538729</v>
      </c>
    </row>
    <row r="32" spans="1:27" x14ac:dyDescent="0.45">
      <c r="A32" t="s">
        <v>367</v>
      </c>
      <c r="B32" t="s">
        <v>256</v>
      </c>
      <c r="C32" t="s">
        <v>257</v>
      </c>
      <c r="D32" t="s">
        <v>43</v>
      </c>
      <c r="E32" t="s">
        <v>44</v>
      </c>
      <c r="F32" t="s">
        <v>361</v>
      </c>
      <c r="G32" t="s">
        <v>46</v>
      </c>
      <c r="H32">
        <v>2</v>
      </c>
      <c r="I32">
        <v>0.1</v>
      </c>
      <c r="J32">
        <v>0.99199999984008069</v>
      </c>
      <c r="K32">
        <v>1.0159999998234326</v>
      </c>
      <c r="L32">
        <v>99.096999999999994</v>
      </c>
      <c r="M32">
        <v>99.072999999999993</v>
      </c>
      <c r="N32" t="s">
        <v>368</v>
      </c>
      <c r="O32" t="s">
        <v>369</v>
      </c>
      <c r="P32" t="s">
        <v>49</v>
      </c>
      <c r="Q32" s="59">
        <v>44726</v>
      </c>
      <c r="R32" s="59">
        <v>46101</v>
      </c>
      <c r="S32">
        <v>0.99931553730321698</v>
      </c>
      <c r="T32">
        <v>99.084999999999994</v>
      </c>
      <c r="U32">
        <v>67</v>
      </c>
      <c r="V32">
        <v>0.5</v>
      </c>
      <c r="W32">
        <v>4</v>
      </c>
      <c r="X32" s="59">
        <v>45921</v>
      </c>
      <c r="Y32" s="66">
        <f t="shared" ca="1" si="0"/>
        <v>4.7222222222222221E-2</v>
      </c>
      <c r="Z32" s="66">
        <f t="shared" ca="1" si="1"/>
        <v>99.037777777777777</v>
      </c>
      <c r="AA32">
        <v>1.0039999998317566</v>
      </c>
    </row>
    <row r="33" spans="1:27" x14ac:dyDescent="0.45">
      <c r="A33" t="s">
        <v>370</v>
      </c>
      <c r="B33" t="s">
        <v>262</v>
      </c>
      <c r="C33" t="s">
        <v>257</v>
      </c>
      <c r="D33" t="s">
        <v>43</v>
      </c>
      <c r="E33" t="s">
        <v>44</v>
      </c>
      <c r="F33" t="s">
        <v>361</v>
      </c>
      <c r="G33" t="s">
        <v>46</v>
      </c>
      <c r="H33">
        <v>2</v>
      </c>
      <c r="I33">
        <v>2</v>
      </c>
      <c r="J33">
        <v>0.99300000022308144</v>
      </c>
      <c r="K33">
        <v>1.0160000002044027</v>
      </c>
      <c r="L33">
        <v>101.018</v>
      </c>
      <c r="M33">
        <v>100.995</v>
      </c>
      <c r="N33" t="s">
        <v>371</v>
      </c>
      <c r="O33" t="s">
        <v>372</v>
      </c>
      <c r="P33" t="s">
        <v>49</v>
      </c>
      <c r="Q33" s="59">
        <v>39156</v>
      </c>
      <c r="R33" s="59">
        <v>46101</v>
      </c>
      <c r="S33">
        <v>0.99931553730321698</v>
      </c>
      <c r="T33">
        <v>101.0065</v>
      </c>
      <c r="U33">
        <v>115</v>
      </c>
      <c r="V33">
        <v>0.5</v>
      </c>
      <c r="W33">
        <v>19</v>
      </c>
      <c r="X33" s="59">
        <v>45921</v>
      </c>
      <c r="Y33" s="66">
        <f t="shared" ca="1" si="0"/>
        <v>0.94444444444444442</v>
      </c>
      <c r="Z33" s="66">
        <f t="shared" ca="1" si="1"/>
        <v>100.06205555555556</v>
      </c>
      <c r="AA33">
        <v>1.0045000002137421</v>
      </c>
    </row>
    <row r="34" spans="1:27" x14ac:dyDescent="0.45">
      <c r="A34" t="s">
        <v>373</v>
      </c>
      <c r="B34" t="s">
        <v>262</v>
      </c>
      <c r="C34" t="s">
        <v>257</v>
      </c>
      <c r="D34" t="s">
        <v>43</v>
      </c>
      <c r="E34" t="s">
        <v>44</v>
      </c>
      <c r="F34" t="s">
        <v>361</v>
      </c>
      <c r="G34" t="s">
        <v>46</v>
      </c>
      <c r="H34">
        <v>2</v>
      </c>
      <c r="I34">
        <v>2.1</v>
      </c>
      <c r="J34">
        <v>0.9920000003186531</v>
      </c>
      <c r="K34">
        <v>1.0150000002940662</v>
      </c>
      <c r="L34">
        <v>101.12</v>
      </c>
      <c r="M34">
        <v>101.09699999999999</v>
      </c>
      <c r="N34" t="s">
        <v>374</v>
      </c>
      <c r="O34" t="s">
        <v>375</v>
      </c>
      <c r="P34" t="s">
        <v>49</v>
      </c>
      <c r="Q34" s="59">
        <v>39196</v>
      </c>
      <c r="R34" s="59">
        <v>46101</v>
      </c>
      <c r="S34">
        <v>0.99931553730321698</v>
      </c>
      <c r="T34">
        <v>101.10849999999999</v>
      </c>
      <c r="U34">
        <v>117</v>
      </c>
      <c r="V34">
        <v>0.5</v>
      </c>
      <c r="W34">
        <v>19</v>
      </c>
      <c r="X34" s="59">
        <v>45921</v>
      </c>
      <c r="Y34" s="66">
        <f t="shared" ca="1" si="0"/>
        <v>0.9916666666666667</v>
      </c>
      <c r="Z34" s="66">
        <f t="shared" ca="1" si="1"/>
        <v>100.11683333333333</v>
      </c>
      <c r="AA34">
        <v>1.0035000003063597</v>
      </c>
    </row>
    <row r="35" spans="1:27" x14ac:dyDescent="0.45">
      <c r="A35" t="s">
        <v>376</v>
      </c>
      <c r="B35" t="s">
        <v>276</v>
      </c>
      <c r="C35" t="s">
        <v>257</v>
      </c>
      <c r="D35" t="s">
        <v>43</v>
      </c>
      <c r="E35" t="s">
        <v>44</v>
      </c>
      <c r="F35" t="s">
        <v>377</v>
      </c>
      <c r="G35" t="s">
        <v>46</v>
      </c>
      <c r="H35">
        <v>2</v>
      </c>
      <c r="I35">
        <v>0.9</v>
      </c>
      <c r="J35">
        <v>0.99099999999992283</v>
      </c>
      <c r="K35">
        <v>1.0139999999998559</v>
      </c>
      <c r="L35">
        <v>99.905000000000001</v>
      </c>
      <c r="M35">
        <v>99.881</v>
      </c>
      <c r="N35" t="s">
        <v>378</v>
      </c>
      <c r="O35" t="s">
        <v>379</v>
      </c>
      <c r="P35" t="s">
        <v>49</v>
      </c>
      <c r="Q35" s="59">
        <v>45740</v>
      </c>
      <c r="R35" s="59">
        <v>46113</v>
      </c>
      <c r="S35">
        <v>1.0321697467488022</v>
      </c>
      <c r="T35">
        <v>99.893000000000001</v>
      </c>
      <c r="U35">
        <v>247</v>
      </c>
      <c r="V35">
        <v>1</v>
      </c>
      <c r="W35">
        <v>1</v>
      </c>
      <c r="X35" s="59">
        <v>45933</v>
      </c>
      <c r="Y35" s="66">
        <f t="shared" ca="1" si="0"/>
        <v>0.39500000000000002</v>
      </c>
      <c r="Z35" s="66">
        <f t="shared" ca="1" si="1"/>
        <v>99.498000000000005</v>
      </c>
      <c r="AA35">
        <v>1.0024999999998894</v>
      </c>
    </row>
    <row r="36" spans="1:27" x14ac:dyDescent="0.45">
      <c r="A36" t="s">
        <v>380</v>
      </c>
      <c r="B36" t="s">
        <v>276</v>
      </c>
      <c r="C36" t="s">
        <v>257</v>
      </c>
      <c r="D36" t="s">
        <v>43</v>
      </c>
      <c r="E36" t="s">
        <v>44</v>
      </c>
      <c r="F36" t="s">
        <v>381</v>
      </c>
      <c r="G36" t="s">
        <v>46</v>
      </c>
      <c r="H36">
        <v>2</v>
      </c>
      <c r="I36">
        <v>0.7</v>
      </c>
      <c r="J36">
        <v>1.0129999999965369</v>
      </c>
      <c r="K36">
        <v>1.035999999995648</v>
      </c>
      <c r="L36">
        <v>99.647999999999996</v>
      </c>
      <c r="M36">
        <v>99.622</v>
      </c>
      <c r="N36" t="s">
        <v>382</v>
      </c>
      <c r="O36" t="s">
        <v>383</v>
      </c>
      <c r="P36" t="s">
        <v>49</v>
      </c>
      <c r="Q36" s="59">
        <v>45764</v>
      </c>
      <c r="R36" s="59">
        <v>46143</v>
      </c>
      <c r="S36">
        <v>1.1143052703627652</v>
      </c>
      <c r="T36">
        <v>99.634999999999991</v>
      </c>
      <c r="U36">
        <v>245</v>
      </c>
      <c r="V36">
        <v>1</v>
      </c>
      <c r="W36">
        <v>1</v>
      </c>
      <c r="X36" s="59">
        <v>45963</v>
      </c>
      <c r="Y36" s="66">
        <f t="shared" ca="1" si="0"/>
        <v>0.24888888888888888</v>
      </c>
      <c r="Z36" s="66">
        <f t="shared" ca="1" si="1"/>
        <v>99.386111111111106</v>
      </c>
      <c r="AA36">
        <v>1.0244999999960924</v>
      </c>
    </row>
    <row r="37" spans="1:27" x14ac:dyDescent="0.45">
      <c r="A37" t="s">
        <v>384</v>
      </c>
      <c r="B37" t="s">
        <v>276</v>
      </c>
      <c r="C37" t="s">
        <v>257</v>
      </c>
      <c r="D37" t="s">
        <v>43</v>
      </c>
      <c r="E37" t="s">
        <v>44</v>
      </c>
      <c r="F37" t="s">
        <v>385</v>
      </c>
      <c r="G37" t="s">
        <v>46</v>
      </c>
      <c r="H37">
        <v>2</v>
      </c>
      <c r="I37">
        <v>0.8</v>
      </c>
      <c r="J37">
        <v>1.0559999999984435</v>
      </c>
      <c r="K37">
        <v>1.0759999999980203</v>
      </c>
      <c r="L37">
        <v>99.691000000000003</v>
      </c>
      <c r="M37">
        <v>99.667000000000002</v>
      </c>
      <c r="N37" t="s">
        <v>386</v>
      </c>
      <c r="O37" t="s">
        <v>387</v>
      </c>
      <c r="P37" t="s">
        <v>49</v>
      </c>
      <c r="Q37" s="59">
        <v>45800</v>
      </c>
      <c r="R37" s="59">
        <v>46174</v>
      </c>
      <c r="S37">
        <v>1.1991786447638604</v>
      </c>
      <c r="T37">
        <v>99.679000000000002</v>
      </c>
      <c r="U37">
        <v>237</v>
      </c>
      <c r="V37">
        <v>1</v>
      </c>
      <c r="W37">
        <v>1</v>
      </c>
      <c r="X37" s="59">
        <v>45994</v>
      </c>
      <c r="Y37" s="66">
        <f t="shared" ca="1" si="0"/>
        <v>0.21555555555555556</v>
      </c>
      <c r="Z37" s="66">
        <f t="shared" ca="1" si="1"/>
        <v>99.463444444444448</v>
      </c>
      <c r="AA37">
        <v>1.0659999999982319</v>
      </c>
    </row>
    <row r="38" spans="1:27" x14ac:dyDescent="0.45">
      <c r="A38" t="s">
        <v>388</v>
      </c>
      <c r="B38" t="s">
        <v>272</v>
      </c>
      <c r="C38" t="s">
        <v>257</v>
      </c>
      <c r="D38" t="s">
        <v>43</v>
      </c>
      <c r="E38" t="s">
        <v>44</v>
      </c>
      <c r="F38" t="s">
        <v>389</v>
      </c>
      <c r="G38" t="s">
        <v>46</v>
      </c>
      <c r="H38">
        <v>2</v>
      </c>
      <c r="I38">
        <v>0.1</v>
      </c>
      <c r="J38">
        <v>1.0619999998705669</v>
      </c>
      <c r="K38">
        <v>1.0849999998590174</v>
      </c>
      <c r="L38">
        <v>98.79</v>
      </c>
      <c r="M38">
        <v>98.762</v>
      </c>
      <c r="N38" t="s">
        <v>390</v>
      </c>
      <c r="O38" t="s">
        <v>391</v>
      </c>
      <c r="P38" t="s">
        <v>49</v>
      </c>
      <c r="Q38" s="59">
        <v>42887</v>
      </c>
      <c r="R38" s="59">
        <v>46193</v>
      </c>
      <c r="S38">
        <v>1.2511978097193703</v>
      </c>
      <c r="T38">
        <v>98.77600000000001</v>
      </c>
      <c r="U38">
        <v>8</v>
      </c>
      <c r="V38">
        <v>1</v>
      </c>
      <c r="W38">
        <v>9</v>
      </c>
      <c r="X38" s="59">
        <v>46013</v>
      </c>
      <c r="Y38" s="66">
        <f t="shared" ca="1" si="0"/>
        <v>2.1666666666666667E-2</v>
      </c>
      <c r="Z38" s="66">
        <f t="shared" ca="1" si="1"/>
        <v>98.754333333333349</v>
      </c>
      <c r="AA38">
        <v>1.0734999998647923</v>
      </c>
    </row>
    <row r="39" spans="1:27" x14ac:dyDescent="0.45">
      <c r="A39" t="s">
        <v>392</v>
      </c>
      <c r="B39" t="s">
        <v>256</v>
      </c>
      <c r="C39" t="s">
        <v>257</v>
      </c>
      <c r="D39" t="s">
        <v>43</v>
      </c>
      <c r="E39" t="s">
        <v>44</v>
      </c>
      <c r="F39" t="s">
        <v>389</v>
      </c>
      <c r="G39" t="s">
        <v>46</v>
      </c>
      <c r="H39">
        <v>2</v>
      </c>
      <c r="I39">
        <v>5.0000000000000001E-3</v>
      </c>
      <c r="J39">
        <v>1.0599999998174168</v>
      </c>
      <c r="K39">
        <v>1.084999999801123</v>
      </c>
      <c r="L39">
        <v>98.673000000000002</v>
      </c>
      <c r="M39">
        <v>98.641999999999996</v>
      </c>
      <c r="N39" t="s">
        <v>393</v>
      </c>
      <c r="O39" t="s">
        <v>394</v>
      </c>
      <c r="P39" t="s">
        <v>49</v>
      </c>
      <c r="Q39" s="59">
        <v>44747</v>
      </c>
      <c r="R39" s="59">
        <v>46193</v>
      </c>
      <c r="S39">
        <v>1.2511978097193703</v>
      </c>
      <c r="T39">
        <v>98.657499999999999</v>
      </c>
      <c r="U39">
        <v>70</v>
      </c>
      <c r="V39">
        <v>1</v>
      </c>
      <c r="W39">
        <v>4</v>
      </c>
      <c r="X39" s="59">
        <v>46013</v>
      </c>
      <c r="Y39" s="66">
        <f t="shared" ca="1" si="0"/>
        <v>1.0833333333333335E-3</v>
      </c>
      <c r="Z39" s="66">
        <f t="shared" ca="1" si="1"/>
        <v>98.656416666666672</v>
      </c>
      <c r="AA39">
        <v>1.0724999998092699</v>
      </c>
    </row>
    <row r="40" spans="1:27" x14ac:dyDescent="0.45">
      <c r="A40" t="s">
        <v>395</v>
      </c>
      <c r="B40" t="s">
        <v>262</v>
      </c>
      <c r="C40" t="s">
        <v>257</v>
      </c>
      <c r="D40" t="s">
        <v>43</v>
      </c>
      <c r="E40" t="s">
        <v>44</v>
      </c>
      <c r="F40" t="s">
        <v>389</v>
      </c>
      <c r="G40" t="s">
        <v>46</v>
      </c>
      <c r="H40">
        <v>2</v>
      </c>
      <c r="I40">
        <v>2.2999999999999998</v>
      </c>
      <c r="J40">
        <v>1.0580000002626728</v>
      </c>
      <c r="K40">
        <v>1.0800000002459673</v>
      </c>
      <c r="L40">
        <v>101.56100000000001</v>
      </c>
      <c r="M40">
        <v>101.533</v>
      </c>
      <c r="N40" t="s">
        <v>396</v>
      </c>
      <c r="O40" t="s">
        <v>397</v>
      </c>
      <c r="P40" t="s">
        <v>49</v>
      </c>
      <c r="Q40" s="59">
        <v>39254</v>
      </c>
      <c r="R40" s="59">
        <v>46193</v>
      </c>
      <c r="S40">
        <v>1.2511978097193703</v>
      </c>
      <c r="T40">
        <v>101.547</v>
      </c>
      <c r="U40">
        <v>118</v>
      </c>
      <c r="V40">
        <v>1</v>
      </c>
      <c r="W40">
        <v>19</v>
      </c>
      <c r="X40" s="59">
        <v>46013</v>
      </c>
      <c r="Y40" s="66">
        <f t="shared" ca="1" si="0"/>
        <v>0.49833333333333329</v>
      </c>
      <c r="Z40" s="66">
        <f t="shared" ca="1" si="1"/>
        <v>101.04866666666666</v>
      </c>
      <c r="AA40">
        <v>1.0690000002543201</v>
      </c>
    </row>
    <row r="41" spans="1:27" x14ac:dyDescent="0.45">
      <c r="A41" t="s">
        <v>398</v>
      </c>
      <c r="B41" t="s">
        <v>262</v>
      </c>
      <c r="C41" t="s">
        <v>257</v>
      </c>
      <c r="D41" t="s">
        <v>43</v>
      </c>
      <c r="E41" t="s">
        <v>44</v>
      </c>
      <c r="F41" t="s">
        <v>389</v>
      </c>
      <c r="G41" t="s">
        <v>46</v>
      </c>
      <c r="H41">
        <v>2</v>
      </c>
      <c r="I41">
        <v>2.1</v>
      </c>
      <c r="J41">
        <v>1.0560000001421888</v>
      </c>
      <c r="K41">
        <v>1.0790000001312146</v>
      </c>
      <c r="L41">
        <v>101.312</v>
      </c>
      <c r="M41">
        <v>101.283</v>
      </c>
      <c r="N41" t="s">
        <v>399</v>
      </c>
      <c r="O41" t="s">
        <v>400</v>
      </c>
      <c r="P41" t="s">
        <v>49</v>
      </c>
      <c r="Q41" s="59">
        <v>39322</v>
      </c>
      <c r="R41" s="59">
        <v>46193</v>
      </c>
      <c r="S41">
        <v>1.2511978097193703</v>
      </c>
      <c r="T41">
        <v>101.2975</v>
      </c>
      <c r="U41">
        <v>119</v>
      </c>
      <c r="V41">
        <v>1</v>
      </c>
      <c r="W41">
        <v>19</v>
      </c>
      <c r="X41" s="59">
        <v>46013</v>
      </c>
      <c r="Y41" s="66">
        <f t="shared" ca="1" si="0"/>
        <v>0.45500000000000002</v>
      </c>
      <c r="Z41" s="66">
        <f t="shared" ca="1" si="1"/>
        <v>100.8425</v>
      </c>
      <c r="AA41">
        <v>1.0675000001367017</v>
      </c>
    </row>
    <row r="42" spans="1:27" x14ac:dyDescent="0.45">
      <c r="A42" t="s">
        <v>401</v>
      </c>
      <c r="B42" t="s">
        <v>276</v>
      </c>
      <c r="C42" t="s">
        <v>257</v>
      </c>
      <c r="D42" t="s">
        <v>43</v>
      </c>
      <c r="E42" t="s">
        <v>44</v>
      </c>
      <c r="F42" t="s">
        <v>402</v>
      </c>
      <c r="G42" t="s">
        <v>46</v>
      </c>
      <c r="H42">
        <v>2</v>
      </c>
      <c r="I42">
        <v>0.7</v>
      </c>
      <c r="J42">
        <v>1.0839999999951573</v>
      </c>
      <c r="K42">
        <v>1.1039999999942998</v>
      </c>
      <c r="L42">
        <v>99.506</v>
      </c>
      <c r="M42">
        <v>99.48</v>
      </c>
      <c r="N42" t="s">
        <v>403</v>
      </c>
      <c r="O42" t="s">
        <v>404</v>
      </c>
      <c r="P42" t="s">
        <v>49</v>
      </c>
      <c r="Q42" s="59">
        <v>45827</v>
      </c>
      <c r="R42" s="59">
        <v>46204</v>
      </c>
      <c r="S42">
        <v>1.2813141683778233</v>
      </c>
      <c r="T42">
        <v>99.492999999999995</v>
      </c>
      <c r="U42">
        <v>238</v>
      </c>
      <c r="V42">
        <v>1</v>
      </c>
      <c r="W42">
        <v>1</v>
      </c>
      <c r="X42" s="59">
        <v>46024</v>
      </c>
      <c r="Y42" s="66">
        <f t="shared" ca="1" si="0"/>
        <v>0.13027777777777777</v>
      </c>
      <c r="Z42" s="66">
        <f t="shared" ca="1" si="1"/>
        <v>99.362722222222217</v>
      </c>
      <c r="AA42">
        <v>1.0939999999947285</v>
      </c>
    </row>
    <row r="43" spans="1:27" x14ac:dyDescent="0.45">
      <c r="A43" t="s">
        <v>405</v>
      </c>
      <c r="B43" t="s">
        <v>276</v>
      </c>
      <c r="C43" t="s">
        <v>257</v>
      </c>
      <c r="D43" t="s">
        <v>43</v>
      </c>
      <c r="E43" t="s">
        <v>44</v>
      </c>
      <c r="F43" t="s">
        <v>406</v>
      </c>
      <c r="G43" t="s">
        <v>46</v>
      </c>
      <c r="H43">
        <v>2</v>
      </c>
      <c r="I43">
        <v>0.9</v>
      </c>
      <c r="J43">
        <v>1.1079999999994732</v>
      </c>
      <c r="K43">
        <v>1.1299999999992814</v>
      </c>
      <c r="L43">
        <v>99.715000000000003</v>
      </c>
      <c r="M43">
        <v>99.685000000000002</v>
      </c>
      <c r="N43" t="s">
        <v>407</v>
      </c>
      <c r="O43" t="s">
        <v>408</v>
      </c>
      <c r="P43" t="s">
        <v>49</v>
      </c>
      <c r="Q43" s="59">
        <v>45860</v>
      </c>
      <c r="R43" s="59">
        <v>46235</v>
      </c>
      <c r="S43">
        <v>1.3661875427789185</v>
      </c>
      <c r="T43">
        <v>99.7</v>
      </c>
      <c r="U43">
        <v>236</v>
      </c>
      <c r="V43">
        <v>1</v>
      </c>
      <c r="W43">
        <v>1</v>
      </c>
      <c r="X43" s="59">
        <v>46055</v>
      </c>
      <c r="Y43" s="66">
        <f t="shared" ca="1" si="0"/>
        <v>9.0000000000000011E-2</v>
      </c>
      <c r="Z43" s="66">
        <f t="shared" ca="1" si="1"/>
        <v>99.61</v>
      </c>
      <c r="AA43">
        <v>1.1189999999993772</v>
      </c>
    </row>
    <row r="44" spans="1:27" x14ac:dyDescent="0.45">
      <c r="A44" t="s">
        <v>409</v>
      </c>
      <c r="B44" t="s">
        <v>276</v>
      </c>
      <c r="C44" t="s">
        <v>257</v>
      </c>
      <c r="D44" t="s">
        <v>43</v>
      </c>
      <c r="E44" t="s">
        <v>44</v>
      </c>
      <c r="F44" t="s">
        <v>410</v>
      </c>
      <c r="G44" t="s">
        <v>46</v>
      </c>
      <c r="H44">
        <v>2</v>
      </c>
      <c r="I44">
        <v>0.9</v>
      </c>
      <c r="J44">
        <v>1.1319999999994508</v>
      </c>
      <c r="K44">
        <v>1.1509999999993004</v>
      </c>
      <c r="L44">
        <v>99.662999999999997</v>
      </c>
      <c r="M44">
        <v>99.635999999999996</v>
      </c>
      <c r="N44" t="s">
        <v>411</v>
      </c>
      <c r="O44" t="s">
        <v>412</v>
      </c>
      <c r="P44" t="s">
        <v>49</v>
      </c>
      <c r="Q44" s="59">
        <v>45890</v>
      </c>
      <c r="R44" s="59">
        <v>46266</v>
      </c>
      <c r="S44">
        <v>1.4510609171800137</v>
      </c>
      <c r="T44">
        <v>99.649499999999989</v>
      </c>
      <c r="U44">
        <v>232</v>
      </c>
      <c r="V44">
        <v>1</v>
      </c>
      <c r="W44">
        <v>1</v>
      </c>
      <c r="X44" s="59">
        <v>46086</v>
      </c>
      <c r="Y44" s="66">
        <f t="shared" ca="1" si="0"/>
        <v>1.2499999999999999E-2</v>
      </c>
      <c r="Z44" s="66">
        <f t="shared" ca="1" si="1"/>
        <v>99.636999999999986</v>
      </c>
      <c r="AA44">
        <v>1.1414999999993756</v>
      </c>
    </row>
    <row r="45" spans="1:27" x14ac:dyDescent="0.45">
      <c r="A45" t="s">
        <v>413</v>
      </c>
      <c r="B45" t="s">
        <v>272</v>
      </c>
      <c r="C45" t="s">
        <v>257</v>
      </c>
      <c r="D45" t="s">
        <v>43</v>
      </c>
      <c r="E45" t="s">
        <v>44</v>
      </c>
      <c r="F45" t="s">
        <v>414</v>
      </c>
      <c r="G45" t="s">
        <v>46</v>
      </c>
      <c r="H45">
        <v>2</v>
      </c>
      <c r="I45">
        <v>0.1</v>
      </c>
      <c r="J45">
        <v>1.1380000000000026</v>
      </c>
      <c r="K45">
        <v>1.161000000000008</v>
      </c>
      <c r="L45">
        <v>98.442999999999998</v>
      </c>
      <c r="M45">
        <v>98.409000000000006</v>
      </c>
      <c r="N45" t="s">
        <v>415</v>
      </c>
      <c r="O45" t="s">
        <v>416</v>
      </c>
      <c r="P45" t="s">
        <v>49</v>
      </c>
      <c r="Q45" s="59">
        <v>42983</v>
      </c>
      <c r="R45" s="59">
        <v>46101</v>
      </c>
      <c r="S45">
        <v>1.5030800821355237</v>
      </c>
      <c r="T45">
        <v>98.426000000000002</v>
      </c>
      <c r="U45">
        <v>11</v>
      </c>
      <c r="V45">
        <v>1.5</v>
      </c>
      <c r="W45">
        <v>9</v>
      </c>
      <c r="X45" s="59">
        <v>45921</v>
      </c>
      <c r="Y45" s="66">
        <f t="shared" ca="1" si="0"/>
        <v>4.7222222222222221E-2</v>
      </c>
      <c r="Z45" s="66">
        <f t="shared" ca="1" si="1"/>
        <v>98.378777777777785</v>
      </c>
      <c r="AA45">
        <v>1.1495000000000053</v>
      </c>
    </row>
    <row r="46" spans="1:27" x14ac:dyDescent="0.45">
      <c r="A46" t="s">
        <v>417</v>
      </c>
      <c r="B46" t="s">
        <v>256</v>
      </c>
      <c r="C46" t="s">
        <v>257</v>
      </c>
      <c r="D46" t="s">
        <v>43</v>
      </c>
      <c r="E46" t="s">
        <v>44</v>
      </c>
      <c r="F46" t="s">
        <v>414</v>
      </c>
      <c r="G46" t="s">
        <v>46</v>
      </c>
      <c r="H46">
        <v>2</v>
      </c>
      <c r="I46">
        <v>0.1</v>
      </c>
      <c r="J46">
        <v>1.1440000000000041</v>
      </c>
      <c r="K46">
        <v>1.1670000000000009</v>
      </c>
      <c r="L46">
        <v>98.433999999999997</v>
      </c>
      <c r="M46">
        <v>98.4</v>
      </c>
      <c r="N46" t="s">
        <v>418</v>
      </c>
      <c r="O46" t="s">
        <v>419</v>
      </c>
      <c r="P46" t="s">
        <v>49</v>
      </c>
      <c r="Q46" s="59">
        <v>44841</v>
      </c>
      <c r="R46" s="59">
        <v>46101</v>
      </c>
      <c r="S46">
        <v>1.5030800821355237</v>
      </c>
      <c r="T46">
        <v>98.417000000000002</v>
      </c>
      <c r="U46">
        <v>74</v>
      </c>
      <c r="V46">
        <v>1.5</v>
      </c>
      <c r="W46">
        <v>4</v>
      </c>
      <c r="X46" s="59">
        <v>45921</v>
      </c>
      <c r="Y46" s="66">
        <f t="shared" ca="1" si="0"/>
        <v>4.7222222222222221E-2</v>
      </c>
      <c r="Z46" s="66">
        <f t="shared" ca="1" si="1"/>
        <v>98.369777777777784</v>
      </c>
      <c r="AA46">
        <v>1.1555000000000026</v>
      </c>
    </row>
    <row r="47" spans="1:27" x14ac:dyDescent="0.45">
      <c r="A47" t="s">
        <v>420</v>
      </c>
      <c r="B47" t="s">
        <v>262</v>
      </c>
      <c r="C47" t="s">
        <v>257</v>
      </c>
      <c r="D47" t="s">
        <v>43</v>
      </c>
      <c r="E47" t="s">
        <v>44</v>
      </c>
      <c r="F47" t="s">
        <v>414</v>
      </c>
      <c r="G47" t="s">
        <v>46</v>
      </c>
      <c r="H47">
        <v>2</v>
      </c>
      <c r="I47">
        <v>2.2000000000000002</v>
      </c>
      <c r="J47">
        <v>1.1309999999999882</v>
      </c>
      <c r="K47">
        <v>1.1540000000000008</v>
      </c>
      <c r="L47">
        <v>101.60299999999999</v>
      </c>
      <c r="M47">
        <v>101.568</v>
      </c>
      <c r="N47" t="s">
        <v>421</v>
      </c>
      <c r="O47" t="s">
        <v>422</v>
      </c>
      <c r="P47" t="s">
        <v>49</v>
      </c>
      <c r="Q47" s="59">
        <v>39345</v>
      </c>
      <c r="R47" s="59">
        <v>46101</v>
      </c>
      <c r="S47">
        <v>1.5030800821355237</v>
      </c>
      <c r="T47">
        <v>101.5855</v>
      </c>
      <c r="U47">
        <v>120</v>
      </c>
      <c r="V47">
        <v>1.5</v>
      </c>
      <c r="W47">
        <v>19</v>
      </c>
      <c r="X47" s="59">
        <v>45921</v>
      </c>
      <c r="Y47" s="66">
        <f t="shared" ca="1" si="0"/>
        <v>1.038888888888889</v>
      </c>
      <c r="Z47" s="66">
        <f t="shared" ca="1" si="1"/>
        <v>100.5466111111111</v>
      </c>
      <c r="AA47">
        <v>1.1424999999999945</v>
      </c>
    </row>
    <row r="48" spans="1:27" x14ac:dyDescent="0.45">
      <c r="A48" t="s">
        <v>423</v>
      </c>
      <c r="B48" t="s">
        <v>262</v>
      </c>
      <c r="C48" t="s">
        <v>257</v>
      </c>
      <c r="D48" t="s">
        <v>43</v>
      </c>
      <c r="E48" t="s">
        <v>44</v>
      </c>
      <c r="F48" t="s">
        <v>414</v>
      </c>
      <c r="G48" t="s">
        <v>46</v>
      </c>
      <c r="H48">
        <v>2</v>
      </c>
      <c r="I48">
        <v>2.1</v>
      </c>
      <c r="J48">
        <v>1.1299999999999901</v>
      </c>
      <c r="K48">
        <v>1.1530000000000036</v>
      </c>
      <c r="L48">
        <v>101.455</v>
      </c>
      <c r="M48">
        <v>101.42</v>
      </c>
      <c r="N48" t="s">
        <v>424</v>
      </c>
      <c r="O48" t="s">
        <v>425</v>
      </c>
      <c r="P48" t="s">
        <v>49</v>
      </c>
      <c r="Q48" s="59">
        <v>39407</v>
      </c>
      <c r="R48" s="59">
        <v>46101</v>
      </c>
      <c r="S48">
        <v>1.5030800821355237</v>
      </c>
      <c r="T48">
        <v>101.4375</v>
      </c>
      <c r="U48">
        <v>123</v>
      </c>
      <c r="V48">
        <v>1.5</v>
      </c>
      <c r="W48">
        <v>19</v>
      </c>
      <c r="X48" s="59">
        <v>45921</v>
      </c>
      <c r="Y48" s="66">
        <f t="shared" ca="1" si="0"/>
        <v>0.9916666666666667</v>
      </c>
      <c r="Z48" s="66">
        <f t="shared" ca="1" si="1"/>
        <v>100.44583333333334</v>
      </c>
      <c r="AA48">
        <v>1.1414999999999969</v>
      </c>
    </row>
    <row r="49" spans="1:27" x14ac:dyDescent="0.45">
      <c r="A49" t="s">
        <v>426</v>
      </c>
      <c r="B49" t="s">
        <v>276</v>
      </c>
      <c r="C49" t="s">
        <v>257</v>
      </c>
      <c r="D49" t="s">
        <v>43</v>
      </c>
      <c r="E49" t="s">
        <v>44</v>
      </c>
      <c r="F49" t="s">
        <v>427</v>
      </c>
      <c r="G49" t="s">
        <v>46</v>
      </c>
      <c r="H49">
        <v>2</v>
      </c>
      <c r="I49">
        <v>1</v>
      </c>
      <c r="J49">
        <v>1.1509999999982763</v>
      </c>
      <c r="K49">
        <v>1.1709999999974416</v>
      </c>
      <c r="L49">
        <v>99.769000000000005</v>
      </c>
      <c r="M49">
        <v>99.738</v>
      </c>
      <c r="N49" t="s">
        <v>428</v>
      </c>
      <c r="O49" t="s">
        <v>429</v>
      </c>
      <c r="P49" t="s">
        <v>49</v>
      </c>
      <c r="Q49" s="59">
        <v>45922</v>
      </c>
      <c r="R49" s="59">
        <v>46113</v>
      </c>
      <c r="S49">
        <v>1.5331964407939767</v>
      </c>
      <c r="T49">
        <v>99.753500000000003</v>
      </c>
      <c r="U49">
        <v>228</v>
      </c>
      <c r="V49">
        <v>1.5</v>
      </c>
      <c r="W49">
        <v>1</v>
      </c>
      <c r="X49" s="59">
        <v>45933</v>
      </c>
      <c r="Y49" s="66">
        <f t="shared" ca="1" si="0"/>
        <v>0.43888888888888888</v>
      </c>
      <c r="Z49" s="66">
        <f t="shared" ca="1" si="1"/>
        <v>99.31461111111112</v>
      </c>
      <c r="AA49">
        <v>1.1609999999978591</v>
      </c>
    </row>
    <row r="50" spans="1:27" x14ac:dyDescent="0.45">
      <c r="A50" t="s">
        <v>430</v>
      </c>
      <c r="B50" t="s">
        <v>276</v>
      </c>
      <c r="C50" t="s">
        <v>257</v>
      </c>
      <c r="D50" t="s">
        <v>43</v>
      </c>
      <c r="E50" t="s">
        <v>44</v>
      </c>
      <c r="F50" t="s">
        <v>431</v>
      </c>
      <c r="G50" t="s">
        <v>46</v>
      </c>
      <c r="H50">
        <v>2</v>
      </c>
      <c r="I50">
        <v>1</v>
      </c>
      <c r="J50">
        <v>1.1679999999976978</v>
      </c>
      <c r="K50">
        <v>1.1869999999967396</v>
      </c>
      <c r="L50">
        <v>99.728999999999999</v>
      </c>
      <c r="M50">
        <v>99.697999999999993</v>
      </c>
      <c r="N50" t="s">
        <v>432</v>
      </c>
      <c r="O50" t="s">
        <v>433</v>
      </c>
      <c r="P50" t="s">
        <v>49</v>
      </c>
      <c r="Q50" s="59">
        <v>45954</v>
      </c>
      <c r="R50" s="59">
        <v>46143</v>
      </c>
      <c r="S50">
        <v>1.6180698151950719</v>
      </c>
      <c r="T50">
        <v>99.713499999999996</v>
      </c>
      <c r="U50">
        <v>226</v>
      </c>
      <c r="V50">
        <v>1.5</v>
      </c>
      <c r="W50">
        <v>1</v>
      </c>
      <c r="X50" s="59">
        <v>45963</v>
      </c>
      <c r="Y50" s="66">
        <f t="shared" ca="1" si="0"/>
        <v>0.35555555555555557</v>
      </c>
      <c r="Z50" s="66">
        <f t="shared" ca="1" si="1"/>
        <v>99.357944444444442</v>
      </c>
      <c r="AA50">
        <v>1.1774999999972187</v>
      </c>
    </row>
    <row r="51" spans="1:27" x14ac:dyDescent="0.45">
      <c r="A51" t="s">
        <v>434</v>
      </c>
      <c r="B51" t="s">
        <v>276</v>
      </c>
      <c r="C51" t="s">
        <v>257</v>
      </c>
      <c r="D51" t="s">
        <v>43</v>
      </c>
      <c r="E51" t="s">
        <v>44</v>
      </c>
      <c r="F51" t="s">
        <v>435</v>
      </c>
      <c r="G51" t="s">
        <v>46</v>
      </c>
      <c r="H51">
        <v>2</v>
      </c>
      <c r="I51">
        <v>1</v>
      </c>
      <c r="J51">
        <v>1.1809999999972578</v>
      </c>
      <c r="K51">
        <v>1.2009999999961727</v>
      </c>
      <c r="L51">
        <v>99.694000000000003</v>
      </c>
      <c r="M51">
        <v>99.66</v>
      </c>
      <c r="N51" t="s">
        <v>436</v>
      </c>
      <c r="O51" t="s">
        <v>437</v>
      </c>
      <c r="P51" t="s">
        <v>49</v>
      </c>
      <c r="Q51" s="59">
        <v>45982</v>
      </c>
      <c r="R51" s="59">
        <v>46174</v>
      </c>
      <c r="S51">
        <v>1.700205338809035</v>
      </c>
      <c r="T51">
        <v>99.676999999999992</v>
      </c>
      <c r="U51">
        <v>76</v>
      </c>
      <c r="V51">
        <v>1.5</v>
      </c>
      <c r="W51">
        <v>1</v>
      </c>
      <c r="X51" s="59">
        <v>45994</v>
      </c>
      <c r="Y51" s="66">
        <f t="shared" ca="1" si="0"/>
        <v>0.26944444444444443</v>
      </c>
      <c r="Z51" s="66">
        <f t="shared" ca="1" si="1"/>
        <v>99.407555555555547</v>
      </c>
      <c r="AA51">
        <v>1.1909999999967154</v>
      </c>
    </row>
    <row r="52" spans="1:27" x14ac:dyDescent="0.45">
      <c r="A52" t="s">
        <v>438</v>
      </c>
      <c r="B52" t="s">
        <v>272</v>
      </c>
      <c r="C52" t="s">
        <v>257</v>
      </c>
      <c r="D52" t="s">
        <v>43</v>
      </c>
      <c r="E52" t="s">
        <v>44</v>
      </c>
      <c r="F52" t="s">
        <v>439</v>
      </c>
      <c r="G52" t="s">
        <v>46</v>
      </c>
      <c r="H52">
        <v>2</v>
      </c>
      <c r="I52">
        <v>0.1</v>
      </c>
      <c r="J52">
        <v>1.1779999999999933</v>
      </c>
      <c r="K52">
        <v>1.2019999999999986</v>
      </c>
      <c r="L52">
        <v>98.125</v>
      </c>
      <c r="M52">
        <v>98.084000000000003</v>
      </c>
      <c r="N52" t="s">
        <v>440</v>
      </c>
      <c r="O52" t="s">
        <v>441</v>
      </c>
      <c r="P52" t="s">
        <v>49</v>
      </c>
      <c r="Q52" s="59">
        <v>43074</v>
      </c>
      <c r="R52" s="59">
        <v>46193</v>
      </c>
      <c r="S52">
        <v>1.7522245037645447</v>
      </c>
      <c r="T52">
        <v>98.104500000000002</v>
      </c>
      <c r="U52">
        <v>14</v>
      </c>
      <c r="V52">
        <v>1.5</v>
      </c>
      <c r="W52">
        <v>9</v>
      </c>
      <c r="X52" s="59">
        <v>46013</v>
      </c>
      <c r="Y52" s="66">
        <f t="shared" ca="1" si="0"/>
        <v>2.1666666666666667E-2</v>
      </c>
      <c r="Z52" s="66">
        <f t="shared" ca="1" si="1"/>
        <v>98.08283333333334</v>
      </c>
      <c r="AA52">
        <v>1.1899999999999959</v>
      </c>
    </row>
    <row r="53" spans="1:27" x14ac:dyDescent="0.45">
      <c r="A53" t="s">
        <v>442</v>
      </c>
      <c r="B53" t="s">
        <v>262</v>
      </c>
      <c r="C53" t="s">
        <v>257</v>
      </c>
      <c r="D53" t="s">
        <v>43</v>
      </c>
      <c r="E53" t="s">
        <v>44</v>
      </c>
      <c r="F53" t="s">
        <v>439</v>
      </c>
      <c r="G53" t="s">
        <v>46</v>
      </c>
      <c r="H53">
        <v>2</v>
      </c>
      <c r="I53">
        <v>2.1</v>
      </c>
      <c r="J53">
        <v>1.1690000005561345</v>
      </c>
      <c r="K53">
        <v>1.1910000005101067</v>
      </c>
      <c r="L53">
        <v>101.619</v>
      </c>
      <c r="M53">
        <v>101.58</v>
      </c>
      <c r="N53" t="s">
        <v>443</v>
      </c>
      <c r="O53" t="s">
        <v>444</v>
      </c>
      <c r="P53" t="s">
        <v>49</v>
      </c>
      <c r="Q53" s="59">
        <v>39434</v>
      </c>
      <c r="R53" s="59">
        <v>46193</v>
      </c>
      <c r="S53">
        <v>1.7522245037645447</v>
      </c>
      <c r="T53">
        <v>101.59950000000001</v>
      </c>
      <c r="U53">
        <v>124</v>
      </c>
      <c r="V53">
        <v>1.5</v>
      </c>
      <c r="W53">
        <v>19</v>
      </c>
      <c r="X53" s="59">
        <v>46013</v>
      </c>
      <c r="Y53" s="66">
        <f t="shared" ca="1" si="0"/>
        <v>0.45500000000000002</v>
      </c>
      <c r="Z53" s="66">
        <f t="shared" ca="1" si="1"/>
        <v>101.14450000000001</v>
      </c>
      <c r="AA53">
        <v>1.1800000005331206</v>
      </c>
    </row>
    <row r="54" spans="1:27" x14ac:dyDescent="0.45">
      <c r="A54" t="s">
        <v>445</v>
      </c>
      <c r="B54" t="s">
        <v>256</v>
      </c>
      <c r="C54" t="s">
        <v>257</v>
      </c>
      <c r="D54" t="s">
        <v>43</v>
      </c>
      <c r="E54" t="s">
        <v>44</v>
      </c>
      <c r="F54" t="s">
        <v>439</v>
      </c>
      <c r="G54" t="s">
        <v>46</v>
      </c>
      <c r="H54">
        <v>2</v>
      </c>
      <c r="I54">
        <v>0.2</v>
      </c>
      <c r="J54">
        <v>1.1789999999999872</v>
      </c>
      <c r="K54">
        <v>1.2040000000000017</v>
      </c>
      <c r="L54">
        <v>98.296999999999997</v>
      </c>
      <c r="M54">
        <v>98.254000000000005</v>
      </c>
      <c r="N54" t="s">
        <v>446</v>
      </c>
      <c r="O54" t="s">
        <v>447</v>
      </c>
      <c r="P54" t="s">
        <v>49</v>
      </c>
      <c r="Q54" s="59">
        <v>44966</v>
      </c>
      <c r="R54" s="59">
        <v>46193</v>
      </c>
      <c r="S54">
        <v>1.7522245037645447</v>
      </c>
      <c r="T54">
        <v>98.275499999999994</v>
      </c>
      <c r="U54">
        <v>311</v>
      </c>
      <c r="V54">
        <v>1.5</v>
      </c>
      <c r="W54">
        <v>3</v>
      </c>
      <c r="X54" s="59">
        <v>46013</v>
      </c>
      <c r="Y54" s="66">
        <f t="shared" ca="1" si="0"/>
        <v>4.3333333333333335E-2</v>
      </c>
      <c r="Z54" s="66">
        <f t="shared" ca="1" si="1"/>
        <v>98.232166666666657</v>
      </c>
      <c r="AA54">
        <v>1.1914999999999945</v>
      </c>
    </row>
    <row r="55" spans="1:27" x14ac:dyDescent="0.45">
      <c r="A55" t="s">
        <v>448</v>
      </c>
      <c r="B55" t="s">
        <v>256</v>
      </c>
      <c r="C55" t="s">
        <v>257</v>
      </c>
      <c r="D55" t="s">
        <v>43</v>
      </c>
      <c r="E55" t="s">
        <v>44</v>
      </c>
      <c r="F55" t="s">
        <v>439</v>
      </c>
      <c r="G55" t="s">
        <v>46</v>
      </c>
      <c r="H55">
        <v>2</v>
      </c>
      <c r="I55">
        <v>0.3</v>
      </c>
      <c r="J55">
        <v>1.1819999994167807</v>
      </c>
      <c r="K55">
        <v>1.2059999999999877</v>
      </c>
      <c r="L55">
        <v>98.465999999999994</v>
      </c>
      <c r="M55">
        <v>98.424999999999997</v>
      </c>
      <c r="N55" t="s">
        <v>449</v>
      </c>
      <c r="O55" t="s">
        <v>450</v>
      </c>
      <c r="P55" t="s">
        <v>49</v>
      </c>
      <c r="Q55" s="59">
        <v>44932</v>
      </c>
      <c r="R55" s="59">
        <v>46193</v>
      </c>
      <c r="S55">
        <v>1.7522245037645447</v>
      </c>
      <c r="T55">
        <v>98.445499999999996</v>
      </c>
      <c r="U55">
        <v>314</v>
      </c>
      <c r="V55">
        <v>1.5</v>
      </c>
      <c r="W55">
        <v>3</v>
      </c>
      <c r="X55" s="59">
        <v>46013</v>
      </c>
      <c r="Y55" s="66">
        <f t="shared" ca="1" si="0"/>
        <v>6.5000000000000002E-2</v>
      </c>
      <c r="Z55" s="66">
        <f t="shared" ca="1" si="1"/>
        <v>98.380499999999998</v>
      </c>
      <c r="AA55">
        <v>1.1939999997083843</v>
      </c>
    </row>
    <row r="56" spans="1:27" x14ac:dyDescent="0.45">
      <c r="A56" t="s">
        <v>451</v>
      </c>
      <c r="B56" t="s">
        <v>276</v>
      </c>
      <c r="C56" t="s">
        <v>257</v>
      </c>
      <c r="D56" t="s">
        <v>43</v>
      </c>
      <c r="E56" t="s">
        <v>44</v>
      </c>
      <c r="F56" t="s">
        <v>452</v>
      </c>
      <c r="G56" t="s">
        <v>46</v>
      </c>
      <c r="H56">
        <v>2</v>
      </c>
      <c r="I56">
        <v>1.1000000000000001</v>
      </c>
      <c r="J56">
        <v>1.1979999999996318</v>
      </c>
      <c r="K56">
        <v>1.2199999999993183</v>
      </c>
      <c r="L56">
        <v>99.825999999999993</v>
      </c>
      <c r="M56">
        <v>99.787000000000006</v>
      </c>
      <c r="N56" t="s">
        <v>453</v>
      </c>
      <c r="O56" t="s">
        <v>454</v>
      </c>
      <c r="P56" t="s">
        <v>49</v>
      </c>
      <c r="Q56" s="59">
        <v>46009</v>
      </c>
      <c r="R56" s="59">
        <v>46204</v>
      </c>
      <c r="S56">
        <v>1.78507871321013</v>
      </c>
      <c r="T56">
        <v>99.8065</v>
      </c>
      <c r="U56">
        <v>78</v>
      </c>
      <c r="V56">
        <v>1.5</v>
      </c>
      <c r="W56">
        <v>1</v>
      </c>
      <c r="X56" s="59">
        <v>46024</v>
      </c>
      <c r="Y56" s="66">
        <f t="shared" ca="1" si="0"/>
        <v>0.20472222222222225</v>
      </c>
      <c r="Z56" s="66">
        <f t="shared" ca="1" si="1"/>
        <v>99.601777777777784</v>
      </c>
      <c r="AA56">
        <v>1.2089999999994752</v>
      </c>
    </row>
    <row r="57" spans="1:27" x14ac:dyDescent="0.45">
      <c r="A57" t="s">
        <v>455</v>
      </c>
      <c r="B57" t="s">
        <v>276</v>
      </c>
      <c r="C57" t="s">
        <v>257</v>
      </c>
      <c r="D57" t="s">
        <v>43</v>
      </c>
      <c r="E57" t="s">
        <v>44</v>
      </c>
      <c r="F57" t="s">
        <v>456</v>
      </c>
      <c r="G57" t="s">
        <v>46</v>
      </c>
      <c r="H57">
        <v>2</v>
      </c>
      <c r="I57">
        <v>1.3</v>
      </c>
      <c r="J57">
        <v>1.2180000000001769</v>
      </c>
      <c r="K57">
        <v>1.2410000000000623</v>
      </c>
      <c r="L57">
        <v>100.151</v>
      </c>
      <c r="M57">
        <v>100.10899999999999</v>
      </c>
      <c r="N57" t="s">
        <v>457</v>
      </c>
      <c r="O57" t="s">
        <v>458</v>
      </c>
      <c r="P57" t="s">
        <v>49</v>
      </c>
      <c r="Q57" s="59">
        <v>46045</v>
      </c>
      <c r="R57" s="59">
        <v>46235</v>
      </c>
      <c r="S57">
        <v>1.8699520876112252</v>
      </c>
      <c r="T57">
        <v>100.13</v>
      </c>
      <c r="U57">
        <v>223</v>
      </c>
      <c r="V57">
        <v>1.5</v>
      </c>
      <c r="W57">
        <v>0</v>
      </c>
      <c r="X57" s="59">
        <v>46055</v>
      </c>
      <c r="Y57" s="66">
        <f t="shared" ca="1" si="0"/>
        <v>0.13</v>
      </c>
      <c r="Z57" s="66">
        <f t="shared" ca="1" si="1"/>
        <v>100</v>
      </c>
      <c r="AA57">
        <v>1.2295000000001197</v>
      </c>
    </row>
    <row r="58" spans="1:27" x14ac:dyDescent="0.45">
      <c r="A58" t="s">
        <v>459</v>
      </c>
      <c r="B58" t="s">
        <v>276</v>
      </c>
      <c r="C58" t="s">
        <v>257</v>
      </c>
      <c r="D58" t="s">
        <v>43</v>
      </c>
      <c r="E58" t="s">
        <v>44</v>
      </c>
      <c r="F58" t="s">
        <v>460</v>
      </c>
      <c r="G58" t="s">
        <v>46</v>
      </c>
      <c r="H58">
        <v>2</v>
      </c>
      <c r="I58">
        <v>1.3</v>
      </c>
      <c r="J58">
        <v>1.2350000000000778</v>
      </c>
      <c r="K58">
        <v>1.2550000000000199</v>
      </c>
      <c r="L58">
        <v>100.125</v>
      </c>
      <c r="M58">
        <v>100.086</v>
      </c>
      <c r="N58" t="s">
        <v>461</v>
      </c>
      <c r="O58" t="s">
        <v>462</v>
      </c>
      <c r="P58" t="s">
        <v>291</v>
      </c>
      <c r="Q58" s="59">
        <v>46073</v>
      </c>
      <c r="R58" s="59">
        <v>46266</v>
      </c>
      <c r="S58">
        <v>1.9493497604380561</v>
      </c>
      <c r="T58">
        <v>100.10550000000001</v>
      </c>
      <c r="U58">
        <v>81</v>
      </c>
      <c r="V58">
        <v>1.5</v>
      </c>
      <c r="W58">
        <v>0</v>
      </c>
      <c r="X58" s="59">
        <v>46086</v>
      </c>
      <c r="Y58" s="66">
        <f t="shared" ca="1" si="0"/>
        <v>1.8055555555555554E-2</v>
      </c>
      <c r="Z58" s="66">
        <f t="shared" ca="1" si="1"/>
        <v>100.08744444444446</v>
      </c>
      <c r="AA58">
        <v>1.245000000000049</v>
      </c>
    </row>
    <row r="59" spans="1:27" x14ac:dyDescent="0.45">
      <c r="A59" t="s">
        <v>463</v>
      </c>
      <c r="B59" t="s">
        <v>272</v>
      </c>
      <c r="C59" t="s">
        <v>257</v>
      </c>
      <c r="D59" t="s">
        <v>43</v>
      </c>
      <c r="E59" t="s">
        <v>44</v>
      </c>
      <c r="F59" t="s">
        <v>464</v>
      </c>
      <c r="G59" t="s">
        <v>46</v>
      </c>
      <c r="H59">
        <v>2</v>
      </c>
      <c r="I59">
        <v>0.1</v>
      </c>
      <c r="J59">
        <v>1.2129999999999999</v>
      </c>
      <c r="K59">
        <v>1.2359999999999975</v>
      </c>
      <c r="L59">
        <v>97.802999999999997</v>
      </c>
      <c r="M59">
        <v>97.759</v>
      </c>
      <c r="N59" t="s">
        <v>465</v>
      </c>
      <c r="O59" t="s">
        <v>466</v>
      </c>
      <c r="P59" t="s">
        <v>49</v>
      </c>
      <c r="Q59" s="59">
        <v>43160</v>
      </c>
      <c r="R59" s="59">
        <v>46101</v>
      </c>
      <c r="S59">
        <v>2.001368925393566</v>
      </c>
      <c r="T59">
        <v>97.781000000000006</v>
      </c>
      <c r="U59">
        <v>17</v>
      </c>
      <c r="V59">
        <v>2</v>
      </c>
      <c r="W59">
        <v>8</v>
      </c>
      <c r="X59" s="59">
        <v>45921</v>
      </c>
      <c r="Y59" s="66">
        <f t="shared" ca="1" si="0"/>
        <v>4.7222222222222221E-2</v>
      </c>
      <c r="Z59" s="66">
        <f t="shared" ca="1" si="1"/>
        <v>97.733777777777789</v>
      </c>
      <c r="AA59">
        <v>1.2244999999999986</v>
      </c>
    </row>
    <row r="60" spans="1:27" x14ac:dyDescent="0.45">
      <c r="A60" t="s">
        <v>467</v>
      </c>
      <c r="B60" t="s">
        <v>262</v>
      </c>
      <c r="C60" t="s">
        <v>257</v>
      </c>
      <c r="D60" t="s">
        <v>43</v>
      </c>
      <c r="E60" t="s">
        <v>44</v>
      </c>
      <c r="F60" t="s">
        <v>464</v>
      </c>
      <c r="G60" t="s">
        <v>46</v>
      </c>
      <c r="H60">
        <v>2</v>
      </c>
      <c r="I60">
        <v>2.2000000000000002</v>
      </c>
      <c r="J60">
        <v>1.195000000000001</v>
      </c>
      <c r="K60">
        <v>1.2179999999999833</v>
      </c>
      <c r="L60">
        <v>101.98399999999999</v>
      </c>
      <c r="M60">
        <v>101.937</v>
      </c>
      <c r="N60" t="s">
        <v>468</v>
      </c>
      <c r="O60" t="s">
        <v>469</v>
      </c>
      <c r="P60" t="s">
        <v>49</v>
      </c>
      <c r="Q60" s="59">
        <v>39525</v>
      </c>
      <c r="R60" s="59">
        <v>46101</v>
      </c>
      <c r="S60">
        <v>2.001368925393566</v>
      </c>
      <c r="T60">
        <v>101.9605</v>
      </c>
      <c r="U60">
        <v>125</v>
      </c>
      <c r="V60">
        <v>2</v>
      </c>
      <c r="W60">
        <v>18</v>
      </c>
      <c r="X60" s="59">
        <v>45921</v>
      </c>
      <c r="Y60" s="66">
        <f t="shared" ca="1" si="0"/>
        <v>1.038888888888889</v>
      </c>
      <c r="Z60" s="66">
        <f t="shared" ca="1" si="1"/>
        <v>100.9216111111111</v>
      </c>
      <c r="AA60">
        <v>1.2064999999999921</v>
      </c>
    </row>
    <row r="61" spans="1:27" x14ac:dyDescent="0.45">
      <c r="A61" t="s">
        <v>470</v>
      </c>
      <c r="B61" t="s">
        <v>262</v>
      </c>
      <c r="C61" t="s">
        <v>257</v>
      </c>
      <c r="D61" t="s">
        <v>43</v>
      </c>
      <c r="E61" t="s">
        <v>44</v>
      </c>
      <c r="F61" t="s">
        <v>464</v>
      </c>
      <c r="G61" t="s">
        <v>46</v>
      </c>
      <c r="H61">
        <v>2</v>
      </c>
      <c r="I61">
        <v>2.4</v>
      </c>
      <c r="J61">
        <v>1.192999999999989</v>
      </c>
      <c r="K61">
        <v>1.2149999999999852</v>
      </c>
      <c r="L61">
        <v>102.38200000000001</v>
      </c>
      <c r="M61">
        <v>102.33799999999999</v>
      </c>
      <c r="N61" t="s">
        <v>471</v>
      </c>
      <c r="O61" t="s">
        <v>472</v>
      </c>
      <c r="P61" t="s">
        <v>49</v>
      </c>
      <c r="Q61" s="59">
        <v>39595</v>
      </c>
      <c r="R61" s="59">
        <v>46101</v>
      </c>
      <c r="S61">
        <v>2.001368925393566</v>
      </c>
      <c r="T61">
        <v>102.36</v>
      </c>
      <c r="U61">
        <v>127</v>
      </c>
      <c r="V61">
        <v>2</v>
      </c>
      <c r="W61">
        <v>18</v>
      </c>
      <c r="X61" s="59">
        <v>45921</v>
      </c>
      <c r="Y61" s="66">
        <f t="shared" ca="1" si="0"/>
        <v>1.1333333333333333</v>
      </c>
      <c r="Z61" s="66">
        <f t="shared" ca="1" si="1"/>
        <v>101.22666666666666</v>
      </c>
      <c r="AA61">
        <v>1.2039999999999871</v>
      </c>
    </row>
    <row r="62" spans="1:27" x14ac:dyDescent="0.45">
      <c r="A62" t="s">
        <v>473</v>
      </c>
      <c r="B62" t="s">
        <v>256</v>
      </c>
      <c r="C62" t="s">
        <v>257</v>
      </c>
      <c r="D62" t="s">
        <v>43</v>
      </c>
      <c r="E62" t="s">
        <v>44</v>
      </c>
      <c r="F62" t="s">
        <v>464</v>
      </c>
      <c r="G62" t="s">
        <v>46</v>
      </c>
      <c r="H62">
        <v>2</v>
      </c>
      <c r="I62">
        <v>0.2</v>
      </c>
      <c r="J62">
        <v>1.215000000000001</v>
      </c>
      <c r="K62">
        <v>1.2390000000000001</v>
      </c>
      <c r="L62">
        <v>97.995999999999995</v>
      </c>
      <c r="M62">
        <v>97.95</v>
      </c>
      <c r="N62" t="s">
        <v>474</v>
      </c>
      <c r="O62" t="s">
        <v>475</v>
      </c>
      <c r="P62" t="s">
        <v>49</v>
      </c>
      <c r="Q62" s="59">
        <v>45020</v>
      </c>
      <c r="R62" s="59">
        <v>46101</v>
      </c>
      <c r="S62">
        <v>2.001368925393566</v>
      </c>
      <c r="T62">
        <v>97.972999999999999</v>
      </c>
      <c r="U62">
        <v>307</v>
      </c>
      <c r="V62">
        <v>2</v>
      </c>
      <c r="W62">
        <v>3</v>
      </c>
      <c r="X62" s="59">
        <v>45921</v>
      </c>
      <c r="Y62" s="66">
        <f t="shared" ca="1" si="0"/>
        <v>9.4444444444444442E-2</v>
      </c>
      <c r="Z62" s="66">
        <f t="shared" ca="1" si="1"/>
        <v>97.87855555555555</v>
      </c>
      <c r="AA62">
        <v>1.2270000000000005</v>
      </c>
    </row>
    <row r="63" spans="1:27" x14ac:dyDescent="0.45">
      <c r="A63" t="s">
        <v>476</v>
      </c>
      <c r="B63" t="s">
        <v>256</v>
      </c>
      <c r="C63" t="s">
        <v>257</v>
      </c>
      <c r="D63" t="s">
        <v>43</v>
      </c>
      <c r="E63" t="s">
        <v>44</v>
      </c>
      <c r="F63" t="s">
        <v>464</v>
      </c>
      <c r="G63" t="s">
        <v>46</v>
      </c>
      <c r="H63">
        <v>2</v>
      </c>
      <c r="I63">
        <v>0.1</v>
      </c>
      <c r="J63">
        <v>1.2159999999999946</v>
      </c>
      <c r="K63">
        <v>1.2400000000000002</v>
      </c>
      <c r="L63">
        <v>97.796999999999997</v>
      </c>
      <c r="M63">
        <v>97.751000000000005</v>
      </c>
      <c r="N63" t="s">
        <v>477</v>
      </c>
      <c r="O63" t="s">
        <v>478</v>
      </c>
      <c r="P63" t="s">
        <v>49</v>
      </c>
      <c r="Q63" s="59">
        <v>45054</v>
      </c>
      <c r="R63" s="59">
        <v>46101</v>
      </c>
      <c r="S63">
        <v>2.001368925393566</v>
      </c>
      <c r="T63">
        <v>97.774000000000001</v>
      </c>
      <c r="U63">
        <v>309</v>
      </c>
      <c r="V63">
        <v>2</v>
      </c>
      <c r="W63">
        <v>3</v>
      </c>
      <c r="X63" s="59">
        <v>45921</v>
      </c>
      <c r="Y63" s="66">
        <f t="shared" ca="1" si="0"/>
        <v>4.7222222222222221E-2</v>
      </c>
      <c r="Z63" s="66">
        <f t="shared" ca="1" si="1"/>
        <v>97.726777777777784</v>
      </c>
      <c r="AA63">
        <v>1.2279999999999975</v>
      </c>
    </row>
    <row r="64" spans="1:27" x14ac:dyDescent="0.45">
      <c r="A64" t="s">
        <v>479</v>
      </c>
      <c r="B64" t="s">
        <v>272</v>
      </c>
      <c r="C64" t="s">
        <v>257</v>
      </c>
      <c r="D64" t="s">
        <v>43</v>
      </c>
      <c r="E64" t="s">
        <v>44</v>
      </c>
      <c r="F64" t="s">
        <v>480</v>
      </c>
      <c r="G64" t="s">
        <v>46</v>
      </c>
      <c r="H64">
        <v>2</v>
      </c>
      <c r="I64">
        <v>0.1</v>
      </c>
      <c r="J64">
        <v>1.2409999999999946</v>
      </c>
      <c r="K64">
        <v>1.2620000000000002</v>
      </c>
      <c r="L64">
        <v>97.475999999999999</v>
      </c>
      <c r="M64">
        <v>97.430999999999997</v>
      </c>
      <c r="N64" t="s">
        <v>481</v>
      </c>
      <c r="O64" t="s">
        <v>482</v>
      </c>
      <c r="P64" t="s">
        <v>49</v>
      </c>
      <c r="Q64" s="59">
        <v>43284</v>
      </c>
      <c r="R64" s="59">
        <v>46193</v>
      </c>
      <c r="S64">
        <v>2.2532511978097194</v>
      </c>
      <c r="T64">
        <v>97.453499999999991</v>
      </c>
      <c r="U64">
        <v>21</v>
      </c>
      <c r="V64">
        <v>2</v>
      </c>
      <c r="W64">
        <v>8</v>
      </c>
      <c r="X64" s="59">
        <v>46013</v>
      </c>
      <c r="Y64" s="66">
        <f t="shared" ca="1" si="0"/>
        <v>2.1666666666666667E-2</v>
      </c>
      <c r="Z64" s="66">
        <f t="shared" ca="1" si="1"/>
        <v>97.43183333333333</v>
      </c>
      <c r="AA64">
        <v>1.2514999999999974</v>
      </c>
    </row>
    <row r="65" spans="1:27" x14ac:dyDescent="0.45">
      <c r="A65" t="s">
        <v>483</v>
      </c>
      <c r="B65" t="s">
        <v>262</v>
      </c>
      <c r="C65" t="s">
        <v>257</v>
      </c>
      <c r="D65" t="s">
        <v>43</v>
      </c>
      <c r="E65" t="s">
        <v>44</v>
      </c>
      <c r="F65" t="s">
        <v>480</v>
      </c>
      <c r="G65" t="s">
        <v>46</v>
      </c>
      <c r="H65">
        <v>2</v>
      </c>
      <c r="I65">
        <v>2.4</v>
      </c>
      <c r="J65">
        <v>1.218000000000002</v>
      </c>
      <c r="K65">
        <v>1.2420000000000011</v>
      </c>
      <c r="L65">
        <v>102.61499999999999</v>
      </c>
      <c r="M65">
        <v>102.56</v>
      </c>
      <c r="N65" t="s">
        <v>484</v>
      </c>
      <c r="O65" t="s">
        <v>485</v>
      </c>
      <c r="P65" t="s">
        <v>49</v>
      </c>
      <c r="Q65" s="59">
        <v>39616</v>
      </c>
      <c r="R65" s="59">
        <v>46193</v>
      </c>
      <c r="S65">
        <v>2.2532511978097194</v>
      </c>
      <c r="T65">
        <v>102.58750000000001</v>
      </c>
      <c r="U65">
        <v>128</v>
      </c>
      <c r="V65">
        <v>2</v>
      </c>
      <c r="W65">
        <v>18</v>
      </c>
      <c r="X65" s="59">
        <v>46013</v>
      </c>
      <c r="Y65" s="66">
        <f t="shared" ca="1" si="0"/>
        <v>0.52</v>
      </c>
      <c r="Z65" s="66">
        <f t="shared" ca="1" si="1"/>
        <v>102.06750000000001</v>
      </c>
      <c r="AA65">
        <v>1.2300000000000015</v>
      </c>
    </row>
    <row r="66" spans="1:27" x14ac:dyDescent="0.45">
      <c r="A66" t="s">
        <v>486</v>
      </c>
      <c r="B66" t="s">
        <v>262</v>
      </c>
      <c r="C66" t="s">
        <v>257</v>
      </c>
      <c r="D66" t="s">
        <v>43</v>
      </c>
      <c r="E66" t="s">
        <v>44</v>
      </c>
      <c r="F66" t="s">
        <v>480</v>
      </c>
      <c r="G66" t="s">
        <v>46</v>
      </c>
      <c r="H66">
        <v>2</v>
      </c>
      <c r="I66">
        <v>2.2999999999999998</v>
      </c>
      <c r="J66">
        <v>1.2189999999999979</v>
      </c>
      <c r="K66">
        <v>1.2419999999999962</v>
      </c>
      <c r="L66">
        <v>102.39100000000001</v>
      </c>
      <c r="M66">
        <v>102.339</v>
      </c>
      <c r="N66" t="s">
        <v>487</v>
      </c>
      <c r="O66" t="s">
        <v>488</v>
      </c>
      <c r="P66" t="s">
        <v>49</v>
      </c>
      <c r="Q66" s="59">
        <v>39653</v>
      </c>
      <c r="R66" s="59">
        <v>46193</v>
      </c>
      <c r="S66">
        <v>2.2532511978097194</v>
      </c>
      <c r="T66">
        <v>102.36500000000001</v>
      </c>
      <c r="U66">
        <v>129</v>
      </c>
      <c r="V66">
        <v>2</v>
      </c>
      <c r="W66">
        <v>18</v>
      </c>
      <c r="X66" s="59">
        <v>46013</v>
      </c>
      <c r="Y66" s="66">
        <f t="shared" ref="Y66:Y129" ca="1" si="2">((TODAY()-10)-X66)/180*(I66/2)</f>
        <v>0.49833333333333329</v>
      </c>
      <c r="Z66" s="66">
        <f t="shared" ca="1" si="1"/>
        <v>101.86666666666667</v>
      </c>
      <c r="AA66">
        <v>1.230499999999997</v>
      </c>
    </row>
    <row r="67" spans="1:27" x14ac:dyDescent="0.45">
      <c r="A67" t="s">
        <v>489</v>
      </c>
      <c r="B67" t="s">
        <v>262</v>
      </c>
      <c r="C67" t="s">
        <v>257</v>
      </c>
      <c r="D67" t="s">
        <v>43</v>
      </c>
      <c r="E67" t="s">
        <v>44</v>
      </c>
      <c r="F67" t="s">
        <v>480</v>
      </c>
      <c r="G67" t="s">
        <v>46</v>
      </c>
      <c r="H67">
        <v>2</v>
      </c>
      <c r="I67">
        <v>2.1</v>
      </c>
      <c r="J67">
        <v>1.2239999999999986</v>
      </c>
      <c r="K67">
        <v>1.2480000000000002</v>
      </c>
      <c r="L67">
        <v>101.938</v>
      </c>
      <c r="M67">
        <v>101.883</v>
      </c>
      <c r="N67" t="s">
        <v>490</v>
      </c>
      <c r="O67" t="s">
        <v>491</v>
      </c>
      <c r="P67" t="s">
        <v>49</v>
      </c>
      <c r="Q67" s="59">
        <v>39686</v>
      </c>
      <c r="R67" s="59">
        <v>46193</v>
      </c>
      <c r="S67">
        <v>2.2532511978097194</v>
      </c>
      <c r="T67">
        <v>101.9105</v>
      </c>
      <c r="U67">
        <v>130</v>
      </c>
      <c r="V67">
        <v>2</v>
      </c>
      <c r="W67">
        <v>18</v>
      </c>
      <c r="X67" s="59">
        <v>46013</v>
      </c>
      <c r="Y67" s="66">
        <f t="shared" ca="1" si="2"/>
        <v>0.45500000000000002</v>
      </c>
      <c r="Z67" s="66">
        <f t="shared" ref="Z67:Z130" ca="1" si="3">T67-Y67</f>
        <v>101.4555</v>
      </c>
      <c r="AA67">
        <v>1.2359999999999993</v>
      </c>
    </row>
    <row r="68" spans="1:27" x14ac:dyDescent="0.45">
      <c r="A68" t="s">
        <v>492</v>
      </c>
      <c r="B68" t="s">
        <v>256</v>
      </c>
      <c r="C68" t="s">
        <v>257</v>
      </c>
      <c r="D68" t="s">
        <v>43</v>
      </c>
      <c r="E68" t="s">
        <v>44</v>
      </c>
      <c r="F68" t="s">
        <v>480</v>
      </c>
      <c r="G68" t="s">
        <v>46</v>
      </c>
      <c r="H68">
        <v>2</v>
      </c>
      <c r="I68">
        <v>0.2</v>
      </c>
      <c r="J68">
        <v>1.2439999999999851</v>
      </c>
      <c r="K68">
        <v>1.2689999999999895</v>
      </c>
      <c r="L68">
        <v>97.691000000000003</v>
      </c>
      <c r="M68">
        <v>97.637</v>
      </c>
      <c r="N68" t="s">
        <v>493</v>
      </c>
      <c r="O68" t="s">
        <v>494</v>
      </c>
      <c r="P68" t="s">
        <v>49</v>
      </c>
      <c r="Q68" s="59">
        <v>45146</v>
      </c>
      <c r="R68" s="59">
        <v>46193</v>
      </c>
      <c r="S68">
        <v>2.2532511978097194</v>
      </c>
      <c r="T68">
        <v>97.664000000000001</v>
      </c>
      <c r="U68">
        <v>299</v>
      </c>
      <c r="V68">
        <v>2</v>
      </c>
      <c r="W68">
        <v>3</v>
      </c>
      <c r="X68" s="59">
        <v>46013</v>
      </c>
      <c r="Y68" s="66">
        <f t="shared" ca="1" si="2"/>
        <v>4.3333333333333335E-2</v>
      </c>
      <c r="Z68" s="66">
        <f t="shared" ca="1" si="3"/>
        <v>97.620666666666665</v>
      </c>
      <c r="AA68">
        <v>1.2564999999999873</v>
      </c>
    </row>
    <row r="69" spans="1:27" x14ac:dyDescent="0.45">
      <c r="A69" t="s">
        <v>495</v>
      </c>
      <c r="B69" t="s">
        <v>256</v>
      </c>
      <c r="C69" t="s">
        <v>257</v>
      </c>
      <c r="D69" t="s">
        <v>43</v>
      </c>
      <c r="E69" t="s">
        <v>44</v>
      </c>
      <c r="F69" t="s">
        <v>480</v>
      </c>
      <c r="G69" t="s">
        <v>46</v>
      </c>
      <c r="H69">
        <v>2</v>
      </c>
      <c r="I69">
        <v>0.3</v>
      </c>
      <c r="J69">
        <v>1.2420000000000044</v>
      </c>
      <c r="K69">
        <v>1.2669999999999921</v>
      </c>
      <c r="L69">
        <v>97.915999999999997</v>
      </c>
      <c r="M69">
        <v>97.861999999999995</v>
      </c>
      <c r="N69" t="s">
        <v>496</v>
      </c>
      <c r="O69" t="s">
        <v>497</v>
      </c>
      <c r="P69" t="s">
        <v>49</v>
      </c>
      <c r="Q69" s="59">
        <v>45174</v>
      </c>
      <c r="R69" s="59">
        <v>46193</v>
      </c>
      <c r="S69">
        <v>2.2532511978097194</v>
      </c>
      <c r="T69">
        <v>97.888999999999996</v>
      </c>
      <c r="U69">
        <v>300</v>
      </c>
      <c r="V69">
        <v>2</v>
      </c>
      <c r="W69">
        <v>3</v>
      </c>
      <c r="X69" s="59">
        <v>46013</v>
      </c>
      <c r="Y69" s="66">
        <f t="shared" ca="1" si="2"/>
        <v>6.5000000000000002E-2</v>
      </c>
      <c r="Z69" s="66">
        <f t="shared" ca="1" si="3"/>
        <v>97.823999999999998</v>
      </c>
      <c r="AA69">
        <v>1.2544999999999984</v>
      </c>
    </row>
    <row r="70" spans="1:27" x14ac:dyDescent="0.45">
      <c r="A70" t="s">
        <v>498</v>
      </c>
      <c r="B70" t="s">
        <v>256</v>
      </c>
      <c r="C70" t="s">
        <v>257</v>
      </c>
      <c r="D70" t="s">
        <v>43</v>
      </c>
      <c r="E70" t="s">
        <v>44</v>
      </c>
      <c r="F70" t="s">
        <v>480</v>
      </c>
      <c r="G70" t="s">
        <v>46</v>
      </c>
      <c r="H70">
        <v>2</v>
      </c>
      <c r="I70">
        <v>0.1</v>
      </c>
      <c r="J70">
        <v>1.2499999999999907</v>
      </c>
      <c r="K70">
        <v>1.2700000000000102</v>
      </c>
      <c r="L70">
        <v>97.456999999999994</v>
      </c>
      <c r="M70">
        <v>97.414000000000001</v>
      </c>
      <c r="N70" t="s">
        <v>499</v>
      </c>
      <c r="O70" t="s">
        <v>500</v>
      </c>
      <c r="P70" t="s">
        <v>49</v>
      </c>
      <c r="Q70" s="59">
        <v>45111</v>
      </c>
      <c r="R70" s="59">
        <v>46193</v>
      </c>
      <c r="S70">
        <v>2.2532511978097194</v>
      </c>
      <c r="T70">
        <v>97.43549999999999</v>
      </c>
      <c r="U70">
        <v>303</v>
      </c>
      <c r="V70">
        <v>2</v>
      </c>
      <c r="W70">
        <v>3</v>
      </c>
      <c r="X70" s="59">
        <v>46013</v>
      </c>
      <c r="Y70" s="66">
        <f t="shared" ca="1" si="2"/>
        <v>2.1666666666666667E-2</v>
      </c>
      <c r="Z70" s="66">
        <f t="shared" ca="1" si="3"/>
        <v>97.413833333333329</v>
      </c>
      <c r="AA70">
        <v>1.2600000000000005</v>
      </c>
    </row>
    <row r="71" spans="1:27" x14ac:dyDescent="0.45">
      <c r="A71" t="s">
        <v>501</v>
      </c>
      <c r="B71" t="s">
        <v>272</v>
      </c>
      <c r="C71" t="s">
        <v>257</v>
      </c>
      <c r="D71" t="s">
        <v>43</v>
      </c>
      <c r="E71" t="s">
        <v>44</v>
      </c>
      <c r="F71" t="s">
        <v>502</v>
      </c>
      <c r="G71" t="s">
        <v>46</v>
      </c>
      <c r="H71">
        <v>2</v>
      </c>
      <c r="I71">
        <v>0.1</v>
      </c>
      <c r="J71">
        <v>1.271999999999962</v>
      </c>
      <c r="K71">
        <v>1.2949999999999675</v>
      </c>
      <c r="L71">
        <v>97.131</v>
      </c>
      <c r="M71">
        <v>97.076999999999998</v>
      </c>
      <c r="N71" t="s">
        <v>503</v>
      </c>
      <c r="O71" t="s">
        <v>504</v>
      </c>
      <c r="P71" t="s">
        <v>49</v>
      </c>
      <c r="Q71" s="59">
        <v>43375</v>
      </c>
      <c r="R71" s="59">
        <v>46101</v>
      </c>
      <c r="S71">
        <v>2.5051334702258727</v>
      </c>
      <c r="T71">
        <v>97.103999999999999</v>
      </c>
      <c r="U71">
        <v>24</v>
      </c>
      <c r="V71">
        <v>2.5</v>
      </c>
      <c r="W71">
        <v>8</v>
      </c>
      <c r="X71" s="59">
        <v>45921</v>
      </c>
      <c r="Y71" s="66">
        <f t="shared" ca="1" si="2"/>
        <v>4.7222222222222221E-2</v>
      </c>
      <c r="Z71" s="66">
        <f t="shared" ca="1" si="3"/>
        <v>97.056777777777782</v>
      </c>
      <c r="AA71">
        <v>1.2834999999999648</v>
      </c>
    </row>
    <row r="72" spans="1:27" x14ac:dyDescent="0.45">
      <c r="A72" t="s">
        <v>505</v>
      </c>
      <c r="B72" t="s">
        <v>262</v>
      </c>
      <c r="C72" t="s">
        <v>257</v>
      </c>
      <c r="D72" t="s">
        <v>43</v>
      </c>
      <c r="E72" t="s">
        <v>44</v>
      </c>
      <c r="F72" t="s">
        <v>502</v>
      </c>
      <c r="G72" t="s">
        <v>46</v>
      </c>
      <c r="H72">
        <v>2</v>
      </c>
      <c r="I72">
        <v>2.1</v>
      </c>
      <c r="J72">
        <v>1.2479999999999967</v>
      </c>
      <c r="K72">
        <v>1.2709999999999946</v>
      </c>
      <c r="L72">
        <v>102.086</v>
      </c>
      <c r="M72">
        <v>102.02800000000001</v>
      </c>
      <c r="N72" t="s">
        <v>506</v>
      </c>
      <c r="O72" t="s">
        <v>507</v>
      </c>
      <c r="P72" t="s">
        <v>49</v>
      </c>
      <c r="Q72" s="59">
        <v>39709</v>
      </c>
      <c r="R72" s="59">
        <v>46101</v>
      </c>
      <c r="S72">
        <v>2.5051334702258727</v>
      </c>
      <c r="T72">
        <v>102.057</v>
      </c>
      <c r="U72">
        <v>131</v>
      </c>
      <c r="V72">
        <v>2.5</v>
      </c>
      <c r="W72">
        <v>18</v>
      </c>
      <c r="X72" s="59">
        <v>45921</v>
      </c>
      <c r="Y72" s="66">
        <f t="shared" ca="1" si="2"/>
        <v>0.9916666666666667</v>
      </c>
      <c r="Z72" s="66">
        <f t="shared" ca="1" si="3"/>
        <v>101.06533333333334</v>
      </c>
      <c r="AA72">
        <v>1.2594999999999956</v>
      </c>
    </row>
    <row r="73" spans="1:27" x14ac:dyDescent="0.45">
      <c r="A73" t="s">
        <v>508</v>
      </c>
      <c r="B73" t="s">
        <v>262</v>
      </c>
      <c r="C73" t="s">
        <v>257</v>
      </c>
      <c r="D73" t="s">
        <v>43</v>
      </c>
      <c r="E73" t="s">
        <v>44</v>
      </c>
      <c r="F73" t="s">
        <v>502</v>
      </c>
      <c r="G73" t="s">
        <v>46</v>
      </c>
      <c r="H73">
        <v>2</v>
      </c>
      <c r="I73">
        <v>2.2000000000000002</v>
      </c>
      <c r="J73">
        <v>1.249999999999988</v>
      </c>
      <c r="K73">
        <v>1.2749999999999946</v>
      </c>
      <c r="L73">
        <v>102.32599999999999</v>
      </c>
      <c r="M73">
        <v>102.26300000000001</v>
      </c>
      <c r="N73" t="s">
        <v>509</v>
      </c>
      <c r="O73" t="s">
        <v>510</v>
      </c>
      <c r="P73" t="s">
        <v>49</v>
      </c>
      <c r="Q73" s="59">
        <v>39749</v>
      </c>
      <c r="R73" s="59">
        <v>46101</v>
      </c>
      <c r="S73">
        <v>2.5051334702258727</v>
      </c>
      <c r="T73">
        <v>102.2945</v>
      </c>
      <c r="U73">
        <v>133</v>
      </c>
      <c r="V73">
        <v>2.5</v>
      </c>
      <c r="W73">
        <v>18</v>
      </c>
      <c r="X73" s="59">
        <v>45921</v>
      </c>
      <c r="Y73" s="66">
        <f t="shared" ca="1" si="2"/>
        <v>1.038888888888889</v>
      </c>
      <c r="Z73" s="66">
        <f t="shared" ca="1" si="3"/>
        <v>101.25561111111111</v>
      </c>
      <c r="AA73">
        <v>1.2624999999999913</v>
      </c>
    </row>
    <row r="74" spans="1:27" x14ac:dyDescent="0.45">
      <c r="A74" t="s">
        <v>511</v>
      </c>
      <c r="B74" t="s">
        <v>256</v>
      </c>
      <c r="C74" t="s">
        <v>257</v>
      </c>
      <c r="D74" t="s">
        <v>43</v>
      </c>
      <c r="E74" t="s">
        <v>44</v>
      </c>
      <c r="F74" t="s">
        <v>502</v>
      </c>
      <c r="G74" t="s">
        <v>46</v>
      </c>
      <c r="H74">
        <v>2</v>
      </c>
      <c r="I74">
        <v>0.4</v>
      </c>
      <c r="J74">
        <v>1.2739999999999967</v>
      </c>
      <c r="K74">
        <v>1.2979999999999976</v>
      </c>
      <c r="L74">
        <v>97.861000000000004</v>
      </c>
      <c r="M74">
        <v>97.802999999999997</v>
      </c>
      <c r="N74" t="s">
        <v>512</v>
      </c>
      <c r="O74" t="s">
        <v>513</v>
      </c>
      <c r="P74" t="s">
        <v>49</v>
      </c>
      <c r="Q74" s="59">
        <v>45237</v>
      </c>
      <c r="R74" s="59">
        <v>46101</v>
      </c>
      <c r="S74">
        <v>2.5051334702258727</v>
      </c>
      <c r="T74">
        <v>97.831999999999994</v>
      </c>
      <c r="U74">
        <v>294</v>
      </c>
      <c r="V74">
        <v>2.5</v>
      </c>
      <c r="W74">
        <v>3</v>
      </c>
      <c r="X74" s="59">
        <v>45921</v>
      </c>
      <c r="Y74" s="66">
        <f t="shared" ca="1" si="2"/>
        <v>0.18888888888888888</v>
      </c>
      <c r="Z74" s="66">
        <f t="shared" ca="1" si="3"/>
        <v>97.643111111111111</v>
      </c>
      <c r="AA74">
        <v>1.2859999999999971</v>
      </c>
    </row>
    <row r="75" spans="1:27" x14ac:dyDescent="0.45">
      <c r="A75" t="s">
        <v>514</v>
      </c>
      <c r="B75" t="s">
        <v>256</v>
      </c>
      <c r="C75" t="s">
        <v>257</v>
      </c>
      <c r="D75" t="s">
        <v>43</v>
      </c>
      <c r="E75" t="s">
        <v>44</v>
      </c>
      <c r="F75" t="s">
        <v>502</v>
      </c>
      <c r="G75" t="s">
        <v>46</v>
      </c>
      <c r="H75">
        <v>2</v>
      </c>
      <c r="I75">
        <v>0.3</v>
      </c>
      <c r="J75">
        <v>1.2779999999999858</v>
      </c>
      <c r="K75">
        <v>1.3009999999999848</v>
      </c>
      <c r="L75">
        <v>97.605999999999995</v>
      </c>
      <c r="M75">
        <v>97.551000000000002</v>
      </c>
      <c r="N75" t="s">
        <v>515</v>
      </c>
      <c r="O75" t="s">
        <v>516</v>
      </c>
      <c r="P75" t="s">
        <v>49</v>
      </c>
      <c r="Q75" s="59">
        <v>45203</v>
      </c>
      <c r="R75" s="59">
        <v>46101</v>
      </c>
      <c r="S75">
        <v>2.5051334702258727</v>
      </c>
      <c r="T75">
        <v>97.578499999999991</v>
      </c>
      <c r="U75">
        <v>297</v>
      </c>
      <c r="V75">
        <v>2.5</v>
      </c>
      <c r="W75">
        <v>3</v>
      </c>
      <c r="X75" s="59">
        <v>45921</v>
      </c>
      <c r="Y75" s="66">
        <f t="shared" ca="1" si="2"/>
        <v>0.14166666666666666</v>
      </c>
      <c r="Z75" s="66">
        <f t="shared" ca="1" si="3"/>
        <v>97.436833333333325</v>
      </c>
      <c r="AA75">
        <v>1.2894999999999852</v>
      </c>
    </row>
    <row r="76" spans="1:27" x14ac:dyDescent="0.45">
      <c r="A76" t="s">
        <v>517</v>
      </c>
      <c r="B76" t="s">
        <v>272</v>
      </c>
      <c r="C76" t="s">
        <v>257</v>
      </c>
      <c r="D76" t="s">
        <v>43</v>
      </c>
      <c r="E76" t="s">
        <v>44</v>
      </c>
      <c r="F76" t="s">
        <v>518</v>
      </c>
      <c r="G76" t="s">
        <v>46</v>
      </c>
      <c r="H76">
        <v>2</v>
      </c>
      <c r="I76">
        <v>0.1</v>
      </c>
      <c r="J76">
        <v>1.3219999999999656</v>
      </c>
      <c r="K76">
        <v>1.3439999999999634</v>
      </c>
      <c r="L76">
        <v>96.727999999999994</v>
      </c>
      <c r="M76">
        <v>96.671000000000006</v>
      </c>
      <c r="N76" t="s">
        <v>519</v>
      </c>
      <c r="O76" t="s">
        <v>520</v>
      </c>
      <c r="P76" t="s">
        <v>49</v>
      </c>
      <c r="Q76" s="59">
        <v>43473</v>
      </c>
      <c r="R76" s="59">
        <v>46193</v>
      </c>
      <c r="S76">
        <v>2.754277891854894</v>
      </c>
      <c r="T76">
        <v>96.6995</v>
      </c>
      <c r="U76">
        <v>27</v>
      </c>
      <c r="V76">
        <v>2.5</v>
      </c>
      <c r="W76">
        <v>7</v>
      </c>
      <c r="X76" s="59">
        <v>46013</v>
      </c>
      <c r="Y76" s="66">
        <f t="shared" ca="1" si="2"/>
        <v>2.1666666666666667E-2</v>
      </c>
      <c r="Z76" s="66">
        <f t="shared" ca="1" si="3"/>
        <v>96.677833333333339</v>
      </c>
      <c r="AA76">
        <v>1.3329999999999647</v>
      </c>
    </row>
    <row r="77" spans="1:27" x14ac:dyDescent="0.45">
      <c r="A77" t="s">
        <v>521</v>
      </c>
      <c r="B77" t="s">
        <v>262</v>
      </c>
      <c r="C77" t="s">
        <v>257</v>
      </c>
      <c r="D77" t="s">
        <v>43</v>
      </c>
      <c r="E77" t="s">
        <v>44</v>
      </c>
      <c r="F77" t="s">
        <v>518</v>
      </c>
      <c r="G77" t="s">
        <v>46</v>
      </c>
      <c r="H77">
        <v>2</v>
      </c>
      <c r="I77">
        <v>2.1</v>
      </c>
      <c r="J77">
        <v>1.2940000000000011</v>
      </c>
      <c r="K77">
        <v>1.3169999999999988</v>
      </c>
      <c r="L77">
        <v>102.15900000000001</v>
      </c>
      <c r="M77">
        <v>102.096</v>
      </c>
      <c r="N77" t="s">
        <v>522</v>
      </c>
      <c r="O77" t="s">
        <v>523</v>
      </c>
      <c r="P77" t="s">
        <v>49</v>
      </c>
      <c r="Q77" s="59">
        <v>39798</v>
      </c>
      <c r="R77" s="59">
        <v>46193</v>
      </c>
      <c r="S77">
        <v>2.754277891854894</v>
      </c>
      <c r="T77">
        <v>102.1275</v>
      </c>
      <c r="U77">
        <v>134</v>
      </c>
      <c r="V77">
        <v>2.5</v>
      </c>
      <c r="W77">
        <v>18</v>
      </c>
      <c r="X77" s="59">
        <v>46013</v>
      </c>
      <c r="Y77" s="66">
        <f t="shared" ca="1" si="2"/>
        <v>0.45500000000000002</v>
      </c>
      <c r="Z77" s="66">
        <f t="shared" ca="1" si="3"/>
        <v>101.6725</v>
      </c>
      <c r="AA77">
        <v>1.3054999999999999</v>
      </c>
    </row>
    <row r="78" spans="1:27" x14ac:dyDescent="0.45">
      <c r="A78" t="s">
        <v>524</v>
      </c>
      <c r="B78" t="s">
        <v>262</v>
      </c>
      <c r="C78" t="s">
        <v>257</v>
      </c>
      <c r="D78" t="s">
        <v>43</v>
      </c>
      <c r="E78" t="s">
        <v>44</v>
      </c>
      <c r="F78" t="s">
        <v>518</v>
      </c>
      <c r="G78" t="s">
        <v>46</v>
      </c>
      <c r="H78">
        <v>2</v>
      </c>
      <c r="I78">
        <v>1.9</v>
      </c>
      <c r="J78">
        <v>1.2989999999999942</v>
      </c>
      <c r="K78">
        <v>1.3220000000000049</v>
      </c>
      <c r="L78">
        <v>101.60899999999999</v>
      </c>
      <c r="M78">
        <v>101.547</v>
      </c>
      <c r="N78" t="s">
        <v>525</v>
      </c>
      <c r="O78" t="s">
        <v>526</v>
      </c>
      <c r="P78" t="s">
        <v>49</v>
      </c>
      <c r="Q78" s="59">
        <v>39840</v>
      </c>
      <c r="R78" s="59">
        <v>46193</v>
      </c>
      <c r="S78">
        <v>2.754277891854894</v>
      </c>
      <c r="T78">
        <v>101.578</v>
      </c>
      <c r="U78">
        <v>135</v>
      </c>
      <c r="V78">
        <v>2.5</v>
      </c>
      <c r="W78">
        <v>17</v>
      </c>
      <c r="X78" s="59">
        <v>46013</v>
      </c>
      <c r="Y78" s="66">
        <f t="shared" ca="1" si="2"/>
        <v>0.41166666666666668</v>
      </c>
      <c r="Z78" s="66">
        <f t="shared" ca="1" si="3"/>
        <v>101.16633333333334</v>
      </c>
      <c r="AA78">
        <v>1.3104999999999996</v>
      </c>
    </row>
    <row r="79" spans="1:27" x14ac:dyDescent="0.45">
      <c r="A79" t="s">
        <v>527</v>
      </c>
      <c r="B79" t="s">
        <v>256</v>
      </c>
      <c r="C79" t="s">
        <v>257</v>
      </c>
      <c r="D79" t="s">
        <v>43</v>
      </c>
      <c r="E79" t="s">
        <v>44</v>
      </c>
      <c r="F79" t="s">
        <v>518</v>
      </c>
      <c r="G79" t="s">
        <v>46</v>
      </c>
      <c r="H79">
        <v>2</v>
      </c>
      <c r="I79">
        <v>0.3</v>
      </c>
      <c r="J79">
        <v>1.3179999999999865</v>
      </c>
      <c r="K79">
        <v>1.3409999999999833</v>
      </c>
      <c r="L79">
        <v>97.274000000000001</v>
      </c>
      <c r="M79">
        <v>97.213999999999999</v>
      </c>
      <c r="N79" t="s">
        <v>528</v>
      </c>
      <c r="O79" t="s">
        <v>529</v>
      </c>
      <c r="P79" t="s">
        <v>49</v>
      </c>
      <c r="Q79" s="59">
        <v>45342</v>
      </c>
      <c r="R79" s="59">
        <v>46193</v>
      </c>
      <c r="S79">
        <v>2.754277891854894</v>
      </c>
      <c r="T79">
        <v>97.244</v>
      </c>
      <c r="U79">
        <v>287</v>
      </c>
      <c r="V79">
        <v>2.5</v>
      </c>
      <c r="W79">
        <v>2</v>
      </c>
      <c r="X79" s="59">
        <v>46013</v>
      </c>
      <c r="Y79" s="66">
        <f t="shared" ca="1" si="2"/>
        <v>6.5000000000000002E-2</v>
      </c>
      <c r="Z79" s="66">
        <f t="shared" ca="1" si="3"/>
        <v>97.179000000000002</v>
      </c>
      <c r="AA79">
        <v>1.3294999999999848</v>
      </c>
    </row>
    <row r="80" spans="1:27" x14ac:dyDescent="0.45">
      <c r="A80" t="s">
        <v>530</v>
      </c>
      <c r="B80" t="s">
        <v>256</v>
      </c>
      <c r="C80" t="s">
        <v>257</v>
      </c>
      <c r="D80" t="s">
        <v>43</v>
      </c>
      <c r="E80" t="s">
        <v>44</v>
      </c>
      <c r="F80" t="s">
        <v>518</v>
      </c>
      <c r="G80" t="s">
        <v>46</v>
      </c>
      <c r="H80">
        <v>2</v>
      </c>
      <c r="I80">
        <v>0.4</v>
      </c>
      <c r="J80">
        <v>1.3199999999999934</v>
      </c>
      <c r="K80">
        <v>1.3419999999999899</v>
      </c>
      <c r="L80">
        <v>97.536000000000001</v>
      </c>
      <c r="M80">
        <v>97.478999999999999</v>
      </c>
      <c r="N80" t="s">
        <v>531</v>
      </c>
      <c r="O80" t="s">
        <v>532</v>
      </c>
      <c r="P80" t="s">
        <v>49</v>
      </c>
      <c r="Q80" s="59">
        <v>45356</v>
      </c>
      <c r="R80" s="59">
        <v>46193</v>
      </c>
      <c r="S80">
        <v>2.754277891854894</v>
      </c>
      <c r="T80">
        <v>97.507499999999993</v>
      </c>
      <c r="U80">
        <v>288</v>
      </c>
      <c r="V80">
        <v>2.5</v>
      </c>
      <c r="W80">
        <v>2</v>
      </c>
      <c r="X80" s="59">
        <v>46013</v>
      </c>
      <c r="Y80" s="66">
        <f t="shared" ca="1" si="2"/>
        <v>8.666666666666667E-2</v>
      </c>
      <c r="Z80" s="66">
        <f t="shared" ca="1" si="3"/>
        <v>97.42083333333332</v>
      </c>
      <c r="AA80">
        <v>1.3309999999999915</v>
      </c>
    </row>
    <row r="81" spans="1:27" x14ac:dyDescent="0.45">
      <c r="A81" t="s">
        <v>533</v>
      </c>
      <c r="B81" t="s">
        <v>256</v>
      </c>
      <c r="C81" t="s">
        <v>257</v>
      </c>
      <c r="D81" t="s">
        <v>43</v>
      </c>
      <c r="E81" t="s">
        <v>44</v>
      </c>
      <c r="F81" t="s">
        <v>518</v>
      </c>
      <c r="G81" t="s">
        <v>46</v>
      </c>
      <c r="H81">
        <v>2</v>
      </c>
      <c r="I81">
        <v>0.2</v>
      </c>
      <c r="J81">
        <v>1.3189999999999751</v>
      </c>
      <c r="K81">
        <v>1.3389999999999702</v>
      </c>
      <c r="L81">
        <v>97.004000000000005</v>
      </c>
      <c r="M81">
        <v>96.951999999999998</v>
      </c>
      <c r="N81" t="s">
        <v>534</v>
      </c>
      <c r="O81" t="s">
        <v>535</v>
      </c>
      <c r="P81" t="s">
        <v>49</v>
      </c>
      <c r="Q81" s="59">
        <v>45300</v>
      </c>
      <c r="R81" s="59">
        <v>46193</v>
      </c>
      <c r="S81">
        <v>2.754277891854894</v>
      </c>
      <c r="T81">
        <v>96.978000000000009</v>
      </c>
      <c r="U81">
        <v>291</v>
      </c>
      <c r="V81">
        <v>2.5</v>
      </c>
      <c r="W81">
        <v>2</v>
      </c>
      <c r="X81" s="59">
        <v>46013</v>
      </c>
      <c r="Y81" s="66">
        <f t="shared" ca="1" si="2"/>
        <v>4.3333333333333335E-2</v>
      </c>
      <c r="Z81" s="66">
        <f t="shared" ca="1" si="3"/>
        <v>96.934666666666672</v>
      </c>
      <c r="AA81">
        <v>1.3289999999999726</v>
      </c>
    </row>
    <row r="82" spans="1:27" x14ac:dyDescent="0.45">
      <c r="A82" t="s">
        <v>536</v>
      </c>
      <c r="B82" t="s">
        <v>256</v>
      </c>
      <c r="C82" t="s">
        <v>257</v>
      </c>
      <c r="D82" t="s">
        <v>43</v>
      </c>
      <c r="E82" t="s">
        <v>44</v>
      </c>
      <c r="F82" t="s">
        <v>518</v>
      </c>
      <c r="G82" t="s">
        <v>46</v>
      </c>
      <c r="H82">
        <v>2</v>
      </c>
      <c r="I82">
        <v>0.3</v>
      </c>
      <c r="J82">
        <v>1.3189999999999882</v>
      </c>
      <c r="K82">
        <v>1.3399999999999825</v>
      </c>
      <c r="L82">
        <v>97.271000000000001</v>
      </c>
      <c r="M82">
        <v>97.216999999999999</v>
      </c>
      <c r="N82" t="s">
        <v>537</v>
      </c>
      <c r="O82" t="s">
        <v>538</v>
      </c>
      <c r="P82" t="s">
        <v>49</v>
      </c>
      <c r="Q82" s="59">
        <v>45324</v>
      </c>
      <c r="R82" s="59">
        <v>46193</v>
      </c>
      <c r="S82">
        <v>2.754277891854894</v>
      </c>
      <c r="T82">
        <v>97.244</v>
      </c>
      <c r="U82">
        <v>293</v>
      </c>
      <c r="V82">
        <v>2.5</v>
      </c>
      <c r="W82">
        <v>2</v>
      </c>
      <c r="X82" s="59">
        <v>46013</v>
      </c>
      <c r="Y82" s="66">
        <f t="shared" ca="1" si="2"/>
        <v>6.5000000000000002E-2</v>
      </c>
      <c r="Z82" s="66">
        <f t="shared" ca="1" si="3"/>
        <v>97.179000000000002</v>
      </c>
      <c r="AA82">
        <v>1.3294999999999852</v>
      </c>
    </row>
    <row r="83" spans="1:27" x14ac:dyDescent="0.45">
      <c r="A83" t="s">
        <v>539</v>
      </c>
      <c r="B83" t="s">
        <v>272</v>
      </c>
      <c r="C83" t="s">
        <v>257</v>
      </c>
      <c r="D83" t="s">
        <v>43</v>
      </c>
      <c r="E83" t="s">
        <v>44</v>
      </c>
      <c r="F83" t="s">
        <v>540</v>
      </c>
      <c r="G83" t="s">
        <v>46</v>
      </c>
      <c r="H83">
        <v>2</v>
      </c>
      <c r="I83">
        <v>0.1</v>
      </c>
      <c r="J83">
        <v>1.3659999999997967</v>
      </c>
      <c r="K83">
        <v>1.387999999999769</v>
      </c>
      <c r="L83">
        <v>96.325000000000003</v>
      </c>
      <c r="M83">
        <v>96.263999999999996</v>
      </c>
      <c r="N83" t="s">
        <v>541</v>
      </c>
      <c r="O83" t="s">
        <v>542</v>
      </c>
      <c r="P83" t="s">
        <v>49</v>
      </c>
      <c r="Q83" s="59">
        <v>43557</v>
      </c>
      <c r="R83" s="59">
        <v>46101</v>
      </c>
      <c r="S83">
        <v>3.0006844626967832</v>
      </c>
      <c r="T83">
        <v>96.294499999999999</v>
      </c>
      <c r="U83">
        <v>30</v>
      </c>
      <c r="V83">
        <v>3</v>
      </c>
      <c r="W83">
        <v>7</v>
      </c>
      <c r="X83" s="59">
        <v>45921</v>
      </c>
      <c r="Y83" s="66">
        <f t="shared" ca="1" si="2"/>
        <v>4.7222222222222221E-2</v>
      </c>
      <c r="Z83" s="66">
        <f t="shared" ca="1" si="3"/>
        <v>96.247277777777782</v>
      </c>
      <c r="AA83">
        <v>1.3769999999997828</v>
      </c>
    </row>
    <row r="84" spans="1:27" x14ac:dyDescent="0.45">
      <c r="A84" t="s">
        <v>543</v>
      </c>
      <c r="B84" t="s">
        <v>262</v>
      </c>
      <c r="C84" t="s">
        <v>257</v>
      </c>
      <c r="D84" t="s">
        <v>43</v>
      </c>
      <c r="E84" t="s">
        <v>44</v>
      </c>
      <c r="F84" t="s">
        <v>540</v>
      </c>
      <c r="G84" t="s">
        <v>46</v>
      </c>
      <c r="H84">
        <v>2</v>
      </c>
      <c r="I84">
        <v>1.9</v>
      </c>
      <c r="J84">
        <v>1.3329999999999949</v>
      </c>
      <c r="K84">
        <v>1.3549999999999971</v>
      </c>
      <c r="L84">
        <v>101.64700000000001</v>
      </c>
      <c r="M84">
        <v>101.58199999999999</v>
      </c>
      <c r="N84" t="s">
        <v>544</v>
      </c>
      <c r="O84" t="s">
        <v>545</v>
      </c>
      <c r="P84" t="s">
        <v>49</v>
      </c>
      <c r="Q84" s="59">
        <v>39889</v>
      </c>
      <c r="R84" s="59">
        <v>46101</v>
      </c>
      <c r="S84">
        <v>3.0006844626967832</v>
      </c>
      <c r="T84">
        <v>101.61449999999999</v>
      </c>
      <c r="U84">
        <v>136</v>
      </c>
      <c r="V84">
        <v>3</v>
      </c>
      <c r="W84">
        <v>17</v>
      </c>
      <c r="X84" s="59">
        <v>45921</v>
      </c>
      <c r="Y84" s="66">
        <f t="shared" ca="1" si="2"/>
        <v>0.89722222222222214</v>
      </c>
      <c r="Z84" s="66">
        <f t="shared" ca="1" si="3"/>
        <v>100.71727777777777</v>
      </c>
      <c r="AA84">
        <v>1.3439999999999959</v>
      </c>
    </row>
    <row r="85" spans="1:27" x14ac:dyDescent="0.45">
      <c r="A85" t="s">
        <v>546</v>
      </c>
      <c r="B85" t="s">
        <v>262</v>
      </c>
      <c r="C85" t="s">
        <v>257</v>
      </c>
      <c r="D85" t="s">
        <v>43</v>
      </c>
      <c r="E85" t="s">
        <v>44</v>
      </c>
      <c r="F85" t="s">
        <v>540</v>
      </c>
      <c r="G85" t="s">
        <v>46</v>
      </c>
      <c r="H85">
        <v>2</v>
      </c>
      <c r="I85">
        <v>2.1</v>
      </c>
      <c r="J85">
        <v>1.3289999999999951</v>
      </c>
      <c r="K85">
        <v>1.3529999999999978</v>
      </c>
      <c r="L85">
        <v>102.239</v>
      </c>
      <c r="M85">
        <v>102.16800000000001</v>
      </c>
      <c r="N85" t="s">
        <v>547</v>
      </c>
      <c r="O85" t="s">
        <v>548</v>
      </c>
      <c r="P85" t="s">
        <v>49</v>
      </c>
      <c r="Q85" s="59">
        <v>39924</v>
      </c>
      <c r="R85" s="59">
        <v>46101</v>
      </c>
      <c r="S85">
        <v>3.0006844626967832</v>
      </c>
      <c r="T85">
        <v>102.20350000000001</v>
      </c>
      <c r="U85">
        <v>138</v>
      </c>
      <c r="V85">
        <v>3</v>
      </c>
      <c r="W85">
        <v>17</v>
      </c>
      <c r="X85" s="59">
        <v>45921</v>
      </c>
      <c r="Y85" s="66">
        <f t="shared" ca="1" si="2"/>
        <v>0.9916666666666667</v>
      </c>
      <c r="Z85" s="66">
        <f t="shared" ca="1" si="3"/>
        <v>101.21183333333335</v>
      </c>
      <c r="AA85">
        <v>1.3409999999999964</v>
      </c>
    </row>
    <row r="86" spans="1:27" x14ac:dyDescent="0.45">
      <c r="A86" t="s">
        <v>549</v>
      </c>
      <c r="B86" t="s">
        <v>256</v>
      </c>
      <c r="C86" t="s">
        <v>257</v>
      </c>
      <c r="D86" t="s">
        <v>43</v>
      </c>
      <c r="E86" t="s">
        <v>44</v>
      </c>
      <c r="F86" t="s">
        <v>540</v>
      </c>
      <c r="G86" t="s">
        <v>46</v>
      </c>
      <c r="H86">
        <v>2</v>
      </c>
      <c r="I86">
        <v>0.6</v>
      </c>
      <c r="J86">
        <v>1.3589999999999949</v>
      </c>
      <c r="K86">
        <v>1.3799999999999946</v>
      </c>
      <c r="L86">
        <v>97.796000000000006</v>
      </c>
      <c r="M86">
        <v>97.736999999999995</v>
      </c>
      <c r="N86" t="s">
        <v>550</v>
      </c>
      <c r="O86" t="s">
        <v>551</v>
      </c>
      <c r="P86" t="s">
        <v>49</v>
      </c>
      <c r="Q86" s="59">
        <v>45419</v>
      </c>
      <c r="R86" s="59">
        <v>46101</v>
      </c>
      <c r="S86">
        <v>3.0006844626967832</v>
      </c>
      <c r="T86">
        <v>97.766500000000008</v>
      </c>
      <c r="U86">
        <v>275</v>
      </c>
      <c r="V86">
        <v>3</v>
      </c>
      <c r="W86">
        <v>2</v>
      </c>
      <c r="X86" s="59">
        <v>45921</v>
      </c>
      <c r="Y86" s="66">
        <f t="shared" ca="1" si="2"/>
        <v>0.28333333333333333</v>
      </c>
      <c r="Z86" s="66">
        <f t="shared" ca="1" si="3"/>
        <v>97.483166666666676</v>
      </c>
      <c r="AA86">
        <v>1.3694999999999946</v>
      </c>
    </row>
    <row r="87" spans="1:27" x14ac:dyDescent="0.45">
      <c r="A87" t="s">
        <v>552</v>
      </c>
      <c r="B87" t="s">
        <v>256</v>
      </c>
      <c r="C87" t="s">
        <v>257</v>
      </c>
      <c r="D87" t="s">
        <v>43</v>
      </c>
      <c r="E87" t="s">
        <v>44</v>
      </c>
      <c r="F87" t="s">
        <v>540</v>
      </c>
      <c r="G87" t="s">
        <v>46</v>
      </c>
      <c r="H87">
        <v>2</v>
      </c>
      <c r="I87">
        <v>0.5</v>
      </c>
      <c r="J87">
        <v>1.3569999999999802</v>
      </c>
      <c r="K87">
        <v>1.3779999999999786</v>
      </c>
      <c r="L87">
        <v>97.512</v>
      </c>
      <c r="M87">
        <v>97.451999999999998</v>
      </c>
      <c r="N87" t="s">
        <v>553</v>
      </c>
      <c r="O87" t="s">
        <v>554</v>
      </c>
      <c r="P87" t="s">
        <v>49</v>
      </c>
      <c r="Q87" s="59">
        <v>45456</v>
      </c>
      <c r="R87" s="59">
        <v>46101</v>
      </c>
      <c r="S87">
        <v>3.0006844626967832</v>
      </c>
      <c r="T87">
        <v>97.481999999999999</v>
      </c>
      <c r="U87">
        <v>279</v>
      </c>
      <c r="V87">
        <v>3</v>
      </c>
      <c r="W87">
        <v>2</v>
      </c>
      <c r="X87" s="59">
        <v>45921</v>
      </c>
      <c r="Y87" s="66">
        <f t="shared" ca="1" si="2"/>
        <v>0.2361111111111111</v>
      </c>
      <c r="Z87" s="66">
        <f t="shared" ca="1" si="3"/>
        <v>97.245888888888885</v>
      </c>
      <c r="AA87">
        <v>1.3674999999999793</v>
      </c>
    </row>
    <row r="88" spans="1:27" x14ac:dyDescent="0.45">
      <c r="A88" t="s">
        <v>555</v>
      </c>
      <c r="B88" t="s">
        <v>256</v>
      </c>
      <c r="C88" t="s">
        <v>257</v>
      </c>
      <c r="D88" t="s">
        <v>43</v>
      </c>
      <c r="E88" t="s">
        <v>44</v>
      </c>
      <c r="F88" t="s">
        <v>540</v>
      </c>
      <c r="G88" t="s">
        <v>46</v>
      </c>
      <c r="H88">
        <v>2</v>
      </c>
      <c r="I88">
        <v>0.4</v>
      </c>
      <c r="J88">
        <v>1.3629999999999627</v>
      </c>
      <c r="K88">
        <v>1.3839999999999646</v>
      </c>
      <c r="L88">
        <v>97.204999999999998</v>
      </c>
      <c r="M88">
        <v>97.144999999999996</v>
      </c>
      <c r="N88" t="s">
        <v>556</v>
      </c>
      <c r="O88" t="s">
        <v>557</v>
      </c>
      <c r="P88" t="s">
        <v>49</v>
      </c>
      <c r="Q88" s="59">
        <v>45384</v>
      </c>
      <c r="R88" s="59">
        <v>46101</v>
      </c>
      <c r="S88">
        <v>3.0006844626967832</v>
      </c>
      <c r="T88">
        <v>97.174999999999997</v>
      </c>
      <c r="U88">
        <v>283</v>
      </c>
      <c r="V88">
        <v>3</v>
      </c>
      <c r="W88">
        <v>2</v>
      </c>
      <c r="X88" s="59">
        <v>45921</v>
      </c>
      <c r="Y88" s="66">
        <f t="shared" ca="1" si="2"/>
        <v>0.18888888888888888</v>
      </c>
      <c r="Z88" s="66">
        <f t="shared" ca="1" si="3"/>
        <v>96.986111111111114</v>
      </c>
      <c r="AA88">
        <v>1.3734999999999635</v>
      </c>
    </row>
    <row r="89" spans="1:27" x14ac:dyDescent="0.45">
      <c r="A89" t="s">
        <v>558</v>
      </c>
      <c r="B89" t="s">
        <v>272</v>
      </c>
      <c r="C89" t="s">
        <v>257</v>
      </c>
      <c r="D89" t="s">
        <v>43</v>
      </c>
      <c r="E89" t="s">
        <v>44</v>
      </c>
      <c r="F89" t="s">
        <v>559</v>
      </c>
      <c r="G89" t="s">
        <v>46</v>
      </c>
      <c r="H89">
        <v>2</v>
      </c>
      <c r="I89">
        <v>0.1</v>
      </c>
      <c r="J89">
        <v>1.4159999999997692</v>
      </c>
      <c r="K89">
        <v>1.439999999999745</v>
      </c>
      <c r="L89">
        <v>95.882000000000005</v>
      </c>
      <c r="M89">
        <v>95.81</v>
      </c>
      <c r="N89" t="s">
        <v>560</v>
      </c>
      <c r="O89" t="s">
        <v>561</v>
      </c>
      <c r="P89" t="s">
        <v>49</v>
      </c>
      <c r="Q89" s="59">
        <v>43648</v>
      </c>
      <c r="R89" s="59">
        <v>46193</v>
      </c>
      <c r="S89">
        <v>3.2525667351129361</v>
      </c>
      <c r="T89">
        <v>95.846000000000004</v>
      </c>
      <c r="U89">
        <v>31</v>
      </c>
      <c r="V89">
        <v>3</v>
      </c>
      <c r="W89">
        <v>7</v>
      </c>
      <c r="X89" s="59">
        <v>46013</v>
      </c>
      <c r="Y89" s="66">
        <f t="shared" ca="1" si="2"/>
        <v>2.1666666666666667E-2</v>
      </c>
      <c r="Z89" s="66">
        <f t="shared" ca="1" si="3"/>
        <v>95.824333333333342</v>
      </c>
      <c r="AA89">
        <v>1.427999999999757</v>
      </c>
    </row>
    <row r="90" spans="1:27" x14ac:dyDescent="0.45">
      <c r="A90" t="s">
        <v>562</v>
      </c>
      <c r="B90" t="s">
        <v>262</v>
      </c>
      <c r="C90" t="s">
        <v>257</v>
      </c>
      <c r="D90" t="s">
        <v>43</v>
      </c>
      <c r="E90" t="s">
        <v>44</v>
      </c>
      <c r="F90" t="s">
        <v>559</v>
      </c>
      <c r="G90" t="s">
        <v>46</v>
      </c>
      <c r="H90">
        <v>2</v>
      </c>
      <c r="I90">
        <v>2.2000000000000002</v>
      </c>
      <c r="J90">
        <v>1.3729999999999931</v>
      </c>
      <c r="K90">
        <v>1.3969999999999927</v>
      </c>
      <c r="L90">
        <v>102.59099999999999</v>
      </c>
      <c r="M90">
        <v>102.514</v>
      </c>
      <c r="N90" t="s">
        <v>563</v>
      </c>
      <c r="O90" t="s">
        <v>564</v>
      </c>
      <c r="P90" t="s">
        <v>49</v>
      </c>
      <c r="Q90" s="59">
        <v>39981</v>
      </c>
      <c r="R90" s="59">
        <v>46193</v>
      </c>
      <c r="S90">
        <v>3.2525667351129361</v>
      </c>
      <c r="T90">
        <v>102.55249999999999</v>
      </c>
      <c r="U90">
        <v>140</v>
      </c>
      <c r="V90">
        <v>3</v>
      </c>
      <c r="W90">
        <v>17</v>
      </c>
      <c r="X90" s="59">
        <v>46013</v>
      </c>
      <c r="Y90" s="66">
        <f t="shared" ca="1" si="2"/>
        <v>0.47666666666666674</v>
      </c>
      <c r="Z90" s="66">
        <f t="shared" ca="1" si="3"/>
        <v>102.07583333333332</v>
      </c>
      <c r="AA90">
        <v>1.3849999999999929</v>
      </c>
    </row>
    <row r="91" spans="1:27" x14ac:dyDescent="0.45">
      <c r="A91" t="s">
        <v>565</v>
      </c>
      <c r="B91" t="s">
        <v>262</v>
      </c>
      <c r="C91" t="s">
        <v>257</v>
      </c>
      <c r="D91" t="s">
        <v>43</v>
      </c>
      <c r="E91" t="s">
        <v>44</v>
      </c>
      <c r="F91" t="s">
        <v>559</v>
      </c>
      <c r="G91" t="s">
        <v>46</v>
      </c>
      <c r="H91">
        <v>2</v>
      </c>
      <c r="I91">
        <v>2.1</v>
      </c>
      <c r="J91">
        <v>1.3809999999999996</v>
      </c>
      <c r="K91">
        <v>1.404999999999996</v>
      </c>
      <c r="L91">
        <v>102.252</v>
      </c>
      <c r="M91">
        <v>102.175</v>
      </c>
      <c r="N91" t="s">
        <v>566</v>
      </c>
      <c r="O91" t="s">
        <v>567</v>
      </c>
      <c r="P91" t="s">
        <v>49</v>
      </c>
      <c r="Q91" s="59">
        <v>40016</v>
      </c>
      <c r="R91" s="59">
        <v>46193</v>
      </c>
      <c r="S91">
        <v>3.2525667351129361</v>
      </c>
      <c r="T91">
        <v>102.2135</v>
      </c>
      <c r="U91">
        <v>141</v>
      </c>
      <c r="V91">
        <v>3</v>
      </c>
      <c r="W91">
        <v>17</v>
      </c>
      <c r="X91" s="59">
        <v>46013</v>
      </c>
      <c r="Y91" s="66">
        <f t="shared" ca="1" si="2"/>
        <v>0.45500000000000002</v>
      </c>
      <c r="Z91" s="66">
        <f t="shared" ca="1" si="3"/>
        <v>101.7585</v>
      </c>
      <c r="AA91">
        <v>1.3929999999999978</v>
      </c>
    </row>
    <row r="92" spans="1:27" x14ac:dyDescent="0.45">
      <c r="A92" t="s">
        <v>568</v>
      </c>
      <c r="B92" t="s">
        <v>256</v>
      </c>
      <c r="C92" t="s">
        <v>257</v>
      </c>
      <c r="D92" t="s">
        <v>43</v>
      </c>
      <c r="E92" t="s">
        <v>44</v>
      </c>
      <c r="F92" t="s">
        <v>559</v>
      </c>
      <c r="G92" t="s">
        <v>46</v>
      </c>
      <c r="H92">
        <v>2</v>
      </c>
      <c r="I92">
        <v>0.4</v>
      </c>
      <c r="J92">
        <v>1.4129999999999545</v>
      </c>
      <c r="K92">
        <v>1.432999999999951</v>
      </c>
      <c r="L92">
        <v>96.83</v>
      </c>
      <c r="M92">
        <v>96.769000000000005</v>
      </c>
      <c r="N92" t="s">
        <v>569</v>
      </c>
      <c r="O92" t="s">
        <v>570</v>
      </c>
      <c r="P92" t="s">
        <v>49</v>
      </c>
      <c r="Q92" s="59">
        <v>45511</v>
      </c>
      <c r="R92" s="59">
        <v>46193</v>
      </c>
      <c r="S92">
        <v>3.2525667351129361</v>
      </c>
      <c r="T92">
        <v>96.799499999999995</v>
      </c>
      <c r="U92">
        <v>265</v>
      </c>
      <c r="V92">
        <v>3</v>
      </c>
      <c r="W92">
        <v>2</v>
      </c>
      <c r="X92" s="59">
        <v>46013</v>
      </c>
      <c r="Y92" s="66">
        <f t="shared" ca="1" si="2"/>
        <v>8.666666666666667E-2</v>
      </c>
      <c r="Z92" s="66">
        <f t="shared" ca="1" si="3"/>
        <v>96.712833333333322</v>
      </c>
      <c r="AA92">
        <v>1.4229999999999527</v>
      </c>
    </row>
    <row r="93" spans="1:27" x14ac:dyDescent="0.45">
      <c r="A93" t="s">
        <v>571</v>
      </c>
      <c r="B93" t="s">
        <v>256</v>
      </c>
      <c r="C93" t="s">
        <v>257</v>
      </c>
      <c r="D93" t="s">
        <v>43</v>
      </c>
      <c r="E93" t="s">
        <v>44</v>
      </c>
      <c r="F93" t="s">
        <v>559</v>
      </c>
      <c r="G93" t="s">
        <v>46</v>
      </c>
      <c r="H93">
        <v>2</v>
      </c>
      <c r="I93">
        <v>0.5</v>
      </c>
      <c r="J93">
        <v>1.4109999999999803</v>
      </c>
      <c r="K93">
        <v>1.432999999999975</v>
      </c>
      <c r="L93">
        <v>97.149000000000001</v>
      </c>
      <c r="M93">
        <v>97.081999999999994</v>
      </c>
      <c r="N93" t="s">
        <v>572</v>
      </c>
      <c r="O93" t="s">
        <v>573</v>
      </c>
      <c r="P93" t="s">
        <v>49</v>
      </c>
      <c r="Q93" s="59">
        <v>45538</v>
      </c>
      <c r="R93" s="59">
        <v>46193</v>
      </c>
      <c r="S93">
        <v>3.2525667351129361</v>
      </c>
      <c r="T93">
        <v>97.115499999999997</v>
      </c>
      <c r="U93">
        <v>267</v>
      </c>
      <c r="V93">
        <v>3</v>
      </c>
      <c r="W93">
        <v>2</v>
      </c>
      <c r="X93" s="59">
        <v>46013</v>
      </c>
      <c r="Y93" s="66">
        <f t="shared" ca="1" si="2"/>
        <v>0.10833333333333334</v>
      </c>
      <c r="Z93" s="66">
        <f t="shared" ca="1" si="3"/>
        <v>97.007166666666663</v>
      </c>
      <c r="AA93">
        <v>1.4219999999999775</v>
      </c>
    </row>
    <row r="94" spans="1:27" x14ac:dyDescent="0.45">
      <c r="A94" t="s">
        <v>574</v>
      </c>
      <c r="B94" t="s">
        <v>256</v>
      </c>
      <c r="C94" t="s">
        <v>257</v>
      </c>
      <c r="D94" t="s">
        <v>43</v>
      </c>
      <c r="E94" t="s">
        <v>44</v>
      </c>
      <c r="F94" t="s">
        <v>559</v>
      </c>
      <c r="G94" t="s">
        <v>46</v>
      </c>
      <c r="H94">
        <v>2</v>
      </c>
      <c r="I94">
        <v>0.6</v>
      </c>
      <c r="J94">
        <v>1.4069999999999812</v>
      </c>
      <c r="K94">
        <v>1.4269999999999907</v>
      </c>
      <c r="L94">
        <v>97.474000000000004</v>
      </c>
      <c r="M94">
        <v>97.412999999999997</v>
      </c>
      <c r="N94" t="s">
        <v>575</v>
      </c>
      <c r="O94" t="s">
        <v>576</v>
      </c>
      <c r="P94" t="s">
        <v>49</v>
      </c>
      <c r="Q94" s="59">
        <v>45475</v>
      </c>
      <c r="R94" s="59">
        <v>46193</v>
      </c>
      <c r="S94">
        <v>3.2525667351129361</v>
      </c>
      <c r="T94">
        <v>97.4435</v>
      </c>
      <c r="U94">
        <v>271</v>
      </c>
      <c r="V94">
        <v>3</v>
      </c>
      <c r="W94">
        <v>2</v>
      </c>
      <c r="X94" s="59">
        <v>46013</v>
      </c>
      <c r="Y94" s="66">
        <f t="shared" ca="1" si="2"/>
        <v>0.13</v>
      </c>
      <c r="Z94" s="66">
        <f t="shared" ca="1" si="3"/>
        <v>97.313500000000005</v>
      </c>
      <c r="AA94">
        <v>1.416999999999986</v>
      </c>
    </row>
    <row r="95" spans="1:27" x14ac:dyDescent="0.45">
      <c r="A95" t="s">
        <v>577</v>
      </c>
      <c r="B95" t="s">
        <v>256</v>
      </c>
      <c r="C95" t="s">
        <v>257</v>
      </c>
      <c r="D95" t="s">
        <v>43</v>
      </c>
      <c r="E95" t="s">
        <v>44</v>
      </c>
      <c r="F95" t="s">
        <v>559</v>
      </c>
      <c r="G95" t="s">
        <v>46</v>
      </c>
      <c r="H95">
        <v>2</v>
      </c>
      <c r="I95">
        <v>0.5</v>
      </c>
      <c r="J95">
        <v>1.4149999999999832</v>
      </c>
      <c r="K95">
        <v>1.4379999999999746</v>
      </c>
      <c r="L95">
        <v>97.135999999999996</v>
      </c>
      <c r="M95">
        <v>97.066999999999993</v>
      </c>
      <c r="N95" t="s">
        <v>578</v>
      </c>
      <c r="O95" t="s">
        <v>579</v>
      </c>
      <c r="P95" t="s">
        <v>49</v>
      </c>
      <c r="Q95" s="59">
        <v>45484</v>
      </c>
      <c r="R95" s="59">
        <v>46193</v>
      </c>
      <c r="S95">
        <v>3.2525667351129361</v>
      </c>
      <c r="T95">
        <v>97.101499999999987</v>
      </c>
      <c r="U95">
        <v>273</v>
      </c>
      <c r="V95">
        <v>3</v>
      </c>
      <c r="W95">
        <v>2</v>
      </c>
      <c r="X95" s="59">
        <v>46013</v>
      </c>
      <c r="Y95" s="66">
        <f t="shared" ca="1" si="2"/>
        <v>0.10833333333333334</v>
      </c>
      <c r="Z95" s="66">
        <f t="shared" ca="1" si="3"/>
        <v>96.993166666666653</v>
      </c>
      <c r="AA95">
        <v>1.426499999999979</v>
      </c>
    </row>
    <row r="96" spans="1:27" x14ac:dyDescent="0.45">
      <c r="A96" t="s">
        <v>580</v>
      </c>
      <c r="B96" t="s">
        <v>581</v>
      </c>
      <c r="C96" t="s">
        <v>257</v>
      </c>
      <c r="D96" t="s">
        <v>43</v>
      </c>
      <c r="E96" t="s">
        <v>44</v>
      </c>
      <c r="F96" t="s">
        <v>582</v>
      </c>
      <c r="G96" t="s">
        <v>46</v>
      </c>
      <c r="H96">
        <v>2</v>
      </c>
      <c r="I96">
        <v>2.8</v>
      </c>
      <c r="J96">
        <v>1.4089999999996365</v>
      </c>
      <c r="K96">
        <v>1.4339999999996769</v>
      </c>
      <c r="L96">
        <v>104.672</v>
      </c>
      <c r="M96">
        <v>104.584</v>
      </c>
      <c r="N96" t="s">
        <v>583</v>
      </c>
      <c r="O96" t="s">
        <v>584</v>
      </c>
      <c r="P96" t="s">
        <v>49</v>
      </c>
      <c r="Q96" s="59">
        <v>36405</v>
      </c>
      <c r="R96" s="59">
        <v>46101</v>
      </c>
      <c r="S96">
        <v>3.5044490075290895</v>
      </c>
      <c r="T96">
        <v>104.628</v>
      </c>
      <c r="U96">
        <v>82</v>
      </c>
      <c r="V96">
        <v>3.5</v>
      </c>
      <c r="W96">
        <v>27</v>
      </c>
      <c r="X96" s="59">
        <v>45921</v>
      </c>
      <c r="Y96" s="66">
        <f t="shared" ca="1" si="2"/>
        <v>1.3222222222222222</v>
      </c>
      <c r="Z96" s="66">
        <f t="shared" ca="1" si="3"/>
        <v>103.30577777777778</v>
      </c>
      <c r="AA96">
        <v>1.4214999999996567</v>
      </c>
    </row>
    <row r="97" spans="1:27" x14ac:dyDescent="0.45">
      <c r="A97" t="s">
        <v>585</v>
      </c>
      <c r="B97" t="s">
        <v>262</v>
      </c>
      <c r="C97" t="s">
        <v>257</v>
      </c>
      <c r="D97" t="s">
        <v>43</v>
      </c>
      <c r="E97" t="s">
        <v>44</v>
      </c>
      <c r="F97" t="s">
        <v>582</v>
      </c>
      <c r="G97" t="s">
        <v>46</v>
      </c>
      <c r="H97">
        <v>2</v>
      </c>
      <c r="I97">
        <v>2.1</v>
      </c>
      <c r="J97">
        <v>1.4179999999999928</v>
      </c>
      <c r="K97">
        <v>1.4429999999999903</v>
      </c>
      <c r="L97">
        <v>102.29</v>
      </c>
      <c r="M97">
        <v>102.20399999999999</v>
      </c>
      <c r="N97" t="s">
        <v>586</v>
      </c>
      <c r="O97" t="s">
        <v>587</v>
      </c>
      <c r="P97" t="s">
        <v>49</v>
      </c>
      <c r="Q97" s="59">
        <v>40071</v>
      </c>
      <c r="R97" s="59">
        <v>46101</v>
      </c>
      <c r="S97">
        <v>3.5044490075290895</v>
      </c>
      <c r="T97">
        <v>102.247</v>
      </c>
      <c r="U97">
        <v>142</v>
      </c>
      <c r="V97">
        <v>3.5</v>
      </c>
      <c r="W97">
        <v>17</v>
      </c>
      <c r="X97" s="59">
        <v>45921</v>
      </c>
      <c r="Y97" s="66">
        <f t="shared" ca="1" si="2"/>
        <v>0.9916666666666667</v>
      </c>
      <c r="Z97" s="66">
        <f t="shared" ca="1" si="3"/>
        <v>101.25533333333334</v>
      </c>
      <c r="AA97">
        <v>1.4304999999999914</v>
      </c>
    </row>
    <row r="98" spans="1:27" x14ac:dyDescent="0.45">
      <c r="A98" t="s">
        <v>588</v>
      </c>
      <c r="B98" t="s">
        <v>256</v>
      </c>
      <c r="C98" t="s">
        <v>257</v>
      </c>
      <c r="D98" t="s">
        <v>43</v>
      </c>
      <c r="E98" t="s">
        <v>44</v>
      </c>
      <c r="F98" t="s">
        <v>582</v>
      </c>
      <c r="G98" t="s">
        <v>46</v>
      </c>
      <c r="H98">
        <v>2</v>
      </c>
      <c r="I98">
        <v>0.7</v>
      </c>
      <c r="J98">
        <v>1.453999999999982</v>
      </c>
      <c r="K98">
        <v>1.4729999999999803</v>
      </c>
      <c r="L98">
        <v>97.471000000000004</v>
      </c>
      <c r="M98">
        <v>97.408000000000001</v>
      </c>
      <c r="N98" t="s">
        <v>589</v>
      </c>
      <c r="O98" t="s">
        <v>590</v>
      </c>
      <c r="P98" t="s">
        <v>49</v>
      </c>
      <c r="Q98" s="59">
        <v>45604</v>
      </c>
      <c r="R98" s="59">
        <v>46101</v>
      </c>
      <c r="S98">
        <v>3.5044490075290895</v>
      </c>
      <c r="T98">
        <v>97.43950000000001</v>
      </c>
      <c r="U98">
        <v>257</v>
      </c>
      <c r="V98">
        <v>3.5</v>
      </c>
      <c r="W98">
        <v>2</v>
      </c>
      <c r="X98" s="59">
        <v>45921</v>
      </c>
      <c r="Y98" s="66">
        <f t="shared" ca="1" si="2"/>
        <v>0.33055555555555555</v>
      </c>
      <c r="Z98" s="66">
        <f t="shared" ca="1" si="3"/>
        <v>97.108944444444461</v>
      </c>
      <c r="AA98">
        <v>1.4634999999999811</v>
      </c>
    </row>
    <row r="99" spans="1:27" x14ac:dyDescent="0.45">
      <c r="A99" t="s">
        <v>591</v>
      </c>
      <c r="B99" t="s">
        <v>256</v>
      </c>
      <c r="C99" t="s">
        <v>257</v>
      </c>
      <c r="D99" t="s">
        <v>43</v>
      </c>
      <c r="E99" t="s">
        <v>44</v>
      </c>
      <c r="F99" t="s">
        <v>582</v>
      </c>
      <c r="G99" t="s">
        <v>46</v>
      </c>
      <c r="H99">
        <v>2</v>
      </c>
      <c r="I99">
        <v>0.6</v>
      </c>
      <c r="J99">
        <v>1.4539999999999584</v>
      </c>
      <c r="K99">
        <v>1.4729999999999528</v>
      </c>
      <c r="L99">
        <v>97.135000000000005</v>
      </c>
      <c r="M99">
        <v>97.072999999999993</v>
      </c>
      <c r="N99" t="s">
        <v>592</v>
      </c>
      <c r="O99" t="s">
        <v>593</v>
      </c>
      <c r="P99" t="s">
        <v>49</v>
      </c>
      <c r="Q99" s="59">
        <v>45568</v>
      </c>
      <c r="R99" s="59">
        <v>46101</v>
      </c>
      <c r="S99">
        <v>3.5044490075290895</v>
      </c>
      <c r="T99">
        <v>97.103999999999999</v>
      </c>
      <c r="U99">
        <v>262</v>
      </c>
      <c r="V99">
        <v>3.5</v>
      </c>
      <c r="W99">
        <v>2</v>
      </c>
      <c r="X99" s="59">
        <v>45921</v>
      </c>
      <c r="Y99" s="66">
        <f t="shared" ca="1" si="2"/>
        <v>0.28333333333333333</v>
      </c>
      <c r="Z99" s="66">
        <f t="shared" ca="1" si="3"/>
        <v>96.820666666666668</v>
      </c>
      <c r="AA99">
        <v>1.4634999999999556</v>
      </c>
    </row>
    <row r="100" spans="1:27" x14ac:dyDescent="0.45">
      <c r="A100" t="s">
        <v>594</v>
      </c>
      <c r="B100" t="s">
        <v>272</v>
      </c>
      <c r="C100" t="s">
        <v>257</v>
      </c>
      <c r="D100" t="s">
        <v>43</v>
      </c>
      <c r="E100" t="s">
        <v>44</v>
      </c>
      <c r="F100" t="s">
        <v>582</v>
      </c>
      <c r="G100" t="s">
        <v>46</v>
      </c>
      <c r="H100">
        <v>2</v>
      </c>
      <c r="I100">
        <v>0.1</v>
      </c>
      <c r="J100">
        <v>1.4599999999990589</v>
      </c>
      <c r="K100">
        <v>1.4819999999989455</v>
      </c>
      <c r="L100">
        <v>95.438999999999993</v>
      </c>
      <c r="M100">
        <v>95.369</v>
      </c>
      <c r="N100" t="s">
        <v>595</v>
      </c>
      <c r="O100" t="s">
        <v>596</v>
      </c>
      <c r="P100" t="s">
        <v>49</v>
      </c>
      <c r="Q100" s="59">
        <v>43739</v>
      </c>
      <c r="R100" s="59">
        <v>46101</v>
      </c>
      <c r="S100">
        <v>3.5044490075290895</v>
      </c>
      <c r="T100">
        <v>95.403999999999996</v>
      </c>
      <c r="U100">
        <v>323</v>
      </c>
      <c r="V100">
        <v>3.5</v>
      </c>
      <c r="W100">
        <v>7</v>
      </c>
      <c r="X100" s="59">
        <v>45921</v>
      </c>
      <c r="Y100" s="66">
        <f t="shared" ca="1" si="2"/>
        <v>4.7222222222222221E-2</v>
      </c>
      <c r="Z100" s="66">
        <f t="shared" ca="1" si="3"/>
        <v>95.356777777777779</v>
      </c>
      <c r="AA100">
        <v>1.4709999999990022</v>
      </c>
    </row>
    <row r="101" spans="1:27" x14ac:dyDescent="0.45">
      <c r="A101" t="s">
        <v>597</v>
      </c>
      <c r="B101" t="s">
        <v>262</v>
      </c>
      <c r="C101" t="s">
        <v>257</v>
      </c>
      <c r="D101" t="s">
        <v>43</v>
      </c>
      <c r="E101" t="s">
        <v>44</v>
      </c>
      <c r="F101" t="s">
        <v>598</v>
      </c>
      <c r="G101" t="s">
        <v>46</v>
      </c>
      <c r="H101">
        <v>2</v>
      </c>
      <c r="I101">
        <v>2.1</v>
      </c>
      <c r="J101">
        <v>1.4539999999999988</v>
      </c>
      <c r="K101">
        <v>1.4779999999999944</v>
      </c>
      <c r="L101">
        <v>102.31100000000001</v>
      </c>
      <c r="M101">
        <v>102.224</v>
      </c>
      <c r="N101" t="s">
        <v>599</v>
      </c>
      <c r="O101" t="s">
        <v>600</v>
      </c>
      <c r="P101" t="s">
        <v>49</v>
      </c>
      <c r="Q101" s="59">
        <v>40162</v>
      </c>
      <c r="R101" s="59">
        <v>46193</v>
      </c>
      <c r="S101">
        <v>3.7535934291581108</v>
      </c>
      <c r="T101">
        <v>102.26750000000001</v>
      </c>
      <c r="U101">
        <v>144</v>
      </c>
      <c r="V101">
        <v>3.5</v>
      </c>
      <c r="W101">
        <v>17</v>
      </c>
      <c r="X101" s="59">
        <v>46013</v>
      </c>
      <c r="Y101" s="66">
        <f t="shared" ca="1" si="2"/>
        <v>0.45500000000000002</v>
      </c>
      <c r="Z101" s="66">
        <f t="shared" ca="1" si="3"/>
        <v>101.81250000000001</v>
      </c>
      <c r="AA101">
        <v>1.4659999999999966</v>
      </c>
    </row>
    <row r="102" spans="1:27" x14ac:dyDescent="0.45">
      <c r="A102" t="s">
        <v>601</v>
      </c>
      <c r="B102" t="s">
        <v>262</v>
      </c>
      <c r="C102" t="s">
        <v>257</v>
      </c>
      <c r="D102" t="s">
        <v>43</v>
      </c>
      <c r="E102" t="s">
        <v>44</v>
      </c>
      <c r="F102" t="s">
        <v>598</v>
      </c>
      <c r="G102" t="s">
        <v>46</v>
      </c>
      <c r="H102">
        <v>2</v>
      </c>
      <c r="I102">
        <v>2.2000000000000002</v>
      </c>
      <c r="J102">
        <v>1.4509999999999901</v>
      </c>
      <c r="K102">
        <v>1.4759999999999969</v>
      </c>
      <c r="L102">
        <v>102.68</v>
      </c>
      <c r="M102">
        <v>102.589</v>
      </c>
      <c r="N102" t="s">
        <v>602</v>
      </c>
      <c r="O102" t="s">
        <v>603</v>
      </c>
      <c r="P102" t="s">
        <v>49</v>
      </c>
      <c r="Q102" s="59">
        <v>40232</v>
      </c>
      <c r="R102" s="59">
        <v>46193</v>
      </c>
      <c r="S102">
        <v>3.7535934291581108</v>
      </c>
      <c r="T102">
        <v>102.6345</v>
      </c>
      <c r="U102">
        <v>145</v>
      </c>
      <c r="V102">
        <v>3.5</v>
      </c>
      <c r="W102">
        <v>16</v>
      </c>
      <c r="X102" s="59">
        <v>46013</v>
      </c>
      <c r="Y102" s="66">
        <f t="shared" ca="1" si="2"/>
        <v>0.47666666666666674</v>
      </c>
      <c r="Z102" s="66">
        <f t="shared" ca="1" si="3"/>
        <v>102.15783333333333</v>
      </c>
      <c r="AA102">
        <v>1.4634999999999936</v>
      </c>
    </row>
    <row r="103" spans="1:27" x14ac:dyDescent="0.45">
      <c r="A103" t="s">
        <v>604</v>
      </c>
      <c r="B103" t="s">
        <v>256</v>
      </c>
      <c r="C103" t="s">
        <v>257</v>
      </c>
      <c r="D103" t="s">
        <v>43</v>
      </c>
      <c r="E103" t="s">
        <v>44</v>
      </c>
      <c r="F103" t="s">
        <v>598</v>
      </c>
      <c r="G103" t="s">
        <v>46</v>
      </c>
      <c r="H103">
        <v>2</v>
      </c>
      <c r="I103">
        <v>1.1000000000000001</v>
      </c>
      <c r="J103">
        <v>1.4839999999999998</v>
      </c>
      <c r="K103">
        <v>1.5039999999999978</v>
      </c>
      <c r="L103">
        <v>98.626999999999995</v>
      </c>
      <c r="M103">
        <v>98.555999999999997</v>
      </c>
      <c r="N103" t="s">
        <v>605</v>
      </c>
      <c r="O103" t="s">
        <v>606</v>
      </c>
      <c r="P103" t="s">
        <v>49</v>
      </c>
      <c r="Q103" s="59">
        <v>45719</v>
      </c>
      <c r="R103" s="59">
        <v>46193</v>
      </c>
      <c r="S103">
        <v>3.7535934291581108</v>
      </c>
      <c r="T103">
        <v>98.591499999999996</v>
      </c>
      <c r="U103">
        <v>246</v>
      </c>
      <c r="V103">
        <v>3.5</v>
      </c>
      <c r="W103">
        <v>1</v>
      </c>
      <c r="X103" s="59">
        <v>46013</v>
      </c>
      <c r="Y103" s="66">
        <f t="shared" ca="1" si="2"/>
        <v>0.23833333333333337</v>
      </c>
      <c r="Z103" s="66">
        <f t="shared" ca="1" si="3"/>
        <v>98.353166666666667</v>
      </c>
      <c r="AA103">
        <v>1.4939999999999989</v>
      </c>
    </row>
    <row r="104" spans="1:27" x14ac:dyDescent="0.45">
      <c r="A104" t="s">
        <v>607</v>
      </c>
      <c r="B104" t="s">
        <v>256</v>
      </c>
      <c r="C104" t="s">
        <v>257</v>
      </c>
      <c r="D104" t="s">
        <v>43</v>
      </c>
      <c r="E104" t="s">
        <v>44</v>
      </c>
      <c r="F104" t="s">
        <v>598</v>
      </c>
      <c r="G104" t="s">
        <v>46</v>
      </c>
      <c r="H104">
        <v>2</v>
      </c>
      <c r="I104">
        <v>1</v>
      </c>
      <c r="J104">
        <v>1.4819999999999955</v>
      </c>
      <c r="K104">
        <v>1.5029999999999997</v>
      </c>
      <c r="L104">
        <v>98.275999999999996</v>
      </c>
      <c r="M104">
        <v>98.201999999999998</v>
      </c>
      <c r="N104" t="s">
        <v>608</v>
      </c>
      <c r="O104" t="s">
        <v>609</v>
      </c>
      <c r="P104" t="s">
        <v>49</v>
      </c>
      <c r="Q104" s="59">
        <v>45695</v>
      </c>
      <c r="R104" s="59">
        <v>46193</v>
      </c>
      <c r="S104">
        <v>3.7535934291581108</v>
      </c>
      <c r="T104">
        <v>98.239000000000004</v>
      </c>
      <c r="U104">
        <v>250</v>
      </c>
      <c r="V104">
        <v>3.5</v>
      </c>
      <c r="W104">
        <v>1</v>
      </c>
      <c r="X104" s="59">
        <v>46013</v>
      </c>
      <c r="Y104" s="66">
        <f t="shared" ca="1" si="2"/>
        <v>0.21666666666666667</v>
      </c>
      <c r="Z104" s="66">
        <f t="shared" ca="1" si="3"/>
        <v>98.022333333333336</v>
      </c>
      <c r="AA104">
        <v>1.4924999999999975</v>
      </c>
    </row>
    <row r="105" spans="1:27" x14ac:dyDescent="0.45">
      <c r="A105" t="s">
        <v>610</v>
      </c>
      <c r="B105" t="s">
        <v>256</v>
      </c>
      <c r="C105" t="s">
        <v>257</v>
      </c>
      <c r="D105" t="s">
        <v>43</v>
      </c>
      <c r="E105" t="s">
        <v>44</v>
      </c>
      <c r="F105" t="s">
        <v>598</v>
      </c>
      <c r="G105" t="s">
        <v>46</v>
      </c>
      <c r="H105">
        <v>2</v>
      </c>
      <c r="I105">
        <v>0.9</v>
      </c>
      <c r="J105">
        <v>1.4879999999999953</v>
      </c>
      <c r="K105">
        <v>1.5079999999999951</v>
      </c>
      <c r="L105">
        <v>97.897999999999996</v>
      </c>
      <c r="M105">
        <v>97.828000000000003</v>
      </c>
      <c r="N105" t="s">
        <v>611</v>
      </c>
      <c r="O105" t="s">
        <v>612</v>
      </c>
      <c r="P105" t="s">
        <v>49</v>
      </c>
      <c r="Q105" s="59">
        <v>45664</v>
      </c>
      <c r="R105" s="59">
        <v>46193</v>
      </c>
      <c r="S105">
        <v>3.7535934291581108</v>
      </c>
      <c r="T105">
        <v>97.863</v>
      </c>
      <c r="U105">
        <v>255</v>
      </c>
      <c r="V105">
        <v>3.5</v>
      </c>
      <c r="W105">
        <v>1</v>
      </c>
      <c r="X105" s="59">
        <v>46013</v>
      </c>
      <c r="Y105" s="66">
        <f t="shared" ca="1" si="2"/>
        <v>0.19500000000000001</v>
      </c>
      <c r="Z105" s="66">
        <f t="shared" ca="1" si="3"/>
        <v>97.668000000000006</v>
      </c>
      <c r="AA105">
        <v>1.4979999999999953</v>
      </c>
    </row>
    <row r="106" spans="1:27" x14ac:dyDescent="0.45">
      <c r="A106" t="s">
        <v>613</v>
      </c>
      <c r="B106" t="s">
        <v>272</v>
      </c>
      <c r="C106" t="s">
        <v>257</v>
      </c>
      <c r="D106" t="s">
        <v>43</v>
      </c>
      <c r="E106" t="s">
        <v>44</v>
      </c>
      <c r="F106" t="s">
        <v>598</v>
      </c>
      <c r="G106" t="s">
        <v>46</v>
      </c>
      <c r="H106">
        <v>2</v>
      </c>
      <c r="I106">
        <v>0.1</v>
      </c>
      <c r="J106">
        <v>1.5069999999989467</v>
      </c>
      <c r="K106">
        <v>1.5289999999988426</v>
      </c>
      <c r="L106">
        <v>94.974000000000004</v>
      </c>
      <c r="M106">
        <v>94.899000000000001</v>
      </c>
      <c r="N106" t="s">
        <v>614</v>
      </c>
      <c r="O106" t="s">
        <v>615</v>
      </c>
      <c r="P106" t="s">
        <v>49</v>
      </c>
      <c r="Q106" s="59">
        <v>43826</v>
      </c>
      <c r="R106" s="59">
        <v>46193</v>
      </c>
      <c r="S106">
        <v>3.7535934291581108</v>
      </c>
      <c r="T106">
        <v>94.936499999999995</v>
      </c>
      <c r="U106">
        <v>318</v>
      </c>
      <c r="V106">
        <v>3.5</v>
      </c>
      <c r="W106">
        <v>7</v>
      </c>
      <c r="X106" s="59">
        <v>46013</v>
      </c>
      <c r="Y106" s="66">
        <f t="shared" ca="1" si="2"/>
        <v>2.1666666666666667E-2</v>
      </c>
      <c r="Z106" s="66">
        <f t="shared" ca="1" si="3"/>
        <v>94.914833333333334</v>
      </c>
      <c r="AA106">
        <v>1.5179999999988947</v>
      </c>
    </row>
    <row r="107" spans="1:27" x14ac:dyDescent="0.45">
      <c r="A107" t="s">
        <v>616</v>
      </c>
      <c r="B107" t="s">
        <v>581</v>
      </c>
      <c r="C107" t="s">
        <v>257</v>
      </c>
      <c r="D107" t="s">
        <v>43</v>
      </c>
      <c r="E107" t="s">
        <v>44</v>
      </c>
      <c r="F107" t="s">
        <v>617</v>
      </c>
      <c r="G107" t="s">
        <v>46</v>
      </c>
      <c r="H107">
        <v>2</v>
      </c>
      <c r="I107">
        <v>2.4</v>
      </c>
      <c r="J107">
        <v>1.4719999999999784</v>
      </c>
      <c r="K107">
        <v>1.4959999999999769</v>
      </c>
      <c r="L107">
        <v>103.46</v>
      </c>
      <c r="M107">
        <v>103.367</v>
      </c>
      <c r="N107" t="s">
        <v>618</v>
      </c>
      <c r="O107" t="s">
        <v>619</v>
      </c>
      <c r="P107" t="s">
        <v>49</v>
      </c>
      <c r="Q107" s="59">
        <v>36559</v>
      </c>
      <c r="R107" s="59">
        <v>46254</v>
      </c>
      <c r="S107">
        <v>3.9233401779603012</v>
      </c>
      <c r="T107">
        <v>103.4135</v>
      </c>
      <c r="U107">
        <v>83</v>
      </c>
      <c r="V107">
        <v>3.5</v>
      </c>
      <c r="W107">
        <v>26</v>
      </c>
      <c r="X107" s="59">
        <v>46074</v>
      </c>
      <c r="Y107" s="66">
        <f t="shared" ca="1" si="2"/>
        <v>0.11333333333333333</v>
      </c>
      <c r="Z107" s="66">
        <f t="shared" ca="1" si="3"/>
        <v>103.30016666666667</v>
      </c>
      <c r="AA107">
        <v>1.4839999999999778</v>
      </c>
    </row>
    <row r="108" spans="1:27" x14ac:dyDescent="0.45">
      <c r="A108" t="s">
        <v>620</v>
      </c>
      <c r="B108" t="s">
        <v>272</v>
      </c>
      <c r="C108" t="s">
        <v>257</v>
      </c>
      <c r="D108" t="s">
        <v>43</v>
      </c>
      <c r="E108" t="s">
        <v>44</v>
      </c>
      <c r="F108" t="s">
        <v>621</v>
      </c>
      <c r="G108" t="s">
        <v>46</v>
      </c>
      <c r="H108">
        <v>2</v>
      </c>
      <c r="I108">
        <v>0.1</v>
      </c>
      <c r="J108">
        <v>1.5469999999964401</v>
      </c>
      <c r="K108">
        <v>1.5669999999961144</v>
      </c>
      <c r="L108">
        <v>94.521000000000001</v>
      </c>
      <c r="M108">
        <v>94.448999999999998</v>
      </c>
      <c r="N108" t="s">
        <v>622</v>
      </c>
      <c r="O108" t="s">
        <v>623</v>
      </c>
      <c r="P108" t="s">
        <v>49</v>
      </c>
      <c r="Q108" s="59">
        <v>43916</v>
      </c>
      <c r="R108" s="59">
        <v>46101</v>
      </c>
      <c r="S108">
        <v>4</v>
      </c>
      <c r="T108">
        <v>94.484999999999999</v>
      </c>
      <c r="U108">
        <v>34</v>
      </c>
      <c r="V108">
        <v>4</v>
      </c>
      <c r="W108">
        <v>6</v>
      </c>
      <c r="X108" s="59">
        <v>45921</v>
      </c>
      <c r="Y108" s="66">
        <f t="shared" ca="1" si="2"/>
        <v>4.7222222222222221E-2</v>
      </c>
      <c r="Z108" s="66">
        <f t="shared" ca="1" si="3"/>
        <v>94.437777777777782</v>
      </c>
      <c r="AA108">
        <v>1.5569999999962771</v>
      </c>
    </row>
    <row r="109" spans="1:27" x14ac:dyDescent="0.45">
      <c r="A109" t="s">
        <v>624</v>
      </c>
      <c r="B109" t="s">
        <v>262</v>
      </c>
      <c r="C109" t="s">
        <v>257</v>
      </c>
      <c r="D109" t="s">
        <v>43</v>
      </c>
      <c r="E109" t="s">
        <v>44</v>
      </c>
      <c r="F109" t="s">
        <v>621</v>
      </c>
      <c r="G109" t="s">
        <v>46</v>
      </c>
      <c r="H109">
        <v>2</v>
      </c>
      <c r="I109">
        <v>2.2000000000000002</v>
      </c>
      <c r="J109">
        <v>1.4859999999999773</v>
      </c>
      <c r="K109">
        <v>1.509999999999986</v>
      </c>
      <c r="L109">
        <v>102.709</v>
      </c>
      <c r="M109">
        <v>102.616</v>
      </c>
      <c r="N109" t="s">
        <v>625</v>
      </c>
      <c r="O109" t="s">
        <v>626</v>
      </c>
      <c r="P109" t="s">
        <v>49</v>
      </c>
      <c r="Q109" s="59">
        <v>40253</v>
      </c>
      <c r="R109" s="59">
        <v>46101</v>
      </c>
      <c r="S109">
        <v>4</v>
      </c>
      <c r="T109">
        <v>102.66249999999999</v>
      </c>
      <c r="U109">
        <v>147</v>
      </c>
      <c r="V109">
        <v>4</v>
      </c>
      <c r="W109">
        <v>16</v>
      </c>
      <c r="X109" s="59">
        <v>45921</v>
      </c>
      <c r="Y109" s="66">
        <f t="shared" ca="1" si="2"/>
        <v>1.038888888888889</v>
      </c>
      <c r="Z109" s="66">
        <f t="shared" ca="1" si="3"/>
        <v>101.6236111111111</v>
      </c>
      <c r="AA109">
        <v>1.4979999999999816</v>
      </c>
    </row>
    <row r="110" spans="1:27" x14ac:dyDescent="0.45">
      <c r="A110" t="s">
        <v>627</v>
      </c>
      <c r="B110" t="s">
        <v>262</v>
      </c>
      <c r="C110" t="s">
        <v>257</v>
      </c>
      <c r="D110" t="s">
        <v>43</v>
      </c>
      <c r="E110" t="s">
        <v>44</v>
      </c>
      <c r="F110" t="s">
        <v>621</v>
      </c>
      <c r="G110" t="s">
        <v>46</v>
      </c>
      <c r="H110">
        <v>2</v>
      </c>
      <c r="I110">
        <v>2.1</v>
      </c>
      <c r="J110">
        <v>1.4909999999999926</v>
      </c>
      <c r="K110">
        <v>1.5149999999999881</v>
      </c>
      <c r="L110">
        <v>102.31</v>
      </c>
      <c r="M110">
        <v>102.217</v>
      </c>
      <c r="N110" t="s">
        <v>628</v>
      </c>
      <c r="O110" t="s">
        <v>629</v>
      </c>
      <c r="P110" t="s">
        <v>49</v>
      </c>
      <c r="Q110" s="59">
        <v>40290</v>
      </c>
      <c r="R110" s="59">
        <v>46101</v>
      </c>
      <c r="S110">
        <v>4</v>
      </c>
      <c r="T110">
        <v>102.26349999999999</v>
      </c>
      <c r="U110">
        <v>148</v>
      </c>
      <c r="V110">
        <v>4</v>
      </c>
      <c r="W110">
        <v>16</v>
      </c>
      <c r="X110" s="59">
        <v>45921</v>
      </c>
      <c r="Y110" s="66">
        <f t="shared" ca="1" si="2"/>
        <v>0.9916666666666667</v>
      </c>
      <c r="Z110" s="66">
        <f t="shared" ca="1" si="3"/>
        <v>101.27183333333333</v>
      </c>
      <c r="AA110">
        <v>1.5029999999999903</v>
      </c>
    </row>
    <row r="111" spans="1:27" x14ac:dyDescent="0.45">
      <c r="A111" t="s">
        <v>630</v>
      </c>
      <c r="B111" t="s">
        <v>256</v>
      </c>
      <c r="C111" t="s">
        <v>257</v>
      </c>
      <c r="D111" t="s">
        <v>43</v>
      </c>
      <c r="E111" t="s">
        <v>44</v>
      </c>
      <c r="F111" t="s">
        <v>621</v>
      </c>
      <c r="G111" t="s">
        <v>46</v>
      </c>
      <c r="H111">
        <v>2</v>
      </c>
      <c r="I111">
        <v>1</v>
      </c>
      <c r="J111">
        <v>1.5189999999999966</v>
      </c>
      <c r="K111">
        <v>1.5379999999999956</v>
      </c>
      <c r="L111">
        <v>98.031999999999996</v>
      </c>
      <c r="M111">
        <v>97.962000000000003</v>
      </c>
      <c r="N111" t="s">
        <v>631</v>
      </c>
      <c r="O111" t="s">
        <v>632</v>
      </c>
      <c r="P111" t="s">
        <v>49</v>
      </c>
      <c r="Q111" s="59">
        <v>45750</v>
      </c>
      <c r="R111" s="59">
        <v>46101</v>
      </c>
      <c r="S111">
        <v>4</v>
      </c>
      <c r="T111">
        <v>97.997</v>
      </c>
      <c r="U111">
        <v>243</v>
      </c>
      <c r="V111">
        <v>4</v>
      </c>
      <c r="W111">
        <v>1</v>
      </c>
      <c r="X111" s="59">
        <v>45921</v>
      </c>
      <c r="Y111" s="66">
        <f t="shared" ca="1" si="2"/>
        <v>0.47222222222222221</v>
      </c>
      <c r="Z111" s="66">
        <f t="shared" ca="1" si="3"/>
        <v>97.524777777777771</v>
      </c>
      <c r="AA111">
        <v>1.5284999999999962</v>
      </c>
    </row>
    <row r="112" spans="1:27" x14ac:dyDescent="0.45">
      <c r="A112" t="s">
        <v>633</v>
      </c>
      <c r="B112" t="s">
        <v>581</v>
      </c>
      <c r="C112" t="s">
        <v>257</v>
      </c>
      <c r="D112" t="s">
        <v>43</v>
      </c>
      <c r="E112" t="s">
        <v>44</v>
      </c>
      <c r="F112" t="s">
        <v>634</v>
      </c>
      <c r="G112" t="s">
        <v>46</v>
      </c>
      <c r="H112">
        <v>2</v>
      </c>
      <c r="I112">
        <v>2.2999999999999998</v>
      </c>
      <c r="J112">
        <v>1.5059999999999718</v>
      </c>
      <c r="K112">
        <v>1.5299999999999701</v>
      </c>
      <c r="L112">
        <v>103.128</v>
      </c>
      <c r="M112">
        <v>103.03100000000001</v>
      </c>
      <c r="N112" t="s">
        <v>635</v>
      </c>
      <c r="O112" t="s">
        <v>636</v>
      </c>
      <c r="P112" t="s">
        <v>49</v>
      </c>
      <c r="Q112" s="59">
        <v>36663</v>
      </c>
      <c r="R112" s="59">
        <v>46162</v>
      </c>
      <c r="S112">
        <v>4.1670088980150579</v>
      </c>
      <c r="T112">
        <v>103.0795</v>
      </c>
      <c r="U112">
        <v>84</v>
      </c>
      <c r="V112">
        <v>4</v>
      </c>
      <c r="W112">
        <v>26</v>
      </c>
      <c r="X112" s="59">
        <v>45982</v>
      </c>
      <c r="Y112" s="66">
        <f t="shared" ca="1" si="2"/>
        <v>0.69638888888888884</v>
      </c>
      <c r="Z112" s="66">
        <f t="shared" ca="1" si="3"/>
        <v>102.38311111111111</v>
      </c>
      <c r="AA112">
        <v>1.5179999999999709</v>
      </c>
    </row>
    <row r="113" spans="1:27" x14ac:dyDescent="0.45">
      <c r="A113" t="s">
        <v>637</v>
      </c>
      <c r="B113" t="s">
        <v>272</v>
      </c>
      <c r="C113" t="s">
        <v>257</v>
      </c>
      <c r="D113" t="s">
        <v>43</v>
      </c>
      <c r="E113" t="s">
        <v>44</v>
      </c>
      <c r="F113" t="s">
        <v>638</v>
      </c>
      <c r="G113" t="s">
        <v>46</v>
      </c>
      <c r="H113">
        <v>2</v>
      </c>
      <c r="I113">
        <v>0.1</v>
      </c>
      <c r="J113">
        <v>1.5799999999962568</v>
      </c>
      <c r="K113">
        <v>1.602999999995868</v>
      </c>
      <c r="L113">
        <v>94.073999999999998</v>
      </c>
      <c r="M113">
        <v>93.988</v>
      </c>
      <c r="N113" t="s">
        <v>639</v>
      </c>
      <c r="O113" t="s">
        <v>640</v>
      </c>
      <c r="P113" t="s">
        <v>49</v>
      </c>
      <c r="Q113" s="59">
        <v>44007</v>
      </c>
      <c r="R113" s="59">
        <v>46193</v>
      </c>
      <c r="S113">
        <v>4.2518822724161529</v>
      </c>
      <c r="T113">
        <v>94.031000000000006</v>
      </c>
      <c r="U113">
        <v>38</v>
      </c>
      <c r="V113">
        <v>4</v>
      </c>
      <c r="W113">
        <v>6</v>
      </c>
      <c r="X113" s="59">
        <v>46013</v>
      </c>
      <c r="Y113" s="66">
        <f t="shared" ca="1" si="2"/>
        <v>2.1666666666666667E-2</v>
      </c>
      <c r="Z113" s="66">
        <f t="shared" ca="1" si="3"/>
        <v>94.009333333333345</v>
      </c>
      <c r="AA113">
        <v>1.5914999999960624</v>
      </c>
    </row>
    <row r="114" spans="1:27" x14ac:dyDescent="0.45">
      <c r="A114" t="s">
        <v>641</v>
      </c>
      <c r="B114" t="s">
        <v>262</v>
      </c>
      <c r="C114" t="s">
        <v>257</v>
      </c>
      <c r="D114" t="s">
        <v>43</v>
      </c>
      <c r="E114" t="s">
        <v>44</v>
      </c>
      <c r="F114" t="s">
        <v>638</v>
      </c>
      <c r="G114" t="s">
        <v>46</v>
      </c>
      <c r="H114">
        <v>2</v>
      </c>
      <c r="I114">
        <v>2</v>
      </c>
      <c r="J114">
        <v>1.5229999999999959</v>
      </c>
      <c r="K114">
        <v>1.5469999999999999</v>
      </c>
      <c r="L114">
        <v>101.914</v>
      </c>
      <c r="M114">
        <v>101.816</v>
      </c>
      <c r="N114" t="s">
        <v>642</v>
      </c>
      <c r="O114" t="s">
        <v>643</v>
      </c>
      <c r="P114" t="s">
        <v>49</v>
      </c>
      <c r="Q114" s="59">
        <v>40345</v>
      </c>
      <c r="R114" s="59">
        <v>46193</v>
      </c>
      <c r="S114">
        <v>4.2518822724161529</v>
      </c>
      <c r="T114">
        <v>101.86500000000001</v>
      </c>
      <c r="U114">
        <v>150</v>
      </c>
      <c r="V114">
        <v>4</v>
      </c>
      <c r="W114">
        <v>16</v>
      </c>
      <c r="X114" s="59">
        <v>46013</v>
      </c>
      <c r="Y114" s="66">
        <f t="shared" ca="1" si="2"/>
        <v>0.43333333333333335</v>
      </c>
      <c r="Z114" s="66">
        <f t="shared" ca="1" si="3"/>
        <v>101.43166666666667</v>
      </c>
      <c r="AA114">
        <v>1.5349999999999979</v>
      </c>
    </row>
    <row r="115" spans="1:27" x14ac:dyDescent="0.45">
      <c r="A115" t="s">
        <v>644</v>
      </c>
      <c r="B115" t="s">
        <v>262</v>
      </c>
      <c r="C115" t="s">
        <v>257</v>
      </c>
      <c r="D115" t="s">
        <v>43</v>
      </c>
      <c r="E115" t="s">
        <v>44</v>
      </c>
      <c r="F115" t="s">
        <v>638</v>
      </c>
      <c r="G115" t="s">
        <v>46</v>
      </c>
      <c r="H115">
        <v>2</v>
      </c>
      <c r="I115">
        <v>1.8</v>
      </c>
      <c r="J115">
        <v>1.5249999999999984</v>
      </c>
      <c r="K115">
        <v>1.5489999999999975</v>
      </c>
      <c r="L115">
        <v>101.10299999999999</v>
      </c>
      <c r="M115">
        <v>101.006</v>
      </c>
      <c r="N115" t="s">
        <v>645</v>
      </c>
      <c r="O115" t="s">
        <v>646</v>
      </c>
      <c r="P115" t="s">
        <v>49</v>
      </c>
      <c r="Q115" s="59">
        <v>40381</v>
      </c>
      <c r="R115" s="59">
        <v>46193</v>
      </c>
      <c r="S115">
        <v>4.2518822724161529</v>
      </c>
      <c r="T115">
        <v>101.05449999999999</v>
      </c>
      <c r="U115">
        <v>151</v>
      </c>
      <c r="V115">
        <v>4</v>
      </c>
      <c r="W115">
        <v>16</v>
      </c>
      <c r="X115" s="59">
        <v>46013</v>
      </c>
      <c r="Y115" s="66">
        <f t="shared" ca="1" si="2"/>
        <v>0.39</v>
      </c>
      <c r="Z115" s="66">
        <f t="shared" ca="1" si="3"/>
        <v>100.66449999999999</v>
      </c>
      <c r="AA115">
        <v>1.5369999999999979</v>
      </c>
    </row>
    <row r="116" spans="1:27" x14ac:dyDescent="0.45">
      <c r="A116" t="s">
        <v>647</v>
      </c>
      <c r="B116" t="s">
        <v>262</v>
      </c>
      <c r="C116" t="s">
        <v>257</v>
      </c>
      <c r="D116" t="s">
        <v>43</v>
      </c>
      <c r="E116" t="s">
        <v>44</v>
      </c>
      <c r="F116" t="s">
        <v>638</v>
      </c>
      <c r="G116" t="s">
        <v>46</v>
      </c>
      <c r="H116">
        <v>2</v>
      </c>
      <c r="I116">
        <v>1.6</v>
      </c>
      <c r="J116">
        <v>1.5300000000054579</v>
      </c>
      <c r="K116">
        <v>1.554000000001506</v>
      </c>
      <c r="L116">
        <v>100.28</v>
      </c>
      <c r="M116">
        <v>100.184</v>
      </c>
      <c r="N116" t="s">
        <v>648</v>
      </c>
      <c r="O116" t="s">
        <v>649</v>
      </c>
      <c r="P116" t="s">
        <v>49</v>
      </c>
      <c r="Q116" s="59">
        <v>40414</v>
      </c>
      <c r="R116" s="59">
        <v>46193</v>
      </c>
      <c r="S116">
        <v>4.2518822724161529</v>
      </c>
      <c r="T116">
        <v>100.232</v>
      </c>
      <c r="U116">
        <v>152</v>
      </c>
      <c r="V116">
        <v>4</v>
      </c>
      <c r="W116">
        <v>16</v>
      </c>
      <c r="X116" s="59">
        <v>46013</v>
      </c>
      <c r="Y116" s="66">
        <f t="shared" ca="1" si="2"/>
        <v>0.34666666666666668</v>
      </c>
      <c r="Z116" s="66">
        <f t="shared" ca="1" si="3"/>
        <v>99.885333333333335</v>
      </c>
      <c r="AA116">
        <v>1.5420000000034819</v>
      </c>
    </row>
    <row r="117" spans="1:27" x14ac:dyDescent="0.45">
      <c r="A117" t="s">
        <v>650</v>
      </c>
      <c r="B117" t="s">
        <v>256</v>
      </c>
      <c r="C117" t="s">
        <v>257</v>
      </c>
      <c r="D117" t="s">
        <v>43</v>
      </c>
      <c r="E117" t="s">
        <v>44</v>
      </c>
      <c r="F117" t="s">
        <v>638</v>
      </c>
      <c r="G117" t="s">
        <v>46</v>
      </c>
      <c r="H117">
        <v>2</v>
      </c>
      <c r="I117">
        <v>1.1000000000000001</v>
      </c>
      <c r="J117">
        <v>1.5490000000000022</v>
      </c>
      <c r="K117">
        <v>1.5699999999999936</v>
      </c>
      <c r="L117">
        <v>98.2</v>
      </c>
      <c r="M117">
        <v>98.117000000000004</v>
      </c>
      <c r="N117" t="s">
        <v>651</v>
      </c>
      <c r="O117" t="s">
        <v>652</v>
      </c>
      <c r="P117" t="s">
        <v>49</v>
      </c>
      <c r="Q117" s="59">
        <v>45903</v>
      </c>
      <c r="R117" s="59">
        <v>46193</v>
      </c>
      <c r="S117">
        <v>4.2518822724161529</v>
      </c>
      <c r="T117">
        <v>98.158500000000004</v>
      </c>
      <c r="U117">
        <v>227</v>
      </c>
      <c r="V117">
        <v>4</v>
      </c>
      <c r="W117">
        <v>1</v>
      </c>
      <c r="X117" s="59">
        <v>46013</v>
      </c>
      <c r="Y117" s="66">
        <f t="shared" ca="1" si="2"/>
        <v>0.23833333333333337</v>
      </c>
      <c r="Z117" s="66">
        <f t="shared" ca="1" si="3"/>
        <v>97.920166666666674</v>
      </c>
      <c r="AA117">
        <v>1.5594999999999979</v>
      </c>
    </row>
    <row r="118" spans="1:27" x14ac:dyDescent="0.45">
      <c r="A118" t="s">
        <v>653</v>
      </c>
      <c r="B118" t="s">
        <v>256</v>
      </c>
      <c r="C118" t="s">
        <v>257</v>
      </c>
      <c r="D118" t="s">
        <v>43</v>
      </c>
      <c r="E118" t="s">
        <v>44</v>
      </c>
      <c r="F118" t="s">
        <v>638</v>
      </c>
      <c r="G118" t="s">
        <v>46</v>
      </c>
      <c r="H118">
        <v>2</v>
      </c>
      <c r="I118">
        <v>1</v>
      </c>
      <c r="J118">
        <v>1.5569999999999919</v>
      </c>
      <c r="K118">
        <v>1.575999999999997</v>
      </c>
      <c r="L118">
        <v>97.766999999999996</v>
      </c>
      <c r="M118">
        <v>97.692999999999998</v>
      </c>
      <c r="N118" t="s">
        <v>654</v>
      </c>
      <c r="O118" t="s">
        <v>655</v>
      </c>
      <c r="P118" t="s">
        <v>49</v>
      </c>
      <c r="Q118" s="59">
        <v>45839</v>
      </c>
      <c r="R118" s="59">
        <v>46193</v>
      </c>
      <c r="S118">
        <v>4.2518822724161529</v>
      </c>
      <c r="T118">
        <v>97.72999999999999</v>
      </c>
      <c r="U118">
        <v>233</v>
      </c>
      <c r="V118">
        <v>4</v>
      </c>
      <c r="W118">
        <v>1</v>
      </c>
      <c r="X118" s="59">
        <v>46013</v>
      </c>
      <c r="Y118" s="66">
        <f t="shared" ca="1" si="2"/>
        <v>0.21666666666666667</v>
      </c>
      <c r="Z118" s="66">
        <f t="shared" ca="1" si="3"/>
        <v>97.513333333333321</v>
      </c>
      <c r="AA118">
        <v>1.5664999999999945</v>
      </c>
    </row>
    <row r="119" spans="1:27" x14ac:dyDescent="0.45">
      <c r="A119" t="s">
        <v>656</v>
      </c>
      <c r="B119" t="s">
        <v>256</v>
      </c>
      <c r="C119" t="s">
        <v>257</v>
      </c>
      <c r="D119" t="s">
        <v>43</v>
      </c>
      <c r="E119" t="s">
        <v>44</v>
      </c>
      <c r="F119" t="s">
        <v>638</v>
      </c>
      <c r="G119" t="s">
        <v>46</v>
      </c>
      <c r="H119">
        <v>2</v>
      </c>
      <c r="I119">
        <v>1</v>
      </c>
      <c r="J119">
        <v>1.5609999999999893</v>
      </c>
      <c r="K119">
        <v>1.5809999999999922</v>
      </c>
      <c r="L119">
        <v>97.751999999999995</v>
      </c>
      <c r="M119">
        <v>97.673000000000002</v>
      </c>
      <c r="N119" t="s">
        <v>657</v>
      </c>
      <c r="O119" t="s">
        <v>658</v>
      </c>
      <c r="P119" t="s">
        <v>49</v>
      </c>
      <c r="Q119" s="59">
        <v>45846</v>
      </c>
      <c r="R119" s="59">
        <v>46193</v>
      </c>
      <c r="S119">
        <v>4.2518822724161529</v>
      </c>
      <c r="T119">
        <v>97.712500000000006</v>
      </c>
      <c r="U119">
        <v>235</v>
      </c>
      <c r="V119">
        <v>4</v>
      </c>
      <c r="W119">
        <v>1</v>
      </c>
      <c r="X119" s="59">
        <v>46013</v>
      </c>
      <c r="Y119" s="66">
        <f t="shared" ca="1" si="2"/>
        <v>0.21666666666666667</v>
      </c>
      <c r="Z119" s="66">
        <f t="shared" ca="1" si="3"/>
        <v>97.495833333333337</v>
      </c>
      <c r="AA119">
        <v>1.5709999999999908</v>
      </c>
    </row>
    <row r="120" spans="1:27" x14ac:dyDescent="0.45">
      <c r="A120" t="s">
        <v>659</v>
      </c>
      <c r="B120" t="s">
        <v>256</v>
      </c>
      <c r="C120" t="s">
        <v>257</v>
      </c>
      <c r="D120" t="s">
        <v>43</v>
      </c>
      <c r="E120" t="s">
        <v>44</v>
      </c>
      <c r="F120" t="s">
        <v>660</v>
      </c>
      <c r="G120" t="s">
        <v>46</v>
      </c>
      <c r="H120">
        <v>2</v>
      </c>
      <c r="I120">
        <v>1.4</v>
      </c>
      <c r="J120">
        <v>1.5649999998660922</v>
      </c>
      <c r="K120">
        <v>1.5869999998003588</v>
      </c>
      <c r="L120">
        <v>99.302000000000007</v>
      </c>
      <c r="M120">
        <v>99.21</v>
      </c>
      <c r="N120" t="s">
        <v>661</v>
      </c>
      <c r="O120" t="s">
        <v>662</v>
      </c>
      <c r="P120" t="s">
        <v>49</v>
      </c>
      <c r="Q120" s="59">
        <v>45993</v>
      </c>
      <c r="R120" s="59">
        <v>46101</v>
      </c>
      <c r="S120">
        <v>4.5037645448323067</v>
      </c>
      <c r="T120">
        <v>99.256</v>
      </c>
      <c r="U120">
        <v>77</v>
      </c>
      <c r="V120">
        <v>4.5</v>
      </c>
      <c r="W120">
        <v>1</v>
      </c>
      <c r="X120" s="59">
        <v>45921</v>
      </c>
      <c r="Y120" s="66">
        <f t="shared" ca="1" si="2"/>
        <v>0.66111111111111109</v>
      </c>
      <c r="Z120" s="66">
        <f t="shared" ca="1" si="3"/>
        <v>98.594888888888889</v>
      </c>
      <c r="AA120">
        <v>1.5759999998332255</v>
      </c>
    </row>
    <row r="121" spans="1:27" x14ac:dyDescent="0.45">
      <c r="A121" t="s">
        <v>663</v>
      </c>
      <c r="B121" t="s">
        <v>262</v>
      </c>
      <c r="C121" t="s">
        <v>257</v>
      </c>
      <c r="D121" t="s">
        <v>43</v>
      </c>
      <c r="E121" t="s">
        <v>44</v>
      </c>
      <c r="F121" t="s">
        <v>660</v>
      </c>
      <c r="G121" t="s">
        <v>46</v>
      </c>
      <c r="H121">
        <v>2</v>
      </c>
      <c r="I121">
        <v>1.9</v>
      </c>
      <c r="J121">
        <v>1.5549999999999957</v>
      </c>
      <c r="K121">
        <v>1.5780000000000034</v>
      </c>
      <c r="L121">
        <v>101.458</v>
      </c>
      <c r="M121">
        <v>101.36</v>
      </c>
      <c r="N121" t="s">
        <v>664</v>
      </c>
      <c r="O121" t="s">
        <v>665</v>
      </c>
      <c r="P121" t="s">
        <v>49</v>
      </c>
      <c r="Q121" s="59">
        <v>40435</v>
      </c>
      <c r="R121" s="59">
        <v>46101</v>
      </c>
      <c r="S121">
        <v>4.5037645448323067</v>
      </c>
      <c r="T121">
        <v>101.40899999999999</v>
      </c>
      <c r="U121">
        <v>154</v>
      </c>
      <c r="V121">
        <v>4.5</v>
      </c>
      <c r="W121">
        <v>16</v>
      </c>
      <c r="X121" s="59">
        <v>45921</v>
      </c>
      <c r="Y121" s="66">
        <f t="shared" ca="1" si="2"/>
        <v>0.89722222222222214</v>
      </c>
      <c r="Z121" s="66">
        <f t="shared" ca="1" si="3"/>
        <v>100.51177777777777</v>
      </c>
      <c r="AA121">
        <v>1.5664999999999996</v>
      </c>
    </row>
    <row r="122" spans="1:27" x14ac:dyDescent="0.45">
      <c r="A122" t="s">
        <v>666</v>
      </c>
      <c r="B122" t="s">
        <v>262</v>
      </c>
      <c r="C122" t="s">
        <v>257</v>
      </c>
      <c r="D122" t="s">
        <v>43</v>
      </c>
      <c r="E122" t="s">
        <v>44</v>
      </c>
      <c r="F122" t="s">
        <v>660</v>
      </c>
      <c r="G122" t="s">
        <v>46</v>
      </c>
      <c r="H122">
        <v>2</v>
      </c>
      <c r="I122">
        <v>1.8</v>
      </c>
      <c r="J122">
        <v>1.5589999999999995</v>
      </c>
      <c r="K122">
        <v>1.5830000000000009</v>
      </c>
      <c r="L122">
        <v>101.018</v>
      </c>
      <c r="M122">
        <v>100.916</v>
      </c>
      <c r="N122" t="s">
        <v>667</v>
      </c>
      <c r="O122" t="s">
        <v>668</v>
      </c>
      <c r="P122" t="s">
        <v>49</v>
      </c>
      <c r="Q122" s="59">
        <v>40472</v>
      </c>
      <c r="R122" s="59">
        <v>46101</v>
      </c>
      <c r="S122">
        <v>4.5037645448323067</v>
      </c>
      <c r="T122">
        <v>100.967</v>
      </c>
      <c r="U122">
        <v>155</v>
      </c>
      <c r="V122">
        <v>4.5</v>
      </c>
      <c r="W122">
        <v>16</v>
      </c>
      <c r="X122" s="59">
        <v>45921</v>
      </c>
      <c r="Y122" s="66">
        <f t="shared" ca="1" si="2"/>
        <v>0.85</v>
      </c>
      <c r="Z122" s="66">
        <f t="shared" ca="1" si="3"/>
        <v>100.117</v>
      </c>
      <c r="AA122">
        <v>1.5710000000000002</v>
      </c>
    </row>
    <row r="123" spans="1:27" x14ac:dyDescent="0.45">
      <c r="A123" t="s">
        <v>669</v>
      </c>
      <c r="B123" t="s">
        <v>256</v>
      </c>
      <c r="C123" t="s">
        <v>257</v>
      </c>
      <c r="D123" t="s">
        <v>43</v>
      </c>
      <c r="E123" t="s">
        <v>44</v>
      </c>
      <c r="F123" t="s">
        <v>660</v>
      </c>
      <c r="G123" t="s">
        <v>46</v>
      </c>
      <c r="H123">
        <v>2</v>
      </c>
      <c r="I123">
        <v>1.3</v>
      </c>
      <c r="J123">
        <v>1.5740000000000045</v>
      </c>
      <c r="K123">
        <v>1.5960000000000052</v>
      </c>
      <c r="L123">
        <v>98.841999999999999</v>
      </c>
      <c r="M123">
        <v>98.75</v>
      </c>
      <c r="N123" t="s">
        <v>670</v>
      </c>
      <c r="O123" t="s">
        <v>671</v>
      </c>
      <c r="P123" t="s">
        <v>49</v>
      </c>
      <c r="Q123" s="59">
        <v>45932</v>
      </c>
      <c r="R123" s="59">
        <v>46101</v>
      </c>
      <c r="S123">
        <v>4.5037645448323067</v>
      </c>
      <c r="T123">
        <v>98.795999999999992</v>
      </c>
      <c r="U123">
        <v>231</v>
      </c>
      <c r="V123">
        <v>4.5</v>
      </c>
      <c r="W123">
        <v>1</v>
      </c>
      <c r="X123" s="59">
        <v>45921</v>
      </c>
      <c r="Y123" s="66">
        <f t="shared" ca="1" si="2"/>
        <v>0.61388888888888893</v>
      </c>
      <c r="Z123" s="66">
        <f t="shared" ca="1" si="3"/>
        <v>98.182111111111098</v>
      </c>
      <c r="AA123">
        <v>1.5850000000000048</v>
      </c>
    </row>
    <row r="124" spans="1:27" x14ac:dyDescent="0.45">
      <c r="A124" t="s">
        <v>672</v>
      </c>
      <c r="B124" t="s">
        <v>272</v>
      </c>
      <c r="C124" t="s">
        <v>257</v>
      </c>
      <c r="D124" t="s">
        <v>43</v>
      </c>
      <c r="E124" t="s">
        <v>44</v>
      </c>
      <c r="F124" t="s">
        <v>660</v>
      </c>
      <c r="G124" t="s">
        <v>46</v>
      </c>
      <c r="H124">
        <v>2</v>
      </c>
      <c r="I124">
        <v>0.1</v>
      </c>
      <c r="J124">
        <v>1.6079999999895414</v>
      </c>
      <c r="K124">
        <v>1.6289999999885652</v>
      </c>
      <c r="L124">
        <v>93.637</v>
      </c>
      <c r="M124">
        <v>93.554000000000002</v>
      </c>
      <c r="N124" t="s">
        <v>673</v>
      </c>
      <c r="O124" t="s">
        <v>674</v>
      </c>
      <c r="P124" t="s">
        <v>49</v>
      </c>
      <c r="Q124" s="59">
        <v>44098</v>
      </c>
      <c r="R124" s="59">
        <v>46101</v>
      </c>
      <c r="S124">
        <v>4.5037645448323067</v>
      </c>
      <c r="T124">
        <v>93.595500000000001</v>
      </c>
      <c r="U124">
        <v>316</v>
      </c>
      <c r="V124">
        <v>4.5</v>
      </c>
      <c r="W124">
        <v>6</v>
      </c>
      <c r="X124" s="59">
        <v>45921</v>
      </c>
      <c r="Y124" s="66">
        <f t="shared" ca="1" si="2"/>
        <v>4.7222222222222221E-2</v>
      </c>
      <c r="Z124" s="66">
        <f t="shared" ca="1" si="3"/>
        <v>93.548277777777784</v>
      </c>
      <c r="AA124">
        <v>1.6184999999890533</v>
      </c>
    </row>
    <row r="125" spans="1:27" x14ac:dyDescent="0.45">
      <c r="A125" t="s">
        <v>675</v>
      </c>
      <c r="B125" t="s">
        <v>581</v>
      </c>
      <c r="C125" t="s">
        <v>257</v>
      </c>
      <c r="D125" t="s">
        <v>43</v>
      </c>
      <c r="E125" t="s">
        <v>44</v>
      </c>
      <c r="F125" t="s">
        <v>676</v>
      </c>
      <c r="G125" t="s">
        <v>46</v>
      </c>
      <c r="H125">
        <v>2</v>
      </c>
      <c r="I125">
        <v>2.9</v>
      </c>
      <c r="J125">
        <v>1.5499999999989809</v>
      </c>
      <c r="K125">
        <v>1.5749999999990927</v>
      </c>
      <c r="L125">
        <v>105.90600000000001</v>
      </c>
      <c r="M125">
        <v>105.79</v>
      </c>
      <c r="N125" t="s">
        <v>677</v>
      </c>
      <c r="O125" t="s">
        <v>678</v>
      </c>
      <c r="P125" t="s">
        <v>49</v>
      </c>
      <c r="Q125" s="59">
        <v>36838</v>
      </c>
      <c r="R125" s="59">
        <v>46162</v>
      </c>
      <c r="S125">
        <v>4.6707734428473646</v>
      </c>
      <c r="T125">
        <v>105.84800000000001</v>
      </c>
      <c r="U125">
        <v>85</v>
      </c>
      <c r="V125">
        <v>4.5</v>
      </c>
      <c r="W125">
        <v>26</v>
      </c>
      <c r="X125" s="59">
        <v>45982</v>
      </c>
      <c r="Y125" s="66">
        <f t="shared" ca="1" si="2"/>
        <v>0.87805555555555548</v>
      </c>
      <c r="Z125" s="66">
        <f t="shared" ca="1" si="3"/>
        <v>104.96994444444445</v>
      </c>
      <c r="AA125">
        <v>1.5624999999990368</v>
      </c>
    </row>
    <row r="126" spans="1:27" x14ac:dyDescent="0.45">
      <c r="A126" t="s">
        <v>679</v>
      </c>
      <c r="B126" t="s">
        <v>272</v>
      </c>
      <c r="C126" t="s">
        <v>257</v>
      </c>
      <c r="D126" t="s">
        <v>43</v>
      </c>
      <c r="E126" t="s">
        <v>44</v>
      </c>
      <c r="F126" t="s">
        <v>680</v>
      </c>
      <c r="G126" t="s">
        <v>46</v>
      </c>
      <c r="H126">
        <v>2</v>
      </c>
      <c r="I126">
        <v>0.1</v>
      </c>
      <c r="J126">
        <v>1.6439999999887491</v>
      </c>
      <c r="K126">
        <v>1.6649999999877207</v>
      </c>
      <c r="L126">
        <v>93.162999999999997</v>
      </c>
      <c r="M126">
        <v>93.076999999999998</v>
      </c>
      <c r="N126" t="s">
        <v>681</v>
      </c>
      <c r="O126" t="s">
        <v>682</v>
      </c>
      <c r="P126" t="s">
        <v>291</v>
      </c>
      <c r="Q126" s="59">
        <v>44193</v>
      </c>
      <c r="R126" s="59">
        <v>46193</v>
      </c>
      <c r="S126">
        <v>4.7529089664613275</v>
      </c>
      <c r="T126">
        <v>93.12</v>
      </c>
      <c r="U126">
        <v>42</v>
      </c>
      <c r="V126">
        <v>4.5</v>
      </c>
      <c r="W126">
        <v>6</v>
      </c>
      <c r="X126" s="59">
        <v>46013</v>
      </c>
      <c r="Y126" s="66">
        <f t="shared" ca="1" si="2"/>
        <v>2.1666666666666667E-2</v>
      </c>
      <c r="Z126" s="66">
        <f t="shared" ca="1" si="3"/>
        <v>93.098333333333343</v>
      </c>
      <c r="AA126">
        <v>1.6544999999882348</v>
      </c>
    </row>
    <row r="127" spans="1:27" x14ac:dyDescent="0.45">
      <c r="A127" t="s">
        <v>683</v>
      </c>
      <c r="B127" t="s">
        <v>262</v>
      </c>
      <c r="C127" t="s">
        <v>257</v>
      </c>
      <c r="D127" t="s">
        <v>43</v>
      </c>
      <c r="E127" t="s">
        <v>44</v>
      </c>
      <c r="F127" t="s">
        <v>680</v>
      </c>
      <c r="G127" t="s">
        <v>46</v>
      </c>
      <c r="H127">
        <v>2</v>
      </c>
      <c r="I127">
        <v>2.1</v>
      </c>
      <c r="J127">
        <v>1.5809999999999955</v>
      </c>
      <c r="K127">
        <v>1.6069999999999982</v>
      </c>
      <c r="L127">
        <v>102.304</v>
      </c>
      <c r="M127">
        <v>102.18600000000001</v>
      </c>
      <c r="N127" t="s">
        <v>684</v>
      </c>
      <c r="O127" t="s">
        <v>685</v>
      </c>
      <c r="P127" t="s">
        <v>49</v>
      </c>
      <c r="Q127" s="59">
        <v>40526</v>
      </c>
      <c r="R127" s="59">
        <v>46193</v>
      </c>
      <c r="S127">
        <v>4.7529089664613275</v>
      </c>
      <c r="T127">
        <v>102.245</v>
      </c>
      <c r="U127">
        <v>156</v>
      </c>
      <c r="V127">
        <v>4.5</v>
      </c>
      <c r="W127">
        <v>16</v>
      </c>
      <c r="X127" s="59">
        <v>46013</v>
      </c>
      <c r="Y127" s="66">
        <f t="shared" ca="1" si="2"/>
        <v>0.45500000000000002</v>
      </c>
      <c r="Z127" s="66">
        <f t="shared" ca="1" si="3"/>
        <v>101.79</v>
      </c>
      <c r="AA127">
        <v>1.5939999999999968</v>
      </c>
    </row>
    <row r="128" spans="1:27" x14ac:dyDescent="0.45">
      <c r="A128" t="s">
        <v>686</v>
      </c>
      <c r="B128" t="s">
        <v>262</v>
      </c>
      <c r="C128" t="s">
        <v>257</v>
      </c>
      <c r="D128" t="s">
        <v>43</v>
      </c>
      <c r="E128" t="s">
        <v>44</v>
      </c>
      <c r="F128" t="s">
        <v>680</v>
      </c>
      <c r="G128" t="s">
        <v>46</v>
      </c>
      <c r="H128">
        <v>2</v>
      </c>
      <c r="I128">
        <v>2</v>
      </c>
      <c r="J128">
        <v>1.5779999999999985</v>
      </c>
      <c r="K128">
        <v>1.6040000000000014</v>
      </c>
      <c r="L128">
        <v>101.873</v>
      </c>
      <c r="M128">
        <v>101.756</v>
      </c>
      <c r="N128" t="s">
        <v>687</v>
      </c>
      <c r="O128" t="s">
        <v>688</v>
      </c>
      <c r="P128" t="s">
        <v>49</v>
      </c>
      <c r="Q128" s="59">
        <v>40596</v>
      </c>
      <c r="R128" s="59">
        <v>46193</v>
      </c>
      <c r="S128">
        <v>4.7529089664613275</v>
      </c>
      <c r="T128">
        <v>101.81450000000001</v>
      </c>
      <c r="U128">
        <v>157</v>
      </c>
      <c r="V128">
        <v>4.5</v>
      </c>
      <c r="W128">
        <v>15</v>
      </c>
      <c r="X128" s="59">
        <v>46013</v>
      </c>
      <c r="Y128" s="66">
        <f t="shared" ca="1" si="2"/>
        <v>0.43333333333333335</v>
      </c>
      <c r="Z128" s="66">
        <f t="shared" ca="1" si="3"/>
        <v>101.38116666666667</v>
      </c>
      <c r="AA128">
        <v>1.591</v>
      </c>
    </row>
    <row r="129" spans="1:27" x14ac:dyDescent="0.45">
      <c r="A129" t="s">
        <v>689</v>
      </c>
      <c r="B129" t="s">
        <v>256</v>
      </c>
      <c r="C129" t="s">
        <v>257</v>
      </c>
      <c r="D129" t="s">
        <v>43</v>
      </c>
      <c r="E129" t="s">
        <v>44</v>
      </c>
      <c r="F129" t="s">
        <v>680</v>
      </c>
      <c r="G129" t="s">
        <v>46</v>
      </c>
      <c r="H129">
        <v>2</v>
      </c>
      <c r="I129">
        <v>1.6</v>
      </c>
      <c r="J129">
        <v>1.6009999999200701</v>
      </c>
      <c r="K129">
        <v>1.6239999999996815</v>
      </c>
      <c r="L129">
        <v>99.995000000000005</v>
      </c>
      <c r="M129">
        <v>99.893000000000001</v>
      </c>
      <c r="N129" t="s">
        <v>690</v>
      </c>
      <c r="O129" t="s">
        <v>691</v>
      </c>
      <c r="P129" t="s">
        <v>49</v>
      </c>
      <c r="Q129" s="59">
        <v>46029</v>
      </c>
      <c r="R129" s="59">
        <v>46193</v>
      </c>
      <c r="S129">
        <v>4.7529089664613275</v>
      </c>
      <c r="T129">
        <v>99.944000000000003</v>
      </c>
      <c r="U129">
        <v>220</v>
      </c>
      <c r="V129">
        <v>4.5</v>
      </c>
      <c r="W129">
        <v>0</v>
      </c>
      <c r="X129" s="59">
        <v>46013</v>
      </c>
      <c r="Y129" s="66">
        <f t="shared" ca="1" si="2"/>
        <v>0.34666666666666668</v>
      </c>
      <c r="Z129" s="66">
        <f t="shared" ca="1" si="3"/>
        <v>99.597333333333339</v>
      </c>
      <c r="AA129">
        <v>1.6124999999598759</v>
      </c>
    </row>
    <row r="130" spans="1:27" x14ac:dyDescent="0.45">
      <c r="A130" t="s">
        <v>692</v>
      </c>
      <c r="B130" t="s">
        <v>256</v>
      </c>
      <c r="C130" t="s">
        <v>257</v>
      </c>
      <c r="D130" t="s">
        <v>43</v>
      </c>
      <c r="E130" t="s">
        <v>44</v>
      </c>
      <c r="F130" t="s">
        <v>680</v>
      </c>
      <c r="G130" t="s">
        <v>46</v>
      </c>
      <c r="H130">
        <v>2</v>
      </c>
      <c r="I130">
        <v>1.6</v>
      </c>
      <c r="J130">
        <v>1.6020000000000068</v>
      </c>
      <c r="K130">
        <v>1.6269999999995455</v>
      </c>
      <c r="L130">
        <v>99.991</v>
      </c>
      <c r="M130">
        <v>99.88</v>
      </c>
      <c r="N130" t="s">
        <v>693</v>
      </c>
      <c r="O130" t="s">
        <v>694</v>
      </c>
      <c r="P130" t="s">
        <v>49</v>
      </c>
      <c r="Q130" s="59">
        <v>46041</v>
      </c>
      <c r="R130" s="59">
        <v>46193</v>
      </c>
      <c r="S130">
        <v>4.7529089664613275</v>
      </c>
      <c r="T130">
        <v>99.93549999999999</v>
      </c>
      <c r="U130">
        <v>222</v>
      </c>
      <c r="V130">
        <v>4.5</v>
      </c>
      <c r="W130">
        <v>0</v>
      </c>
      <c r="X130" s="59">
        <v>46013</v>
      </c>
      <c r="Y130" s="66">
        <f t="shared" ref="Y130:Y193" ca="1" si="4">((TODAY()-10)-X130)/180*(I130/2)</f>
        <v>0.34666666666666668</v>
      </c>
      <c r="Z130" s="66">
        <f t="shared" ca="1" si="3"/>
        <v>99.588833333333326</v>
      </c>
      <c r="AA130">
        <v>1.6144999999997762</v>
      </c>
    </row>
    <row r="131" spans="1:27" x14ac:dyDescent="0.45">
      <c r="A131" t="s">
        <v>695</v>
      </c>
      <c r="B131" t="s">
        <v>272</v>
      </c>
      <c r="C131" t="s">
        <v>257</v>
      </c>
      <c r="D131" t="s">
        <v>43</v>
      </c>
      <c r="E131" t="s">
        <v>44</v>
      </c>
      <c r="F131" t="s">
        <v>696</v>
      </c>
      <c r="G131" t="s">
        <v>46</v>
      </c>
      <c r="H131">
        <v>2</v>
      </c>
      <c r="I131">
        <v>0.1</v>
      </c>
      <c r="J131">
        <v>1.6779999999710236</v>
      </c>
      <c r="K131">
        <v>1.6949999999689331</v>
      </c>
      <c r="L131">
        <v>92.691000000000003</v>
      </c>
      <c r="M131">
        <v>92.617999999999995</v>
      </c>
      <c r="N131" t="s">
        <v>697</v>
      </c>
      <c r="O131" t="s">
        <v>698</v>
      </c>
      <c r="P131" t="s">
        <v>291</v>
      </c>
      <c r="Q131" s="59">
        <v>44280</v>
      </c>
      <c r="R131" s="59">
        <v>46101</v>
      </c>
      <c r="S131">
        <v>4.9993155373032172</v>
      </c>
      <c r="T131">
        <v>92.654499999999999</v>
      </c>
      <c r="U131">
        <v>45</v>
      </c>
      <c r="V131">
        <v>4.5</v>
      </c>
      <c r="W131">
        <v>5</v>
      </c>
      <c r="X131" s="59">
        <v>45921</v>
      </c>
      <c r="Y131" s="66">
        <f t="shared" ca="1" si="4"/>
        <v>4.7222222222222221E-2</v>
      </c>
      <c r="Z131" s="66">
        <f t="shared" ref="Z131:Z194" ca="1" si="5">T131-Y131</f>
        <v>92.607277777777782</v>
      </c>
      <c r="AA131">
        <v>1.6864999999699783</v>
      </c>
    </row>
    <row r="132" spans="1:27" x14ac:dyDescent="0.45">
      <c r="A132" t="s">
        <v>699</v>
      </c>
      <c r="B132" t="s">
        <v>262</v>
      </c>
      <c r="C132" t="s">
        <v>257</v>
      </c>
      <c r="D132" t="s">
        <v>43</v>
      </c>
      <c r="E132" t="s">
        <v>44</v>
      </c>
      <c r="F132" t="s">
        <v>696</v>
      </c>
      <c r="G132" t="s">
        <v>46</v>
      </c>
      <c r="H132">
        <v>2</v>
      </c>
      <c r="I132">
        <v>2.2000000000000002</v>
      </c>
      <c r="J132">
        <v>1.5959999999999797</v>
      </c>
      <c r="K132">
        <v>1.6179999999999808</v>
      </c>
      <c r="L132">
        <v>102.80800000000001</v>
      </c>
      <c r="M132">
        <v>102.703</v>
      </c>
      <c r="N132" t="s">
        <v>700</v>
      </c>
      <c r="O132" t="s">
        <v>701</v>
      </c>
      <c r="P132" t="s">
        <v>49</v>
      </c>
      <c r="Q132" s="59">
        <v>40618</v>
      </c>
      <c r="R132" s="59">
        <v>46101</v>
      </c>
      <c r="S132">
        <v>4.9993155373032172</v>
      </c>
      <c r="T132">
        <v>102.75550000000001</v>
      </c>
      <c r="U132">
        <v>159</v>
      </c>
      <c r="V132">
        <v>4.5</v>
      </c>
      <c r="W132">
        <v>15</v>
      </c>
      <c r="X132" s="59">
        <v>45921</v>
      </c>
      <c r="Y132" s="66">
        <f t="shared" ca="1" si="4"/>
        <v>1.038888888888889</v>
      </c>
      <c r="Z132" s="66">
        <f t="shared" ca="1" si="5"/>
        <v>101.71661111111112</v>
      </c>
      <c r="AA132">
        <v>1.6069999999999802</v>
      </c>
    </row>
    <row r="133" spans="1:27" x14ac:dyDescent="0.45">
      <c r="A133" t="s">
        <v>702</v>
      </c>
      <c r="B133" t="s">
        <v>262</v>
      </c>
      <c r="C133" t="s">
        <v>257</v>
      </c>
      <c r="D133" t="s">
        <v>43</v>
      </c>
      <c r="E133" t="s">
        <v>44</v>
      </c>
      <c r="F133" t="s">
        <v>696</v>
      </c>
      <c r="G133" t="s">
        <v>46</v>
      </c>
      <c r="H133">
        <v>2</v>
      </c>
      <c r="I133">
        <v>2</v>
      </c>
      <c r="J133">
        <v>1.6040000000000001</v>
      </c>
      <c r="K133">
        <v>1.626000000000005</v>
      </c>
      <c r="L133">
        <v>101.84</v>
      </c>
      <c r="M133">
        <v>101.736</v>
      </c>
      <c r="N133" t="s">
        <v>703</v>
      </c>
      <c r="O133" t="s">
        <v>704</v>
      </c>
      <c r="P133" t="s">
        <v>49</v>
      </c>
      <c r="Q133" s="59">
        <v>40654</v>
      </c>
      <c r="R133" s="59">
        <v>46101</v>
      </c>
      <c r="S133">
        <v>4.9993155373032172</v>
      </c>
      <c r="T133">
        <v>101.78800000000001</v>
      </c>
      <c r="U133">
        <v>160</v>
      </c>
      <c r="V133">
        <v>4.5</v>
      </c>
      <c r="W133">
        <v>15</v>
      </c>
      <c r="X133" s="59">
        <v>45921</v>
      </c>
      <c r="Y133" s="66">
        <f t="shared" ca="1" si="4"/>
        <v>0.94444444444444442</v>
      </c>
      <c r="Z133" s="66">
        <f t="shared" ca="1" si="5"/>
        <v>100.84355555555557</v>
      </c>
      <c r="AA133">
        <v>1.6150000000000024</v>
      </c>
    </row>
    <row r="134" spans="1:27" x14ac:dyDescent="0.45">
      <c r="A134" t="s">
        <v>705</v>
      </c>
      <c r="B134" t="s">
        <v>262</v>
      </c>
      <c r="C134" t="s">
        <v>257</v>
      </c>
      <c r="D134" t="s">
        <v>43</v>
      </c>
      <c r="E134" t="s">
        <v>44</v>
      </c>
      <c r="F134" t="s">
        <v>696</v>
      </c>
      <c r="G134" t="s">
        <v>46</v>
      </c>
      <c r="H134">
        <v>2</v>
      </c>
      <c r="I134">
        <v>1.9</v>
      </c>
      <c r="J134">
        <v>1.609</v>
      </c>
      <c r="K134">
        <v>1.6310000000000042</v>
      </c>
      <c r="L134">
        <v>101.352</v>
      </c>
      <c r="M134">
        <v>101.248</v>
      </c>
      <c r="N134" t="s">
        <v>706</v>
      </c>
      <c r="O134" t="s">
        <v>707</v>
      </c>
      <c r="P134" t="s">
        <v>49</v>
      </c>
      <c r="Q134" s="59">
        <v>40689</v>
      </c>
      <c r="R134" s="59">
        <v>46101</v>
      </c>
      <c r="S134">
        <v>4.9993155373032172</v>
      </c>
      <c r="T134">
        <v>101.30000000000001</v>
      </c>
      <c r="U134">
        <v>162</v>
      </c>
      <c r="V134">
        <v>4.5</v>
      </c>
      <c r="W134">
        <v>15</v>
      </c>
      <c r="X134" s="59">
        <v>45921</v>
      </c>
      <c r="Y134" s="66">
        <f t="shared" ca="1" si="4"/>
        <v>0.89722222222222214</v>
      </c>
      <c r="Z134" s="66">
        <f t="shared" ca="1" si="5"/>
        <v>100.40277777777779</v>
      </c>
      <c r="AA134">
        <v>1.6200000000000021</v>
      </c>
    </row>
    <row r="135" spans="1:27" x14ac:dyDescent="0.45">
      <c r="A135" t="s">
        <v>708</v>
      </c>
      <c r="B135" t="s">
        <v>581</v>
      </c>
      <c r="C135" t="s">
        <v>257</v>
      </c>
      <c r="D135" t="s">
        <v>43</v>
      </c>
      <c r="E135" t="s">
        <v>44</v>
      </c>
      <c r="F135" t="s">
        <v>709</v>
      </c>
      <c r="G135" t="s">
        <v>46</v>
      </c>
      <c r="H135">
        <v>2</v>
      </c>
      <c r="I135">
        <v>2.2000000000000002</v>
      </c>
      <c r="J135">
        <v>1.619999999999981</v>
      </c>
      <c r="K135">
        <v>1.6409999999999838</v>
      </c>
      <c r="L135">
        <v>102.776</v>
      </c>
      <c r="M135">
        <v>102.673</v>
      </c>
      <c r="N135" t="s">
        <v>710</v>
      </c>
      <c r="O135" t="s">
        <v>711</v>
      </c>
      <c r="P135" t="s">
        <v>49</v>
      </c>
      <c r="Q135" s="59">
        <v>37027</v>
      </c>
      <c r="R135" s="59">
        <v>46162</v>
      </c>
      <c r="S135">
        <v>5.1663244353182751</v>
      </c>
      <c r="T135">
        <v>102.72450000000001</v>
      </c>
      <c r="U135">
        <v>86</v>
      </c>
      <c r="V135">
        <v>5</v>
      </c>
      <c r="W135">
        <v>25</v>
      </c>
      <c r="X135" s="59">
        <v>45982</v>
      </c>
      <c r="Y135" s="66">
        <f t="shared" ca="1" si="4"/>
        <v>0.6661111111111111</v>
      </c>
      <c r="Z135" s="66">
        <f t="shared" ca="1" si="5"/>
        <v>102.0583888888889</v>
      </c>
      <c r="AA135">
        <v>1.6304999999999823</v>
      </c>
    </row>
    <row r="136" spans="1:27" x14ac:dyDescent="0.45">
      <c r="A136" t="s">
        <v>712</v>
      </c>
      <c r="B136" t="s">
        <v>272</v>
      </c>
      <c r="C136" t="s">
        <v>257</v>
      </c>
      <c r="D136" t="s">
        <v>43</v>
      </c>
      <c r="E136" t="s">
        <v>44</v>
      </c>
      <c r="F136" t="s">
        <v>713</v>
      </c>
      <c r="G136" t="s">
        <v>46</v>
      </c>
      <c r="H136">
        <v>2</v>
      </c>
      <c r="I136">
        <v>0.1</v>
      </c>
      <c r="J136">
        <v>1.7099999999691318</v>
      </c>
      <c r="K136">
        <v>1.7269999999669614</v>
      </c>
      <c r="L136">
        <v>92.210999999999999</v>
      </c>
      <c r="M136">
        <v>92.135000000000005</v>
      </c>
      <c r="N136" t="s">
        <v>714</v>
      </c>
      <c r="O136" t="s">
        <v>715</v>
      </c>
      <c r="P136" t="s">
        <v>291</v>
      </c>
      <c r="Q136" s="59">
        <v>44371</v>
      </c>
      <c r="R136" s="59">
        <v>46193</v>
      </c>
      <c r="S136">
        <v>5.2511978097193701</v>
      </c>
      <c r="T136">
        <v>92.173000000000002</v>
      </c>
      <c r="U136">
        <v>50</v>
      </c>
      <c r="V136">
        <v>5</v>
      </c>
      <c r="W136">
        <v>5</v>
      </c>
      <c r="X136" s="59">
        <v>46013</v>
      </c>
      <c r="Y136" s="66">
        <f t="shared" ca="1" si="4"/>
        <v>2.1666666666666667E-2</v>
      </c>
      <c r="Z136" s="66">
        <f t="shared" ca="1" si="5"/>
        <v>92.151333333333341</v>
      </c>
      <c r="AA136">
        <v>1.7184999999680466</v>
      </c>
    </row>
    <row r="137" spans="1:27" x14ac:dyDescent="0.45">
      <c r="A137" t="s">
        <v>716</v>
      </c>
      <c r="B137" t="s">
        <v>262</v>
      </c>
      <c r="C137" t="s">
        <v>257</v>
      </c>
      <c r="D137" t="s">
        <v>43</v>
      </c>
      <c r="E137" t="s">
        <v>44</v>
      </c>
      <c r="F137" t="s">
        <v>713</v>
      </c>
      <c r="G137" t="s">
        <v>46</v>
      </c>
      <c r="H137">
        <v>2</v>
      </c>
      <c r="I137">
        <v>1.9</v>
      </c>
      <c r="J137">
        <v>1.6339999999999952</v>
      </c>
      <c r="K137">
        <v>1.6539999999999966</v>
      </c>
      <c r="L137">
        <v>101.291</v>
      </c>
      <c r="M137">
        <v>101.193</v>
      </c>
      <c r="N137" t="s">
        <v>717</v>
      </c>
      <c r="O137" t="s">
        <v>718</v>
      </c>
      <c r="P137" t="s">
        <v>49</v>
      </c>
      <c r="Q137" s="59">
        <v>40709</v>
      </c>
      <c r="R137" s="59">
        <v>46193</v>
      </c>
      <c r="S137">
        <v>5.2511978097193701</v>
      </c>
      <c r="T137">
        <v>101.24199999999999</v>
      </c>
      <c r="U137">
        <v>163</v>
      </c>
      <c r="V137">
        <v>5</v>
      </c>
      <c r="W137">
        <v>15</v>
      </c>
      <c r="X137" s="59">
        <v>46013</v>
      </c>
      <c r="Y137" s="66">
        <f t="shared" ca="1" si="4"/>
        <v>0.41166666666666668</v>
      </c>
      <c r="Z137" s="66">
        <f t="shared" ca="1" si="5"/>
        <v>100.83033333333333</v>
      </c>
      <c r="AA137">
        <v>1.6439999999999959</v>
      </c>
    </row>
    <row r="138" spans="1:27" x14ac:dyDescent="0.45">
      <c r="A138" t="s">
        <v>719</v>
      </c>
      <c r="B138" t="s">
        <v>262</v>
      </c>
      <c r="C138" t="s">
        <v>257</v>
      </c>
      <c r="D138" t="s">
        <v>43</v>
      </c>
      <c r="E138" t="s">
        <v>44</v>
      </c>
      <c r="F138" t="s">
        <v>713</v>
      </c>
      <c r="G138" t="s">
        <v>46</v>
      </c>
      <c r="H138">
        <v>2</v>
      </c>
      <c r="I138">
        <v>1.8</v>
      </c>
      <c r="J138">
        <v>1.6360000001607911</v>
      </c>
      <c r="K138">
        <v>1.6560000001065585</v>
      </c>
      <c r="L138">
        <v>100.79600000000001</v>
      </c>
      <c r="M138">
        <v>100.69799999999999</v>
      </c>
      <c r="N138" t="s">
        <v>720</v>
      </c>
      <c r="O138" t="s">
        <v>721</v>
      </c>
      <c r="P138" t="s">
        <v>49</v>
      </c>
      <c r="Q138" s="59">
        <v>40780</v>
      </c>
      <c r="R138" s="59">
        <v>46193</v>
      </c>
      <c r="S138">
        <v>5.2511978097193701</v>
      </c>
      <c r="T138">
        <v>100.747</v>
      </c>
      <c r="U138">
        <v>164</v>
      </c>
      <c r="V138">
        <v>5</v>
      </c>
      <c r="W138">
        <v>15</v>
      </c>
      <c r="X138" s="59">
        <v>46013</v>
      </c>
      <c r="Y138" s="66">
        <f t="shared" ca="1" si="4"/>
        <v>0.39</v>
      </c>
      <c r="Z138" s="66">
        <f t="shared" ca="1" si="5"/>
        <v>100.357</v>
      </c>
      <c r="AA138">
        <v>1.6460000001336748</v>
      </c>
    </row>
    <row r="139" spans="1:27" x14ac:dyDescent="0.45">
      <c r="A139" t="s">
        <v>722</v>
      </c>
      <c r="B139" t="s">
        <v>272</v>
      </c>
      <c r="C139" t="s">
        <v>257</v>
      </c>
      <c r="D139" t="s">
        <v>43</v>
      </c>
      <c r="E139" t="s">
        <v>44</v>
      </c>
      <c r="F139" t="s">
        <v>723</v>
      </c>
      <c r="G139" t="s">
        <v>46</v>
      </c>
      <c r="H139">
        <v>2</v>
      </c>
      <c r="I139">
        <v>0.1</v>
      </c>
      <c r="J139">
        <v>1.7499999999255946</v>
      </c>
      <c r="K139">
        <v>1.7649999999210819</v>
      </c>
      <c r="L139">
        <v>91.686000000000007</v>
      </c>
      <c r="M139">
        <v>91.616</v>
      </c>
      <c r="N139" t="s">
        <v>724</v>
      </c>
      <c r="O139" t="s">
        <v>725</v>
      </c>
      <c r="P139" t="s">
        <v>291</v>
      </c>
      <c r="Q139" s="59">
        <v>44467</v>
      </c>
      <c r="R139" s="59">
        <v>46101</v>
      </c>
      <c r="S139">
        <v>5.5030800821355239</v>
      </c>
      <c r="T139">
        <v>91.65100000000001</v>
      </c>
      <c r="U139">
        <v>54</v>
      </c>
      <c r="V139">
        <v>5.5</v>
      </c>
      <c r="W139">
        <v>5</v>
      </c>
      <c r="X139" s="59">
        <v>45921</v>
      </c>
      <c r="Y139" s="66">
        <f t="shared" ca="1" si="4"/>
        <v>4.7222222222222221E-2</v>
      </c>
      <c r="Z139" s="66">
        <f t="shared" ca="1" si="5"/>
        <v>91.603777777777793</v>
      </c>
      <c r="AA139">
        <v>1.7574999999233383</v>
      </c>
    </row>
    <row r="140" spans="1:27" x14ac:dyDescent="0.45">
      <c r="A140" t="s">
        <v>726</v>
      </c>
      <c r="B140" t="s">
        <v>262</v>
      </c>
      <c r="C140" t="s">
        <v>257</v>
      </c>
      <c r="D140" t="s">
        <v>43</v>
      </c>
      <c r="E140" t="s">
        <v>44</v>
      </c>
      <c r="F140" t="s">
        <v>723</v>
      </c>
      <c r="G140" t="s">
        <v>46</v>
      </c>
      <c r="H140">
        <v>2</v>
      </c>
      <c r="I140">
        <v>1.8</v>
      </c>
      <c r="J140">
        <v>1.6690000001149208</v>
      </c>
      <c r="K140">
        <v>1.6880000000702426</v>
      </c>
      <c r="L140">
        <v>100.66200000000001</v>
      </c>
      <c r="M140">
        <v>100.566</v>
      </c>
      <c r="N140" t="s">
        <v>727</v>
      </c>
      <c r="O140" t="s">
        <v>728</v>
      </c>
      <c r="P140" t="s">
        <v>49</v>
      </c>
      <c r="Q140" s="59">
        <v>40799</v>
      </c>
      <c r="R140" s="59">
        <v>46101</v>
      </c>
      <c r="S140">
        <v>5.5030800821355239</v>
      </c>
      <c r="T140">
        <v>100.614</v>
      </c>
      <c r="U140">
        <v>166</v>
      </c>
      <c r="V140">
        <v>5.5</v>
      </c>
      <c r="W140">
        <v>15</v>
      </c>
      <c r="X140" s="59">
        <v>45921</v>
      </c>
      <c r="Y140" s="66">
        <f t="shared" ca="1" si="4"/>
        <v>0.85</v>
      </c>
      <c r="Z140" s="66">
        <f t="shared" ca="1" si="5"/>
        <v>99.76400000000001</v>
      </c>
      <c r="AA140">
        <v>1.6785000000925816</v>
      </c>
    </row>
    <row r="141" spans="1:27" x14ac:dyDescent="0.45">
      <c r="A141" t="s">
        <v>729</v>
      </c>
      <c r="B141" t="s">
        <v>262</v>
      </c>
      <c r="C141" t="s">
        <v>257</v>
      </c>
      <c r="D141" t="s">
        <v>43</v>
      </c>
      <c r="E141" t="s">
        <v>44</v>
      </c>
      <c r="F141" t="s">
        <v>723</v>
      </c>
      <c r="G141" t="s">
        <v>46</v>
      </c>
      <c r="H141">
        <v>2</v>
      </c>
      <c r="I141">
        <v>1.7</v>
      </c>
      <c r="J141">
        <v>1.6720000000010271</v>
      </c>
      <c r="K141">
        <v>1.6910000000000318</v>
      </c>
      <c r="L141">
        <v>100.14100000000001</v>
      </c>
      <c r="M141">
        <v>100.045</v>
      </c>
      <c r="N141" t="s">
        <v>730</v>
      </c>
      <c r="O141" t="s">
        <v>731</v>
      </c>
      <c r="P141" t="s">
        <v>49</v>
      </c>
      <c r="Q141" s="59">
        <v>40869</v>
      </c>
      <c r="R141" s="59">
        <v>46101</v>
      </c>
      <c r="S141">
        <v>5.5030800821355239</v>
      </c>
      <c r="T141">
        <v>100.093</v>
      </c>
      <c r="U141">
        <v>167</v>
      </c>
      <c r="V141">
        <v>5.5</v>
      </c>
      <c r="W141">
        <v>15</v>
      </c>
      <c r="X141" s="59">
        <v>45921</v>
      </c>
      <c r="Y141" s="66">
        <f t="shared" ca="1" si="4"/>
        <v>0.8027777777777777</v>
      </c>
      <c r="Z141" s="66">
        <f t="shared" ca="1" si="5"/>
        <v>99.290222222222226</v>
      </c>
      <c r="AA141">
        <v>1.6815000000005296</v>
      </c>
    </row>
    <row r="142" spans="1:27" x14ac:dyDescent="0.45">
      <c r="A142" t="s">
        <v>732</v>
      </c>
      <c r="B142" t="s">
        <v>581</v>
      </c>
      <c r="C142" t="s">
        <v>257</v>
      </c>
      <c r="D142" t="s">
        <v>43</v>
      </c>
      <c r="E142" t="s">
        <v>44</v>
      </c>
      <c r="F142" t="s">
        <v>733</v>
      </c>
      <c r="G142" t="s">
        <v>46</v>
      </c>
      <c r="H142">
        <v>2</v>
      </c>
      <c r="I142">
        <v>2.4</v>
      </c>
      <c r="J142">
        <v>1.6619999999998913</v>
      </c>
      <c r="K142">
        <v>1.6819999999999051</v>
      </c>
      <c r="L142">
        <v>103.83799999999999</v>
      </c>
      <c r="M142">
        <v>103.73</v>
      </c>
      <c r="N142" t="s">
        <v>734</v>
      </c>
      <c r="O142" t="s">
        <v>735</v>
      </c>
      <c r="P142" t="s">
        <v>49</v>
      </c>
      <c r="Q142" s="59">
        <v>37203</v>
      </c>
      <c r="R142" s="59">
        <v>46162</v>
      </c>
      <c r="S142">
        <v>5.6700889801505818</v>
      </c>
      <c r="T142">
        <v>103.78399999999999</v>
      </c>
      <c r="U142">
        <v>87</v>
      </c>
      <c r="V142">
        <v>5.5</v>
      </c>
      <c r="W142">
        <v>25</v>
      </c>
      <c r="X142" s="59">
        <v>45982</v>
      </c>
      <c r="Y142" s="66">
        <f t="shared" ca="1" si="4"/>
        <v>0.72666666666666657</v>
      </c>
      <c r="Z142" s="66">
        <f t="shared" ca="1" si="5"/>
        <v>103.05733333333333</v>
      </c>
      <c r="AA142">
        <v>1.6719999999998982</v>
      </c>
    </row>
    <row r="143" spans="1:27" x14ac:dyDescent="0.45">
      <c r="A143" t="s">
        <v>736</v>
      </c>
      <c r="B143" t="s">
        <v>272</v>
      </c>
      <c r="C143" t="s">
        <v>257</v>
      </c>
      <c r="D143" t="s">
        <v>43</v>
      </c>
      <c r="E143" t="s">
        <v>44</v>
      </c>
      <c r="F143" t="s">
        <v>737</v>
      </c>
      <c r="G143" t="s">
        <v>46</v>
      </c>
      <c r="H143">
        <v>2</v>
      </c>
      <c r="I143">
        <v>0.1</v>
      </c>
      <c r="J143">
        <v>1.7749999999224804</v>
      </c>
      <c r="K143">
        <v>1.7919999999172049</v>
      </c>
      <c r="L143">
        <v>91.224999999999994</v>
      </c>
      <c r="M143">
        <v>91.144000000000005</v>
      </c>
      <c r="N143" t="s">
        <v>738</v>
      </c>
      <c r="O143" t="s">
        <v>739</v>
      </c>
      <c r="P143" t="s">
        <v>291</v>
      </c>
      <c r="Q143" s="59">
        <v>44558</v>
      </c>
      <c r="R143" s="59">
        <v>46193</v>
      </c>
      <c r="S143">
        <v>5.7522245037645447</v>
      </c>
      <c r="T143">
        <v>91.1845</v>
      </c>
      <c r="U143">
        <v>58</v>
      </c>
      <c r="V143">
        <v>5.5</v>
      </c>
      <c r="W143">
        <v>5</v>
      </c>
      <c r="X143" s="59">
        <v>46013</v>
      </c>
      <c r="Y143" s="66">
        <f t="shared" ca="1" si="4"/>
        <v>2.1666666666666667E-2</v>
      </c>
      <c r="Z143" s="66">
        <f t="shared" ca="1" si="5"/>
        <v>91.162833333333339</v>
      </c>
      <c r="AA143">
        <v>1.7834999999198426</v>
      </c>
    </row>
    <row r="144" spans="1:27" x14ac:dyDescent="0.45">
      <c r="A144" t="s">
        <v>740</v>
      </c>
      <c r="B144" t="s">
        <v>262</v>
      </c>
      <c r="C144" t="s">
        <v>257</v>
      </c>
      <c r="D144" t="s">
        <v>43</v>
      </c>
      <c r="E144" t="s">
        <v>44</v>
      </c>
      <c r="F144" t="s">
        <v>737</v>
      </c>
      <c r="G144" t="s">
        <v>46</v>
      </c>
      <c r="H144">
        <v>2</v>
      </c>
      <c r="I144">
        <v>1.7</v>
      </c>
      <c r="J144">
        <v>1.7009999998887095</v>
      </c>
      <c r="K144">
        <v>1.7199999999996438</v>
      </c>
      <c r="L144">
        <v>99.994</v>
      </c>
      <c r="M144">
        <v>99.894000000000005</v>
      </c>
      <c r="N144" t="s">
        <v>741</v>
      </c>
      <c r="O144" t="s">
        <v>742</v>
      </c>
      <c r="P144" t="s">
        <v>49</v>
      </c>
      <c r="Q144" s="59">
        <v>40892</v>
      </c>
      <c r="R144" s="59">
        <v>46193</v>
      </c>
      <c r="S144">
        <v>5.7522245037645447</v>
      </c>
      <c r="T144">
        <v>99.944000000000003</v>
      </c>
      <c r="U144">
        <v>168</v>
      </c>
      <c r="V144">
        <v>5.5</v>
      </c>
      <c r="W144">
        <v>15</v>
      </c>
      <c r="X144" s="59">
        <v>46013</v>
      </c>
      <c r="Y144" s="66">
        <f t="shared" ca="1" si="4"/>
        <v>0.36833333333333335</v>
      </c>
      <c r="Z144" s="66">
        <f t="shared" ca="1" si="5"/>
        <v>99.575666666666663</v>
      </c>
      <c r="AA144">
        <v>1.7104999999441768</v>
      </c>
    </row>
    <row r="145" spans="1:27" x14ac:dyDescent="0.45">
      <c r="A145" t="s">
        <v>743</v>
      </c>
      <c r="B145" t="s">
        <v>262</v>
      </c>
      <c r="C145" t="s">
        <v>257</v>
      </c>
      <c r="D145" t="s">
        <v>43</v>
      </c>
      <c r="E145" t="s">
        <v>44</v>
      </c>
      <c r="F145" t="s">
        <v>737</v>
      </c>
      <c r="G145" t="s">
        <v>46</v>
      </c>
      <c r="H145">
        <v>2</v>
      </c>
      <c r="I145">
        <v>1.8</v>
      </c>
      <c r="J145">
        <v>1.6960000000532316</v>
      </c>
      <c r="K145">
        <v>1.7150000000284553</v>
      </c>
      <c r="L145">
        <v>100.547</v>
      </c>
      <c r="M145">
        <v>100.446</v>
      </c>
      <c r="N145" t="s">
        <v>744</v>
      </c>
      <c r="O145" t="s">
        <v>745</v>
      </c>
      <c r="P145" t="s">
        <v>49</v>
      </c>
      <c r="Q145" s="59">
        <v>40934</v>
      </c>
      <c r="R145" s="59">
        <v>46193</v>
      </c>
      <c r="S145">
        <v>5.7522245037645447</v>
      </c>
      <c r="T145">
        <v>100.4965</v>
      </c>
      <c r="U145">
        <v>169</v>
      </c>
      <c r="V145">
        <v>5.5</v>
      </c>
      <c r="W145">
        <v>14</v>
      </c>
      <c r="X145" s="59">
        <v>46013</v>
      </c>
      <c r="Y145" s="66">
        <f t="shared" ca="1" si="4"/>
        <v>0.39</v>
      </c>
      <c r="Z145" s="66">
        <f t="shared" ca="1" si="5"/>
        <v>100.1065</v>
      </c>
      <c r="AA145">
        <v>1.7055000000408436</v>
      </c>
    </row>
    <row r="146" spans="1:27" x14ac:dyDescent="0.45">
      <c r="A146" t="s">
        <v>746</v>
      </c>
      <c r="B146" t="s">
        <v>272</v>
      </c>
      <c r="C146" t="s">
        <v>257</v>
      </c>
      <c r="D146" t="s">
        <v>43</v>
      </c>
      <c r="E146" t="s">
        <v>44</v>
      </c>
      <c r="F146" t="s">
        <v>747</v>
      </c>
      <c r="G146" t="s">
        <v>46</v>
      </c>
      <c r="H146">
        <v>2</v>
      </c>
      <c r="I146">
        <v>0.2</v>
      </c>
      <c r="J146">
        <v>1.8069999998950457</v>
      </c>
      <c r="K146">
        <v>1.8229999998880817</v>
      </c>
      <c r="L146">
        <v>91.272000000000006</v>
      </c>
      <c r="M146">
        <v>91.192999999999998</v>
      </c>
      <c r="N146" t="s">
        <v>748</v>
      </c>
      <c r="O146" t="s">
        <v>749</v>
      </c>
      <c r="P146" t="s">
        <v>49</v>
      </c>
      <c r="Q146" s="59">
        <v>44649</v>
      </c>
      <c r="R146" s="59">
        <v>46101</v>
      </c>
      <c r="S146">
        <v>6.0013689253935665</v>
      </c>
      <c r="T146">
        <v>91.232500000000002</v>
      </c>
      <c r="U146">
        <v>62</v>
      </c>
      <c r="V146">
        <v>6</v>
      </c>
      <c r="W146">
        <v>4</v>
      </c>
      <c r="X146" s="59">
        <v>45921</v>
      </c>
      <c r="Y146" s="66">
        <f t="shared" ca="1" si="4"/>
        <v>9.4444444444444442E-2</v>
      </c>
      <c r="Z146" s="66">
        <f t="shared" ca="1" si="5"/>
        <v>91.138055555555553</v>
      </c>
      <c r="AA146">
        <v>1.8149999998915636</v>
      </c>
    </row>
    <row r="147" spans="1:27" x14ac:dyDescent="0.45">
      <c r="A147" t="s">
        <v>750</v>
      </c>
      <c r="B147" t="s">
        <v>262</v>
      </c>
      <c r="C147" t="s">
        <v>257</v>
      </c>
      <c r="D147" t="s">
        <v>43</v>
      </c>
      <c r="E147" t="s">
        <v>44</v>
      </c>
      <c r="F147" t="s">
        <v>747</v>
      </c>
      <c r="G147" t="s">
        <v>46</v>
      </c>
      <c r="H147">
        <v>2</v>
      </c>
      <c r="I147">
        <v>1.8</v>
      </c>
      <c r="J147">
        <v>1.7230000000292964</v>
      </c>
      <c r="K147">
        <v>1.7430000000116002</v>
      </c>
      <c r="L147">
        <v>100.42</v>
      </c>
      <c r="M147">
        <v>100.31</v>
      </c>
      <c r="N147" t="s">
        <v>751</v>
      </c>
      <c r="O147" t="s">
        <v>752</v>
      </c>
      <c r="P147" t="s">
        <v>49</v>
      </c>
      <c r="Q147" s="59">
        <v>40983</v>
      </c>
      <c r="R147" s="59">
        <v>46101</v>
      </c>
      <c r="S147">
        <v>6.0013689253935665</v>
      </c>
      <c r="T147">
        <v>100.36500000000001</v>
      </c>
      <c r="U147">
        <v>171</v>
      </c>
      <c r="V147">
        <v>6</v>
      </c>
      <c r="W147">
        <v>14</v>
      </c>
      <c r="X147" s="59">
        <v>45921</v>
      </c>
      <c r="Y147" s="66">
        <f t="shared" ca="1" si="4"/>
        <v>0.85</v>
      </c>
      <c r="Z147" s="66">
        <f t="shared" ca="1" si="5"/>
        <v>99.515000000000015</v>
      </c>
      <c r="AA147">
        <v>1.7330000000204482</v>
      </c>
    </row>
    <row r="148" spans="1:27" x14ac:dyDescent="0.45">
      <c r="A148" t="s">
        <v>753</v>
      </c>
      <c r="B148" t="s">
        <v>262</v>
      </c>
      <c r="C148" t="s">
        <v>257</v>
      </c>
      <c r="D148" t="s">
        <v>43</v>
      </c>
      <c r="E148" t="s">
        <v>44</v>
      </c>
      <c r="F148" t="s">
        <v>747</v>
      </c>
      <c r="G148" t="s">
        <v>46</v>
      </c>
      <c r="H148">
        <v>2</v>
      </c>
      <c r="I148">
        <v>1.7</v>
      </c>
      <c r="J148">
        <v>1.7279999999986224</v>
      </c>
      <c r="K148">
        <v>1.7479999999929201</v>
      </c>
      <c r="L148">
        <v>99.846999999999994</v>
      </c>
      <c r="M148">
        <v>99.738</v>
      </c>
      <c r="N148" t="s">
        <v>754</v>
      </c>
      <c r="O148" t="s">
        <v>755</v>
      </c>
      <c r="P148" t="s">
        <v>49</v>
      </c>
      <c r="Q148" s="59">
        <v>41023</v>
      </c>
      <c r="R148" s="59">
        <v>46101</v>
      </c>
      <c r="S148">
        <v>6.0013689253935665</v>
      </c>
      <c r="T148">
        <v>99.79249999999999</v>
      </c>
      <c r="U148">
        <v>172</v>
      </c>
      <c r="V148">
        <v>6</v>
      </c>
      <c r="W148">
        <v>14</v>
      </c>
      <c r="X148" s="59">
        <v>45921</v>
      </c>
      <c r="Y148" s="66">
        <f t="shared" ca="1" si="4"/>
        <v>0.8027777777777777</v>
      </c>
      <c r="Z148" s="66">
        <f t="shared" ca="1" si="5"/>
        <v>98.989722222222213</v>
      </c>
      <c r="AA148">
        <v>1.7379999999957714</v>
      </c>
    </row>
    <row r="149" spans="1:27" x14ac:dyDescent="0.45">
      <c r="A149" t="s">
        <v>756</v>
      </c>
      <c r="B149" t="s">
        <v>262</v>
      </c>
      <c r="C149" t="s">
        <v>257</v>
      </c>
      <c r="D149" t="s">
        <v>43</v>
      </c>
      <c r="E149" t="s">
        <v>44</v>
      </c>
      <c r="F149" t="s">
        <v>747</v>
      </c>
      <c r="G149" t="s">
        <v>46</v>
      </c>
      <c r="H149">
        <v>2</v>
      </c>
      <c r="I149">
        <v>1.6</v>
      </c>
      <c r="J149">
        <v>1.7309999998361589</v>
      </c>
      <c r="K149">
        <v>1.7509999999999977</v>
      </c>
      <c r="L149">
        <v>99.284999999999997</v>
      </c>
      <c r="M149">
        <v>99.177000000000007</v>
      </c>
      <c r="N149" t="s">
        <v>757</v>
      </c>
      <c r="O149" t="s">
        <v>758</v>
      </c>
      <c r="P149" t="s">
        <v>49</v>
      </c>
      <c r="Q149" s="59">
        <v>41053</v>
      </c>
      <c r="R149" s="59">
        <v>46101</v>
      </c>
      <c r="S149">
        <v>6.0013689253935665</v>
      </c>
      <c r="T149">
        <v>99.230999999999995</v>
      </c>
      <c r="U149">
        <v>174</v>
      </c>
      <c r="V149">
        <v>6</v>
      </c>
      <c r="W149">
        <v>14</v>
      </c>
      <c r="X149" s="59">
        <v>45921</v>
      </c>
      <c r="Y149" s="66">
        <f t="shared" ca="1" si="4"/>
        <v>0.75555555555555554</v>
      </c>
      <c r="Z149" s="66">
        <f t="shared" ca="1" si="5"/>
        <v>98.475444444444435</v>
      </c>
      <c r="AA149">
        <v>1.7409999999180783</v>
      </c>
    </row>
    <row r="150" spans="1:27" x14ac:dyDescent="0.45">
      <c r="A150" t="s">
        <v>759</v>
      </c>
      <c r="B150" t="s">
        <v>581</v>
      </c>
      <c r="C150" t="s">
        <v>257</v>
      </c>
      <c r="D150" t="s">
        <v>43</v>
      </c>
      <c r="E150" t="s">
        <v>44</v>
      </c>
      <c r="F150" t="s">
        <v>760</v>
      </c>
      <c r="G150" t="s">
        <v>46</v>
      </c>
      <c r="H150">
        <v>2</v>
      </c>
      <c r="I150">
        <v>2.2999999999999998</v>
      </c>
      <c r="J150">
        <v>1.720999999999951</v>
      </c>
      <c r="K150">
        <v>1.740999999999965</v>
      </c>
      <c r="L150">
        <v>103.238</v>
      </c>
      <c r="M150">
        <v>103.123</v>
      </c>
      <c r="N150" t="s">
        <v>761</v>
      </c>
      <c r="O150" t="s">
        <v>762</v>
      </c>
      <c r="P150" t="s">
        <v>49</v>
      </c>
      <c r="Q150" s="59">
        <v>37391</v>
      </c>
      <c r="R150" s="59">
        <v>46162</v>
      </c>
      <c r="S150">
        <v>6.1683778234086244</v>
      </c>
      <c r="T150">
        <v>103.18049999999999</v>
      </c>
      <c r="U150">
        <v>88</v>
      </c>
      <c r="V150">
        <v>6</v>
      </c>
      <c r="W150">
        <v>24</v>
      </c>
      <c r="X150" s="59">
        <v>45982</v>
      </c>
      <c r="Y150" s="66">
        <f t="shared" ca="1" si="4"/>
        <v>0.69638888888888884</v>
      </c>
      <c r="Z150" s="66">
        <f t="shared" ca="1" si="5"/>
        <v>102.4841111111111</v>
      </c>
      <c r="AA150">
        <v>1.7309999999999581</v>
      </c>
    </row>
    <row r="151" spans="1:27" x14ac:dyDescent="0.45">
      <c r="A151" t="s">
        <v>763</v>
      </c>
      <c r="B151" t="s">
        <v>272</v>
      </c>
      <c r="C151" t="s">
        <v>257</v>
      </c>
      <c r="D151" t="s">
        <v>43</v>
      </c>
      <c r="E151" t="s">
        <v>44</v>
      </c>
      <c r="F151" t="s">
        <v>764</v>
      </c>
      <c r="G151" t="s">
        <v>46</v>
      </c>
      <c r="H151">
        <v>2</v>
      </c>
      <c r="I151">
        <v>0.2</v>
      </c>
      <c r="J151">
        <v>1.8349999998885898</v>
      </c>
      <c r="K151">
        <v>1.8519999998808494</v>
      </c>
      <c r="L151">
        <v>90.801000000000002</v>
      </c>
      <c r="M151">
        <v>90.713999999999999</v>
      </c>
      <c r="N151" t="s">
        <v>765</v>
      </c>
      <c r="O151" t="s">
        <v>766</v>
      </c>
      <c r="P151" t="s">
        <v>49</v>
      </c>
      <c r="Q151" s="59">
        <v>44740</v>
      </c>
      <c r="R151" s="59">
        <v>46193</v>
      </c>
      <c r="S151">
        <v>6.2532511978097194</v>
      </c>
      <c r="T151">
        <v>90.757499999999993</v>
      </c>
      <c r="U151">
        <v>68</v>
      </c>
      <c r="V151">
        <v>6</v>
      </c>
      <c r="W151">
        <v>4</v>
      </c>
      <c r="X151" s="59">
        <v>46013</v>
      </c>
      <c r="Y151" s="66">
        <f t="shared" ca="1" si="4"/>
        <v>4.3333333333333335E-2</v>
      </c>
      <c r="Z151" s="66">
        <f t="shared" ca="1" si="5"/>
        <v>90.714166666666657</v>
      </c>
      <c r="AA151">
        <v>1.8434999998847195</v>
      </c>
    </row>
    <row r="152" spans="1:27" x14ac:dyDescent="0.45">
      <c r="A152" t="s">
        <v>767</v>
      </c>
      <c r="B152" t="s">
        <v>262</v>
      </c>
      <c r="C152" t="s">
        <v>257</v>
      </c>
      <c r="D152" t="s">
        <v>43</v>
      </c>
      <c r="E152" t="s">
        <v>44</v>
      </c>
      <c r="F152" t="s">
        <v>764</v>
      </c>
      <c r="G152" t="s">
        <v>46</v>
      </c>
      <c r="H152">
        <v>2</v>
      </c>
      <c r="I152">
        <v>1.7</v>
      </c>
      <c r="J152">
        <v>1.7539999999902207</v>
      </c>
      <c r="K152">
        <v>1.7739999999742999</v>
      </c>
      <c r="L152">
        <v>99.694000000000003</v>
      </c>
      <c r="M152">
        <v>99.581999999999994</v>
      </c>
      <c r="N152" t="s">
        <v>768</v>
      </c>
      <c r="O152" t="s">
        <v>769</v>
      </c>
      <c r="P152" t="s">
        <v>49</v>
      </c>
      <c r="Q152" s="59">
        <v>41074</v>
      </c>
      <c r="R152" s="59">
        <v>46193</v>
      </c>
      <c r="S152">
        <v>6.2532511978097194</v>
      </c>
      <c r="T152">
        <v>99.638000000000005</v>
      </c>
      <c r="U152">
        <v>175</v>
      </c>
      <c r="V152">
        <v>6</v>
      </c>
      <c r="W152">
        <v>14</v>
      </c>
      <c r="X152" s="59">
        <v>46013</v>
      </c>
      <c r="Y152" s="66">
        <f t="shared" ca="1" si="4"/>
        <v>0.36833333333333335</v>
      </c>
      <c r="Z152" s="66">
        <f t="shared" ca="1" si="5"/>
        <v>99.269666666666666</v>
      </c>
      <c r="AA152">
        <v>1.7639999999822602</v>
      </c>
    </row>
    <row r="153" spans="1:27" x14ac:dyDescent="0.45">
      <c r="A153" t="s">
        <v>770</v>
      </c>
      <c r="B153" t="s">
        <v>262</v>
      </c>
      <c r="C153" t="s">
        <v>257</v>
      </c>
      <c r="D153" t="s">
        <v>43</v>
      </c>
      <c r="E153" t="s">
        <v>44</v>
      </c>
      <c r="F153" t="s">
        <v>764</v>
      </c>
      <c r="G153" t="s">
        <v>46</v>
      </c>
      <c r="H153">
        <v>2</v>
      </c>
      <c r="I153">
        <v>1.5</v>
      </c>
      <c r="J153">
        <v>1.7639999999999982</v>
      </c>
      <c r="K153">
        <v>1.7829999999999988</v>
      </c>
      <c r="L153">
        <v>98.507999999999996</v>
      </c>
      <c r="M153">
        <v>98.403000000000006</v>
      </c>
      <c r="N153" t="s">
        <v>771</v>
      </c>
      <c r="O153" t="s">
        <v>772</v>
      </c>
      <c r="P153" t="s">
        <v>49</v>
      </c>
      <c r="Q153" s="59">
        <v>41116</v>
      </c>
      <c r="R153" s="59">
        <v>46193</v>
      </c>
      <c r="S153">
        <v>6.2532511978097194</v>
      </c>
      <c r="T153">
        <v>98.455500000000001</v>
      </c>
      <c r="U153">
        <v>176</v>
      </c>
      <c r="V153">
        <v>6</v>
      </c>
      <c r="W153">
        <v>14</v>
      </c>
      <c r="X153" s="59">
        <v>46013</v>
      </c>
      <c r="Y153" s="66">
        <f t="shared" ca="1" si="4"/>
        <v>0.32500000000000001</v>
      </c>
      <c r="Z153" s="66">
        <f t="shared" ca="1" si="5"/>
        <v>98.130499999999998</v>
      </c>
      <c r="AA153">
        <v>1.7734999999999985</v>
      </c>
    </row>
    <row r="154" spans="1:27" x14ac:dyDescent="0.45">
      <c r="A154" t="s">
        <v>773</v>
      </c>
      <c r="B154" t="s">
        <v>262</v>
      </c>
      <c r="C154" t="s">
        <v>257</v>
      </c>
      <c r="D154" t="s">
        <v>43</v>
      </c>
      <c r="E154" t="s">
        <v>44</v>
      </c>
      <c r="F154" t="s">
        <v>764</v>
      </c>
      <c r="G154" t="s">
        <v>46</v>
      </c>
      <c r="H154">
        <v>2</v>
      </c>
      <c r="I154">
        <v>1.6</v>
      </c>
      <c r="J154">
        <v>1.7570000000000034</v>
      </c>
      <c r="K154">
        <v>1.7770000000000039</v>
      </c>
      <c r="L154">
        <v>99.111999999999995</v>
      </c>
      <c r="M154">
        <v>99</v>
      </c>
      <c r="N154" t="s">
        <v>774</v>
      </c>
      <c r="O154" t="s">
        <v>775</v>
      </c>
      <c r="P154" t="s">
        <v>49</v>
      </c>
      <c r="Q154" s="59">
        <v>41144</v>
      </c>
      <c r="R154" s="59">
        <v>46193</v>
      </c>
      <c r="S154">
        <v>6.2532511978097194</v>
      </c>
      <c r="T154">
        <v>99.055999999999997</v>
      </c>
      <c r="U154">
        <v>177</v>
      </c>
      <c r="V154">
        <v>6</v>
      </c>
      <c r="W154">
        <v>14</v>
      </c>
      <c r="X154" s="59">
        <v>46013</v>
      </c>
      <c r="Y154" s="66">
        <f t="shared" ca="1" si="4"/>
        <v>0.34666666666666668</v>
      </c>
      <c r="Z154" s="66">
        <f t="shared" ca="1" si="5"/>
        <v>98.709333333333333</v>
      </c>
      <c r="AA154">
        <v>1.7670000000000037</v>
      </c>
    </row>
    <row r="155" spans="1:27" x14ac:dyDescent="0.45">
      <c r="A155" t="s">
        <v>776</v>
      </c>
      <c r="B155" t="s">
        <v>272</v>
      </c>
      <c r="C155" t="s">
        <v>257</v>
      </c>
      <c r="D155" t="s">
        <v>43</v>
      </c>
      <c r="E155" t="s">
        <v>44</v>
      </c>
      <c r="F155" t="s">
        <v>777</v>
      </c>
      <c r="G155" t="s">
        <v>46</v>
      </c>
      <c r="H155">
        <v>2</v>
      </c>
      <c r="I155">
        <v>0.2</v>
      </c>
      <c r="J155">
        <v>1.8649999999999975</v>
      </c>
      <c r="K155">
        <v>1.8810000000000002</v>
      </c>
      <c r="L155">
        <v>90.313000000000002</v>
      </c>
      <c r="M155">
        <v>90.228999999999999</v>
      </c>
      <c r="N155" t="s">
        <v>778</v>
      </c>
      <c r="O155" t="s">
        <v>779</v>
      </c>
      <c r="P155" t="s">
        <v>49</v>
      </c>
      <c r="Q155" s="59">
        <v>44831</v>
      </c>
      <c r="R155" s="59">
        <v>46101</v>
      </c>
      <c r="S155">
        <v>6.5051334702258723</v>
      </c>
      <c r="T155">
        <v>90.271000000000001</v>
      </c>
      <c r="U155">
        <v>72</v>
      </c>
      <c r="V155">
        <v>6.5</v>
      </c>
      <c r="W155">
        <v>4</v>
      </c>
      <c r="X155" s="59">
        <v>45921</v>
      </c>
      <c r="Y155" s="66">
        <f t="shared" ca="1" si="4"/>
        <v>9.4444444444444442E-2</v>
      </c>
      <c r="Z155" s="66">
        <f t="shared" ca="1" si="5"/>
        <v>90.176555555555552</v>
      </c>
      <c r="AA155">
        <v>1.8729999999999989</v>
      </c>
    </row>
    <row r="156" spans="1:27" x14ac:dyDescent="0.45">
      <c r="A156" t="s">
        <v>780</v>
      </c>
      <c r="B156" t="s">
        <v>262</v>
      </c>
      <c r="C156" t="s">
        <v>257</v>
      </c>
      <c r="D156" t="s">
        <v>43</v>
      </c>
      <c r="E156" t="s">
        <v>44</v>
      </c>
      <c r="F156" t="s">
        <v>777</v>
      </c>
      <c r="G156" t="s">
        <v>46</v>
      </c>
      <c r="H156">
        <v>2</v>
      </c>
      <c r="I156">
        <v>1.7</v>
      </c>
      <c r="J156">
        <v>1.7769999999606663</v>
      </c>
      <c r="K156">
        <v>1.7969999999196467</v>
      </c>
      <c r="L156">
        <v>99.549000000000007</v>
      </c>
      <c r="M156">
        <v>99.433000000000007</v>
      </c>
      <c r="N156" t="s">
        <v>781</v>
      </c>
      <c r="O156" t="s">
        <v>782</v>
      </c>
      <c r="P156" t="s">
        <v>49</v>
      </c>
      <c r="Q156" s="59">
        <v>41165</v>
      </c>
      <c r="R156" s="59">
        <v>46101</v>
      </c>
      <c r="S156">
        <v>6.5051334702258723</v>
      </c>
      <c r="T156">
        <v>99.491000000000014</v>
      </c>
      <c r="U156">
        <v>179</v>
      </c>
      <c r="V156">
        <v>6.5</v>
      </c>
      <c r="W156">
        <v>14</v>
      </c>
      <c r="X156" s="59">
        <v>45921</v>
      </c>
      <c r="Y156" s="66">
        <f t="shared" ca="1" si="4"/>
        <v>0.8027777777777777</v>
      </c>
      <c r="Z156" s="66">
        <f t="shared" ca="1" si="5"/>
        <v>98.688222222222237</v>
      </c>
      <c r="AA156">
        <v>1.7869999999401565</v>
      </c>
    </row>
    <row r="157" spans="1:27" x14ac:dyDescent="0.45">
      <c r="A157" t="s">
        <v>783</v>
      </c>
      <c r="B157" t="s">
        <v>581</v>
      </c>
      <c r="C157" t="s">
        <v>257</v>
      </c>
      <c r="D157" t="s">
        <v>43</v>
      </c>
      <c r="E157" t="s">
        <v>44</v>
      </c>
      <c r="F157" t="s">
        <v>784</v>
      </c>
      <c r="G157" t="s">
        <v>46</v>
      </c>
      <c r="H157">
        <v>2</v>
      </c>
      <c r="I157">
        <v>1.8</v>
      </c>
      <c r="J157">
        <v>1.7920000000000378</v>
      </c>
      <c r="K157">
        <v>1.8149999999997424</v>
      </c>
      <c r="L157">
        <v>100.047</v>
      </c>
      <c r="M157">
        <v>99.91</v>
      </c>
      <c r="N157" t="s">
        <v>785</v>
      </c>
      <c r="O157" t="s">
        <v>786</v>
      </c>
      <c r="P157" t="s">
        <v>49</v>
      </c>
      <c r="Q157" s="59">
        <v>37572</v>
      </c>
      <c r="R157" s="59">
        <v>46162</v>
      </c>
      <c r="S157">
        <v>6.6776180698151952</v>
      </c>
      <c r="T157">
        <v>99.978499999999997</v>
      </c>
      <c r="U157">
        <v>89</v>
      </c>
      <c r="V157">
        <v>6.5</v>
      </c>
      <c r="W157">
        <v>24</v>
      </c>
      <c r="X157" s="59">
        <v>45982</v>
      </c>
      <c r="Y157" s="66">
        <f t="shared" ca="1" si="4"/>
        <v>0.54499999999999993</v>
      </c>
      <c r="Z157" s="66">
        <f t="shared" ca="1" si="5"/>
        <v>99.433499999999995</v>
      </c>
      <c r="AA157">
        <v>1.80349999999989</v>
      </c>
    </row>
    <row r="158" spans="1:27" x14ac:dyDescent="0.45">
      <c r="A158" t="s">
        <v>787</v>
      </c>
      <c r="B158" t="s">
        <v>581</v>
      </c>
      <c r="C158" t="s">
        <v>257</v>
      </c>
      <c r="D158" t="s">
        <v>43</v>
      </c>
      <c r="E158" t="s">
        <v>44</v>
      </c>
      <c r="F158" t="s">
        <v>788</v>
      </c>
      <c r="G158" t="s">
        <v>46</v>
      </c>
      <c r="H158">
        <v>2</v>
      </c>
      <c r="I158">
        <v>1.4</v>
      </c>
      <c r="J158">
        <v>1.8169999999999809</v>
      </c>
      <c r="K158">
        <v>1.8379999999999754</v>
      </c>
      <c r="L158">
        <v>97.483999999999995</v>
      </c>
      <c r="M158">
        <v>97.361000000000004</v>
      </c>
      <c r="N158" t="s">
        <v>789</v>
      </c>
      <c r="O158" t="s">
        <v>790</v>
      </c>
      <c r="P158" t="s">
        <v>49</v>
      </c>
      <c r="Q158" s="59">
        <v>37642</v>
      </c>
      <c r="R158" s="59">
        <v>46193</v>
      </c>
      <c r="S158">
        <v>6.754277891854894</v>
      </c>
      <c r="T158">
        <v>97.422499999999999</v>
      </c>
      <c r="U158">
        <v>90</v>
      </c>
      <c r="V158">
        <v>6.5</v>
      </c>
      <c r="W158">
        <v>23</v>
      </c>
      <c r="X158" s="59">
        <v>46013</v>
      </c>
      <c r="Y158" s="66">
        <f t="shared" ca="1" si="4"/>
        <v>0.30333333333333334</v>
      </c>
      <c r="Z158" s="66">
        <f t="shared" ca="1" si="5"/>
        <v>97.119166666666672</v>
      </c>
      <c r="AA158">
        <v>1.8274999999999781</v>
      </c>
    </row>
    <row r="159" spans="1:27" x14ac:dyDescent="0.45">
      <c r="A159" t="s">
        <v>791</v>
      </c>
      <c r="B159" t="s">
        <v>262</v>
      </c>
      <c r="C159" t="s">
        <v>257</v>
      </c>
      <c r="D159" t="s">
        <v>43</v>
      </c>
      <c r="E159" t="s">
        <v>44</v>
      </c>
      <c r="F159" t="s">
        <v>788</v>
      </c>
      <c r="G159" t="s">
        <v>46</v>
      </c>
      <c r="H159">
        <v>2</v>
      </c>
      <c r="I159">
        <v>1.7</v>
      </c>
      <c r="J159">
        <v>1.8029999999067505</v>
      </c>
      <c r="K159">
        <v>1.823999999833767</v>
      </c>
      <c r="L159">
        <v>99.378</v>
      </c>
      <c r="M159">
        <v>99.251999999999995</v>
      </c>
      <c r="N159" t="s">
        <v>792</v>
      </c>
      <c r="O159" t="s">
        <v>793</v>
      </c>
      <c r="P159" t="s">
        <v>49</v>
      </c>
      <c r="Q159" s="59">
        <v>41261</v>
      </c>
      <c r="R159" s="59">
        <v>46193</v>
      </c>
      <c r="S159">
        <v>6.754277891854894</v>
      </c>
      <c r="T159">
        <v>99.314999999999998</v>
      </c>
      <c r="U159">
        <v>180</v>
      </c>
      <c r="V159">
        <v>6.5</v>
      </c>
      <c r="W159">
        <v>14</v>
      </c>
      <c r="X159" s="59">
        <v>46013</v>
      </c>
      <c r="Y159" s="66">
        <f t="shared" ca="1" si="4"/>
        <v>0.36833333333333335</v>
      </c>
      <c r="Z159" s="66">
        <f t="shared" ca="1" si="5"/>
        <v>98.946666666666658</v>
      </c>
      <c r="AA159">
        <v>1.8134999998702588</v>
      </c>
    </row>
    <row r="160" spans="1:27" x14ac:dyDescent="0.45">
      <c r="A160" t="s">
        <v>794</v>
      </c>
      <c r="B160" t="s">
        <v>262</v>
      </c>
      <c r="C160" t="s">
        <v>257</v>
      </c>
      <c r="D160" t="s">
        <v>43</v>
      </c>
      <c r="E160" t="s">
        <v>44</v>
      </c>
      <c r="F160" t="s">
        <v>788</v>
      </c>
      <c r="G160" t="s">
        <v>46</v>
      </c>
      <c r="H160">
        <v>2</v>
      </c>
      <c r="I160">
        <v>1.8</v>
      </c>
      <c r="J160">
        <v>1.7940000000000182</v>
      </c>
      <c r="K160">
        <v>1.8149999999997457</v>
      </c>
      <c r="L160">
        <v>100.036</v>
      </c>
      <c r="M160">
        <v>99.909000000000006</v>
      </c>
      <c r="N160" t="s">
        <v>795</v>
      </c>
      <c r="O160" t="s">
        <v>796</v>
      </c>
      <c r="P160" t="s">
        <v>49</v>
      </c>
      <c r="Q160" s="59">
        <v>41326</v>
      </c>
      <c r="R160" s="59">
        <v>46193</v>
      </c>
      <c r="S160">
        <v>6.754277891854894</v>
      </c>
      <c r="T160">
        <v>99.972499999999997</v>
      </c>
      <c r="U160">
        <v>181</v>
      </c>
      <c r="V160">
        <v>6.5</v>
      </c>
      <c r="W160">
        <v>13</v>
      </c>
      <c r="X160" s="59">
        <v>46013</v>
      </c>
      <c r="Y160" s="66">
        <f t="shared" ca="1" si="4"/>
        <v>0.39</v>
      </c>
      <c r="Z160" s="66">
        <f t="shared" ca="1" si="5"/>
        <v>99.582499999999996</v>
      </c>
      <c r="AA160">
        <v>1.8044999999998819</v>
      </c>
    </row>
    <row r="161" spans="1:27" x14ac:dyDescent="0.45">
      <c r="A161" t="s">
        <v>797</v>
      </c>
      <c r="B161" t="s">
        <v>272</v>
      </c>
      <c r="C161" t="s">
        <v>257</v>
      </c>
      <c r="D161" t="s">
        <v>43</v>
      </c>
      <c r="E161" t="s">
        <v>44</v>
      </c>
      <c r="F161" t="s">
        <v>788</v>
      </c>
      <c r="G161" t="s">
        <v>46</v>
      </c>
      <c r="H161">
        <v>2</v>
      </c>
      <c r="I161">
        <v>0.5</v>
      </c>
      <c r="J161">
        <v>1.8729999999519316</v>
      </c>
      <c r="K161">
        <v>1.8899999999480253</v>
      </c>
      <c r="L161">
        <v>91.745000000000005</v>
      </c>
      <c r="M161">
        <v>91.650999999999996</v>
      </c>
      <c r="N161" t="s">
        <v>798</v>
      </c>
      <c r="O161" t="s">
        <v>799</v>
      </c>
      <c r="P161" t="s">
        <v>49</v>
      </c>
      <c r="Q161" s="59">
        <v>44923</v>
      </c>
      <c r="R161" s="59">
        <v>46193</v>
      </c>
      <c r="S161">
        <v>6.754277891854894</v>
      </c>
      <c r="T161">
        <v>91.698000000000008</v>
      </c>
      <c r="U161">
        <v>312</v>
      </c>
      <c r="V161">
        <v>6.5</v>
      </c>
      <c r="W161">
        <v>4</v>
      </c>
      <c r="X161" s="59">
        <v>46013</v>
      </c>
      <c r="Y161" s="66">
        <f t="shared" ca="1" si="4"/>
        <v>0.10833333333333334</v>
      </c>
      <c r="Z161" s="66">
        <f t="shared" ca="1" si="5"/>
        <v>91.589666666666673</v>
      </c>
      <c r="AA161">
        <v>1.8814999999499784</v>
      </c>
    </row>
    <row r="162" spans="1:27" x14ac:dyDescent="0.45">
      <c r="A162" t="s">
        <v>800</v>
      </c>
      <c r="B162" t="s">
        <v>581</v>
      </c>
      <c r="C162" t="s">
        <v>257</v>
      </c>
      <c r="D162" t="s">
        <v>43</v>
      </c>
      <c r="E162" t="s">
        <v>44</v>
      </c>
      <c r="F162" t="s">
        <v>801</v>
      </c>
      <c r="G162" t="s">
        <v>46</v>
      </c>
      <c r="H162">
        <v>2</v>
      </c>
      <c r="I162">
        <v>1.1000000000000001</v>
      </c>
      <c r="J162">
        <v>1.8589999999987075</v>
      </c>
      <c r="K162">
        <v>1.8789999999984954</v>
      </c>
      <c r="L162">
        <v>95.284999999999997</v>
      </c>
      <c r="M162">
        <v>95.167000000000002</v>
      </c>
      <c r="N162" t="s">
        <v>802</v>
      </c>
      <c r="O162" t="s">
        <v>803</v>
      </c>
      <c r="P162" t="s">
        <v>49</v>
      </c>
      <c r="Q162" s="59">
        <v>37761</v>
      </c>
      <c r="R162" s="59">
        <v>46101</v>
      </c>
      <c r="S162">
        <v>7.0006844626967828</v>
      </c>
      <c r="T162">
        <v>95.225999999999999</v>
      </c>
      <c r="U162">
        <v>91</v>
      </c>
      <c r="V162">
        <v>7</v>
      </c>
      <c r="W162">
        <v>23</v>
      </c>
      <c r="X162" s="59">
        <v>45921</v>
      </c>
      <c r="Y162" s="66">
        <f t="shared" ca="1" si="4"/>
        <v>0.51944444444444449</v>
      </c>
      <c r="Z162" s="66">
        <f t="shared" ca="1" si="5"/>
        <v>94.706555555555553</v>
      </c>
      <c r="AA162">
        <v>1.8689999999986013</v>
      </c>
    </row>
    <row r="163" spans="1:27" x14ac:dyDescent="0.45">
      <c r="A163" t="s">
        <v>804</v>
      </c>
      <c r="B163" t="s">
        <v>262</v>
      </c>
      <c r="C163" t="s">
        <v>257</v>
      </c>
      <c r="D163" t="s">
        <v>43</v>
      </c>
      <c r="E163" t="s">
        <v>44</v>
      </c>
      <c r="F163" t="s">
        <v>801</v>
      </c>
      <c r="G163" t="s">
        <v>46</v>
      </c>
      <c r="H163">
        <v>2</v>
      </c>
      <c r="I163">
        <v>1.6</v>
      </c>
      <c r="J163">
        <v>1.8289999999999977</v>
      </c>
      <c r="K163">
        <v>1.8489999999999955</v>
      </c>
      <c r="L163">
        <v>98.573999999999998</v>
      </c>
      <c r="M163">
        <v>98.451999999999998</v>
      </c>
      <c r="N163" t="s">
        <v>805</v>
      </c>
      <c r="O163" t="s">
        <v>806</v>
      </c>
      <c r="P163" t="s">
        <v>49</v>
      </c>
      <c r="Q163" s="59">
        <v>41347</v>
      </c>
      <c r="R163" s="59">
        <v>46101</v>
      </c>
      <c r="S163">
        <v>7.0006844626967828</v>
      </c>
      <c r="T163">
        <v>98.513000000000005</v>
      </c>
      <c r="U163">
        <v>183</v>
      </c>
      <c r="V163">
        <v>7</v>
      </c>
      <c r="W163">
        <v>13</v>
      </c>
      <c r="X163" s="59">
        <v>45921</v>
      </c>
      <c r="Y163" s="66">
        <f t="shared" ca="1" si="4"/>
        <v>0.75555555555555554</v>
      </c>
      <c r="Z163" s="66">
        <f t="shared" ca="1" si="5"/>
        <v>97.757444444444445</v>
      </c>
      <c r="AA163">
        <v>1.8389999999999966</v>
      </c>
    </row>
    <row r="164" spans="1:27" x14ac:dyDescent="0.45">
      <c r="A164" t="s">
        <v>807</v>
      </c>
      <c r="B164" t="s">
        <v>262</v>
      </c>
      <c r="C164" t="s">
        <v>257</v>
      </c>
      <c r="D164" t="s">
        <v>43</v>
      </c>
      <c r="E164" t="s">
        <v>44</v>
      </c>
      <c r="F164" t="s">
        <v>801</v>
      </c>
      <c r="G164" t="s">
        <v>46</v>
      </c>
      <c r="H164">
        <v>2</v>
      </c>
      <c r="I164">
        <v>1.5</v>
      </c>
      <c r="J164">
        <v>1.836999999999992</v>
      </c>
      <c r="K164">
        <v>1.8579999999999846</v>
      </c>
      <c r="L164">
        <v>97.903000000000006</v>
      </c>
      <c r="M164">
        <v>97.775999999999996</v>
      </c>
      <c r="N164" t="s">
        <v>808</v>
      </c>
      <c r="O164" t="s">
        <v>809</v>
      </c>
      <c r="P164" t="s">
        <v>49</v>
      </c>
      <c r="Q164" s="59">
        <v>41382</v>
      </c>
      <c r="R164" s="59">
        <v>46101</v>
      </c>
      <c r="S164">
        <v>7.0006844626967828</v>
      </c>
      <c r="T164">
        <v>97.839500000000001</v>
      </c>
      <c r="U164">
        <v>184</v>
      </c>
      <c r="V164">
        <v>7</v>
      </c>
      <c r="W164">
        <v>13</v>
      </c>
      <c r="X164" s="59">
        <v>45921</v>
      </c>
      <c r="Y164" s="66">
        <f t="shared" ca="1" si="4"/>
        <v>0.70833333333333326</v>
      </c>
      <c r="Z164" s="66">
        <f t="shared" ca="1" si="5"/>
        <v>97.131166666666672</v>
      </c>
      <c r="AA164">
        <v>1.8474999999999882</v>
      </c>
    </row>
    <row r="165" spans="1:27" x14ac:dyDescent="0.45">
      <c r="A165" t="s">
        <v>810</v>
      </c>
      <c r="B165" t="s">
        <v>272</v>
      </c>
      <c r="C165" t="s">
        <v>257</v>
      </c>
      <c r="D165" t="s">
        <v>43</v>
      </c>
      <c r="E165" t="s">
        <v>44</v>
      </c>
      <c r="F165" t="s">
        <v>801</v>
      </c>
      <c r="G165" t="s">
        <v>46</v>
      </c>
      <c r="H165">
        <v>2</v>
      </c>
      <c r="I165">
        <v>0.5</v>
      </c>
      <c r="J165">
        <v>1.8969999999084206</v>
      </c>
      <c r="K165">
        <v>1.9149999999006515</v>
      </c>
      <c r="L165">
        <v>91.343000000000004</v>
      </c>
      <c r="M165">
        <v>91.241</v>
      </c>
      <c r="N165" t="s">
        <v>811</v>
      </c>
      <c r="O165" t="s">
        <v>812</v>
      </c>
      <c r="P165" t="s">
        <v>49</v>
      </c>
      <c r="Q165" s="59">
        <v>45013</v>
      </c>
      <c r="R165" s="59">
        <v>46101</v>
      </c>
      <c r="S165">
        <v>7.0006844626967828</v>
      </c>
      <c r="T165">
        <v>91.292000000000002</v>
      </c>
      <c r="U165">
        <v>305</v>
      </c>
      <c r="V165">
        <v>7</v>
      </c>
      <c r="W165">
        <v>3</v>
      </c>
      <c r="X165" s="59">
        <v>45921</v>
      </c>
      <c r="Y165" s="66">
        <f t="shared" ca="1" si="4"/>
        <v>0.2361111111111111</v>
      </c>
      <c r="Z165" s="66">
        <f t="shared" ca="1" si="5"/>
        <v>91.055888888888887</v>
      </c>
      <c r="AA165">
        <v>1.9059999999045361</v>
      </c>
    </row>
    <row r="166" spans="1:27" x14ac:dyDescent="0.45">
      <c r="A166" t="s">
        <v>813</v>
      </c>
      <c r="B166" t="s">
        <v>581</v>
      </c>
      <c r="C166" t="s">
        <v>257</v>
      </c>
      <c r="D166" t="s">
        <v>43</v>
      </c>
      <c r="E166" t="s">
        <v>44</v>
      </c>
      <c r="F166" t="s">
        <v>814</v>
      </c>
      <c r="G166" t="s">
        <v>46</v>
      </c>
      <c r="H166">
        <v>2</v>
      </c>
      <c r="I166">
        <v>1.7</v>
      </c>
      <c r="J166">
        <v>1.8549999999999973</v>
      </c>
      <c r="K166">
        <v>1.8769999999999982</v>
      </c>
      <c r="L166">
        <v>99.006</v>
      </c>
      <c r="M166">
        <v>98.867000000000004</v>
      </c>
      <c r="N166" t="s">
        <v>815</v>
      </c>
      <c r="O166" t="s">
        <v>816</v>
      </c>
      <c r="P166" t="s">
        <v>49</v>
      </c>
      <c r="Q166" s="59">
        <v>37826</v>
      </c>
      <c r="R166" s="59">
        <v>46193</v>
      </c>
      <c r="S166">
        <v>7.2525667351129366</v>
      </c>
      <c r="T166">
        <v>98.936499999999995</v>
      </c>
      <c r="U166">
        <v>92</v>
      </c>
      <c r="V166">
        <v>7</v>
      </c>
      <c r="W166">
        <v>23</v>
      </c>
      <c r="X166" s="59">
        <v>46013</v>
      </c>
      <c r="Y166" s="66">
        <f t="shared" ca="1" si="4"/>
        <v>0.36833333333333335</v>
      </c>
      <c r="Z166" s="66">
        <f t="shared" ca="1" si="5"/>
        <v>98.568166666666656</v>
      </c>
      <c r="AA166">
        <v>1.8659999999999979</v>
      </c>
    </row>
    <row r="167" spans="1:27" x14ac:dyDescent="0.45">
      <c r="A167" t="s">
        <v>817</v>
      </c>
      <c r="B167" t="s">
        <v>262</v>
      </c>
      <c r="C167" t="s">
        <v>257</v>
      </c>
      <c r="D167" t="s">
        <v>43</v>
      </c>
      <c r="E167" t="s">
        <v>44</v>
      </c>
      <c r="F167" t="s">
        <v>814</v>
      </c>
      <c r="G167" t="s">
        <v>46</v>
      </c>
      <c r="H167">
        <v>2</v>
      </c>
      <c r="I167">
        <v>1.7</v>
      </c>
      <c r="J167">
        <v>1.8559999999999985</v>
      </c>
      <c r="K167">
        <v>1.8769999999999982</v>
      </c>
      <c r="L167">
        <v>99</v>
      </c>
      <c r="M167">
        <v>98.867000000000004</v>
      </c>
      <c r="N167" t="s">
        <v>818</v>
      </c>
      <c r="O167" t="s">
        <v>819</v>
      </c>
      <c r="P167" t="s">
        <v>49</v>
      </c>
      <c r="Q167" s="59">
        <v>41443</v>
      </c>
      <c r="R167" s="59">
        <v>46193</v>
      </c>
      <c r="S167">
        <v>7.2525667351129366</v>
      </c>
      <c r="T167">
        <v>98.933500000000009</v>
      </c>
      <c r="U167">
        <v>187</v>
      </c>
      <c r="V167">
        <v>7</v>
      </c>
      <c r="W167">
        <v>13</v>
      </c>
      <c r="X167" s="59">
        <v>46013</v>
      </c>
      <c r="Y167" s="66">
        <f t="shared" ca="1" si="4"/>
        <v>0.36833333333333335</v>
      </c>
      <c r="Z167" s="66">
        <f t="shared" ca="1" si="5"/>
        <v>98.56516666666667</v>
      </c>
      <c r="AA167">
        <v>1.8664999999999985</v>
      </c>
    </row>
    <row r="168" spans="1:27" x14ac:dyDescent="0.45">
      <c r="A168" t="s">
        <v>820</v>
      </c>
      <c r="B168" t="s">
        <v>272</v>
      </c>
      <c r="C168" t="s">
        <v>257</v>
      </c>
      <c r="D168" t="s">
        <v>43</v>
      </c>
      <c r="E168" t="s">
        <v>44</v>
      </c>
      <c r="F168" t="s">
        <v>814</v>
      </c>
      <c r="G168" t="s">
        <v>46</v>
      </c>
      <c r="H168">
        <v>2</v>
      </c>
      <c r="I168">
        <v>0.4</v>
      </c>
      <c r="J168">
        <v>1.9430000000000005</v>
      </c>
      <c r="K168">
        <v>1.9609999999999994</v>
      </c>
      <c r="L168">
        <v>90.165999999999997</v>
      </c>
      <c r="M168">
        <v>90.061999999999998</v>
      </c>
      <c r="N168" t="s">
        <v>821</v>
      </c>
      <c r="O168" t="s">
        <v>822</v>
      </c>
      <c r="P168" t="s">
        <v>49</v>
      </c>
      <c r="Q168" s="59">
        <v>45104</v>
      </c>
      <c r="R168" s="59">
        <v>46193</v>
      </c>
      <c r="S168">
        <v>7.2525667351129366</v>
      </c>
      <c r="T168">
        <v>90.114000000000004</v>
      </c>
      <c r="U168">
        <v>301</v>
      </c>
      <c r="V168">
        <v>7</v>
      </c>
      <c r="W168">
        <v>3</v>
      </c>
      <c r="X168" s="59">
        <v>46013</v>
      </c>
      <c r="Y168" s="66">
        <f t="shared" ca="1" si="4"/>
        <v>8.666666666666667E-2</v>
      </c>
      <c r="Z168" s="66">
        <f t="shared" ca="1" si="5"/>
        <v>90.027333333333331</v>
      </c>
      <c r="AA168">
        <v>1.952</v>
      </c>
    </row>
    <row r="169" spans="1:27" x14ac:dyDescent="0.45">
      <c r="A169" t="s">
        <v>823</v>
      </c>
      <c r="B169" t="s">
        <v>581</v>
      </c>
      <c r="C169" t="s">
        <v>257</v>
      </c>
      <c r="D169" t="s">
        <v>43</v>
      </c>
      <c r="E169" t="s">
        <v>44</v>
      </c>
      <c r="F169" t="s">
        <v>824</v>
      </c>
      <c r="G169" t="s">
        <v>46</v>
      </c>
      <c r="H169">
        <v>2</v>
      </c>
      <c r="I169">
        <v>2.1</v>
      </c>
      <c r="J169">
        <v>1.8649999999999949</v>
      </c>
      <c r="K169">
        <v>1.886999999999996</v>
      </c>
      <c r="L169">
        <v>101.55</v>
      </c>
      <c r="M169">
        <v>101.40300000000001</v>
      </c>
      <c r="N169" t="s">
        <v>825</v>
      </c>
      <c r="O169" t="s">
        <v>826</v>
      </c>
      <c r="P169" t="s">
        <v>49</v>
      </c>
      <c r="Q169" s="59">
        <v>37938</v>
      </c>
      <c r="R169" s="59">
        <v>46101</v>
      </c>
      <c r="S169">
        <v>7.5044490075290895</v>
      </c>
      <c r="T169">
        <v>101.4765</v>
      </c>
      <c r="U169">
        <v>93</v>
      </c>
      <c r="V169">
        <v>7.5</v>
      </c>
      <c r="W169">
        <v>23</v>
      </c>
      <c r="X169" s="59">
        <v>45921</v>
      </c>
      <c r="Y169" s="66">
        <f t="shared" ca="1" si="4"/>
        <v>0.9916666666666667</v>
      </c>
      <c r="Z169" s="66">
        <f t="shared" ca="1" si="5"/>
        <v>100.48483333333334</v>
      </c>
      <c r="AA169">
        <v>1.8759999999999954</v>
      </c>
    </row>
    <row r="170" spans="1:27" x14ac:dyDescent="0.45">
      <c r="A170" t="s">
        <v>827</v>
      </c>
      <c r="B170" t="s">
        <v>262</v>
      </c>
      <c r="C170" t="s">
        <v>257</v>
      </c>
      <c r="D170" t="s">
        <v>43</v>
      </c>
      <c r="E170" t="s">
        <v>44</v>
      </c>
      <c r="F170" t="s">
        <v>824</v>
      </c>
      <c r="G170" t="s">
        <v>46</v>
      </c>
      <c r="H170">
        <v>2</v>
      </c>
      <c r="I170">
        <v>1.7</v>
      </c>
      <c r="J170">
        <v>1.8919999999999997</v>
      </c>
      <c r="K170">
        <v>1.9129999999999965</v>
      </c>
      <c r="L170">
        <v>98.734999999999999</v>
      </c>
      <c r="M170">
        <v>98.597999999999999</v>
      </c>
      <c r="N170" t="s">
        <v>828</v>
      </c>
      <c r="O170" t="s">
        <v>829</v>
      </c>
      <c r="P170" t="s">
        <v>49</v>
      </c>
      <c r="Q170" s="59">
        <v>41535</v>
      </c>
      <c r="R170" s="59">
        <v>46101</v>
      </c>
      <c r="S170">
        <v>7.5044490075290895</v>
      </c>
      <c r="T170">
        <v>98.666499999999999</v>
      </c>
      <c r="U170">
        <v>189</v>
      </c>
      <c r="V170">
        <v>7.5</v>
      </c>
      <c r="W170">
        <v>13</v>
      </c>
      <c r="X170" s="59">
        <v>45921</v>
      </c>
      <c r="Y170" s="66">
        <f t="shared" ca="1" si="4"/>
        <v>0.8027777777777777</v>
      </c>
      <c r="Z170" s="66">
        <f t="shared" ca="1" si="5"/>
        <v>97.863722222222222</v>
      </c>
      <c r="AA170">
        <v>1.9024999999999981</v>
      </c>
    </row>
    <row r="171" spans="1:27" x14ac:dyDescent="0.45">
      <c r="A171" t="s">
        <v>830</v>
      </c>
      <c r="B171" t="s">
        <v>272</v>
      </c>
      <c r="C171" t="s">
        <v>257</v>
      </c>
      <c r="D171" t="s">
        <v>43</v>
      </c>
      <c r="E171" t="s">
        <v>44</v>
      </c>
      <c r="F171" t="s">
        <v>824</v>
      </c>
      <c r="G171" t="s">
        <v>46</v>
      </c>
      <c r="H171">
        <v>2</v>
      </c>
      <c r="I171">
        <v>0.8</v>
      </c>
      <c r="J171">
        <v>1.9519999999680215</v>
      </c>
      <c r="K171">
        <v>1.9689999999649797</v>
      </c>
      <c r="L171">
        <v>92.44</v>
      </c>
      <c r="M171">
        <v>92.337000000000003</v>
      </c>
      <c r="N171" t="s">
        <v>831</v>
      </c>
      <c r="O171" t="s">
        <v>832</v>
      </c>
      <c r="P171" t="s">
        <v>49</v>
      </c>
      <c r="Q171" s="59">
        <v>45195</v>
      </c>
      <c r="R171" s="59">
        <v>46101</v>
      </c>
      <c r="S171">
        <v>7.5044490075290895</v>
      </c>
      <c r="T171">
        <v>92.388499999999993</v>
      </c>
      <c r="U171">
        <v>295</v>
      </c>
      <c r="V171">
        <v>7.5</v>
      </c>
      <c r="W171">
        <v>3</v>
      </c>
      <c r="X171" s="59">
        <v>45921</v>
      </c>
      <c r="Y171" s="66">
        <f t="shared" ca="1" si="4"/>
        <v>0.37777777777777777</v>
      </c>
      <c r="Z171" s="66">
        <f t="shared" ca="1" si="5"/>
        <v>92.010722222222213</v>
      </c>
      <c r="AA171">
        <v>1.9604999999665007</v>
      </c>
    </row>
    <row r="172" spans="1:27" x14ac:dyDescent="0.45">
      <c r="A172" t="s">
        <v>833</v>
      </c>
      <c r="B172" t="s">
        <v>581</v>
      </c>
      <c r="C172" t="s">
        <v>257</v>
      </c>
      <c r="D172" t="s">
        <v>43</v>
      </c>
      <c r="E172" t="s">
        <v>44</v>
      </c>
      <c r="F172" t="s">
        <v>834</v>
      </c>
      <c r="G172" t="s">
        <v>46</v>
      </c>
      <c r="H172">
        <v>2</v>
      </c>
      <c r="I172">
        <v>2</v>
      </c>
      <c r="J172">
        <v>1.9070000000946985</v>
      </c>
      <c r="K172">
        <v>1.9270000000448051</v>
      </c>
      <c r="L172">
        <v>100.629</v>
      </c>
      <c r="M172">
        <v>100.49299999999999</v>
      </c>
      <c r="N172" t="s">
        <v>835</v>
      </c>
      <c r="O172" t="s">
        <v>836</v>
      </c>
      <c r="P172" t="s">
        <v>49</v>
      </c>
      <c r="Q172" s="59">
        <v>38041</v>
      </c>
      <c r="R172" s="59">
        <v>46193</v>
      </c>
      <c r="S172">
        <v>7.7535934291581112</v>
      </c>
      <c r="T172">
        <v>100.56100000000001</v>
      </c>
      <c r="U172">
        <v>94</v>
      </c>
      <c r="V172">
        <v>7.5</v>
      </c>
      <c r="W172">
        <v>22</v>
      </c>
      <c r="X172" s="59">
        <v>46013</v>
      </c>
      <c r="Y172" s="66">
        <f t="shared" ca="1" si="4"/>
        <v>0.43333333333333335</v>
      </c>
      <c r="Z172" s="66">
        <f t="shared" ca="1" si="5"/>
        <v>100.12766666666667</v>
      </c>
      <c r="AA172">
        <v>1.9170000000697518</v>
      </c>
    </row>
    <row r="173" spans="1:27" x14ac:dyDescent="0.45">
      <c r="A173" t="s">
        <v>837</v>
      </c>
      <c r="B173" t="s">
        <v>262</v>
      </c>
      <c r="C173" t="s">
        <v>257</v>
      </c>
      <c r="D173" t="s">
        <v>43</v>
      </c>
      <c r="E173" t="s">
        <v>44</v>
      </c>
      <c r="F173" t="s">
        <v>834</v>
      </c>
      <c r="G173" t="s">
        <v>46</v>
      </c>
      <c r="H173">
        <v>2</v>
      </c>
      <c r="I173">
        <v>1.6</v>
      </c>
      <c r="J173">
        <v>1.9319999999999895</v>
      </c>
      <c r="K173">
        <v>1.9519999999999889</v>
      </c>
      <c r="L173">
        <v>97.754999999999995</v>
      </c>
      <c r="M173">
        <v>97.623000000000005</v>
      </c>
      <c r="N173" t="s">
        <v>838</v>
      </c>
      <c r="O173" t="s">
        <v>839</v>
      </c>
      <c r="P173" t="s">
        <v>49</v>
      </c>
      <c r="Q173" s="59">
        <v>41625</v>
      </c>
      <c r="R173" s="59">
        <v>46193</v>
      </c>
      <c r="S173">
        <v>7.7535934291581112</v>
      </c>
      <c r="T173">
        <v>97.688999999999993</v>
      </c>
      <c r="U173">
        <v>191</v>
      </c>
      <c r="V173">
        <v>7.5</v>
      </c>
      <c r="W173">
        <v>13</v>
      </c>
      <c r="X173" s="59">
        <v>46013</v>
      </c>
      <c r="Y173" s="66">
        <f t="shared" ca="1" si="4"/>
        <v>0.34666666666666668</v>
      </c>
      <c r="Z173" s="66">
        <f t="shared" ca="1" si="5"/>
        <v>97.342333333333329</v>
      </c>
      <c r="AA173">
        <v>1.9419999999999891</v>
      </c>
    </row>
    <row r="174" spans="1:27" x14ac:dyDescent="0.45">
      <c r="A174" t="s">
        <v>840</v>
      </c>
      <c r="B174" t="s">
        <v>272</v>
      </c>
      <c r="C174" t="s">
        <v>257</v>
      </c>
      <c r="D174" t="s">
        <v>43</v>
      </c>
      <c r="E174" t="s">
        <v>44</v>
      </c>
      <c r="F174" t="s">
        <v>834</v>
      </c>
      <c r="G174" t="s">
        <v>46</v>
      </c>
      <c r="H174">
        <v>2</v>
      </c>
      <c r="I174">
        <v>0.7</v>
      </c>
      <c r="J174">
        <v>2.0299999999179619</v>
      </c>
      <c r="K174">
        <v>2.066999999902456</v>
      </c>
      <c r="L174">
        <v>91.067999999999998</v>
      </c>
      <c r="M174">
        <v>90.841999999999999</v>
      </c>
      <c r="N174" t="s">
        <v>841</v>
      </c>
      <c r="O174" t="s">
        <v>842</v>
      </c>
      <c r="P174" t="s">
        <v>49</v>
      </c>
      <c r="Q174" s="59">
        <v>45329</v>
      </c>
      <c r="R174" s="59">
        <v>46193</v>
      </c>
      <c r="S174">
        <v>7.7535934291581112</v>
      </c>
      <c r="T174">
        <v>90.954999999999998</v>
      </c>
      <c r="U174">
        <v>286</v>
      </c>
      <c r="V174">
        <v>7.5</v>
      </c>
      <c r="W174">
        <v>2</v>
      </c>
      <c r="X174" s="59">
        <v>46013</v>
      </c>
      <c r="Y174" s="66">
        <f t="shared" ca="1" si="4"/>
        <v>0.15166666666666667</v>
      </c>
      <c r="Z174" s="66">
        <f t="shared" ca="1" si="5"/>
        <v>90.803333333333327</v>
      </c>
      <c r="AA174">
        <v>2.0484999999102089</v>
      </c>
    </row>
    <row r="175" spans="1:27" x14ac:dyDescent="0.45">
      <c r="A175" t="s">
        <v>843</v>
      </c>
      <c r="B175" t="s">
        <v>272</v>
      </c>
      <c r="C175" t="s">
        <v>257</v>
      </c>
      <c r="D175" t="s">
        <v>43</v>
      </c>
      <c r="E175" t="s">
        <v>44</v>
      </c>
      <c r="F175" t="s">
        <v>834</v>
      </c>
      <c r="G175" t="s">
        <v>46</v>
      </c>
      <c r="H175">
        <v>2</v>
      </c>
      <c r="I175">
        <v>0.6</v>
      </c>
      <c r="J175">
        <v>2.0049999998719392</v>
      </c>
      <c r="K175">
        <v>2.020999999862394</v>
      </c>
      <c r="L175">
        <v>90.549000000000007</v>
      </c>
      <c r="M175">
        <v>90.450999999999993</v>
      </c>
      <c r="N175" t="s">
        <v>844</v>
      </c>
      <c r="O175" t="s">
        <v>845</v>
      </c>
      <c r="P175" t="s">
        <v>49</v>
      </c>
      <c r="Q175" s="59">
        <v>45288</v>
      </c>
      <c r="R175" s="59">
        <v>46193</v>
      </c>
      <c r="S175">
        <v>7.7535934291581112</v>
      </c>
      <c r="T175">
        <v>90.5</v>
      </c>
      <c r="U175">
        <v>289</v>
      </c>
      <c r="V175">
        <v>7.5</v>
      </c>
      <c r="W175">
        <v>3</v>
      </c>
      <c r="X175" s="59">
        <v>46013</v>
      </c>
      <c r="Y175" s="66">
        <f t="shared" ca="1" si="4"/>
        <v>0.13</v>
      </c>
      <c r="Z175" s="66">
        <f t="shared" ca="1" si="5"/>
        <v>90.37</v>
      </c>
      <c r="AA175">
        <v>2.0129999998671666</v>
      </c>
    </row>
    <row r="176" spans="1:27" x14ac:dyDescent="0.45">
      <c r="A176" t="s">
        <v>846</v>
      </c>
      <c r="B176" t="s">
        <v>581</v>
      </c>
      <c r="C176" t="s">
        <v>257</v>
      </c>
      <c r="D176" t="s">
        <v>43</v>
      </c>
      <c r="E176" t="s">
        <v>44</v>
      </c>
      <c r="F176" t="s">
        <v>847</v>
      </c>
      <c r="G176" t="s">
        <v>46</v>
      </c>
      <c r="H176">
        <v>2</v>
      </c>
      <c r="I176">
        <v>2.4</v>
      </c>
      <c r="J176">
        <v>1.9149999999999221</v>
      </c>
      <c r="K176">
        <v>1.9359999999999393</v>
      </c>
      <c r="L176">
        <v>103.372</v>
      </c>
      <c r="M176">
        <v>103.221</v>
      </c>
      <c r="N176" t="s">
        <v>848</v>
      </c>
      <c r="O176" t="s">
        <v>849</v>
      </c>
      <c r="P176" t="s">
        <v>49</v>
      </c>
      <c r="Q176" s="59">
        <v>38092</v>
      </c>
      <c r="R176" s="59">
        <v>46101</v>
      </c>
      <c r="S176">
        <v>8</v>
      </c>
      <c r="T176">
        <v>103.29650000000001</v>
      </c>
      <c r="U176">
        <v>95</v>
      </c>
      <c r="V176">
        <v>8</v>
      </c>
      <c r="W176">
        <v>22</v>
      </c>
      <c r="X176" s="59">
        <v>45921</v>
      </c>
      <c r="Y176" s="66">
        <f t="shared" ca="1" si="4"/>
        <v>1.1333333333333333</v>
      </c>
      <c r="Z176" s="66">
        <f t="shared" ca="1" si="5"/>
        <v>102.16316666666667</v>
      </c>
      <c r="AA176">
        <v>1.9254999999999307</v>
      </c>
    </row>
    <row r="177" spans="1:27" x14ac:dyDescent="0.45">
      <c r="A177" t="s">
        <v>850</v>
      </c>
      <c r="B177" t="s">
        <v>262</v>
      </c>
      <c r="C177" t="s">
        <v>257</v>
      </c>
      <c r="D177" t="s">
        <v>43</v>
      </c>
      <c r="E177" t="s">
        <v>44</v>
      </c>
      <c r="F177" t="s">
        <v>847</v>
      </c>
      <c r="G177" t="s">
        <v>46</v>
      </c>
      <c r="H177">
        <v>2</v>
      </c>
      <c r="I177">
        <v>1.5</v>
      </c>
      <c r="J177">
        <v>1.9759999999998656</v>
      </c>
      <c r="K177">
        <v>1.9949999999998327</v>
      </c>
      <c r="L177">
        <v>96.703999999999994</v>
      </c>
      <c r="M177">
        <v>96.575999999999993</v>
      </c>
      <c r="N177" t="s">
        <v>851</v>
      </c>
      <c r="O177" t="s">
        <v>852</v>
      </c>
      <c r="P177" t="s">
        <v>49</v>
      </c>
      <c r="Q177" s="59">
        <v>41716</v>
      </c>
      <c r="R177" s="59">
        <v>46101</v>
      </c>
      <c r="S177">
        <v>8</v>
      </c>
      <c r="T177">
        <v>96.639999999999986</v>
      </c>
      <c r="U177">
        <v>193</v>
      </c>
      <c r="V177">
        <v>8</v>
      </c>
      <c r="W177">
        <v>12</v>
      </c>
      <c r="X177" s="59">
        <v>45921</v>
      </c>
      <c r="Y177" s="66">
        <f t="shared" ca="1" si="4"/>
        <v>0.70833333333333326</v>
      </c>
      <c r="Z177" s="66">
        <f t="shared" ca="1" si="5"/>
        <v>95.931666666666658</v>
      </c>
      <c r="AA177">
        <v>1.9854999999998491</v>
      </c>
    </row>
    <row r="178" spans="1:27" x14ac:dyDescent="0.45">
      <c r="A178" t="s">
        <v>853</v>
      </c>
      <c r="B178" t="s">
        <v>272</v>
      </c>
      <c r="C178" t="s">
        <v>257</v>
      </c>
      <c r="D178" t="s">
        <v>43</v>
      </c>
      <c r="E178" t="s">
        <v>44</v>
      </c>
      <c r="F178" t="s">
        <v>847</v>
      </c>
      <c r="G178" t="s">
        <v>46</v>
      </c>
      <c r="H178">
        <v>2</v>
      </c>
      <c r="I178">
        <v>1</v>
      </c>
      <c r="J178">
        <v>2.0269999999807209</v>
      </c>
      <c r="K178">
        <v>2.0729999999747895</v>
      </c>
      <c r="L178">
        <v>92.912999999999997</v>
      </c>
      <c r="M178">
        <v>92.619</v>
      </c>
      <c r="N178" t="s">
        <v>854</v>
      </c>
      <c r="O178" t="s">
        <v>855</v>
      </c>
      <c r="P178" t="s">
        <v>49</v>
      </c>
      <c r="Q178" s="59">
        <v>45433</v>
      </c>
      <c r="R178" s="59">
        <v>46101</v>
      </c>
      <c r="S178">
        <v>8</v>
      </c>
      <c r="T178">
        <v>92.765999999999991</v>
      </c>
      <c r="U178">
        <v>277</v>
      </c>
      <c r="V178">
        <v>8</v>
      </c>
      <c r="W178">
        <v>2</v>
      </c>
      <c r="X178" s="59">
        <v>45921</v>
      </c>
      <c r="Y178" s="66">
        <f t="shared" ca="1" si="4"/>
        <v>0.47222222222222221</v>
      </c>
      <c r="Z178" s="66">
        <f t="shared" ca="1" si="5"/>
        <v>92.293777777777763</v>
      </c>
      <c r="AA178">
        <v>2.0499999999777554</v>
      </c>
    </row>
    <row r="179" spans="1:27" x14ac:dyDescent="0.45">
      <c r="A179" t="s">
        <v>856</v>
      </c>
      <c r="B179" t="s">
        <v>272</v>
      </c>
      <c r="C179" t="s">
        <v>257</v>
      </c>
      <c r="D179" t="s">
        <v>43</v>
      </c>
      <c r="E179" t="s">
        <v>44</v>
      </c>
      <c r="F179" t="s">
        <v>847</v>
      </c>
      <c r="G179" t="s">
        <v>46</v>
      </c>
      <c r="H179">
        <v>2</v>
      </c>
      <c r="I179">
        <v>0.8</v>
      </c>
      <c r="J179">
        <v>2.0279999999292815</v>
      </c>
      <c r="K179">
        <v>2.0449999999229505</v>
      </c>
      <c r="L179">
        <v>91.527000000000001</v>
      </c>
      <c r="M179">
        <v>91.42</v>
      </c>
      <c r="N179" t="s">
        <v>857</v>
      </c>
      <c r="O179" t="s">
        <v>858</v>
      </c>
      <c r="P179" t="s">
        <v>49</v>
      </c>
      <c r="Q179" s="59">
        <v>45377</v>
      </c>
      <c r="R179" s="59">
        <v>46101</v>
      </c>
      <c r="S179">
        <v>8</v>
      </c>
      <c r="T179">
        <v>91.473500000000001</v>
      </c>
      <c r="U179">
        <v>281</v>
      </c>
      <c r="V179">
        <v>8</v>
      </c>
      <c r="W179">
        <v>2</v>
      </c>
      <c r="X179" s="59">
        <v>45921</v>
      </c>
      <c r="Y179" s="66">
        <f t="shared" ca="1" si="4"/>
        <v>0.37777777777777777</v>
      </c>
      <c r="Z179" s="66">
        <f t="shared" ca="1" si="5"/>
        <v>91.095722222222221</v>
      </c>
      <c r="AA179">
        <v>2.0364999999261162</v>
      </c>
    </row>
    <row r="180" spans="1:27" x14ac:dyDescent="0.45">
      <c r="A180" t="s">
        <v>859</v>
      </c>
      <c r="B180" t="s">
        <v>581</v>
      </c>
      <c r="C180" t="s">
        <v>257</v>
      </c>
      <c r="D180" t="s">
        <v>43</v>
      </c>
      <c r="E180" t="s">
        <v>44</v>
      </c>
      <c r="F180" t="s">
        <v>860</v>
      </c>
      <c r="G180" t="s">
        <v>46</v>
      </c>
      <c r="H180">
        <v>2</v>
      </c>
      <c r="I180">
        <v>2.5</v>
      </c>
      <c r="J180">
        <v>1.9409999999998593</v>
      </c>
      <c r="K180">
        <v>1.9629999999998904</v>
      </c>
      <c r="L180">
        <v>103.985</v>
      </c>
      <c r="M180">
        <v>103.822</v>
      </c>
      <c r="N180" t="s">
        <v>861</v>
      </c>
      <c r="O180" t="s">
        <v>862</v>
      </c>
      <c r="P180" t="s">
        <v>49</v>
      </c>
      <c r="Q180" s="59">
        <v>38216</v>
      </c>
      <c r="R180" s="59">
        <v>46193</v>
      </c>
      <c r="S180">
        <v>8.2518822724161538</v>
      </c>
      <c r="T180">
        <v>103.90350000000001</v>
      </c>
      <c r="U180">
        <v>96</v>
      </c>
      <c r="V180">
        <v>8</v>
      </c>
      <c r="W180">
        <v>22</v>
      </c>
      <c r="X180" s="59">
        <v>46013</v>
      </c>
      <c r="Y180" s="66">
        <f t="shared" ca="1" si="4"/>
        <v>0.54166666666666674</v>
      </c>
      <c r="Z180" s="66">
        <f t="shared" ca="1" si="5"/>
        <v>103.36183333333334</v>
      </c>
      <c r="AA180">
        <v>1.9519999999998747</v>
      </c>
    </row>
    <row r="181" spans="1:27" x14ac:dyDescent="0.45">
      <c r="A181" t="s">
        <v>863</v>
      </c>
      <c r="B181" t="s">
        <v>262</v>
      </c>
      <c r="C181" t="s">
        <v>257</v>
      </c>
      <c r="D181" t="s">
        <v>43</v>
      </c>
      <c r="E181" t="s">
        <v>44</v>
      </c>
      <c r="F181" t="s">
        <v>860</v>
      </c>
      <c r="G181" t="s">
        <v>46</v>
      </c>
      <c r="H181">
        <v>2</v>
      </c>
      <c r="I181">
        <v>1.5</v>
      </c>
      <c r="J181">
        <v>2.0109999999998114</v>
      </c>
      <c r="K181">
        <v>2.0319999999997624</v>
      </c>
      <c r="L181">
        <v>96.375</v>
      </c>
      <c r="M181">
        <v>96.230999999999995</v>
      </c>
      <c r="N181" t="s">
        <v>864</v>
      </c>
      <c r="O181" t="s">
        <v>865</v>
      </c>
      <c r="P181" t="s">
        <v>49</v>
      </c>
      <c r="Q181" s="59">
        <v>41807</v>
      </c>
      <c r="R181" s="59">
        <v>46193</v>
      </c>
      <c r="S181">
        <v>8.2518822724161538</v>
      </c>
      <c r="T181">
        <v>96.302999999999997</v>
      </c>
      <c r="U181">
        <v>196</v>
      </c>
      <c r="V181">
        <v>8</v>
      </c>
      <c r="W181">
        <v>12</v>
      </c>
      <c r="X181" s="59">
        <v>46013</v>
      </c>
      <c r="Y181" s="66">
        <f t="shared" ca="1" si="4"/>
        <v>0.32500000000000001</v>
      </c>
      <c r="Z181" s="66">
        <f t="shared" ca="1" si="5"/>
        <v>95.977999999999994</v>
      </c>
      <c r="AA181">
        <v>2.0214999999997869</v>
      </c>
    </row>
    <row r="182" spans="1:27" x14ac:dyDescent="0.45">
      <c r="A182" t="s">
        <v>866</v>
      </c>
      <c r="B182" t="s">
        <v>272</v>
      </c>
      <c r="C182" t="s">
        <v>257</v>
      </c>
      <c r="D182" t="s">
        <v>43</v>
      </c>
      <c r="E182" t="s">
        <v>44</v>
      </c>
      <c r="F182" t="s">
        <v>860</v>
      </c>
      <c r="G182" t="s">
        <v>46</v>
      </c>
      <c r="H182">
        <v>2</v>
      </c>
      <c r="I182">
        <v>1.1000000000000001</v>
      </c>
      <c r="J182">
        <v>2.0449999999900084</v>
      </c>
      <c r="K182">
        <v>2.0609999999889457</v>
      </c>
      <c r="L182">
        <v>93.311999999999998</v>
      </c>
      <c r="M182">
        <v>93.206999999999994</v>
      </c>
      <c r="N182" t="s">
        <v>867</v>
      </c>
      <c r="O182" t="s">
        <v>868</v>
      </c>
      <c r="P182" t="s">
        <v>49</v>
      </c>
      <c r="Q182" s="59">
        <v>45468</v>
      </c>
      <c r="R182" s="59">
        <v>46193</v>
      </c>
      <c r="S182">
        <v>8.2518822724161538</v>
      </c>
      <c r="T182">
        <v>93.259500000000003</v>
      </c>
      <c r="U182">
        <v>269</v>
      </c>
      <c r="V182">
        <v>8</v>
      </c>
      <c r="W182">
        <v>2</v>
      </c>
      <c r="X182" s="59">
        <v>46013</v>
      </c>
      <c r="Y182" s="66">
        <f t="shared" ca="1" si="4"/>
        <v>0.23833333333333337</v>
      </c>
      <c r="Z182" s="66">
        <f t="shared" ca="1" si="5"/>
        <v>93.021166666666673</v>
      </c>
      <c r="AA182">
        <v>2.0529999999894768</v>
      </c>
    </row>
    <row r="183" spans="1:27" x14ac:dyDescent="0.45">
      <c r="A183" t="s">
        <v>869</v>
      </c>
      <c r="B183" t="s">
        <v>581</v>
      </c>
      <c r="C183" t="s">
        <v>257</v>
      </c>
      <c r="D183" t="s">
        <v>43</v>
      </c>
      <c r="E183" t="s">
        <v>44</v>
      </c>
      <c r="F183" t="s">
        <v>870</v>
      </c>
      <c r="G183" t="s">
        <v>46</v>
      </c>
      <c r="H183">
        <v>2</v>
      </c>
      <c r="I183">
        <v>2.5</v>
      </c>
      <c r="J183">
        <v>1.9709999999998487</v>
      </c>
      <c r="K183">
        <v>1.9909999999998795</v>
      </c>
      <c r="L183">
        <v>103.861</v>
      </c>
      <c r="M183">
        <v>103.709</v>
      </c>
      <c r="N183" t="s">
        <v>871</v>
      </c>
      <c r="O183" t="s">
        <v>872</v>
      </c>
      <c r="P183" t="s">
        <v>49</v>
      </c>
      <c r="Q183" s="59">
        <v>38279</v>
      </c>
      <c r="R183" s="59">
        <v>46101</v>
      </c>
      <c r="S183">
        <v>8.5037645448323058</v>
      </c>
      <c r="T183">
        <v>103.785</v>
      </c>
      <c r="U183">
        <v>97</v>
      </c>
      <c r="V183">
        <v>8.5</v>
      </c>
      <c r="W183">
        <v>22</v>
      </c>
      <c r="X183" s="59">
        <v>45921</v>
      </c>
      <c r="Y183" s="66">
        <f t="shared" ca="1" si="4"/>
        <v>1.1805555555555556</v>
      </c>
      <c r="Z183" s="66">
        <f t="shared" ca="1" si="5"/>
        <v>102.60444444444444</v>
      </c>
      <c r="AA183">
        <v>1.980999999999864</v>
      </c>
    </row>
    <row r="184" spans="1:27" x14ac:dyDescent="0.45">
      <c r="A184" t="s">
        <v>873</v>
      </c>
      <c r="B184" t="s">
        <v>262</v>
      </c>
      <c r="C184" t="s">
        <v>257</v>
      </c>
      <c r="D184" t="s">
        <v>43</v>
      </c>
      <c r="E184" t="s">
        <v>44</v>
      </c>
      <c r="F184" t="s">
        <v>870</v>
      </c>
      <c r="G184" t="s">
        <v>46</v>
      </c>
      <c r="H184">
        <v>2</v>
      </c>
      <c r="I184">
        <v>1.4</v>
      </c>
      <c r="J184">
        <v>2.0509999999987669</v>
      </c>
      <c r="K184">
        <v>2.0719999999985168</v>
      </c>
      <c r="L184">
        <v>95.275000000000006</v>
      </c>
      <c r="M184">
        <v>95.13</v>
      </c>
      <c r="N184" t="s">
        <v>874</v>
      </c>
      <c r="O184" t="s">
        <v>875</v>
      </c>
      <c r="P184" t="s">
        <v>49</v>
      </c>
      <c r="Q184" s="59">
        <v>41899</v>
      </c>
      <c r="R184" s="59">
        <v>46101</v>
      </c>
      <c r="S184">
        <v>8.5037645448323058</v>
      </c>
      <c r="T184">
        <v>95.202500000000001</v>
      </c>
      <c r="U184">
        <v>198</v>
      </c>
      <c r="V184">
        <v>8.5</v>
      </c>
      <c r="W184">
        <v>12</v>
      </c>
      <c r="X184" s="59">
        <v>45921</v>
      </c>
      <c r="Y184" s="66">
        <f t="shared" ca="1" si="4"/>
        <v>0.66111111111111109</v>
      </c>
      <c r="Z184" s="66">
        <f t="shared" ca="1" si="5"/>
        <v>94.541388888888889</v>
      </c>
      <c r="AA184">
        <v>2.0614999999986416</v>
      </c>
    </row>
    <row r="185" spans="1:27" x14ac:dyDescent="0.45">
      <c r="A185" t="s">
        <v>876</v>
      </c>
      <c r="B185" t="s">
        <v>272</v>
      </c>
      <c r="C185" t="s">
        <v>257</v>
      </c>
      <c r="D185" t="s">
        <v>43</v>
      </c>
      <c r="E185" t="s">
        <v>44</v>
      </c>
      <c r="F185" t="s">
        <v>870</v>
      </c>
      <c r="G185" t="s">
        <v>46</v>
      </c>
      <c r="H185">
        <v>2</v>
      </c>
      <c r="I185">
        <v>0.9</v>
      </c>
      <c r="J185">
        <v>2.0939999999227852</v>
      </c>
      <c r="K185">
        <v>2.1099999999161341</v>
      </c>
      <c r="L185">
        <v>91.361999999999995</v>
      </c>
      <c r="M185">
        <v>91.256</v>
      </c>
      <c r="N185" t="s">
        <v>877</v>
      </c>
      <c r="O185" t="s">
        <v>878</v>
      </c>
      <c r="P185" t="s">
        <v>49</v>
      </c>
      <c r="Q185" s="59">
        <v>45561</v>
      </c>
      <c r="R185" s="59">
        <v>46101</v>
      </c>
      <c r="S185">
        <v>8.5037645448323058</v>
      </c>
      <c r="T185">
        <v>91.308999999999997</v>
      </c>
      <c r="U185">
        <v>260</v>
      </c>
      <c r="V185">
        <v>8.5</v>
      </c>
      <c r="W185">
        <v>2</v>
      </c>
      <c r="X185" s="59">
        <v>45921</v>
      </c>
      <c r="Y185" s="66">
        <f t="shared" ca="1" si="4"/>
        <v>0.42499999999999999</v>
      </c>
      <c r="Z185" s="66">
        <f t="shared" ca="1" si="5"/>
        <v>90.884</v>
      </c>
      <c r="AA185">
        <v>2.1019999999194594</v>
      </c>
    </row>
    <row r="186" spans="1:27" x14ac:dyDescent="0.45">
      <c r="A186" t="s">
        <v>879</v>
      </c>
      <c r="B186" t="s">
        <v>581</v>
      </c>
      <c r="C186" t="s">
        <v>257</v>
      </c>
      <c r="D186" t="s">
        <v>43</v>
      </c>
      <c r="E186" t="s">
        <v>44</v>
      </c>
      <c r="F186" t="s">
        <v>880</v>
      </c>
      <c r="G186" t="s">
        <v>46</v>
      </c>
      <c r="H186">
        <v>2</v>
      </c>
      <c r="I186">
        <v>2.4</v>
      </c>
      <c r="J186">
        <v>2.0079999999999734</v>
      </c>
      <c r="K186">
        <v>2.0299999999999794</v>
      </c>
      <c r="L186">
        <v>102.92400000000001</v>
      </c>
      <c r="M186">
        <v>102.755</v>
      </c>
      <c r="N186" t="s">
        <v>881</v>
      </c>
      <c r="O186" t="s">
        <v>882</v>
      </c>
      <c r="P186" t="s">
        <v>49</v>
      </c>
      <c r="Q186" s="59">
        <v>38398</v>
      </c>
      <c r="R186" s="59">
        <v>46193</v>
      </c>
      <c r="S186">
        <v>8.7529089664613284</v>
      </c>
      <c r="T186">
        <v>102.8395</v>
      </c>
      <c r="U186">
        <v>98</v>
      </c>
      <c r="V186">
        <v>8.5</v>
      </c>
      <c r="W186">
        <v>21</v>
      </c>
      <c r="X186" s="59">
        <v>46013</v>
      </c>
      <c r="Y186" s="66">
        <f t="shared" ca="1" si="4"/>
        <v>0.52</v>
      </c>
      <c r="Z186" s="66">
        <f t="shared" ca="1" si="5"/>
        <v>102.31950000000001</v>
      </c>
      <c r="AA186">
        <v>2.0189999999999761</v>
      </c>
    </row>
    <row r="187" spans="1:27" x14ac:dyDescent="0.45">
      <c r="A187" t="s">
        <v>883</v>
      </c>
      <c r="B187" t="s">
        <v>262</v>
      </c>
      <c r="C187" t="s">
        <v>257</v>
      </c>
      <c r="D187" t="s">
        <v>43</v>
      </c>
      <c r="E187" t="s">
        <v>44</v>
      </c>
      <c r="F187" t="s">
        <v>880</v>
      </c>
      <c r="G187" t="s">
        <v>46</v>
      </c>
      <c r="H187">
        <v>2</v>
      </c>
      <c r="I187">
        <v>1.2</v>
      </c>
      <c r="J187">
        <v>2.1019999999902792</v>
      </c>
      <c r="K187">
        <v>2.1219999999889114</v>
      </c>
      <c r="L187">
        <v>93.316999999999993</v>
      </c>
      <c r="M187">
        <v>93.179000000000002</v>
      </c>
      <c r="N187" t="s">
        <v>884</v>
      </c>
      <c r="O187" t="s">
        <v>885</v>
      </c>
      <c r="P187" t="s">
        <v>49</v>
      </c>
      <c r="Q187" s="59">
        <v>41991</v>
      </c>
      <c r="R187" s="59">
        <v>46193</v>
      </c>
      <c r="S187">
        <v>8.7529089664613284</v>
      </c>
      <c r="T187">
        <v>93.24799999999999</v>
      </c>
      <c r="U187">
        <v>200</v>
      </c>
      <c r="V187">
        <v>8.5</v>
      </c>
      <c r="W187">
        <v>12</v>
      </c>
      <c r="X187" s="59">
        <v>46013</v>
      </c>
      <c r="Y187" s="66">
        <f t="shared" ca="1" si="4"/>
        <v>0.26</v>
      </c>
      <c r="Z187" s="66">
        <f t="shared" ca="1" si="5"/>
        <v>92.987999999999985</v>
      </c>
      <c r="AA187">
        <v>2.1119999999895951</v>
      </c>
    </row>
    <row r="188" spans="1:27" x14ac:dyDescent="0.45">
      <c r="A188" t="s">
        <v>886</v>
      </c>
      <c r="B188" t="s">
        <v>272</v>
      </c>
      <c r="C188" t="s">
        <v>257</v>
      </c>
      <c r="D188" t="s">
        <v>43</v>
      </c>
      <c r="E188" t="s">
        <v>44</v>
      </c>
      <c r="F188" t="s">
        <v>880</v>
      </c>
      <c r="G188" t="s">
        <v>46</v>
      </c>
      <c r="H188">
        <v>2</v>
      </c>
      <c r="I188">
        <v>1.2</v>
      </c>
      <c r="J188">
        <v>2.1069999999899505</v>
      </c>
      <c r="K188">
        <v>2.1209999999889826</v>
      </c>
      <c r="L188">
        <v>93.281999999999996</v>
      </c>
      <c r="M188">
        <v>93.186000000000007</v>
      </c>
      <c r="N188" t="s">
        <v>887</v>
      </c>
      <c r="O188" t="s">
        <v>888</v>
      </c>
      <c r="P188" t="s">
        <v>49</v>
      </c>
      <c r="Q188" s="59">
        <v>45653</v>
      </c>
      <c r="R188" s="59">
        <v>46193</v>
      </c>
      <c r="S188">
        <v>8.7529089664613284</v>
      </c>
      <c r="T188">
        <v>93.234000000000009</v>
      </c>
      <c r="U188">
        <v>253</v>
      </c>
      <c r="V188">
        <v>8.5</v>
      </c>
      <c r="W188">
        <v>2</v>
      </c>
      <c r="X188" s="59">
        <v>46013</v>
      </c>
      <c r="Y188" s="66">
        <f t="shared" ca="1" si="4"/>
        <v>0.26</v>
      </c>
      <c r="Z188" s="66">
        <f t="shared" ca="1" si="5"/>
        <v>92.974000000000004</v>
      </c>
      <c r="AA188">
        <v>2.1139999999894665</v>
      </c>
    </row>
    <row r="189" spans="1:27" x14ac:dyDescent="0.45">
      <c r="A189" t="s">
        <v>889</v>
      </c>
      <c r="B189" t="s">
        <v>581</v>
      </c>
      <c r="C189" t="s">
        <v>257</v>
      </c>
      <c r="D189" t="s">
        <v>43</v>
      </c>
      <c r="E189" t="s">
        <v>44</v>
      </c>
      <c r="F189" t="s">
        <v>890</v>
      </c>
      <c r="G189" t="s">
        <v>46</v>
      </c>
      <c r="H189">
        <v>2</v>
      </c>
      <c r="I189">
        <v>2.2999999999999998</v>
      </c>
      <c r="J189">
        <v>2.0449999999999933</v>
      </c>
      <c r="K189">
        <v>2.0659999999999963</v>
      </c>
      <c r="L189">
        <v>101.94199999999999</v>
      </c>
      <c r="M189">
        <v>101.779</v>
      </c>
      <c r="N189" t="s">
        <v>891</v>
      </c>
      <c r="O189" t="s">
        <v>892</v>
      </c>
      <c r="P189" t="s">
        <v>49</v>
      </c>
      <c r="Q189" s="59">
        <v>38456</v>
      </c>
      <c r="R189" s="59">
        <v>46101</v>
      </c>
      <c r="S189">
        <v>8.9993155373032163</v>
      </c>
      <c r="T189">
        <v>101.8605</v>
      </c>
      <c r="U189">
        <v>99</v>
      </c>
      <c r="V189">
        <v>8.5</v>
      </c>
      <c r="W189">
        <v>21</v>
      </c>
      <c r="X189" s="59">
        <v>45921</v>
      </c>
      <c r="Y189" s="66">
        <f t="shared" ca="1" si="4"/>
        <v>1.086111111111111</v>
      </c>
      <c r="Z189" s="66">
        <f t="shared" ca="1" si="5"/>
        <v>100.77438888888889</v>
      </c>
      <c r="AA189">
        <v>2.055499999999995</v>
      </c>
    </row>
    <row r="190" spans="1:27" x14ac:dyDescent="0.45">
      <c r="A190" t="s">
        <v>893</v>
      </c>
      <c r="B190" t="s">
        <v>262</v>
      </c>
      <c r="C190" t="s">
        <v>257</v>
      </c>
      <c r="D190" t="s">
        <v>43</v>
      </c>
      <c r="E190" t="s">
        <v>44</v>
      </c>
      <c r="F190" t="s">
        <v>890</v>
      </c>
      <c r="G190" t="s">
        <v>46</v>
      </c>
      <c r="H190">
        <v>2</v>
      </c>
      <c r="I190">
        <v>1.2</v>
      </c>
      <c r="J190">
        <v>2.1329999999825939</v>
      </c>
      <c r="K190">
        <v>2.1529999999802247</v>
      </c>
      <c r="L190">
        <v>92.94</v>
      </c>
      <c r="M190">
        <v>92.8</v>
      </c>
      <c r="N190" t="s">
        <v>894</v>
      </c>
      <c r="O190" t="s">
        <v>895</v>
      </c>
      <c r="P190" t="s">
        <v>49</v>
      </c>
      <c r="Q190" s="59">
        <v>42081</v>
      </c>
      <c r="R190" s="59">
        <v>46101</v>
      </c>
      <c r="S190">
        <v>8.9993155373032163</v>
      </c>
      <c r="T190">
        <v>92.87</v>
      </c>
      <c r="U190">
        <v>202</v>
      </c>
      <c r="V190">
        <v>8.5</v>
      </c>
      <c r="W190">
        <v>11</v>
      </c>
      <c r="X190" s="59">
        <v>45921</v>
      </c>
      <c r="Y190" s="66">
        <f t="shared" ca="1" si="4"/>
        <v>0.56666666666666665</v>
      </c>
      <c r="Z190" s="66">
        <f t="shared" ca="1" si="5"/>
        <v>92.303333333333342</v>
      </c>
      <c r="AA190">
        <v>2.1429999999814093</v>
      </c>
    </row>
    <row r="191" spans="1:27" x14ac:dyDescent="0.45">
      <c r="A191" t="s">
        <v>896</v>
      </c>
      <c r="B191" t="s">
        <v>272</v>
      </c>
      <c r="C191" t="s">
        <v>257</v>
      </c>
      <c r="D191" t="s">
        <v>43</v>
      </c>
      <c r="E191" t="s">
        <v>44</v>
      </c>
      <c r="F191" t="s">
        <v>890</v>
      </c>
      <c r="G191" t="s">
        <v>46</v>
      </c>
      <c r="H191">
        <v>2</v>
      </c>
      <c r="I191">
        <v>1.4</v>
      </c>
      <c r="J191">
        <v>2.1249999999968354</v>
      </c>
      <c r="K191">
        <v>2.137999999996484</v>
      </c>
      <c r="L191">
        <v>94.510999999999996</v>
      </c>
      <c r="M191">
        <v>94.418000000000006</v>
      </c>
      <c r="N191" t="s">
        <v>897</v>
      </c>
      <c r="O191" t="s">
        <v>898</v>
      </c>
      <c r="P191" t="s">
        <v>49</v>
      </c>
      <c r="Q191" s="59">
        <v>45743</v>
      </c>
      <c r="R191" s="59">
        <v>46101</v>
      </c>
      <c r="S191">
        <v>8.9993155373032163</v>
      </c>
      <c r="T191">
        <v>94.464500000000001</v>
      </c>
      <c r="U191">
        <v>248</v>
      </c>
      <c r="V191">
        <v>8.5</v>
      </c>
      <c r="W191">
        <v>1</v>
      </c>
      <c r="X191" s="59">
        <v>45921</v>
      </c>
      <c r="Y191" s="66">
        <f t="shared" ca="1" si="4"/>
        <v>0.66111111111111109</v>
      </c>
      <c r="Z191" s="66">
        <f t="shared" ca="1" si="5"/>
        <v>93.80338888888889</v>
      </c>
      <c r="AA191">
        <v>2.1314999999966595</v>
      </c>
    </row>
    <row r="192" spans="1:27" x14ac:dyDescent="0.45">
      <c r="A192" t="s">
        <v>899</v>
      </c>
      <c r="B192" t="s">
        <v>581</v>
      </c>
      <c r="C192" t="s">
        <v>257</v>
      </c>
      <c r="D192" t="s">
        <v>43</v>
      </c>
      <c r="E192" t="s">
        <v>44</v>
      </c>
      <c r="F192" t="s">
        <v>900</v>
      </c>
      <c r="G192" t="s">
        <v>46</v>
      </c>
      <c r="H192">
        <v>2</v>
      </c>
      <c r="I192">
        <v>2.2999999999999998</v>
      </c>
      <c r="J192">
        <v>2.0779999999999985</v>
      </c>
      <c r="K192">
        <v>2.097999999999995</v>
      </c>
      <c r="L192">
        <v>101.726</v>
      </c>
      <c r="M192">
        <v>101.568</v>
      </c>
      <c r="N192" t="s">
        <v>901</v>
      </c>
      <c r="O192" t="s">
        <v>902</v>
      </c>
      <c r="P192" t="s">
        <v>49</v>
      </c>
      <c r="Q192" s="59">
        <v>38547</v>
      </c>
      <c r="R192" s="59">
        <v>46193</v>
      </c>
      <c r="S192">
        <v>9.2511978097193701</v>
      </c>
      <c r="T192">
        <v>101.64699999999999</v>
      </c>
      <c r="U192">
        <v>100</v>
      </c>
      <c r="V192">
        <v>9</v>
      </c>
      <c r="W192">
        <v>21</v>
      </c>
      <c r="X192" s="59">
        <v>46013</v>
      </c>
      <c r="Y192" s="66">
        <f t="shared" ca="1" si="4"/>
        <v>0.49833333333333329</v>
      </c>
      <c r="Z192" s="66">
        <f t="shared" ca="1" si="5"/>
        <v>101.14866666666666</v>
      </c>
      <c r="AA192">
        <v>2.0879999999999965</v>
      </c>
    </row>
    <row r="193" spans="1:27" x14ac:dyDescent="0.45">
      <c r="A193" t="s">
        <v>903</v>
      </c>
      <c r="B193" t="s">
        <v>262</v>
      </c>
      <c r="C193" t="s">
        <v>257</v>
      </c>
      <c r="D193" t="s">
        <v>43</v>
      </c>
      <c r="E193" t="s">
        <v>44</v>
      </c>
      <c r="F193" t="s">
        <v>900</v>
      </c>
      <c r="G193" t="s">
        <v>46</v>
      </c>
      <c r="H193">
        <v>2</v>
      </c>
      <c r="I193">
        <v>1.3</v>
      </c>
      <c r="J193">
        <v>2.160999999990822</v>
      </c>
      <c r="K193">
        <v>2.1809999999894765</v>
      </c>
      <c r="L193">
        <v>93.347999999999999</v>
      </c>
      <c r="M193">
        <v>93.203999999999994</v>
      </c>
      <c r="N193" t="s">
        <v>904</v>
      </c>
      <c r="O193" t="s">
        <v>905</v>
      </c>
      <c r="P193" t="s">
        <v>49</v>
      </c>
      <c r="Q193" s="59">
        <v>42166</v>
      </c>
      <c r="R193" s="59">
        <v>46193</v>
      </c>
      <c r="S193">
        <v>9.2511978097193701</v>
      </c>
      <c r="T193">
        <v>93.275999999999996</v>
      </c>
      <c r="U193">
        <v>205</v>
      </c>
      <c r="V193">
        <v>9</v>
      </c>
      <c r="W193">
        <v>11</v>
      </c>
      <c r="X193" s="59">
        <v>46013</v>
      </c>
      <c r="Y193" s="66">
        <f t="shared" ca="1" si="4"/>
        <v>0.28166666666666668</v>
      </c>
      <c r="Z193" s="66">
        <f t="shared" ca="1" si="5"/>
        <v>92.99433333333333</v>
      </c>
      <c r="AA193">
        <v>2.1709999999901495</v>
      </c>
    </row>
    <row r="194" spans="1:27" x14ac:dyDescent="0.45">
      <c r="A194" t="s">
        <v>906</v>
      </c>
      <c r="B194" t="s">
        <v>272</v>
      </c>
      <c r="C194" t="s">
        <v>257</v>
      </c>
      <c r="D194" t="s">
        <v>43</v>
      </c>
      <c r="E194" t="s">
        <v>44</v>
      </c>
      <c r="F194" t="s">
        <v>900</v>
      </c>
      <c r="G194" t="s">
        <v>46</v>
      </c>
      <c r="H194">
        <v>2</v>
      </c>
      <c r="I194">
        <v>1.5</v>
      </c>
      <c r="J194">
        <v>2.1469999999986022</v>
      </c>
      <c r="K194">
        <v>2.161999999998407</v>
      </c>
      <c r="L194">
        <v>94.995999999999995</v>
      </c>
      <c r="M194">
        <v>94.885999999999996</v>
      </c>
      <c r="N194" t="s">
        <v>907</v>
      </c>
      <c r="O194" t="s">
        <v>908</v>
      </c>
      <c r="P194" t="s">
        <v>49</v>
      </c>
      <c r="Q194" s="59">
        <v>45832</v>
      </c>
      <c r="R194" s="59">
        <v>46193</v>
      </c>
      <c r="S194">
        <v>9.2511978097193701</v>
      </c>
      <c r="T194">
        <v>94.941000000000003</v>
      </c>
      <c r="U194">
        <v>239</v>
      </c>
      <c r="V194">
        <v>9</v>
      </c>
      <c r="W194">
        <v>1</v>
      </c>
      <c r="X194" s="59">
        <v>46013</v>
      </c>
      <c r="Y194" s="66">
        <f t="shared" ref="Y194:Y257" ca="1" si="6">((TODAY()-10)-X194)/180*(I194/2)</f>
        <v>0.32500000000000001</v>
      </c>
      <c r="Z194" s="66">
        <f t="shared" ca="1" si="5"/>
        <v>94.616</v>
      </c>
      <c r="AA194">
        <v>2.1544999999985048</v>
      </c>
    </row>
    <row r="195" spans="1:27" x14ac:dyDescent="0.45">
      <c r="A195" t="s">
        <v>909</v>
      </c>
      <c r="B195" t="s">
        <v>581</v>
      </c>
      <c r="C195" t="s">
        <v>257</v>
      </c>
      <c r="D195" t="s">
        <v>43</v>
      </c>
      <c r="E195" t="s">
        <v>44</v>
      </c>
      <c r="F195" t="s">
        <v>910</v>
      </c>
      <c r="G195" t="s">
        <v>46</v>
      </c>
      <c r="H195">
        <v>2</v>
      </c>
      <c r="I195">
        <v>2.5</v>
      </c>
      <c r="J195">
        <v>2.0909999999999402</v>
      </c>
      <c r="K195">
        <v>2.111999999999957</v>
      </c>
      <c r="L195">
        <v>103.248</v>
      </c>
      <c r="M195">
        <v>103.077</v>
      </c>
      <c r="N195" t="s">
        <v>911</v>
      </c>
      <c r="O195" t="s">
        <v>912</v>
      </c>
      <c r="P195" t="s">
        <v>49</v>
      </c>
      <c r="Q195" s="59">
        <v>38643</v>
      </c>
      <c r="R195" s="59">
        <v>46101</v>
      </c>
      <c r="S195">
        <v>9.5030800821355239</v>
      </c>
      <c r="T195">
        <v>103.16249999999999</v>
      </c>
      <c r="U195">
        <v>101</v>
      </c>
      <c r="V195">
        <v>9.5</v>
      </c>
      <c r="W195">
        <v>21</v>
      </c>
      <c r="X195" s="59">
        <v>45921</v>
      </c>
      <c r="Y195" s="66">
        <f t="shared" ca="1" si="6"/>
        <v>1.1805555555555556</v>
      </c>
      <c r="Z195" s="66">
        <f t="shared" ref="Z195:Z258" ca="1" si="7">T195-Y195</f>
        <v>101.98194444444444</v>
      </c>
      <c r="AA195">
        <v>2.1014999999999486</v>
      </c>
    </row>
    <row r="196" spans="1:27" x14ac:dyDescent="0.45">
      <c r="A196" t="s">
        <v>913</v>
      </c>
      <c r="B196" t="s">
        <v>262</v>
      </c>
      <c r="C196" t="s">
        <v>257</v>
      </c>
      <c r="D196" t="s">
        <v>43</v>
      </c>
      <c r="E196" t="s">
        <v>44</v>
      </c>
      <c r="F196" t="s">
        <v>910</v>
      </c>
      <c r="G196" t="s">
        <v>46</v>
      </c>
      <c r="H196">
        <v>2</v>
      </c>
      <c r="I196">
        <v>1.2</v>
      </c>
      <c r="J196">
        <v>2.203999999963365</v>
      </c>
      <c r="K196">
        <v>2.2249999999584733</v>
      </c>
      <c r="L196">
        <v>92.094999999999999</v>
      </c>
      <c r="M196">
        <v>91.942999999999998</v>
      </c>
      <c r="N196" t="s">
        <v>914</v>
      </c>
      <c r="O196" t="s">
        <v>915</v>
      </c>
      <c r="P196" t="s">
        <v>49</v>
      </c>
      <c r="Q196" s="59">
        <v>42263</v>
      </c>
      <c r="R196" s="59">
        <v>46101</v>
      </c>
      <c r="S196">
        <v>9.5030800821355239</v>
      </c>
      <c r="T196">
        <v>92.019000000000005</v>
      </c>
      <c r="U196">
        <v>219</v>
      </c>
      <c r="V196">
        <v>9.5</v>
      </c>
      <c r="W196">
        <v>11</v>
      </c>
      <c r="X196" s="59">
        <v>45921</v>
      </c>
      <c r="Y196" s="66">
        <f t="shared" ca="1" si="6"/>
        <v>0.56666666666666665</v>
      </c>
      <c r="Z196" s="66">
        <f t="shared" ca="1" si="7"/>
        <v>91.452333333333343</v>
      </c>
      <c r="AA196">
        <v>2.2144999999609194</v>
      </c>
    </row>
    <row r="197" spans="1:27" x14ac:dyDescent="0.45">
      <c r="A197" t="s">
        <v>916</v>
      </c>
      <c r="B197" t="s">
        <v>272</v>
      </c>
      <c r="C197" t="s">
        <v>257</v>
      </c>
      <c r="D197" t="s">
        <v>43</v>
      </c>
      <c r="E197" t="s">
        <v>44</v>
      </c>
      <c r="F197" t="s">
        <v>910</v>
      </c>
      <c r="G197" t="s">
        <v>46</v>
      </c>
      <c r="H197">
        <v>2</v>
      </c>
      <c r="I197">
        <v>1.6</v>
      </c>
      <c r="J197">
        <v>2.1259999999994537</v>
      </c>
      <c r="K197">
        <v>2.150999999999291</v>
      </c>
      <c r="L197">
        <v>95.832999999999998</v>
      </c>
      <c r="M197">
        <v>95.643000000000001</v>
      </c>
      <c r="N197" t="s">
        <v>917</v>
      </c>
      <c r="O197" t="s">
        <v>918</v>
      </c>
      <c r="P197" t="s">
        <v>49</v>
      </c>
      <c r="Q197" s="59">
        <v>45944</v>
      </c>
      <c r="R197" s="59">
        <v>46101</v>
      </c>
      <c r="S197">
        <v>9.5030800821355239</v>
      </c>
      <c r="T197">
        <v>95.738</v>
      </c>
      <c r="U197">
        <v>225</v>
      </c>
      <c r="V197">
        <v>9.5</v>
      </c>
      <c r="W197">
        <v>1</v>
      </c>
      <c r="X197" s="59">
        <v>45921</v>
      </c>
      <c r="Y197" s="66">
        <f t="shared" ca="1" si="6"/>
        <v>0.75555555555555554</v>
      </c>
      <c r="Z197" s="66">
        <f t="shared" ca="1" si="7"/>
        <v>94.98244444444444</v>
      </c>
      <c r="AA197">
        <v>2.1384999999993726</v>
      </c>
    </row>
    <row r="198" spans="1:27" x14ac:dyDescent="0.45">
      <c r="A198" t="s">
        <v>919</v>
      </c>
      <c r="B198" t="s">
        <v>272</v>
      </c>
      <c r="C198" t="s">
        <v>257</v>
      </c>
      <c r="D198" t="s">
        <v>43</v>
      </c>
      <c r="E198" t="s">
        <v>44</v>
      </c>
      <c r="F198" t="s">
        <v>910</v>
      </c>
      <c r="G198" t="s">
        <v>46</v>
      </c>
      <c r="H198">
        <v>2</v>
      </c>
      <c r="I198">
        <v>1.7</v>
      </c>
      <c r="J198">
        <v>2.1609999999997638</v>
      </c>
      <c r="K198">
        <v>2.1789999999997112</v>
      </c>
      <c r="L198">
        <v>96.358000000000004</v>
      </c>
      <c r="M198">
        <v>96.221000000000004</v>
      </c>
      <c r="N198" t="s">
        <v>920</v>
      </c>
      <c r="O198" t="s">
        <v>921</v>
      </c>
      <c r="P198" t="s">
        <v>49</v>
      </c>
      <c r="Q198" s="59">
        <v>45925</v>
      </c>
      <c r="R198" s="59">
        <v>46101</v>
      </c>
      <c r="S198">
        <v>9.5030800821355239</v>
      </c>
      <c r="T198">
        <v>96.289500000000004</v>
      </c>
      <c r="U198">
        <v>229</v>
      </c>
      <c r="V198">
        <v>9.5</v>
      </c>
      <c r="W198">
        <v>1</v>
      </c>
      <c r="X198" s="59">
        <v>45921</v>
      </c>
      <c r="Y198" s="66">
        <f t="shared" ca="1" si="6"/>
        <v>0.8027777777777777</v>
      </c>
      <c r="Z198" s="66">
        <f t="shared" ca="1" si="7"/>
        <v>95.486722222222227</v>
      </c>
      <c r="AA198">
        <v>2.1699999999997375</v>
      </c>
    </row>
    <row r="199" spans="1:27" x14ac:dyDescent="0.45">
      <c r="A199" t="s">
        <v>922</v>
      </c>
      <c r="B199" t="s">
        <v>272</v>
      </c>
      <c r="C199" t="s">
        <v>257</v>
      </c>
      <c r="D199" t="s">
        <v>43</v>
      </c>
      <c r="E199" t="s">
        <v>44</v>
      </c>
      <c r="F199" t="s">
        <v>923</v>
      </c>
      <c r="G199" t="s">
        <v>46</v>
      </c>
      <c r="H199">
        <v>2</v>
      </c>
      <c r="I199">
        <v>2.1</v>
      </c>
      <c r="J199">
        <v>2.1609999999509681</v>
      </c>
      <c r="K199">
        <v>2.1799999998873618</v>
      </c>
      <c r="L199">
        <v>99.507000000000005</v>
      </c>
      <c r="M199">
        <v>99.355000000000004</v>
      </c>
      <c r="N199" t="s">
        <v>924</v>
      </c>
      <c r="O199" t="s">
        <v>925</v>
      </c>
      <c r="P199" t="s">
        <v>49</v>
      </c>
      <c r="Q199" s="59">
        <v>46017</v>
      </c>
      <c r="R199" s="59">
        <v>46193</v>
      </c>
      <c r="S199">
        <v>9.7522245037645447</v>
      </c>
      <c r="T199">
        <v>99.431000000000012</v>
      </c>
      <c r="U199">
        <v>79</v>
      </c>
      <c r="V199">
        <v>9.5</v>
      </c>
      <c r="W199">
        <v>1</v>
      </c>
      <c r="X199" s="59">
        <v>46013</v>
      </c>
      <c r="Y199" s="66">
        <f t="shared" ca="1" si="6"/>
        <v>0.45500000000000002</v>
      </c>
      <c r="Z199" s="66">
        <f t="shared" ca="1" si="7"/>
        <v>98.976000000000013</v>
      </c>
      <c r="AA199">
        <v>2.1704999999191648</v>
      </c>
    </row>
    <row r="200" spans="1:27" x14ac:dyDescent="0.45">
      <c r="A200" t="s">
        <v>926</v>
      </c>
      <c r="B200" t="s">
        <v>581</v>
      </c>
      <c r="C200" t="s">
        <v>257</v>
      </c>
      <c r="D200" t="s">
        <v>43</v>
      </c>
      <c r="E200" t="s">
        <v>44</v>
      </c>
      <c r="F200" t="s">
        <v>923</v>
      </c>
      <c r="G200" t="s">
        <v>46</v>
      </c>
      <c r="H200">
        <v>2</v>
      </c>
      <c r="I200">
        <v>2.2999999999999998</v>
      </c>
      <c r="J200">
        <v>2.1469999999999989</v>
      </c>
      <c r="K200">
        <v>2.1670000000000011</v>
      </c>
      <c r="L200">
        <v>101.236</v>
      </c>
      <c r="M200">
        <v>101.072</v>
      </c>
      <c r="N200" t="s">
        <v>927</v>
      </c>
      <c r="O200" t="s">
        <v>928</v>
      </c>
      <c r="P200" t="s">
        <v>49</v>
      </c>
      <c r="Q200" s="59">
        <v>38736</v>
      </c>
      <c r="R200" s="59">
        <v>46193</v>
      </c>
      <c r="S200">
        <v>9.7522245037645447</v>
      </c>
      <c r="T200">
        <v>101.154</v>
      </c>
      <c r="U200">
        <v>102</v>
      </c>
      <c r="V200">
        <v>9.5</v>
      </c>
      <c r="W200">
        <v>20</v>
      </c>
      <c r="X200" s="59">
        <v>46013</v>
      </c>
      <c r="Y200" s="66">
        <f t="shared" ca="1" si="6"/>
        <v>0.49833333333333329</v>
      </c>
      <c r="Z200" s="66">
        <f t="shared" ca="1" si="7"/>
        <v>100.65566666666666</v>
      </c>
      <c r="AA200">
        <v>2.157</v>
      </c>
    </row>
    <row r="201" spans="1:27" x14ac:dyDescent="0.45">
      <c r="A201" t="s">
        <v>929</v>
      </c>
      <c r="B201" t="s">
        <v>262</v>
      </c>
      <c r="C201" t="s">
        <v>257</v>
      </c>
      <c r="D201" t="s">
        <v>43</v>
      </c>
      <c r="E201" t="s">
        <v>44</v>
      </c>
      <c r="F201" t="s">
        <v>923</v>
      </c>
      <c r="G201" t="s">
        <v>46</v>
      </c>
      <c r="H201">
        <v>2</v>
      </c>
      <c r="I201">
        <v>1</v>
      </c>
      <c r="J201">
        <v>2.2659999999999996</v>
      </c>
      <c r="K201">
        <v>2.286</v>
      </c>
      <c r="L201">
        <v>89.867999999999995</v>
      </c>
      <c r="M201">
        <v>89.724999999999994</v>
      </c>
      <c r="N201" t="s">
        <v>930</v>
      </c>
      <c r="O201" t="s">
        <v>931</v>
      </c>
      <c r="P201" t="s">
        <v>49</v>
      </c>
      <c r="Q201" s="59">
        <v>42355</v>
      </c>
      <c r="R201" s="59">
        <v>46193</v>
      </c>
      <c r="S201">
        <v>9.7522245037645447</v>
      </c>
      <c r="T201">
        <v>89.796499999999995</v>
      </c>
      <c r="U201">
        <v>210</v>
      </c>
      <c r="V201">
        <v>9.5</v>
      </c>
      <c r="W201">
        <v>11</v>
      </c>
      <c r="X201" s="59">
        <v>46013</v>
      </c>
      <c r="Y201" s="66">
        <f t="shared" ca="1" si="6"/>
        <v>0.21666666666666667</v>
      </c>
      <c r="Z201" s="66">
        <f t="shared" ca="1" si="7"/>
        <v>89.579833333333326</v>
      </c>
      <c r="AA201">
        <v>2.2759999999999998</v>
      </c>
    </row>
    <row r="202" spans="1:27" x14ac:dyDescent="0.45">
      <c r="A202" t="s">
        <v>932</v>
      </c>
      <c r="B202" t="s">
        <v>581</v>
      </c>
      <c r="C202" t="s">
        <v>257</v>
      </c>
      <c r="D202" t="s">
        <v>43</v>
      </c>
      <c r="E202" t="s">
        <v>44</v>
      </c>
      <c r="F202" t="s">
        <v>933</v>
      </c>
      <c r="G202" t="s">
        <v>46</v>
      </c>
      <c r="H202">
        <v>2</v>
      </c>
      <c r="I202">
        <v>2.5</v>
      </c>
      <c r="J202">
        <v>2.1529999999999725</v>
      </c>
      <c r="K202">
        <v>2.1769999999999805</v>
      </c>
      <c r="L202">
        <v>102.86</v>
      </c>
      <c r="M202">
        <v>102.657</v>
      </c>
      <c r="N202" t="s">
        <v>934</v>
      </c>
      <c r="O202" t="s">
        <v>935</v>
      </c>
      <c r="P202" t="s">
        <v>49</v>
      </c>
      <c r="Q202" s="59">
        <v>38825</v>
      </c>
      <c r="R202" s="59">
        <v>46101</v>
      </c>
      <c r="S202">
        <v>10.001368925393566</v>
      </c>
      <c r="T202">
        <v>102.7585</v>
      </c>
      <c r="U202">
        <v>104</v>
      </c>
      <c r="V202">
        <v>10</v>
      </c>
      <c r="W202">
        <v>20</v>
      </c>
      <c r="X202" s="59">
        <v>45921</v>
      </c>
      <c r="Y202" s="66">
        <f t="shared" ca="1" si="6"/>
        <v>1.1805555555555556</v>
      </c>
      <c r="Z202" s="66">
        <f t="shared" ca="1" si="7"/>
        <v>101.57794444444444</v>
      </c>
      <c r="AA202">
        <v>2.1649999999999765</v>
      </c>
    </row>
    <row r="203" spans="1:27" x14ac:dyDescent="0.45">
      <c r="A203" t="s">
        <v>936</v>
      </c>
      <c r="B203" t="s">
        <v>262</v>
      </c>
      <c r="C203" t="s">
        <v>257</v>
      </c>
      <c r="D203" t="s">
        <v>43</v>
      </c>
      <c r="E203" t="s">
        <v>44</v>
      </c>
      <c r="F203" t="s">
        <v>933</v>
      </c>
      <c r="G203" t="s">
        <v>46</v>
      </c>
      <c r="H203">
        <v>2</v>
      </c>
      <c r="I203">
        <v>0.4</v>
      </c>
      <c r="J203">
        <v>2.3739999999999815</v>
      </c>
      <c r="K203">
        <v>2.3979999999999784</v>
      </c>
      <c r="L203">
        <v>84.018000000000001</v>
      </c>
      <c r="M203">
        <v>83.855999999999995</v>
      </c>
      <c r="N203" t="s">
        <v>937</v>
      </c>
      <c r="O203" t="s">
        <v>938</v>
      </c>
      <c r="P203" t="s">
        <v>49</v>
      </c>
      <c r="Q203" s="59">
        <v>42446</v>
      </c>
      <c r="R203" s="59">
        <v>46101</v>
      </c>
      <c r="S203">
        <v>10.001368925393566</v>
      </c>
      <c r="T203">
        <v>83.936999999999998</v>
      </c>
      <c r="U203">
        <v>208</v>
      </c>
      <c r="V203">
        <v>10</v>
      </c>
      <c r="W203">
        <v>10</v>
      </c>
      <c r="X203" s="59">
        <v>45921</v>
      </c>
      <c r="Y203" s="66">
        <f t="shared" ca="1" si="6"/>
        <v>0.18888888888888888</v>
      </c>
      <c r="Z203" s="66">
        <f t="shared" ca="1" si="7"/>
        <v>83.748111111111115</v>
      </c>
      <c r="AA203">
        <v>2.3859999999999797</v>
      </c>
    </row>
    <row r="204" spans="1:27" x14ac:dyDescent="0.45">
      <c r="A204" t="s">
        <v>939</v>
      </c>
      <c r="B204" t="s">
        <v>581</v>
      </c>
      <c r="C204" t="s">
        <v>257</v>
      </c>
      <c r="D204" t="s">
        <v>43</v>
      </c>
      <c r="E204" t="s">
        <v>44</v>
      </c>
      <c r="F204" t="s">
        <v>940</v>
      </c>
      <c r="G204" t="s">
        <v>46</v>
      </c>
      <c r="H204">
        <v>2</v>
      </c>
      <c r="I204">
        <v>2.5</v>
      </c>
      <c r="J204">
        <v>2.1879999999999842</v>
      </c>
      <c r="K204">
        <v>2.2129999999999908</v>
      </c>
      <c r="L204">
        <v>102.617</v>
      </c>
      <c r="M204">
        <v>102.402</v>
      </c>
      <c r="N204" t="s">
        <v>941</v>
      </c>
      <c r="O204" t="s">
        <v>942</v>
      </c>
      <c r="P204" t="s">
        <v>49</v>
      </c>
      <c r="Q204" s="59">
        <v>38911</v>
      </c>
      <c r="R204" s="59">
        <v>46193</v>
      </c>
      <c r="S204">
        <v>10.253251197809719</v>
      </c>
      <c r="T204">
        <v>102.5095</v>
      </c>
      <c r="U204">
        <v>108</v>
      </c>
      <c r="V204">
        <v>10</v>
      </c>
      <c r="W204">
        <v>20</v>
      </c>
      <c r="X204" s="59">
        <v>46013</v>
      </c>
      <c r="Y204" s="66">
        <f t="shared" ca="1" si="6"/>
        <v>0.54166666666666674</v>
      </c>
      <c r="Z204" s="66">
        <f t="shared" ca="1" si="7"/>
        <v>101.96783333333333</v>
      </c>
      <c r="AA204">
        <v>2.2004999999999875</v>
      </c>
    </row>
    <row r="205" spans="1:27" x14ac:dyDescent="0.45">
      <c r="A205" t="s">
        <v>943</v>
      </c>
      <c r="B205" t="s">
        <v>262</v>
      </c>
      <c r="C205" t="s">
        <v>257</v>
      </c>
      <c r="D205" t="s">
        <v>43</v>
      </c>
      <c r="E205" t="s">
        <v>44</v>
      </c>
      <c r="F205" t="s">
        <v>940</v>
      </c>
      <c r="G205" t="s">
        <v>46</v>
      </c>
      <c r="H205">
        <v>2</v>
      </c>
      <c r="I205">
        <v>0.2</v>
      </c>
      <c r="J205">
        <v>2.4399999999998894</v>
      </c>
      <c r="K205">
        <v>2.464999999999876</v>
      </c>
      <c r="L205">
        <v>81.599000000000004</v>
      </c>
      <c r="M205">
        <v>81.430999999999997</v>
      </c>
      <c r="N205" t="s">
        <v>944</v>
      </c>
      <c r="O205" t="s">
        <v>945</v>
      </c>
      <c r="P205" t="s">
        <v>49</v>
      </c>
      <c r="Q205" s="59">
        <v>42544</v>
      </c>
      <c r="R205" s="59">
        <v>46193</v>
      </c>
      <c r="S205">
        <v>10.253251197809719</v>
      </c>
      <c r="T205">
        <v>81.515000000000001</v>
      </c>
      <c r="U205">
        <v>214</v>
      </c>
      <c r="V205">
        <v>10</v>
      </c>
      <c r="W205">
        <v>10</v>
      </c>
      <c r="X205" s="59">
        <v>46013</v>
      </c>
      <c r="Y205" s="66">
        <f t="shared" ca="1" si="6"/>
        <v>4.3333333333333335E-2</v>
      </c>
      <c r="Z205" s="66">
        <f t="shared" ca="1" si="7"/>
        <v>81.471666666666664</v>
      </c>
      <c r="AA205">
        <v>2.4524999999998824</v>
      </c>
    </row>
    <row r="206" spans="1:27" x14ac:dyDescent="0.45">
      <c r="A206" t="s">
        <v>946</v>
      </c>
      <c r="B206" t="s">
        <v>581</v>
      </c>
      <c r="C206" t="s">
        <v>257</v>
      </c>
      <c r="D206" t="s">
        <v>43</v>
      </c>
      <c r="E206" t="s">
        <v>44</v>
      </c>
      <c r="F206" t="s">
        <v>947</v>
      </c>
      <c r="G206" t="s">
        <v>46</v>
      </c>
      <c r="H206">
        <v>2</v>
      </c>
      <c r="I206">
        <v>2.5</v>
      </c>
      <c r="J206">
        <v>2.215999999999986</v>
      </c>
      <c r="K206">
        <v>2.2409999999999921</v>
      </c>
      <c r="L206">
        <v>102.423</v>
      </c>
      <c r="M206">
        <v>102.205</v>
      </c>
      <c r="N206" t="s">
        <v>948</v>
      </c>
      <c r="O206" t="s">
        <v>949</v>
      </c>
      <c r="P206" t="s">
        <v>49</v>
      </c>
      <c r="Q206" s="59">
        <v>39007</v>
      </c>
      <c r="R206" s="59">
        <v>46101</v>
      </c>
      <c r="S206">
        <v>10.505133470225873</v>
      </c>
      <c r="T206">
        <v>102.31399999999999</v>
      </c>
      <c r="U206">
        <v>111</v>
      </c>
      <c r="V206">
        <v>10.5</v>
      </c>
      <c r="W206">
        <v>20</v>
      </c>
      <c r="X206" s="59">
        <v>45921</v>
      </c>
      <c r="Y206" s="66">
        <f t="shared" ca="1" si="6"/>
        <v>1.1805555555555556</v>
      </c>
      <c r="Z206" s="66">
        <f t="shared" ca="1" si="7"/>
        <v>101.13344444444444</v>
      </c>
      <c r="AA206">
        <v>2.2284999999999888</v>
      </c>
    </row>
    <row r="207" spans="1:27" x14ac:dyDescent="0.45">
      <c r="A207" t="s">
        <v>950</v>
      </c>
      <c r="B207" t="s">
        <v>262</v>
      </c>
      <c r="C207" t="s">
        <v>257</v>
      </c>
      <c r="D207" t="s">
        <v>43</v>
      </c>
      <c r="E207" t="s">
        <v>44</v>
      </c>
      <c r="F207" t="s">
        <v>947</v>
      </c>
      <c r="G207" t="s">
        <v>46</v>
      </c>
      <c r="H207">
        <v>2</v>
      </c>
      <c r="I207">
        <v>0.5</v>
      </c>
      <c r="J207">
        <v>2.4439999999999777</v>
      </c>
      <c r="K207">
        <v>2.4689999999999737</v>
      </c>
      <c r="L207">
        <v>83.724000000000004</v>
      </c>
      <c r="M207">
        <v>83.549000000000007</v>
      </c>
      <c r="N207" t="s">
        <v>951</v>
      </c>
      <c r="O207" t="s">
        <v>952</v>
      </c>
      <c r="P207" t="s">
        <v>49</v>
      </c>
      <c r="Q207" s="59">
        <v>42626</v>
      </c>
      <c r="R207" s="59">
        <v>46101</v>
      </c>
      <c r="S207">
        <v>10.505133470225873</v>
      </c>
      <c r="T207">
        <v>83.636500000000012</v>
      </c>
      <c r="U207">
        <v>217</v>
      </c>
      <c r="V207">
        <v>10.5</v>
      </c>
      <c r="W207">
        <v>10</v>
      </c>
      <c r="X207" s="59">
        <v>45921</v>
      </c>
      <c r="Y207" s="66">
        <f t="shared" ca="1" si="6"/>
        <v>0.2361111111111111</v>
      </c>
      <c r="Z207" s="66">
        <f t="shared" ca="1" si="7"/>
        <v>83.400388888888898</v>
      </c>
      <c r="AA207">
        <v>2.4564999999999757</v>
      </c>
    </row>
    <row r="208" spans="1:27" x14ac:dyDescent="0.45">
      <c r="A208" t="s">
        <v>953</v>
      </c>
      <c r="B208" t="s">
        <v>262</v>
      </c>
      <c r="C208" t="s">
        <v>257</v>
      </c>
      <c r="D208" t="s">
        <v>43</v>
      </c>
      <c r="E208" t="s">
        <v>44</v>
      </c>
      <c r="F208" t="s">
        <v>954</v>
      </c>
      <c r="G208" t="s">
        <v>46</v>
      </c>
      <c r="H208">
        <v>2</v>
      </c>
      <c r="I208">
        <v>0.6</v>
      </c>
      <c r="J208">
        <v>2.4689999999999892</v>
      </c>
      <c r="K208">
        <v>2.4929999999999848</v>
      </c>
      <c r="L208">
        <v>84.091999999999999</v>
      </c>
      <c r="M208">
        <v>83.921000000000006</v>
      </c>
      <c r="N208" t="s">
        <v>955</v>
      </c>
      <c r="O208" t="s">
        <v>956</v>
      </c>
      <c r="P208" t="s">
        <v>49</v>
      </c>
      <c r="Q208" s="59">
        <v>42719</v>
      </c>
      <c r="R208" s="59">
        <v>46193</v>
      </c>
      <c r="S208">
        <v>10.754277891854894</v>
      </c>
      <c r="T208">
        <v>84.006500000000003</v>
      </c>
      <c r="U208">
        <v>3</v>
      </c>
      <c r="V208">
        <v>10.5</v>
      </c>
      <c r="W208">
        <v>10</v>
      </c>
      <c r="X208" s="59">
        <v>46013</v>
      </c>
      <c r="Y208" s="66">
        <f t="shared" ca="1" si="6"/>
        <v>0.13</v>
      </c>
      <c r="Z208" s="66">
        <f t="shared" ca="1" si="7"/>
        <v>83.876500000000007</v>
      </c>
      <c r="AA208">
        <v>2.480999999999987</v>
      </c>
    </row>
    <row r="209" spans="1:27" x14ac:dyDescent="0.45">
      <c r="A209" t="s">
        <v>957</v>
      </c>
      <c r="B209" t="s">
        <v>581</v>
      </c>
      <c r="C209" t="s">
        <v>257</v>
      </c>
      <c r="D209" t="s">
        <v>43</v>
      </c>
      <c r="E209" t="s">
        <v>44</v>
      </c>
      <c r="F209" t="s">
        <v>954</v>
      </c>
      <c r="G209" t="s">
        <v>46</v>
      </c>
      <c r="H209">
        <v>2</v>
      </c>
      <c r="I209">
        <v>2.2999999999999998</v>
      </c>
      <c r="J209">
        <v>2.2720000000053959</v>
      </c>
      <c r="K209">
        <v>2.2950000000000301</v>
      </c>
      <c r="L209">
        <v>100.242</v>
      </c>
      <c r="M209">
        <v>100.04300000000001</v>
      </c>
      <c r="N209" t="s">
        <v>958</v>
      </c>
      <c r="O209" t="s">
        <v>959</v>
      </c>
      <c r="P209" t="s">
        <v>49</v>
      </c>
      <c r="Q209" s="59">
        <v>39100</v>
      </c>
      <c r="R209" s="59">
        <v>46193</v>
      </c>
      <c r="S209">
        <v>10.754277891854894</v>
      </c>
      <c r="T209">
        <v>100.14250000000001</v>
      </c>
      <c r="U209">
        <v>114</v>
      </c>
      <c r="V209">
        <v>10.5</v>
      </c>
      <c r="W209">
        <v>19</v>
      </c>
      <c r="X209" s="59">
        <v>46013</v>
      </c>
      <c r="Y209" s="66">
        <f t="shared" ca="1" si="6"/>
        <v>0.49833333333333329</v>
      </c>
      <c r="Z209" s="66">
        <f t="shared" ca="1" si="7"/>
        <v>99.644166666666678</v>
      </c>
      <c r="AA209">
        <v>2.283500000002713</v>
      </c>
    </row>
    <row r="210" spans="1:27" x14ac:dyDescent="0.45">
      <c r="A210" t="s">
        <v>960</v>
      </c>
      <c r="B210" t="s">
        <v>262</v>
      </c>
      <c r="C210" t="s">
        <v>257</v>
      </c>
      <c r="D210" t="s">
        <v>43</v>
      </c>
      <c r="E210" t="s">
        <v>44</v>
      </c>
      <c r="F210" t="s">
        <v>961</v>
      </c>
      <c r="G210" t="s">
        <v>46</v>
      </c>
      <c r="H210">
        <v>2</v>
      </c>
      <c r="I210">
        <v>0.7</v>
      </c>
      <c r="J210">
        <v>2.4899999999999944</v>
      </c>
      <c r="K210">
        <v>2.5159999999999885</v>
      </c>
      <c r="L210">
        <v>84.519000000000005</v>
      </c>
      <c r="M210">
        <v>84.328999999999994</v>
      </c>
      <c r="N210" t="s">
        <v>962</v>
      </c>
      <c r="O210" t="s">
        <v>963</v>
      </c>
      <c r="P210" t="s">
        <v>49</v>
      </c>
      <c r="Q210" s="59">
        <v>42808</v>
      </c>
      <c r="R210" s="59">
        <v>46101</v>
      </c>
      <c r="S210">
        <v>11.000684462696784</v>
      </c>
      <c r="T210">
        <v>84.424000000000007</v>
      </c>
      <c r="U210">
        <v>6</v>
      </c>
      <c r="V210">
        <v>11</v>
      </c>
      <c r="W210">
        <v>9</v>
      </c>
      <c r="X210" s="59">
        <v>45921</v>
      </c>
      <c r="Y210" s="66">
        <f t="shared" ca="1" si="6"/>
        <v>0.33055555555555555</v>
      </c>
      <c r="Z210" s="66">
        <f t="shared" ca="1" si="7"/>
        <v>84.093444444444458</v>
      </c>
      <c r="AA210">
        <v>2.5029999999999912</v>
      </c>
    </row>
    <row r="211" spans="1:27" x14ac:dyDescent="0.45">
      <c r="A211" t="s">
        <v>964</v>
      </c>
      <c r="B211" t="s">
        <v>581</v>
      </c>
      <c r="C211" t="s">
        <v>257</v>
      </c>
      <c r="D211" t="s">
        <v>43</v>
      </c>
      <c r="E211" t="s">
        <v>44</v>
      </c>
      <c r="F211" t="s">
        <v>961</v>
      </c>
      <c r="G211" t="s">
        <v>46</v>
      </c>
      <c r="H211">
        <v>2</v>
      </c>
      <c r="I211">
        <v>2.4</v>
      </c>
      <c r="J211">
        <v>2.2869999999999973</v>
      </c>
      <c r="K211">
        <v>2.3109999999999995</v>
      </c>
      <c r="L211">
        <v>100.994</v>
      </c>
      <c r="M211">
        <v>100.78100000000001</v>
      </c>
      <c r="N211" t="s">
        <v>965</v>
      </c>
      <c r="O211" t="s">
        <v>966</v>
      </c>
      <c r="P211" t="s">
        <v>49</v>
      </c>
      <c r="Q211" s="59">
        <v>39189</v>
      </c>
      <c r="R211" s="59">
        <v>46101</v>
      </c>
      <c r="S211">
        <v>11.000684462696784</v>
      </c>
      <c r="T211">
        <v>100.8875</v>
      </c>
      <c r="U211">
        <v>116</v>
      </c>
      <c r="V211">
        <v>11</v>
      </c>
      <c r="W211">
        <v>19</v>
      </c>
      <c r="X211" s="59">
        <v>45921</v>
      </c>
      <c r="Y211" s="66">
        <f t="shared" ca="1" si="6"/>
        <v>1.1333333333333333</v>
      </c>
      <c r="Z211" s="66">
        <f t="shared" ca="1" si="7"/>
        <v>99.754166666666663</v>
      </c>
      <c r="AA211">
        <v>2.2989999999999986</v>
      </c>
    </row>
    <row r="212" spans="1:27" x14ac:dyDescent="0.45">
      <c r="A212" t="s">
        <v>967</v>
      </c>
      <c r="B212" t="s">
        <v>262</v>
      </c>
      <c r="C212" t="s">
        <v>257</v>
      </c>
      <c r="D212" t="s">
        <v>43</v>
      </c>
      <c r="E212" t="s">
        <v>44</v>
      </c>
      <c r="F212" t="s">
        <v>968</v>
      </c>
      <c r="G212" t="s">
        <v>46</v>
      </c>
      <c r="H212">
        <v>2</v>
      </c>
      <c r="I212">
        <v>0.6</v>
      </c>
      <c r="J212">
        <v>2.5509999999999731</v>
      </c>
      <c r="K212">
        <v>2.5759999999999668</v>
      </c>
      <c r="L212">
        <v>82.917000000000002</v>
      </c>
      <c r="M212">
        <v>82.736000000000004</v>
      </c>
      <c r="N212" t="s">
        <v>969</v>
      </c>
      <c r="O212" t="s">
        <v>970</v>
      </c>
      <c r="P212" t="s">
        <v>49</v>
      </c>
      <c r="Q212" s="59">
        <v>42899</v>
      </c>
      <c r="R212" s="59">
        <v>46193</v>
      </c>
      <c r="S212">
        <v>11.252566735112936</v>
      </c>
      <c r="T212">
        <v>82.82650000000001</v>
      </c>
      <c r="U212">
        <v>10</v>
      </c>
      <c r="V212">
        <v>11</v>
      </c>
      <c r="W212">
        <v>9</v>
      </c>
      <c r="X212" s="59">
        <v>46013</v>
      </c>
      <c r="Y212" s="66">
        <f t="shared" ca="1" si="6"/>
        <v>0.13</v>
      </c>
      <c r="Z212" s="66">
        <f t="shared" ca="1" si="7"/>
        <v>82.696500000000015</v>
      </c>
      <c r="AA212">
        <v>2.5634999999999701</v>
      </c>
    </row>
    <row r="213" spans="1:27" x14ac:dyDescent="0.45">
      <c r="A213" t="s">
        <v>971</v>
      </c>
      <c r="B213" t="s">
        <v>262</v>
      </c>
      <c r="C213" t="s">
        <v>257</v>
      </c>
      <c r="D213" t="s">
        <v>43</v>
      </c>
      <c r="E213" t="s">
        <v>44</v>
      </c>
      <c r="F213" t="s">
        <v>972</v>
      </c>
      <c r="G213" t="s">
        <v>46</v>
      </c>
      <c r="H213">
        <v>2</v>
      </c>
      <c r="I213">
        <v>0.6</v>
      </c>
      <c r="J213">
        <v>2.5839999999999463</v>
      </c>
      <c r="K213">
        <v>2.6099999999999395</v>
      </c>
      <c r="L213">
        <v>82.38</v>
      </c>
      <c r="M213">
        <v>82.19</v>
      </c>
      <c r="N213" t="s">
        <v>973</v>
      </c>
      <c r="O213" t="s">
        <v>974</v>
      </c>
      <c r="P213" t="s">
        <v>49</v>
      </c>
      <c r="Q213" s="59">
        <v>42992</v>
      </c>
      <c r="R213" s="59">
        <v>46101</v>
      </c>
      <c r="S213">
        <v>11.504449007529089</v>
      </c>
      <c r="T213">
        <v>82.284999999999997</v>
      </c>
      <c r="U213">
        <v>13</v>
      </c>
      <c r="V213">
        <v>11.5</v>
      </c>
      <c r="W213">
        <v>9</v>
      </c>
      <c r="X213" s="59">
        <v>45921</v>
      </c>
      <c r="Y213" s="66">
        <f t="shared" ca="1" si="6"/>
        <v>0.28333333333333333</v>
      </c>
      <c r="Z213" s="66">
        <f t="shared" ca="1" si="7"/>
        <v>82.001666666666665</v>
      </c>
      <c r="AA213">
        <v>2.5969999999999427</v>
      </c>
    </row>
    <row r="214" spans="1:27" x14ac:dyDescent="0.45">
      <c r="A214" t="s">
        <v>975</v>
      </c>
      <c r="B214" t="s">
        <v>581</v>
      </c>
      <c r="C214" t="s">
        <v>257</v>
      </c>
      <c r="D214" t="s">
        <v>43</v>
      </c>
      <c r="E214" t="s">
        <v>44</v>
      </c>
      <c r="F214" t="s">
        <v>972</v>
      </c>
      <c r="G214" t="s">
        <v>46</v>
      </c>
      <c r="H214">
        <v>2</v>
      </c>
      <c r="I214">
        <v>2.5</v>
      </c>
      <c r="J214">
        <v>2.3410000000000006</v>
      </c>
      <c r="K214">
        <v>2.3670000000000013</v>
      </c>
      <c r="L214">
        <v>101.443</v>
      </c>
      <c r="M214">
        <v>101.20399999999999</v>
      </c>
      <c r="N214" t="s">
        <v>976</v>
      </c>
      <c r="O214" t="s">
        <v>977</v>
      </c>
      <c r="P214" t="s">
        <v>49</v>
      </c>
      <c r="Q214" s="59">
        <v>39371</v>
      </c>
      <c r="R214" s="59">
        <v>46101</v>
      </c>
      <c r="S214">
        <v>11.504449007529089</v>
      </c>
      <c r="T214">
        <v>101.3235</v>
      </c>
      <c r="U214">
        <v>122</v>
      </c>
      <c r="V214">
        <v>11.5</v>
      </c>
      <c r="W214">
        <v>19</v>
      </c>
      <c r="X214" s="59">
        <v>45921</v>
      </c>
      <c r="Y214" s="66">
        <f t="shared" ca="1" si="6"/>
        <v>1.1805555555555556</v>
      </c>
      <c r="Z214" s="66">
        <f t="shared" ca="1" si="7"/>
        <v>100.14294444444444</v>
      </c>
      <c r="AA214">
        <v>2.354000000000001</v>
      </c>
    </row>
    <row r="215" spans="1:27" x14ac:dyDescent="0.45">
      <c r="A215" t="s">
        <v>978</v>
      </c>
      <c r="B215" t="s">
        <v>262</v>
      </c>
      <c r="C215" t="s">
        <v>257</v>
      </c>
      <c r="D215" t="s">
        <v>43</v>
      </c>
      <c r="E215" t="s">
        <v>44</v>
      </c>
      <c r="F215" t="s">
        <v>979</v>
      </c>
      <c r="G215" t="s">
        <v>46</v>
      </c>
      <c r="H215">
        <v>2</v>
      </c>
      <c r="I215">
        <v>0.6</v>
      </c>
      <c r="J215">
        <v>2.6309999999999301</v>
      </c>
      <c r="K215">
        <v>2.6549999999999248</v>
      </c>
      <c r="L215">
        <v>81.741</v>
      </c>
      <c r="M215">
        <v>81.564999999999998</v>
      </c>
      <c r="N215" t="s">
        <v>980</v>
      </c>
      <c r="O215" t="s">
        <v>981</v>
      </c>
      <c r="P215" t="s">
        <v>49</v>
      </c>
      <c r="Q215" s="59">
        <v>43083</v>
      </c>
      <c r="R215" s="59">
        <v>46193</v>
      </c>
      <c r="S215">
        <v>11.75359342915811</v>
      </c>
      <c r="T215">
        <v>81.652999999999992</v>
      </c>
      <c r="U215">
        <v>16</v>
      </c>
      <c r="V215">
        <v>11.5</v>
      </c>
      <c r="W215">
        <v>9</v>
      </c>
      <c r="X215" s="59">
        <v>46013</v>
      </c>
      <c r="Y215" s="66">
        <f t="shared" ca="1" si="6"/>
        <v>0.13</v>
      </c>
      <c r="Z215" s="66">
        <f t="shared" ca="1" si="7"/>
        <v>81.522999999999996</v>
      </c>
      <c r="AA215">
        <v>2.6429999999999274</v>
      </c>
    </row>
    <row r="216" spans="1:27" x14ac:dyDescent="0.45">
      <c r="A216" t="s">
        <v>982</v>
      </c>
      <c r="B216" t="s">
        <v>262</v>
      </c>
      <c r="C216" t="s">
        <v>257</v>
      </c>
      <c r="D216" t="s">
        <v>43</v>
      </c>
      <c r="E216" t="s">
        <v>44</v>
      </c>
      <c r="F216" t="s">
        <v>983</v>
      </c>
      <c r="G216" t="s">
        <v>46</v>
      </c>
      <c r="H216">
        <v>2</v>
      </c>
      <c r="I216">
        <v>0.5</v>
      </c>
      <c r="J216">
        <v>2.6879999999997048</v>
      </c>
      <c r="K216">
        <v>2.7129999999996688</v>
      </c>
      <c r="L216">
        <v>80.12</v>
      </c>
      <c r="M216">
        <v>79.938000000000002</v>
      </c>
      <c r="N216" t="s">
        <v>984</v>
      </c>
      <c r="O216" t="s">
        <v>985</v>
      </c>
      <c r="P216" t="s">
        <v>49</v>
      </c>
      <c r="Q216" s="59">
        <v>43174</v>
      </c>
      <c r="R216" s="59">
        <v>46101</v>
      </c>
      <c r="S216">
        <v>12</v>
      </c>
      <c r="T216">
        <v>80.028999999999996</v>
      </c>
      <c r="U216">
        <v>19</v>
      </c>
      <c r="V216">
        <v>12</v>
      </c>
      <c r="W216">
        <v>8</v>
      </c>
      <c r="X216" s="59">
        <v>45921</v>
      </c>
      <c r="Y216" s="66">
        <f t="shared" ca="1" si="6"/>
        <v>0.2361111111111111</v>
      </c>
      <c r="Z216" s="66">
        <f t="shared" ca="1" si="7"/>
        <v>79.792888888888882</v>
      </c>
      <c r="AA216">
        <v>2.7004999999996868</v>
      </c>
    </row>
    <row r="217" spans="1:27" x14ac:dyDescent="0.45">
      <c r="A217" t="s">
        <v>986</v>
      </c>
      <c r="B217" t="s">
        <v>581</v>
      </c>
      <c r="C217" t="s">
        <v>257</v>
      </c>
      <c r="D217" t="s">
        <v>43</v>
      </c>
      <c r="E217" t="s">
        <v>44</v>
      </c>
      <c r="F217" t="s">
        <v>983</v>
      </c>
      <c r="G217" t="s">
        <v>46</v>
      </c>
      <c r="H217">
        <v>2</v>
      </c>
      <c r="I217">
        <v>2.5</v>
      </c>
      <c r="J217">
        <v>2.4029999999999996</v>
      </c>
      <c r="K217">
        <v>2.4290000000000007</v>
      </c>
      <c r="L217">
        <v>100.904</v>
      </c>
      <c r="M217">
        <v>100.66</v>
      </c>
      <c r="N217" t="s">
        <v>987</v>
      </c>
      <c r="O217" t="s">
        <v>988</v>
      </c>
      <c r="P217" t="s">
        <v>49</v>
      </c>
      <c r="Q217" s="59">
        <v>39553</v>
      </c>
      <c r="R217" s="59">
        <v>46101</v>
      </c>
      <c r="S217">
        <v>12</v>
      </c>
      <c r="T217">
        <v>100.782</v>
      </c>
      <c r="U217">
        <v>126</v>
      </c>
      <c r="V217">
        <v>12</v>
      </c>
      <c r="W217">
        <v>18</v>
      </c>
      <c r="X217" s="59">
        <v>45921</v>
      </c>
      <c r="Y217" s="66">
        <f t="shared" ca="1" si="6"/>
        <v>1.1805555555555556</v>
      </c>
      <c r="Z217" s="66">
        <f t="shared" ca="1" si="7"/>
        <v>99.601444444444439</v>
      </c>
      <c r="AA217">
        <v>2.4160000000000004</v>
      </c>
    </row>
    <row r="218" spans="1:27" x14ac:dyDescent="0.45">
      <c r="A218" t="s">
        <v>989</v>
      </c>
      <c r="B218" t="s">
        <v>262</v>
      </c>
      <c r="C218" t="s">
        <v>257</v>
      </c>
      <c r="D218" t="s">
        <v>43</v>
      </c>
      <c r="E218" t="s">
        <v>44</v>
      </c>
      <c r="F218" t="s">
        <v>990</v>
      </c>
      <c r="G218" t="s">
        <v>46</v>
      </c>
      <c r="H218">
        <v>2</v>
      </c>
      <c r="I218">
        <v>0.5</v>
      </c>
      <c r="J218">
        <v>2.7289999999996502</v>
      </c>
      <c r="K218">
        <v>2.7549999999996064</v>
      </c>
      <c r="L218">
        <v>79.504999999999995</v>
      </c>
      <c r="M218">
        <v>79.316000000000003</v>
      </c>
      <c r="N218" t="s">
        <v>991</v>
      </c>
      <c r="O218" t="s">
        <v>992</v>
      </c>
      <c r="P218" t="s">
        <v>49</v>
      </c>
      <c r="Q218" s="59">
        <v>43293</v>
      </c>
      <c r="R218" s="59">
        <v>46193</v>
      </c>
      <c r="S218">
        <v>12.251882272416154</v>
      </c>
      <c r="T218">
        <v>79.410499999999999</v>
      </c>
      <c r="U218">
        <v>23</v>
      </c>
      <c r="V218">
        <v>12</v>
      </c>
      <c r="W218">
        <v>8</v>
      </c>
      <c r="X218" s="59">
        <v>46013</v>
      </c>
      <c r="Y218" s="66">
        <f t="shared" ca="1" si="6"/>
        <v>0.10833333333333334</v>
      </c>
      <c r="Z218" s="66">
        <f t="shared" ca="1" si="7"/>
        <v>79.302166666666665</v>
      </c>
      <c r="AA218">
        <v>2.7419999999996283</v>
      </c>
    </row>
    <row r="219" spans="1:27" x14ac:dyDescent="0.45">
      <c r="A219" t="s">
        <v>993</v>
      </c>
      <c r="B219" t="s">
        <v>262</v>
      </c>
      <c r="C219" t="s">
        <v>257</v>
      </c>
      <c r="D219" t="s">
        <v>43</v>
      </c>
      <c r="E219" t="s">
        <v>44</v>
      </c>
      <c r="F219" t="s">
        <v>994</v>
      </c>
      <c r="G219" t="s">
        <v>46</v>
      </c>
      <c r="H219">
        <v>2</v>
      </c>
      <c r="I219">
        <v>0.7</v>
      </c>
      <c r="J219">
        <v>2.737999999999873</v>
      </c>
      <c r="K219">
        <v>2.7629999999998556</v>
      </c>
      <c r="L219">
        <v>80.991</v>
      </c>
      <c r="M219">
        <v>80.802000000000007</v>
      </c>
      <c r="N219" t="s">
        <v>995</v>
      </c>
      <c r="O219" t="s">
        <v>996</v>
      </c>
      <c r="P219" t="s">
        <v>49</v>
      </c>
      <c r="Q219" s="59">
        <v>43391</v>
      </c>
      <c r="R219" s="59">
        <v>46101</v>
      </c>
      <c r="S219">
        <v>12.503764544832306</v>
      </c>
      <c r="T219">
        <v>80.896500000000003</v>
      </c>
      <c r="U219">
        <v>26</v>
      </c>
      <c r="V219">
        <v>12.5</v>
      </c>
      <c r="W219">
        <v>8</v>
      </c>
      <c r="X219" s="59">
        <v>45921</v>
      </c>
      <c r="Y219" s="66">
        <f t="shared" ca="1" si="6"/>
        <v>0.33055555555555555</v>
      </c>
      <c r="Z219" s="66">
        <f t="shared" ca="1" si="7"/>
        <v>80.565944444444455</v>
      </c>
      <c r="AA219">
        <v>2.7504999999998643</v>
      </c>
    </row>
    <row r="220" spans="1:27" x14ac:dyDescent="0.45">
      <c r="A220" t="s">
        <v>997</v>
      </c>
      <c r="B220" t="s">
        <v>581</v>
      </c>
      <c r="C220" t="s">
        <v>257</v>
      </c>
      <c r="D220" t="s">
        <v>43</v>
      </c>
      <c r="E220" t="s">
        <v>44</v>
      </c>
      <c r="F220" t="s">
        <v>994</v>
      </c>
      <c r="G220" t="s">
        <v>46</v>
      </c>
      <c r="H220">
        <v>2</v>
      </c>
      <c r="I220">
        <v>2.4</v>
      </c>
      <c r="J220">
        <v>2.4790000000000028</v>
      </c>
      <c r="K220">
        <v>2.504999999999999</v>
      </c>
      <c r="L220">
        <v>99.244</v>
      </c>
      <c r="M220">
        <v>98.998000000000005</v>
      </c>
      <c r="N220" t="s">
        <v>998</v>
      </c>
      <c r="O220" t="s">
        <v>999</v>
      </c>
      <c r="P220" t="s">
        <v>49</v>
      </c>
      <c r="Q220" s="59">
        <v>39742</v>
      </c>
      <c r="R220" s="59">
        <v>46101</v>
      </c>
      <c r="S220">
        <v>12.503764544832306</v>
      </c>
      <c r="T220">
        <v>99.121000000000009</v>
      </c>
      <c r="U220">
        <v>132</v>
      </c>
      <c r="V220">
        <v>12.5</v>
      </c>
      <c r="W220">
        <v>18</v>
      </c>
      <c r="X220" s="59">
        <v>45921</v>
      </c>
      <c r="Y220" s="66">
        <f t="shared" ca="1" si="6"/>
        <v>1.1333333333333333</v>
      </c>
      <c r="Z220" s="66">
        <f t="shared" ca="1" si="7"/>
        <v>97.987666666666669</v>
      </c>
      <c r="AA220">
        <v>2.4920000000000009</v>
      </c>
    </row>
    <row r="221" spans="1:27" x14ac:dyDescent="0.45">
      <c r="A221" t="s">
        <v>1000</v>
      </c>
      <c r="B221" t="s">
        <v>262</v>
      </c>
      <c r="C221" t="s">
        <v>257</v>
      </c>
      <c r="D221" t="s">
        <v>43</v>
      </c>
      <c r="E221" t="s">
        <v>44</v>
      </c>
      <c r="F221" t="s">
        <v>1001</v>
      </c>
      <c r="G221" t="s">
        <v>46</v>
      </c>
      <c r="H221">
        <v>2</v>
      </c>
      <c r="I221">
        <v>0.5</v>
      </c>
      <c r="J221">
        <v>2.811999999999228</v>
      </c>
      <c r="K221">
        <v>2.8369999999991373</v>
      </c>
      <c r="L221">
        <v>78.269000000000005</v>
      </c>
      <c r="M221">
        <v>78.085999999999999</v>
      </c>
      <c r="N221" t="s">
        <v>1002</v>
      </c>
      <c r="O221" t="s">
        <v>1003</v>
      </c>
      <c r="P221" t="s">
        <v>49</v>
      </c>
      <c r="Q221" s="59">
        <v>43489</v>
      </c>
      <c r="R221" s="59">
        <v>46193</v>
      </c>
      <c r="S221">
        <v>12.752908966461328</v>
      </c>
      <c r="T221">
        <v>78.177500000000009</v>
      </c>
      <c r="U221">
        <v>29</v>
      </c>
      <c r="V221">
        <v>12.5</v>
      </c>
      <c r="W221">
        <v>7</v>
      </c>
      <c r="X221" s="59">
        <v>46013</v>
      </c>
      <c r="Y221" s="66">
        <f t="shared" ca="1" si="6"/>
        <v>0.10833333333333334</v>
      </c>
      <c r="Z221" s="66">
        <f t="shared" ca="1" si="7"/>
        <v>78.069166666666675</v>
      </c>
      <c r="AA221">
        <v>2.8244999999991824</v>
      </c>
    </row>
    <row r="222" spans="1:27" x14ac:dyDescent="0.45">
      <c r="A222" t="s">
        <v>1004</v>
      </c>
      <c r="B222" t="s">
        <v>581</v>
      </c>
      <c r="C222" t="s">
        <v>257</v>
      </c>
      <c r="D222" t="s">
        <v>43</v>
      </c>
      <c r="E222" t="s">
        <v>44</v>
      </c>
      <c r="F222" t="s">
        <v>1005</v>
      </c>
      <c r="G222" t="s">
        <v>46</v>
      </c>
      <c r="H222">
        <v>2</v>
      </c>
      <c r="I222">
        <v>2.2999999999999998</v>
      </c>
      <c r="J222">
        <v>2.5519999999999796</v>
      </c>
      <c r="K222">
        <v>2.5789999999999669</v>
      </c>
      <c r="L222">
        <v>97.536000000000001</v>
      </c>
      <c r="M222">
        <v>97.28</v>
      </c>
      <c r="N222" t="s">
        <v>1006</v>
      </c>
      <c r="O222" t="s">
        <v>1007</v>
      </c>
      <c r="P222" t="s">
        <v>49</v>
      </c>
      <c r="Q222" s="59">
        <v>39917</v>
      </c>
      <c r="R222" s="59">
        <v>46101</v>
      </c>
      <c r="S222">
        <v>12.999315537303216</v>
      </c>
      <c r="T222">
        <v>97.408000000000001</v>
      </c>
      <c r="U222">
        <v>137</v>
      </c>
      <c r="V222">
        <v>12.5</v>
      </c>
      <c r="W222">
        <v>17</v>
      </c>
      <c r="X222" s="59">
        <v>45921</v>
      </c>
      <c r="Y222" s="66">
        <f t="shared" ca="1" si="6"/>
        <v>1.086111111111111</v>
      </c>
      <c r="Z222" s="66">
        <f t="shared" ca="1" si="7"/>
        <v>96.321888888888893</v>
      </c>
      <c r="AA222">
        <v>2.5654999999999735</v>
      </c>
    </row>
    <row r="223" spans="1:27" x14ac:dyDescent="0.45">
      <c r="A223" t="s">
        <v>1008</v>
      </c>
      <c r="B223" t="s">
        <v>262</v>
      </c>
      <c r="C223" t="s">
        <v>257</v>
      </c>
      <c r="D223" t="s">
        <v>43</v>
      </c>
      <c r="E223" t="s">
        <v>44</v>
      </c>
      <c r="F223" t="s">
        <v>1005</v>
      </c>
      <c r="G223" t="s">
        <v>46</v>
      </c>
      <c r="H223">
        <v>2</v>
      </c>
      <c r="I223">
        <v>0.4</v>
      </c>
      <c r="J223">
        <v>2.8679999999969943</v>
      </c>
      <c r="K223">
        <v>2.8949999999966343</v>
      </c>
      <c r="L223">
        <v>76.599999999999994</v>
      </c>
      <c r="M223">
        <v>76.405000000000001</v>
      </c>
      <c r="N223" t="s">
        <v>1009</v>
      </c>
      <c r="O223" t="s">
        <v>1010</v>
      </c>
      <c r="P223" t="s">
        <v>49</v>
      </c>
      <c r="Q223" s="59">
        <v>43571</v>
      </c>
      <c r="R223" s="59">
        <v>46101</v>
      </c>
      <c r="S223">
        <v>12.999315537303216</v>
      </c>
      <c r="T223">
        <v>76.502499999999998</v>
      </c>
      <c r="U223">
        <v>325</v>
      </c>
      <c r="V223">
        <v>12.5</v>
      </c>
      <c r="W223">
        <v>7</v>
      </c>
      <c r="X223" s="59">
        <v>45921</v>
      </c>
      <c r="Y223" s="66">
        <f t="shared" ca="1" si="6"/>
        <v>0.18888888888888888</v>
      </c>
      <c r="Z223" s="66">
        <f t="shared" ca="1" si="7"/>
        <v>76.313611111111115</v>
      </c>
      <c r="AA223">
        <v>2.8814999999968141</v>
      </c>
    </row>
    <row r="224" spans="1:27" x14ac:dyDescent="0.45">
      <c r="A224" t="s">
        <v>1011</v>
      </c>
      <c r="B224" t="s">
        <v>262</v>
      </c>
      <c r="C224" t="s">
        <v>257</v>
      </c>
      <c r="D224" t="s">
        <v>43</v>
      </c>
      <c r="E224" t="s">
        <v>44</v>
      </c>
      <c r="F224" t="s">
        <v>1012</v>
      </c>
      <c r="G224" t="s">
        <v>46</v>
      </c>
      <c r="H224">
        <v>2</v>
      </c>
      <c r="I224">
        <v>0.3</v>
      </c>
      <c r="J224">
        <v>2.9409999999920133</v>
      </c>
      <c r="K224">
        <v>2.965999999991189</v>
      </c>
      <c r="L224">
        <v>74.786000000000001</v>
      </c>
      <c r="M224">
        <v>74.608000000000004</v>
      </c>
      <c r="N224" t="s">
        <v>1013</v>
      </c>
      <c r="O224" t="s">
        <v>1014</v>
      </c>
      <c r="P224" t="s">
        <v>49</v>
      </c>
      <c r="Q224" s="59">
        <v>43663</v>
      </c>
      <c r="R224" s="59">
        <v>46193</v>
      </c>
      <c r="S224">
        <v>13.25119780971937</v>
      </c>
      <c r="T224">
        <v>74.697000000000003</v>
      </c>
      <c r="U224">
        <v>33</v>
      </c>
      <c r="V224">
        <v>13</v>
      </c>
      <c r="W224">
        <v>7</v>
      </c>
      <c r="X224" s="59">
        <v>46013</v>
      </c>
      <c r="Y224" s="66">
        <f t="shared" ca="1" si="6"/>
        <v>6.5000000000000002E-2</v>
      </c>
      <c r="Z224" s="66">
        <f t="shared" ca="1" si="7"/>
        <v>74.632000000000005</v>
      </c>
      <c r="AA224">
        <v>2.9534999999916014</v>
      </c>
    </row>
    <row r="225" spans="1:27" x14ac:dyDescent="0.45">
      <c r="A225" t="s">
        <v>1015</v>
      </c>
      <c r="B225" t="s">
        <v>581</v>
      </c>
      <c r="C225" t="s">
        <v>257</v>
      </c>
      <c r="D225" t="s">
        <v>43</v>
      </c>
      <c r="E225" t="s">
        <v>44</v>
      </c>
      <c r="F225" t="s">
        <v>1016</v>
      </c>
      <c r="G225" t="s">
        <v>46</v>
      </c>
      <c r="H225">
        <v>2</v>
      </c>
      <c r="I225">
        <v>2.2000000000000002</v>
      </c>
      <c r="J225">
        <v>2.6299999999995434</v>
      </c>
      <c r="K225">
        <v>2.656999999999361</v>
      </c>
      <c r="L225">
        <v>95.709000000000003</v>
      </c>
      <c r="M225">
        <v>95.451999999999998</v>
      </c>
      <c r="N225" t="s">
        <v>1017</v>
      </c>
      <c r="O225" t="s">
        <v>1018</v>
      </c>
      <c r="P225" t="s">
        <v>49</v>
      </c>
      <c r="Q225" s="59">
        <v>40094</v>
      </c>
      <c r="R225" s="59">
        <v>46101</v>
      </c>
      <c r="S225">
        <v>13.503080082135524</v>
      </c>
      <c r="T225">
        <v>95.580500000000001</v>
      </c>
      <c r="U225">
        <v>143</v>
      </c>
      <c r="V225">
        <v>13.5</v>
      </c>
      <c r="W225">
        <v>17</v>
      </c>
      <c r="X225" s="59">
        <v>45921</v>
      </c>
      <c r="Y225" s="66">
        <f t="shared" ca="1" si="6"/>
        <v>1.038888888888889</v>
      </c>
      <c r="Z225" s="66">
        <f t="shared" ca="1" si="7"/>
        <v>94.541611111111109</v>
      </c>
      <c r="AA225">
        <v>2.6434999999994524</v>
      </c>
    </row>
    <row r="226" spans="1:27" x14ac:dyDescent="0.45">
      <c r="A226" t="s">
        <v>1019</v>
      </c>
      <c r="B226" t="s">
        <v>262</v>
      </c>
      <c r="C226" t="s">
        <v>257</v>
      </c>
      <c r="D226" t="s">
        <v>43</v>
      </c>
      <c r="E226" t="s">
        <v>44</v>
      </c>
      <c r="F226" t="s">
        <v>1016</v>
      </c>
      <c r="G226" t="s">
        <v>46</v>
      </c>
      <c r="H226">
        <v>2</v>
      </c>
      <c r="I226">
        <v>0.3</v>
      </c>
      <c r="J226">
        <v>2.9849999999859871</v>
      </c>
      <c r="K226">
        <v>3.0109999999845116</v>
      </c>
      <c r="L226">
        <v>74.128</v>
      </c>
      <c r="M226">
        <v>73.942999999999998</v>
      </c>
      <c r="N226" t="s">
        <v>1020</v>
      </c>
      <c r="O226" t="s">
        <v>1021</v>
      </c>
      <c r="P226" t="s">
        <v>49</v>
      </c>
      <c r="Q226" s="59">
        <v>43762</v>
      </c>
      <c r="R226" s="59">
        <v>46101</v>
      </c>
      <c r="S226">
        <v>13.503080082135524</v>
      </c>
      <c r="T226">
        <v>74.035499999999999</v>
      </c>
      <c r="U226">
        <v>322</v>
      </c>
      <c r="V226">
        <v>13.5</v>
      </c>
      <c r="W226">
        <v>7</v>
      </c>
      <c r="X226" s="59">
        <v>45921</v>
      </c>
      <c r="Y226" s="66">
        <f t="shared" ca="1" si="6"/>
        <v>0.14166666666666666</v>
      </c>
      <c r="Z226" s="66">
        <f t="shared" ca="1" si="7"/>
        <v>73.893833333333333</v>
      </c>
      <c r="AA226">
        <v>2.9979999999852494</v>
      </c>
    </row>
    <row r="227" spans="1:27" x14ac:dyDescent="0.45">
      <c r="A227" t="s">
        <v>1022</v>
      </c>
      <c r="B227" t="s">
        <v>262</v>
      </c>
      <c r="C227" t="s">
        <v>257</v>
      </c>
      <c r="D227" t="s">
        <v>43</v>
      </c>
      <c r="E227" t="s">
        <v>44</v>
      </c>
      <c r="F227" t="s">
        <v>1023</v>
      </c>
      <c r="G227" t="s">
        <v>46</v>
      </c>
      <c r="H227">
        <v>2</v>
      </c>
      <c r="I227">
        <v>0.3</v>
      </c>
      <c r="J227">
        <v>3.0269999999836164</v>
      </c>
      <c r="K227">
        <v>3.0529999999819166</v>
      </c>
      <c r="L227">
        <v>73.489000000000004</v>
      </c>
      <c r="M227">
        <v>73.302999999999997</v>
      </c>
      <c r="N227" t="s">
        <v>1024</v>
      </c>
      <c r="O227" t="s">
        <v>1025</v>
      </c>
      <c r="P227" t="s">
        <v>49</v>
      </c>
      <c r="Q227" s="59">
        <v>43840</v>
      </c>
      <c r="R227" s="59">
        <v>46193</v>
      </c>
      <c r="S227">
        <v>13.752224503764545</v>
      </c>
      <c r="T227">
        <v>73.396000000000001</v>
      </c>
      <c r="U227">
        <v>320</v>
      </c>
      <c r="V227">
        <v>13.5</v>
      </c>
      <c r="W227">
        <v>6</v>
      </c>
      <c r="X227" s="59">
        <v>46013</v>
      </c>
      <c r="Y227" s="66">
        <f t="shared" ca="1" si="6"/>
        <v>6.5000000000000002E-2</v>
      </c>
      <c r="Z227" s="66">
        <f t="shared" ca="1" si="7"/>
        <v>73.331000000000003</v>
      </c>
      <c r="AA227">
        <v>3.0399999999827667</v>
      </c>
    </row>
    <row r="228" spans="1:27" x14ac:dyDescent="0.45">
      <c r="A228" t="s">
        <v>1026</v>
      </c>
      <c r="B228" t="s">
        <v>262</v>
      </c>
      <c r="C228" t="s">
        <v>257</v>
      </c>
      <c r="D228" t="s">
        <v>43</v>
      </c>
      <c r="E228" t="s">
        <v>44</v>
      </c>
      <c r="F228" t="s">
        <v>1027</v>
      </c>
      <c r="G228" t="s">
        <v>46</v>
      </c>
      <c r="H228">
        <v>2</v>
      </c>
      <c r="I228">
        <v>0.4</v>
      </c>
      <c r="J228">
        <v>3.0449999999871498</v>
      </c>
      <c r="K228">
        <v>3.070999999985784</v>
      </c>
      <c r="L228">
        <v>74.009</v>
      </c>
      <c r="M228">
        <v>73.819999999999993</v>
      </c>
      <c r="N228" t="s">
        <v>1028</v>
      </c>
      <c r="O228" t="s">
        <v>1029</v>
      </c>
      <c r="P228" t="s">
        <v>49</v>
      </c>
      <c r="Q228" s="59">
        <v>43935</v>
      </c>
      <c r="R228" s="59">
        <v>46101</v>
      </c>
      <c r="S228">
        <v>14.001368925393566</v>
      </c>
      <c r="T228">
        <v>73.914500000000004</v>
      </c>
      <c r="U228">
        <v>36</v>
      </c>
      <c r="V228">
        <v>14</v>
      </c>
      <c r="W228">
        <v>6</v>
      </c>
      <c r="X228" s="59">
        <v>45921</v>
      </c>
      <c r="Y228" s="66">
        <f t="shared" ca="1" si="6"/>
        <v>0.18888888888888888</v>
      </c>
      <c r="Z228" s="66">
        <f t="shared" ca="1" si="7"/>
        <v>73.725611111111121</v>
      </c>
      <c r="AA228">
        <v>3.0579999999864667</v>
      </c>
    </row>
    <row r="229" spans="1:27" x14ac:dyDescent="0.45">
      <c r="A229" t="s">
        <v>1030</v>
      </c>
      <c r="B229" t="s">
        <v>581</v>
      </c>
      <c r="C229" t="s">
        <v>257</v>
      </c>
      <c r="D229" t="s">
        <v>43</v>
      </c>
      <c r="E229" t="s">
        <v>44</v>
      </c>
      <c r="F229" t="s">
        <v>1027</v>
      </c>
      <c r="G229" t="s">
        <v>46</v>
      </c>
      <c r="H229">
        <v>2</v>
      </c>
      <c r="I229">
        <v>2.2999999999999998</v>
      </c>
      <c r="J229">
        <v>2.6679999999997985</v>
      </c>
      <c r="K229">
        <v>2.6919999999997208</v>
      </c>
      <c r="L229">
        <v>96.244</v>
      </c>
      <c r="M229">
        <v>96.009</v>
      </c>
      <c r="N229" t="s">
        <v>1031</v>
      </c>
      <c r="O229" t="s">
        <v>1032</v>
      </c>
      <c r="P229" t="s">
        <v>49</v>
      </c>
      <c r="Q229" s="59">
        <v>40246</v>
      </c>
      <c r="R229" s="59">
        <v>46101</v>
      </c>
      <c r="S229">
        <v>14.001368925393566</v>
      </c>
      <c r="T229">
        <v>96.126499999999993</v>
      </c>
      <c r="U229">
        <v>146</v>
      </c>
      <c r="V229">
        <v>14</v>
      </c>
      <c r="W229">
        <v>16</v>
      </c>
      <c r="X229" s="59">
        <v>45921</v>
      </c>
      <c r="Y229" s="66">
        <f t="shared" ca="1" si="6"/>
        <v>1.086111111111111</v>
      </c>
      <c r="Z229" s="66">
        <f t="shared" ca="1" si="7"/>
        <v>95.040388888888884</v>
      </c>
      <c r="AA229">
        <v>2.6799999999997599</v>
      </c>
    </row>
    <row r="230" spans="1:27" x14ac:dyDescent="0.45">
      <c r="A230" t="s">
        <v>1033</v>
      </c>
      <c r="B230" t="s">
        <v>262</v>
      </c>
      <c r="C230" t="s">
        <v>257</v>
      </c>
      <c r="D230" t="s">
        <v>43</v>
      </c>
      <c r="E230" t="s">
        <v>44</v>
      </c>
      <c r="F230" t="s">
        <v>1034</v>
      </c>
      <c r="G230" t="s">
        <v>46</v>
      </c>
      <c r="H230">
        <v>2</v>
      </c>
      <c r="I230">
        <v>0.4</v>
      </c>
      <c r="J230">
        <v>3.0809999999853628</v>
      </c>
      <c r="K230">
        <v>3.1049999999839488</v>
      </c>
      <c r="L230">
        <v>73.42</v>
      </c>
      <c r="M230">
        <v>73.245999999999995</v>
      </c>
      <c r="N230" t="s">
        <v>1035</v>
      </c>
      <c r="O230" t="s">
        <v>1036</v>
      </c>
      <c r="P230" t="s">
        <v>49</v>
      </c>
      <c r="Q230" s="59">
        <v>44026</v>
      </c>
      <c r="R230" s="59">
        <v>46193</v>
      </c>
      <c r="S230">
        <v>14.253251197809719</v>
      </c>
      <c r="T230">
        <v>73.332999999999998</v>
      </c>
      <c r="U230">
        <v>40</v>
      </c>
      <c r="V230">
        <v>14</v>
      </c>
      <c r="W230">
        <v>6</v>
      </c>
      <c r="X230" s="59">
        <v>46013</v>
      </c>
      <c r="Y230" s="66">
        <f t="shared" ca="1" si="6"/>
        <v>8.666666666666667E-2</v>
      </c>
      <c r="Z230" s="66">
        <f t="shared" ca="1" si="7"/>
        <v>73.246333333333325</v>
      </c>
      <c r="AA230">
        <v>3.0929999999846558</v>
      </c>
    </row>
    <row r="231" spans="1:27" x14ac:dyDescent="0.45">
      <c r="A231" t="s">
        <v>1037</v>
      </c>
      <c r="B231" t="s">
        <v>262</v>
      </c>
      <c r="C231" t="s">
        <v>257</v>
      </c>
      <c r="D231" t="s">
        <v>43</v>
      </c>
      <c r="E231" t="s">
        <v>44</v>
      </c>
      <c r="F231" t="s">
        <v>1038</v>
      </c>
      <c r="G231" t="s">
        <v>46</v>
      </c>
      <c r="H231">
        <v>2</v>
      </c>
      <c r="I231">
        <v>0.4</v>
      </c>
      <c r="J231">
        <v>3.1179999999760488</v>
      </c>
      <c r="K231">
        <v>3.143999999973583</v>
      </c>
      <c r="L231">
        <v>72.825000000000003</v>
      </c>
      <c r="M231">
        <v>72.637</v>
      </c>
      <c r="N231" t="s">
        <v>1039</v>
      </c>
      <c r="O231" t="s">
        <v>1040</v>
      </c>
      <c r="P231" t="s">
        <v>291</v>
      </c>
      <c r="Q231" s="59">
        <v>44117</v>
      </c>
      <c r="R231" s="59">
        <v>46101</v>
      </c>
      <c r="S231">
        <v>14.505133470225873</v>
      </c>
      <c r="T231">
        <v>72.730999999999995</v>
      </c>
      <c r="U231">
        <v>41</v>
      </c>
      <c r="V231">
        <v>14.5</v>
      </c>
      <c r="W231">
        <v>6</v>
      </c>
      <c r="X231" s="59">
        <v>45921</v>
      </c>
      <c r="Y231" s="66">
        <f t="shared" ca="1" si="6"/>
        <v>0.18888888888888888</v>
      </c>
      <c r="Z231" s="66">
        <f t="shared" ca="1" si="7"/>
        <v>72.542111111111112</v>
      </c>
      <c r="AA231">
        <v>3.1309999999748159</v>
      </c>
    </row>
    <row r="232" spans="1:27" x14ac:dyDescent="0.45">
      <c r="A232" t="s">
        <v>1041</v>
      </c>
      <c r="B232" t="s">
        <v>581</v>
      </c>
      <c r="C232" t="s">
        <v>257</v>
      </c>
      <c r="D232" t="s">
        <v>43</v>
      </c>
      <c r="E232" t="s">
        <v>44</v>
      </c>
      <c r="F232" t="s">
        <v>1038</v>
      </c>
      <c r="G232" t="s">
        <v>46</v>
      </c>
      <c r="H232">
        <v>2</v>
      </c>
      <c r="I232">
        <v>2</v>
      </c>
      <c r="J232">
        <v>2.7749999999780859</v>
      </c>
      <c r="K232">
        <v>2.7989999999738706</v>
      </c>
      <c r="L232">
        <v>91.975999999999999</v>
      </c>
      <c r="M232">
        <v>91.748000000000005</v>
      </c>
      <c r="N232" t="s">
        <v>1042</v>
      </c>
      <c r="O232" t="s">
        <v>1043</v>
      </c>
      <c r="P232" t="s">
        <v>49</v>
      </c>
      <c r="Q232" s="59">
        <v>40429</v>
      </c>
      <c r="R232" s="59">
        <v>46101</v>
      </c>
      <c r="S232">
        <v>14.505133470225873</v>
      </c>
      <c r="T232">
        <v>91.861999999999995</v>
      </c>
      <c r="U232">
        <v>153</v>
      </c>
      <c r="V232">
        <v>14.5</v>
      </c>
      <c r="W232">
        <v>16</v>
      </c>
      <c r="X232" s="59">
        <v>45921</v>
      </c>
      <c r="Y232" s="66">
        <f t="shared" ca="1" si="6"/>
        <v>0.94444444444444442</v>
      </c>
      <c r="Z232" s="66">
        <f t="shared" ca="1" si="7"/>
        <v>90.917555555555552</v>
      </c>
      <c r="AA232">
        <v>2.7869999999759782</v>
      </c>
    </row>
    <row r="233" spans="1:27" x14ac:dyDescent="0.45">
      <c r="A233" t="s">
        <v>1044</v>
      </c>
      <c r="B233" t="s">
        <v>262</v>
      </c>
      <c r="C233" t="s">
        <v>257</v>
      </c>
      <c r="D233" t="s">
        <v>43</v>
      </c>
      <c r="E233" t="s">
        <v>44</v>
      </c>
      <c r="F233" t="s">
        <v>1045</v>
      </c>
      <c r="G233" t="s">
        <v>46</v>
      </c>
      <c r="H233">
        <v>2</v>
      </c>
      <c r="I233">
        <v>0.5</v>
      </c>
      <c r="J233">
        <v>3.1339999999873869</v>
      </c>
      <c r="K233">
        <v>3.1589999999860976</v>
      </c>
      <c r="L233">
        <v>73.399000000000001</v>
      </c>
      <c r="M233">
        <v>73.213999999999999</v>
      </c>
      <c r="N233" t="s">
        <v>1046</v>
      </c>
      <c r="O233" t="s">
        <v>1047</v>
      </c>
      <c r="P233" t="s">
        <v>291</v>
      </c>
      <c r="Q233" s="59">
        <v>44208</v>
      </c>
      <c r="R233" s="59">
        <v>46193</v>
      </c>
      <c r="S233">
        <v>14.754277891854894</v>
      </c>
      <c r="T233">
        <v>73.3065</v>
      </c>
      <c r="U233">
        <v>44</v>
      </c>
      <c r="V233">
        <v>14.5</v>
      </c>
      <c r="W233">
        <v>5</v>
      </c>
      <c r="X233" s="59">
        <v>46013</v>
      </c>
      <c r="Y233" s="66">
        <f t="shared" ca="1" si="6"/>
        <v>0.10833333333333334</v>
      </c>
      <c r="Z233" s="66">
        <f t="shared" ca="1" si="7"/>
        <v>73.198166666666665</v>
      </c>
      <c r="AA233">
        <v>3.1464999999867422</v>
      </c>
    </row>
    <row r="234" spans="1:27" x14ac:dyDescent="0.45">
      <c r="A234" t="s">
        <v>1048</v>
      </c>
      <c r="B234" t="s">
        <v>262</v>
      </c>
      <c r="C234" t="s">
        <v>257</v>
      </c>
      <c r="D234" t="s">
        <v>43</v>
      </c>
      <c r="E234" t="s">
        <v>44</v>
      </c>
      <c r="F234" t="s">
        <v>1049</v>
      </c>
      <c r="G234" t="s">
        <v>46</v>
      </c>
      <c r="H234">
        <v>2</v>
      </c>
      <c r="I234">
        <v>0.5</v>
      </c>
      <c r="J234">
        <v>3.1779999999791415</v>
      </c>
      <c r="K234">
        <v>3.2019999999771418</v>
      </c>
      <c r="L234">
        <v>72.77</v>
      </c>
      <c r="M234">
        <v>72.593000000000004</v>
      </c>
      <c r="N234" t="s">
        <v>1050</v>
      </c>
      <c r="O234" t="s">
        <v>1051</v>
      </c>
      <c r="P234" t="s">
        <v>291</v>
      </c>
      <c r="Q234" s="59">
        <v>44299</v>
      </c>
      <c r="R234" s="59">
        <v>46101</v>
      </c>
      <c r="S234">
        <v>15.000684462696784</v>
      </c>
      <c r="T234">
        <v>72.6815</v>
      </c>
      <c r="U234">
        <v>48</v>
      </c>
      <c r="V234">
        <v>15</v>
      </c>
      <c r="W234">
        <v>5</v>
      </c>
      <c r="X234" s="59">
        <v>45921</v>
      </c>
      <c r="Y234" s="66">
        <f t="shared" ca="1" si="6"/>
        <v>0.2361111111111111</v>
      </c>
      <c r="Z234" s="66">
        <f t="shared" ca="1" si="7"/>
        <v>72.445388888888886</v>
      </c>
      <c r="AA234">
        <v>3.1899999999781414</v>
      </c>
    </row>
    <row r="235" spans="1:27" x14ac:dyDescent="0.45">
      <c r="A235" t="s">
        <v>1052</v>
      </c>
      <c r="B235" t="s">
        <v>581</v>
      </c>
      <c r="C235" t="s">
        <v>257</v>
      </c>
      <c r="D235" t="s">
        <v>43</v>
      </c>
      <c r="E235" t="s">
        <v>44</v>
      </c>
      <c r="F235" t="s">
        <v>1049</v>
      </c>
      <c r="G235" t="s">
        <v>46</v>
      </c>
      <c r="H235">
        <v>2</v>
      </c>
      <c r="I235">
        <v>2.2000000000000002</v>
      </c>
      <c r="J235">
        <v>2.7969999999957325</v>
      </c>
      <c r="K235">
        <v>2.8219999999946275</v>
      </c>
      <c r="L235">
        <v>93.685000000000002</v>
      </c>
      <c r="M235">
        <v>93.438000000000002</v>
      </c>
      <c r="N235" t="s">
        <v>1053</v>
      </c>
      <c r="O235" t="s">
        <v>1054</v>
      </c>
      <c r="P235" t="s">
        <v>49</v>
      </c>
      <c r="Q235" s="59">
        <v>40610</v>
      </c>
      <c r="R235" s="59">
        <v>46101</v>
      </c>
      <c r="S235">
        <v>15.000684462696784</v>
      </c>
      <c r="T235">
        <v>93.561499999999995</v>
      </c>
      <c r="U235">
        <v>158</v>
      </c>
      <c r="V235">
        <v>15</v>
      </c>
      <c r="W235">
        <v>15</v>
      </c>
      <c r="X235" s="59">
        <v>45921</v>
      </c>
      <c r="Y235" s="66">
        <f t="shared" ca="1" si="6"/>
        <v>1.038888888888889</v>
      </c>
      <c r="Z235" s="66">
        <f t="shared" ca="1" si="7"/>
        <v>92.522611111111104</v>
      </c>
      <c r="AA235">
        <v>2.8094999999951797</v>
      </c>
    </row>
    <row r="236" spans="1:27" x14ac:dyDescent="0.45">
      <c r="A236" t="s">
        <v>1055</v>
      </c>
      <c r="B236" t="s">
        <v>262</v>
      </c>
      <c r="C236" t="s">
        <v>257</v>
      </c>
      <c r="D236" t="s">
        <v>43</v>
      </c>
      <c r="E236" t="s">
        <v>44</v>
      </c>
      <c r="F236" t="s">
        <v>1056</v>
      </c>
      <c r="G236" t="s">
        <v>46</v>
      </c>
      <c r="H236">
        <v>2</v>
      </c>
      <c r="I236">
        <v>0.4</v>
      </c>
      <c r="J236">
        <v>3.2449999999473009</v>
      </c>
      <c r="K236">
        <v>3.2689999999425496</v>
      </c>
      <c r="L236">
        <v>70.944999999999993</v>
      </c>
      <c r="M236">
        <v>70.772000000000006</v>
      </c>
      <c r="N236" t="s">
        <v>1057</v>
      </c>
      <c r="O236" t="s">
        <v>1058</v>
      </c>
      <c r="P236" t="s">
        <v>291</v>
      </c>
      <c r="Q236" s="59">
        <v>44383</v>
      </c>
      <c r="R236" s="59">
        <v>46193</v>
      </c>
      <c r="S236">
        <v>15.252566735112936</v>
      </c>
      <c r="T236">
        <v>70.858499999999992</v>
      </c>
      <c r="U236">
        <v>53</v>
      </c>
      <c r="V236">
        <v>15</v>
      </c>
      <c r="W236">
        <v>5</v>
      </c>
      <c r="X236" s="59">
        <v>46013</v>
      </c>
      <c r="Y236" s="66">
        <f t="shared" ca="1" si="6"/>
        <v>8.666666666666667E-2</v>
      </c>
      <c r="Z236" s="66">
        <f t="shared" ca="1" si="7"/>
        <v>70.771833333333319</v>
      </c>
      <c r="AA236">
        <v>3.2569999999449255</v>
      </c>
    </row>
    <row r="237" spans="1:27" x14ac:dyDescent="0.45">
      <c r="A237" t="s">
        <v>1059</v>
      </c>
      <c r="B237" t="s">
        <v>262</v>
      </c>
      <c r="C237" t="s">
        <v>257</v>
      </c>
      <c r="D237" t="s">
        <v>43</v>
      </c>
      <c r="E237" t="s">
        <v>44</v>
      </c>
      <c r="F237" t="s">
        <v>1060</v>
      </c>
      <c r="G237" t="s">
        <v>46</v>
      </c>
      <c r="H237">
        <v>2</v>
      </c>
      <c r="I237">
        <v>0.5</v>
      </c>
      <c r="J237">
        <v>3.2559999999620595</v>
      </c>
      <c r="K237">
        <v>3.2829999999580868</v>
      </c>
      <c r="L237">
        <v>71.578000000000003</v>
      </c>
      <c r="M237">
        <v>71.379000000000005</v>
      </c>
      <c r="N237" t="s">
        <v>1061</v>
      </c>
      <c r="O237" t="s">
        <v>1062</v>
      </c>
      <c r="P237" t="s">
        <v>291</v>
      </c>
      <c r="Q237" s="59">
        <v>44481</v>
      </c>
      <c r="R237" s="59">
        <v>46101</v>
      </c>
      <c r="S237">
        <v>15.504449007529089</v>
      </c>
      <c r="T237">
        <v>71.478499999999997</v>
      </c>
      <c r="U237">
        <v>57</v>
      </c>
      <c r="V237">
        <v>15.5</v>
      </c>
      <c r="W237">
        <v>5</v>
      </c>
      <c r="X237" s="59">
        <v>45921</v>
      </c>
      <c r="Y237" s="66">
        <f t="shared" ca="1" si="6"/>
        <v>0.2361111111111111</v>
      </c>
      <c r="Z237" s="66">
        <f t="shared" ca="1" si="7"/>
        <v>71.242388888888883</v>
      </c>
      <c r="AA237">
        <v>3.2694999999600731</v>
      </c>
    </row>
    <row r="238" spans="1:27" x14ac:dyDescent="0.45">
      <c r="A238" t="s">
        <v>1063</v>
      </c>
      <c r="B238" t="s">
        <v>581</v>
      </c>
      <c r="C238" t="s">
        <v>257</v>
      </c>
      <c r="D238" t="s">
        <v>43</v>
      </c>
      <c r="E238" t="s">
        <v>44</v>
      </c>
      <c r="F238" t="s">
        <v>1060</v>
      </c>
      <c r="G238" t="s">
        <v>46</v>
      </c>
      <c r="H238">
        <v>2</v>
      </c>
      <c r="I238">
        <v>2</v>
      </c>
      <c r="J238">
        <v>2.8789999999410631</v>
      </c>
      <c r="K238">
        <v>2.9059999999297133</v>
      </c>
      <c r="L238">
        <v>90.567999999999998</v>
      </c>
      <c r="M238">
        <v>90.305999999999997</v>
      </c>
      <c r="N238" t="s">
        <v>1064</v>
      </c>
      <c r="O238" t="s">
        <v>1065</v>
      </c>
      <c r="P238" t="s">
        <v>49</v>
      </c>
      <c r="Q238" s="59">
        <v>40792</v>
      </c>
      <c r="R238" s="59">
        <v>46101</v>
      </c>
      <c r="S238">
        <v>15.504449007529089</v>
      </c>
      <c r="T238">
        <v>90.436999999999998</v>
      </c>
      <c r="U238">
        <v>165</v>
      </c>
      <c r="V238">
        <v>15.5</v>
      </c>
      <c r="W238">
        <v>15</v>
      </c>
      <c r="X238" s="59">
        <v>45921</v>
      </c>
      <c r="Y238" s="66">
        <f t="shared" ca="1" si="6"/>
        <v>0.94444444444444442</v>
      </c>
      <c r="Z238" s="66">
        <f t="shared" ca="1" si="7"/>
        <v>89.492555555555555</v>
      </c>
      <c r="AA238">
        <v>2.8924999999353882</v>
      </c>
    </row>
    <row r="239" spans="1:27" x14ac:dyDescent="0.45">
      <c r="A239" t="s">
        <v>1066</v>
      </c>
      <c r="B239" t="s">
        <v>262</v>
      </c>
      <c r="C239" t="s">
        <v>257</v>
      </c>
      <c r="D239" t="s">
        <v>43</v>
      </c>
      <c r="E239" t="s">
        <v>44</v>
      </c>
      <c r="F239" t="s">
        <v>1067</v>
      </c>
      <c r="G239" t="s">
        <v>46</v>
      </c>
      <c r="H239">
        <v>2</v>
      </c>
      <c r="I239">
        <v>0.5</v>
      </c>
      <c r="J239">
        <v>3.2939999999568705</v>
      </c>
      <c r="K239">
        <v>3.318999999952756</v>
      </c>
      <c r="L239">
        <v>70.995000000000005</v>
      </c>
      <c r="M239">
        <v>70.811000000000007</v>
      </c>
      <c r="N239" t="s">
        <v>1068</v>
      </c>
      <c r="O239" t="s">
        <v>1069</v>
      </c>
      <c r="P239" t="s">
        <v>291</v>
      </c>
      <c r="Q239" s="59">
        <v>44568</v>
      </c>
      <c r="R239" s="59">
        <v>46193</v>
      </c>
      <c r="S239">
        <v>15.75359342915811</v>
      </c>
      <c r="T239">
        <v>70.903000000000006</v>
      </c>
      <c r="U239">
        <v>61</v>
      </c>
      <c r="V239">
        <v>15.5</v>
      </c>
      <c r="W239">
        <v>4</v>
      </c>
      <c r="X239" s="59">
        <v>46013</v>
      </c>
      <c r="Y239" s="66">
        <f t="shared" ca="1" si="6"/>
        <v>0.10833333333333334</v>
      </c>
      <c r="Z239" s="66">
        <f t="shared" ca="1" si="7"/>
        <v>70.794666666666672</v>
      </c>
      <c r="AA239">
        <v>3.3064999999548133</v>
      </c>
    </row>
    <row r="240" spans="1:27" x14ac:dyDescent="0.45">
      <c r="A240" t="s">
        <v>1070</v>
      </c>
      <c r="B240" t="s">
        <v>262</v>
      </c>
      <c r="C240" t="s">
        <v>257</v>
      </c>
      <c r="D240" t="s">
        <v>43</v>
      </c>
      <c r="E240" t="s">
        <v>44</v>
      </c>
      <c r="F240" t="s">
        <v>1071</v>
      </c>
      <c r="G240" t="s">
        <v>46</v>
      </c>
      <c r="H240">
        <v>2</v>
      </c>
      <c r="I240">
        <v>0.8</v>
      </c>
      <c r="J240">
        <v>3.2279999999946742</v>
      </c>
      <c r="K240">
        <v>3.2529999999940884</v>
      </c>
      <c r="L240">
        <v>74.358999999999995</v>
      </c>
      <c r="M240">
        <v>74.162999999999997</v>
      </c>
      <c r="N240" t="s">
        <v>1072</v>
      </c>
      <c r="O240" t="s">
        <v>1073</v>
      </c>
      <c r="P240" t="s">
        <v>49</v>
      </c>
      <c r="Q240" s="59">
        <v>44658</v>
      </c>
      <c r="R240" s="59">
        <v>46101</v>
      </c>
      <c r="S240">
        <v>16</v>
      </c>
      <c r="T240">
        <v>74.260999999999996</v>
      </c>
      <c r="U240">
        <v>65</v>
      </c>
      <c r="V240">
        <v>16</v>
      </c>
      <c r="W240">
        <v>4</v>
      </c>
      <c r="X240" s="59">
        <v>45921</v>
      </c>
      <c r="Y240" s="66">
        <f t="shared" ca="1" si="6"/>
        <v>0.37777777777777777</v>
      </c>
      <c r="Z240" s="66">
        <f t="shared" ca="1" si="7"/>
        <v>73.883222222222216</v>
      </c>
      <c r="AA240">
        <v>3.2404999999943813</v>
      </c>
    </row>
    <row r="241" spans="1:27" x14ac:dyDescent="0.45">
      <c r="A241" t="s">
        <v>1074</v>
      </c>
      <c r="B241" t="s">
        <v>581</v>
      </c>
      <c r="C241" t="s">
        <v>257</v>
      </c>
      <c r="D241" t="s">
        <v>43</v>
      </c>
      <c r="E241" t="s">
        <v>44</v>
      </c>
      <c r="F241" t="s">
        <v>1071</v>
      </c>
      <c r="G241" t="s">
        <v>46</v>
      </c>
      <c r="H241">
        <v>2</v>
      </c>
      <c r="I241">
        <v>2</v>
      </c>
      <c r="J241">
        <v>2.933999999905331</v>
      </c>
      <c r="K241">
        <v>2.9610000000000003</v>
      </c>
      <c r="L241">
        <v>89.82</v>
      </c>
      <c r="M241">
        <v>89.557000000000002</v>
      </c>
      <c r="N241" t="s">
        <v>1075</v>
      </c>
      <c r="O241" t="s">
        <v>1076</v>
      </c>
      <c r="P241" t="s">
        <v>49</v>
      </c>
      <c r="Q241" s="59">
        <v>40974</v>
      </c>
      <c r="R241" s="59">
        <v>46101</v>
      </c>
      <c r="S241">
        <v>16</v>
      </c>
      <c r="T241">
        <v>89.688500000000005</v>
      </c>
      <c r="U241">
        <v>170</v>
      </c>
      <c r="V241">
        <v>16</v>
      </c>
      <c r="W241">
        <v>14</v>
      </c>
      <c r="X241" s="59">
        <v>45921</v>
      </c>
      <c r="Y241" s="66">
        <f t="shared" ca="1" si="6"/>
        <v>0.94444444444444442</v>
      </c>
      <c r="Z241" s="66">
        <f t="shared" ca="1" si="7"/>
        <v>88.744055555555562</v>
      </c>
      <c r="AA241">
        <v>2.9474999999526657</v>
      </c>
    </row>
    <row r="242" spans="1:27" x14ac:dyDescent="0.45">
      <c r="A242" t="s">
        <v>1077</v>
      </c>
      <c r="B242" t="s">
        <v>262</v>
      </c>
      <c r="C242" t="s">
        <v>257</v>
      </c>
      <c r="D242" t="s">
        <v>43</v>
      </c>
      <c r="E242" t="s">
        <v>44</v>
      </c>
      <c r="F242" t="s">
        <v>1078</v>
      </c>
      <c r="G242" t="s">
        <v>46</v>
      </c>
      <c r="H242">
        <v>2</v>
      </c>
      <c r="I242">
        <v>0.9</v>
      </c>
      <c r="J242">
        <v>3.2309999999975059</v>
      </c>
      <c r="K242">
        <v>3.2559999999972229</v>
      </c>
      <c r="L242">
        <v>75.138000000000005</v>
      </c>
      <c r="M242">
        <v>74.938000000000002</v>
      </c>
      <c r="N242" t="s">
        <v>1079</v>
      </c>
      <c r="O242" t="s">
        <v>1080</v>
      </c>
      <c r="P242" t="s">
        <v>49</v>
      </c>
      <c r="Q242" s="59">
        <v>44749</v>
      </c>
      <c r="R242" s="59">
        <v>46193</v>
      </c>
      <c r="S242">
        <v>16.251882272416154</v>
      </c>
      <c r="T242">
        <v>75.038000000000011</v>
      </c>
      <c r="U242">
        <v>71</v>
      </c>
      <c r="V242">
        <v>16</v>
      </c>
      <c r="W242">
        <v>4</v>
      </c>
      <c r="X242" s="59">
        <v>46013</v>
      </c>
      <c r="Y242" s="66">
        <f t="shared" ca="1" si="6"/>
        <v>0.19500000000000001</v>
      </c>
      <c r="Z242" s="66">
        <f t="shared" ca="1" si="7"/>
        <v>74.843000000000018</v>
      </c>
      <c r="AA242">
        <v>3.2434999999973644</v>
      </c>
    </row>
    <row r="243" spans="1:27" x14ac:dyDescent="0.45">
      <c r="A243" t="s">
        <v>1081</v>
      </c>
      <c r="B243" t="s">
        <v>262</v>
      </c>
      <c r="C243" t="s">
        <v>257</v>
      </c>
      <c r="D243" t="s">
        <v>43</v>
      </c>
      <c r="E243" t="s">
        <v>44</v>
      </c>
      <c r="F243" t="s">
        <v>1082</v>
      </c>
      <c r="G243" t="s">
        <v>46</v>
      </c>
      <c r="H243">
        <v>2</v>
      </c>
      <c r="I243">
        <v>1.1000000000000001</v>
      </c>
      <c r="J243">
        <v>3.2059999999993622</v>
      </c>
      <c r="K243">
        <v>3.2309999999992822</v>
      </c>
      <c r="L243">
        <v>77.248999999999995</v>
      </c>
      <c r="M243">
        <v>77.040999999999997</v>
      </c>
      <c r="N243" t="s">
        <v>1083</v>
      </c>
      <c r="O243" t="s">
        <v>1084</v>
      </c>
      <c r="P243" t="s">
        <v>49</v>
      </c>
      <c r="Q243" s="59">
        <v>44845</v>
      </c>
      <c r="R243" s="59">
        <v>46101</v>
      </c>
      <c r="S243">
        <v>16.503764544832308</v>
      </c>
      <c r="T243">
        <v>77.144999999999996</v>
      </c>
      <c r="U243">
        <v>75</v>
      </c>
      <c r="V243">
        <v>16.5</v>
      </c>
      <c r="W243">
        <v>4</v>
      </c>
      <c r="X243" s="59">
        <v>45921</v>
      </c>
      <c r="Y243" s="66">
        <f t="shared" ca="1" si="6"/>
        <v>0.51944444444444449</v>
      </c>
      <c r="Z243" s="66">
        <f t="shared" ca="1" si="7"/>
        <v>76.62555555555555</v>
      </c>
      <c r="AA243">
        <v>3.218499999999322</v>
      </c>
    </row>
    <row r="244" spans="1:27" x14ac:dyDescent="0.45">
      <c r="A244" t="s">
        <v>1085</v>
      </c>
      <c r="B244" t="s">
        <v>581</v>
      </c>
      <c r="C244" t="s">
        <v>257</v>
      </c>
      <c r="D244" t="s">
        <v>43</v>
      </c>
      <c r="E244" t="s">
        <v>44</v>
      </c>
      <c r="F244" t="s">
        <v>1082</v>
      </c>
      <c r="G244" t="s">
        <v>46</v>
      </c>
      <c r="H244">
        <v>2</v>
      </c>
      <c r="I244">
        <v>1.9</v>
      </c>
      <c r="J244">
        <v>3.0040000000000009</v>
      </c>
      <c r="K244">
        <v>3.0329999999999973</v>
      </c>
      <c r="L244">
        <v>87.807000000000002</v>
      </c>
      <c r="M244">
        <v>87.527000000000001</v>
      </c>
      <c r="N244" t="s">
        <v>1086</v>
      </c>
      <c r="O244" t="s">
        <v>1087</v>
      </c>
      <c r="P244" t="s">
        <v>49</v>
      </c>
      <c r="Q244" s="59">
        <v>41158</v>
      </c>
      <c r="R244" s="59">
        <v>46101</v>
      </c>
      <c r="S244">
        <v>16.503764544832308</v>
      </c>
      <c r="T244">
        <v>87.667000000000002</v>
      </c>
      <c r="U244">
        <v>178</v>
      </c>
      <c r="V244">
        <v>16.5</v>
      </c>
      <c r="W244">
        <v>14</v>
      </c>
      <c r="X244" s="59">
        <v>45921</v>
      </c>
      <c r="Y244" s="66">
        <f t="shared" ca="1" si="6"/>
        <v>0.89722222222222214</v>
      </c>
      <c r="Z244" s="66">
        <f t="shared" ca="1" si="7"/>
        <v>86.769777777777776</v>
      </c>
      <c r="AA244">
        <v>3.0184999999999991</v>
      </c>
    </row>
    <row r="245" spans="1:27" x14ac:dyDescent="0.45">
      <c r="A245" t="s">
        <v>1088</v>
      </c>
      <c r="B245" t="s">
        <v>262</v>
      </c>
      <c r="C245" t="s">
        <v>257</v>
      </c>
      <c r="D245" t="s">
        <v>43</v>
      </c>
      <c r="E245" t="s">
        <v>44</v>
      </c>
      <c r="F245" t="s">
        <v>1089</v>
      </c>
      <c r="G245" t="s">
        <v>46</v>
      </c>
      <c r="H245">
        <v>2</v>
      </c>
      <c r="I245">
        <v>1.4</v>
      </c>
      <c r="J245">
        <v>3.1589999999999576</v>
      </c>
      <c r="K245">
        <v>3.1829999999999532</v>
      </c>
      <c r="L245">
        <v>80.712000000000003</v>
      </c>
      <c r="M245">
        <v>80.501000000000005</v>
      </c>
      <c r="N245" t="s">
        <v>1090</v>
      </c>
      <c r="O245" t="s">
        <v>1091</v>
      </c>
      <c r="P245" t="s">
        <v>49</v>
      </c>
      <c r="Q245" s="59">
        <v>44938</v>
      </c>
      <c r="R245" s="59">
        <v>46193</v>
      </c>
      <c r="S245">
        <v>16.752908966461327</v>
      </c>
      <c r="T245">
        <v>80.606500000000011</v>
      </c>
      <c r="U245">
        <v>315</v>
      </c>
      <c r="V245">
        <v>16.5</v>
      </c>
      <c r="W245">
        <v>3</v>
      </c>
      <c r="X245" s="59">
        <v>46013</v>
      </c>
      <c r="Y245" s="66">
        <f t="shared" ca="1" si="6"/>
        <v>0.30333333333333334</v>
      </c>
      <c r="Z245" s="66">
        <f t="shared" ca="1" si="7"/>
        <v>80.303166666666684</v>
      </c>
      <c r="AA245">
        <v>3.1709999999999554</v>
      </c>
    </row>
    <row r="246" spans="1:27" x14ac:dyDescent="0.45">
      <c r="A246" t="s">
        <v>1092</v>
      </c>
      <c r="B246" t="s">
        <v>581</v>
      </c>
      <c r="C246" t="s">
        <v>257</v>
      </c>
      <c r="D246" t="s">
        <v>43</v>
      </c>
      <c r="E246" t="s">
        <v>44</v>
      </c>
      <c r="F246" t="s">
        <v>1093</v>
      </c>
      <c r="G246" t="s">
        <v>46</v>
      </c>
      <c r="H246">
        <v>2</v>
      </c>
      <c r="I246">
        <v>1.8</v>
      </c>
      <c r="J246">
        <v>3.0719999999999987</v>
      </c>
      <c r="K246">
        <v>3.0990000000000011</v>
      </c>
      <c r="L246">
        <v>85.781999999999996</v>
      </c>
      <c r="M246">
        <v>85.524000000000001</v>
      </c>
      <c r="N246" t="s">
        <v>1094</v>
      </c>
      <c r="O246" t="s">
        <v>1095</v>
      </c>
      <c r="P246" t="s">
        <v>49</v>
      </c>
      <c r="Q246" s="59">
        <v>41341</v>
      </c>
      <c r="R246" s="59">
        <v>46101</v>
      </c>
      <c r="S246">
        <v>16.999315537303218</v>
      </c>
      <c r="T246">
        <v>85.652999999999992</v>
      </c>
      <c r="U246">
        <v>182</v>
      </c>
      <c r="V246">
        <v>16.5</v>
      </c>
      <c r="W246">
        <v>13</v>
      </c>
      <c r="X246" s="59">
        <v>45921</v>
      </c>
      <c r="Y246" s="66">
        <f t="shared" ca="1" si="6"/>
        <v>0.85</v>
      </c>
      <c r="Z246" s="66">
        <f t="shared" ca="1" si="7"/>
        <v>84.802999999999997</v>
      </c>
      <c r="AA246">
        <v>3.0854999999999997</v>
      </c>
    </row>
    <row r="247" spans="1:27" x14ac:dyDescent="0.45">
      <c r="A247" t="s">
        <v>1096</v>
      </c>
      <c r="B247" t="s">
        <v>262</v>
      </c>
      <c r="C247" t="s">
        <v>257</v>
      </c>
      <c r="D247" t="s">
        <v>43</v>
      </c>
      <c r="E247" t="s">
        <v>44</v>
      </c>
      <c r="F247" t="s">
        <v>1093</v>
      </c>
      <c r="G247" t="s">
        <v>46</v>
      </c>
      <c r="H247">
        <v>2</v>
      </c>
      <c r="I247">
        <v>1.1000000000000001</v>
      </c>
      <c r="J247">
        <v>3.2639999999989486</v>
      </c>
      <c r="K247">
        <v>3.2879999999988274</v>
      </c>
      <c r="L247">
        <v>76.319999999999993</v>
      </c>
      <c r="M247">
        <v>76.12</v>
      </c>
      <c r="N247" t="s">
        <v>1097</v>
      </c>
      <c r="O247" t="s">
        <v>1098</v>
      </c>
      <c r="P247" t="s">
        <v>49</v>
      </c>
      <c r="Q247" s="59">
        <v>45029</v>
      </c>
      <c r="R247" s="59">
        <v>46101</v>
      </c>
      <c r="S247">
        <v>16.999315537303218</v>
      </c>
      <c r="T247">
        <v>76.22</v>
      </c>
      <c r="U247">
        <v>308</v>
      </c>
      <c r="V247">
        <v>16.5</v>
      </c>
      <c r="W247">
        <v>3</v>
      </c>
      <c r="X247" s="59">
        <v>45921</v>
      </c>
      <c r="Y247" s="66">
        <f t="shared" ca="1" si="6"/>
        <v>0.51944444444444449</v>
      </c>
      <c r="Z247" s="66">
        <f t="shared" ca="1" si="7"/>
        <v>75.700555555555553</v>
      </c>
      <c r="AA247">
        <v>3.2759999999988878</v>
      </c>
    </row>
    <row r="248" spans="1:27" x14ac:dyDescent="0.45">
      <c r="A248" t="s">
        <v>1099</v>
      </c>
      <c r="B248" t="s">
        <v>581</v>
      </c>
      <c r="C248" t="s">
        <v>257</v>
      </c>
      <c r="D248" t="s">
        <v>43</v>
      </c>
      <c r="E248" t="s">
        <v>44</v>
      </c>
      <c r="F248" t="s">
        <v>1100</v>
      </c>
      <c r="G248" t="s">
        <v>46</v>
      </c>
      <c r="H248">
        <v>2</v>
      </c>
      <c r="I248">
        <v>1.9</v>
      </c>
      <c r="J248">
        <v>3.0710000000000011</v>
      </c>
      <c r="K248">
        <v>3.0980000000000008</v>
      </c>
      <c r="L248">
        <v>86.783000000000001</v>
      </c>
      <c r="M248">
        <v>86.519000000000005</v>
      </c>
      <c r="N248" t="s">
        <v>1101</v>
      </c>
      <c r="O248" t="s">
        <v>1102</v>
      </c>
      <c r="P248" t="s">
        <v>49</v>
      </c>
      <c r="Q248" s="59">
        <v>41431</v>
      </c>
      <c r="R248" s="59">
        <v>46193</v>
      </c>
      <c r="S248">
        <v>17.251197809719372</v>
      </c>
      <c r="T248">
        <v>86.65100000000001</v>
      </c>
      <c r="U248">
        <v>186</v>
      </c>
      <c r="V248">
        <v>17</v>
      </c>
      <c r="W248">
        <v>13</v>
      </c>
      <c r="X248" s="59">
        <v>46013</v>
      </c>
      <c r="Y248" s="66">
        <f t="shared" ca="1" si="6"/>
        <v>0.41166666666666668</v>
      </c>
      <c r="Z248" s="66">
        <f t="shared" ca="1" si="7"/>
        <v>86.239333333333349</v>
      </c>
      <c r="AA248">
        <v>3.0845000000000011</v>
      </c>
    </row>
    <row r="249" spans="1:27" x14ac:dyDescent="0.45">
      <c r="A249" t="s">
        <v>1103</v>
      </c>
      <c r="B249" t="s">
        <v>262</v>
      </c>
      <c r="C249" t="s">
        <v>257</v>
      </c>
      <c r="D249" t="s">
        <v>43</v>
      </c>
      <c r="E249" t="s">
        <v>44</v>
      </c>
      <c r="F249" t="s">
        <v>1100</v>
      </c>
      <c r="G249" t="s">
        <v>46</v>
      </c>
      <c r="H249">
        <v>2</v>
      </c>
      <c r="I249">
        <v>1.1000000000000001</v>
      </c>
      <c r="J249">
        <v>3.292999999998846</v>
      </c>
      <c r="K249">
        <v>3.3169999999987105</v>
      </c>
      <c r="L249">
        <v>75.852999999999994</v>
      </c>
      <c r="M249">
        <v>75.653000000000006</v>
      </c>
      <c r="N249" t="s">
        <v>1104</v>
      </c>
      <c r="O249" t="s">
        <v>1105</v>
      </c>
      <c r="P249" t="s">
        <v>49</v>
      </c>
      <c r="Q249" s="59">
        <v>45113</v>
      </c>
      <c r="R249" s="59">
        <v>46193</v>
      </c>
      <c r="S249">
        <v>17.251197809719372</v>
      </c>
      <c r="T249">
        <v>75.753</v>
      </c>
      <c r="U249">
        <v>304</v>
      </c>
      <c r="V249">
        <v>17</v>
      </c>
      <c r="W249">
        <v>3</v>
      </c>
      <c r="X249" s="59">
        <v>46013</v>
      </c>
      <c r="Y249" s="66">
        <f t="shared" ca="1" si="6"/>
        <v>0.23833333333333337</v>
      </c>
      <c r="Z249" s="66">
        <f t="shared" ca="1" si="7"/>
        <v>75.51466666666667</v>
      </c>
      <c r="AA249">
        <v>3.3049999999987785</v>
      </c>
    </row>
    <row r="250" spans="1:27" x14ac:dyDescent="0.45">
      <c r="A250" t="s">
        <v>1106</v>
      </c>
      <c r="B250" t="s">
        <v>581</v>
      </c>
      <c r="C250" t="s">
        <v>257</v>
      </c>
      <c r="D250" t="s">
        <v>43</v>
      </c>
      <c r="E250" t="s">
        <v>44</v>
      </c>
      <c r="F250" t="s">
        <v>1107</v>
      </c>
      <c r="G250" t="s">
        <v>46</v>
      </c>
      <c r="H250">
        <v>2</v>
      </c>
      <c r="I250">
        <v>1.8</v>
      </c>
      <c r="J250">
        <v>3.1300000000000026</v>
      </c>
      <c r="K250">
        <v>3.1580000000000004</v>
      </c>
      <c r="L250">
        <v>84.947000000000003</v>
      </c>
      <c r="M250">
        <v>84.679000000000002</v>
      </c>
      <c r="N250" t="s">
        <v>1108</v>
      </c>
      <c r="O250" t="s">
        <v>1109</v>
      </c>
      <c r="P250" t="s">
        <v>49</v>
      </c>
      <c r="Q250" s="59">
        <v>41527</v>
      </c>
      <c r="R250" s="59">
        <v>46101</v>
      </c>
      <c r="S250">
        <v>17.503080082135522</v>
      </c>
      <c r="T250">
        <v>84.813000000000002</v>
      </c>
      <c r="U250">
        <v>188</v>
      </c>
      <c r="V250">
        <v>17.5</v>
      </c>
      <c r="W250">
        <v>13</v>
      </c>
      <c r="X250" s="59">
        <v>45921</v>
      </c>
      <c r="Y250" s="66">
        <f t="shared" ca="1" si="6"/>
        <v>0.85</v>
      </c>
      <c r="Z250" s="66">
        <f t="shared" ca="1" si="7"/>
        <v>83.963000000000008</v>
      </c>
      <c r="AA250">
        <v>3.1440000000000015</v>
      </c>
    </row>
    <row r="251" spans="1:27" x14ac:dyDescent="0.45">
      <c r="A251" t="s">
        <v>1110</v>
      </c>
      <c r="B251" t="s">
        <v>262</v>
      </c>
      <c r="C251" t="s">
        <v>257</v>
      </c>
      <c r="D251" t="s">
        <v>43</v>
      </c>
      <c r="E251" t="s">
        <v>44</v>
      </c>
      <c r="F251" t="s">
        <v>1107</v>
      </c>
      <c r="G251" t="s">
        <v>46</v>
      </c>
      <c r="H251">
        <v>2</v>
      </c>
      <c r="I251">
        <v>1.5</v>
      </c>
      <c r="J251">
        <v>3.2019999999999653</v>
      </c>
      <c r="K251">
        <v>3.2279999999999598</v>
      </c>
      <c r="L251">
        <v>80.893000000000001</v>
      </c>
      <c r="M251">
        <v>80.656999999999996</v>
      </c>
      <c r="N251" t="s">
        <v>1111</v>
      </c>
      <c r="O251" t="s">
        <v>1112</v>
      </c>
      <c r="P251" t="s">
        <v>49</v>
      </c>
      <c r="Q251" s="59">
        <v>45209</v>
      </c>
      <c r="R251" s="59">
        <v>46101</v>
      </c>
      <c r="S251">
        <v>17.503080082135522</v>
      </c>
      <c r="T251">
        <v>80.775000000000006</v>
      </c>
      <c r="U251">
        <v>298</v>
      </c>
      <c r="V251">
        <v>17.5</v>
      </c>
      <c r="W251">
        <v>3</v>
      </c>
      <c r="X251" s="59">
        <v>45921</v>
      </c>
      <c r="Y251" s="66">
        <f t="shared" ca="1" si="6"/>
        <v>0.70833333333333326</v>
      </c>
      <c r="Z251" s="66">
        <f t="shared" ca="1" si="7"/>
        <v>80.066666666666677</v>
      </c>
      <c r="AA251">
        <v>3.2149999999999626</v>
      </c>
    </row>
    <row r="252" spans="1:27" x14ac:dyDescent="0.45">
      <c r="A252" t="s">
        <v>1113</v>
      </c>
      <c r="B252" t="s">
        <v>581</v>
      </c>
      <c r="C252" t="s">
        <v>257</v>
      </c>
      <c r="D252" t="s">
        <v>43</v>
      </c>
      <c r="E252" t="s">
        <v>44</v>
      </c>
      <c r="F252" t="s">
        <v>1114</v>
      </c>
      <c r="G252" t="s">
        <v>46</v>
      </c>
      <c r="H252">
        <v>2</v>
      </c>
      <c r="I252">
        <v>1.7</v>
      </c>
      <c r="J252">
        <v>3.1779999999999964</v>
      </c>
      <c r="K252">
        <v>3.2039999999999931</v>
      </c>
      <c r="L252">
        <v>83.210999999999999</v>
      </c>
      <c r="M252">
        <v>82.965999999999994</v>
      </c>
      <c r="N252" t="s">
        <v>1115</v>
      </c>
      <c r="O252" t="s">
        <v>1116</v>
      </c>
      <c r="P252" t="s">
        <v>49</v>
      </c>
      <c r="Q252" s="59">
        <v>41618</v>
      </c>
      <c r="R252" s="59">
        <v>46193</v>
      </c>
      <c r="S252">
        <v>17.752224503764545</v>
      </c>
      <c r="T252">
        <v>83.088499999999996</v>
      </c>
      <c r="U252">
        <v>190</v>
      </c>
      <c r="V252">
        <v>17.5</v>
      </c>
      <c r="W252">
        <v>13</v>
      </c>
      <c r="X252" s="59">
        <v>46013</v>
      </c>
      <c r="Y252" s="66">
        <f t="shared" ca="1" si="6"/>
        <v>0.36833333333333335</v>
      </c>
      <c r="Z252" s="66">
        <f t="shared" ca="1" si="7"/>
        <v>82.720166666666657</v>
      </c>
      <c r="AA252">
        <v>3.1909999999999945</v>
      </c>
    </row>
    <row r="253" spans="1:27" x14ac:dyDescent="0.45">
      <c r="A253" t="s">
        <v>1117</v>
      </c>
      <c r="B253" t="s">
        <v>262</v>
      </c>
      <c r="C253" t="s">
        <v>257</v>
      </c>
      <c r="D253" t="s">
        <v>43</v>
      </c>
      <c r="E253" t="s">
        <v>44</v>
      </c>
      <c r="F253" t="s">
        <v>1114</v>
      </c>
      <c r="G253" t="s">
        <v>46</v>
      </c>
      <c r="H253">
        <v>2</v>
      </c>
      <c r="I253">
        <v>1.3</v>
      </c>
      <c r="J253">
        <v>3.2859999999997211</v>
      </c>
      <c r="K253">
        <v>3.3109999999996833</v>
      </c>
      <c r="L253">
        <v>77.713999999999999</v>
      </c>
      <c r="M253">
        <v>77.497</v>
      </c>
      <c r="N253" t="s">
        <v>1118</v>
      </c>
      <c r="O253" t="s">
        <v>1119</v>
      </c>
      <c r="P253" t="s">
        <v>49</v>
      </c>
      <c r="Q253" s="59">
        <v>45302</v>
      </c>
      <c r="R253" s="59">
        <v>46193</v>
      </c>
      <c r="S253">
        <v>17.752224503764545</v>
      </c>
      <c r="T253">
        <v>77.605500000000006</v>
      </c>
      <c r="U253">
        <v>292</v>
      </c>
      <c r="V253">
        <v>17.5</v>
      </c>
      <c r="W253">
        <v>2</v>
      </c>
      <c r="X253" s="59">
        <v>46013</v>
      </c>
      <c r="Y253" s="66">
        <f t="shared" ca="1" si="6"/>
        <v>0.28166666666666668</v>
      </c>
      <c r="Z253" s="66">
        <f t="shared" ca="1" si="7"/>
        <v>77.32383333333334</v>
      </c>
      <c r="AA253">
        <v>3.2984999999997022</v>
      </c>
    </row>
    <row r="254" spans="1:27" x14ac:dyDescent="0.45">
      <c r="A254" t="s">
        <v>1120</v>
      </c>
      <c r="B254" t="s">
        <v>581</v>
      </c>
      <c r="C254" t="s">
        <v>257</v>
      </c>
      <c r="D254" t="s">
        <v>43</v>
      </c>
      <c r="E254" t="s">
        <v>44</v>
      </c>
      <c r="F254" t="s">
        <v>1121</v>
      </c>
      <c r="G254" t="s">
        <v>46</v>
      </c>
      <c r="H254">
        <v>2</v>
      </c>
      <c r="I254">
        <v>1.7</v>
      </c>
      <c r="J254">
        <v>3.2059999999999951</v>
      </c>
      <c r="K254">
        <v>3.2339999999999907</v>
      </c>
      <c r="L254">
        <v>82.798000000000002</v>
      </c>
      <c r="M254">
        <v>82.534000000000006</v>
      </c>
      <c r="N254" t="s">
        <v>1122</v>
      </c>
      <c r="O254" t="s">
        <v>1123</v>
      </c>
      <c r="P254" t="s">
        <v>49</v>
      </c>
      <c r="Q254" s="59">
        <v>41704</v>
      </c>
      <c r="R254" s="59">
        <v>46101</v>
      </c>
      <c r="S254">
        <v>18.001368925393567</v>
      </c>
      <c r="T254">
        <v>82.665999999999997</v>
      </c>
      <c r="U254">
        <v>192</v>
      </c>
      <c r="V254">
        <v>18</v>
      </c>
      <c r="W254">
        <v>12</v>
      </c>
      <c r="X254" s="59">
        <v>45921</v>
      </c>
      <c r="Y254" s="66">
        <f t="shared" ca="1" si="6"/>
        <v>0.8027777777777777</v>
      </c>
      <c r="Z254" s="66">
        <f t="shared" ca="1" si="7"/>
        <v>81.86322222222222</v>
      </c>
      <c r="AA254">
        <v>3.2199999999999926</v>
      </c>
    </row>
    <row r="255" spans="1:27" x14ac:dyDescent="0.45">
      <c r="A255" t="s">
        <v>1124</v>
      </c>
      <c r="B255" t="s">
        <v>262</v>
      </c>
      <c r="C255" t="s">
        <v>257</v>
      </c>
      <c r="D255" t="s">
        <v>43</v>
      </c>
      <c r="E255" t="s">
        <v>44</v>
      </c>
      <c r="F255" t="s">
        <v>1121</v>
      </c>
      <c r="G255" t="s">
        <v>46</v>
      </c>
      <c r="H255">
        <v>2</v>
      </c>
      <c r="I255">
        <v>1.6</v>
      </c>
      <c r="J255">
        <v>3.234999999999979</v>
      </c>
      <c r="K255">
        <v>3.2589999999999755</v>
      </c>
      <c r="L255">
        <v>81.385999999999996</v>
      </c>
      <c r="M255">
        <v>81.164000000000001</v>
      </c>
      <c r="N255" t="s">
        <v>1125</v>
      </c>
      <c r="O255" t="s">
        <v>1126</v>
      </c>
      <c r="P255" t="s">
        <v>49</v>
      </c>
      <c r="Q255" s="59">
        <v>45386</v>
      </c>
      <c r="R255" s="59">
        <v>46101</v>
      </c>
      <c r="S255">
        <v>18.001368925393567</v>
      </c>
      <c r="T255">
        <v>81.275000000000006</v>
      </c>
      <c r="U255">
        <v>284</v>
      </c>
      <c r="V255">
        <v>18</v>
      </c>
      <c r="W255">
        <v>2</v>
      </c>
      <c r="X255" s="59">
        <v>45921</v>
      </c>
      <c r="Y255" s="66">
        <f t="shared" ca="1" si="6"/>
        <v>0.75555555555555554</v>
      </c>
      <c r="Z255" s="66">
        <f t="shared" ca="1" si="7"/>
        <v>80.519444444444446</v>
      </c>
      <c r="AA255">
        <v>3.2469999999999772</v>
      </c>
    </row>
    <row r="256" spans="1:27" x14ac:dyDescent="0.45">
      <c r="A256" t="s">
        <v>1127</v>
      </c>
      <c r="B256" t="s">
        <v>581</v>
      </c>
      <c r="C256" t="s">
        <v>257</v>
      </c>
      <c r="D256" t="s">
        <v>43</v>
      </c>
      <c r="E256" t="s">
        <v>44</v>
      </c>
      <c r="F256" t="s">
        <v>1128</v>
      </c>
      <c r="G256" t="s">
        <v>46</v>
      </c>
      <c r="H256">
        <v>2</v>
      </c>
      <c r="I256">
        <v>1.7</v>
      </c>
      <c r="J256">
        <v>3.2309999999999941</v>
      </c>
      <c r="K256">
        <v>3.2599999999999896</v>
      </c>
      <c r="L256">
        <v>82.408000000000001</v>
      </c>
      <c r="M256">
        <v>82.135000000000005</v>
      </c>
      <c r="N256" t="s">
        <v>1129</v>
      </c>
      <c r="O256" t="s">
        <v>1130</v>
      </c>
      <c r="P256" t="s">
        <v>49</v>
      </c>
      <c r="Q256" s="59">
        <v>41795</v>
      </c>
      <c r="R256" s="59">
        <v>46193</v>
      </c>
      <c r="S256">
        <v>18.253251197809718</v>
      </c>
      <c r="T256">
        <v>82.271500000000003</v>
      </c>
      <c r="U256">
        <v>195</v>
      </c>
      <c r="V256">
        <v>18</v>
      </c>
      <c r="W256">
        <v>12</v>
      </c>
      <c r="X256" s="59">
        <v>46013</v>
      </c>
      <c r="Y256" s="66">
        <f t="shared" ca="1" si="6"/>
        <v>0.36833333333333335</v>
      </c>
      <c r="Z256" s="66">
        <f t="shared" ca="1" si="7"/>
        <v>81.903166666666664</v>
      </c>
      <c r="AA256">
        <v>3.2454999999999918</v>
      </c>
    </row>
    <row r="257" spans="1:27" x14ac:dyDescent="0.45">
      <c r="A257" t="s">
        <v>1131</v>
      </c>
      <c r="B257" t="s">
        <v>262</v>
      </c>
      <c r="C257" t="s">
        <v>257</v>
      </c>
      <c r="D257" t="s">
        <v>43</v>
      </c>
      <c r="E257" t="s">
        <v>44</v>
      </c>
      <c r="F257" t="s">
        <v>1128</v>
      </c>
      <c r="G257" t="s">
        <v>46</v>
      </c>
      <c r="H257">
        <v>2</v>
      </c>
      <c r="I257">
        <v>1.9</v>
      </c>
      <c r="J257">
        <v>3.1830000000000007</v>
      </c>
      <c r="K257">
        <v>3.2069999999999981</v>
      </c>
      <c r="L257">
        <v>85.176000000000002</v>
      </c>
      <c r="M257">
        <v>84.941000000000003</v>
      </c>
      <c r="N257" t="s">
        <v>1132</v>
      </c>
      <c r="O257" t="s">
        <v>1133</v>
      </c>
      <c r="P257" t="s">
        <v>49</v>
      </c>
      <c r="Q257" s="59">
        <v>45477</v>
      </c>
      <c r="R257" s="59">
        <v>46193</v>
      </c>
      <c r="S257">
        <v>18.253251197809718</v>
      </c>
      <c r="T257">
        <v>85.058500000000009</v>
      </c>
      <c r="U257">
        <v>272</v>
      </c>
      <c r="V257">
        <v>18</v>
      </c>
      <c r="W257">
        <v>2</v>
      </c>
      <c r="X257" s="59">
        <v>46013</v>
      </c>
      <c r="Y257" s="66">
        <f t="shared" ca="1" si="6"/>
        <v>0.41166666666666668</v>
      </c>
      <c r="Z257" s="66">
        <f t="shared" ca="1" si="7"/>
        <v>84.646833333333348</v>
      </c>
      <c r="AA257">
        <v>3.1949999999999994</v>
      </c>
    </row>
    <row r="258" spans="1:27" x14ac:dyDescent="0.45">
      <c r="A258" t="s">
        <v>1134</v>
      </c>
      <c r="B258" t="s">
        <v>581</v>
      </c>
      <c r="C258" t="s">
        <v>257</v>
      </c>
      <c r="D258" t="s">
        <v>43</v>
      </c>
      <c r="E258" t="s">
        <v>44</v>
      </c>
      <c r="F258" t="s">
        <v>1135</v>
      </c>
      <c r="G258" t="s">
        <v>46</v>
      </c>
      <c r="H258">
        <v>2</v>
      </c>
      <c r="I258">
        <v>1.7</v>
      </c>
      <c r="J258">
        <v>3.2519999999999891</v>
      </c>
      <c r="K258">
        <v>3.2799999999999878</v>
      </c>
      <c r="L258">
        <v>82.057000000000002</v>
      </c>
      <c r="M258">
        <v>81.792000000000002</v>
      </c>
      <c r="N258" t="s">
        <v>1136</v>
      </c>
      <c r="O258" t="s">
        <v>1137</v>
      </c>
      <c r="P258" t="s">
        <v>49</v>
      </c>
      <c r="Q258" s="59">
        <v>41891</v>
      </c>
      <c r="R258" s="59">
        <v>46101</v>
      </c>
      <c r="S258">
        <v>18.505133470225871</v>
      </c>
      <c r="T258">
        <v>81.924499999999995</v>
      </c>
      <c r="U258">
        <v>197</v>
      </c>
      <c r="V258">
        <v>18.5</v>
      </c>
      <c r="W258">
        <v>12</v>
      </c>
      <c r="X258" s="59">
        <v>45921</v>
      </c>
      <c r="Y258" s="66">
        <f t="shared" ref="Y258:Y321" ca="1" si="8">((TODAY()-10)-X258)/180*(I258/2)</f>
        <v>0.8027777777777777</v>
      </c>
      <c r="Z258" s="66">
        <f t="shared" ca="1" si="7"/>
        <v>81.121722222222218</v>
      </c>
      <c r="AA258">
        <v>3.2659999999999885</v>
      </c>
    </row>
    <row r="259" spans="1:27" x14ac:dyDescent="0.45">
      <c r="A259" t="s">
        <v>1138</v>
      </c>
      <c r="B259" t="s">
        <v>262</v>
      </c>
      <c r="C259" t="s">
        <v>257</v>
      </c>
      <c r="D259" t="s">
        <v>43</v>
      </c>
      <c r="E259" t="s">
        <v>44</v>
      </c>
      <c r="F259" t="s">
        <v>1135</v>
      </c>
      <c r="G259" t="s">
        <v>46</v>
      </c>
      <c r="H259">
        <v>2</v>
      </c>
      <c r="I259">
        <v>1.8</v>
      </c>
      <c r="J259">
        <v>3.2319999999999975</v>
      </c>
      <c r="K259">
        <v>3.2559999999999971</v>
      </c>
      <c r="L259">
        <v>83.406000000000006</v>
      </c>
      <c r="M259">
        <v>83.174999999999997</v>
      </c>
      <c r="N259" t="s">
        <v>1139</v>
      </c>
      <c r="O259" t="s">
        <v>1140</v>
      </c>
      <c r="P259" t="s">
        <v>49</v>
      </c>
      <c r="Q259" s="59">
        <v>45582</v>
      </c>
      <c r="R259" s="59">
        <v>46101</v>
      </c>
      <c r="S259">
        <v>18.505133470225871</v>
      </c>
      <c r="T259">
        <v>83.290500000000009</v>
      </c>
      <c r="U259">
        <v>263</v>
      </c>
      <c r="V259">
        <v>18.5</v>
      </c>
      <c r="W259">
        <v>2</v>
      </c>
      <c r="X259" s="59">
        <v>45921</v>
      </c>
      <c r="Y259" s="66">
        <f t="shared" ca="1" si="8"/>
        <v>0.85</v>
      </c>
      <c r="Z259" s="66">
        <f t="shared" ref="Z259:Z322" ca="1" si="9">T259-Y259</f>
        <v>82.440500000000014</v>
      </c>
      <c r="AA259">
        <v>3.2439999999999971</v>
      </c>
    </row>
    <row r="260" spans="1:27" x14ac:dyDescent="0.45">
      <c r="A260" t="s">
        <v>1141</v>
      </c>
      <c r="B260" t="s">
        <v>581</v>
      </c>
      <c r="C260" t="s">
        <v>257</v>
      </c>
      <c r="D260" t="s">
        <v>43</v>
      </c>
      <c r="E260" t="s">
        <v>44</v>
      </c>
      <c r="F260" t="s">
        <v>1142</v>
      </c>
      <c r="G260" t="s">
        <v>46</v>
      </c>
      <c r="H260">
        <v>2</v>
      </c>
      <c r="I260">
        <v>1.5</v>
      </c>
      <c r="J260">
        <v>3.3429999999998983</v>
      </c>
      <c r="K260">
        <v>3.3679999999998835</v>
      </c>
      <c r="L260">
        <v>78.739999999999995</v>
      </c>
      <c r="M260">
        <v>78.513999999999996</v>
      </c>
      <c r="N260" t="s">
        <v>1143</v>
      </c>
      <c r="O260" t="s">
        <v>1144</v>
      </c>
      <c r="P260" t="s">
        <v>49</v>
      </c>
      <c r="Q260" s="59">
        <v>41982</v>
      </c>
      <c r="R260" s="59">
        <v>46193</v>
      </c>
      <c r="S260">
        <v>18.754277891854894</v>
      </c>
      <c r="T260">
        <v>78.626999999999995</v>
      </c>
      <c r="U260">
        <v>199</v>
      </c>
      <c r="V260">
        <v>18.5</v>
      </c>
      <c r="W260">
        <v>12</v>
      </c>
      <c r="X260" s="59">
        <v>46013</v>
      </c>
      <c r="Y260" s="66">
        <f t="shared" ca="1" si="8"/>
        <v>0.32500000000000001</v>
      </c>
      <c r="Z260" s="66">
        <f t="shared" ca="1" si="9"/>
        <v>78.301999999999992</v>
      </c>
      <c r="AA260">
        <v>3.3554999999998909</v>
      </c>
    </row>
    <row r="261" spans="1:27" x14ac:dyDescent="0.45">
      <c r="A261" t="s">
        <v>1145</v>
      </c>
      <c r="B261" t="s">
        <v>262</v>
      </c>
      <c r="C261" t="s">
        <v>257</v>
      </c>
      <c r="D261" t="s">
        <v>43</v>
      </c>
      <c r="E261" t="s">
        <v>44</v>
      </c>
      <c r="F261" t="s">
        <v>1142</v>
      </c>
      <c r="G261" t="s">
        <v>46</v>
      </c>
      <c r="H261">
        <v>2</v>
      </c>
      <c r="I261">
        <v>2</v>
      </c>
      <c r="J261">
        <v>3.2049999999999992</v>
      </c>
      <c r="K261">
        <v>3.2289999999999988</v>
      </c>
      <c r="L261">
        <v>85.875</v>
      </c>
      <c r="M261">
        <v>85.634</v>
      </c>
      <c r="N261" t="s">
        <v>1146</v>
      </c>
      <c r="O261" t="s">
        <v>1147</v>
      </c>
      <c r="P261" t="s">
        <v>49</v>
      </c>
      <c r="Q261" s="59">
        <v>45666</v>
      </c>
      <c r="R261" s="59">
        <v>46193</v>
      </c>
      <c r="S261">
        <v>18.754277891854894</v>
      </c>
      <c r="T261">
        <v>85.754500000000007</v>
      </c>
      <c r="U261">
        <v>256</v>
      </c>
      <c r="V261">
        <v>18.5</v>
      </c>
      <c r="W261">
        <v>1</v>
      </c>
      <c r="X261" s="59">
        <v>46013</v>
      </c>
      <c r="Y261" s="66">
        <f t="shared" ca="1" si="8"/>
        <v>0.43333333333333335</v>
      </c>
      <c r="Z261" s="66">
        <f t="shared" ca="1" si="9"/>
        <v>85.32116666666667</v>
      </c>
      <c r="AA261">
        <v>3.2169999999999987</v>
      </c>
    </row>
    <row r="262" spans="1:27" x14ac:dyDescent="0.45">
      <c r="A262" t="s">
        <v>1148</v>
      </c>
      <c r="B262" t="s">
        <v>581</v>
      </c>
      <c r="C262" t="s">
        <v>257</v>
      </c>
      <c r="D262" t="s">
        <v>43</v>
      </c>
      <c r="E262" t="s">
        <v>44</v>
      </c>
      <c r="F262" t="s">
        <v>1149</v>
      </c>
      <c r="G262" t="s">
        <v>46</v>
      </c>
      <c r="H262">
        <v>2</v>
      </c>
      <c r="I262">
        <v>1.5</v>
      </c>
      <c r="J262">
        <v>3.3679999999998524</v>
      </c>
      <c r="K262">
        <v>3.3949999999998313</v>
      </c>
      <c r="L262">
        <v>78.341999999999999</v>
      </c>
      <c r="M262">
        <v>78.096999999999994</v>
      </c>
      <c r="N262" t="s">
        <v>1150</v>
      </c>
      <c r="O262" t="s">
        <v>1151</v>
      </c>
      <c r="P262" t="s">
        <v>49</v>
      </c>
      <c r="Q262" s="59">
        <v>42068</v>
      </c>
      <c r="R262" s="59">
        <v>46101</v>
      </c>
      <c r="S262">
        <v>19.000684462696782</v>
      </c>
      <c r="T262">
        <v>78.219499999999996</v>
      </c>
      <c r="U262">
        <v>201</v>
      </c>
      <c r="V262">
        <v>19</v>
      </c>
      <c r="W262">
        <v>11</v>
      </c>
      <c r="X262" s="59">
        <v>45921</v>
      </c>
      <c r="Y262" s="66">
        <f t="shared" ca="1" si="8"/>
        <v>0.70833333333333326</v>
      </c>
      <c r="Z262" s="66">
        <f t="shared" ca="1" si="9"/>
        <v>77.511166666666668</v>
      </c>
      <c r="AA262">
        <v>3.3814999999998419</v>
      </c>
    </row>
    <row r="263" spans="1:27" x14ac:dyDescent="0.45">
      <c r="A263" t="s">
        <v>1152</v>
      </c>
      <c r="B263" t="s">
        <v>262</v>
      </c>
      <c r="C263" t="s">
        <v>257</v>
      </c>
      <c r="D263" t="s">
        <v>43</v>
      </c>
      <c r="E263" t="s">
        <v>44</v>
      </c>
      <c r="F263" t="s">
        <v>1149</v>
      </c>
      <c r="G263" t="s">
        <v>46</v>
      </c>
      <c r="H263">
        <v>2</v>
      </c>
      <c r="I263">
        <v>2.4</v>
      </c>
      <c r="J263">
        <v>3.1269999999791045</v>
      </c>
      <c r="K263">
        <v>3.150999999974903</v>
      </c>
      <c r="L263">
        <v>91.328000000000003</v>
      </c>
      <c r="M263">
        <v>91.067999999999998</v>
      </c>
      <c r="N263" t="s">
        <v>1153</v>
      </c>
      <c r="O263" t="s">
        <v>1154</v>
      </c>
      <c r="P263" t="s">
        <v>49</v>
      </c>
      <c r="Q263" s="59">
        <v>45755</v>
      </c>
      <c r="R263" s="59">
        <v>46101</v>
      </c>
      <c r="S263">
        <v>19.000684462696782</v>
      </c>
      <c r="T263">
        <v>91.198000000000008</v>
      </c>
      <c r="U263">
        <v>244</v>
      </c>
      <c r="V263">
        <v>19</v>
      </c>
      <c r="W263">
        <v>1</v>
      </c>
      <c r="X263" s="59">
        <v>45921</v>
      </c>
      <c r="Y263" s="66">
        <f t="shared" ca="1" si="8"/>
        <v>1.1333333333333333</v>
      </c>
      <c r="Z263" s="66">
        <f t="shared" ca="1" si="9"/>
        <v>90.064666666666668</v>
      </c>
      <c r="AA263">
        <v>3.1389999999770035</v>
      </c>
    </row>
    <row r="264" spans="1:27" x14ac:dyDescent="0.45">
      <c r="A264" t="s">
        <v>1155</v>
      </c>
      <c r="B264" t="s">
        <v>581</v>
      </c>
      <c r="C264" t="s">
        <v>257</v>
      </c>
      <c r="D264" t="s">
        <v>43</v>
      </c>
      <c r="E264" t="s">
        <v>44</v>
      </c>
      <c r="F264" t="s">
        <v>1156</v>
      </c>
      <c r="G264" t="s">
        <v>46</v>
      </c>
      <c r="H264">
        <v>2</v>
      </c>
      <c r="I264">
        <v>1.6</v>
      </c>
      <c r="J264">
        <v>3.3629999999999427</v>
      </c>
      <c r="K264">
        <v>3.3899999999999357</v>
      </c>
      <c r="L264">
        <v>79.382999999999996</v>
      </c>
      <c r="M264">
        <v>79.132999999999996</v>
      </c>
      <c r="N264" t="s">
        <v>1157</v>
      </c>
      <c r="O264" t="s">
        <v>1158</v>
      </c>
      <c r="P264" t="s">
        <v>49</v>
      </c>
      <c r="Q264" s="59">
        <v>42159</v>
      </c>
      <c r="R264" s="59">
        <v>46193</v>
      </c>
      <c r="S264">
        <v>19.252566735112936</v>
      </c>
      <c r="T264">
        <v>79.257999999999996</v>
      </c>
      <c r="U264">
        <v>204</v>
      </c>
      <c r="V264">
        <v>19</v>
      </c>
      <c r="W264">
        <v>11</v>
      </c>
      <c r="X264" s="59">
        <v>46013</v>
      </c>
      <c r="Y264" s="66">
        <f t="shared" ca="1" si="8"/>
        <v>0.34666666666666668</v>
      </c>
      <c r="Z264" s="66">
        <f t="shared" ca="1" si="9"/>
        <v>78.911333333333332</v>
      </c>
      <c r="AA264">
        <v>3.3764999999999392</v>
      </c>
    </row>
    <row r="265" spans="1:27" x14ac:dyDescent="0.45">
      <c r="A265" t="s">
        <v>1159</v>
      </c>
      <c r="B265" t="s">
        <v>262</v>
      </c>
      <c r="C265" t="s">
        <v>257</v>
      </c>
      <c r="D265" t="s">
        <v>43</v>
      </c>
      <c r="E265" t="s">
        <v>44</v>
      </c>
      <c r="F265" t="s">
        <v>1156</v>
      </c>
      <c r="G265" t="s">
        <v>46</v>
      </c>
      <c r="H265">
        <v>2</v>
      </c>
      <c r="I265">
        <v>2.5</v>
      </c>
      <c r="J265">
        <v>3.1209999999930313</v>
      </c>
      <c r="K265">
        <v>3.1429999999915448</v>
      </c>
      <c r="L265">
        <v>92.525999999999996</v>
      </c>
      <c r="M265">
        <v>92.281999999999996</v>
      </c>
      <c r="N265" t="s">
        <v>1160</v>
      </c>
      <c r="O265" t="s">
        <v>1161</v>
      </c>
      <c r="P265" t="s">
        <v>49</v>
      </c>
      <c r="Q265" s="59">
        <v>45841</v>
      </c>
      <c r="R265" s="59">
        <v>46193</v>
      </c>
      <c r="S265">
        <v>19.252566735112936</v>
      </c>
      <c r="T265">
        <v>92.403999999999996</v>
      </c>
      <c r="U265">
        <v>234</v>
      </c>
      <c r="V265">
        <v>19</v>
      </c>
      <c r="W265">
        <v>1</v>
      </c>
      <c r="X265" s="59">
        <v>46013</v>
      </c>
      <c r="Y265" s="66">
        <f t="shared" ca="1" si="8"/>
        <v>0.54166666666666674</v>
      </c>
      <c r="Z265" s="66">
        <f t="shared" ca="1" si="9"/>
        <v>91.862333333333325</v>
      </c>
      <c r="AA265">
        <v>3.1319999999922881</v>
      </c>
    </row>
    <row r="266" spans="1:27" x14ac:dyDescent="0.45">
      <c r="A266" t="s">
        <v>1162</v>
      </c>
      <c r="B266" t="s">
        <v>581</v>
      </c>
      <c r="C266" t="s">
        <v>257</v>
      </c>
      <c r="D266" t="s">
        <v>43</v>
      </c>
      <c r="E266" t="s">
        <v>44</v>
      </c>
      <c r="F266" t="s">
        <v>1163</v>
      </c>
      <c r="G266" t="s">
        <v>46</v>
      </c>
      <c r="H266">
        <v>2</v>
      </c>
      <c r="I266">
        <v>1.4</v>
      </c>
      <c r="J266">
        <v>3.4499999999993993</v>
      </c>
      <c r="K266">
        <v>3.4779999999993154</v>
      </c>
      <c r="L266">
        <v>76.082999999999998</v>
      </c>
      <c r="M266">
        <v>75.834999999999994</v>
      </c>
      <c r="N266" t="s">
        <v>1164</v>
      </c>
      <c r="O266" t="s">
        <v>1165</v>
      </c>
      <c r="P266" t="s">
        <v>49</v>
      </c>
      <c r="Q266" s="59">
        <v>42255</v>
      </c>
      <c r="R266" s="59">
        <v>46101</v>
      </c>
      <c r="S266">
        <v>19.504449007529089</v>
      </c>
      <c r="T266">
        <v>75.959000000000003</v>
      </c>
      <c r="U266">
        <v>218</v>
      </c>
      <c r="V266">
        <v>19.5</v>
      </c>
      <c r="W266">
        <v>11</v>
      </c>
      <c r="X266" s="59">
        <v>45921</v>
      </c>
      <c r="Y266" s="66">
        <f t="shared" ca="1" si="8"/>
        <v>0.66111111111111109</v>
      </c>
      <c r="Z266" s="66">
        <f t="shared" ca="1" si="9"/>
        <v>75.297888888888892</v>
      </c>
      <c r="AA266">
        <v>3.4639999999993574</v>
      </c>
    </row>
    <row r="267" spans="1:27" x14ac:dyDescent="0.45">
      <c r="A267" t="s">
        <v>1166</v>
      </c>
      <c r="B267" t="s">
        <v>262</v>
      </c>
      <c r="C267" t="s">
        <v>257</v>
      </c>
      <c r="D267" t="s">
        <v>43</v>
      </c>
      <c r="E267" t="s">
        <v>44</v>
      </c>
      <c r="F267" t="s">
        <v>1163</v>
      </c>
      <c r="G267" t="s">
        <v>46</v>
      </c>
      <c r="H267">
        <v>2</v>
      </c>
      <c r="I267">
        <v>2.7</v>
      </c>
      <c r="J267">
        <v>3.0909999999995401</v>
      </c>
      <c r="K267">
        <v>3.1179999999993404</v>
      </c>
      <c r="L267">
        <v>95.238</v>
      </c>
      <c r="M267">
        <v>94.926000000000002</v>
      </c>
      <c r="N267" t="s">
        <v>1167</v>
      </c>
      <c r="O267" t="s">
        <v>1168</v>
      </c>
      <c r="P267" t="s">
        <v>49</v>
      </c>
      <c r="Q267" s="59">
        <v>45938</v>
      </c>
      <c r="R267" s="59">
        <v>46101</v>
      </c>
      <c r="S267">
        <v>19.504449007529089</v>
      </c>
      <c r="T267">
        <v>95.081999999999994</v>
      </c>
      <c r="U267">
        <v>224</v>
      </c>
      <c r="V267">
        <v>19.5</v>
      </c>
      <c r="W267">
        <v>1</v>
      </c>
      <c r="X267" s="59">
        <v>45921</v>
      </c>
      <c r="Y267" s="66">
        <f t="shared" ca="1" si="8"/>
        <v>1.2750000000000001</v>
      </c>
      <c r="Z267" s="66">
        <f t="shared" ca="1" si="9"/>
        <v>93.806999999999988</v>
      </c>
      <c r="AA267">
        <v>3.1044999999994403</v>
      </c>
    </row>
    <row r="268" spans="1:27" x14ac:dyDescent="0.45">
      <c r="A268" t="s">
        <v>1169</v>
      </c>
      <c r="B268" t="s">
        <v>581</v>
      </c>
      <c r="C268" t="s">
        <v>257</v>
      </c>
      <c r="D268" t="s">
        <v>43</v>
      </c>
      <c r="E268" t="s">
        <v>44</v>
      </c>
      <c r="F268" t="s">
        <v>1170</v>
      </c>
      <c r="G268" t="s">
        <v>46</v>
      </c>
      <c r="H268">
        <v>2</v>
      </c>
      <c r="I268">
        <v>1.4</v>
      </c>
      <c r="J268">
        <v>3.4799999999993383</v>
      </c>
      <c r="K268">
        <v>3.5079999999992468</v>
      </c>
      <c r="L268">
        <v>75.634</v>
      </c>
      <c r="M268">
        <v>75.387</v>
      </c>
      <c r="N268" t="s">
        <v>1171</v>
      </c>
      <c r="O268" t="s">
        <v>1172</v>
      </c>
      <c r="P268" t="s">
        <v>49</v>
      </c>
      <c r="Q268" s="59">
        <v>42346</v>
      </c>
      <c r="R268" s="59">
        <v>46193</v>
      </c>
      <c r="S268">
        <v>19.753593429158112</v>
      </c>
      <c r="T268">
        <v>75.510500000000008</v>
      </c>
      <c r="U268">
        <v>209</v>
      </c>
      <c r="V268">
        <v>19.5</v>
      </c>
      <c r="W268">
        <v>11</v>
      </c>
      <c r="X268" s="59">
        <v>46013</v>
      </c>
      <c r="Y268" s="66">
        <f t="shared" ca="1" si="8"/>
        <v>0.30333333333333334</v>
      </c>
      <c r="Z268" s="66">
        <f t="shared" ca="1" si="9"/>
        <v>75.20716666666668</v>
      </c>
      <c r="AA268">
        <v>3.4939999999992928</v>
      </c>
    </row>
    <row r="269" spans="1:27" x14ac:dyDescent="0.45">
      <c r="A269" t="s">
        <v>1173</v>
      </c>
      <c r="B269" t="s">
        <v>262</v>
      </c>
      <c r="C269" t="s">
        <v>257</v>
      </c>
      <c r="D269" t="s">
        <v>43</v>
      </c>
      <c r="E269" t="s">
        <v>44</v>
      </c>
      <c r="F269" t="s">
        <v>1170</v>
      </c>
      <c r="G269" t="s">
        <v>46</v>
      </c>
      <c r="H269">
        <v>2</v>
      </c>
      <c r="I269">
        <v>3.2</v>
      </c>
      <c r="J269">
        <v>3.012999999999995</v>
      </c>
      <c r="K269">
        <v>3.0419999999999976</v>
      </c>
      <c r="L269">
        <v>102.31699999999999</v>
      </c>
      <c r="M269">
        <v>101.95</v>
      </c>
      <c r="N269" t="s">
        <v>1174</v>
      </c>
      <c r="O269" t="s">
        <v>1175</v>
      </c>
      <c r="P269" t="s">
        <v>49</v>
      </c>
      <c r="Q269" s="59">
        <v>46035</v>
      </c>
      <c r="R269" s="59">
        <v>46193</v>
      </c>
      <c r="S269">
        <v>19.753593429158112</v>
      </c>
      <c r="T269">
        <v>102.1335</v>
      </c>
      <c r="U269">
        <v>221</v>
      </c>
      <c r="V269">
        <v>19.5</v>
      </c>
      <c r="W269">
        <v>0</v>
      </c>
      <c r="X269" s="59">
        <v>46013</v>
      </c>
      <c r="Y269" s="66">
        <f t="shared" ca="1" si="8"/>
        <v>0.69333333333333336</v>
      </c>
      <c r="Z269" s="66">
        <f t="shared" ca="1" si="9"/>
        <v>101.44016666666667</v>
      </c>
      <c r="AA269">
        <v>3.0274999999999963</v>
      </c>
    </row>
    <row r="270" spans="1:27" x14ac:dyDescent="0.45">
      <c r="A270" t="s">
        <v>1176</v>
      </c>
      <c r="B270" t="s">
        <v>581</v>
      </c>
      <c r="C270" t="s">
        <v>257</v>
      </c>
      <c r="D270" t="s">
        <v>43</v>
      </c>
      <c r="E270" t="s">
        <v>44</v>
      </c>
      <c r="F270" t="s">
        <v>1177</v>
      </c>
      <c r="G270" t="s">
        <v>46</v>
      </c>
      <c r="H270">
        <v>2</v>
      </c>
      <c r="I270">
        <v>0.8</v>
      </c>
      <c r="J270">
        <v>3.7409999999999992</v>
      </c>
      <c r="K270">
        <v>3.7779999999999987</v>
      </c>
      <c r="L270">
        <v>66.331999999999994</v>
      </c>
      <c r="M270">
        <v>66.052999999999997</v>
      </c>
      <c r="N270" t="s">
        <v>1178</v>
      </c>
      <c r="O270" t="s">
        <v>1179</v>
      </c>
      <c r="P270" t="s">
        <v>49</v>
      </c>
      <c r="Q270" s="59">
        <v>42437</v>
      </c>
      <c r="R270" s="59">
        <v>46101</v>
      </c>
      <c r="S270">
        <v>20</v>
      </c>
      <c r="T270">
        <v>66.192499999999995</v>
      </c>
      <c r="U270">
        <v>207</v>
      </c>
      <c r="V270">
        <v>20</v>
      </c>
      <c r="W270">
        <v>10</v>
      </c>
      <c r="X270" s="59">
        <v>45921</v>
      </c>
      <c r="Y270" s="66">
        <f t="shared" ca="1" si="8"/>
        <v>0.37777777777777777</v>
      </c>
      <c r="Z270" s="66">
        <f t="shared" ca="1" si="9"/>
        <v>65.814722222222215</v>
      </c>
      <c r="AA270">
        <v>3.7594999999999992</v>
      </c>
    </row>
    <row r="271" spans="1:27" x14ac:dyDescent="0.45">
      <c r="A271" t="s">
        <v>1180</v>
      </c>
      <c r="B271" t="s">
        <v>581</v>
      </c>
      <c r="C271" t="s">
        <v>257</v>
      </c>
      <c r="D271" t="s">
        <v>43</v>
      </c>
      <c r="E271" t="s">
        <v>44</v>
      </c>
      <c r="F271" t="s">
        <v>1181</v>
      </c>
      <c r="G271" t="s">
        <v>46</v>
      </c>
      <c r="H271">
        <v>2</v>
      </c>
      <c r="I271">
        <v>0.3</v>
      </c>
      <c r="J271">
        <v>4.0339999999999367</v>
      </c>
      <c r="K271">
        <v>4.0719999999999255</v>
      </c>
      <c r="L271">
        <v>58.354999999999997</v>
      </c>
      <c r="M271">
        <v>58.109000000000002</v>
      </c>
      <c r="N271" t="s">
        <v>1182</v>
      </c>
      <c r="O271" t="s">
        <v>1183</v>
      </c>
      <c r="P271" t="s">
        <v>49</v>
      </c>
      <c r="Q271" s="59">
        <v>42528</v>
      </c>
      <c r="R271" s="59">
        <v>46193</v>
      </c>
      <c r="S271">
        <v>20.251882272416154</v>
      </c>
      <c r="T271">
        <v>58.231999999999999</v>
      </c>
      <c r="U271">
        <v>213</v>
      </c>
      <c r="V271">
        <v>20</v>
      </c>
      <c r="W271">
        <v>10</v>
      </c>
      <c r="X271" s="59">
        <v>46013</v>
      </c>
      <c r="Y271" s="66">
        <f t="shared" ca="1" si="8"/>
        <v>6.5000000000000002E-2</v>
      </c>
      <c r="Z271" s="66">
        <f t="shared" ca="1" si="9"/>
        <v>58.167000000000002</v>
      </c>
      <c r="AA271">
        <v>4.0529999999999315</v>
      </c>
    </row>
    <row r="272" spans="1:27" x14ac:dyDescent="0.45">
      <c r="A272" t="s">
        <v>1184</v>
      </c>
      <c r="B272" t="s">
        <v>581</v>
      </c>
      <c r="C272" t="s">
        <v>257</v>
      </c>
      <c r="D272" t="s">
        <v>43</v>
      </c>
      <c r="E272" t="s">
        <v>44</v>
      </c>
      <c r="F272" t="s">
        <v>1185</v>
      </c>
      <c r="G272" t="s">
        <v>46</v>
      </c>
      <c r="H272">
        <v>2</v>
      </c>
      <c r="I272">
        <v>0.5</v>
      </c>
      <c r="J272">
        <v>3.9559999999999942</v>
      </c>
      <c r="K272">
        <v>3.992999999999991</v>
      </c>
      <c r="L272">
        <v>60.850999999999999</v>
      </c>
      <c r="M272">
        <v>60.597000000000001</v>
      </c>
      <c r="N272" t="s">
        <v>1186</v>
      </c>
      <c r="O272" t="s">
        <v>1187</v>
      </c>
      <c r="P272" t="s">
        <v>49</v>
      </c>
      <c r="Q272" s="59">
        <v>42619</v>
      </c>
      <c r="R272" s="59">
        <v>46101</v>
      </c>
      <c r="S272">
        <v>20.503764544832308</v>
      </c>
      <c r="T272">
        <v>60.724000000000004</v>
      </c>
      <c r="U272">
        <v>216</v>
      </c>
      <c r="V272">
        <v>20.5</v>
      </c>
      <c r="W272">
        <v>10</v>
      </c>
      <c r="X272" s="59">
        <v>45921</v>
      </c>
      <c r="Y272" s="66">
        <f t="shared" ca="1" si="8"/>
        <v>0.2361111111111111</v>
      </c>
      <c r="Z272" s="66">
        <f t="shared" ca="1" si="9"/>
        <v>60.487888888888889</v>
      </c>
      <c r="AA272">
        <v>3.9744999999999928</v>
      </c>
    </row>
    <row r="273" spans="1:27" x14ac:dyDescent="0.45">
      <c r="A273" t="s">
        <v>1188</v>
      </c>
      <c r="B273" t="s">
        <v>581</v>
      </c>
      <c r="C273" t="s">
        <v>257</v>
      </c>
      <c r="D273" t="s">
        <v>43</v>
      </c>
      <c r="E273" t="s">
        <v>44</v>
      </c>
      <c r="F273" t="s">
        <v>1189</v>
      </c>
      <c r="G273" t="s">
        <v>46</v>
      </c>
      <c r="H273">
        <v>2</v>
      </c>
      <c r="I273">
        <v>0.6</v>
      </c>
      <c r="J273">
        <v>3.9399999999999977</v>
      </c>
      <c r="K273">
        <v>3.9749999999999974</v>
      </c>
      <c r="L273">
        <v>61.843000000000004</v>
      </c>
      <c r="M273">
        <v>61.597000000000001</v>
      </c>
      <c r="N273" t="s">
        <v>1190</v>
      </c>
      <c r="O273" t="s">
        <v>1191</v>
      </c>
      <c r="P273" t="s">
        <v>49</v>
      </c>
      <c r="Q273" s="59">
        <v>42712</v>
      </c>
      <c r="R273" s="59">
        <v>46193</v>
      </c>
      <c r="S273">
        <v>20.752908966461327</v>
      </c>
      <c r="T273">
        <v>61.72</v>
      </c>
      <c r="U273">
        <v>2</v>
      </c>
      <c r="V273">
        <v>20.5</v>
      </c>
      <c r="W273">
        <v>10</v>
      </c>
      <c r="X273" s="59">
        <v>46013</v>
      </c>
      <c r="Y273" s="66">
        <f t="shared" ca="1" si="8"/>
        <v>0.13</v>
      </c>
      <c r="Z273" s="66">
        <f t="shared" ca="1" si="9"/>
        <v>61.589999999999996</v>
      </c>
      <c r="AA273">
        <v>3.9574999999999978</v>
      </c>
    </row>
    <row r="274" spans="1:27" x14ac:dyDescent="0.45">
      <c r="A274" t="s">
        <v>1192</v>
      </c>
      <c r="B274" t="s">
        <v>581</v>
      </c>
      <c r="C274" t="s">
        <v>257</v>
      </c>
      <c r="D274" t="s">
        <v>43</v>
      </c>
      <c r="E274" t="s">
        <v>44</v>
      </c>
      <c r="F274" t="s">
        <v>1193</v>
      </c>
      <c r="G274" t="s">
        <v>46</v>
      </c>
      <c r="H274">
        <v>2</v>
      </c>
      <c r="I274">
        <v>0.8</v>
      </c>
      <c r="J274">
        <v>3.862000000000001</v>
      </c>
      <c r="K274">
        <v>3.9009999999999998</v>
      </c>
      <c r="L274">
        <v>64.472999999999999</v>
      </c>
      <c r="M274">
        <v>64.183000000000007</v>
      </c>
      <c r="N274" t="s">
        <v>1194</v>
      </c>
      <c r="O274" t="s">
        <v>1195</v>
      </c>
      <c r="P274" t="s">
        <v>49</v>
      </c>
      <c r="Q274" s="59">
        <v>42801</v>
      </c>
      <c r="R274" s="59">
        <v>46101</v>
      </c>
      <c r="S274">
        <v>20.999315537303218</v>
      </c>
      <c r="T274">
        <v>64.328000000000003</v>
      </c>
      <c r="U274">
        <v>5</v>
      </c>
      <c r="V274">
        <v>20.5</v>
      </c>
      <c r="W274">
        <v>9</v>
      </c>
      <c r="X274" s="59">
        <v>45921</v>
      </c>
      <c r="Y274" s="66">
        <f t="shared" ca="1" si="8"/>
        <v>0.37777777777777777</v>
      </c>
      <c r="Z274" s="66">
        <f t="shared" ca="1" si="9"/>
        <v>63.950222222222223</v>
      </c>
      <c r="AA274">
        <v>3.8815000000000004</v>
      </c>
    </row>
    <row r="275" spans="1:27" x14ac:dyDescent="0.45">
      <c r="A275" t="s">
        <v>1196</v>
      </c>
      <c r="B275" t="s">
        <v>581</v>
      </c>
      <c r="C275" t="s">
        <v>257</v>
      </c>
      <c r="D275" t="s">
        <v>43</v>
      </c>
      <c r="E275" t="s">
        <v>44</v>
      </c>
      <c r="F275" t="s">
        <v>1197</v>
      </c>
      <c r="G275" t="s">
        <v>46</v>
      </c>
      <c r="H275">
        <v>2</v>
      </c>
      <c r="I275">
        <v>0.8</v>
      </c>
      <c r="J275">
        <v>3.8949999999999991</v>
      </c>
      <c r="K275">
        <v>3.9339999999999997</v>
      </c>
      <c r="L275">
        <v>63.993000000000002</v>
      </c>
      <c r="M275">
        <v>63.704000000000001</v>
      </c>
      <c r="N275" t="s">
        <v>1198</v>
      </c>
      <c r="O275" t="s">
        <v>1199</v>
      </c>
      <c r="P275" t="s">
        <v>49</v>
      </c>
      <c r="Q275" s="59">
        <v>42892</v>
      </c>
      <c r="R275" s="59">
        <v>46193</v>
      </c>
      <c r="S275">
        <v>21.251197809719372</v>
      </c>
      <c r="T275">
        <v>63.848500000000001</v>
      </c>
      <c r="U275">
        <v>9</v>
      </c>
      <c r="V275">
        <v>21</v>
      </c>
      <c r="W275">
        <v>9</v>
      </c>
      <c r="X275" s="59">
        <v>46013</v>
      </c>
      <c r="Y275" s="66">
        <f t="shared" ca="1" si="8"/>
        <v>0.17333333333333334</v>
      </c>
      <c r="Z275" s="66">
        <f t="shared" ca="1" si="9"/>
        <v>63.675166666666669</v>
      </c>
      <c r="AA275">
        <v>3.9144999999999994</v>
      </c>
    </row>
    <row r="276" spans="1:27" x14ac:dyDescent="0.45">
      <c r="A276" t="s">
        <v>1200</v>
      </c>
      <c r="B276" t="s">
        <v>581</v>
      </c>
      <c r="C276" t="s">
        <v>257</v>
      </c>
      <c r="D276" t="s">
        <v>43</v>
      </c>
      <c r="E276" t="s">
        <v>44</v>
      </c>
      <c r="F276" t="s">
        <v>1201</v>
      </c>
      <c r="G276" t="s">
        <v>46</v>
      </c>
      <c r="H276">
        <v>2</v>
      </c>
      <c r="I276">
        <v>0.8</v>
      </c>
      <c r="J276">
        <v>3.9269999999999987</v>
      </c>
      <c r="K276">
        <v>3.9640000000000004</v>
      </c>
      <c r="L276">
        <v>63.523000000000003</v>
      </c>
      <c r="M276">
        <v>63.25</v>
      </c>
      <c r="N276" t="s">
        <v>1202</v>
      </c>
      <c r="O276" t="s">
        <v>1203</v>
      </c>
      <c r="P276" t="s">
        <v>49</v>
      </c>
      <c r="Q276" s="59">
        <v>42985</v>
      </c>
      <c r="R276" s="59">
        <v>46101</v>
      </c>
      <c r="S276">
        <v>21.503080082135522</v>
      </c>
      <c r="T276">
        <v>63.386499999999998</v>
      </c>
      <c r="U276">
        <v>12</v>
      </c>
      <c r="V276">
        <v>21.5</v>
      </c>
      <c r="W276">
        <v>9</v>
      </c>
      <c r="X276" s="59">
        <v>45921</v>
      </c>
      <c r="Y276" s="66">
        <f t="shared" ca="1" si="8"/>
        <v>0.37777777777777777</v>
      </c>
      <c r="Z276" s="66">
        <f t="shared" ca="1" si="9"/>
        <v>63.008722222222218</v>
      </c>
      <c r="AA276">
        <v>3.9454999999999996</v>
      </c>
    </row>
    <row r="277" spans="1:27" x14ac:dyDescent="0.45">
      <c r="A277" t="s">
        <v>1204</v>
      </c>
      <c r="B277" t="s">
        <v>581</v>
      </c>
      <c r="C277" t="s">
        <v>257</v>
      </c>
      <c r="D277" t="s">
        <v>43</v>
      </c>
      <c r="E277" t="s">
        <v>44</v>
      </c>
      <c r="F277" t="s">
        <v>1205</v>
      </c>
      <c r="G277" t="s">
        <v>46</v>
      </c>
      <c r="H277">
        <v>2</v>
      </c>
      <c r="I277">
        <v>0.8</v>
      </c>
      <c r="J277">
        <v>3.9580000000000002</v>
      </c>
      <c r="K277">
        <v>3.9970000000000003</v>
      </c>
      <c r="L277">
        <v>63.064999999999998</v>
      </c>
      <c r="M277">
        <v>62.779000000000003</v>
      </c>
      <c r="N277" t="s">
        <v>1206</v>
      </c>
      <c r="O277" t="s">
        <v>1207</v>
      </c>
      <c r="P277" t="s">
        <v>49</v>
      </c>
      <c r="Q277" s="59">
        <v>43076</v>
      </c>
      <c r="R277" s="59">
        <v>46193</v>
      </c>
      <c r="S277">
        <v>21.752224503764545</v>
      </c>
      <c r="T277">
        <v>62.921999999999997</v>
      </c>
      <c r="U277">
        <v>15</v>
      </c>
      <c r="V277">
        <v>21.5</v>
      </c>
      <c r="W277">
        <v>9</v>
      </c>
      <c r="X277" s="59">
        <v>46013</v>
      </c>
      <c r="Y277" s="66">
        <f t="shared" ca="1" si="8"/>
        <v>0.17333333333333334</v>
      </c>
      <c r="Z277" s="66">
        <f t="shared" ca="1" si="9"/>
        <v>62.748666666666665</v>
      </c>
      <c r="AA277">
        <v>3.9775</v>
      </c>
    </row>
    <row r="278" spans="1:27" x14ac:dyDescent="0.45">
      <c r="A278" t="s">
        <v>1208</v>
      </c>
      <c r="B278" t="s">
        <v>581</v>
      </c>
      <c r="C278" t="s">
        <v>257</v>
      </c>
      <c r="D278" t="s">
        <v>43</v>
      </c>
      <c r="E278" t="s">
        <v>44</v>
      </c>
      <c r="F278" t="s">
        <v>1209</v>
      </c>
      <c r="G278" t="s">
        <v>46</v>
      </c>
      <c r="H278">
        <v>2</v>
      </c>
      <c r="I278">
        <v>0.8</v>
      </c>
      <c r="J278">
        <v>3.9919999999999982</v>
      </c>
      <c r="K278">
        <v>4.0280000000000005</v>
      </c>
      <c r="L278">
        <v>62.591000000000001</v>
      </c>
      <c r="M278">
        <v>62.329000000000001</v>
      </c>
      <c r="N278" t="s">
        <v>1210</v>
      </c>
      <c r="O278" t="s">
        <v>1211</v>
      </c>
      <c r="P278" t="s">
        <v>49</v>
      </c>
      <c r="Q278" s="59">
        <v>43165</v>
      </c>
      <c r="R278" s="59">
        <v>46101</v>
      </c>
      <c r="S278">
        <v>22.001368925393567</v>
      </c>
      <c r="T278">
        <v>62.46</v>
      </c>
      <c r="U278">
        <v>18</v>
      </c>
      <c r="V278">
        <v>22</v>
      </c>
      <c r="W278">
        <v>8</v>
      </c>
      <c r="X278" s="59">
        <v>45921</v>
      </c>
      <c r="Y278" s="66">
        <f t="shared" ca="1" si="8"/>
        <v>0.37777777777777777</v>
      </c>
      <c r="Z278" s="66">
        <f t="shared" ca="1" si="9"/>
        <v>62.082222222222221</v>
      </c>
      <c r="AA278">
        <v>4.01</v>
      </c>
    </row>
    <row r="279" spans="1:27" x14ac:dyDescent="0.45">
      <c r="A279" t="s">
        <v>1212</v>
      </c>
      <c r="B279" t="s">
        <v>1213</v>
      </c>
      <c r="C279" t="s">
        <v>257</v>
      </c>
      <c r="D279" t="s">
        <v>43</v>
      </c>
      <c r="E279" t="s">
        <v>44</v>
      </c>
      <c r="F279" t="s">
        <v>1209</v>
      </c>
      <c r="G279" t="s">
        <v>46</v>
      </c>
      <c r="H279">
        <v>2</v>
      </c>
      <c r="I279">
        <v>2.4</v>
      </c>
      <c r="J279">
        <v>3.3559999999999999</v>
      </c>
      <c r="K279">
        <v>3.4009999999999998</v>
      </c>
      <c r="L279">
        <v>87.894000000000005</v>
      </c>
      <c r="M279">
        <v>87.396000000000001</v>
      </c>
      <c r="N279" t="s">
        <v>1214</v>
      </c>
      <c r="O279" t="s">
        <v>1215</v>
      </c>
      <c r="P279" t="s">
        <v>49</v>
      </c>
      <c r="Q279" s="59">
        <v>39392</v>
      </c>
      <c r="R279" s="59">
        <v>46101</v>
      </c>
      <c r="S279">
        <v>22.001368925393567</v>
      </c>
      <c r="T279">
        <v>87.64500000000001</v>
      </c>
      <c r="U279">
        <v>121</v>
      </c>
      <c r="V279">
        <v>22</v>
      </c>
      <c r="W279">
        <v>19</v>
      </c>
      <c r="X279" s="59">
        <v>45921</v>
      </c>
      <c r="Y279" s="66">
        <f t="shared" ca="1" si="8"/>
        <v>1.1333333333333333</v>
      </c>
      <c r="Z279" s="66">
        <f t="shared" ca="1" si="9"/>
        <v>86.51166666666667</v>
      </c>
      <c r="AA279">
        <v>3.3784999999999998</v>
      </c>
    </row>
    <row r="280" spans="1:27" x14ac:dyDescent="0.45">
      <c r="A280" t="s">
        <v>1216</v>
      </c>
      <c r="B280" t="s">
        <v>581</v>
      </c>
      <c r="C280" t="s">
        <v>257</v>
      </c>
      <c r="D280" t="s">
        <v>43</v>
      </c>
      <c r="E280" t="s">
        <v>44</v>
      </c>
      <c r="F280" t="s">
        <v>1217</v>
      </c>
      <c r="G280" t="s">
        <v>46</v>
      </c>
      <c r="H280">
        <v>2</v>
      </c>
      <c r="I280">
        <v>0.7</v>
      </c>
      <c r="J280">
        <v>4.0789999999999953</v>
      </c>
      <c r="K280">
        <v>4.1149999999999967</v>
      </c>
      <c r="L280">
        <v>60.564999999999998</v>
      </c>
      <c r="M280">
        <v>60.311</v>
      </c>
      <c r="N280" t="s">
        <v>1218</v>
      </c>
      <c r="O280" t="s">
        <v>1219</v>
      </c>
      <c r="P280" t="s">
        <v>49</v>
      </c>
      <c r="Q280" s="59">
        <v>43286</v>
      </c>
      <c r="R280" s="59">
        <v>46193</v>
      </c>
      <c r="S280">
        <v>22.253251197809718</v>
      </c>
      <c r="T280">
        <v>60.438000000000002</v>
      </c>
      <c r="U280">
        <v>22</v>
      </c>
      <c r="V280">
        <v>22</v>
      </c>
      <c r="W280">
        <v>8</v>
      </c>
      <c r="X280" s="59">
        <v>46013</v>
      </c>
      <c r="Y280" s="66">
        <f t="shared" ca="1" si="8"/>
        <v>0.15166666666666667</v>
      </c>
      <c r="Z280" s="66">
        <f t="shared" ca="1" si="9"/>
        <v>60.286333333333339</v>
      </c>
      <c r="AA280">
        <v>4.096999999999996</v>
      </c>
    </row>
    <row r="281" spans="1:27" x14ac:dyDescent="0.45">
      <c r="A281" t="s">
        <v>1220</v>
      </c>
      <c r="B281" t="s">
        <v>581</v>
      </c>
      <c r="C281" t="s">
        <v>257</v>
      </c>
      <c r="D281" t="s">
        <v>43</v>
      </c>
      <c r="E281" t="s">
        <v>44</v>
      </c>
      <c r="F281" t="s">
        <v>1221</v>
      </c>
      <c r="G281" t="s">
        <v>46</v>
      </c>
      <c r="H281">
        <v>2</v>
      </c>
      <c r="I281">
        <v>0.9</v>
      </c>
      <c r="J281">
        <v>3.9990000000000006</v>
      </c>
      <c r="K281">
        <v>4.0340000000000007</v>
      </c>
      <c r="L281">
        <v>63.274000000000001</v>
      </c>
      <c r="M281">
        <v>63.012999999999998</v>
      </c>
      <c r="N281" t="s">
        <v>1222</v>
      </c>
      <c r="O281" t="s">
        <v>1223</v>
      </c>
      <c r="P281" t="s">
        <v>49</v>
      </c>
      <c r="Q281" s="59">
        <v>43384</v>
      </c>
      <c r="R281" s="59">
        <v>46101</v>
      </c>
      <c r="S281">
        <v>22.505133470225871</v>
      </c>
      <c r="T281">
        <v>63.143500000000003</v>
      </c>
      <c r="U281">
        <v>25</v>
      </c>
      <c r="V281">
        <v>22.5</v>
      </c>
      <c r="W281">
        <v>8</v>
      </c>
      <c r="X281" s="59">
        <v>45921</v>
      </c>
      <c r="Y281" s="66">
        <f t="shared" ca="1" si="8"/>
        <v>0.42499999999999999</v>
      </c>
      <c r="Z281" s="66">
        <f t="shared" ca="1" si="9"/>
        <v>62.718500000000006</v>
      </c>
      <c r="AA281">
        <v>4.0165000000000006</v>
      </c>
    </row>
    <row r="282" spans="1:27" x14ac:dyDescent="0.45">
      <c r="A282" t="s">
        <v>1224</v>
      </c>
      <c r="B282" t="s">
        <v>581</v>
      </c>
      <c r="C282" t="s">
        <v>257</v>
      </c>
      <c r="D282" t="s">
        <v>43</v>
      </c>
      <c r="E282" t="s">
        <v>44</v>
      </c>
      <c r="F282" t="s">
        <v>1225</v>
      </c>
      <c r="G282" t="s">
        <v>46</v>
      </c>
      <c r="H282">
        <v>2</v>
      </c>
      <c r="I282">
        <v>0.7</v>
      </c>
      <c r="J282">
        <v>4.1459999999999937</v>
      </c>
      <c r="K282">
        <v>4.1819999999999951</v>
      </c>
      <c r="L282">
        <v>59.633000000000003</v>
      </c>
      <c r="M282">
        <v>59.381999999999998</v>
      </c>
      <c r="N282" t="s">
        <v>1226</v>
      </c>
      <c r="O282" t="s">
        <v>1227</v>
      </c>
      <c r="P282" t="s">
        <v>49</v>
      </c>
      <c r="Q282" s="59">
        <v>43475</v>
      </c>
      <c r="R282" s="59">
        <v>46193</v>
      </c>
      <c r="S282">
        <v>22.754277891854894</v>
      </c>
      <c r="T282">
        <v>59.5075</v>
      </c>
      <c r="U282">
        <v>28</v>
      </c>
      <c r="V282">
        <v>22.5</v>
      </c>
      <c r="W282">
        <v>7</v>
      </c>
      <c r="X282" s="59">
        <v>46013</v>
      </c>
      <c r="Y282" s="66">
        <f t="shared" ca="1" si="8"/>
        <v>0.15166666666666667</v>
      </c>
      <c r="Z282" s="66">
        <f t="shared" ca="1" si="9"/>
        <v>59.355833333333337</v>
      </c>
      <c r="AA282">
        <v>4.1639999999999944</v>
      </c>
    </row>
    <row r="283" spans="1:27" x14ac:dyDescent="0.45">
      <c r="A283" t="s">
        <v>1228</v>
      </c>
      <c r="B283" t="s">
        <v>1213</v>
      </c>
      <c r="C283" t="s">
        <v>257</v>
      </c>
      <c r="D283" t="s">
        <v>43</v>
      </c>
      <c r="E283" t="s">
        <v>44</v>
      </c>
      <c r="F283" t="s">
        <v>1229</v>
      </c>
      <c r="G283" t="s">
        <v>46</v>
      </c>
      <c r="H283">
        <v>2</v>
      </c>
      <c r="I283">
        <v>2.2000000000000002</v>
      </c>
      <c r="J283">
        <v>3.4869999999999983</v>
      </c>
      <c r="K283">
        <v>3.5340000000000003</v>
      </c>
      <c r="L283">
        <v>83.563999999999993</v>
      </c>
      <c r="M283">
        <v>83.066000000000003</v>
      </c>
      <c r="N283" t="s">
        <v>1230</v>
      </c>
      <c r="O283" t="s">
        <v>1231</v>
      </c>
      <c r="P283" t="s">
        <v>49</v>
      </c>
      <c r="Q283" s="59">
        <v>39947</v>
      </c>
      <c r="R283" s="59">
        <v>46101</v>
      </c>
      <c r="S283">
        <v>23.000684462696782</v>
      </c>
      <c r="T283">
        <v>83.314999999999998</v>
      </c>
      <c r="U283">
        <v>139</v>
      </c>
      <c r="V283">
        <v>23</v>
      </c>
      <c r="W283">
        <v>17</v>
      </c>
      <c r="X283" s="59">
        <v>45921</v>
      </c>
      <c r="Y283" s="66">
        <f t="shared" ca="1" si="8"/>
        <v>1.038888888888889</v>
      </c>
      <c r="Z283" s="66">
        <f t="shared" ca="1" si="9"/>
        <v>82.276111111111106</v>
      </c>
      <c r="AA283">
        <v>3.5104999999999995</v>
      </c>
    </row>
    <row r="284" spans="1:27" x14ac:dyDescent="0.45">
      <c r="A284" t="s">
        <v>1232</v>
      </c>
      <c r="B284" t="s">
        <v>581</v>
      </c>
      <c r="C284" t="s">
        <v>257</v>
      </c>
      <c r="D284" t="s">
        <v>43</v>
      </c>
      <c r="E284" t="s">
        <v>44</v>
      </c>
      <c r="F284" t="s">
        <v>1229</v>
      </c>
      <c r="G284" t="s">
        <v>46</v>
      </c>
      <c r="H284">
        <v>2</v>
      </c>
      <c r="I284">
        <v>0.5</v>
      </c>
      <c r="J284">
        <v>4.3169999999998607</v>
      </c>
      <c r="K284">
        <v>4.3539999999998393</v>
      </c>
      <c r="L284">
        <v>55.927</v>
      </c>
      <c r="M284">
        <v>55.689</v>
      </c>
      <c r="N284" t="s">
        <v>1233</v>
      </c>
      <c r="O284" t="s">
        <v>1234</v>
      </c>
      <c r="P284" t="s">
        <v>49</v>
      </c>
      <c r="Q284" s="59">
        <v>43559</v>
      </c>
      <c r="R284" s="59">
        <v>46101</v>
      </c>
      <c r="S284">
        <v>23.000684462696782</v>
      </c>
      <c r="T284">
        <v>55.808</v>
      </c>
      <c r="U284">
        <v>324</v>
      </c>
      <c r="V284">
        <v>23</v>
      </c>
      <c r="W284">
        <v>7</v>
      </c>
      <c r="X284" s="59">
        <v>45921</v>
      </c>
      <c r="Y284" s="66">
        <f t="shared" ca="1" si="8"/>
        <v>0.2361111111111111</v>
      </c>
      <c r="Z284" s="66">
        <f t="shared" ca="1" si="9"/>
        <v>55.571888888888886</v>
      </c>
      <c r="AA284">
        <v>4.3354999999998505</v>
      </c>
    </row>
    <row r="285" spans="1:27" x14ac:dyDescent="0.45">
      <c r="A285" t="s">
        <v>1235</v>
      </c>
      <c r="B285" t="s">
        <v>581</v>
      </c>
      <c r="C285" t="s">
        <v>257</v>
      </c>
      <c r="D285" t="s">
        <v>43</v>
      </c>
      <c r="E285" t="s">
        <v>44</v>
      </c>
      <c r="F285" t="s">
        <v>1236</v>
      </c>
      <c r="G285" t="s">
        <v>46</v>
      </c>
      <c r="H285">
        <v>2</v>
      </c>
      <c r="I285">
        <v>0.4</v>
      </c>
      <c r="J285">
        <v>4.4309999999993606</v>
      </c>
      <c r="K285">
        <v>4.4689999999992649</v>
      </c>
      <c r="L285">
        <v>53.813000000000002</v>
      </c>
      <c r="M285">
        <v>53.58</v>
      </c>
      <c r="N285" t="s">
        <v>1237</v>
      </c>
      <c r="O285" t="s">
        <v>1238</v>
      </c>
      <c r="P285" t="s">
        <v>49</v>
      </c>
      <c r="Q285" s="59">
        <v>43650</v>
      </c>
      <c r="R285" s="59">
        <v>46193</v>
      </c>
      <c r="S285">
        <v>23.252566735112936</v>
      </c>
      <c r="T285">
        <v>53.6965</v>
      </c>
      <c r="U285">
        <v>32</v>
      </c>
      <c r="V285">
        <v>23</v>
      </c>
      <c r="W285">
        <v>7</v>
      </c>
      <c r="X285" s="59">
        <v>46013</v>
      </c>
      <c r="Y285" s="66">
        <f t="shared" ca="1" si="8"/>
        <v>8.666666666666667E-2</v>
      </c>
      <c r="Z285" s="66">
        <f t="shared" ca="1" si="9"/>
        <v>53.609833333333334</v>
      </c>
      <c r="AA285">
        <v>4.4499999999993127</v>
      </c>
    </row>
    <row r="286" spans="1:27" x14ac:dyDescent="0.45">
      <c r="A286" t="s">
        <v>1239</v>
      </c>
      <c r="B286" t="s">
        <v>581</v>
      </c>
      <c r="C286" t="s">
        <v>257</v>
      </c>
      <c r="D286" t="s">
        <v>43</v>
      </c>
      <c r="E286" t="s">
        <v>44</v>
      </c>
      <c r="F286" t="s">
        <v>1240</v>
      </c>
      <c r="G286" t="s">
        <v>46</v>
      </c>
      <c r="H286">
        <v>2</v>
      </c>
      <c r="I286">
        <v>0.4</v>
      </c>
      <c r="J286">
        <v>4.475999999999023</v>
      </c>
      <c r="K286">
        <v>4.5149999999988726</v>
      </c>
      <c r="L286">
        <v>53.292000000000002</v>
      </c>
      <c r="M286">
        <v>53.055</v>
      </c>
      <c r="N286" t="s">
        <v>1241</v>
      </c>
      <c r="O286" t="s">
        <v>1242</v>
      </c>
      <c r="P286" t="s">
        <v>49</v>
      </c>
      <c r="Q286" s="59">
        <v>43748</v>
      </c>
      <c r="R286" s="59">
        <v>46101</v>
      </c>
      <c r="S286">
        <v>23.504449007529089</v>
      </c>
      <c r="T286">
        <v>53.173500000000004</v>
      </c>
      <c r="U286">
        <v>321</v>
      </c>
      <c r="V286">
        <v>23.5</v>
      </c>
      <c r="W286">
        <v>7</v>
      </c>
      <c r="X286" s="59">
        <v>45921</v>
      </c>
      <c r="Y286" s="66">
        <f t="shared" ca="1" si="8"/>
        <v>0.18888888888888888</v>
      </c>
      <c r="Z286" s="66">
        <f t="shared" ca="1" si="9"/>
        <v>52.984611111111114</v>
      </c>
      <c r="AA286">
        <v>4.4954999999989482</v>
      </c>
    </row>
    <row r="287" spans="1:27" x14ac:dyDescent="0.45">
      <c r="A287" t="s">
        <v>1243</v>
      </c>
      <c r="B287" t="s">
        <v>581</v>
      </c>
      <c r="C287" t="s">
        <v>257</v>
      </c>
      <c r="D287" t="s">
        <v>43</v>
      </c>
      <c r="E287" t="s">
        <v>44</v>
      </c>
      <c r="F287" t="s">
        <v>1244</v>
      </c>
      <c r="G287" t="s">
        <v>46</v>
      </c>
      <c r="H287">
        <v>2</v>
      </c>
      <c r="I287">
        <v>0.4</v>
      </c>
      <c r="J287">
        <v>4.5229999999988379</v>
      </c>
      <c r="K287">
        <v>4.5589999999986786</v>
      </c>
      <c r="L287">
        <v>52.765999999999998</v>
      </c>
      <c r="M287">
        <v>52.55</v>
      </c>
      <c r="N287" t="s">
        <v>1245</v>
      </c>
      <c r="O287" t="s">
        <v>1246</v>
      </c>
      <c r="P287" t="s">
        <v>49</v>
      </c>
      <c r="Q287" s="59">
        <v>43826</v>
      </c>
      <c r="R287" s="59">
        <v>46193</v>
      </c>
      <c r="S287">
        <v>23.753593429158112</v>
      </c>
      <c r="T287">
        <v>52.658000000000001</v>
      </c>
      <c r="U287">
        <v>319</v>
      </c>
      <c r="V287">
        <v>23.5</v>
      </c>
      <c r="W287">
        <v>7</v>
      </c>
      <c r="X287" s="59">
        <v>46013</v>
      </c>
      <c r="Y287" s="66">
        <f t="shared" ca="1" si="8"/>
        <v>8.666666666666667E-2</v>
      </c>
      <c r="Z287" s="66">
        <f t="shared" ca="1" si="9"/>
        <v>52.571333333333335</v>
      </c>
      <c r="AA287">
        <v>4.5409999999987587</v>
      </c>
    </row>
    <row r="288" spans="1:27" x14ac:dyDescent="0.45">
      <c r="A288" t="s">
        <v>1247</v>
      </c>
      <c r="B288" t="s">
        <v>581</v>
      </c>
      <c r="C288" t="s">
        <v>257</v>
      </c>
      <c r="D288" t="s">
        <v>43</v>
      </c>
      <c r="E288" t="s">
        <v>44</v>
      </c>
      <c r="F288" t="s">
        <v>1248</v>
      </c>
      <c r="G288" t="s">
        <v>46</v>
      </c>
      <c r="H288">
        <v>2</v>
      </c>
      <c r="I288">
        <v>0.4</v>
      </c>
      <c r="J288">
        <v>4.5589999999982993</v>
      </c>
      <c r="K288">
        <v>4.5979999999980539</v>
      </c>
      <c r="L288">
        <v>52.314999999999998</v>
      </c>
      <c r="M288">
        <v>52.082000000000001</v>
      </c>
      <c r="N288" t="s">
        <v>1249</v>
      </c>
      <c r="O288" t="s">
        <v>1250</v>
      </c>
      <c r="P288" t="s">
        <v>49</v>
      </c>
      <c r="Q288" s="59">
        <v>43921</v>
      </c>
      <c r="R288" s="59">
        <v>46101</v>
      </c>
      <c r="S288">
        <v>24</v>
      </c>
      <c r="T288">
        <v>52.198499999999996</v>
      </c>
      <c r="U288">
        <v>35</v>
      </c>
      <c r="V288">
        <v>24</v>
      </c>
      <c r="W288">
        <v>6</v>
      </c>
      <c r="X288" s="59">
        <v>45921</v>
      </c>
      <c r="Y288" s="66">
        <f t="shared" ca="1" si="8"/>
        <v>0.18888888888888888</v>
      </c>
      <c r="Z288" s="66">
        <f t="shared" ca="1" si="9"/>
        <v>52.009611111111106</v>
      </c>
      <c r="AA288">
        <v>4.5784999999981766</v>
      </c>
    </row>
    <row r="289" spans="1:27" x14ac:dyDescent="0.45">
      <c r="A289" t="s">
        <v>1251</v>
      </c>
      <c r="B289" t="s">
        <v>1213</v>
      </c>
      <c r="C289" t="s">
        <v>257</v>
      </c>
      <c r="D289" t="s">
        <v>43</v>
      </c>
      <c r="E289" t="s">
        <v>44</v>
      </c>
      <c r="F289" t="s">
        <v>1248</v>
      </c>
      <c r="G289" t="s">
        <v>46</v>
      </c>
      <c r="H289">
        <v>2</v>
      </c>
      <c r="I289">
        <v>2.2000000000000002</v>
      </c>
      <c r="J289">
        <v>3.5829999999999975</v>
      </c>
      <c r="K289">
        <v>3.6259999999999963</v>
      </c>
      <c r="L289">
        <v>82.144999999999996</v>
      </c>
      <c r="M289">
        <v>81.691000000000003</v>
      </c>
      <c r="N289" t="s">
        <v>1252</v>
      </c>
      <c r="O289" t="s">
        <v>1253</v>
      </c>
      <c r="P289" t="s">
        <v>49</v>
      </c>
      <c r="Q289" s="59">
        <v>40311</v>
      </c>
      <c r="R289" s="59">
        <v>46101</v>
      </c>
      <c r="S289">
        <v>24</v>
      </c>
      <c r="T289">
        <v>81.918000000000006</v>
      </c>
      <c r="U289">
        <v>149</v>
      </c>
      <c r="V289">
        <v>24</v>
      </c>
      <c r="W289">
        <v>16</v>
      </c>
      <c r="X289" s="59">
        <v>45921</v>
      </c>
      <c r="Y289" s="66">
        <f t="shared" ca="1" si="8"/>
        <v>1.038888888888889</v>
      </c>
      <c r="Z289" s="66">
        <f t="shared" ca="1" si="9"/>
        <v>80.879111111111115</v>
      </c>
      <c r="AA289">
        <v>3.6044999999999972</v>
      </c>
    </row>
    <row r="290" spans="1:27" x14ac:dyDescent="0.45">
      <c r="A290" t="s">
        <v>1254</v>
      </c>
      <c r="B290" t="s">
        <v>581</v>
      </c>
      <c r="C290" t="s">
        <v>257</v>
      </c>
      <c r="D290" t="s">
        <v>43</v>
      </c>
      <c r="E290" t="s">
        <v>44</v>
      </c>
      <c r="F290" t="s">
        <v>1255</v>
      </c>
      <c r="G290" t="s">
        <v>46</v>
      </c>
      <c r="H290">
        <v>2</v>
      </c>
      <c r="I290">
        <v>0.6</v>
      </c>
      <c r="J290">
        <v>4.4519999999998765</v>
      </c>
      <c r="K290">
        <v>4.4909999999998576</v>
      </c>
      <c r="L290">
        <v>55.061</v>
      </c>
      <c r="M290">
        <v>54.811</v>
      </c>
      <c r="N290" t="s">
        <v>1256</v>
      </c>
      <c r="O290" t="s">
        <v>1257</v>
      </c>
      <c r="P290" t="s">
        <v>49</v>
      </c>
      <c r="Q290" s="59">
        <v>44012</v>
      </c>
      <c r="R290" s="59">
        <v>46193</v>
      </c>
      <c r="S290">
        <v>24.251882272416154</v>
      </c>
      <c r="T290">
        <v>54.936</v>
      </c>
      <c r="U290">
        <v>39</v>
      </c>
      <c r="V290">
        <v>24</v>
      </c>
      <c r="W290">
        <v>6</v>
      </c>
      <c r="X290" s="59">
        <v>46013</v>
      </c>
      <c r="Y290" s="66">
        <f t="shared" ca="1" si="8"/>
        <v>0.13</v>
      </c>
      <c r="Z290" s="66">
        <f t="shared" ca="1" si="9"/>
        <v>54.805999999999997</v>
      </c>
      <c r="AA290">
        <v>4.4714999999998675</v>
      </c>
    </row>
    <row r="291" spans="1:27" x14ac:dyDescent="0.45">
      <c r="A291" t="s">
        <v>1258</v>
      </c>
      <c r="B291" t="s">
        <v>581</v>
      </c>
      <c r="C291" t="s">
        <v>257</v>
      </c>
      <c r="D291" t="s">
        <v>43</v>
      </c>
      <c r="E291" t="s">
        <v>44</v>
      </c>
      <c r="F291" t="s">
        <v>1259</v>
      </c>
      <c r="G291" t="s">
        <v>46</v>
      </c>
      <c r="H291">
        <v>2</v>
      </c>
      <c r="I291">
        <v>0.6</v>
      </c>
      <c r="J291">
        <v>4.497999999999811</v>
      </c>
      <c r="K291">
        <v>4.5419999999997751</v>
      </c>
      <c r="L291">
        <v>54.542999999999999</v>
      </c>
      <c r="M291">
        <v>54.265000000000001</v>
      </c>
      <c r="N291" t="s">
        <v>1260</v>
      </c>
      <c r="O291" t="s">
        <v>1261</v>
      </c>
      <c r="P291" t="s">
        <v>291</v>
      </c>
      <c r="Q291" s="59">
        <v>44103</v>
      </c>
      <c r="R291" s="59">
        <v>46101</v>
      </c>
      <c r="S291">
        <v>24.503764544832308</v>
      </c>
      <c r="T291">
        <v>54.403999999999996</v>
      </c>
      <c r="U291">
        <v>317</v>
      </c>
      <c r="V291">
        <v>24.5</v>
      </c>
      <c r="W291">
        <v>6</v>
      </c>
      <c r="X291" s="59">
        <v>45921</v>
      </c>
      <c r="Y291" s="66">
        <f t="shared" ca="1" si="8"/>
        <v>0.28333333333333333</v>
      </c>
      <c r="Z291" s="66">
        <f t="shared" ca="1" si="9"/>
        <v>54.120666666666665</v>
      </c>
      <c r="AA291">
        <v>4.5199999999997935</v>
      </c>
    </row>
    <row r="292" spans="1:27" x14ac:dyDescent="0.45">
      <c r="A292" t="s">
        <v>1262</v>
      </c>
      <c r="B292" t="s">
        <v>581</v>
      </c>
      <c r="C292" t="s">
        <v>257</v>
      </c>
      <c r="D292" t="s">
        <v>43</v>
      </c>
      <c r="E292" t="s">
        <v>44</v>
      </c>
      <c r="F292" t="s">
        <v>1263</v>
      </c>
      <c r="G292" t="s">
        <v>46</v>
      </c>
      <c r="H292">
        <v>2</v>
      </c>
      <c r="I292">
        <v>0.7</v>
      </c>
      <c r="J292">
        <v>4.4649999999999475</v>
      </c>
      <c r="K292">
        <v>4.5039999999999356</v>
      </c>
      <c r="L292">
        <v>55.712000000000003</v>
      </c>
      <c r="M292">
        <v>55.457999999999998</v>
      </c>
      <c r="N292" t="s">
        <v>1264</v>
      </c>
      <c r="O292" t="s">
        <v>1265</v>
      </c>
      <c r="P292" t="s">
        <v>291</v>
      </c>
      <c r="Q292" s="59">
        <v>44193</v>
      </c>
      <c r="R292" s="59">
        <v>46193</v>
      </c>
      <c r="S292">
        <v>24.752908966461327</v>
      </c>
      <c r="T292">
        <v>55.585000000000001</v>
      </c>
      <c r="U292">
        <v>43</v>
      </c>
      <c r="V292">
        <v>24.5</v>
      </c>
      <c r="W292">
        <v>6</v>
      </c>
      <c r="X292" s="59">
        <v>46013</v>
      </c>
      <c r="Y292" s="66">
        <f t="shared" ca="1" si="8"/>
        <v>0.15166666666666667</v>
      </c>
      <c r="Z292" s="66">
        <f t="shared" ca="1" si="9"/>
        <v>55.433333333333337</v>
      </c>
      <c r="AA292">
        <v>4.484499999999942</v>
      </c>
    </row>
    <row r="293" spans="1:27" x14ac:dyDescent="0.45">
      <c r="A293" t="s">
        <v>1266</v>
      </c>
      <c r="B293" t="s">
        <v>581</v>
      </c>
      <c r="C293" t="s">
        <v>257</v>
      </c>
      <c r="D293" t="s">
        <v>43</v>
      </c>
      <c r="E293" t="s">
        <v>44</v>
      </c>
      <c r="F293" t="s">
        <v>1267</v>
      </c>
      <c r="G293" t="s">
        <v>46</v>
      </c>
      <c r="H293">
        <v>2</v>
      </c>
      <c r="I293">
        <v>0.7</v>
      </c>
      <c r="J293">
        <v>4.5059999999999212</v>
      </c>
      <c r="K293">
        <v>4.5449999999999093</v>
      </c>
      <c r="L293">
        <v>55.235999999999997</v>
      </c>
      <c r="M293">
        <v>54.984000000000002</v>
      </c>
      <c r="N293" t="s">
        <v>1268</v>
      </c>
      <c r="O293" t="s">
        <v>1269</v>
      </c>
      <c r="P293" t="s">
        <v>291</v>
      </c>
      <c r="Q293" s="59">
        <v>44285</v>
      </c>
      <c r="R293" s="59">
        <v>46101</v>
      </c>
      <c r="S293">
        <v>24.999315537303218</v>
      </c>
      <c r="T293">
        <v>55.11</v>
      </c>
      <c r="U293">
        <v>46</v>
      </c>
      <c r="V293">
        <v>24.5</v>
      </c>
      <c r="W293">
        <v>5</v>
      </c>
      <c r="X293" s="59">
        <v>45921</v>
      </c>
      <c r="Y293" s="66">
        <f t="shared" ca="1" si="8"/>
        <v>0.33055555555555555</v>
      </c>
      <c r="Z293" s="66">
        <f t="shared" ca="1" si="9"/>
        <v>54.779444444444444</v>
      </c>
      <c r="AA293">
        <v>4.5254999999999157</v>
      </c>
    </row>
    <row r="294" spans="1:27" x14ac:dyDescent="0.45">
      <c r="A294" t="s">
        <v>1270</v>
      </c>
      <c r="B294" t="s">
        <v>1213</v>
      </c>
      <c r="C294" t="s">
        <v>257</v>
      </c>
      <c r="D294" t="s">
        <v>43</v>
      </c>
      <c r="E294" t="s">
        <v>44</v>
      </c>
      <c r="F294" t="s">
        <v>1267</v>
      </c>
      <c r="G294" t="s">
        <v>46</v>
      </c>
      <c r="H294">
        <v>2</v>
      </c>
      <c r="I294">
        <v>2.2000000000000002</v>
      </c>
      <c r="J294">
        <v>3.6889999999999934</v>
      </c>
      <c r="K294">
        <v>3.7249999999999925</v>
      </c>
      <c r="L294">
        <v>80.625</v>
      </c>
      <c r="M294">
        <v>80.248999999999995</v>
      </c>
      <c r="N294" t="s">
        <v>1271</v>
      </c>
      <c r="O294" t="s">
        <v>1272</v>
      </c>
      <c r="P294" t="s">
        <v>49</v>
      </c>
      <c r="Q294" s="59">
        <v>40680</v>
      </c>
      <c r="R294" s="59">
        <v>46101</v>
      </c>
      <c r="S294">
        <v>24.999315537303218</v>
      </c>
      <c r="T294">
        <v>80.436999999999998</v>
      </c>
      <c r="U294">
        <v>161</v>
      </c>
      <c r="V294">
        <v>24.5</v>
      </c>
      <c r="W294">
        <v>15</v>
      </c>
      <c r="X294" s="59">
        <v>45921</v>
      </c>
      <c r="Y294" s="66">
        <f t="shared" ca="1" si="8"/>
        <v>1.038888888888889</v>
      </c>
      <c r="Z294" s="66">
        <f t="shared" ca="1" si="9"/>
        <v>79.398111111111106</v>
      </c>
      <c r="AA294">
        <v>3.7069999999999927</v>
      </c>
    </row>
    <row r="295" spans="1:27" x14ac:dyDescent="0.45">
      <c r="A295" t="s">
        <v>1273</v>
      </c>
      <c r="B295" t="s">
        <v>581</v>
      </c>
      <c r="C295" t="s">
        <v>257</v>
      </c>
      <c r="D295" t="s">
        <v>43</v>
      </c>
      <c r="E295" t="s">
        <v>44</v>
      </c>
      <c r="F295" t="s">
        <v>1274</v>
      </c>
      <c r="G295" t="s">
        <v>46</v>
      </c>
      <c r="H295">
        <v>2</v>
      </c>
      <c r="I295">
        <v>0.7</v>
      </c>
      <c r="J295">
        <v>4.5459999999999114</v>
      </c>
      <c r="K295">
        <v>4.5859999999998937</v>
      </c>
      <c r="L295">
        <v>54.765999999999998</v>
      </c>
      <c r="M295">
        <v>54.51</v>
      </c>
      <c r="N295" t="s">
        <v>1275</v>
      </c>
      <c r="O295" t="s">
        <v>1276</v>
      </c>
      <c r="P295" t="s">
        <v>291</v>
      </c>
      <c r="Q295" s="59">
        <v>44376</v>
      </c>
      <c r="R295" s="59">
        <v>46193</v>
      </c>
      <c r="S295">
        <v>25.251197809719372</v>
      </c>
      <c r="T295">
        <v>54.637999999999998</v>
      </c>
      <c r="U295">
        <v>51</v>
      </c>
      <c r="V295">
        <v>25</v>
      </c>
      <c r="W295">
        <v>5</v>
      </c>
      <c r="X295" s="59">
        <v>46013</v>
      </c>
      <c r="Y295" s="66">
        <f t="shared" ca="1" si="8"/>
        <v>0.15166666666666667</v>
      </c>
      <c r="Z295" s="66">
        <f t="shared" ca="1" si="9"/>
        <v>54.486333333333334</v>
      </c>
      <c r="AA295">
        <v>4.565999999999903</v>
      </c>
    </row>
    <row r="296" spans="1:27" x14ac:dyDescent="0.45">
      <c r="A296" t="s">
        <v>1277</v>
      </c>
      <c r="B296" t="s">
        <v>581</v>
      </c>
      <c r="C296" t="s">
        <v>257</v>
      </c>
      <c r="D296" t="s">
        <v>43</v>
      </c>
      <c r="E296" t="s">
        <v>44</v>
      </c>
      <c r="F296" t="s">
        <v>1278</v>
      </c>
      <c r="G296" t="s">
        <v>46</v>
      </c>
      <c r="H296">
        <v>2</v>
      </c>
      <c r="I296">
        <v>0.7</v>
      </c>
      <c r="J296">
        <v>4.5909999999998679</v>
      </c>
      <c r="K296">
        <v>4.6299999999998454</v>
      </c>
      <c r="L296">
        <v>54.268999999999998</v>
      </c>
      <c r="M296">
        <v>54.021999999999998</v>
      </c>
      <c r="N296" t="s">
        <v>1279</v>
      </c>
      <c r="O296" t="s">
        <v>1280</v>
      </c>
      <c r="P296" t="s">
        <v>291</v>
      </c>
      <c r="Q296" s="59">
        <v>44474</v>
      </c>
      <c r="R296" s="59">
        <v>46101</v>
      </c>
      <c r="S296">
        <v>25.503080082135522</v>
      </c>
      <c r="T296">
        <v>54.145499999999998</v>
      </c>
      <c r="U296">
        <v>55</v>
      </c>
      <c r="V296">
        <v>25.5</v>
      </c>
      <c r="W296">
        <v>5</v>
      </c>
      <c r="X296" s="59">
        <v>45921</v>
      </c>
      <c r="Y296" s="66">
        <f t="shared" ca="1" si="8"/>
        <v>0.33055555555555555</v>
      </c>
      <c r="Z296" s="66">
        <f t="shared" ca="1" si="9"/>
        <v>53.814944444444443</v>
      </c>
      <c r="AA296">
        <v>4.6104999999998562</v>
      </c>
    </row>
    <row r="297" spans="1:27" x14ac:dyDescent="0.45">
      <c r="A297" t="s">
        <v>1281</v>
      </c>
      <c r="B297" t="s">
        <v>581</v>
      </c>
      <c r="C297" t="s">
        <v>257</v>
      </c>
      <c r="D297" t="s">
        <v>43</v>
      </c>
      <c r="E297" t="s">
        <v>44</v>
      </c>
      <c r="F297" t="s">
        <v>1282</v>
      </c>
      <c r="G297" t="s">
        <v>46</v>
      </c>
      <c r="H297">
        <v>2</v>
      </c>
      <c r="I297">
        <v>0.7</v>
      </c>
      <c r="J297">
        <v>4.6349999999998452</v>
      </c>
      <c r="K297">
        <v>4.6739999999998236</v>
      </c>
      <c r="L297">
        <v>53.784999999999997</v>
      </c>
      <c r="M297">
        <v>53.54</v>
      </c>
      <c r="N297" t="s">
        <v>1283</v>
      </c>
      <c r="O297" t="s">
        <v>1284</v>
      </c>
      <c r="P297" t="s">
        <v>291</v>
      </c>
      <c r="Q297" s="59">
        <v>44558</v>
      </c>
      <c r="R297" s="59">
        <v>46193</v>
      </c>
      <c r="S297">
        <v>25.752224503764545</v>
      </c>
      <c r="T297">
        <v>53.662499999999994</v>
      </c>
      <c r="U297">
        <v>59</v>
      </c>
      <c r="V297">
        <v>25.5</v>
      </c>
      <c r="W297">
        <v>5</v>
      </c>
      <c r="X297" s="59">
        <v>46013</v>
      </c>
      <c r="Y297" s="66">
        <f t="shared" ca="1" si="8"/>
        <v>0.15166666666666667</v>
      </c>
      <c r="Z297" s="66">
        <f t="shared" ca="1" si="9"/>
        <v>53.510833333333331</v>
      </c>
      <c r="AA297">
        <v>4.6544999999998344</v>
      </c>
    </row>
    <row r="298" spans="1:27" x14ac:dyDescent="0.45">
      <c r="A298" t="s">
        <v>1285</v>
      </c>
      <c r="B298" t="s">
        <v>581</v>
      </c>
      <c r="C298" t="s">
        <v>257</v>
      </c>
      <c r="D298" t="s">
        <v>43</v>
      </c>
      <c r="E298" t="s">
        <v>44</v>
      </c>
      <c r="F298" t="s">
        <v>1286</v>
      </c>
      <c r="G298" t="s">
        <v>46</v>
      </c>
      <c r="H298">
        <v>2</v>
      </c>
      <c r="I298">
        <v>1</v>
      </c>
      <c r="J298">
        <v>4.4219999999999979</v>
      </c>
      <c r="K298">
        <v>4.4599999999999973</v>
      </c>
      <c r="L298">
        <v>58.595999999999997</v>
      </c>
      <c r="M298">
        <v>58.326999999999998</v>
      </c>
      <c r="N298" t="s">
        <v>1287</v>
      </c>
      <c r="O298" t="s">
        <v>1288</v>
      </c>
      <c r="P298" t="s">
        <v>49</v>
      </c>
      <c r="Q298" s="59">
        <v>44651</v>
      </c>
      <c r="R298" s="59">
        <v>46101</v>
      </c>
      <c r="S298">
        <v>26.001368925393567</v>
      </c>
      <c r="T298">
        <v>58.461500000000001</v>
      </c>
      <c r="U298">
        <v>63</v>
      </c>
      <c r="V298">
        <v>26</v>
      </c>
      <c r="W298">
        <v>4</v>
      </c>
      <c r="X298" s="59">
        <v>45921</v>
      </c>
      <c r="Y298" s="66">
        <f t="shared" ca="1" si="8"/>
        <v>0.47222222222222221</v>
      </c>
      <c r="Z298" s="66">
        <f t="shared" ca="1" si="9"/>
        <v>57.989277777777779</v>
      </c>
      <c r="AA298">
        <v>4.4409999999999972</v>
      </c>
    </row>
    <row r="299" spans="1:27" x14ac:dyDescent="0.45">
      <c r="A299" t="s">
        <v>1289</v>
      </c>
      <c r="B299" t="s">
        <v>1213</v>
      </c>
      <c r="C299" t="s">
        <v>257</v>
      </c>
      <c r="D299" t="s">
        <v>43</v>
      </c>
      <c r="E299" t="s">
        <v>44</v>
      </c>
      <c r="F299" t="s">
        <v>1286</v>
      </c>
      <c r="G299" t="s">
        <v>46</v>
      </c>
      <c r="H299">
        <v>2</v>
      </c>
      <c r="I299">
        <v>2</v>
      </c>
      <c r="J299">
        <v>3.8589999999998814</v>
      </c>
      <c r="K299">
        <v>3.9069999999998486</v>
      </c>
      <c r="L299">
        <v>75.863</v>
      </c>
      <c r="M299">
        <v>75.393000000000001</v>
      </c>
      <c r="N299" t="s">
        <v>1290</v>
      </c>
      <c r="O299" t="s">
        <v>1291</v>
      </c>
      <c r="P299" t="s">
        <v>49</v>
      </c>
      <c r="Q299" s="59">
        <v>41044</v>
      </c>
      <c r="R299" s="59">
        <v>46101</v>
      </c>
      <c r="S299">
        <v>26.001368925393567</v>
      </c>
      <c r="T299">
        <v>75.628</v>
      </c>
      <c r="U299">
        <v>173</v>
      </c>
      <c r="V299">
        <v>26</v>
      </c>
      <c r="W299">
        <v>14</v>
      </c>
      <c r="X299" s="59">
        <v>45921</v>
      </c>
      <c r="Y299" s="66">
        <f t="shared" ca="1" si="8"/>
        <v>0.94444444444444442</v>
      </c>
      <c r="Z299" s="66">
        <f t="shared" ca="1" si="9"/>
        <v>74.683555555555557</v>
      </c>
      <c r="AA299">
        <v>3.882999999999865</v>
      </c>
    </row>
    <row r="300" spans="1:27" x14ac:dyDescent="0.45">
      <c r="A300" t="s">
        <v>1292</v>
      </c>
      <c r="B300" t="s">
        <v>581</v>
      </c>
      <c r="C300" t="s">
        <v>257</v>
      </c>
      <c r="D300" t="s">
        <v>43</v>
      </c>
      <c r="E300" t="s">
        <v>44</v>
      </c>
      <c r="F300" t="s">
        <v>1293</v>
      </c>
      <c r="G300" t="s">
        <v>46</v>
      </c>
      <c r="H300">
        <v>2</v>
      </c>
      <c r="I300">
        <v>1.3</v>
      </c>
      <c r="J300">
        <v>4.2389999999999981</v>
      </c>
      <c r="K300">
        <v>4.2769999999999992</v>
      </c>
      <c r="L300">
        <v>63.468000000000004</v>
      </c>
      <c r="M300">
        <v>63.168999999999997</v>
      </c>
      <c r="N300" t="s">
        <v>1294</v>
      </c>
      <c r="O300" t="s">
        <v>1295</v>
      </c>
      <c r="P300" t="s">
        <v>49</v>
      </c>
      <c r="Q300" s="59">
        <v>44742</v>
      </c>
      <c r="R300" s="59">
        <v>46193</v>
      </c>
      <c r="S300">
        <v>26.253251197809718</v>
      </c>
      <c r="T300">
        <v>63.3185</v>
      </c>
      <c r="U300">
        <v>69</v>
      </c>
      <c r="V300">
        <v>26</v>
      </c>
      <c r="W300">
        <v>4</v>
      </c>
      <c r="X300" s="59">
        <v>46013</v>
      </c>
      <c r="Y300" s="66">
        <f t="shared" ca="1" si="8"/>
        <v>0.28166666666666668</v>
      </c>
      <c r="Z300" s="66">
        <f t="shared" ca="1" si="9"/>
        <v>63.036833333333334</v>
      </c>
      <c r="AA300">
        <v>4.2579999999999991</v>
      </c>
    </row>
    <row r="301" spans="1:27" x14ac:dyDescent="0.45">
      <c r="A301" t="s">
        <v>1296</v>
      </c>
      <c r="B301" t="s">
        <v>581</v>
      </c>
      <c r="C301" t="s">
        <v>257</v>
      </c>
      <c r="D301" t="s">
        <v>43</v>
      </c>
      <c r="E301" t="s">
        <v>44</v>
      </c>
      <c r="F301" t="s">
        <v>1297</v>
      </c>
      <c r="G301" t="s">
        <v>46</v>
      </c>
      <c r="H301">
        <v>2</v>
      </c>
      <c r="I301">
        <v>1.4</v>
      </c>
      <c r="J301">
        <v>4.1819999999388786</v>
      </c>
      <c r="K301">
        <v>4.222999999929792</v>
      </c>
      <c r="L301">
        <v>65.013999999999996</v>
      </c>
      <c r="M301">
        <v>64.680999999999997</v>
      </c>
      <c r="N301" t="s">
        <v>1298</v>
      </c>
      <c r="O301" t="s">
        <v>1299</v>
      </c>
      <c r="P301" t="s">
        <v>49</v>
      </c>
      <c r="Q301" s="59">
        <v>44839</v>
      </c>
      <c r="R301" s="59">
        <v>46101</v>
      </c>
      <c r="S301">
        <v>26.505133470225871</v>
      </c>
      <c r="T301">
        <v>64.847499999999997</v>
      </c>
      <c r="U301">
        <v>73</v>
      </c>
      <c r="V301">
        <v>26.5</v>
      </c>
      <c r="W301">
        <v>4</v>
      </c>
      <c r="X301" s="59">
        <v>45921</v>
      </c>
      <c r="Y301" s="66">
        <f t="shared" ca="1" si="8"/>
        <v>0.66111111111111109</v>
      </c>
      <c r="Z301" s="66">
        <f t="shared" ca="1" si="9"/>
        <v>64.186388888888885</v>
      </c>
      <c r="AA301">
        <v>4.2024999999343358</v>
      </c>
    </row>
    <row r="302" spans="1:27" x14ac:dyDescent="0.45">
      <c r="A302" t="s">
        <v>1300</v>
      </c>
      <c r="B302" t="s">
        <v>581</v>
      </c>
      <c r="C302" t="s">
        <v>257</v>
      </c>
      <c r="D302" t="s">
        <v>43</v>
      </c>
      <c r="E302" t="s">
        <v>44</v>
      </c>
      <c r="F302" t="s">
        <v>1301</v>
      </c>
      <c r="G302" t="s">
        <v>46</v>
      </c>
      <c r="H302">
        <v>2</v>
      </c>
      <c r="I302">
        <v>1.6</v>
      </c>
      <c r="J302">
        <v>4.0829999999912303</v>
      </c>
      <c r="K302">
        <v>4.1239999999897492</v>
      </c>
      <c r="L302">
        <v>68.239000000000004</v>
      </c>
      <c r="M302">
        <v>67.882999999999996</v>
      </c>
      <c r="N302" t="s">
        <v>1302</v>
      </c>
      <c r="O302" t="s">
        <v>1303</v>
      </c>
      <c r="P302" t="s">
        <v>49</v>
      </c>
      <c r="Q302" s="59">
        <v>44930</v>
      </c>
      <c r="R302" s="59">
        <v>46193</v>
      </c>
      <c r="S302">
        <v>26.754277891854894</v>
      </c>
      <c r="T302">
        <v>68.061000000000007</v>
      </c>
      <c r="U302">
        <v>313</v>
      </c>
      <c r="V302">
        <v>26.5</v>
      </c>
      <c r="W302">
        <v>3</v>
      </c>
      <c r="X302" s="59">
        <v>46013</v>
      </c>
      <c r="Y302" s="66">
        <f t="shared" ca="1" si="8"/>
        <v>0.34666666666666668</v>
      </c>
      <c r="Z302" s="66">
        <f t="shared" ca="1" si="9"/>
        <v>67.714333333333343</v>
      </c>
      <c r="AA302">
        <v>4.1034999999904898</v>
      </c>
    </row>
    <row r="303" spans="1:27" x14ac:dyDescent="0.45">
      <c r="A303" t="s">
        <v>1304</v>
      </c>
      <c r="B303" t="s">
        <v>1213</v>
      </c>
      <c r="C303" t="s">
        <v>257</v>
      </c>
      <c r="D303" t="s">
        <v>43</v>
      </c>
      <c r="E303" t="s">
        <v>44</v>
      </c>
      <c r="F303" t="s">
        <v>1305</v>
      </c>
      <c r="G303" t="s">
        <v>46</v>
      </c>
      <c r="H303">
        <v>2</v>
      </c>
      <c r="I303">
        <v>1.9</v>
      </c>
      <c r="J303">
        <v>3.9379999999995308</v>
      </c>
      <c r="K303">
        <v>3.9839999999994191</v>
      </c>
      <c r="L303">
        <v>73.319999999999993</v>
      </c>
      <c r="M303">
        <v>72.881</v>
      </c>
      <c r="N303" t="s">
        <v>1306</v>
      </c>
      <c r="O303" t="s">
        <v>1307</v>
      </c>
      <c r="P303" t="s">
        <v>49</v>
      </c>
      <c r="Q303" s="59">
        <v>41415</v>
      </c>
      <c r="R303" s="59">
        <v>46101</v>
      </c>
      <c r="S303">
        <v>27.000684462696782</v>
      </c>
      <c r="T303">
        <v>73.100499999999997</v>
      </c>
      <c r="U303">
        <v>185</v>
      </c>
      <c r="V303">
        <v>27</v>
      </c>
      <c r="W303">
        <v>13</v>
      </c>
      <c r="X303" s="59">
        <v>45921</v>
      </c>
      <c r="Y303" s="66">
        <f t="shared" ca="1" si="8"/>
        <v>0.89722222222222214</v>
      </c>
      <c r="Z303" s="66">
        <f t="shared" ca="1" si="9"/>
        <v>72.203277777777771</v>
      </c>
      <c r="AA303">
        <v>3.9609999999994749</v>
      </c>
    </row>
    <row r="304" spans="1:27" x14ac:dyDescent="0.45">
      <c r="A304" t="s">
        <v>1308</v>
      </c>
      <c r="B304" t="s">
        <v>581</v>
      </c>
      <c r="C304" t="s">
        <v>257</v>
      </c>
      <c r="D304" t="s">
        <v>43</v>
      </c>
      <c r="E304" t="s">
        <v>44</v>
      </c>
      <c r="F304" t="s">
        <v>1305</v>
      </c>
      <c r="G304" t="s">
        <v>46</v>
      </c>
      <c r="H304">
        <v>2</v>
      </c>
      <c r="I304">
        <v>1.4</v>
      </c>
      <c r="J304">
        <v>4.2039999999284943</v>
      </c>
      <c r="K304">
        <v>4.2399999999193447</v>
      </c>
      <c r="L304">
        <v>64.527000000000001</v>
      </c>
      <c r="M304">
        <v>64.233999999999995</v>
      </c>
      <c r="N304" t="s">
        <v>1309</v>
      </c>
      <c r="O304" t="s">
        <v>1310</v>
      </c>
      <c r="P304" t="s">
        <v>49</v>
      </c>
      <c r="Q304" s="59">
        <v>45015</v>
      </c>
      <c r="R304" s="59">
        <v>46101</v>
      </c>
      <c r="S304">
        <v>27.000684462696782</v>
      </c>
      <c r="T304">
        <v>64.380499999999998</v>
      </c>
      <c r="U304">
        <v>306</v>
      </c>
      <c r="V304">
        <v>27</v>
      </c>
      <c r="W304">
        <v>3</v>
      </c>
      <c r="X304" s="59">
        <v>45921</v>
      </c>
      <c r="Y304" s="66">
        <f t="shared" ca="1" si="8"/>
        <v>0.66111111111111109</v>
      </c>
      <c r="Z304" s="66">
        <f t="shared" ca="1" si="9"/>
        <v>63.719388888888886</v>
      </c>
      <c r="AA304">
        <v>4.2219999999239199</v>
      </c>
    </row>
    <row r="305" spans="1:27" x14ac:dyDescent="0.45">
      <c r="A305" t="s">
        <v>1311</v>
      </c>
      <c r="B305" t="s">
        <v>581</v>
      </c>
      <c r="C305" t="s">
        <v>257</v>
      </c>
      <c r="D305" t="s">
        <v>43</v>
      </c>
      <c r="E305" t="s">
        <v>44</v>
      </c>
      <c r="F305" t="s">
        <v>1312</v>
      </c>
      <c r="G305" t="s">
        <v>46</v>
      </c>
      <c r="H305">
        <v>2</v>
      </c>
      <c r="I305">
        <v>1.2</v>
      </c>
      <c r="J305">
        <v>4.3379999999999992</v>
      </c>
      <c r="K305">
        <v>4.3750000000000009</v>
      </c>
      <c r="L305">
        <v>60.796999999999997</v>
      </c>
      <c r="M305">
        <v>60.517000000000003</v>
      </c>
      <c r="N305" t="s">
        <v>1313</v>
      </c>
      <c r="O305" t="s">
        <v>1314</v>
      </c>
      <c r="P305" t="s">
        <v>49</v>
      </c>
      <c r="Q305" s="59">
        <v>45106</v>
      </c>
      <c r="R305" s="59">
        <v>46193</v>
      </c>
      <c r="S305">
        <v>27.252566735112936</v>
      </c>
      <c r="T305">
        <v>60.656999999999996</v>
      </c>
      <c r="U305">
        <v>302</v>
      </c>
      <c r="V305">
        <v>27</v>
      </c>
      <c r="W305">
        <v>3</v>
      </c>
      <c r="X305" s="59">
        <v>46013</v>
      </c>
      <c r="Y305" s="66">
        <f t="shared" ca="1" si="8"/>
        <v>0.26</v>
      </c>
      <c r="Z305" s="66">
        <f t="shared" ca="1" si="9"/>
        <v>60.396999999999998</v>
      </c>
      <c r="AA305">
        <v>4.3565000000000005</v>
      </c>
    </row>
    <row r="306" spans="1:27" x14ac:dyDescent="0.45">
      <c r="A306" t="s">
        <v>1315</v>
      </c>
      <c r="B306" t="s">
        <v>581</v>
      </c>
      <c r="C306" t="s">
        <v>257</v>
      </c>
      <c r="D306" t="s">
        <v>43</v>
      </c>
      <c r="E306" t="s">
        <v>44</v>
      </c>
      <c r="F306" t="s">
        <v>1316</v>
      </c>
      <c r="G306" t="s">
        <v>46</v>
      </c>
      <c r="H306">
        <v>2</v>
      </c>
      <c r="I306">
        <v>1.8</v>
      </c>
      <c r="J306">
        <v>4.0019999999984677</v>
      </c>
      <c r="K306">
        <v>4.0349999999982389</v>
      </c>
      <c r="L306">
        <v>71.158000000000001</v>
      </c>
      <c r="M306">
        <v>70.852000000000004</v>
      </c>
      <c r="N306" t="s">
        <v>1317</v>
      </c>
      <c r="O306" t="s">
        <v>1318</v>
      </c>
      <c r="P306" t="s">
        <v>49</v>
      </c>
      <c r="Q306" s="59">
        <v>45197</v>
      </c>
      <c r="R306" s="59">
        <v>46101</v>
      </c>
      <c r="S306">
        <v>27.504449007529089</v>
      </c>
      <c r="T306">
        <v>71.004999999999995</v>
      </c>
      <c r="U306">
        <v>296</v>
      </c>
      <c r="V306">
        <v>27.5</v>
      </c>
      <c r="W306">
        <v>3</v>
      </c>
      <c r="X306" s="59">
        <v>45921</v>
      </c>
      <c r="Y306" s="66">
        <f t="shared" ca="1" si="8"/>
        <v>0.85</v>
      </c>
      <c r="Z306" s="66">
        <f t="shared" ca="1" si="9"/>
        <v>70.155000000000001</v>
      </c>
      <c r="AA306">
        <v>4.0184999999983528</v>
      </c>
    </row>
    <row r="307" spans="1:27" x14ac:dyDescent="0.45">
      <c r="A307" t="s">
        <v>1319</v>
      </c>
      <c r="B307" t="s">
        <v>581</v>
      </c>
      <c r="C307" t="s">
        <v>257</v>
      </c>
      <c r="D307" t="s">
        <v>43</v>
      </c>
      <c r="E307" t="s">
        <v>44</v>
      </c>
      <c r="F307" t="s">
        <v>1320</v>
      </c>
      <c r="G307" t="s">
        <v>46</v>
      </c>
      <c r="H307">
        <v>2</v>
      </c>
      <c r="I307">
        <v>1.6</v>
      </c>
      <c r="J307">
        <v>4.0989999999891928</v>
      </c>
      <c r="K307">
        <v>4.1379999999874881</v>
      </c>
      <c r="L307">
        <v>67.542000000000002</v>
      </c>
      <c r="M307">
        <v>67.201999999999998</v>
      </c>
      <c r="N307" t="s">
        <v>1321</v>
      </c>
      <c r="O307" t="s">
        <v>1322</v>
      </c>
      <c r="P307" t="s">
        <v>49</v>
      </c>
      <c r="Q307" s="59">
        <v>45296</v>
      </c>
      <c r="R307" s="59">
        <v>46193</v>
      </c>
      <c r="S307">
        <v>27.753593429158112</v>
      </c>
      <c r="T307">
        <v>67.372</v>
      </c>
      <c r="U307">
        <v>290</v>
      </c>
      <c r="V307">
        <v>27.5</v>
      </c>
      <c r="W307">
        <v>2</v>
      </c>
      <c r="X307" s="59">
        <v>46013</v>
      </c>
      <c r="Y307" s="66">
        <f t="shared" ca="1" si="8"/>
        <v>0.34666666666666668</v>
      </c>
      <c r="Z307" s="66">
        <f t="shared" ca="1" si="9"/>
        <v>67.025333333333336</v>
      </c>
      <c r="AA307">
        <v>4.1184999999883409</v>
      </c>
    </row>
    <row r="308" spans="1:27" x14ac:dyDescent="0.45">
      <c r="A308" t="s">
        <v>1323</v>
      </c>
      <c r="B308" t="s">
        <v>1213</v>
      </c>
      <c r="C308" t="s">
        <v>257</v>
      </c>
      <c r="D308" t="s">
        <v>43</v>
      </c>
      <c r="E308" t="s">
        <v>44</v>
      </c>
      <c r="F308" t="s">
        <v>1324</v>
      </c>
      <c r="G308" t="s">
        <v>46</v>
      </c>
      <c r="H308">
        <v>2</v>
      </c>
      <c r="I308">
        <v>1.7</v>
      </c>
      <c r="J308">
        <v>4.0059999999962272</v>
      </c>
      <c r="K308">
        <v>4.054999999995399</v>
      </c>
      <c r="L308">
        <v>69.555999999999997</v>
      </c>
      <c r="M308">
        <v>69.108999999999995</v>
      </c>
      <c r="N308" t="s">
        <v>1325</v>
      </c>
      <c r="O308" t="s">
        <v>1326</v>
      </c>
      <c r="P308" t="s">
        <v>49</v>
      </c>
      <c r="Q308" s="59">
        <v>41786</v>
      </c>
      <c r="R308" s="59">
        <v>46101</v>
      </c>
      <c r="S308">
        <v>28</v>
      </c>
      <c r="T308">
        <v>69.332499999999996</v>
      </c>
      <c r="U308">
        <v>194</v>
      </c>
      <c r="V308">
        <v>28</v>
      </c>
      <c r="W308">
        <v>12</v>
      </c>
      <c r="X308" s="59">
        <v>45921</v>
      </c>
      <c r="Y308" s="66">
        <f t="shared" ca="1" si="8"/>
        <v>0.8027777777777777</v>
      </c>
      <c r="Z308" s="66">
        <f t="shared" ca="1" si="9"/>
        <v>68.529722222222219</v>
      </c>
      <c r="AA308">
        <v>4.0304999999958131</v>
      </c>
    </row>
    <row r="309" spans="1:27" x14ac:dyDescent="0.45">
      <c r="A309" t="s">
        <v>1327</v>
      </c>
      <c r="B309" t="s">
        <v>581</v>
      </c>
      <c r="C309" t="s">
        <v>257</v>
      </c>
      <c r="D309" t="s">
        <v>43</v>
      </c>
      <c r="E309" t="s">
        <v>44</v>
      </c>
      <c r="F309" t="s">
        <v>1324</v>
      </c>
      <c r="G309" t="s">
        <v>46</v>
      </c>
      <c r="H309">
        <v>2</v>
      </c>
      <c r="I309">
        <v>1.8</v>
      </c>
      <c r="J309">
        <v>3.9999999999983826</v>
      </c>
      <c r="K309">
        <v>4.0389999999980901</v>
      </c>
      <c r="L309">
        <v>70.932000000000002</v>
      </c>
      <c r="M309">
        <v>70.569000000000003</v>
      </c>
      <c r="N309" t="s">
        <v>1328</v>
      </c>
      <c r="O309" t="s">
        <v>1329</v>
      </c>
      <c r="P309" t="s">
        <v>49</v>
      </c>
      <c r="Q309" s="59">
        <v>45379</v>
      </c>
      <c r="R309" s="59">
        <v>46101</v>
      </c>
      <c r="S309">
        <v>28</v>
      </c>
      <c r="T309">
        <v>70.750500000000002</v>
      </c>
      <c r="U309">
        <v>282</v>
      </c>
      <c r="V309">
        <v>28</v>
      </c>
      <c r="W309">
        <v>2</v>
      </c>
      <c r="X309" s="59">
        <v>45921</v>
      </c>
      <c r="Y309" s="66">
        <f t="shared" ca="1" si="8"/>
        <v>0.85</v>
      </c>
      <c r="Z309" s="66">
        <f t="shared" ca="1" si="9"/>
        <v>69.900500000000008</v>
      </c>
      <c r="AA309">
        <v>4.0194999999982368</v>
      </c>
    </row>
    <row r="310" spans="1:27" x14ac:dyDescent="0.45">
      <c r="A310" t="s">
        <v>1330</v>
      </c>
      <c r="B310" t="s">
        <v>581</v>
      </c>
      <c r="C310" t="s">
        <v>257</v>
      </c>
      <c r="D310" t="s">
        <v>43</v>
      </c>
      <c r="E310" t="s">
        <v>44</v>
      </c>
      <c r="F310" t="s">
        <v>1331</v>
      </c>
      <c r="G310" t="s">
        <v>46</v>
      </c>
      <c r="H310">
        <v>2</v>
      </c>
      <c r="I310">
        <v>2.2000000000000002</v>
      </c>
      <c r="J310">
        <v>3.8249999999999789</v>
      </c>
      <c r="K310">
        <v>3.8619999999999775</v>
      </c>
      <c r="L310">
        <v>77.926000000000002</v>
      </c>
      <c r="M310">
        <v>77.536000000000001</v>
      </c>
      <c r="N310" t="s">
        <v>1332</v>
      </c>
      <c r="O310" t="s">
        <v>1333</v>
      </c>
      <c r="P310" t="s">
        <v>49</v>
      </c>
      <c r="Q310" s="59">
        <v>45470</v>
      </c>
      <c r="R310" s="59">
        <v>46193</v>
      </c>
      <c r="S310">
        <v>28.251882272416154</v>
      </c>
      <c r="T310">
        <v>77.730999999999995</v>
      </c>
      <c r="U310">
        <v>270</v>
      </c>
      <c r="V310">
        <v>28</v>
      </c>
      <c r="W310">
        <v>2</v>
      </c>
      <c r="X310" s="59">
        <v>46013</v>
      </c>
      <c r="Y310" s="66">
        <f t="shared" ca="1" si="8"/>
        <v>0.47666666666666674</v>
      </c>
      <c r="Z310" s="66">
        <f t="shared" ca="1" si="9"/>
        <v>77.254333333333321</v>
      </c>
      <c r="AA310">
        <v>3.8434999999999784</v>
      </c>
    </row>
    <row r="311" spans="1:27" x14ac:dyDescent="0.45">
      <c r="A311" t="s">
        <v>1334</v>
      </c>
      <c r="B311" t="s">
        <v>581</v>
      </c>
      <c r="C311" t="s">
        <v>257</v>
      </c>
      <c r="D311" t="s">
        <v>43</v>
      </c>
      <c r="E311" t="s">
        <v>44</v>
      </c>
      <c r="F311" t="s">
        <v>1335</v>
      </c>
      <c r="G311" t="s">
        <v>46</v>
      </c>
      <c r="H311">
        <v>2</v>
      </c>
      <c r="I311">
        <v>2.1</v>
      </c>
      <c r="J311">
        <v>3.8659999999999322</v>
      </c>
      <c r="K311">
        <v>3.901999999999918</v>
      </c>
      <c r="L311">
        <v>76.043000000000006</v>
      </c>
      <c r="M311">
        <v>75.673000000000002</v>
      </c>
      <c r="N311" t="s">
        <v>1336</v>
      </c>
      <c r="O311" t="s">
        <v>1337</v>
      </c>
      <c r="P311" t="s">
        <v>49</v>
      </c>
      <c r="Q311" s="59">
        <v>45566</v>
      </c>
      <c r="R311" s="59">
        <v>46101</v>
      </c>
      <c r="S311">
        <v>28.503764544832308</v>
      </c>
      <c r="T311">
        <v>75.858000000000004</v>
      </c>
      <c r="U311">
        <v>261</v>
      </c>
      <c r="V311">
        <v>28.5</v>
      </c>
      <c r="W311">
        <v>2</v>
      </c>
      <c r="X311" s="59">
        <v>45921</v>
      </c>
      <c r="Y311" s="66">
        <f t="shared" ca="1" si="8"/>
        <v>0.9916666666666667</v>
      </c>
      <c r="Z311" s="66">
        <f t="shared" ca="1" si="9"/>
        <v>74.866333333333344</v>
      </c>
      <c r="AA311">
        <v>3.8839999999999248</v>
      </c>
    </row>
    <row r="312" spans="1:27" x14ac:dyDescent="0.45">
      <c r="A312" t="s">
        <v>1338</v>
      </c>
      <c r="B312" t="s">
        <v>581</v>
      </c>
      <c r="C312" t="s">
        <v>257</v>
      </c>
      <c r="D312" t="s">
        <v>43</v>
      </c>
      <c r="E312" t="s">
        <v>44</v>
      </c>
      <c r="F312" t="s">
        <v>1339</v>
      </c>
      <c r="G312" t="s">
        <v>46</v>
      </c>
      <c r="H312">
        <v>2</v>
      </c>
      <c r="I312">
        <v>2.2999999999999998</v>
      </c>
      <c r="J312">
        <v>3.7789999999999955</v>
      </c>
      <c r="K312">
        <v>3.8219999999999921</v>
      </c>
      <c r="L312">
        <v>79.611000000000004</v>
      </c>
      <c r="M312">
        <v>79.141999999999996</v>
      </c>
      <c r="N312" t="s">
        <v>1340</v>
      </c>
      <c r="O312" t="s">
        <v>1341</v>
      </c>
      <c r="P312" t="s">
        <v>49</v>
      </c>
      <c r="Q312" s="59">
        <v>45653</v>
      </c>
      <c r="R312" s="59">
        <v>46193</v>
      </c>
      <c r="S312">
        <v>28.752908966461327</v>
      </c>
      <c r="T312">
        <v>79.376499999999993</v>
      </c>
      <c r="U312">
        <v>254</v>
      </c>
      <c r="V312">
        <v>28.5</v>
      </c>
      <c r="W312">
        <v>2</v>
      </c>
      <c r="X312" s="59">
        <v>46013</v>
      </c>
      <c r="Y312" s="66">
        <f t="shared" ca="1" si="8"/>
        <v>0.49833333333333329</v>
      </c>
      <c r="Z312" s="66">
        <f t="shared" ca="1" si="9"/>
        <v>78.878166666666658</v>
      </c>
      <c r="AA312">
        <v>3.8004999999999938</v>
      </c>
    </row>
    <row r="313" spans="1:27" x14ac:dyDescent="0.45">
      <c r="A313" t="s">
        <v>1342</v>
      </c>
      <c r="B313" t="s">
        <v>1213</v>
      </c>
      <c r="C313" t="s">
        <v>257</v>
      </c>
      <c r="D313" t="s">
        <v>43</v>
      </c>
      <c r="E313" t="s">
        <v>44</v>
      </c>
      <c r="F313" t="s">
        <v>1343</v>
      </c>
      <c r="G313" t="s">
        <v>46</v>
      </c>
      <c r="H313">
        <v>2</v>
      </c>
      <c r="I313">
        <v>1.4</v>
      </c>
      <c r="J313">
        <v>4.2079999999026914</v>
      </c>
      <c r="K313">
        <v>4.2519999998875218</v>
      </c>
      <c r="L313">
        <v>63.311</v>
      </c>
      <c r="M313">
        <v>62.948999999999998</v>
      </c>
      <c r="N313" t="s">
        <v>1344</v>
      </c>
      <c r="O313" t="s">
        <v>1345</v>
      </c>
      <c r="P313" t="s">
        <v>49</v>
      </c>
      <c r="Q313" s="59">
        <v>42117</v>
      </c>
      <c r="R313" s="59">
        <v>46101</v>
      </c>
      <c r="S313">
        <v>28.999315537303218</v>
      </c>
      <c r="T313">
        <v>63.129999999999995</v>
      </c>
      <c r="U313">
        <v>203</v>
      </c>
      <c r="V313">
        <v>28.5</v>
      </c>
      <c r="W313">
        <v>11</v>
      </c>
      <c r="X313" s="59">
        <v>45921</v>
      </c>
      <c r="Y313" s="66">
        <f t="shared" ca="1" si="8"/>
        <v>0.66111111111111109</v>
      </c>
      <c r="Z313" s="66">
        <f t="shared" ca="1" si="9"/>
        <v>62.468888888888884</v>
      </c>
      <c r="AA313">
        <v>4.2299999998951066</v>
      </c>
    </row>
    <row r="314" spans="1:27" x14ac:dyDescent="0.45">
      <c r="A314" t="s">
        <v>1346</v>
      </c>
      <c r="B314" t="s">
        <v>581</v>
      </c>
      <c r="C314" t="s">
        <v>257</v>
      </c>
      <c r="D314" t="s">
        <v>43</v>
      </c>
      <c r="E314" t="s">
        <v>44</v>
      </c>
      <c r="F314" t="s">
        <v>1343</v>
      </c>
      <c r="G314" t="s">
        <v>46</v>
      </c>
      <c r="H314">
        <v>2</v>
      </c>
      <c r="I314">
        <v>2.4</v>
      </c>
      <c r="J314">
        <v>3.7409999999999979</v>
      </c>
      <c r="K314">
        <v>3.774999999999999</v>
      </c>
      <c r="L314">
        <v>81.34</v>
      </c>
      <c r="M314">
        <v>80.956999999999994</v>
      </c>
      <c r="N314" t="s">
        <v>1347</v>
      </c>
      <c r="O314" t="s">
        <v>1348</v>
      </c>
      <c r="P314" t="s">
        <v>49</v>
      </c>
      <c r="Q314" s="59">
        <v>45748</v>
      </c>
      <c r="R314" s="59">
        <v>46101</v>
      </c>
      <c r="S314">
        <v>28.999315537303218</v>
      </c>
      <c r="T314">
        <v>81.148499999999999</v>
      </c>
      <c r="U314">
        <v>242</v>
      </c>
      <c r="V314">
        <v>28.5</v>
      </c>
      <c r="W314">
        <v>1</v>
      </c>
      <c r="X314" s="59">
        <v>45921</v>
      </c>
      <c r="Y314" s="66">
        <f t="shared" ca="1" si="8"/>
        <v>1.1333333333333333</v>
      </c>
      <c r="Z314" s="66">
        <f t="shared" ca="1" si="9"/>
        <v>80.015166666666659</v>
      </c>
      <c r="AA314">
        <v>3.7579999999999982</v>
      </c>
    </row>
    <row r="315" spans="1:27" x14ac:dyDescent="0.45">
      <c r="A315" t="s">
        <v>1349</v>
      </c>
      <c r="B315" t="s">
        <v>581</v>
      </c>
      <c r="C315" t="s">
        <v>257</v>
      </c>
      <c r="D315" t="s">
        <v>43</v>
      </c>
      <c r="E315" t="s">
        <v>44</v>
      </c>
      <c r="F315" t="s">
        <v>1350</v>
      </c>
      <c r="G315" t="s">
        <v>46</v>
      </c>
      <c r="H315">
        <v>2</v>
      </c>
      <c r="I315">
        <v>2.8</v>
      </c>
      <c r="J315">
        <v>3.5839999999653753</v>
      </c>
      <c r="K315">
        <v>3.6189999999559701</v>
      </c>
      <c r="L315">
        <v>88.8</v>
      </c>
      <c r="M315">
        <v>88.358000000000004</v>
      </c>
      <c r="N315" t="s">
        <v>1351</v>
      </c>
      <c r="O315" t="s">
        <v>1352</v>
      </c>
      <c r="P315" t="s">
        <v>49</v>
      </c>
      <c r="Q315" s="59">
        <v>45834</v>
      </c>
      <c r="R315" s="59">
        <v>46193</v>
      </c>
      <c r="S315">
        <v>29.251197809719372</v>
      </c>
      <c r="T315">
        <v>88.579000000000008</v>
      </c>
      <c r="U315">
        <v>240</v>
      </c>
      <c r="V315">
        <v>29</v>
      </c>
      <c r="W315">
        <v>1</v>
      </c>
      <c r="X315" s="59">
        <v>46013</v>
      </c>
      <c r="Y315" s="66">
        <f t="shared" ca="1" si="8"/>
        <v>0.60666666666666669</v>
      </c>
      <c r="Z315" s="66">
        <f t="shared" ca="1" si="9"/>
        <v>87.972333333333339</v>
      </c>
      <c r="AA315">
        <v>3.6014999999606729</v>
      </c>
    </row>
    <row r="316" spans="1:27" x14ac:dyDescent="0.45">
      <c r="A316" t="s">
        <v>1353</v>
      </c>
      <c r="B316" t="s">
        <v>581</v>
      </c>
      <c r="C316" t="s">
        <v>257</v>
      </c>
      <c r="D316" t="s">
        <v>43</v>
      </c>
      <c r="E316" t="s">
        <v>44</v>
      </c>
      <c r="F316" t="s">
        <v>1354</v>
      </c>
      <c r="G316" t="s">
        <v>46</v>
      </c>
      <c r="H316">
        <v>2</v>
      </c>
      <c r="I316">
        <v>3.2</v>
      </c>
      <c r="J316">
        <v>3.4569999999999528</v>
      </c>
      <c r="K316">
        <v>3.4999999999998987</v>
      </c>
      <c r="L316">
        <v>96.244</v>
      </c>
      <c r="M316">
        <v>95.643000000000001</v>
      </c>
      <c r="N316" t="s">
        <v>1355</v>
      </c>
      <c r="O316" t="s">
        <v>1356</v>
      </c>
      <c r="P316" t="s">
        <v>49</v>
      </c>
      <c r="Q316" s="59">
        <v>45930</v>
      </c>
      <c r="R316" s="59">
        <v>46101</v>
      </c>
      <c r="S316">
        <v>29.503080082135522</v>
      </c>
      <c r="T316">
        <v>95.9435</v>
      </c>
      <c r="U316">
        <v>230</v>
      </c>
      <c r="V316">
        <v>29.5</v>
      </c>
      <c r="W316">
        <v>1</v>
      </c>
      <c r="X316" s="59">
        <v>45921</v>
      </c>
      <c r="Y316" s="66">
        <f t="shared" ca="1" si="8"/>
        <v>1.5111111111111111</v>
      </c>
      <c r="Z316" s="66">
        <f t="shared" ca="1" si="9"/>
        <v>94.432388888888894</v>
      </c>
      <c r="AA316">
        <v>3.4784999999999258</v>
      </c>
    </row>
    <row r="317" spans="1:27" x14ac:dyDescent="0.45">
      <c r="A317" t="s">
        <v>1357</v>
      </c>
      <c r="B317" t="s">
        <v>581</v>
      </c>
      <c r="C317" t="s">
        <v>257</v>
      </c>
      <c r="D317" t="s">
        <v>43</v>
      </c>
      <c r="E317" t="s">
        <v>44</v>
      </c>
      <c r="F317" t="s">
        <v>1358</v>
      </c>
      <c r="G317" t="s">
        <v>46</v>
      </c>
      <c r="H317">
        <v>2</v>
      </c>
      <c r="I317">
        <v>3.4</v>
      </c>
      <c r="J317">
        <v>3.4019999999999953</v>
      </c>
      <c r="K317">
        <v>3.4399999999657389</v>
      </c>
      <c r="L317">
        <v>99.97</v>
      </c>
      <c r="M317">
        <v>99.411000000000001</v>
      </c>
      <c r="N317" t="s">
        <v>1359</v>
      </c>
      <c r="O317" t="s">
        <v>1360</v>
      </c>
      <c r="P317" t="s">
        <v>49</v>
      </c>
      <c r="Q317" s="59">
        <v>46017</v>
      </c>
      <c r="R317" s="59">
        <v>46193</v>
      </c>
      <c r="S317">
        <v>29.752224503764545</v>
      </c>
      <c r="T317">
        <v>99.6905</v>
      </c>
      <c r="U317">
        <v>80</v>
      </c>
      <c r="V317">
        <v>29.5</v>
      </c>
      <c r="W317">
        <v>1</v>
      </c>
      <c r="X317" s="59">
        <v>46013</v>
      </c>
      <c r="Y317" s="66">
        <f t="shared" ca="1" si="8"/>
        <v>0.73666666666666669</v>
      </c>
      <c r="Z317" s="66">
        <f t="shared" ca="1" si="9"/>
        <v>98.953833333333336</v>
      </c>
      <c r="AA317">
        <v>3.4209999999828673</v>
      </c>
    </row>
    <row r="318" spans="1:27" x14ac:dyDescent="0.45">
      <c r="A318" t="s">
        <v>1361</v>
      </c>
      <c r="B318" t="s">
        <v>1213</v>
      </c>
      <c r="C318" t="s">
        <v>257</v>
      </c>
      <c r="D318" t="s">
        <v>43</v>
      </c>
      <c r="E318" t="s">
        <v>44</v>
      </c>
      <c r="F318" t="s">
        <v>1362</v>
      </c>
      <c r="G318" t="s">
        <v>46</v>
      </c>
      <c r="H318">
        <v>2</v>
      </c>
      <c r="I318">
        <v>0.4</v>
      </c>
      <c r="J318">
        <v>5.1529999998726126</v>
      </c>
      <c r="K318">
        <v>5.2119999998502644</v>
      </c>
      <c r="L318">
        <v>43.975999999999999</v>
      </c>
      <c r="M318">
        <v>43.671999999999997</v>
      </c>
      <c r="N318" t="s">
        <v>1363</v>
      </c>
      <c r="O318" t="s">
        <v>1364</v>
      </c>
      <c r="P318" t="s">
        <v>49</v>
      </c>
      <c r="Q318" s="59">
        <v>42516</v>
      </c>
      <c r="R318" s="59">
        <v>46101</v>
      </c>
      <c r="S318">
        <v>30.001368925393567</v>
      </c>
      <c r="T318">
        <v>43.823999999999998</v>
      </c>
      <c r="U318">
        <v>211</v>
      </c>
      <c r="V318">
        <v>30</v>
      </c>
      <c r="W318">
        <v>10</v>
      </c>
      <c r="X318" s="59">
        <v>45921</v>
      </c>
      <c r="Y318" s="66">
        <f t="shared" ca="1" si="8"/>
        <v>0.18888888888888888</v>
      </c>
      <c r="Z318" s="66">
        <f t="shared" ca="1" si="9"/>
        <v>43.635111111111108</v>
      </c>
      <c r="AA318">
        <v>5.1824999998614381</v>
      </c>
    </row>
    <row r="319" spans="1:27" x14ac:dyDescent="0.45">
      <c r="A319" t="s">
        <v>1365</v>
      </c>
      <c r="B319" t="s">
        <v>1213</v>
      </c>
      <c r="C319" t="s">
        <v>257</v>
      </c>
      <c r="D319" t="s">
        <v>43</v>
      </c>
      <c r="E319" t="s">
        <v>44</v>
      </c>
      <c r="F319" t="s">
        <v>1366</v>
      </c>
      <c r="G319" t="s">
        <v>46</v>
      </c>
      <c r="H319">
        <v>2</v>
      </c>
      <c r="I319">
        <v>0.9</v>
      </c>
      <c r="J319">
        <v>4.6299999999999137</v>
      </c>
      <c r="K319">
        <v>4.689999999999892</v>
      </c>
      <c r="L319">
        <v>52.505000000000003</v>
      </c>
      <c r="M319">
        <v>52.106999999999999</v>
      </c>
      <c r="N319" t="s">
        <v>1367</v>
      </c>
      <c r="O319" t="s">
        <v>1368</v>
      </c>
      <c r="P319" t="s">
        <v>49</v>
      </c>
      <c r="Q319" s="59">
        <v>42880</v>
      </c>
      <c r="R319" s="59">
        <v>46101</v>
      </c>
      <c r="S319">
        <v>31.000684462696782</v>
      </c>
      <c r="T319">
        <v>52.305999999999997</v>
      </c>
      <c r="U319">
        <v>7</v>
      </c>
      <c r="V319">
        <v>31</v>
      </c>
      <c r="W319">
        <v>9</v>
      </c>
      <c r="X319" s="59">
        <v>45921</v>
      </c>
      <c r="Y319" s="66">
        <f t="shared" ca="1" si="8"/>
        <v>0.42499999999999999</v>
      </c>
      <c r="Z319" s="66">
        <f t="shared" ca="1" si="9"/>
        <v>51.881</v>
      </c>
      <c r="AA319">
        <v>4.6599999999999024</v>
      </c>
    </row>
    <row r="320" spans="1:27" x14ac:dyDescent="0.45">
      <c r="A320" t="s">
        <v>1369</v>
      </c>
      <c r="B320" t="s">
        <v>1213</v>
      </c>
      <c r="C320" t="s">
        <v>257</v>
      </c>
      <c r="D320" t="s">
        <v>43</v>
      </c>
      <c r="E320" t="s">
        <v>44</v>
      </c>
      <c r="F320" t="s">
        <v>1370</v>
      </c>
      <c r="G320" t="s">
        <v>46</v>
      </c>
      <c r="H320">
        <v>2</v>
      </c>
      <c r="I320">
        <v>0.8</v>
      </c>
      <c r="J320">
        <v>4.7749999999993795</v>
      </c>
      <c r="K320">
        <v>4.8359999999992374</v>
      </c>
      <c r="L320">
        <v>49.668999999999997</v>
      </c>
      <c r="M320">
        <v>49.289000000000001</v>
      </c>
      <c r="N320" t="s">
        <v>1371</v>
      </c>
      <c r="O320" t="s">
        <v>1372</v>
      </c>
      <c r="P320" t="s">
        <v>49</v>
      </c>
      <c r="Q320" s="59">
        <v>43249</v>
      </c>
      <c r="R320" s="59">
        <v>46101</v>
      </c>
      <c r="S320">
        <v>32</v>
      </c>
      <c r="T320">
        <v>49.478999999999999</v>
      </c>
      <c r="U320">
        <v>20</v>
      </c>
      <c r="V320">
        <v>32</v>
      </c>
      <c r="W320">
        <v>8</v>
      </c>
      <c r="X320" s="59">
        <v>45921</v>
      </c>
      <c r="Y320" s="66">
        <f t="shared" ca="1" si="8"/>
        <v>0.37777777777777777</v>
      </c>
      <c r="Z320" s="66">
        <f t="shared" ca="1" si="9"/>
        <v>49.101222222222219</v>
      </c>
      <c r="AA320">
        <v>4.8054999999993084</v>
      </c>
    </row>
    <row r="321" spans="1:27" x14ac:dyDescent="0.45">
      <c r="A321" t="s">
        <v>1373</v>
      </c>
      <c r="B321" t="s">
        <v>1213</v>
      </c>
      <c r="C321" t="s">
        <v>257</v>
      </c>
      <c r="D321" t="s">
        <v>43</v>
      </c>
      <c r="E321" t="s">
        <v>44</v>
      </c>
      <c r="F321" t="s">
        <v>1374</v>
      </c>
      <c r="G321" t="s">
        <v>46</v>
      </c>
      <c r="H321">
        <v>2</v>
      </c>
      <c r="I321">
        <v>0.5</v>
      </c>
      <c r="J321">
        <v>5.2119999998883095</v>
      </c>
      <c r="K321">
        <v>5.280999999865454</v>
      </c>
      <c r="L321">
        <v>42.817</v>
      </c>
      <c r="M321">
        <v>42.462000000000003</v>
      </c>
      <c r="N321" t="s">
        <v>1375</v>
      </c>
      <c r="O321" t="s">
        <v>1376</v>
      </c>
      <c r="P321" t="s">
        <v>49</v>
      </c>
      <c r="Q321" s="59">
        <v>43613</v>
      </c>
      <c r="R321" s="59">
        <v>46101</v>
      </c>
      <c r="S321">
        <v>32.999315537303218</v>
      </c>
      <c r="T321">
        <v>42.639499999999998</v>
      </c>
      <c r="U321">
        <v>326</v>
      </c>
      <c r="V321">
        <v>32.5</v>
      </c>
      <c r="W321">
        <v>7</v>
      </c>
      <c r="X321" s="59">
        <v>45921</v>
      </c>
      <c r="Y321" s="66">
        <f t="shared" ca="1" si="8"/>
        <v>0.2361111111111111</v>
      </c>
      <c r="Z321" s="66">
        <f t="shared" ca="1" si="9"/>
        <v>42.403388888888884</v>
      </c>
      <c r="AA321">
        <v>5.2464999998768818</v>
      </c>
    </row>
    <row r="322" spans="1:27" x14ac:dyDescent="0.45">
      <c r="A322" t="s">
        <v>1377</v>
      </c>
      <c r="B322" t="s">
        <v>1213</v>
      </c>
      <c r="C322" t="s">
        <v>257</v>
      </c>
      <c r="D322" t="s">
        <v>43</v>
      </c>
      <c r="E322" t="s">
        <v>44</v>
      </c>
      <c r="F322" t="s">
        <v>1378</v>
      </c>
      <c r="G322" t="s">
        <v>46</v>
      </c>
      <c r="H322">
        <v>2</v>
      </c>
      <c r="I322">
        <v>0.5</v>
      </c>
      <c r="J322">
        <v>5.1569999998758682</v>
      </c>
      <c r="K322">
        <v>5.2689999998321353</v>
      </c>
      <c r="L322">
        <v>42.478999999999999</v>
      </c>
      <c r="M322">
        <v>41.9</v>
      </c>
      <c r="N322" t="s">
        <v>1379</v>
      </c>
      <c r="O322" t="s">
        <v>1380</v>
      </c>
      <c r="P322" t="s">
        <v>291</v>
      </c>
      <c r="Q322" s="59">
        <v>43970</v>
      </c>
      <c r="R322" s="59">
        <v>46101</v>
      </c>
      <c r="S322">
        <v>34.001368925393564</v>
      </c>
      <c r="T322">
        <v>42.189499999999995</v>
      </c>
      <c r="U322">
        <v>37</v>
      </c>
      <c r="V322">
        <v>34</v>
      </c>
      <c r="W322">
        <v>6</v>
      </c>
      <c r="X322" s="59">
        <v>45921</v>
      </c>
      <c r="Y322" s="66">
        <f t="shared" ref="Y322:Y385" ca="1" si="10">((TODAY()-10)-X322)/180*(I322/2)</f>
        <v>0.2361111111111111</v>
      </c>
      <c r="Z322" s="66">
        <f t="shared" ca="1" si="9"/>
        <v>41.953388888888881</v>
      </c>
      <c r="AA322">
        <v>5.2129999998540022</v>
      </c>
    </row>
    <row r="323" spans="1:27" x14ac:dyDescent="0.45">
      <c r="A323" t="s">
        <v>1381</v>
      </c>
      <c r="B323" t="s">
        <v>1213</v>
      </c>
      <c r="C323" t="s">
        <v>257</v>
      </c>
      <c r="D323" t="s">
        <v>43</v>
      </c>
      <c r="E323" t="s">
        <v>44</v>
      </c>
      <c r="F323" t="s">
        <v>1382</v>
      </c>
      <c r="G323" t="s">
        <v>46</v>
      </c>
      <c r="H323">
        <v>2</v>
      </c>
      <c r="I323">
        <v>0.7</v>
      </c>
      <c r="J323">
        <v>5.0169999999910688</v>
      </c>
      <c r="K323">
        <v>5.0759999999893406</v>
      </c>
      <c r="L323">
        <v>45.161999999999999</v>
      </c>
      <c r="M323">
        <v>44.826000000000001</v>
      </c>
      <c r="N323" t="s">
        <v>1383</v>
      </c>
      <c r="O323" t="s">
        <v>1384</v>
      </c>
      <c r="P323" t="s">
        <v>49</v>
      </c>
      <c r="Q323" s="59">
        <v>44336</v>
      </c>
      <c r="R323" s="59">
        <v>46101</v>
      </c>
      <c r="S323">
        <v>35.000684462696782</v>
      </c>
      <c r="T323">
        <v>44.994</v>
      </c>
      <c r="U323">
        <v>49</v>
      </c>
      <c r="V323">
        <v>35</v>
      </c>
      <c r="W323">
        <v>5</v>
      </c>
      <c r="X323" s="59">
        <v>45921</v>
      </c>
      <c r="Y323" s="66">
        <f t="shared" ca="1" si="10"/>
        <v>0.33055555555555555</v>
      </c>
      <c r="Z323" s="66">
        <f t="shared" ref="Z323:Z327" ca="1" si="11">T323-Y323</f>
        <v>44.663444444444444</v>
      </c>
      <c r="AA323">
        <v>5.0464999999902052</v>
      </c>
    </row>
    <row r="324" spans="1:27" x14ac:dyDescent="0.45">
      <c r="A324" t="s">
        <v>1385</v>
      </c>
      <c r="B324" t="s">
        <v>1213</v>
      </c>
      <c r="C324" t="s">
        <v>257</v>
      </c>
      <c r="D324" t="s">
        <v>43</v>
      </c>
      <c r="E324" t="s">
        <v>44</v>
      </c>
      <c r="F324" t="s">
        <v>1386</v>
      </c>
      <c r="G324" t="s">
        <v>46</v>
      </c>
      <c r="H324">
        <v>2</v>
      </c>
      <c r="I324">
        <v>1</v>
      </c>
      <c r="J324">
        <v>4.7289999999998997</v>
      </c>
      <c r="K324">
        <v>4.795999999999875</v>
      </c>
      <c r="L324">
        <v>50.313000000000002</v>
      </c>
      <c r="M324">
        <v>49.868000000000002</v>
      </c>
      <c r="N324" t="s">
        <v>1387</v>
      </c>
      <c r="O324" t="s">
        <v>1388</v>
      </c>
      <c r="P324" t="s">
        <v>49</v>
      </c>
      <c r="Q324" s="59">
        <v>44700</v>
      </c>
      <c r="R324" s="59">
        <v>46101</v>
      </c>
      <c r="S324">
        <v>36</v>
      </c>
      <c r="T324">
        <v>50.090500000000006</v>
      </c>
      <c r="U324">
        <v>66</v>
      </c>
      <c r="V324">
        <v>36</v>
      </c>
      <c r="W324">
        <v>4</v>
      </c>
      <c r="X324" s="59">
        <v>45921</v>
      </c>
      <c r="Y324" s="66">
        <f t="shared" ca="1" si="10"/>
        <v>0.47222222222222221</v>
      </c>
      <c r="Z324" s="66">
        <f t="shared" ca="1" si="11"/>
        <v>49.618277777777784</v>
      </c>
      <c r="AA324">
        <v>4.7624999999998874</v>
      </c>
    </row>
    <row r="325" spans="1:27" x14ac:dyDescent="0.45">
      <c r="A325" t="s">
        <v>1389</v>
      </c>
      <c r="B325" t="s">
        <v>1213</v>
      </c>
      <c r="C325" t="s">
        <v>257</v>
      </c>
      <c r="D325" t="s">
        <v>43</v>
      </c>
      <c r="E325" t="s">
        <v>44</v>
      </c>
      <c r="F325" t="s">
        <v>1390</v>
      </c>
      <c r="G325" t="s">
        <v>46</v>
      </c>
      <c r="H325">
        <v>2</v>
      </c>
      <c r="I325">
        <v>1.3</v>
      </c>
      <c r="J325">
        <v>4.5439999999999987</v>
      </c>
      <c r="K325">
        <v>4.5969999999999995</v>
      </c>
      <c r="L325">
        <v>55.223999999999997</v>
      </c>
      <c r="M325">
        <v>54.823</v>
      </c>
      <c r="N325" t="s">
        <v>1391</v>
      </c>
      <c r="O325" t="s">
        <v>1392</v>
      </c>
      <c r="P325" t="s">
        <v>49</v>
      </c>
      <c r="Q325" s="59">
        <v>45064</v>
      </c>
      <c r="R325" s="59">
        <v>46101</v>
      </c>
      <c r="S325">
        <v>36.999315537303218</v>
      </c>
      <c r="T325">
        <v>55.023499999999999</v>
      </c>
      <c r="U325">
        <v>310</v>
      </c>
      <c r="V325">
        <v>36.5</v>
      </c>
      <c r="W325">
        <v>3</v>
      </c>
      <c r="X325" s="59">
        <v>45921</v>
      </c>
      <c r="Y325" s="66">
        <f t="shared" ca="1" si="10"/>
        <v>0.61388888888888893</v>
      </c>
      <c r="Z325" s="66">
        <f t="shared" ca="1" si="11"/>
        <v>54.409611111111111</v>
      </c>
      <c r="AA325">
        <v>4.5704999999999991</v>
      </c>
    </row>
    <row r="326" spans="1:27" x14ac:dyDescent="0.45">
      <c r="A326" t="s">
        <v>1393</v>
      </c>
      <c r="B326" t="s">
        <v>1213</v>
      </c>
      <c r="C326" t="s">
        <v>257</v>
      </c>
      <c r="D326" t="s">
        <v>43</v>
      </c>
      <c r="E326" t="s">
        <v>44</v>
      </c>
      <c r="F326" t="s">
        <v>1394</v>
      </c>
      <c r="G326" t="s">
        <v>46</v>
      </c>
      <c r="H326">
        <v>2</v>
      </c>
      <c r="I326">
        <v>2.2000000000000002</v>
      </c>
      <c r="J326">
        <v>4.0209999999998933</v>
      </c>
      <c r="K326">
        <v>4.0719999999998615</v>
      </c>
      <c r="L326">
        <v>72.62</v>
      </c>
      <c r="M326">
        <v>72.067999999999998</v>
      </c>
      <c r="N326" t="s">
        <v>1395</v>
      </c>
      <c r="O326" t="s">
        <v>1396</v>
      </c>
      <c r="P326" t="s">
        <v>49</v>
      </c>
      <c r="Q326" s="59">
        <v>45427</v>
      </c>
      <c r="R326" s="59">
        <v>46101</v>
      </c>
      <c r="S326">
        <v>38.001368925393564</v>
      </c>
      <c r="T326">
        <v>72.343999999999994</v>
      </c>
      <c r="U326">
        <v>276</v>
      </c>
      <c r="V326">
        <v>38</v>
      </c>
      <c r="W326">
        <v>2</v>
      </c>
      <c r="X326" s="59">
        <v>45921</v>
      </c>
      <c r="Y326" s="66">
        <f t="shared" ca="1" si="10"/>
        <v>1.038888888888889</v>
      </c>
      <c r="Z326" s="66">
        <f t="shared" ca="1" si="11"/>
        <v>71.305111111111103</v>
      </c>
      <c r="AA326">
        <v>4.0464999999998774</v>
      </c>
    </row>
    <row r="327" spans="1:27" x14ac:dyDescent="0.45">
      <c r="A327" t="s">
        <v>1397</v>
      </c>
      <c r="B327" t="s">
        <v>1213</v>
      </c>
      <c r="C327" t="s">
        <v>257</v>
      </c>
      <c r="D327" t="s">
        <v>43</v>
      </c>
      <c r="E327" t="s">
        <v>44</v>
      </c>
      <c r="F327" t="s">
        <v>1398</v>
      </c>
      <c r="G327" t="s">
        <v>46</v>
      </c>
      <c r="H327">
        <v>2</v>
      </c>
      <c r="I327">
        <v>3.1</v>
      </c>
      <c r="J327">
        <v>3.6109999999976354</v>
      </c>
      <c r="K327">
        <v>3.6689999999958354</v>
      </c>
      <c r="L327">
        <v>91.721999999999994</v>
      </c>
      <c r="M327">
        <v>90.869</v>
      </c>
      <c r="N327" t="s">
        <v>1399</v>
      </c>
      <c r="O327" t="s">
        <v>1400</v>
      </c>
      <c r="P327" t="s">
        <v>49</v>
      </c>
      <c r="Q327" s="59">
        <v>45798</v>
      </c>
      <c r="R327" s="59">
        <v>46101</v>
      </c>
      <c r="S327">
        <v>39.000684462696782</v>
      </c>
      <c r="T327">
        <v>91.295500000000004</v>
      </c>
      <c r="U327">
        <v>241</v>
      </c>
      <c r="V327">
        <v>39</v>
      </c>
      <c r="W327">
        <v>1</v>
      </c>
      <c r="X327" s="59">
        <v>45921</v>
      </c>
      <c r="Y327" s="66">
        <f t="shared" ca="1" si="10"/>
        <v>1.4638888888888888</v>
      </c>
      <c r="Z327" s="66">
        <f t="shared" ca="1" si="11"/>
        <v>89.831611111111116</v>
      </c>
      <c r="AA327">
        <v>3.6399999999967356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1FFE-BF48-41C0-95CA-11053ADB4340}">
  <sheetPr>
    <tabColor theme="4"/>
  </sheetPr>
  <dimension ref="A1:CU503"/>
  <sheetViews>
    <sheetView topLeftCell="V1" zoomScale="66" zoomScaleNormal="67" workbookViewId="0">
      <pane ySplit="1" topLeftCell="A82" activePane="bottomLeft" state="frozen"/>
      <selection pane="bottomLeft" activeCell="AZ98" sqref="AZ98"/>
    </sheetView>
  </sheetViews>
  <sheetFormatPr defaultColWidth="5.73046875" defaultRowHeight="14.25" x14ac:dyDescent="0.45"/>
  <cols>
    <col min="1" max="1" width="7.265625" style="25" bestFit="1" customWidth="1"/>
    <col min="2" max="2" width="15.3984375" style="3" bestFit="1" customWidth="1"/>
    <col min="3" max="3" width="16.265625" style="2" bestFit="1" customWidth="1"/>
    <col min="4" max="4" width="16.1328125" style="3" bestFit="1" customWidth="1"/>
    <col min="5" max="5" width="17" style="3" bestFit="1" customWidth="1"/>
    <col min="6" max="6" width="9.265625" style="19" bestFit="1" customWidth="1"/>
    <col min="7" max="7" width="10" style="2" bestFit="1" customWidth="1"/>
    <col min="8" max="8" width="10.59765625" style="2" bestFit="1" customWidth="1"/>
    <col min="9" max="9" width="11" style="2" bestFit="1" customWidth="1"/>
    <col min="10" max="10" width="9.265625" style="2" bestFit="1" customWidth="1"/>
    <col min="11" max="11" width="7.86328125" style="2" bestFit="1" customWidth="1"/>
    <col min="12" max="12" width="9.265625" style="2" bestFit="1" customWidth="1"/>
    <col min="13" max="20" width="6.73046875" style="2" customWidth="1"/>
    <col min="21" max="31" width="9.265625" style="2" bestFit="1" customWidth="1"/>
    <col min="32" max="42" width="6.86328125" style="2" bestFit="1" customWidth="1"/>
    <col min="43" max="43" width="7.73046875" style="2" bestFit="1" customWidth="1"/>
    <col min="44" max="90" width="7.59765625" style="2" customWidth="1"/>
    <col min="91" max="91" width="5.73046875" style="2"/>
    <col min="92" max="92" width="16.3984375" style="2" bestFit="1" customWidth="1"/>
    <col min="93" max="93" width="13.265625" style="14" bestFit="1" customWidth="1"/>
    <col min="94" max="94" width="10.59765625" style="14" bestFit="1" customWidth="1"/>
    <col min="95" max="95" width="9.73046875" style="14" bestFit="1" customWidth="1"/>
    <col min="96" max="96" width="12.1328125" style="14" bestFit="1" customWidth="1"/>
    <col min="97" max="97" width="10.59765625" style="14" bestFit="1" customWidth="1"/>
    <col min="98" max="16384" width="5.73046875" style="2"/>
  </cols>
  <sheetData>
    <row r="1" spans="1:97" s="57" customFormat="1" ht="14.65" thickBot="1" x14ac:dyDescent="0.5">
      <c r="A1" s="5" t="s">
        <v>3</v>
      </c>
      <c r="B1" s="6" t="s">
        <v>4</v>
      </c>
      <c r="C1" s="7" t="s">
        <v>1401</v>
      </c>
      <c r="D1" s="8" t="s">
        <v>1402</v>
      </c>
      <c r="E1" s="1" t="s">
        <v>5</v>
      </c>
      <c r="F1" s="56" t="s">
        <v>6</v>
      </c>
      <c r="G1" s="57" t="s">
        <v>7</v>
      </c>
      <c r="H1" s="57" t="s">
        <v>8</v>
      </c>
      <c r="I1" s="57" t="s">
        <v>9</v>
      </c>
      <c r="J1" s="58" t="s">
        <v>10</v>
      </c>
      <c r="K1" s="62" t="s">
        <v>1403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1"/>
      <c r="CN1" s="61" t="s">
        <v>1</v>
      </c>
      <c r="CO1" s="61"/>
      <c r="CP1" s="61"/>
      <c r="CQ1" s="61"/>
      <c r="CR1" s="61"/>
      <c r="CS1" s="61"/>
    </row>
    <row r="2" spans="1:97" x14ac:dyDescent="0.45">
      <c r="A2" s="5"/>
      <c r="B2" s="6"/>
      <c r="C2" s="7"/>
      <c r="D2" s="8"/>
      <c r="E2" s="4"/>
      <c r="F2" s="9"/>
      <c r="J2" s="10"/>
      <c r="K2" s="11" cm="1">
        <f t="array" ref="K2:CK2">_xlfn.SEQUENCE(1,79,0,0.5)</f>
        <v>0</v>
      </c>
      <c r="L2" s="12">
        <v>0.5</v>
      </c>
      <c r="M2" s="12">
        <v>1</v>
      </c>
      <c r="N2" s="12">
        <v>1.5</v>
      </c>
      <c r="O2" s="12">
        <v>2</v>
      </c>
      <c r="P2" s="12">
        <v>2.5</v>
      </c>
      <c r="Q2" s="12">
        <v>3</v>
      </c>
      <c r="R2" s="12">
        <v>3.5</v>
      </c>
      <c r="S2" s="12">
        <v>4</v>
      </c>
      <c r="T2" s="12">
        <v>4.5</v>
      </c>
      <c r="U2" s="12">
        <v>5</v>
      </c>
      <c r="V2" s="12">
        <v>5.5</v>
      </c>
      <c r="W2" s="12">
        <v>6</v>
      </c>
      <c r="X2" s="12">
        <v>6.5</v>
      </c>
      <c r="Y2" s="12">
        <v>7</v>
      </c>
      <c r="Z2" s="12">
        <v>7.5</v>
      </c>
      <c r="AA2" s="12">
        <v>8</v>
      </c>
      <c r="AB2" s="12">
        <v>8.5</v>
      </c>
      <c r="AC2" s="12">
        <v>9</v>
      </c>
      <c r="AD2" s="12">
        <v>9.5</v>
      </c>
      <c r="AE2" s="12">
        <v>10</v>
      </c>
      <c r="AF2" s="12">
        <v>10.5</v>
      </c>
      <c r="AG2" s="12">
        <v>11</v>
      </c>
      <c r="AH2" s="12">
        <v>11.5</v>
      </c>
      <c r="AI2" s="12">
        <v>12</v>
      </c>
      <c r="AJ2" s="12">
        <v>12.5</v>
      </c>
      <c r="AK2" s="12">
        <v>13</v>
      </c>
      <c r="AL2" s="12">
        <v>13.5</v>
      </c>
      <c r="AM2" s="12">
        <v>14</v>
      </c>
      <c r="AN2" s="12">
        <v>14.5</v>
      </c>
      <c r="AO2" s="12">
        <v>15</v>
      </c>
      <c r="AP2" s="12">
        <v>15.5</v>
      </c>
      <c r="AQ2" s="12">
        <v>16</v>
      </c>
      <c r="AR2" s="12">
        <v>16.5</v>
      </c>
      <c r="AS2" s="12">
        <v>17</v>
      </c>
      <c r="AT2" s="12">
        <v>17.5</v>
      </c>
      <c r="AU2" s="12">
        <v>18</v>
      </c>
      <c r="AV2" s="12">
        <v>18.5</v>
      </c>
      <c r="AW2" s="12">
        <v>19</v>
      </c>
      <c r="AX2" s="12">
        <v>19.5</v>
      </c>
      <c r="AY2" s="12">
        <v>20</v>
      </c>
      <c r="AZ2" s="12">
        <v>20.5</v>
      </c>
      <c r="BA2" s="12">
        <v>21</v>
      </c>
      <c r="BB2" s="12">
        <v>21.5</v>
      </c>
      <c r="BC2" s="12">
        <v>22</v>
      </c>
      <c r="BD2" s="12">
        <v>22.5</v>
      </c>
      <c r="BE2" s="12">
        <v>23</v>
      </c>
      <c r="BF2" s="12">
        <v>23.5</v>
      </c>
      <c r="BG2" s="12">
        <v>24</v>
      </c>
      <c r="BH2" s="12">
        <v>24.5</v>
      </c>
      <c r="BI2" s="12">
        <v>25</v>
      </c>
      <c r="BJ2" s="12">
        <v>25.5</v>
      </c>
      <c r="BK2" s="12">
        <v>26</v>
      </c>
      <c r="BL2" s="12">
        <v>26.5</v>
      </c>
      <c r="BM2" s="12">
        <v>27</v>
      </c>
      <c r="BN2" s="12">
        <v>27.5</v>
      </c>
      <c r="BO2" s="12">
        <v>28</v>
      </c>
      <c r="BP2" s="12">
        <v>28.5</v>
      </c>
      <c r="BQ2" s="12">
        <v>29</v>
      </c>
      <c r="BR2" s="12">
        <v>29.5</v>
      </c>
      <c r="BS2" s="12">
        <v>30</v>
      </c>
      <c r="BT2" s="12">
        <v>30.5</v>
      </c>
      <c r="BU2" s="12">
        <v>31</v>
      </c>
      <c r="BV2" s="12">
        <v>31.5</v>
      </c>
      <c r="BW2" s="12">
        <v>32</v>
      </c>
      <c r="BX2" s="12">
        <v>32.5</v>
      </c>
      <c r="BY2" s="12">
        <v>33</v>
      </c>
      <c r="BZ2" s="12">
        <v>33.5</v>
      </c>
      <c r="CA2" s="12">
        <v>34</v>
      </c>
      <c r="CB2" s="12">
        <v>34.5</v>
      </c>
      <c r="CC2" s="12">
        <v>35</v>
      </c>
      <c r="CD2" s="12">
        <v>35.5</v>
      </c>
      <c r="CE2" s="12">
        <v>36</v>
      </c>
      <c r="CF2" s="12">
        <v>36.5</v>
      </c>
      <c r="CG2" s="12">
        <v>37</v>
      </c>
      <c r="CH2" s="12">
        <v>37.5</v>
      </c>
      <c r="CI2" s="12">
        <v>38</v>
      </c>
      <c r="CJ2" s="12">
        <v>38.5</v>
      </c>
      <c r="CK2" s="13">
        <v>39</v>
      </c>
      <c r="CN2" s="2" t="s">
        <v>11</v>
      </c>
      <c r="CO2" s="14" t="s">
        <v>12</v>
      </c>
      <c r="CP2" s="14" t="s">
        <v>13</v>
      </c>
      <c r="CQ2" s="14" t="s">
        <v>14</v>
      </c>
      <c r="CR2" s="14" t="s">
        <v>15</v>
      </c>
      <c r="CS2" s="14" t="s">
        <v>16</v>
      </c>
    </row>
    <row r="3" spans="1:97" x14ac:dyDescent="0.45">
      <c r="A3" s="15">
        <v>0.5</v>
      </c>
      <c r="B3" s="17">
        <v>5.0000000000000002E-5</v>
      </c>
      <c r="C3" s="18">
        <v>99.539000000000001</v>
      </c>
      <c r="D3" s="19">
        <f t="shared" ref="D3:D34" si="0">SUMPRODUCT(L3:CK3,$L$79:$CK$79)</f>
        <v>99.237417468814584</v>
      </c>
      <c r="E3" s="19">
        <f t="shared" ref="E3:E66" si="1">+D3-C3</f>
        <v>-0.30158253118541722</v>
      </c>
      <c r="F3" s="19">
        <f t="shared" ref="F3:F66" si="2">ABS(C3-D3)</f>
        <v>0.30158253118541722</v>
      </c>
      <c r="G3" s="20">
        <f t="shared" ref="G3:G34" si="3">+IFERROR(IRR(K3:CK3,0),0)</f>
        <v>4.6815820934509311E-3</v>
      </c>
      <c r="H3" s="20">
        <f>IFERROR(IRR((J3,L3:CK3),0),0)</f>
        <v>7.734809618828109E-3</v>
      </c>
      <c r="I3" s="21">
        <f t="shared" ref="I3:I66" si="4">IFERROR(H3-G3,0)</f>
        <v>3.0532275253771779E-3</v>
      </c>
      <c r="J3" s="19">
        <f t="shared" ref="J3:J66" si="5">-D3</f>
        <v>-99.237417468814584</v>
      </c>
      <c r="K3" s="22">
        <f t="shared" ref="K3:K34" si="6">-C3</f>
        <v>-99.539000000000001</v>
      </c>
      <c r="L3" s="2">
        <f t="shared" ref="L3:U12" si="7">$B3*100*(L$2&lt;$A3)+100*(1+$B3)*(L$2=$A3)</f>
        <v>100.00500000000001</v>
      </c>
      <c r="M3" s="2">
        <f t="shared" si="7"/>
        <v>0</v>
      </c>
      <c r="N3" s="2">
        <f t="shared" si="7"/>
        <v>0</v>
      </c>
      <c r="O3" s="2">
        <f t="shared" si="7"/>
        <v>0</v>
      </c>
      <c r="P3" s="2">
        <f t="shared" si="7"/>
        <v>0</v>
      </c>
      <c r="Q3" s="2">
        <f t="shared" si="7"/>
        <v>0</v>
      </c>
      <c r="R3" s="2">
        <f t="shared" si="7"/>
        <v>0</v>
      </c>
      <c r="S3" s="2">
        <f t="shared" si="7"/>
        <v>0</v>
      </c>
      <c r="T3" s="2">
        <f t="shared" si="7"/>
        <v>0</v>
      </c>
      <c r="U3" s="2">
        <f t="shared" si="7"/>
        <v>0</v>
      </c>
      <c r="V3" s="2">
        <f t="shared" ref="V3:AE12" si="8">$B3*100*(V$2&lt;$A3)+100*(1+$B3)*(V$2=$A3)</f>
        <v>0</v>
      </c>
      <c r="W3" s="2">
        <f t="shared" si="8"/>
        <v>0</v>
      </c>
      <c r="X3" s="2">
        <f t="shared" si="8"/>
        <v>0</v>
      </c>
      <c r="Y3" s="2">
        <f t="shared" si="8"/>
        <v>0</v>
      </c>
      <c r="Z3" s="2">
        <f t="shared" si="8"/>
        <v>0</v>
      </c>
      <c r="AA3" s="2">
        <f t="shared" si="8"/>
        <v>0</v>
      </c>
      <c r="AB3" s="2">
        <f t="shared" si="8"/>
        <v>0</v>
      </c>
      <c r="AC3" s="2">
        <f t="shared" si="8"/>
        <v>0</v>
      </c>
      <c r="AD3" s="2">
        <f t="shared" si="8"/>
        <v>0</v>
      </c>
      <c r="AE3" s="2">
        <f t="shared" si="8"/>
        <v>0</v>
      </c>
      <c r="AF3" s="2">
        <f t="shared" ref="AF3:AO12" si="9">$B3*100*(AF$2&lt;$A3)+100*(1+$B3)*(AF$2=$A3)</f>
        <v>0</v>
      </c>
      <c r="AG3" s="2">
        <f t="shared" si="9"/>
        <v>0</v>
      </c>
      <c r="AH3" s="2">
        <f t="shared" si="9"/>
        <v>0</v>
      </c>
      <c r="AI3" s="2">
        <f t="shared" si="9"/>
        <v>0</v>
      </c>
      <c r="AJ3" s="2">
        <f t="shared" si="9"/>
        <v>0</v>
      </c>
      <c r="AK3" s="2">
        <f t="shared" si="9"/>
        <v>0</v>
      </c>
      <c r="AL3" s="2">
        <f t="shared" si="9"/>
        <v>0</v>
      </c>
      <c r="AM3" s="2">
        <f t="shared" si="9"/>
        <v>0</v>
      </c>
      <c r="AN3" s="2">
        <f t="shared" si="9"/>
        <v>0</v>
      </c>
      <c r="AO3" s="2">
        <f t="shared" si="9"/>
        <v>0</v>
      </c>
      <c r="AP3" s="2">
        <f t="shared" ref="AP3:AY12" si="10">$B3*100*(AP$2&lt;$A3)+100*(1+$B3)*(AP$2=$A3)</f>
        <v>0</v>
      </c>
      <c r="AQ3" s="2">
        <f t="shared" si="10"/>
        <v>0</v>
      </c>
      <c r="AR3" s="2">
        <f t="shared" si="10"/>
        <v>0</v>
      </c>
      <c r="AS3" s="2">
        <f t="shared" si="10"/>
        <v>0</v>
      </c>
      <c r="AT3" s="2">
        <f t="shared" si="10"/>
        <v>0</v>
      </c>
      <c r="AU3" s="2">
        <f t="shared" si="10"/>
        <v>0</v>
      </c>
      <c r="AV3" s="2">
        <f t="shared" si="10"/>
        <v>0</v>
      </c>
      <c r="AW3" s="2">
        <f t="shared" si="10"/>
        <v>0</v>
      </c>
      <c r="AX3" s="2">
        <f t="shared" si="10"/>
        <v>0</v>
      </c>
      <c r="AY3" s="2">
        <f t="shared" si="10"/>
        <v>0</v>
      </c>
      <c r="AZ3" s="2">
        <f t="shared" ref="AZ3:BI12" si="11">$B3*100*(AZ$2&lt;$A3)+100*(1+$B3)*(AZ$2=$A3)</f>
        <v>0</v>
      </c>
      <c r="BA3" s="2">
        <f t="shared" si="11"/>
        <v>0</v>
      </c>
      <c r="BB3" s="2">
        <f t="shared" si="11"/>
        <v>0</v>
      </c>
      <c r="BC3" s="2">
        <f t="shared" si="11"/>
        <v>0</v>
      </c>
      <c r="BD3" s="2">
        <f t="shared" si="11"/>
        <v>0</v>
      </c>
      <c r="BE3" s="2">
        <f t="shared" si="11"/>
        <v>0</v>
      </c>
      <c r="BF3" s="2">
        <f t="shared" si="11"/>
        <v>0</v>
      </c>
      <c r="BG3" s="2">
        <f t="shared" si="11"/>
        <v>0</v>
      </c>
      <c r="BH3" s="2">
        <f t="shared" si="11"/>
        <v>0</v>
      </c>
      <c r="BI3" s="2">
        <f t="shared" si="11"/>
        <v>0</v>
      </c>
      <c r="BJ3" s="2">
        <f t="shared" ref="BJ3:BS12" si="12">$B3*100*(BJ$2&lt;$A3)+100*(1+$B3)*(BJ$2=$A3)</f>
        <v>0</v>
      </c>
      <c r="BK3" s="2">
        <f t="shared" si="12"/>
        <v>0</v>
      </c>
      <c r="BL3" s="2">
        <f t="shared" si="12"/>
        <v>0</v>
      </c>
      <c r="BM3" s="2">
        <f t="shared" si="12"/>
        <v>0</v>
      </c>
      <c r="BN3" s="2">
        <f t="shared" si="12"/>
        <v>0</v>
      </c>
      <c r="BO3" s="2">
        <f t="shared" si="12"/>
        <v>0</v>
      </c>
      <c r="BP3" s="2">
        <f t="shared" si="12"/>
        <v>0</v>
      </c>
      <c r="BQ3" s="2">
        <f t="shared" si="12"/>
        <v>0</v>
      </c>
      <c r="BR3" s="2">
        <f t="shared" si="12"/>
        <v>0</v>
      </c>
      <c r="BS3" s="2">
        <f t="shared" si="12"/>
        <v>0</v>
      </c>
      <c r="BT3" s="2">
        <f t="shared" ref="BT3:CC12" si="13">$B3*100*(BT$2&lt;$A3)+100*(1+$B3)*(BT$2=$A3)</f>
        <v>0</v>
      </c>
      <c r="BU3" s="2">
        <f t="shared" si="13"/>
        <v>0</v>
      </c>
      <c r="BV3" s="2">
        <f t="shared" si="13"/>
        <v>0</v>
      </c>
      <c r="BW3" s="2">
        <f t="shared" si="13"/>
        <v>0</v>
      </c>
      <c r="BX3" s="2">
        <f t="shared" si="13"/>
        <v>0</v>
      </c>
      <c r="BY3" s="2">
        <f t="shared" si="13"/>
        <v>0</v>
      </c>
      <c r="BZ3" s="2">
        <f t="shared" si="13"/>
        <v>0</v>
      </c>
      <c r="CA3" s="2">
        <f t="shared" si="13"/>
        <v>0</v>
      </c>
      <c r="CB3" s="2">
        <f t="shared" si="13"/>
        <v>0</v>
      </c>
      <c r="CC3" s="2">
        <f t="shared" si="13"/>
        <v>0</v>
      </c>
      <c r="CD3" s="2">
        <f t="shared" ref="CD3:CK12" si="14">$B3*100*(CD$2&lt;$A3)+100*(1+$B3)*(CD$2=$A3)</f>
        <v>0</v>
      </c>
      <c r="CE3" s="2">
        <f t="shared" si="14"/>
        <v>0</v>
      </c>
      <c r="CF3" s="2">
        <f t="shared" si="14"/>
        <v>0</v>
      </c>
      <c r="CG3" s="2">
        <f t="shared" si="14"/>
        <v>0</v>
      </c>
      <c r="CH3" s="2">
        <f t="shared" si="14"/>
        <v>0</v>
      </c>
      <c r="CI3" s="2">
        <f t="shared" si="14"/>
        <v>0</v>
      </c>
      <c r="CJ3" s="2">
        <f t="shared" si="14"/>
        <v>0</v>
      </c>
      <c r="CK3" s="23">
        <f t="shared" si="14"/>
        <v>0</v>
      </c>
      <c r="CN3" s="24">
        <v>9.9999999999999995E-7</v>
      </c>
      <c r="CO3" s="14">
        <f>$C$78</f>
        <v>5.560494859187675E-2</v>
      </c>
      <c r="CP3" s="14">
        <f>b1_G*(1-EXP(-CN3/tau1_G))/(CN3/tau1_G)</f>
        <v>-4.0658777038499981E-2</v>
      </c>
      <c r="CQ3" s="14">
        <f>b2_G*((1-EXP(-CN3/tau1_G))/(CN3/tau1_G)-EXP(-CN3/tau1_G))</f>
        <v>-5.3576812585363129E-9</v>
      </c>
      <c r="CR3" s="14">
        <f>+b3_G*((1-EXP(-CN3/tau2_G))/(CN3/tau2_G)-EXP(-CN3/tau2_G))</f>
        <v>2.500368189890718E-9</v>
      </c>
      <c r="CS3" s="14">
        <f>SUM(CO3:CR3)</f>
        <v>1.4946168696063701E-2</v>
      </c>
    </row>
    <row r="4" spans="1:97" x14ac:dyDescent="0.45">
      <c r="A4" s="16">
        <v>0.5</v>
      </c>
      <c r="B4" s="17">
        <v>1E-3</v>
      </c>
      <c r="C4" s="19">
        <v>99.591999999999999</v>
      </c>
      <c r="D4" s="19">
        <f t="shared" si="0"/>
        <v>99.331688301868283</v>
      </c>
      <c r="E4" s="19">
        <f t="shared" si="1"/>
        <v>-0.26031169813171573</v>
      </c>
      <c r="F4" s="19">
        <f t="shared" si="2"/>
        <v>0.26031169813171573</v>
      </c>
      <c r="G4" s="20">
        <f t="shared" si="3"/>
        <v>5.1008113101453922E-3</v>
      </c>
      <c r="H4" s="20">
        <f>IFERROR(IRR((J4,L4:CK4),0),0)</f>
        <v>7.734809618827887E-3</v>
      </c>
      <c r="I4" s="21">
        <f t="shared" si="4"/>
        <v>2.6339983086824947E-3</v>
      </c>
      <c r="J4" s="19">
        <f t="shared" si="5"/>
        <v>-99.331688301868283</v>
      </c>
      <c r="K4" s="22">
        <f t="shared" si="6"/>
        <v>-99.591999999999999</v>
      </c>
      <c r="L4" s="2">
        <f t="shared" si="7"/>
        <v>100.1</v>
      </c>
      <c r="M4" s="2">
        <f t="shared" si="7"/>
        <v>0</v>
      </c>
      <c r="N4" s="2">
        <f t="shared" si="7"/>
        <v>0</v>
      </c>
      <c r="O4" s="2">
        <f t="shared" si="7"/>
        <v>0</v>
      </c>
      <c r="P4" s="2">
        <f t="shared" si="7"/>
        <v>0</v>
      </c>
      <c r="Q4" s="2">
        <f t="shared" si="7"/>
        <v>0</v>
      </c>
      <c r="R4" s="2">
        <f t="shared" si="7"/>
        <v>0</v>
      </c>
      <c r="S4" s="2">
        <f t="shared" si="7"/>
        <v>0</v>
      </c>
      <c r="T4" s="2">
        <f t="shared" si="7"/>
        <v>0</v>
      </c>
      <c r="U4" s="2">
        <f t="shared" si="7"/>
        <v>0</v>
      </c>
      <c r="V4" s="2">
        <f t="shared" si="8"/>
        <v>0</v>
      </c>
      <c r="W4" s="2">
        <f t="shared" si="8"/>
        <v>0</v>
      </c>
      <c r="X4" s="2">
        <f t="shared" si="8"/>
        <v>0</v>
      </c>
      <c r="Y4" s="2">
        <f t="shared" si="8"/>
        <v>0</v>
      </c>
      <c r="Z4" s="2">
        <f t="shared" si="8"/>
        <v>0</v>
      </c>
      <c r="AA4" s="2">
        <f t="shared" si="8"/>
        <v>0</v>
      </c>
      <c r="AB4" s="2">
        <f t="shared" si="8"/>
        <v>0</v>
      </c>
      <c r="AC4" s="2">
        <f t="shared" si="8"/>
        <v>0</v>
      </c>
      <c r="AD4" s="2">
        <f t="shared" si="8"/>
        <v>0</v>
      </c>
      <c r="AE4" s="2">
        <f t="shared" si="8"/>
        <v>0</v>
      </c>
      <c r="AF4" s="2">
        <f t="shared" si="9"/>
        <v>0</v>
      </c>
      <c r="AG4" s="2">
        <f t="shared" si="9"/>
        <v>0</v>
      </c>
      <c r="AH4" s="2">
        <f t="shared" si="9"/>
        <v>0</v>
      </c>
      <c r="AI4" s="2">
        <f t="shared" si="9"/>
        <v>0</v>
      </c>
      <c r="AJ4" s="2">
        <f t="shared" si="9"/>
        <v>0</v>
      </c>
      <c r="AK4" s="2">
        <f t="shared" si="9"/>
        <v>0</v>
      </c>
      <c r="AL4" s="2">
        <f t="shared" si="9"/>
        <v>0</v>
      </c>
      <c r="AM4" s="2">
        <f t="shared" si="9"/>
        <v>0</v>
      </c>
      <c r="AN4" s="2">
        <f t="shared" si="9"/>
        <v>0</v>
      </c>
      <c r="AO4" s="2">
        <f t="shared" si="9"/>
        <v>0</v>
      </c>
      <c r="AP4" s="2">
        <f t="shared" si="10"/>
        <v>0</v>
      </c>
      <c r="AQ4" s="2">
        <f t="shared" si="10"/>
        <v>0</v>
      </c>
      <c r="AR4" s="2">
        <f t="shared" si="10"/>
        <v>0</v>
      </c>
      <c r="AS4" s="2">
        <f t="shared" si="10"/>
        <v>0</v>
      </c>
      <c r="AT4" s="2">
        <f t="shared" si="10"/>
        <v>0</v>
      </c>
      <c r="AU4" s="2">
        <f t="shared" si="10"/>
        <v>0</v>
      </c>
      <c r="AV4" s="2">
        <f t="shared" si="10"/>
        <v>0</v>
      </c>
      <c r="AW4" s="2">
        <f t="shared" si="10"/>
        <v>0</v>
      </c>
      <c r="AX4" s="2">
        <f t="shared" si="10"/>
        <v>0</v>
      </c>
      <c r="AY4" s="2">
        <f t="shared" si="10"/>
        <v>0</v>
      </c>
      <c r="AZ4" s="2">
        <f t="shared" si="11"/>
        <v>0</v>
      </c>
      <c r="BA4" s="2">
        <f t="shared" si="11"/>
        <v>0</v>
      </c>
      <c r="BB4" s="2">
        <f t="shared" si="11"/>
        <v>0</v>
      </c>
      <c r="BC4" s="2">
        <f t="shared" si="11"/>
        <v>0</v>
      </c>
      <c r="BD4" s="2">
        <f t="shared" si="11"/>
        <v>0</v>
      </c>
      <c r="BE4" s="2">
        <f t="shared" si="11"/>
        <v>0</v>
      </c>
      <c r="BF4" s="2">
        <f t="shared" si="11"/>
        <v>0</v>
      </c>
      <c r="BG4" s="2">
        <f t="shared" si="11"/>
        <v>0</v>
      </c>
      <c r="BH4" s="2">
        <f t="shared" si="11"/>
        <v>0</v>
      </c>
      <c r="BI4" s="2">
        <f t="shared" si="11"/>
        <v>0</v>
      </c>
      <c r="BJ4" s="2">
        <f t="shared" si="12"/>
        <v>0</v>
      </c>
      <c r="BK4" s="2">
        <f t="shared" si="12"/>
        <v>0</v>
      </c>
      <c r="BL4" s="2">
        <f t="shared" si="12"/>
        <v>0</v>
      </c>
      <c r="BM4" s="2">
        <f t="shared" si="12"/>
        <v>0</v>
      </c>
      <c r="BN4" s="2">
        <f t="shared" si="12"/>
        <v>0</v>
      </c>
      <c r="BO4" s="2">
        <f t="shared" si="12"/>
        <v>0</v>
      </c>
      <c r="BP4" s="2">
        <f t="shared" si="12"/>
        <v>0</v>
      </c>
      <c r="BQ4" s="2">
        <f t="shared" si="12"/>
        <v>0</v>
      </c>
      <c r="BR4" s="2">
        <f t="shared" si="12"/>
        <v>0</v>
      </c>
      <c r="BS4" s="2">
        <f t="shared" si="12"/>
        <v>0</v>
      </c>
      <c r="BT4" s="2">
        <f t="shared" si="13"/>
        <v>0</v>
      </c>
      <c r="BU4" s="2">
        <f t="shared" si="13"/>
        <v>0</v>
      </c>
      <c r="BV4" s="2">
        <f t="shared" si="13"/>
        <v>0</v>
      </c>
      <c r="BW4" s="2">
        <f t="shared" si="13"/>
        <v>0</v>
      </c>
      <c r="BX4" s="2">
        <f t="shared" si="13"/>
        <v>0</v>
      </c>
      <c r="BY4" s="2">
        <f t="shared" si="13"/>
        <v>0</v>
      </c>
      <c r="BZ4" s="2">
        <f t="shared" si="13"/>
        <v>0</v>
      </c>
      <c r="CA4" s="2">
        <f t="shared" si="13"/>
        <v>0</v>
      </c>
      <c r="CB4" s="2">
        <f t="shared" si="13"/>
        <v>0</v>
      </c>
      <c r="CC4" s="2">
        <f t="shared" si="13"/>
        <v>0</v>
      </c>
      <c r="CD4" s="2">
        <f t="shared" si="14"/>
        <v>0</v>
      </c>
      <c r="CE4" s="2">
        <f t="shared" si="14"/>
        <v>0</v>
      </c>
      <c r="CF4" s="2">
        <f t="shared" si="14"/>
        <v>0</v>
      </c>
      <c r="CG4" s="2">
        <f t="shared" si="14"/>
        <v>0</v>
      </c>
      <c r="CH4" s="2">
        <f t="shared" si="14"/>
        <v>0</v>
      </c>
      <c r="CI4" s="2">
        <f t="shared" si="14"/>
        <v>0</v>
      </c>
      <c r="CJ4" s="2">
        <f t="shared" si="14"/>
        <v>0</v>
      </c>
      <c r="CK4" s="23">
        <f t="shared" si="14"/>
        <v>0</v>
      </c>
      <c r="CN4" s="2" cm="1">
        <f t="array" ref="CN4:CN503">_xlfn.SEQUENCE(500,,0.5,0.5)</f>
        <v>0.5</v>
      </c>
      <c r="CO4" s="14" cm="1">
        <f t="array" ref="CO4:CO503">_xlfn.ANCHORARRAY(CN4)-_xlfn.ANCHORARRAY(CN4)+$B$78</f>
        <v>0.05</v>
      </c>
      <c r="CP4" s="14" cm="1">
        <f t="array" ref="CP4:CP503">b1_G*(1-EXP(-_xlfn.ANCHORARRAY(CN4)/tau1_G))/(_xlfn.ANCHORARRAY(CN4)/tau1_G)</f>
        <v>-3.8388015353827361E-2</v>
      </c>
      <c r="CQ4" s="14" cm="1">
        <f t="array" ref="CQ4:CQ503">b2_G*((1-EXP(-_xlfn.ANCHORARRAY(CN4)/tau1_G))/(_xlfn.ANCHORARRAY(CN4)/tau1_G)-EXP(-_xlfn.ANCHORARRAY(CN4)/tau1_G))</f>
        <v>-2.4790830098819013E-3</v>
      </c>
      <c r="CR4" s="14" cm="1">
        <f t="array" ref="CR4:CR503">+b3_G*((1-EXP(-_xlfn.ANCHORARRAY(CN4)/tau2_G))/(_xlfn.ANCHORARRAY(CN4)/tau2_G)-EXP(-_xlfn.ANCHORARRAY(CN4)/tau2_G))</f>
        <v>7.9159628932758358E-4</v>
      </c>
      <c r="CS4" s="14">
        <f t="shared" ref="CS4:CS67" si="15">SUM(CO4:CR4)</f>
        <v>9.9244979256183242E-3</v>
      </c>
    </row>
    <row r="5" spans="1:97" x14ac:dyDescent="0.45">
      <c r="A5" s="16">
        <v>0.5</v>
      </c>
      <c r="B5" s="17">
        <v>4.0000000000000001E-3</v>
      </c>
      <c r="C5" s="19">
        <v>99.729500000000002</v>
      </c>
      <c r="D5" s="19">
        <f t="shared" si="0"/>
        <v>99.629385669406361</v>
      </c>
      <c r="E5" s="19">
        <f t="shared" si="1"/>
        <v>-0.10011433059364094</v>
      </c>
      <c r="F5" s="19">
        <f t="shared" si="2"/>
        <v>0.10011433059364094</v>
      </c>
      <c r="G5" s="20">
        <f t="shared" si="3"/>
        <v>6.7231862187215885E-3</v>
      </c>
      <c r="H5" s="20">
        <f>IFERROR(IRR((J5,L5:CK5),0),0)</f>
        <v>7.734809618827887E-3</v>
      </c>
      <c r="I5" s="21">
        <f t="shared" si="4"/>
        <v>1.0116234001062985E-3</v>
      </c>
      <c r="J5" s="19">
        <f t="shared" si="5"/>
        <v>-99.629385669406361</v>
      </c>
      <c r="K5" s="22">
        <f t="shared" si="6"/>
        <v>-99.729500000000002</v>
      </c>
      <c r="L5" s="2">
        <f t="shared" si="7"/>
        <v>100.4</v>
      </c>
      <c r="M5" s="2">
        <f t="shared" si="7"/>
        <v>0</v>
      </c>
      <c r="N5" s="2">
        <f t="shared" si="7"/>
        <v>0</v>
      </c>
      <c r="O5" s="2">
        <f t="shared" si="7"/>
        <v>0</v>
      </c>
      <c r="P5" s="2">
        <f t="shared" si="7"/>
        <v>0</v>
      </c>
      <c r="Q5" s="2">
        <f t="shared" si="7"/>
        <v>0</v>
      </c>
      <c r="R5" s="2">
        <f t="shared" si="7"/>
        <v>0</v>
      </c>
      <c r="S5" s="2">
        <f t="shared" si="7"/>
        <v>0</v>
      </c>
      <c r="T5" s="2">
        <f t="shared" si="7"/>
        <v>0</v>
      </c>
      <c r="U5" s="2">
        <f t="shared" si="7"/>
        <v>0</v>
      </c>
      <c r="V5" s="2">
        <f t="shared" si="8"/>
        <v>0</v>
      </c>
      <c r="W5" s="2">
        <f t="shared" si="8"/>
        <v>0</v>
      </c>
      <c r="X5" s="2">
        <f t="shared" si="8"/>
        <v>0</v>
      </c>
      <c r="Y5" s="2">
        <f t="shared" si="8"/>
        <v>0</v>
      </c>
      <c r="Z5" s="2">
        <f t="shared" si="8"/>
        <v>0</v>
      </c>
      <c r="AA5" s="2">
        <f t="shared" si="8"/>
        <v>0</v>
      </c>
      <c r="AB5" s="2">
        <f t="shared" si="8"/>
        <v>0</v>
      </c>
      <c r="AC5" s="2">
        <f t="shared" si="8"/>
        <v>0</v>
      </c>
      <c r="AD5" s="2">
        <f t="shared" si="8"/>
        <v>0</v>
      </c>
      <c r="AE5" s="2">
        <f t="shared" si="8"/>
        <v>0</v>
      </c>
      <c r="AF5" s="2">
        <f t="shared" si="9"/>
        <v>0</v>
      </c>
      <c r="AG5" s="2">
        <f t="shared" si="9"/>
        <v>0</v>
      </c>
      <c r="AH5" s="2">
        <f t="shared" si="9"/>
        <v>0</v>
      </c>
      <c r="AI5" s="2">
        <f t="shared" si="9"/>
        <v>0</v>
      </c>
      <c r="AJ5" s="2">
        <f t="shared" si="9"/>
        <v>0</v>
      </c>
      <c r="AK5" s="2">
        <f t="shared" si="9"/>
        <v>0</v>
      </c>
      <c r="AL5" s="2">
        <f t="shared" si="9"/>
        <v>0</v>
      </c>
      <c r="AM5" s="2">
        <f t="shared" si="9"/>
        <v>0</v>
      </c>
      <c r="AN5" s="2">
        <f t="shared" si="9"/>
        <v>0</v>
      </c>
      <c r="AO5" s="2">
        <f t="shared" si="9"/>
        <v>0</v>
      </c>
      <c r="AP5" s="2">
        <f t="shared" si="10"/>
        <v>0</v>
      </c>
      <c r="AQ5" s="2">
        <f t="shared" si="10"/>
        <v>0</v>
      </c>
      <c r="AR5" s="2">
        <f t="shared" si="10"/>
        <v>0</v>
      </c>
      <c r="AS5" s="2">
        <f t="shared" si="10"/>
        <v>0</v>
      </c>
      <c r="AT5" s="2">
        <f t="shared" si="10"/>
        <v>0</v>
      </c>
      <c r="AU5" s="2">
        <f t="shared" si="10"/>
        <v>0</v>
      </c>
      <c r="AV5" s="2">
        <f t="shared" si="10"/>
        <v>0</v>
      </c>
      <c r="AW5" s="2">
        <f t="shared" si="10"/>
        <v>0</v>
      </c>
      <c r="AX5" s="2">
        <f t="shared" si="10"/>
        <v>0</v>
      </c>
      <c r="AY5" s="2">
        <f t="shared" si="10"/>
        <v>0</v>
      </c>
      <c r="AZ5" s="2">
        <f t="shared" si="11"/>
        <v>0</v>
      </c>
      <c r="BA5" s="2">
        <f t="shared" si="11"/>
        <v>0</v>
      </c>
      <c r="BB5" s="2">
        <f t="shared" si="11"/>
        <v>0</v>
      </c>
      <c r="BC5" s="2">
        <f t="shared" si="11"/>
        <v>0</v>
      </c>
      <c r="BD5" s="2">
        <f t="shared" si="11"/>
        <v>0</v>
      </c>
      <c r="BE5" s="2">
        <f t="shared" si="11"/>
        <v>0</v>
      </c>
      <c r="BF5" s="2">
        <f t="shared" si="11"/>
        <v>0</v>
      </c>
      <c r="BG5" s="2">
        <f t="shared" si="11"/>
        <v>0</v>
      </c>
      <c r="BH5" s="2">
        <f t="shared" si="11"/>
        <v>0</v>
      </c>
      <c r="BI5" s="2">
        <f t="shared" si="11"/>
        <v>0</v>
      </c>
      <c r="BJ5" s="2">
        <f t="shared" si="12"/>
        <v>0</v>
      </c>
      <c r="BK5" s="2">
        <f t="shared" si="12"/>
        <v>0</v>
      </c>
      <c r="BL5" s="2">
        <f t="shared" si="12"/>
        <v>0</v>
      </c>
      <c r="BM5" s="2">
        <f t="shared" si="12"/>
        <v>0</v>
      </c>
      <c r="BN5" s="2">
        <f t="shared" si="12"/>
        <v>0</v>
      </c>
      <c r="BO5" s="2">
        <f t="shared" si="12"/>
        <v>0</v>
      </c>
      <c r="BP5" s="2">
        <f t="shared" si="12"/>
        <v>0</v>
      </c>
      <c r="BQ5" s="2">
        <f t="shared" si="12"/>
        <v>0</v>
      </c>
      <c r="BR5" s="2">
        <f t="shared" si="12"/>
        <v>0</v>
      </c>
      <c r="BS5" s="2">
        <f t="shared" si="12"/>
        <v>0</v>
      </c>
      <c r="BT5" s="2">
        <f t="shared" si="13"/>
        <v>0</v>
      </c>
      <c r="BU5" s="2">
        <f t="shared" si="13"/>
        <v>0</v>
      </c>
      <c r="BV5" s="2">
        <f t="shared" si="13"/>
        <v>0</v>
      </c>
      <c r="BW5" s="2">
        <f t="shared" si="13"/>
        <v>0</v>
      </c>
      <c r="BX5" s="2">
        <f t="shared" si="13"/>
        <v>0</v>
      </c>
      <c r="BY5" s="2">
        <f t="shared" si="13"/>
        <v>0</v>
      </c>
      <c r="BZ5" s="2">
        <f t="shared" si="13"/>
        <v>0</v>
      </c>
      <c r="CA5" s="2">
        <f t="shared" si="13"/>
        <v>0</v>
      </c>
      <c r="CB5" s="2">
        <f t="shared" si="13"/>
        <v>0</v>
      </c>
      <c r="CC5" s="2">
        <f t="shared" si="13"/>
        <v>0</v>
      </c>
      <c r="CD5" s="2">
        <f t="shared" si="14"/>
        <v>0</v>
      </c>
      <c r="CE5" s="2">
        <f t="shared" si="14"/>
        <v>0</v>
      </c>
      <c r="CF5" s="2">
        <f t="shared" si="14"/>
        <v>0</v>
      </c>
      <c r="CG5" s="2">
        <f t="shared" si="14"/>
        <v>0</v>
      </c>
      <c r="CH5" s="2">
        <f t="shared" si="14"/>
        <v>0</v>
      </c>
      <c r="CI5" s="2">
        <f t="shared" si="14"/>
        <v>0</v>
      </c>
      <c r="CJ5" s="2">
        <f t="shared" si="14"/>
        <v>0</v>
      </c>
      <c r="CK5" s="23">
        <f t="shared" si="14"/>
        <v>0</v>
      </c>
      <c r="CN5" s="2">
        <v>1</v>
      </c>
      <c r="CO5" s="14">
        <v>0.05</v>
      </c>
      <c r="CP5" s="14">
        <v>-3.6284745407530107E-2</v>
      </c>
      <c r="CQ5" s="14">
        <v>-4.5942127807805898E-3</v>
      </c>
      <c r="CR5" s="14">
        <v>1.0330656523379225E-3</v>
      </c>
      <c r="CS5" s="14">
        <f t="shared" si="15"/>
        <v>1.0154107464027229E-2</v>
      </c>
    </row>
    <row r="6" spans="1:97" x14ac:dyDescent="0.45">
      <c r="A6" s="16">
        <v>0.5</v>
      </c>
      <c r="B6" s="17">
        <v>1E-3</v>
      </c>
      <c r="C6" s="19">
        <v>99.331500000000005</v>
      </c>
      <c r="D6" s="19">
        <f t="shared" si="0"/>
        <v>99.331688301868283</v>
      </c>
      <c r="E6" s="19">
        <f t="shared" si="1"/>
        <v>1.8830186827756279E-4</v>
      </c>
      <c r="F6" s="19">
        <f t="shared" si="2"/>
        <v>1.8830186827756279E-4</v>
      </c>
      <c r="G6" s="20">
        <f t="shared" si="3"/>
        <v>7.7367199730196123E-3</v>
      </c>
      <c r="H6" s="20">
        <f>IFERROR(IRR((J6,L6:CK6),0),0)</f>
        <v>7.734809618827887E-3</v>
      </c>
      <c r="I6" s="21">
        <f t="shared" si="4"/>
        <v>-1.9103541917253608E-6</v>
      </c>
      <c r="J6" s="19">
        <f t="shared" si="5"/>
        <v>-99.331688301868283</v>
      </c>
      <c r="K6" s="22">
        <f t="shared" si="6"/>
        <v>-99.331500000000005</v>
      </c>
      <c r="L6" s="2">
        <f t="shared" si="7"/>
        <v>100.1</v>
      </c>
      <c r="M6" s="2">
        <f t="shared" si="7"/>
        <v>0</v>
      </c>
      <c r="N6" s="2">
        <f t="shared" si="7"/>
        <v>0</v>
      </c>
      <c r="O6" s="2">
        <f t="shared" si="7"/>
        <v>0</v>
      </c>
      <c r="P6" s="2">
        <f t="shared" si="7"/>
        <v>0</v>
      </c>
      <c r="Q6" s="2">
        <f t="shared" si="7"/>
        <v>0</v>
      </c>
      <c r="R6" s="2">
        <f t="shared" si="7"/>
        <v>0</v>
      </c>
      <c r="S6" s="2">
        <f t="shared" si="7"/>
        <v>0</v>
      </c>
      <c r="T6" s="2">
        <f t="shared" si="7"/>
        <v>0</v>
      </c>
      <c r="U6" s="2">
        <f t="shared" si="7"/>
        <v>0</v>
      </c>
      <c r="V6" s="2">
        <f t="shared" si="8"/>
        <v>0</v>
      </c>
      <c r="W6" s="2">
        <f t="shared" si="8"/>
        <v>0</v>
      </c>
      <c r="X6" s="2">
        <f t="shared" si="8"/>
        <v>0</v>
      </c>
      <c r="Y6" s="2">
        <f t="shared" si="8"/>
        <v>0</v>
      </c>
      <c r="Z6" s="2">
        <f t="shared" si="8"/>
        <v>0</v>
      </c>
      <c r="AA6" s="2">
        <f t="shared" si="8"/>
        <v>0</v>
      </c>
      <c r="AB6" s="2">
        <f t="shared" si="8"/>
        <v>0</v>
      </c>
      <c r="AC6" s="2">
        <f t="shared" si="8"/>
        <v>0</v>
      </c>
      <c r="AD6" s="2">
        <f t="shared" si="8"/>
        <v>0</v>
      </c>
      <c r="AE6" s="2">
        <f t="shared" si="8"/>
        <v>0</v>
      </c>
      <c r="AF6" s="2">
        <f t="shared" si="9"/>
        <v>0</v>
      </c>
      <c r="AG6" s="2">
        <f t="shared" si="9"/>
        <v>0</v>
      </c>
      <c r="AH6" s="2">
        <f t="shared" si="9"/>
        <v>0</v>
      </c>
      <c r="AI6" s="2">
        <f t="shared" si="9"/>
        <v>0</v>
      </c>
      <c r="AJ6" s="2">
        <f t="shared" si="9"/>
        <v>0</v>
      </c>
      <c r="AK6" s="2">
        <f t="shared" si="9"/>
        <v>0</v>
      </c>
      <c r="AL6" s="2">
        <f t="shared" si="9"/>
        <v>0</v>
      </c>
      <c r="AM6" s="2">
        <f t="shared" si="9"/>
        <v>0</v>
      </c>
      <c r="AN6" s="2">
        <f t="shared" si="9"/>
        <v>0</v>
      </c>
      <c r="AO6" s="2">
        <f t="shared" si="9"/>
        <v>0</v>
      </c>
      <c r="AP6" s="2">
        <f t="shared" si="10"/>
        <v>0</v>
      </c>
      <c r="AQ6" s="2">
        <f t="shared" si="10"/>
        <v>0</v>
      </c>
      <c r="AR6" s="2">
        <f t="shared" si="10"/>
        <v>0</v>
      </c>
      <c r="AS6" s="2">
        <f t="shared" si="10"/>
        <v>0</v>
      </c>
      <c r="AT6" s="2">
        <f t="shared" si="10"/>
        <v>0</v>
      </c>
      <c r="AU6" s="2">
        <f t="shared" si="10"/>
        <v>0</v>
      </c>
      <c r="AV6" s="2">
        <f t="shared" si="10"/>
        <v>0</v>
      </c>
      <c r="AW6" s="2">
        <f t="shared" si="10"/>
        <v>0</v>
      </c>
      <c r="AX6" s="2">
        <f t="shared" si="10"/>
        <v>0</v>
      </c>
      <c r="AY6" s="2">
        <f t="shared" si="10"/>
        <v>0</v>
      </c>
      <c r="AZ6" s="2">
        <f t="shared" si="11"/>
        <v>0</v>
      </c>
      <c r="BA6" s="2">
        <f t="shared" si="11"/>
        <v>0</v>
      </c>
      <c r="BB6" s="2">
        <f t="shared" si="11"/>
        <v>0</v>
      </c>
      <c r="BC6" s="2">
        <f t="shared" si="11"/>
        <v>0</v>
      </c>
      <c r="BD6" s="2">
        <f t="shared" si="11"/>
        <v>0</v>
      </c>
      <c r="BE6" s="2">
        <f t="shared" si="11"/>
        <v>0</v>
      </c>
      <c r="BF6" s="2">
        <f t="shared" si="11"/>
        <v>0</v>
      </c>
      <c r="BG6" s="2">
        <f t="shared" si="11"/>
        <v>0</v>
      </c>
      <c r="BH6" s="2">
        <f t="shared" si="11"/>
        <v>0</v>
      </c>
      <c r="BI6" s="2">
        <f t="shared" si="11"/>
        <v>0</v>
      </c>
      <c r="BJ6" s="2">
        <f t="shared" si="12"/>
        <v>0</v>
      </c>
      <c r="BK6" s="2">
        <f t="shared" si="12"/>
        <v>0</v>
      </c>
      <c r="BL6" s="2">
        <f t="shared" si="12"/>
        <v>0</v>
      </c>
      <c r="BM6" s="2">
        <f t="shared" si="12"/>
        <v>0</v>
      </c>
      <c r="BN6" s="2">
        <f t="shared" si="12"/>
        <v>0</v>
      </c>
      <c r="BO6" s="2">
        <f t="shared" si="12"/>
        <v>0</v>
      </c>
      <c r="BP6" s="2">
        <f t="shared" si="12"/>
        <v>0</v>
      </c>
      <c r="BQ6" s="2">
        <f t="shared" si="12"/>
        <v>0</v>
      </c>
      <c r="BR6" s="2">
        <f t="shared" si="12"/>
        <v>0</v>
      </c>
      <c r="BS6" s="2">
        <f t="shared" si="12"/>
        <v>0</v>
      </c>
      <c r="BT6" s="2">
        <f t="shared" si="13"/>
        <v>0</v>
      </c>
      <c r="BU6" s="2">
        <f t="shared" si="13"/>
        <v>0</v>
      </c>
      <c r="BV6" s="2">
        <f t="shared" si="13"/>
        <v>0</v>
      </c>
      <c r="BW6" s="2">
        <f t="shared" si="13"/>
        <v>0</v>
      </c>
      <c r="BX6" s="2">
        <f t="shared" si="13"/>
        <v>0</v>
      </c>
      <c r="BY6" s="2">
        <f t="shared" si="13"/>
        <v>0</v>
      </c>
      <c r="BZ6" s="2">
        <f t="shared" si="13"/>
        <v>0</v>
      </c>
      <c r="CA6" s="2">
        <f t="shared" si="13"/>
        <v>0</v>
      </c>
      <c r="CB6" s="2">
        <f t="shared" si="13"/>
        <v>0</v>
      </c>
      <c r="CC6" s="2">
        <f t="shared" si="13"/>
        <v>0</v>
      </c>
      <c r="CD6" s="2">
        <f t="shared" si="14"/>
        <v>0</v>
      </c>
      <c r="CE6" s="2">
        <f t="shared" si="14"/>
        <v>0</v>
      </c>
      <c r="CF6" s="2">
        <f t="shared" si="14"/>
        <v>0</v>
      </c>
      <c r="CG6" s="2">
        <f t="shared" si="14"/>
        <v>0</v>
      </c>
      <c r="CH6" s="2">
        <f t="shared" si="14"/>
        <v>0</v>
      </c>
      <c r="CI6" s="2">
        <f t="shared" si="14"/>
        <v>0</v>
      </c>
      <c r="CJ6" s="2">
        <f t="shared" si="14"/>
        <v>0</v>
      </c>
      <c r="CK6" s="23">
        <f t="shared" si="14"/>
        <v>0</v>
      </c>
      <c r="CN6" s="2">
        <v>1.5</v>
      </c>
      <c r="CO6" s="14">
        <v>0.05</v>
      </c>
      <c r="CP6" s="14">
        <v>-3.4335125653920121E-2</v>
      </c>
      <c r="CQ6" s="14">
        <v>-6.3903867053029598E-3</v>
      </c>
      <c r="CR6" s="14">
        <v>1.043590606774643E-3</v>
      </c>
      <c r="CS6" s="14">
        <f t="shared" si="15"/>
        <v>1.0318078247551566E-2</v>
      </c>
    </row>
    <row r="7" spans="1:97" x14ac:dyDescent="0.45">
      <c r="A7" s="16">
        <v>0.5</v>
      </c>
      <c r="B7" s="17">
        <v>5.0000000000000002E-5</v>
      </c>
      <c r="C7" s="19">
        <v>99.263000000000005</v>
      </c>
      <c r="D7" s="19">
        <f t="shared" si="0"/>
        <v>99.237417468814584</v>
      </c>
      <c r="E7" s="19">
        <f t="shared" si="1"/>
        <v>-2.5582531185420976E-2</v>
      </c>
      <c r="F7" s="19">
        <f t="shared" si="2"/>
        <v>2.5582531185420976E-2</v>
      </c>
      <c r="G7" s="20">
        <f t="shared" si="3"/>
        <v>7.4750914237935451E-3</v>
      </c>
      <c r="H7" s="20">
        <f>IFERROR(IRR((J7,L7:CK7),0),0)</f>
        <v>7.734809618828109E-3</v>
      </c>
      <c r="I7" s="21">
        <f t="shared" si="4"/>
        <v>2.5971819503456395E-4</v>
      </c>
      <c r="J7" s="19">
        <f t="shared" si="5"/>
        <v>-99.237417468814584</v>
      </c>
      <c r="K7" s="22">
        <f t="shared" si="6"/>
        <v>-99.263000000000005</v>
      </c>
      <c r="L7" s="2">
        <f t="shared" si="7"/>
        <v>100.00500000000001</v>
      </c>
      <c r="M7" s="2">
        <f t="shared" si="7"/>
        <v>0</v>
      </c>
      <c r="N7" s="2">
        <f t="shared" si="7"/>
        <v>0</v>
      </c>
      <c r="O7" s="2">
        <f t="shared" si="7"/>
        <v>0</v>
      </c>
      <c r="P7" s="2">
        <f t="shared" si="7"/>
        <v>0</v>
      </c>
      <c r="Q7" s="2">
        <f t="shared" si="7"/>
        <v>0</v>
      </c>
      <c r="R7" s="2">
        <f t="shared" si="7"/>
        <v>0</v>
      </c>
      <c r="S7" s="2">
        <f t="shared" si="7"/>
        <v>0</v>
      </c>
      <c r="T7" s="2">
        <f t="shared" si="7"/>
        <v>0</v>
      </c>
      <c r="U7" s="2">
        <f t="shared" si="7"/>
        <v>0</v>
      </c>
      <c r="V7" s="2">
        <f t="shared" si="8"/>
        <v>0</v>
      </c>
      <c r="W7" s="2">
        <f t="shared" si="8"/>
        <v>0</v>
      </c>
      <c r="X7" s="2">
        <f t="shared" si="8"/>
        <v>0</v>
      </c>
      <c r="Y7" s="2">
        <f t="shared" si="8"/>
        <v>0</v>
      </c>
      <c r="Z7" s="2">
        <f t="shared" si="8"/>
        <v>0</v>
      </c>
      <c r="AA7" s="2">
        <f t="shared" si="8"/>
        <v>0</v>
      </c>
      <c r="AB7" s="2">
        <f t="shared" si="8"/>
        <v>0</v>
      </c>
      <c r="AC7" s="2">
        <f t="shared" si="8"/>
        <v>0</v>
      </c>
      <c r="AD7" s="2">
        <f t="shared" si="8"/>
        <v>0</v>
      </c>
      <c r="AE7" s="2">
        <f t="shared" si="8"/>
        <v>0</v>
      </c>
      <c r="AF7" s="2">
        <f t="shared" si="9"/>
        <v>0</v>
      </c>
      <c r="AG7" s="2">
        <f t="shared" si="9"/>
        <v>0</v>
      </c>
      <c r="AH7" s="2">
        <f t="shared" si="9"/>
        <v>0</v>
      </c>
      <c r="AI7" s="2">
        <f t="shared" si="9"/>
        <v>0</v>
      </c>
      <c r="AJ7" s="2">
        <f t="shared" si="9"/>
        <v>0</v>
      </c>
      <c r="AK7" s="2">
        <f t="shared" si="9"/>
        <v>0</v>
      </c>
      <c r="AL7" s="2">
        <f t="shared" si="9"/>
        <v>0</v>
      </c>
      <c r="AM7" s="2">
        <f t="shared" si="9"/>
        <v>0</v>
      </c>
      <c r="AN7" s="2">
        <f t="shared" si="9"/>
        <v>0</v>
      </c>
      <c r="AO7" s="2">
        <f t="shared" si="9"/>
        <v>0</v>
      </c>
      <c r="AP7" s="2">
        <f t="shared" si="10"/>
        <v>0</v>
      </c>
      <c r="AQ7" s="2">
        <f t="shared" si="10"/>
        <v>0</v>
      </c>
      <c r="AR7" s="2">
        <f t="shared" si="10"/>
        <v>0</v>
      </c>
      <c r="AS7" s="2">
        <f t="shared" si="10"/>
        <v>0</v>
      </c>
      <c r="AT7" s="2">
        <f t="shared" si="10"/>
        <v>0</v>
      </c>
      <c r="AU7" s="2">
        <f t="shared" si="10"/>
        <v>0</v>
      </c>
      <c r="AV7" s="2">
        <f t="shared" si="10"/>
        <v>0</v>
      </c>
      <c r="AW7" s="2">
        <f t="shared" si="10"/>
        <v>0</v>
      </c>
      <c r="AX7" s="2">
        <f t="shared" si="10"/>
        <v>0</v>
      </c>
      <c r="AY7" s="2">
        <f t="shared" si="10"/>
        <v>0</v>
      </c>
      <c r="AZ7" s="2">
        <f t="shared" si="11"/>
        <v>0</v>
      </c>
      <c r="BA7" s="2">
        <f t="shared" si="11"/>
        <v>0</v>
      </c>
      <c r="BB7" s="2">
        <f t="shared" si="11"/>
        <v>0</v>
      </c>
      <c r="BC7" s="2">
        <f t="shared" si="11"/>
        <v>0</v>
      </c>
      <c r="BD7" s="2">
        <f t="shared" si="11"/>
        <v>0</v>
      </c>
      <c r="BE7" s="2">
        <f t="shared" si="11"/>
        <v>0</v>
      </c>
      <c r="BF7" s="2">
        <f t="shared" si="11"/>
        <v>0</v>
      </c>
      <c r="BG7" s="2">
        <f t="shared" si="11"/>
        <v>0</v>
      </c>
      <c r="BH7" s="2">
        <f t="shared" si="11"/>
        <v>0</v>
      </c>
      <c r="BI7" s="2">
        <f t="shared" si="11"/>
        <v>0</v>
      </c>
      <c r="BJ7" s="2">
        <f t="shared" si="12"/>
        <v>0</v>
      </c>
      <c r="BK7" s="2">
        <f t="shared" si="12"/>
        <v>0</v>
      </c>
      <c r="BL7" s="2">
        <f t="shared" si="12"/>
        <v>0</v>
      </c>
      <c r="BM7" s="2">
        <f t="shared" si="12"/>
        <v>0</v>
      </c>
      <c r="BN7" s="2">
        <f t="shared" si="12"/>
        <v>0</v>
      </c>
      <c r="BO7" s="2">
        <f t="shared" si="12"/>
        <v>0</v>
      </c>
      <c r="BP7" s="2">
        <f t="shared" si="12"/>
        <v>0</v>
      </c>
      <c r="BQ7" s="2">
        <f t="shared" si="12"/>
        <v>0</v>
      </c>
      <c r="BR7" s="2">
        <f t="shared" si="12"/>
        <v>0</v>
      </c>
      <c r="BS7" s="2">
        <f t="shared" si="12"/>
        <v>0</v>
      </c>
      <c r="BT7" s="2">
        <f t="shared" si="13"/>
        <v>0</v>
      </c>
      <c r="BU7" s="2">
        <f t="shared" si="13"/>
        <v>0</v>
      </c>
      <c r="BV7" s="2">
        <f t="shared" si="13"/>
        <v>0</v>
      </c>
      <c r="BW7" s="2">
        <f t="shared" si="13"/>
        <v>0</v>
      </c>
      <c r="BX7" s="2">
        <f t="shared" si="13"/>
        <v>0</v>
      </c>
      <c r="BY7" s="2">
        <f t="shared" si="13"/>
        <v>0</v>
      </c>
      <c r="BZ7" s="2">
        <f t="shared" si="13"/>
        <v>0</v>
      </c>
      <c r="CA7" s="2">
        <f t="shared" si="13"/>
        <v>0</v>
      </c>
      <c r="CB7" s="2">
        <f t="shared" si="13"/>
        <v>0</v>
      </c>
      <c r="CC7" s="2">
        <f t="shared" si="13"/>
        <v>0</v>
      </c>
      <c r="CD7" s="2">
        <f t="shared" si="14"/>
        <v>0</v>
      </c>
      <c r="CE7" s="2">
        <f t="shared" si="14"/>
        <v>0</v>
      </c>
      <c r="CF7" s="2">
        <f t="shared" si="14"/>
        <v>0</v>
      </c>
      <c r="CG7" s="2">
        <f t="shared" si="14"/>
        <v>0</v>
      </c>
      <c r="CH7" s="2">
        <f t="shared" si="14"/>
        <v>0</v>
      </c>
      <c r="CI7" s="2">
        <f t="shared" si="14"/>
        <v>0</v>
      </c>
      <c r="CJ7" s="2">
        <f t="shared" si="14"/>
        <v>0</v>
      </c>
      <c r="CK7" s="23">
        <f t="shared" si="14"/>
        <v>0</v>
      </c>
      <c r="CN7" s="2">
        <v>2</v>
      </c>
      <c r="CO7" s="14">
        <v>0.05</v>
      </c>
      <c r="CP7" s="14">
        <v>-3.2526528408437089E-2</v>
      </c>
      <c r="CQ7" s="14">
        <v>-7.9073324322553509E-3</v>
      </c>
      <c r="CR7" s="14">
        <v>9.6772585698538436E-4</v>
      </c>
      <c r="CS7" s="14">
        <f t="shared" si="15"/>
        <v>1.0533865016292948E-2</v>
      </c>
    </row>
    <row r="8" spans="1:97" x14ac:dyDescent="0.45">
      <c r="A8" s="16">
        <v>0.5</v>
      </c>
      <c r="B8" s="17">
        <v>1E-3</v>
      </c>
      <c r="C8" s="19">
        <v>99.078499999999991</v>
      </c>
      <c r="D8" s="19">
        <f t="shared" si="0"/>
        <v>99.331688301868283</v>
      </c>
      <c r="E8" s="19">
        <f t="shared" si="1"/>
        <v>0.25318830186829189</v>
      </c>
      <c r="F8" s="19">
        <f t="shared" si="2"/>
        <v>0.25318830186829189</v>
      </c>
      <c r="G8" s="20">
        <f t="shared" si="3"/>
        <v>1.0310006711849784E-2</v>
      </c>
      <c r="H8" s="20">
        <f>IFERROR(IRR((J8,L8:CK8),0),0)</f>
        <v>7.734809618827887E-3</v>
      </c>
      <c r="I8" s="21">
        <f t="shared" si="4"/>
        <v>-2.575197093021897E-3</v>
      </c>
      <c r="J8" s="19">
        <f t="shared" si="5"/>
        <v>-99.331688301868283</v>
      </c>
      <c r="K8" s="22">
        <f t="shared" si="6"/>
        <v>-99.078499999999991</v>
      </c>
      <c r="L8" s="2">
        <f t="shared" si="7"/>
        <v>100.1</v>
      </c>
      <c r="M8" s="2">
        <f t="shared" si="7"/>
        <v>0</v>
      </c>
      <c r="N8" s="2">
        <f t="shared" si="7"/>
        <v>0</v>
      </c>
      <c r="O8" s="2">
        <f t="shared" si="7"/>
        <v>0</v>
      </c>
      <c r="P8" s="2">
        <f t="shared" si="7"/>
        <v>0</v>
      </c>
      <c r="Q8" s="2">
        <f t="shared" si="7"/>
        <v>0</v>
      </c>
      <c r="R8" s="2">
        <f t="shared" si="7"/>
        <v>0</v>
      </c>
      <c r="S8" s="2">
        <f t="shared" si="7"/>
        <v>0</v>
      </c>
      <c r="T8" s="2">
        <f t="shared" si="7"/>
        <v>0</v>
      </c>
      <c r="U8" s="2">
        <f t="shared" si="7"/>
        <v>0</v>
      </c>
      <c r="V8" s="2">
        <f t="shared" si="8"/>
        <v>0</v>
      </c>
      <c r="W8" s="2">
        <f t="shared" si="8"/>
        <v>0</v>
      </c>
      <c r="X8" s="2">
        <f t="shared" si="8"/>
        <v>0</v>
      </c>
      <c r="Y8" s="2">
        <f t="shared" si="8"/>
        <v>0</v>
      </c>
      <c r="Z8" s="2">
        <f t="shared" si="8"/>
        <v>0</v>
      </c>
      <c r="AA8" s="2">
        <f t="shared" si="8"/>
        <v>0</v>
      </c>
      <c r="AB8" s="2">
        <f t="shared" si="8"/>
        <v>0</v>
      </c>
      <c r="AC8" s="2">
        <f t="shared" si="8"/>
        <v>0</v>
      </c>
      <c r="AD8" s="2">
        <f t="shared" si="8"/>
        <v>0</v>
      </c>
      <c r="AE8" s="2">
        <f t="shared" si="8"/>
        <v>0</v>
      </c>
      <c r="AF8" s="2">
        <f t="shared" si="9"/>
        <v>0</v>
      </c>
      <c r="AG8" s="2">
        <f t="shared" si="9"/>
        <v>0</v>
      </c>
      <c r="AH8" s="2">
        <f t="shared" si="9"/>
        <v>0</v>
      </c>
      <c r="AI8" s="2">
        <f t="shared" si="9"/>
        <v>0</v>
      </c>
      <c r="AJ8" s="2">
        <f t="shared" si="9"/>
        <v>0</v>
      </c>
      <c r="AK8" s="2">
        <f t="shared" si="9"/>
        <v>0</v>
      </c>
      <c r="AL8" s="2">
        <f t="shared" si="9"/>
        <v>0</v>
      </c>
      <c r="AM8" s="2">
        <f t="shared" si="9"/>
        <v>0</v>
      </c>
      <c r="AN8" s="2">
        <f t="shared" si="9"/>
        <v>0</v>
      </c>
      <c r="AO8" s="2">
        <f t="shared" si="9"/>
        <v>0</v>
      </c>
      <c r="AP8" s="2">
        <f t="shared" si="10"/>
        <v>0</v>
      </c>
      <c r="AQ8" s="2">
        <f t="shared" si="10"/>
        <v>0</v>
      </c>
      <c r="AR8" s="2">
        <f t="shared" si="10"/>
        <v>0</v>
      </c>
      <c r="AS8" s="2">
        <f t="shared" si="10"/>
        <v>0</v>
      </c>
      <c r="AT8" s="2">
        <f t="shared" si="10"/>
        <v>0</v>
      </c>
      <c r="AU8" s="2">
        <f t="shared" si="10"/>
        <v>0</v>
      </c>
      <c r="AV8" s="2">
        <f t="shared" si="10"/>
        <v>0</v>
      </c>
      <c r="AW8" s="2">
        <f t="shared" si="10"/>
        <v>0</v>
      </c>
      <c r="AX8" s="2">
        <f t="shared" si="10"/>
        <v>0</v>
      </c>
      <c r="AY8" s="2">
        <f t="shared" si="10"/>
        <v>0</v>
      </c>
      <c r="AZ8" s="2">
        <f t="shared" si="11"/>
        <v>0</v>
      </c>
      <c r="BA8" s="2">
        <f t="shared" si="11"/>
        <v>0</v>
      </c>
      <c r="BB8" s="2">
        <f t="shared" si="11"/>
        <v>0</v>
      </c>
      <c r="BC8" s="2">
        <f t="shared" si="11"/>
        <v>0</v>
      </c>
      <c r="BD8" s="2">
        <f t="shared" si="11"/>
        <v>0</v>
      </c>
      <c r="BE8" s="2">
        <f t="shared" si="11"/>
        <v>0</v>
      </c>
      <c r="BF8" s="2">
        <f t="shared" si="11"/>
        <v>0</v>
      </c>
      <c r="BG8" s="2">
        <f t="shared" si="11"/>
        <v>0</v>
      </c>
      <c r="BH8" s="2">
        <f t="shared" si="11"/>
        <v>0</v>
      </c>
      <c r="BI8" s="2">
        <f t="shared" si="11"/>
        <v>0</v>
      </c>
      <c r="BJ8" s="2">
        <f t="shared" si="12"/>
        <v>0</v>
      </c>
      <c r="BK8" s="2">
        <f t="shared" si="12"/>
        <v>0</v>
      </c>
      <c r="BL8" s="2">
        <f t="shared" si="12"/>
        <v>0</v>
      </c>
      <c r="BM8" s="2">
        <f t="shared" si="12"/>
        <v>0</v>
      </c>
      <c r="BN8" s="2">
        <f t="shared" si="12"/>
        <v>0</v>
      </c>
      <c r="BO8" s="2">
        <f t="shared" si="12"/>
        <v>0</v>
      </c>
      <c r="BP8" s="2">
        <f t="shared" si="12"/>
        <v>0</v>
      </c>
      <c r="BQ8" s="2">
        <f t="shared" si="12"/>
        <v>0</v>
      </c>
      <c r="BR8" s="2">
        <f t="shared" si="12"/>
        <v>0</v>
      </c>
      <c r="BS8" s="2">
        <f t="shared" si="12"/>
        <v>0</v>
      </c>
      <c r="BT8" s="2">
        <f t="shared" si="13"/>
        <v>0</v>
      </c>
      <c r="BU8" s="2">
        <f t="shared" si="13"/>
        <v>0</v>
      </c>
      <c r="BV8" s="2">
        <f t="shared" si="13"/>
        <v>0</v>
      </c>
      <c r="BW8" s="2">
        <f t="shared" si="13"/>
        <v>0</v>
      </c>
      <c r="BX8" s="2">
        <f t="shared" si="13"/>
        <v>0</v>
      </c>
      <c r="BY8" s="2">
        <f t="shared" si="13"/>
        <v>0</v>
      </c>
      <c r="BZ8" s="2">
        <f t="shared" si="13"/>
        <v>0</v>
      </c>
      <c r="CA8" s="2">
        <f t="shared" si="13"/>
        <v>0</v>
      </c>
      <c r="CB8" s="2">
        <f t="shared" si="13"/>
        <v>0</v>
      </c>
      <c r="CC8" s="2">
        <f t="shared" si="13"/>
        <v>0</v>
      </c>
      <c r="CD8" s="2">
        <f t="shared" si="14"/>
        <v>0</v>
      </c>
      <c r="CE8" s="2">
        <f t="shared" si="14"/>
        <v>0</v>
      </c>
      <c r="CF8" s="2">
        <f t="shared" si="14"/>
        <v>0</v>
      </c>
      <c r="CG8" s="2">
        <f t="shared" si="14"/>
        <v>0</v>
      </c>
      <c r="CH8" s="2">
        <f t="shared" si="14"/>
        <v>0</v>
      </c>
      <c r="CI8" s="2">
        <f t="shared" si="14"/>
        <v>0</v>
      </c>
      <c r="CJ8" s="2">
        <f t="shared" si="14"/>
        <v>0</v>
      </c>
      <c r="CK8" s="23">
        <f t="shared" si="14"/>
        <v>0</v>
      </c>
      <c r="CN8" s="2">
        <v>2.5</v>
      </c>
      <c r="CO8" s="14">
        <v>0.05</v>
      </c>
      <c r="CP8" s="14">
        <v>-3.0847432974904811E-2</v>
      </c>
      <c r="CQ8" s="14">
        <v>-9.1801102221314799E-3</v>
      </c>
      <c r="CR8" s="14">
        <v>8.6839949935690018E-4</v>
      </c>
      <c r="CS8" s="14">
        <f t="shared" si="15"/>
        <v>1.0840856302320612E-2</v>
      </c>
    </row>
    <row r="9" spans="1:97" x14ac:dyDescent="0.45">
      <c r="A9" s="16">
        <v>0.5</v>
      </c>
      <c r="B9" s="17">
        <v>5.0000000000000002E-5</v>
      </c>
      <c r="C9" s="19">
        <v>98.989499999999992</v>
      </c>
      <c r="D9" s="19">
        <f t="shared" si="0"/>
        <v>99.237417468814584</v>
      </c>
      <c r="E9" s="19">
        <f t="shared" si="1"/>
        <v>0.24791746881459176</v>
      </c>
      <c r="F9" s="19">
        <f t="shared" si="2"/>
        <v>0.24791746881459176</v>
      </c>
      <c r="G9" s="20">
        <f t="shared" si="3"/>
        <v>1.0258663797675815E-2</v>
      </c>
      <c r="H9" s="20">
        <f>IFERROR(IRR((J9,L9:CK9),0),0)</f>
        <v>7.734809618828109E-3</v>
      </c>
      <c r="I9" s="21">
        <f t="shared" si="4"/>
        <v>-2.5238541788477065E-3</v>
      </c>
      <c r="J9" s="19">
        <f t="shared" si="5"/>
        <v>-99.237417468814584</v>
      </c>
      <c r="K9" s="22">
        <f t="shared" si="6"/>
        <v>-98.989499999999992</v>
      </c>
      <c r="L9" s="2">
        <f t="shared" si="7"/>
        <v>100.00500000000001</v>
      </c>
      <c r="M9" s="2">
        <f t="shared" si="7"/>
        <v>0</v>
      </c>
      <c r="N9" s="2">
        <f t="shared" si="7"/>
        <v>0</v>
      </c>
      <c r="O9" s="2">
        <f t="shared" si="7"/>
        <v>0</v>
      </c>
      <c r="P9" s="2">
        <f t="shared" si="7"/>
        <v>0</v>
      </c>
      <c r="Q9" s="2">
        <f t="shared" si="7"/>
        <v>0</v>
      </c>
      <c r="R9" s="2">
        <f t="shared" si="7"/>
        <v>0</v>
      </c>
      <c r="S9" s="2">
        <f t="shared" si="7"/>
        <v>0</v>
      </c>
      <c r="T9" s="2">
        <f t="shared" si="7"/>
        <v>0</v>
      </c>
      <c r="U9" s="2">
        <f t="shared" si="7"/>
        <v>0</v>
      </c>
      <c r="V9" s="2">
        <f t="shared" si="8"/>
        <v>0</v>
      </c>
      <c r="W9" s="2">
        <f t="shared" si="8"/>
        <v>0</v>
      </c>
      <c r="X9" s="2">
        <f t="shared" si="8"/>
        <v>0</v>
      </c>
      <c r="Y9" s="2">
        <f t="shared" si="8"/>
        <v>0</v>
      </c>
      <c r="Z9" s="2">
        <f t="shared" si="8"/>
        <v>0</v>
      </c>
      <c r="AA9" s="2">
        <f t="shared" si="8"/>
        <v>0</v>
      </c>
      <c r="AB9" s="2">
        <f t="shared" si="8"/>
        <v>0</v>
      </c>
      <c r="AC9" s="2">
        <f t="shared" si="8"/>
        <v>0</v>
      </c>
      <c r="AD9" s="2">
        <f t="shared" si="8"/>
        <v>0</v>
      </c>
      <c r="AE9" s="2">
        <f t="shared" si="8"/>
        <v>0</v>
      </c>
      <c r="AF9" s="2">
        <f t="shared" si="9"/>
        <v>0</v>
      </c>
      <c r="AG9" s="2">
        <f t="shared" si="9"/>
        <v>0</v>
      </c>
      <c r="AH9" s="2">
        <f t="shared" si="9"/>
        <v>0</v>
      </c>
      <c r="AI9" s="2">
        <f t="shared" si="9"/>
        <v>0</v>
      </c>
      <c r="AJ9" s="2">
        <f t="shared" si="9"/>
        <v>0</v>
      </c>
      <c r="AK9" s="2">
        <f t="shared" si="9"/>
        <v>0</v>
      </c>
      <c r="AL9" s="2">
        <f t="shared" si="9"/>
        <v>0</v>
      </c>
      <c r="AM9" s="2">
        <f t="shared" si="9"/>
        <v>0</v>
      </c>
      <c r="AN9" s="2">
        <f t="shared" si="9"/>
        <v>0</v>
      </c>
      <c r="AO9" s="2">
        <f t="shared" si="9"/>
        <v>0</v>
      </c>
      <c r="AP9" s="2">
        <f t="shared" si="10"/>
        <v>0</v>
      </c>
      <c r="AQ9" s="2">
        <f t="shared" si="10"/>
        <v>0</v>
      </c>
      <c r="AR9" s="2">
        <f t="shared" si="10"/>
        <v>0</v>
      </c>
      <c r="AS9" s="2">
        <f t="shared" si="10"/>
        <v>0</v>
      </c>
      <c r="AT9" s="2">
        <f t="shared" si="10"/>
        <v>0</v>
      </c>
      <c r="AU9" s="2">
        <f t="shared" si="10"/>
        <v>0</v>
      </c>
      <c r="AV9" s="2">
        <f t="shared" si="10"/>
        <v>0</v>
      </c>
      <c r="AW9" s="2">
        <f t="shared" si="10"/>
        <v>0</v>
      </c>
      <c r="AX9" s="2">
        <f t="shared" si="10"/>
        <v>0</v>
      </c>
      <c r="AY9" s="2">
        <f t="shared" si="10"/>
        <v>0</v>
      </c>
      <c r="AZ9" s="2">
        <f t="shared" si="11"/>
        <v>0</v>
      </c>
      <c r="BA9" s="2">
        <f t="shared" si="11"/>
        <v>0</v>
      </c>
      <c r="BB9" s="2">
        <f t="shared" si="11"/>
        <v>0</v>
      </c>
      <c r="BC9" s="2">
        <f t="shared" si="11"/>
        <v>0</v>
      </c>
      <c r="BD9" s="2">
        <f t="shared" si="11"/>
        <v>0</v>
      </c>
      <c r="BE9" s="2">
        <f t="shared" si="11"/>
        <v>0</v>
      </c>
      <c r="BF9" s="2">
        <f t="shared" si="11"/>
        <v>0</v>
      </c>
      <c r="BG9" s="2">
        <f t="shared" si="11"/>
        <v>0</v>
      </c>
      <c r="BH9" s="2">
        <f t="shared" si="11"/>
        <v>0</v>
      </c>
      <c r="BI9" s="2">
        <f t="shared" si="11"/>
        <v>0</v>
      </c>
      <c r="BJ9" s="2">
        <f t="shared" si="12"/>
        <v>0</v>
      </c>
      <c r="BK9" s="2">
        <f t="shared" si="12"/>
        <v>0</v>
      </c>
      <c r="BL9" s="2">
        <f t="shared" si="12"/>
        <v>0</v>
      </c>
      <c r="BM9" s="2">
        <f t="shared" si="12"/>
        <v>0</v>
      </c>
      <c r="BN9" s="2">
        <f t="shared" si="12"/>
        <v>0</v>
      </c>
      <c r="BO9" s="2">
        <f t="shared" si="12"/>
        <v>0</v>
      </c>
      <c r="BP9" s="2">
        <f t="shared" si="12"/>
        <v>0</v>
      </c>
      <c r="BQ9" s="2">
        <f t="shared" si="12"/>
        <v>0</v>
      </c>
      <c r="BR9" s="2">
        <f t="shared" si="12"/>
        <v>0</v>
      </c>
      <c r="BS9" s="2">
        <f t="shared" si="12"/>
        <v>0</v>
      </c>
      <c r="BT9" s="2">
        <f t="shared" si="13"/>
        <v>0</v>
      </c>
      <c r="BU9" s="2">
        <f t="shared" si="13"/>
        <v>0</v>
      </c>
      <c r="BV9" s="2">
        <f t="shared" si="13"/>
        <v>0</v>
      </c>
      <c r="BW9" s="2">
        <f t="shared" si="13"/>
        <v>0</v>
      </c>
      <c r="BX9" s="2">
        <f t="shared" si="13"/>
        <v>0</v>
      </c>
      <c r="BY9" s="2">
        <f t="shared" si="13"/>
        <v>0</v>
      </c>
      <c r="BZ9" s="2">
        <f t="shared" si="13"/>
        <v>0</v>
      </c>
      <c r="CA9" s="2">
        <f t="shared" si="13"/>
        <v>0</v>
      </c>
      <c r="CB9" s="2">
        <f t="shared" si="13"/>
        <v>0</v>
      </c>
      <c r="CC9" s="2">
        <f t="shared" si="13"/>
        <v>0</v>
      </c>
      <c r="CD9" s="2">
        <f t="shared" si="14"/>
        <v>0</v>
      </c>
      <c r="CE9" s="2">
        <f t="shared" si="14"/>
        <v>0</v>
      </c>
      <c r="CF9" s="2">
        <f t="shared" si="14"/>
        <v>0</v>
      </c>
      <c r="CG9" s="2">
        <f t="shared" si="14"/>
        <v>0</v>
      </c>
      <c r="CH9" s="2">
        <f t="shared" si="14"/>
        <v>0</v>
      </c>
      <c r="CI9" s="2">
        <f t="shared" si="14"/>
        <v>0</v>
      </c>
      <c r="CJ9" s="2">
        <f t="shared" si="14"/>
        <v>0</v>
      </c>
      <c r="CK9" s="23">
        <f t="shared" si="14"/>
        <v>0</v>
      </c>
      <c r="CN9" s="2">
        <v>3</v>
      </c>
      <c r="CO9" s="14">
        <v>0.05</v>
      </c>
      <c r="CP9" s="14">
        <v>-2.9287324559494326E-2</v>
      </c>
      <c r="CQ9" s="14">
        <v>-1.0239647339680131E-2</v>
      </c>
      <c r="CR9" s="14">
        <v>7.7110824926977838E-4</v>
      </c>
      <c r="CS9" s="14">
        <f t="shared" si="15"/>
        <v>1.1244136350095324E-2</v>
      </c>
    </row>
    <row r="10" spans="1:97" x14ac:dyDescent="0.45">
      <c r="A10" s="16">
        <v>0.5</v>
      </c>
      <c r="B10" s="17">
        <v>1E-3</v>
      </c>
      <c r="C10" s="19">
        <v>99.084999999999994</v>
      </c>
      <c r="D10" s="19">
        <f t="shared" si="0"/>
        <v>99.331688301868283</v>
      </c>
      <c r="E10" s="19">
        <f t="shared" si="1"/>
        <v>0.24668830186828927</v>
      </c>
      <c r="F10" s="19">
        <f t="shared" si="2"/>
        <v>0.24668830186828927</v>
      </c>
      <c r="G10" s="20">
        <f t="shared" si="3"/>
        <v>1.0243730130695905E-2</v>
      </c>
      <c r="H10" s="20">
        <f>IFERROR(IRR((J10,L10:CK10),0),0)</f>
        <v>7.734809618827887E-3</v>
      </c>
      <c r="I10" s="21">
        <f t="shared" si="4"/>
        <v>-2.508920511868018E-3</v>
      </c>
      <c r="J10" s="19">
        <f t="shared" si="5"/>
        <v>-99.331688301868283</v>
      </c>
      <c r="K10" s="22">
        <f t="shared" si="6"/>
        <v>-99.084999999999994</v>
      </c>
      <c r="L10" s="2">
        <f t="shared" si="7"/>
        <v>100.1</v>
      </c>
      <c r="M10" s="2">
        <f t="shared" si="7"/>
        <v>0</v>
      </c>
      <c r="N10" s="2">
        <f t="shared" si="7"/>
        <v>0</v>
      </c>
      <c r="O10" s="2">
        <f t="shared" si="7"/>
        <v>0</v>
      </c>
      <c r="P10" s="2">
        <f t="shared" si="7"/>
        <v>0</v>
      </c>
      <c r="Q10" s="2">
        <f t="shared" si="7"/>
        <v>0</v>
      </c>
      <c r="R10" s="2">
        <f t="shared" si="7"/>
        <v>0</v>
      </c>
      <c r="S10" s="2">
        <f t="shared" si="7"/>
        <v>0</v>
      </c>
      <c r="T10" s="2">
        <f t="shared" si="7"/>
        <v>0</v>
      </c>
      <c r="U10" s="2">
        <f t="shared" si="7"/>
        <v>0</v>
      </c>
      <c r="V10" s="2">
        <f t="shared" si="8"/>
        <v>0</v>
      </c>
      <c r="W10" s="2">
        <f t="shared" si="8"/>
        <v>0</v>
      </c>
      <c r="X10" s="2">
        <f t="shared" si="8"/>
        <v>0</v>
      </c>
      <c r="Y10" s="2">
        <f t="shared" si="8"/>
        <v>0</v>
      </c>
      <c r="Z10" s="2">
        <f t="shared" si="8"/>
        <v>0</v>
      </c>
      <c r="AA10" s="2">
        <f t="shared" si="8"/>
        <v>0</v>
      </c>
      <c r="AB10" s="2">
        <f t="shared" si="8"/>
        <v>0</v>
      </c>
      <c r="AC10" s="2">
        <f t="shared" si="8"/>
        <v>0</v>
      </c>
      <c r="AD10" s="2">
        <f t="shared" si="8"/>
        <v>0</v>
      </c>
      <c r="AE10" s="2">
        <f t="shared" si="8"/>
        <v>0</v>
      </c>
      <c r="AF10" s="2">
        <f t="shared" si="9"/>
        <v>0</v>
      </c>
      <c r="AG10" s="2">
        <f t="shared" si="9"/>
        <v>0</v>
      </c>
      <c r="AH10" s="2">
        <f t="shared" si="9"/>
        <v>0</v>
      </c>
      <c r="AI10" s="2">
        <f t="shared" si="9"/>
        <v>0</v>
      </c>
      <c r="AJ10" s="2">
        <f t="shared" si="9"/>
        <v>0</v>
      </c>
      <c r="AK10" s="2">
        <f t="shared" si="9"/>
        <v>0</v>
      </c>
      <c r="AL10" s="2">
        <f t="shared" si="9"/>
        <v>0</v>
      </c>
      <c r="AM10" s="2">
        <f t="shared" si="9"/>
        <v>0</v>
      </c>
      <c r="AN10" s="2">
        <f t="shared" si="9"/>
        <v>0</v>
      </c>
      <c r="AO10" s="2">
        <f t="shared" si="9"/>
        <v>0</v>
      </c>
      <c r="AP10" s="2">
        <f t="shared" si="10"/>
        <v>0</v>
      </c>
      <c r="AQ10" s="2">
        <f t="shared" si="10"/>
        <v>0</v>
      </c>
      <c r="AR10" s="2">
        <f t="shared" si="10"/>
        <v>0</v>
      </c>
      <c r="AS10" s="2">
        <f t="shared" si="10"/>
        <v>0</v>
      </c>
      <c r="AT10" s="2">
        <f t="shared" si="10"/>
        <v>0</v>
      </c>
      <c r="AU10" s="2">
        <f t="shared" si="10"/>
        <v>0</v>
      </c>
      <c r="AV10" s="2">
        <f t="shared" si="10"/>
        <v>0</v>
      </c>
      <c r="AW10" s="2">
        <f t="shared" si="10"/>
        <v>0</v>
      </c>
      <c r="AX10" s="2">
        <f t="shared" si="10"/>
        <v>0</v>
      </c>
      <c r="AY10" s="2">
        <f t="shared" si="10"/>
        <v>0</v>
      </c>
      <c r="AZ10" s="2">
        <f t="shared" si="11"/>
        <v>0</v>
      </c>
      <c r="BA10" s="2">
        <f t="shared" si="11"/>
        <v>0</v>
      </c>
      <c r="BB10" s="2">
        <f t="shared" si="11"/>
        <v>0</v>
      </c>
      <c r="BC10" s="2">
        <f t="shared" si="11"/>
        <v>0</v>
      </c>
      <c r="BD10" s="2">
        <f t="shared" si="11"/>
        <v>0</v>
      </c>
      <c r="BE10" s="2">
        <f t="shared" si="11"/>
        <v>0</v>
      </c>
      <c r="BF10" s="2">
        <f t="shared" si="11"/>
        <v>0</v>
      </c>
      <c r="BG10" s="2">
        <f t="shared" si="11"/>
        <v>0</v>
      </c>
      <c r="BH10" s="2">
        <f t="shared" si="11"/>
        <v>0</v>
      </c>
      <c r="BI10" s="2">
        <f t="shared" si="11"/>
        <v>0</v>
      </c>
      <c r="BJ10" s="2">
        <f t="shared" si="12"/>
        <v>0</v>
      </c>
      <c r="BK10" s="2">
        <f t="shared" si="12"/>
        <v>0</v>
      </c>
      <c r="BL10" s="2">
        <f t="shared" si="12"/>
        <v>0</v>
      </c>
      <c r="BM10" s="2">
        <f t="shared" si="12"/>
        <v>0</v>
      </c>
      <c r="BN10" s="2">
        <f t="shared" si="12"/>
        <v>0</v>
      </c>
      <c r="BO10" s="2">
        <f t="shared" si="12"/>
        <v>0</v>
      </c>
      <c r="BP10" s="2">
        <f t="shared" si="12"/>
        <v>0</v>
      </c>
      <c r="BQ10" s="2">
        <f t="shared" si="12"/>
        <v>0</v>
      </c>
      <c r="BR10" s="2">
        <f t="shared" si="12"/>
        <v>0</v>
      </c>
      <c r="BS10" s="2">
        <f t="shared" si="12"/>
        <v>0</v>
      </c>
      <c r="BT10" s="2">
        <f t="shared" si="13"/>
        <v>0</v>
      </c>
      <c r="BU10" s="2">
        <f t="shared" si="13"/>
        <v>0</v>
      </c>
      <c r="BV10" s="2">
        <f t="shared" si="13"/>
        <v>0</v>
      </c>
      <c r="BW10" s="2">
        <f t="shared" si="13"/>
        <v>0</v>
      </c>
      <c r="BX10" s="2">
        <f t="shared" si="13"/>
        <v>0</v>
      </c>
      <c r="BY10" s="2">
        <f t="shared" si="13"/>
        <v>0</v>
      </c>
      <c r="BZ10" s="2">
        <f t="shared" si="13"/>
        <v>0</v>
      </c>
      <c r="CA10" s="2">
        <f t="shared" si="13"/>
        <v>0</v>
      </c>
      <c r="CB10" s="2">
        <f t="shared" si="13"/>
        <v>0</v>
      </c>
      <c r="CC10" s="2">
        <f t="shared" si="13"/>
        <v>0</v>
      </c>
      <c r="CD10" s="2">
        <f t="shared" si="14"/>
        <v>0</v>
      </c>
      <c r="CE10" s="2">
        <f t="shared" si="14"/>
        <v>0</v>
      </c>
      <c r="CF10" s="2">
        <f t="shared" si="14"/>
        <v>0</v>
      </c>
      <c r="CG10" s="2">
        <f t="shared" si="14"/>
        <v>0</v>
      </c>
      <c r="CH10" s="2">
        <f t="shared" si="14"/>
        <v>0</v>
      </c>
      <c r="CI10" s="2">
        <f t="shared" si="14"/>
        <v>0</v>
      </c>
      <c r="CJ10" s="2">
        <f t="shared" si="14"/>
        <v>0</v>
      </c>
      <c r="CK10" s="23">
        <f t="shared" si="14"/>
        <v>0</v>
      </c>
      <c r="CN10" s="2">
        <v>3.5</v>
      </c>
      <c r="CO10" s="14">
        <v>0.05</v>
      </c>
      <c r="CP10" s="14">
        <v>-2.7836602679222874E-2</v>
      </c>
      <c r="CQ10" s="14">
        <v>-1.1113212092267517E-2</v>
      </c>
      <c r="CR10" s="14">
        <v>6.8469112755196614E-4</v>
      </c>
      <c r="CS10" s="14">
        <f t="shared" si="15"/>
        <v>1.1734876356061578E-2</v>
      </c>
    </row>
    <row r="11" spans="1:97" x14ac:dyDescent="0.45">
      <c r="A11" s="16">
        <v>1</v>
      </c>
      <c r="B11" s="17">
        <v>1E-3</v>
      </c>
      <c r="C11" s="19">
        <v>98.77600000000001</v>
      </c>
      <c r="D11" s="19">
        <f t="shared" si="0"/>
        <v>98.746552960753235</v>
      </c>
      <c r="E11" s="19">
        <f t="shared" si="1"/>
        <v>-2.944703924677583E-2</v>
      </c>
      <c r="F11" s="19">
        <f t="shared" si="2"/>
        <v>2.944703924677583E-2</v>
      </c>
      <c r="G11" s="20">
        <f t="shared" si="3"/>
        <v>7.1860466333093509E-3</v>
      </c>
      <c r="H11" s="20">
        <f>IFERROR(IRR((J11,L11:CK11),0),0)</f>
        <v>7.3362865654724718E-3</v>
      </c>
      <c r="I11" s="21">
        <f t="shared" si="4"/>
        <v>1.5023993216312093E-4</v>
      </c>
      <c r="J11" s="19">
        <f t="shared" si="5"/>
        <v>-98.746552960753235</v>
      </c>
      <c r="K11" s="22">
        <f t="shared" si="6"/>
        <v>-98.77600000000001</v>
      </c>
      <c r="L11" s="2">
        <f t="shared" si="7"/>
        <v>0.1</v>
      </c>
      <c r="M11" s="2">
        <f t="shared" si="7"/>
        <v>100.1</v>
      </c>
      <c r="N11" s="2">
        <f t="shared" si="7"/>
        <v>0</v>
      </c>
      <c r="O11" s="2">
        <f t="shared" si="7"/>
        <v>0</v>
      </c>
      <c r="P11" s="2">
        <f t="shared" si="7"/>
        <v>0</v>
      </c>
      <c r="Q11" s="2">
        <f t="shared" si="7"/>
        <v>0</v>
      </c>
      <c r="R11" s="2">
        <f t="shared" si="7"/>
        <v>0</v>
      </c>
      <c r="S11" s="2">
        <f t="shared" si="7"/>
        <v>0</v>
      </c>
      <c r="T11" s="2">
        <f t="shared" si="7"/>
        <v>0</v>
      </c>
      <c r="U11" s="2">
        <f t="shared" si="7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  <c r="AB11" s="2">
        <f t="shared" si="8"/>
        <v>0</v>
      </c>
      <c r="AC11" s="2">
        <f t="shared" si="8"/>
        <v>0</v>
      </c>
      <c r="AD11" s="2">
        <f t="shared" si="8"/>
        <v>0</v>
      </c>
      <c r="AE11" s="2">
        <f t="shared" si="8"/>
        <v>0</v>
      </c>
      <c r="AF11" s="2">
        <f t="shared" si="9"/>
        <v>0</v>
      </c>
      <c r="AG11" s="2">
        <f t="shared" si="9"/>
        <v>0</v>
      </c>
      <c r="AH11" s="2">
        <f t="shared" si="9"/>
        <v>0</v>
      </c>
      <c r="AI11" s="2">
        <f t="shared" si="9"/>
        <v>0</v>
      </c>
      <c r="AJ11" s="2">
        <f t="shared" si="9"/>
        <v>0</v>
      </c>
      <c r="AK11" s="2">
        <f t="shared" si="9"/>
        <v>0</v>
      </c>
      <c r="AL11" s="2">
        <f t="shared" si="9"/>
        <v>0</v>
      </c>
      <c r="AM11" s="2">
        <f t="shared" si="9"/>
        <v>0</v>
      </c>
      <c r="AN11" s="2">
        <f t="shared" si="9"/>
        <v>0</v>
      </c>
      <c r="AO11" s="2">
        <f t="shared" si="9"/>
        <v>0</v>
      </c>
      <c r="AP11" s="2">
        <f t="shared" si="10"/>
        <v>0</v>
      </c>
      <c r="AQ11" s="2">
        <f t="shared" si="10"/>
        <v>0</v>
      </c>
      <c r="AR11" s="2">
        <f t="shared" si="10"/>
        <v>0</v>
      </c>
      <c r="AS11" s="2">
        <f t="shared" si="10"/>
        <v>0</v>
      </c>
      <c r="AT11" s="2">
        <f t="shared" si="10"/>
        <v>0</v>
      </c>
      <c r="AU11" s="2">
        <f t="shared" si="10"/>
        <v>0</v>
      </c>
      <c r="AV11" s="2">
        <f t="shared" si="10"/>
        <v>0</v>
      </c>
      <c r="AW11" s="2">
        <f t="shared" si="10"/>
        <v>0</v>
      </c>
      <c r="AX11" s="2">
        <f t="shared" si="10"/>
        <v>0</v>
      </c>
      <c r="AY11" s="2">
        <f t="shared" si="10"/>
        <v>0</v>
      </c>
      <c r="AZ11" s="2">
        <f t="shared" si="11"/>
        <v>0</v>
      </c>
      <c r="BA11" s="2">
        <f t="shared" si="11"/>
        <v>0</v>
      </c>
      <c r="BB11" s="2">
        <f t="shared" si="11"/>
        <v>0</v>
      </c>
      <c r="BC11" s="2">
        <f t="shared" si="11"/>
        <v>0</v>
      </c>
      <c r="BD11" s="2">
        <f t="shared" si="11"/>
        <v>0</v>
      </c>
      <c r="BE11" s="2">
        <f t="shared" si="11"/>
        <v>0</v>
      </c>
      <c r="BF11" s="2">
        <f t="shared" si="11"/>
        <v>0</v>
      </c>
      <c r="BG11" s="2">
        <f t="shared" si="11"/>
        <v>0</v>
      </c>
      <c r="BH11" s="2">
        <f t="shared" si="11"/>
        <v>0</v>
      </c>
      <c r="BI11" s="2">
        <f t="shared" si="11"/>
        <v>0</v>
      </c>
      <c r="BJ11" s="2">
        <f t="shared" si="12"/>
        <v>0</v>
      </c>
      <c r="BK11" s="2">
        <f t="shared" si="12"/>
        <v>0</v>
      </c>
      <c r="BL11" s="2">
        <f t="shared" si="12"/>
        <v>0</v>
      </c>
      <c r="BM11" s="2">
        <f t="shared" si="12"/>
        <v>0</v>
      </c>
      <c r="BN11" s="2">
        <f t="shared" si="12"/>
        <v>0</v>
      </c>
      <c r="BO11" s="2">
        <f t="shared" si="12"/>
        <v>0</v>
      </c>
      <c r="BP11" s="2">
        <f t="shared" si="12"/>
        <v>0</v>
      </c>
      <c r="BQ11" s="2">
        <f t="shared" si="12"/>
        <v>0</v>
      </c>
      <c r="BR11" s="2">
        <f t="shared" si="12"/>
        <v>0</v>
      </c>
      <c r="BS11" s="2">
        <f t="shared" si="12"/>
        <v>0</v>
      </c>
      <c r="BT11" s="2">
        <f t="shared" si="13"/>
        <v>0</v>
      </c>
      <c r="BU11" s="2">
        <f t="shared" si="13"/>
        <v>0</v>
      </c>
      <c r="BV11" s="2">
        <f t="shared" si="13"/>
        <v>0</v>
      </c>
      <c r="BW11" s="2">
        <f t="shared" si="13"/>
        <v>0</v>
      </c>
      <c r="BX11" s="2">
        <f t="shared" si="13"/>
        <v>0</v>
      </c>
      <c r="BY11" s="2">
        <f t="shared" si="13"/>
        <v>0</v>
      </c>
      <c r="BZ11" s="2">
        <f t="shared" si="13"/>
        <v>0</v>
      </c>
      <c r="CA11" s="2">
        <f t="shared" si="13"/>
        <v>0</v>
      </c>
      <c r="CB11" s="2">
        <f t="shared" si="13"/>
        <v>0</v>
      </c>
      <c r="CC11" s="2">
        <f t="shared" si="13"/>
        <v>0</v>
      </c>
      <c r="CD11" s="2">
        <f t="shared" si="14"/>
        <v>0</v>
      </c>
      <c r="CE11" s="2">
        <f t="shared" si="14"/>
        <v>0</v>
      </c>
      <c r="CF11" s="2">
        <f t="shared" si="14"/>
        <v>0</v>
      </c>
      <c r="CG11" s="2">
        <f t="shared" si="14"/>
        <v>0</v>
      </c>
      <c r="CH11" s="2">
        <f t="shared" si="14"/>
        <v>0</v>
      </c>
      <c r="CI11" s="2">
        <f t="shared" si="14"/>
        <v>0</v>
      </c>
      <c r="CJ11" s="2">
        <f t="shared" si="14"/>
        <v>0</v>
      </c>
      <c r="CK11" s="23">
        <f t="shared" si="14"/>
        <v>0</v>
      </c>
      <c r="CN11" s="2">
        <v>4</v>
      </c>
      <c r="CO11" s="14">
        <v>0.05</v>
      </c>
      <c r="CP11" s="14">
        <v>-2.648649815463279E-2</v>
      </c>
      <c r="CQ11" s="14">
        <v>-1.1824834275199923E-2</v>
      </c>
      <c r="CR11" s="14">
        <v>6.1094067074599545E-4</v>
      </c>
      <c r="CS11" s="14">
        <f t="shared" si="15"/>
        <v>1.2299608240913286E-2</v>
      </c>
    </row>
    <row r="12" spans="1:97" x14ac:dyDescent="0.45">
      <c r="A12" s="16">
        <v>1</v>
      </c>
      <c r="B12" s="17">
        <v>5.0000000000000002E-5</v>
      </c>
      <c r="C12" s="19">
        <v>98.657499999999999</v>
      </c>
      <c r="D12" s="19">
        <f t="shared" si="0"/>
        <v>98.55866079455302</v>
      </c>
      <c r="E12" s="19">
        <f t="shared" si="1"/>
        <v>-9.883920544697844E-2</v>
      </c>
      <c r="F12" s="19">
        <f t="shared" si="2"/>
        <v>9.883920544697844E-2</v>
      </c>
      <c r="G12" s="20">
        <f t="shared" si="3"/>
        <v>6.8313613165655873E-3</v>
      </c>
      <c r="H12" s="20">
        <f>IFERROR(IRR((J12,L12:CK12),0),0)</f>
        <v>7.3360961584751916E-3</v>
      </c>
      <c r="I12" s="21">
        <f t="shared" si="4"/>
        <v>5.0473484190960427E-4</v>
      </c>
      <c r="J12" s="19">
        <f t="shared" si="5"/>
        <v>-98.55866079455302</v>
      </c>
      <c r="K12" s="22">
        <f t="shared" si="6"/>
        <v>-98.657499999999999</v>
      </c>
      <c r="L12" s="2">
        <f t="shared" si="7"/>
        <v>5.0000000000000001E-3</v>
      </c>
      <c r="M12" s="2">
        <f t="shared" si="7"/>
        <v>100.00500000000001</v>
      </c>
      <c r="N12" s="2">
        <f t="shared" si="7"/>
        <v>0</v>
      </c>
      <c r="O12" s="2">
        <f t="shared" si="7"/>
        <v>0</v>
      </c>
      <c r="P12" s="2">
        <f t="shared" si="7"/>
        <v>0</v>
      </c>
      <c r="Q12" s="2">
        <f t="shared" si="7"/>
        <v>0</v>
      </c>
      <c r="R12" s="2">
        <f t="shared" si="7"/>
        <v>0</v>
      </c>
      <c r="S12" s="2">
        <f t="shared" si="7"/>
        <v>0</v>
      </c>
      <c r="T12" s="2">
        <f t="shared" si="7"/>
        <v>0</v>
      </c>
      <c r="U12" s="2">
        <f t="shared" si="7"/>
        <v>0</v>
      </c>
      <c r="V12" s="2">
        <f t="shared" si="8"/>
        <v>0</v>
      </c>
      <c r="W12" s="2">
        <f t="shared" si="8"/>
        <v>0</v>
      </c>
      <c r="X12" s="2">
        <f t="shared" si="8"/>
        <v>0</v>
      </c>
      <c r="Y12" s="2">
        <f t="shared" si="8"/>
        <v>0</v>
      </c>
      <c r="Z12" s="2">
        <f t="shared" si="8"/>
        <v>0</v>
      </c>
      <c r="AA12" s="2">
        <f t="shared" si="8"/>
        <v>0</v>
      </c>
      <c r="AB12" s="2">
        <f t="shared" si="8"/>
        <v>0</v>
      </c>
      <c r="AC12" s="2">
        <f t="shared" si="8"/>
        <v>0</v>
      </c>
      <c r="AD12" s="2">
        <f t="shared" si="8"/>
        <v>0</v>
      </c>
      <c r="AE12" s="2">
        <f t="shared" si="8"/>
        <v>0</v>
      </c>
      <c r="AF12" s="2">
        <f t="shared" si="9"/>
        <v>0</v>
      </c>
      <c r="AG12" s="2">
        <f t="shared" si="9"/>
        <v>0</v>
      </c>
      <c r="AH12" s="2">
        <f t="shared" si="9"/>
        <v>0</v>
      </c>
      <c r="AI12" s="2">
        <f t="shared" si="9"/>
        <v>0</v>
      </c>
      <c r="AJ12" s="2">
        <f t="shared" si="9"/>
        <v>0</v>
      </c>
      <c r="AK12" s="2">
        <f t="shared" si="9"/>
        <v>0</v>
      </c>
      <c r="AL12" s="2">
        <f t="shared" si="9"/>
        <v>0</v>
      </c>
      <c r="AM12" s="2">
        <f t="shared" si="9"/>
        <v>0</v>
      </c>
      <c r="AN12" s="2">
        <f t="shared" si="9"/>
        <v>0</v>
      </c>
      <c r="AO12" s="2">
        <f t="shared" si="9"/>
        <v>0</v>
      </c>
      <c r="AP12" s="2">
        <f t="shared" si="10"/>
        <v>0</v>
      </c>
      <c r="AQ12" s="2">
        <f t="shared" si="10"/>
        <v>0</v>
      </c>
      <c r="AR12" s="2">
        <f t="shared" si="10"/>
        <v>0</v>
      </c>
      <c r="AS12" s="2">
        <f t="shared" si="10"/>
        <v>0</v>
      </c>
      <c r="AT12" s="2">
        <f t="shared" si="10"/>
        <v>0</v>
      </c>
      <c r="AU12" s="2">
        <f t="shared" si="10"/>
        <v>0</v>
      </c>
      <c r="AV12" s="2">
        <f t="shared" si="10"/>
        <v>0</v>
      </c>
      <c r="AW12" s="2">
        <f t="shared" si="10"/>
        <v>0</v>
      </c>
      <c r="AX12" s="2">
        <f t="shared" si="10"/>
        <v>0</v>
      </c>
      <c r="AY12" s="2">
        <f t="shared" si="10"/>
        <v>0</v>
      </c>
      <c r="AZ12" s="2">
        <f t="shared" si="11"/>
        <v>0</v>
      </c>
      <c r="BA12" s="2">
        <f t="shared" si="11"/>
        <v>0</v>
      </c>
      <c r="BB12" s="2">
        <f t="shared" si="11"/>
        <v>0</v>
      </c>
      <c r="BC12" s="2">
        <f t="shared" si="11"/>
        <v>0</v>
      </c>
      <c r="BD12" s="2">
        <f t="shared" si="11"/>
        <v>0</v>
      </c>
      <c r="BE12" s="2">
        <f t="shared" si="11"/>
        <v>0</v>
      </c>
      <c r="BF12" s="2">
        <f t="shared" si="11"/>
        <v>0</v>
      </c>
      <c r="BG12" s="2">
        <f t="shared" si="11"/>
        <v>0</v>
      </c>
      <c r="BH12" s="2">
        <f t="shared" si="11"/>
        <v>0</v>
      </c>
      <c r="BI12" s="2">
        <f t="shared" si="11"/>
        <v>0</v>
      </c>
      <c r="BJ12" s="2">
        <f t="shared" si="12"/>
        <v>0</v>
      </c>
      <c r="BK12" s="2">
        <f t="shared" si="12"/>
        <v>0</v>
      </c>
      <c r="BL12" s="2">
        <f t="shared" si="12"/>
        <v>0</v>
      </c>
      <c r="BM12" s="2">
        <f t="shared" si="12"/>
        <v>0</v>
      </c>
      <c r="BN12" s="2">
        <f t="shared" si="12"/>
        <v>0</v>
      </c>
      <c r="BO12" s="2">
        <f t="shared" si="12"/>
        <v>0</v>
      </c>
      <c r="BP12" s="2">
        <f t="shared" si="12"/>
        <v>0</v>
      </c>
      <c r="BQ12" s="2">
        <f t="shared" si="12"/>
        <v>0</v>
      </c>
      <c r="BR12" s="2">
        <f t="shared" si="12"/>
        <v>0</v>
      </c>
      <c r="BS12" s="2">
        <f t="shared" si="12"/>
        <v>0</v>
      </c>
      <c r="BT12" s="2">
        <f t="shared" si="13"/>
        <v>0</v>
      </c>
      <c r="BU12" s="2">
        <f t="shared" si="13"/>
        <v>0</v>
      </c>
      <c r="BV12" s="2">
        <f t="shared" si="13"/>
        <v>0</v>
      </c>
      <c r="BW12" s="2">
        <f t="shared" si="13"/>
        <v>0</v>
      </c>
      <c r="BX12" s="2">
        <f t="shared" si="13"/>
        <v>0</v>
      </c>
      <c r="BY12" s="2">
        <f t="shared" si="13"/>
        <v>0</v>
      </c>
      <c r="BZ12" s="2">
        <f t="shared" si="13"/>
        <v>0</v>
      </c>
      <c r="CA12" s="2">
        <f t="shared" si="13"/>
        <v>0</v>
      </c>
      <c r="CB12" s="2">
        <f t="shared" si="13"/>
        <v>0</v>
      </c>
      <c r="CC12" s="2">
        <f t="shared" si="13"/>
        <v>0</v>
      </c>
      <c r="CD12" s="2">
        <f t="shared" si="14"/>
        <v>0</v>
      </c>
      <c r="CE12" s="2">
        <f t="shared" si="14"/>
        <v>0</v>
      </c>
      <c r="CF12" s="2">
        <f t="shared" si="14"/>
        <v>0</v>
      </c>
      <c r="CG12" s="2">
        <f t="shared" si="14"/>
        <v>0</v>
      </c>
      <c r="CH12" s="2">
        <f t="shared" si="14"/>
        <v>0</v>
      </c>
      <c r="CI12" s="2">
        <f t="shared" si="14"/>
        <v>0</v>
      </c>
      <c r="CJ12" s="2">
        <f t="shared" si="14"/>
        <v>0</v>
      </c>
      <c r="CK12" s="23">
        <f t="shared" si="14"/>
        <v>0</v>
      </c>
      <c r="CN12" s="2">
        <v>4.5</v>
      </c>
      <c r="CO12" s="14">
        <v>0.05</v>
      </c>
      <c r="CP12" s="14">
        <v>-2.5228997864966924E-2</v>
      </c>
      <c r="CQ12" s="14">
        <v>-1.2395678031708698E-2</v>
      </c>
      <c r="CR12" s="14">
        <v>5.4894447461213312E-4</v>
      </c>
      <c r="CS12" s="14">
        <f t="shared" si="15"/>
        <v>1.2924268577936514E-2</v>
      </c>
    </row>
    <row r="13" spans="1:97" x14ac:dyDescent="0.45">
      <c r="A13" s="16">
        <v>1.5</v>
      </c>
      <c r="B13" s="17">
        <v>1E-3</v>
      </c>
      <c r="C13" s="19">
        <v>98.426000000000002</v>
      </c>
      <c r="D13" s="19">
        <f t="shared" si="0"/>
        <v>98.104477981278322</v>
      </c>
      <c r="E13" s="19">
        <f t="shared" si="1"/>
        <v>-0.32152201872168007</v>
      </c>
      <c r="F13" s="19">
        <f t="shared" si="2"/>
        <v>0.32152201872168007</v>
      </c>
      <c r="G13" s="20">
        <f t="shared" si="3"/>
        <v>6.3130505741502141E-3</v>
      </c>
      <c r="H13" s="20">
        <f>IFERROR(IRR((J13,L13:CK13),0),0)</f>
        <v>7.4123052236094722E-3</v>
      </c>
      <c r="I13" s="21">
        <f t="shared" si="4"/>
        <v>1.0992546494592581E-3</v>
      </c>
      <c r="J13" s="19">
        <f t="shared" si="5"/>
        <v>-98.104477981278322</v>
      </c>
      <c r="K13" s="22">
        <f t="shared" si="6"/>
        <v>-98.426000000000002</v>
      </c>
      <c r="L13" s="2">
        <f t="shared" ref="L13:U22" si="16">$B13*100*(L$2&lt;$A13)+100*(1+$B13)*(L$2=$A13)</f>
        <v>0.1</v>
      </c>
      <c r="M13" s="2">
        <f t="shared" si="16"/>
        <v>0.1</v>
      </c>
      <c r="N13" s="2">
        <f t="shared" si="16"/>
        <v>100.1</v>
      </c>
      <c r="O13" s="2">
        <f t="shared" si="16"/>
        <v>0</v>
      </c>
      <c r="P13" s="2">
        <f t="shared" si="16"/>
        <v>0</v>
      </c>
      <c r="Q13" s="2">
        <f t="shared" si="16"/>
        <v>0</v>
      </c>
      <c r="R13" s="2">
        <f t="shared" si="16"/>
        <v>0</v>
      </c>
      <c r="S13" s="2">
        <f t="shared" si="16"/>
        <v>0</v>
      </c>
      <c r="T13" s="2">
        <f t="shared" si="16"/>
        <v>0</v>
      </c>
      <c r="U13" s="2">
        <f t="shared" si="16"/>
        <v>0</v>
      </c>
      <c r="V13" s="2">
        <f t="shared" ref="V13:AE22" si="17">$B13*100*(V$2&lt;$A13)+100*(1+$B13)*(V$2=$A13)</f>
        <v>0</v>
      </c>
      <c r="W13" s="2">
        <f t="shared" si="17"/>
        <v>0</v>
      </c>
      <c r="X13" s="2">
        <f t="shared" si="17"/>
        <v>0</v>
      </c>
      <c r="Y13" s="2">
        <f t="shared" si="17"/>
        <v>0</v>
      </c>
      <c r="Z13" s="2">
        <f t="shared" si="17"/>
        <v>0</v>
      </c>
      <c r="AA13" s="2">
        <f t="shared" si="17"/>
        <v>0</v>
      </c>
      <c r="AB13" s="2">
        <f t="shared" si="17"/>
        <v>0</v>
      </c>
      <c r="AC13" s="2">
        <f t="shared" si="17"/>
        <v>0</v>
      </c>
      <c r="AD13" s="2">
        <f t="shared" si="17"/>
        <v>0</v>
      </c>
      <c r="AE13" s="2">
        <f t="shared" si="17"/>
        <v>0</v>
      </c>
      <c r="AF13" s="2">
        <f t="shared" ref="AF13:AO22" si="18">$B13*100*(AF$2&lt;$A13)+100*(1+$B13)*(AF$2=$A13)</f>
        <v>0</v>
      </c>
      <c r="AG13" s="2">
        <f t="shared" si="18"/>
        <v>0</v>
      </c>
      <c r="AH13" s="2">
        <f t="shared" si="18"/>
        <v>0</v>
      </c>
      <c r="AI13" s="2">
        <f t="shared" si="18"/>
        <v>0</v>
      </c>
      <c r="AJ13" s="2">
        <f t="shared" si="18"/>
        <v>0</v>
      </c>
      <c r="AK13" s="2">
        <f t="shared" si="18"/>
        <v>0</v>
      </c>
      <c r="AL13" s="2">
        <f t="shared" si="18"/>
        <v>0</v>
      </c>
      <c r="AM13" s="2">
        <f t="shared" si="18"/>
        <v>0</v>
      </c>
      <c r="AN13" s="2">
        <f t="shared" si="18"/>
        <v>0</v>
      </c>
      <c r="AO13" s="2">
        <f t="shared" si="18"/>
        <v>0</v>
      </c>
      <c r="AP13" s="2">
        <f t="shared" ref="AP13:AY22" si="19">$B13*100*(AP$2&lt;$A13)+100*(1+$B13)*(AP$2=$A13)</f>
        <v>0</v>
      </c>
      <c r="AQ13" s="2">
        <f t="shared" si="19"/>
        <v>0</v>
      </c>
      <c r="AR13" s="2">
        <f t="shared" si="19"/>
        <v>0</v>
      </c>
      <c r="AS13" s="2">
        <f t="shared" si="19"/>
        <v>0</v>
      </c>
      <c r="AT13" s="2">
        <f t="shared" si="19"/>
        <v>0</v>
      </c>
      <c r="AU13" s="2">
        <f t="shared" si="19"/>
        <v>0</v>
      </c>
      <c r="AV13" s="2">
        <f t="shared" si="19"/>
        <v>0</v>
      </c>
      <c r="AW13" s="2">
        <f t="shared" si="19"/>
        <v>0</v>
      </c>
      <c r="AX13" s="2">
        <f t="shared" si="19"/>
        <v>0</v>
      </c>
      <c r="AY13" s="2">
        <f t="shared" si="19"/>
        <v>0</v>
      </c>
      <c r="AZ13" s="2">
        <f t="shared" ref="AZ13:BI22" si="20">$B13*100*(AZ$2&lt;$A13)+100*(1+$B13)*(AZ$2=$A13)</f>
        <v>0</v>
      </c>
      <c r="BA13" s="2">
        <f t="shared" si="20"/>
        <v>0</v>
      </c>
      <c r="BB13" s="2">
        <f t="shared" si="20"/>
        <v>0</v>
      </c>
      <c r="BC13" s="2">
        <f t="shared" si="20"/>
        <v>0</v>
      </c>
      <c r="BD13" s="2">
        <f t="shared" si="20"/>
        <v>0</v>
      </c>
      <c r="BE13" s="2">
        <f t="shared" si="20"/>
        <v>0</v>
      </c>
      <c r="BF13" s="2">
        <f t="shared" si="20"/>
        <v>0</v>
      </c>
      <c r="BG13" s="2">
        <f t="shared" si="20"/>
        <v>0</v>
      </c>
      <c r="BH13" s="2">
        <f t="shared" si="20"/>
        <v>0</v>
      </c>
      <c r="BI13" s="2">
        <f t="shared" si="20"/>
        <v>0</v>
      </c>
      <c r="BJ13" s="2">
        <f t="shared" ref="BJ13:BS22" si="21">$B13*100*(BJ$2&lt;$A13)+100*(1+$B13)*(BJ$2=$A13)</f>
        <v>0</v>
      </c>
      <c r="BK13" s="2">
        <f t="shared" si="21"/>
        <v>0</v>
      </c>
      <c r="BL13" s="2">
        <f t="shared" si="21"/>
        <v>0</v>
      </c>
      <c r="BM13" s="2">
        <f t="shared" si="21"/>
        <v>0</v>
      </c>
      <c r="BN13" s="2">
        <f t="shared" si="21"/>
        <v>0</v>
      </c>
      <c r="BO13" s="2">
        <f t="shared" si="21"/>
        <v>0</v>
      </c>
      <c r="BP13" s="2">
        <f t="shared" si="21"/>
        <v>0</v>
      </c>
      <c r="BQ13" s="2">
        <f t="shared" si="21"/>
        <v>0</v>
      </c>
      <c r="BR13" s="2">
        <f t="shared" si="21"/>
        <v>0</v>
      </c>
      <c r="BS13" s="2">
        <f t="shared" si="21"/>
        <v>0</v>
      </c>
      <c r="BT13" s="2">
        <f t="shared" ref="BT13:CC22" si="22">$B13*100*(BT$2&lt;$A13)+100*(1+$B13)*(BT$2=$A13)</f>
        <v>0</v>
      </c>
      <c r="BU13" s="2">
        <f t="shared" si="22"/>
        <v>0</v>
      </c>
      <c r="BV13" s="2">
        <f t="shared" si="22"/>
        <v>0</v>
      </c>
      <c r="BW13" s="2">
        <f t="shared" si="22"/>
        <v>0</v>
      </c>
      <c r="BX13" s="2">
        <f t="shared" si="22"/>
        <v>0</v>
      </c>
      <c r="BY13" s="2">
        <f t="shared" si="22"/>
        <v>0</v>
      </c>
      <c r="BZ13" s="2">
        <f t="shared" si="22"/>
        <v>0</v>
      </c>
      <c r="CA13" s="2">
        <f t="shared" si="22"/>
        <v>0</v>
      </c>
      <c r="CB13" s="2">
        <f t="shared" si="22"/>
        <v>0</v>
      </c>
      <c r="CC13" s="2">
        <f t="shared" si="22"/>
        <v>0</v>
      </c>
      <c r="CD13" s="2">
        <f t="shared" ref="CD13:CK22" si="23">$B13*100*(CD$2&lt;$A13)+100*(1+$B13)*(CD$2=$A13)</f>
        <v>0</v>
      </c>
      <c r="CE13" s="2">
        <f t="shared" si="23"/>
        <v>0</v>
      </c>
      <c r="CF13" s="2">
        <f t="shared" si="23"/>
        <v>0</v>
      </c>
      <c r="CG13" s="2">
        <f t="shared" si="23"/>
        <v>0</v>
      </c>
      <c r="CH13" s="2">
        <f t="shared" si="23"/>
        <v>0</v>
      </c>
      <c r="CI13" s="2">
        <f t="shared" si="23"/>
        <v>0</v>
      </c>
      <c r="CJ13" s="2">
        <f t="shared" si="23"/>
        <v>0</v>
      </c>
      <c r="CK13" s="23">
        <f t="shared" si="23"/>
        <v>0</v>
      </c>
      <c r="CN13" s="2">
        <v>5</v>
      </c>
      <c r="CO13" s="14">
        <v>0.05</v>
      </c>
      <c r="CP13" s="14">
        <v>-2.4056776524084406E-2</v>
      </c>
      <c r="CQ13" s="14">
        <v>-1.2844372465503556E-2</v>
      </c>
      <c r="CR13" s="14">
        <v>4.9697222897276657E-4</v>
      </c>
      <c r="CS13" s="14">
        <f t="shared" si="15"/>
        <v>1.3595823239384807E-2</v>
      </c>
    </row>
    <row r="14" spans="1:97" x14ac:dyDescent="0.45">
      <c r="A14" s="16">
        <v>1.5</v>
      </c>
      <c r="B14" s="17">
        <v>1E-3</v>
      </c>
      <c r="C14" s="19">
        <v>98.417000000000002</v>
      </c>
      <c r="D14" s="19">
        <f t="shared" si="0"/>
        <v>98.104477981278322</v>
      </c>
      <c r="E14" s="19">
        <f t="shared" si="1"/>
        <v>-0.31252201872167973</v>
      </c>
      <c r="F14" s="19">
        <f t="shared" si="2"/>
        <v>0.31252201872167973</v>
      </c>
      <c r="G14" s="20">
        <f t="shared" si="3"/>
        <v>6.343755552267849E-3</v>
      </c>
      <c r="H14" s="20">
        <f>IFERROR(IRR((J14,L14:CK14),0),0)</f>
        <v>7.4123052236094722E-3</v>
      </c>
      <c r="I14" s="21">
        <f t="shared" si="4"/>
        <v>1.0685496713416232E-3</v>
      </c>
      <c r="J14" s="19">
        <f t="shared" si="5"/>
        <v>-98.104477981278322</v>
      </c>
      <c r="K14" s="22">
        <f t="shared" si="6"/>
        <v>-98.417000000000002</v>
      </c>
      <c r="L14" s="2">
        <f t="shared" si="16"/>
        <v>0.1</v>
      </c>
      <c r="M14" s="2">
        <f t="shared" si="16"/>
        <v>0.1</v>
      </c>
      <c r="N14" s="2">
        <f t="shared" si="16"/>
        <v>100.1</v>
      </c>
      <c r="O14" s="2">
        <f t="shared" si="16"/>
        <v>0</v>
      </c>
      <c r="P14" s="2">
        <f t="shared" si="16"/>
        <v>0</v>
      </c>
      <c r="Q14" s="2">
        <f t="shared" si="16"/>
        <v>0</v>
      </c>
      <c r="R14" s="2">
        <f t="shared" si="16"/>
        <v>0</v>
      </c>
      <c r="S14" s="2">
        <f t="shared" si="16"/>
        <v>0</v>
      </c>
      <c r="T14" s="2">
        <f t="shared" si="16"/>
        <v>0</v>
      </c>
      <c r="U14" s="2">
        <f t="shared" si="16"/>
        <v>0</v>
      </c>
      <c r="V14" s="2">
        <f t="shared" si="17"/>
        <v>0</v>
      </c>
      <c r="W14" s="2">
        <f t="shared" si="17"/>
        <v>0</v>
      </c>
      <c r="X14" s="2">
        <f t="shared" si="17"/>
        <v>0</v>
      </c>
      <c r="Y14" s="2">
        <f t="shared" si="17"/>
        <v>0</v>
      </c>
      <c r="Z14" s="2">
        <f t="shared" si="17"/>
        <v>0</v>
      </c>
      <c r="AA14" s="2">
        <f t="shared" si="17"/>
        <v>0</v>
      </c>
      <c r="AB14" s="2">
        <f t="shared" si="17"/>
        <v>0</v>
      </c>
      <c r="AC14" s="2">
        <f t="shared" si="17"/>
        <v>0</v>
      </c>
      <c r="AD14" s="2">
        <f t="shared" si="17"/>
        <v>0</v>
      </c>
      <c r="AE14" s="2">
        <f t="shared" si="17"/>
        <v>0</v>
      </c>
      <c r="AF14" s="2">
        <f t="shared" si="18"/>
        <v>0</v>
      </c>
      <c r="AG14" s="2">
        <f t="shared" si="18"/>
        <v>0</v>
      </c>
      <c r="AH14" s="2">
        <f t="shared" si="18"/>
        <v>0</v>
      </c>
      <c r="AI14" s="2">
        <f t="shared" si="18"/>
        <v>0</v>
      </c>
      <c r="AJ14" s="2">
        <f t="shared" si="18"/>
        <v>0</v>
      </c>
      <c r="AK14" s="2">
        <f t="shared" si="18"/>
        <v>0</v>
      </c>
      <c r="AL14" s="2">
        <f t="shared" si="18"/>
        <v>0</v>
      </c>
      <c r="AM14" s="2">
        <f t="shared" si="18"/>
        <v>0</v>
      </c>
      <c r="AN14" s="2">
        <f t="shared" si="18"/>
        <v>0</v>
      </c>
      <c r="AO14" s="2">
        <f t="shared" si="18"/>
        <v>0</v>
      </c>
      <c r="AP14" s="2">
        <f t="shared" si="19"/>
        <v>0</v>
      </c>
      <c r="AQ14" s="2">
        <f t="shared" si="19"/>
        <v>0</v>
      </c>
      <c r="AR14" s="2">
        <f t="shared" si="19"/>
        <v>0</v>
      </c>
      <c r="AS14" s="2">
        <f t="shared" si="19"/>
        <v>0</v>
      </c>
      <c r="AT14" s="2">
        <f t="shared" si="19"/>
        <v>0</v>
      </c>
      <c r="AU14" s="2">
        <f t="shared" si="19"/>
        <v>0</v>
      </c>
      <c r="AV14" s="2">
        <f t="shared" si="19"/>
        <v>0</v>
      </c>
      <c r="AW14" s="2">
        <f t="shared" si="19"/>
        <v>0</v>
      </c>
      <c r="AX14" s="2">
        <f t="shared" si="19"/>
        <v>0</v>
      </c>
      <c r="AY14" s="2">
        <f t="shared" si="19"/>
        <v>0</v>
      </c>
      <c r="AZ14" s="2">
        <f t="shared" si="20"/>
        <v>0</v>
      </c>
      <c r="BA14" s="2">
        <f t="shared" si="20"/>
        <v>0</v>
      </c>
      <c r="BB14" s="2">
        <f t="shared" si="20"/>
        <v>0</v>
      </c>
      <c r="BC14" s="2">
        <f t="shared" si="20"/>
        <v>0</v>
      </c>
      <c r="BD14" s="2">
        <f t="shared" si="20"/>
        <v>0</v>
      </c>
      <c r="BE14" s="2">
        <f t="shared" si="20"/>
        <v>0</v>
      </c>
      <c r="BF14" s="2">
        <f t="shared" si="20"/>
        <v>0</v>
      </c>
      <c r="BG14" s="2">
        <f t="shared" si="20"/>
        <v>0</v>
      </c>
      <c r="BH14" s="2">
        <f t="shared" si="20"/>
        <v>0</v>
      </c>
      <c r="BI14" s="2">
        <f t="shared" si="20"/>
        <v>0</v>
      </c>
      <c r="BJ14" s="2">
        <f t="shared" si="21"/>
        <v>0</v>
      </c>
      <c r="BK14" s="2">
        <f t="shared" si="21"/>
        <v>0</v>
      </c>
      <c r="BL14" s="2">
        <f t="shared" si="21"/>
        <v>0</v>
      </c>
      <c r="BM14" s="2">
        <f t="shared" si="21"/>
        <v>0</v>
      </c>
      <c r="BN14" s="2">
        <f t="shared" si="21"/>
        <v>0</v>
      </c>
      <c r="BO14" s="2">
        <f t="shared" si="21"/>
        <v>0</v>
      </c>
      <c r="BP14" s="2">
        <f t="shared" si="21"/>
        <v>0</v>
      </c>
      <c r="BQ14" s="2">
        <f t="shared" si="21"/>
        <v>0</v>
      </c>
      <c r="BR14" s="2">
        <f t="shared" si="21"/>
        <v>0</v>
      </c>
      <c r="BS14" s="2">
        <f t="shared" si="21"/>
        <v>0</v>
      </c>
      <c r="BT14" s="2">
        <f t="shared" si="22"/>
        <v>0</v>
      </c>
      <c r="BU14" s="2">
        <f t="shared" si="22"/>
        <v>0</v>
      </c>
      <c r="BV14" s="2">
        <f t="shared" si="22"/>
        <v>0</v>
      </c>
      <c r="BW14" s="2">
        <f t="shared" si="22"/>
        <v>0</v>
      </c>
      <c r="BX14" s="2">
        <f t="shared" si="22"/>
        <v>0</v>
      </c>
      <c r="BY14" s="2">
        <f t="shared" si="22"/>
        <v>0</v>
      </c>
      <c r="BZ14" s="2">
        <f t="shared" si="22"/>
        <v>0</v>
      </c>
      <c r="CA14" s="2">
        <f t="shared" si="22"/>
        <v>0</v>
      </c>
      <c r="CB14" s="2">
        <f t="shared" si="22"/>
        <v>0</v>
      </c>
      <c r="CC14" s="2">
        <f t="shared" si="22"/>
        <v>0</v>
      </c>
      <c r="CD14" s="2">
        <f t="shared" si="23"/>
        <v>0</v>
      </c>
      <c r="CE14" s="2">
        <f t="shared" si="23"/>
        <v>0</v>
      </c>
      <c r="CF14" s="2">
        <f t="shared" si="23"/>
        <v>0</v>
      </c>
      <c r="CG14" s="2">
        <f t="shared" si="23"/>
        <v>0</v>
      </c>
      <c r="CH14" s="2">
        <f t="shared" si="23"/>
        <v>0</v>
      </c>
      <c r="CI14" s="2">
        <f t="shared" si="23"/>
        <v>0</v>
      </c>
      <c r="CJ14" s="2">
        <f t="shared" si="23"/>
        <v>0</v>
      </c>
      <c r="CK14" s="23">
        <f t="shared" si="23"/>
        <v>0</v>
      </c>
      <c r="CN14" s="2">
        <v>5.5</v>
      </c>
      <c r="CO14" s="14">
        <v>0.05</v>
      </c>
      <c r="CP14" s="14">
        <v>-2.2963134807414128E-2</v>
      </c>
      <c r="CQ14" s="14">
        <v>-1.3187304748402906E-2</v>
      </c>
      <c r="CR14" s="14">
        <v>4.5324190126344284E-4</v>
      </c>
      <c r="CS14" s="14">
        <f t="shared" si="15"/>
        <v>1.4302802345446411E-2</v>
      </c>
    </row>
    <row r="15" spans="1:97" x14ac:dyDescent="0.45">
      <c r="A15" s="16">
        <v>1.5</v>
      </c>
      <c r="B15" s="17">
        <v>1E-3</v>
      </c>
      <c r="C15" s="19">
        <v>98.104500000000002</v>
      </c>
      <c r="D15" s="19">
        <f t="shared" si="0"/>
        <v>98.104477981278322</v>
      </c>
      <c r="E15" s="19">
        <f t="shared" si="1"/>
        <v>-2.2018721679728515E-5</v>
      </c>
      <c r="F15" s="19">
        <f t="shared" si="2"/>
        <v>2.2018721679728515E-5</v>
      </c>
      <c r="G15" s="20">
        <f t="shared" si="3"/>
        <v>7.4122297790761849E-3</v>
      </c>
      <c r="H15" s="20">
        <f>IFERROR(IRR((J15,L15:CK15),0),0)</f>
        <v>7.4123052236094722E-3</v>
      </c>
      <c r="I15" s="21">
        <f t="shared" si="4"/>
        <v>7.54445332873388E-8</v>
      </c>
      <c r="J15" s="19">
        <f t="shared" si="5"/>
        <v>-98.104477981278322</v>
      </c>
      <c r="K15" s="22">
        <f t="shared" si="6"/>
        <v>-98.104500000000002</v>
      </c>
      <c r="L15" s="2">
        <f t="shared" si="16"/>
        <v>0.1</v>
      </c>
      <c r="M15" s="2">
        <f t="shared" si="16"/>
        <v>0.1</v>
      </c>
      <c r="N15" s="2">
        <f t="shared" si="16"/>
        <v>100.1</v>
      </c>
      <c r="O15" s="2">
        <f t="shared" si="16"/>
        <v>0</v>
      </c>
      <c r="P15" s="2">
        <f t="shared" si="16"/>
        <v>0</v>
      </c>
      <c r="Q15" s="2">
        <f t="shared" si="16"/>
        <v>0</v>
      </c>
      <c r="R15" s="2">
        <f t="shared" si="16"/>
        <v>0</v>
      </c>
      <c r="S15" s="2">
        <f t="shared" si="16"/>
        <v>0</v>
      </c>
      <c r="T15" s="2">
        <f t="shared" si="16"/>
        <v>0</v>
      </c>
      <c r="U15" s="2">
        <f t="shared" si="16"/>
        <v>0</v>
      </c>
      <c r="V15" s="2">
        <f t="shared" si="17"/>
        <v>0</v>
      </c>
      <c r="W15" s="2">
        <f t="shared" si="17"/>
        <v>0</v>
      </c>
      <c r="X15" s="2">
        <f t="shared" si="17"/>
        <v>0</v>
      </c>
      <c r="Y15" s="2">
        <f t="shared" si="17"/>
        <v>0</v>
      </c>
      <c r="Z15" s="2">
        <f t="shared" si="17"/>
        <v>0</v>
      </c>
      <c r="AA15" s="2">
        <f t="shared" si="17"/>
        <v>0</v>
      </c>
      <c r="AB15" s="2">
        <f t="shared" si="17"/>
        <v>0</v>
      </c>
      <c r="AC15" s="2">
        <f t="shared" si="17"/>
        <v>0</v>
      </c>
      <c r="AD15" s="2">
        <f t="shared" si="17"/>
        <v>0</v>
      </c>
      <c r="AE15" s="2">
        <f t="shared" si="17"/>
        <v>0</v>
      </c>
      <c r="AF15" s="2">
        <f t="shared" si="18"/>
        <v>0</v>
      </c>
      <c r="AG15" s="2">
        <f t="shared" si="18"/>
        <v>0</v>
      </c>
      <c r="AH15" s="2">
        <f t="shared" si="18"/>
        <v>0</v>
      </c>
      <c r="AI15" s="2">
        <f t="shared" si="18"/>
        <v>0</v>
      </c>
      <c r="AJ15" s="2">
        <f t="shared" si="18"/>
        <v>0</v>
      </c>
      <c r="AK15" s="2">
        <f t="shared" si="18"/>
        <v>0</v>
      </c>
      <c r="AL15" s="2">
        <f t="shared" si="18"/>
        <v>0</v>
      </c>
      <c r="AM15" s="2">
        <f t="shared" si="18"/>
        <v>0</v>
      </c>
      <c r="AN15" s="2">
        <f t="shared" si="18"/>
        <v>0</v>
      </c>
      <c r="AO15" s="2">
        <f t="shared" si="18"/>
        <v>0</v>
      </c>
      <c r="AP15" s="2">
        <f t="shared" si="19"/>
        <v>0</v>
      </c>
      <c r="AQ15" s="2">
        <f t="shared" si="19"/>
        <v>0</v>
      </c>
      <c r="AR15" s="2">
        <f t="shared" si="19"/>
        <v>0</v>
      </c>
      <c r="AS15" s="2">
        <f t="shared" si="19"/>
        <v>0</v>
      </c>
      <c r="AT15" s="2">
        <f t="shared" si="19"/>
        <v>0</v>
      </c>
      <c r="AU15" s="2">
        <f t="shared" si="19"/>
        <v>0</v>
      </c>
      <c r="AV15" s="2">
        <f t="shared" si="19"/>
        <v>0</v>
      </c>
      <c r="AW15" s="2">
        <f t="shared" si="19"/>
        <v>0</v>
      </c>
      <c r="AX15" s="2">
        <f t="shared" si="19"/>
        <v>0</v>
      </c>
      <c r="AY15" s="2">
        <f t="shared" si="19"/>
        <v>0</v>
      </c>
      <c r="AZ15" s="2">
        <f t="shared" si="20"/>
        <v>0</v>
      </c>
      <c r="BA15" s="2">
        <f t="shared" si="20"/>
        <v>0</v>
      </c>
      <c r="BB15" s="2">
        <f t="shared" si="20"/>
        <v>0</v>
      </c>
      <c r="BC15" s="2">
        <f t="shared" si="20"/>
        <v>0</v>
      </c>
      <c r="BD15" s="2">
        <f t="shared" si="20"/>
        <v>0</v>
      </c>
      <c r="BE15" s="2">
        <f t="shared" si="20"/>
        <v>0</v>
      </c>
      <c r="BF15" s="2">
        <f t="shared" si="20"/>
        <v>0</v>
      </c>
      <c r="BG15" s="2">
        <f t="shared" si="20"/>
        <v>0</v>
      </c>
      <c r="BH15" s="2">
        <f t="shared" si="20"/>
        <v>0</v>
      </c>
      <c r="BI15" s="2">
        <f t="shared" si="20"/>
        <v>0</v>
      </c>
      <c r="BJ15" s="2">
        <f t="shared" si="21"/>
        <v>0</v>
      </c>
      <c r="BK15" s="2">
        <f t="shared" si="21"/>
        <v>0</v>
      </c>
      <c r="BL15" s="2">
        <f t="shared" si="21"/>
        <v>0</v>
      </c>
      <c r="BM15" s="2">
        <f t="shared" si="21"/>
        <v>0</v>
      </c>
      <c r="BN15" s="2">
        <f t="shared" si="21"/>
        <v>0</v>
      </c>
      <c r="BO15" s="2">
        <f t="shared" si="21"/>
        <v>0</v>
      </c>
      <c r="BP15" s="2">
        <f t="shared" si="21"/>
        <v>0</v>
      </c>
      <c r="BQ15" s="2">
        <f t="shared" si="21"/>
        <v>0</v>
      </c>
      <c r="BR15" s="2">
        <f t="shared" si="21"/>
        <v>0</v>
      </c>
      <c r="BS15" s="2">
        <f t="shared" si="21"/>
        <v>0</v>
      </c>
      <c r="BT15" s="2">
        <f t="shared" si="22"/>
        <v>0</v>
      </c>
      <c r="BU15" s="2">
        <f t="shared" si="22"/>
        <v>0</v>
      </c>
      <c r="BV15" s="2">
        <f t="shared" si="22"/>
        <v>0</v>
      </c>
      <c r="BW15" s="2">
        <f t="shared" si="22"/>
        <v>0</v>
      </c>
      <c r="BX15" s="2">
        <f t="shared" si="22"/>
        <v>0</v>
      </c>
      <c r="BY15" s="2">
        <f t="shared" si="22"/>
        <v>0</v>
      </c>
      <c r="BZ15" s="2">
        <f t="shared" si="22"/>
        <v>0</v>
      </c>
      <c r="CA15" s="2">
        <f t="shared" si="22"/>
        <v>0</v>
      </c>
      <c r="CB15" s="2">
        <f t="shared" si="22"/>
        <v>0</v>
      </c>
      <c r="CC15" s="2">
        <f t="shared" si="22"/>
        <v>0</v>
      </c>
      <c r="CD15" s="2">
        <f t="shared" si="23"/>
        <v>0</v>
      </c>
      <c r="CE15" s="2">
        <f t="shared" si="23"/>
        <v>0</v>
      </c>
      <c r="CF15" s="2">
        <f t="shared" si="23"/>
        <v>0</v>
      </c>
      <c r="CG15" s="2">
        <f t="shared" si="23"/>
        <v>0</v>
      </c>
      <c r="CH15" s="2">
        <f t="shared" si="23"/>
        <v>0</v>
      </c>
      <c r="CI15" s="2">
        <f t="shared" si="23"/>
        <v>0</v>
      </c>
      <c r="CJ15" s="2">
        <f t="shared" si="23"/>
        <v>0</v>
      </c>
      <c r="CK15" s="23">
        <f t="shared" si="23"/>
        <v>0</v>
      </c>
      <c r="CN15" s="2">
        <v>6</v>
      </c>
      <c r="CO15" s="14">
        <v>0.05</v>
      </c>
      <c r="CP15" s="14">
        <v>-2.1941943225206404E-2</v>
      </c>
      <c r="CQ15" s="14">
        <v>-1.3438879936310624E-2</v>
      </c>
      <c r="CR15" s="14">
        <v>4.1618955107554774E-4</v>
      </c>
      <c r="CS15" s="14">
        <f t="shared" si="15"/>
        <v>1.5035366389558522E-2</v>
      </c>
    </row>
    <row r="16" spans="1:97" x14ac:dyDescent="0.45">
      <c r="A16" s="16">
        <v>1.5</v>
      </c>
      <c r="B16" s="17">
        <v>2E-3</v>
      </c>
      <c r="C16" s="19">
        <v>98.275499999999994</v>
      </c>
      <c r="D16" s="19">
        <f t="shared" si="0"/>
        <v>98.400068096723359</v>
      </c>
      <c r="E16" s="19">
        <f t="shared" si="1"/>
        <v>0.12456809672336533</v>
      </c>
      <c r="F16" s="19">
        <f t="shared" si="2"/>
        <v>0.12456809672336533</v>
      </c>
      <c r="G16" s="20">
        <f t="shared" si="3"/>
        <v>7.838686651314708E-3</v>
      </c>
      <c r="H16" s="20">
        <f>IFERROR(IRR((J16,L16:CK16),0),0)</f>
        <v>7.4123628052753521E-3</v>
      </c>
      <c r="I16" s="21">
        <f t="shared" si="4"/>
        <v>-4.2632384603935591E-4</v>
      </c>
      <c r="J16" s="19">
        <f t="shared" si="5"/>
        <v>-98.400068096723359</v>
      </c>
      <c r="K16" s="22">
        <f t="shared" si="6"/>
        <v>-98.275499999999994</v>
      </c>
      <c r="L16" s="2">
        <f t="shared" si="16"/>
        <v>0.2</v>
      </c>
      <c r="M16" s="2">
        <f t="shared" si="16"/>
        <v>0.2</v>
      </c>
      <c r="N16" s="2">
        <f t="shared" si="16"/>
        <v>100.2</v>
      </c>
      <c r="O16" s="2">
        <f t="shared" si="16"/>
        <v>0</v>
      </c>
      <c r="P16" s="2">
        <f t="shared" si="16"/>
        <v>0</v>
      </c>
      <c r="Q16" s="2">
        <f t="shared" si="16"/>
        <v>0</v>
      </c>
      <c r="R16" s="2">
        <f t="shared" si="16"/>
        <v>0</v>
      </c>
      <c r="S16" s="2">
        <f t="shared" si="16"/>
        <v>0</v>
      </c>
      <c r="T16" s="2">
        <f t="shared" si="16"/>
        <v>0</v>
      </c>
      <c r="U16" s="2">
        <f t="shared" si="16"/>
        <v>0</v>
      </c>
      <c r="V16" s="2">
        <f t="shared" si="17"/>
        <v>0</v>
      </c>
      <c r="W16" s="2">
        <f t="shared" si="17"/>
        <v>0</v>
      </c>
      <c r="X16" s="2">
        <f t="shared" si="17"/>
        <v>0</v>
      </c>
      <c r="Y16" s="2">
        <f t="shared" si="17"/>
        <v>0</v>
      </c>
      <c r="Z16" s="2">
        <f t="shared" si="17"/>
        <v>0</v>
      </c>
      <c r="AA16" s="2">
        <f t="shared" si="17"/>
        <v>0</v>
      </c>
      <c r="AB16" s="2">
        <f t="shared" si="17"/>
        <v>0</v>
      </c>
      <c r="AC16" s="2">
        <f t="shared" si="17"/>
        <v>0</v>
      </c>
      <c r="AD16" s="2">
        <f t="shared" si="17"/>
        <v>0</v>
      </c>
      <c r="AE16" s="2">
        <f t="shared" si="17"/>
        <v>0</v>
      </c>
      <c r="AF16" s="2">
        <f t="shared" si="18"/>
        <v>0</v>
      </c>
      <c r="AG16" s="2">
        <f t="shared" si="18"/>
        <v>0</v>
      </c>
      <c r="AH16" s="2">
        <f t="shared" si="18"/>
        <v>0</v>
      </c>
      <c r="AI16" s="2">
        <f t="shared" si="18"/>
        <v>0</v>
      </c>
      <c r="AJ16" s="2">
        <f t="shared" si="18"/>
        <v>0</v>
      </c>
      <c r="AK16" s="2">
        <f t="shared" si="18"/>
        <v>0</v>
      </c>
      <c r="AL16" s="2">
        <f t="shared" si="18"/>
        <v>0</v>
      </c>
      <c r="AM16" s="2">
        <f t="shared" si="18"/>
        <v>0</v>
      </c>
      <c r="AN16" s="2">
        <f t="shared" si="18"/>
        <v>0</v>
      </c>
      <c r="AO16" s="2">
        <f t="shared" si="18"/>
        <v>0</v>
      </c>
      <c r="AP16" s="2">
        <f t="shared" si="19"/>
        <v>0</v>
      </c>
      <c r="AQ16" s="2">
        <f t="shared" si="19"/>
        <v>0</v>
      </c>
      <c r="AR16" s="2">
        <f t="shared" si="19"/>
        <v>0</v>
      </c>
      <c r="AS16" s="2">
        <f t="shared" si="19"/>
        <v>0</v>
      </c>
      <c r="AT16" s="2">
        <f t="shared" si="19"/>
        <v>0</v>
      </c>
      <c r="AU16" s="2">
        <f t="shared" si="19"/>
        <v>0</v>
      </c>
      <c r="AV16" s="2">
        <f t="shared" si="19"/>
        <v>0</v>
      </c>
      <c r="AW16" s="2">
        <f t="shared" si="19"/>
        <v>0</v>
      </c>
      <c r="AX16" s="2">
        <f t="shared" si="19"/>
        <v>0</v>
      </c>
      <c r="AY16" s="2">
        <f t="shared" si="19"/>
        <v>0</v>
      </c>
      <c r="AZ16" s="2">
        <f t="shared" si="20"/>
        <v>0</v>
      </c>
      <c r="BA16" s="2">
        <f t="shared" si="20"/>
        <v>0</v>
      </c>
      <c r="BB16" s="2">
        <f t="shared" si="20"/>
        <v>0</v>
      </c>
      <c r="BC16" s="2">
        <f t="shared" si="20"/>
        <v>0</v>
      </c>
      <c r="BD16" s="2">
        <f t="shared" si="20"/>
        <v>0</v>
      </c>
      <c r="BE16" s="2">
        <f t="shared" si="20"/>
        <v>0</v>
      </c>
      <c r="BF16" s="2">
        <f t="shared" si="20"/>
        <v>0</v>
      </c>
      <c r="BG16" s="2">
        <f t="shared" si="20"/>
        <v>0</v>
      </c>
      <c r="BH16" s="2">
        <f t="shared" si="20"/>
        <v>0</v>
      </c>
      <c r="BI16" s="2">
        <f t="shared" si="20"/>
        <v>0</v>
      </c>
      <c r="BJ16" s="2">
        <f t="shared" si="21"/>
        <v>0</v>
      </c>
      <c r="BK16" s="2">
        <f t="shared" si="21"/>
        <v>0</v>
      </c>
      <c r="BL16" s="2">
        <f t="shared" si="21"/>
        <v>0</v>
      </c>
      <c r="BM16" s="2">
        <f t="shared" si="21"/>
        <v>0</v>
      </c>
      <c r="BN16" s="2">
        <f t="shared" si="21"/>
        <v>0</v>
      </c>
      <c r="BO16" s="2">
        <f t="shared" si="21"/>
        <v>0</v>
      </c>
      <c r="BP16" s="2">
        <f t="shared" si="21"/>
        <v>0</v>
      </c>
      <c r="BQ16" s="2">
        <f t="shared" si="21"/>
        <v>0</v>
      </c>
      <c r="BR16" s="2">
        <f t="shared" si="21"/>
        <v>0</v>
      </c>
      <c r="BS16" s="2">
        <f t="shared" si="21"/>
        <v>0</v>
      </c>
      <c r="BT16" s="2">
        <f t="shared" si="22"/>
        <v>0</v>
      </c>
      <c r="BU16" s="2">
        <f t="shared" si="22"/>
        <v>0</v>
      </c>
      <c r="BV16" s="2">
        <f t="shared" si="22"/>
        <v>0</v>
      </c>
      <c r="BW16" s="2">
        <f t="shared" si="22"/>
        <v>0</v>
      </c>
      <c r="BX16" s="2">
        <f t="shared" si="22"/>
        <v>0</v>
      </c>
      <c r="BY16" s="2">
        <f t="shared" si="22"/>
        <v>0</v>
      </c>
      <c r="BZ16" s="2">
        <f t="shared" si="22"/>
        <v>0</v>
      </c>
      <c r="CA16" s="2">
        <f t="shared" si="22"/>
        <v>0</v>
      </c>
      <c r="CB16" s="2">
        <f t="shared" si="22"/>
        <v>0</v>
      </c>
      <c r="CC16" s="2">
        <f t="shared" si="22"/>
        <v>0</v>
      </c>
      <c r="CD16" s="2">
        <f t="shared" si="23"/>
        <v>0</v>
      </c>
      <c r="CE16" s="2">
        <f t="shared" si="23"/>
        <v>0</v>
      </c>
      <c r="CF16" s="2">
        <f t="shared" si="23"/>
        <v>0</v>
      </c>
      <c r="CG16" s="2">
        <f t="shared" si="23"/>
        <v>0</v>
      </c>
      <c r="CH16" s="2">
        <f t="shared" si="23"/>
        <v>0</v>
      </c>
      <c r="CI16" s="2">
        <f t="shared" si="23"/>
        <v>0</v>
      </c>
      <c r="CJ16" s="2">
        <f t="shared" si="23"/>
        <v>0</v>
      </c>
      <c r="CK16" s="23">
        <f t="shared" si="23"/>
        <v>0</v>
      </c>
      <c r="CN16" s="2">
        <v>6.5</v>
      </c>
      <c r="CO16" s="14">
        <v>0.05</v>
      </c>
      <c r="CP16" s="14">
        <v>-2.0987591195921616E-2</v>
      </c>
      <c r="CQ16" s="14">
        <v>-1.3611751236395303E-2</v>
      </c>
      <c r="CR16" s="14">
        <v>3.8453031910728124E-4</v>
      </c>
      <c r="CS16" s="14">
        <f t="shared" si="15"/>
        <v>1.5785187886790366E-2</v>
      </c>
    </row>
    <row r="17" spans="1:97" x14ac:dyDescent="0.45">
      <c r="A17" s="16">
        <v>1.5</v>
      </c>
      <c r="B17" s="17">
        <v>3.0000000000000001E-3</v>
      </c>
      <c r="C17" s="19">
        <v>98.445499999999996</v>
      </c>
      <c r="D17" s="19">
        <f t="shared" si="0"/>
        <v>98.695658212168354</v>
      </c>
      <c r="E17" s="19">
        <f t="shared" si="1"/>
        <v>0.25015821216835832</v>
      </c>
      <c r="F17" s="19">
        <f t="shared" si="2"/>
        <v>0.25015821216835832</v>
      </c>
      <c r="G17" s="20">
        <f t="shared" si="3"/>
        <v>8.2675815177191136E-3</v>
      </c>
      <c r="H17" s="20">
        <f>IFERROR(IRR((J17,L17:CK17),0),0)</f>
        <v>7.4124201568748216E-3</v>
      </c>
      <c r="I17" s="21">
        <f t="shared" si="4"/>
        <v>-8.5516136084429206E-4</v>
      </c>
      <c r="J17" s="19">
        <f t="shared" si="5"/>
        <v>-98.695658212168354</v>
      </c>
      <c r="K17" s="22">
        <f t="shared" si="6"/>
        <v>-98.445499999999996</v>
      </c>
      <c r="L17" s="2">
        <f t="shared" si="16"/>
        <v>0.3</v>
      </c>
      <c r="M17" s="2">
        <f t="shared" si="16"/>
        <v>0.3</v>
      </c>
      <c r="N17" s="2">
        <f t="shared" si="16"/>
        <v>100.29999999999998</v>
      </c>
      <c r="O17" s="2">
        <f t="shared" si="16"/>
        <v>0</v>
      </c>
      <c r="P17" s="2">
        <f t="shared" si="16"/>
        <v>0</v>
      </c>
      <c r="Q17" s="2">
        <f t="shared" si="16"/>
        <v>0</v>
      </c>
      <c r="R17" s="2">
        <f t="shared" si="16"/>
        <v>0</v>
      </c>
      <c r="S17" s="2">
        <f t="shared" si="16"/>
        <v>0</v>
      </c>
      <c r="T17" s="2">
        <f t="shared" si="16"/>
        <v>0</v>
      </c>
      <c r="U17" s="2">
        <f t="shared" si="16"/>
        <v>0</v>
      </c>
      <c r="V17" s="2">
        <f t="shared" si="17"/>
        <v>0</v>
      </c>
      <c r="W17" s="2">
        <f t="shared" si="17"/>
        <v>0</v>
      </c>
      <c r="X17" s="2">
        <f t="shared" si="17"/>
        <v>0</v>
      </c>
      <c r="Y17" s="2">
        <f t="shared" si="17"/>
        <v>0</v>
      </c>
      <c r="Z17" s="2">
        <f t="shared" si="17"/>
        <v>0</v>
      </c>
      <c r="AA17" s="2">
        <f t="shared" si="17"/>
        <v>0</v>
      </c>
      <c r="AB17" s="2">
        <f t="shared" si="17"/>
        <v>0</v>
      </c>
      <c r="AC17" s="2">
        <f t="shared" si="17"/>
        <v>0</v>
      </c>
      <c r="AD17" s="2">
        <f t="shared" si="17"/>
        <v>0</v>
      </c>
      <c r="AE17" s="2">
        <f t="shared" si="17"/>
        <v>0</v>
      </c>
      <c r="AF17" s="2">
        <f t="shared" si="18"/>
        <v>0</v>
      </c>
      <c r="AG17" s="2">
        <f t="shared" si="18"/>
        <v>0</v>
      </c>
      <c r="AH17" s="2">
        <f t="shared" si="18"/>
        <v>0</v>
      </c>
      <c r="AI17" s="2">
        <f t="shared" si="18"/>
        <v>0</v>
      </c>
      <c r="AJ17" s="2">
        <f t="shared" si="18"/>
        <v>0</v>
      </c>
      <c r="AK17" s="2">
        <f t="shared" si="18"/>
        <v>0</v>
      </c>
      <c r="AL17" s="2">
        <f t="shared" si="18"/>
        <v>0</v>
      </c>
      <c r="AM17" s="2">
        <f t="shared" si="18"/>
        <v>0</v>
      </c>
      <c r="AN17" s="2">
        <f t="shared" si="18"/>
        <v>0</v>
      </c>
      <c r="AO17" s="2">
        <f t="shared" si="18"/>
        <v>0</v>
      </c>
      <c r="AP17" s="2">
        <f t="shared" si="19"/>
        <v>0</v>
      </c>
      <c r="AQ17" s="2">
        <f t="shared" si="19"/>
        <v>0</v>
      </c>
      <c r="AR17" s="2">
        <f t="shared" si="19"/>
        <v>0</v>
      </c>
      <c r="AS17" s="2">
        <f t="shared" si="19"/>
        <v>0</v>
      </c>
      <c r="AT17" s="2">
        <f t="shared" si="19"/>
        <v>0</v>
      </c>
      <c r="AU17" s="2">
        <f t="shared" si="19"/>
        <v>0</v>
      </c>
      <c r="AV17" s="2">
        <f t="shared" si="19"/>
        <v>0</v>
      </c>
      <c r="AW17" s="2">
        <f t="shared" si="19"/>
        <v>0</v>
      </c>
      <c r="AX17" s="2">
        <f t="shared" si="19"/>
        <v>0</v>
      </c>
      <c r="AY17" s="2">
        <f t="shared" si="19"/>
        <v>0</v>
      </c>
      <c r="AZ17" s="2">
        <f t="shared" si="20"/>
        <v>0</v>
      </c>
      <c r="BA17" s="2">
        <f t="shared" si="20"/>
        <v>0</v>
      </c>
      <c r="BB17" s="2">
        <f t="shared" si="20"/>
        <v>0</v>
      </c>
      <c r="BC17" s="2">
        <f t="shared" si="20"/>
        <v>0</v>
      </c>
      <c r="BD17" s="2">
        <f t="shared" si="20"/>
        <v>0</v>
      </c>
      <c r="BE17" s="2">
        <f t="shared" si="20"/>
        <v>0</v>
      </c>
      <c r="BF17" s="2">
        <f t="shared" si="20"/>
        <v>0</v>
      </c>
      <c r="BG17" s="2">
        <f t="shared" si="20"/>
        <v>0</v>
      </c>
      <c r="BH17" s="2">
        <f t="shared" si="20"/>
        <v>0</v>
      </c>
      <c r="BI17" s="2">
        <f t="shared" si="20"/>
        <v>0</v>
      </c>
      <c r="BJ17" s="2">
        <f t="shared" si="21"/>
        <v>0</v>
      </c>
      <c r="BK17" s="2">
        <f t="shared" si="21"/>
        <v>0</v>
      </c>
      <c r="BL17" s="2">
        <f t="shared" si="21"/>
        <v>0</v>
      </c>
      <c r="BM17" s="2">
        <f t="shared" si="21"/>
        <v>0</v>
      </c>
      <c r="BN17" s="2">
        <f t="shared" si="21"/>
        <v>0</v>
      </c>
      <c r="BO17" s="2">
        <f t="shared" si="21"/>
        <v>0</v>
      </c>
      <c r="BP17" s="2">
        <f t="shared" si="21"/>
        <v>0</v>
      </c>
      <c r="BQ17" s="2">
        <f t="shared" si="21"/>
        <v>0</v>
      </c>
      <c r="BR17" s="2">
        <f t="shared" si="21"/>
        <v>0</v>
      </c>
      <c r="BS17" s="2">
        <f t="shared" si="21"/>
        <v>0</v>
      </c>
      <c r="BT17" s="2">
        <f t="shared" si="22"/>
        <v>0</v>
      </c>
      <c r="BU17" s="2">
        <f t="shared" si="22"/>
        <v>0</v>
      </c>
      <c r="BV17" s="2">
        <f t="shared" si="22"/>
        <v>0</v>
      </c>
      <c r="BW17" s="2">
        <f t="shared" si="22"/>
        <v>0</v>
      </c>
      <c r="BX17" s="2">
        <f t="shared" si="22"/>
        <v>0</v>
      </c>
      <c r="BY17" s="2">
        <f t="shared" si="22"/>
        <v>0</v>
      </c>
      <c r="BZ17" s="2">
        <f t="shared" si="22"/>
        <v>0</v>
      </c>
      <c r="CA17" s="2">
        <f t="shared" si="22"/>
        <v>0</v>
      </c>
      <c r="CB17" s="2">
        <f t="shared" si="22"/>
        <v>0</v>
      </c>
      <c r="CC17" s="2">
        <f t="shared" si="22"/>
        <v>0</v>
      </c>
      <c r="CD17" s="2">
        <f t="shared" si="23"/>
        <v>0</v>
      </c>
      <c r="CE17" s="2">
        <f t="shared" si="23"/>
        <v>0</v>
      </c>
      <c r="CF17" s="2">
        <f t="shared" si="23"/>
        <v>0</v>
      </c>
      <c r="CG17" s="2">
        <f t="shared" si="23"/>
        <v>0</v>
      </c>
      <c r="CH17" s="2">
        <f t="shared" si="23"/>
        <v>0</v>
      </c>
      <c r="CI17" s="2">
        <f t="shared" si="23"/>
        <v>0</v>
      </c>
      <c r="CJ17" s="2">
        <f t="shared" si="23"/>
        <v>0</v>
      </c>
      <c r="CK17" s="23">
        <f t="shared" si="23"/>
        <v>0</v>
      </c>
      <c r="CN17" s="2">
        <v>7</v>
      </c>
      <c r="CO17" s="14">
        <v>0.05</v>
      </c>
      <c r="CP17" s="14">
        <v>-2.0094940826421423E-2</v>
      </c>
      <c r="CQ17" s="14">
        <v>-1.3717024050220046E-2</v>
      </c>
      <c r="CR17" s="14">
        <v>3.5723968606736852E-4</v>
      </c>
      <c r="CS17" s="14">
        <f t="shared" si="15"/>
        <v>1.6545274809425903E-2</v>
      </c>
    </row>
    <row r="18" spans="1:97" x14ac:dyDescent="0.45">
      <c r="A18" s="16">
        <v>2</v>
      </c>
      <c r="B18" s="17">
        <v>1E-3</v>
      </c>
      <c r="C18" s="19">
        <v>97.781000000000006</v>
      </c>
      <c r="D18" s="19">
        <f t="shared" si="0"/>
        <v>97.426083887443596</v>
      </c>
      <c r="E18" s="19">
        <f t="shared" si="1"/>
        <v>-0.35491611255640976</v>
      </c>
      <c r="F18" s="19">
        <f t="shared" si="2"/>
        <v>0.35491611255640976</v>
      </c>
      <c r="G18" s="20">
        <f t="shared" si="3"/>
        <v>6.6398917076710973E-3</v>
      </c>
      <c r="H18" s="20">
        <f>IFERROR(IRR((J18,L18:CK18),0),0)</f>
        <v>7.5568141599136052E-3</v>
      </c>
      <c r="I18" s="21">
        <f t="shared" si="4"/>
        <v>9.169224522425079E-4</v>
      </c>
      <c r="J18" s="19">
        <f t="shared" si="5"/>
        <v>-97.426083887443596</v>
      </c>
      <c r="K18" s="22">
        <f t="shared" si="6"/>
        <v>-97.781000000000006</v>
      </c>
      <c r="L18" s="2">
        <f t="shared" si="16"/>
        <v>0.1</v>
      </c>
      <c r="M18" s="2">
        <f t="shared" si="16"/>
        <v>0.1</v>
      </c>
      <c r="N18" s="2">
        <f t="shared" si="16"/>
        <v>0.1</v>
      </c>
      <c r="O18" s="2">
        <f t="shared" si="16"/>
        <v>100.1</v>
      </c>
      <c r="P18" s="2">
        <f t="shared" si="16"/>
        <v>0</v>
      </c>
      <c r="Q18" s="2">
        <f t="shared" si="16"/>
        <v>0</v>
      </c>
      <c r="R18" s="2">
        <f t="shared" si="16"/>
        <v>0</v>
      </c>
      <c r="S18" s="2">
        <f t="shared" si="16"/>
        <v>0</v>
      </c>
      <c r="T18" s="2">
        <f t="shared" si="16"/>
        <v>0</v>
      </c>
      <c r="U18" s="2">
        <f t="shared" si="16"/>
        <v>0</v>
      </c>
      <c r="V18" s="2">
        <f t="shared" si="17"/>
        <v>0</v>
      </c>
      <c r="W18" s="2">
        <f t="shared" si="17"/>
        <v>0</v>
      </c>
      <c r="X18" s="2">
        <f t="shared" si="17"/>
        <v>0</v>
      </c>
      <c r="Y18" s="2">
        <f t="shared" si="17"/>
        <v>0</v>
      </c>
      <c r="Z18" s="2">
        <f t="shared" si="17"/>
        <v>0</v>
      </c>
      <c r="AA18" s="2">
        <f t="shared" si="17"/>
        <v>0</v>
      </c>
      <c r="AB18" s="2">
        <f t="shared" si="17"/>
        <v>0</v>
      </c>
      <c r="AC18" s="2">
        <f t="shared" si="17"/>
        <v>0</v>
      </c>
      <c r="AD18" s="2">
        <f t="shared" si="17"/>
        <v>0</v>
      </c>
      <c r="AE18" s="2">
        <f t="shared" si="17"/>
        <v>0</v>
      </c>
      <c r="AF18" s="2">
        <f t="shared" si="18"/>
        <v>0</v>
      </c>
      <c r="AG18" s="2">
        <f t="shared" si="18"/>
        <v>0</v>
      </c>
      <c r="AH18" s="2">
        <f t="shared" si="18"/>
        <v>0</v>
      </c>
      <c r="AI18" s="2">
        <f t="shared" si="18"/>
        <v>0</v>
      </c>
      <c r="AJ18" s="2">
        <f t="shared" si="18"/>
        <v>0</v>
      </c>
      <c r="AK18" s="2">
        <f t="shared" si="18"/>
        <v>0</v>
      </c>
      <c r="AL18" s="2">
        <f t="shared" si="18"/>
        <v>0</v>
      </c>
      <c r="AM18" s="2">
        <f t="shared" si="18"/>
        <v>0</v>
      </c>
      <c r="AN18" s="2">
        <f t="shared" si="18"/>
        <v>0</v>
      </c>
      <c r="AO18" s="2">
        <f t="shared" si="18"/>
        <v>0</v>
      </c>
      <c r="AP18" s="2">
        <f t="shared" si="19"/>
        <v>0</v>
      </c>
      <c r="AQ18" s="2">
        <f t="shared" si="19"/>
        <v>0</v>
      </c>
      <c r="AR18" s="2">
        <f t="shared" si="19"/>
        <v>0</v>
      </c>
      <c r="AS18" s="2">
        <f t="shared" si="19"/>
        <v>0</v>
      </c>
      <c r="AT18" s="2">
        <f t="shared" si="19"/>
        <v>0</v>
      </c>
      <c r="AU18" s="2">
        <f t="shared" si="19"/>
        <v>0</v>
      </c>
      <c r="AV18" s="2">
        <f t="shared" si="19"/>
        <v>0</v>
      </c>
      <c r="AW18" s="2">
        <f t="shared" si="19"/>
        <v>0</v>
      </c>
      <c r="AX18" s="2">
        <f t="shared" si="19"/>
        <v>0</v>
      </c>
      <c r="AY18" s="2">
        <f t="shared" si="19"/>
        <v>0</v>
      </c>
      <c r="AZ18" s="2">
        <f t="shared" si="20"/>
        <v>0</v>
      </c>
      <c r="BA18" s="2">
        <f t="shared" si="20"/>
        <v>0</v>
      </c>
      <c r="BB18" s="2">
        <f t="shared" si="20"/>
        <v>0</v>
      </c>
      <c r="BC18" s="2">
        <f t="shared" si="20"/>
        <v>0</v>
      </c>
      <c r="BD18" s="2">
        <f t="shared" si="20"/>
        <v>0</v>
      </c>
      <c r="BE18" s="2">
        <f t="shared" si="20"/>
        <v>0</v>
      </c>
      <c r="BF18" s="2">
        <f t="shared" si="20"/>
        <v>0</v>
      </c>
      <c r="BG18" s="2">
        <f t="shared" si="20"/>
        <v>0</v>
      </c>
      <c r="BH18" s="2">
        <f t="shared" si="20"/>
        <v>0</v>
      </c>
      <c r="BI18" s="2">
        <f t="shared" si="20"/>
        <v>0</v>
      </c>
      <c r="BJ18" s="2">
        <f t="shared" si="21"/>
        <v>0</v>
      </c>
      <c r="BK18" s="2">
        <f t="shared" si="21"/>
        <v>0</v>
      </c>
      <c r="BL18" s="2">
        <f t="shared" si="21"/>
        <v>0</v>
      </c>
      <c r="BM18" s="2">
        <f t="shared" si="21"/>
        <v>0</v>
      </c>
      <c r="BN18" s="2">
        <f t="shared" si="21"/>
        <v>0</v>
      </c>
      <c r="BO18" s="2">
        <f t="shared" si="21"/>
        <v>0</v>
      </c>
      <c r="BP18" s="2">
        <f t="shared" si="21"/>
        <v>0</v>
      </c>
      <c r="BQ18" s="2">
        <f t="shared" si="21"/>
        <v>0</v>
      </c>
      <c r="BR18" s="2">
        <f t="shared" si="21"/>
        <v>0</v>
      </c>
      <c r="BS18" s="2">
        <f t="shared" si="21"/>
        <v>0</v>
      </c>
      <c r="BT18" s="2">
        <f t="shared" si="22"/>
        <v>0</v>
      </c>
      <c r="BU18" s="2">
        <f t="shared" si="22"/>
        <v>0</v>
      </c>
      <c r="BV18" s="2">
        <f t="shared" si="22"/>
        <v>0</v>
      </c>
      <c r="BW18" s="2">
        <f t="shared" si="22"/>
        <v>0</v>
      </c>
      <c r="BX18" s="2">
        <f t="shared" si="22"/>
        <v>0</v>
      </c>
      <c r="BY18" s="2">
        <f t="shared" si="22"/>
        <v>0</v>
      </c>
      <c r="BZ18" s="2">
        <f t="shared" si="22"/>
        <v>0</v>
      </c>
      <c r="CA18" s="2">
        <f t="shared" si="22"/>
        <v>0</v>
      </c>
      <c r="CB18" s="2">
        <f t="shared" si="22"/>
        <v>0</v>
      </c>
      <c r="CC18" s="2">
        <f t="shared" si="22"/>
        <v>0</v>
      </c>
      <c r="CD18" s="2">
        <f t="shared" si="23"/>
        <v>0</v>
      </c>
      <c r="CE18" s="2">
        <f t="shared" si="23"/>
        <v>0</v>
      </c>
      <c r="CF18" s="2">
        <f t="shared" si="23"/>
        <v>0</v>
      </c>
      <c r="CG18" s="2">
        <f t="shared" si="23"/>
        <v>0</v>
      </c>
      <c r="CH18" s="2">
        <f t="shared" si="23"/>
        <v>0</v>
      </c>
      <c r="CI18" s="2">
        <f t="shared" si="23"/>
        <v>0</v>
      </c>
      <c r="CJ18" s="2">
        <f t="shared" si="23"/>
        <v>0</v>
      </c>
      <c r="CK18" s="23">
        <f t="shared" si="23"/>
        <v>0</v>
      </c>
      <c r="CN18" s="2">
        <v>7.5</v>
      </c>
      <c r="CO18" s="14">
        <v>0.05</v>
      </c>
      <c r="CP18" s="14">
        <v>-1.9259284953275595E-2</v>
      </c>
      <c r="CQ18" s="14">
        <v>-1.3764436745970259E-2</v>
      </c>
      <c r="CR18" s="14">
        <v>3.3351065995914438E-4</v>
      </c>
      <c r="CS18" s="14">
        <f t="shared" si="15"/>
        <v>1.7309788960713293E-2</v>
      </c>
    </row>
    <row r="19" spans="1:97" x14ac:dyDescent="0.45">
      <c r="A19" s="16">
        <v>2</v>
      </c>
      <c r="B19" s="17">
        <v>2E-3</v>
      </c>
      <c r="C19" s="19">
        <v>97.972999999999999</v>
      </c>
      <c r="D19" s="19">
        <f t="shared" si="0"/>
        <v>97.818707463200326</v>
      </c>
      <c r="E19" s="19">
        <f t="shared" si="1"/>
        <v>-0.15429253679967303</v>
      </c>
      <c r="F19" s="19">
        <f t="shared" si="2"/>
        <v>0.15429253679967303</v>
      </c>
      <c r="G19" s="20">
        <f t="shared" si="3"/>
        <v>7.1585128493354411E-3</v>
      </c>
      <c r="H19" s="20">
        <f>IFERROR(IRR((J19,L19:CK19),0),0)</f>
        <v>7.5566393725838843E-3</v>
      </c>
      <c r="I19" s="21">
        <f t="shared" si="4"/>
        <v>3.9812652324844322E-4</v>
      </c>
      <c r="J19" s="19">
        <f t="shared" si="5"/>
        <v>-97.818707463200326</v>
      </c>
      <c r="K19" s="22">
        <f t="shared" si="6"/>
        <v>-97.972999999999999</v>
      </c>
      <c r="L19" s="2">
        <f t="shared" si="16"/>
        <v>0.2</v>
      </c>
      <c r="M19" s="2">
        <f t="shared" si="16"/>
        <v>0.2</v>
      </c>
      <c r="N19" s="2">
        <f t="shared" si="16"/>
        <v>0.2</v>
      </c>
      <c r="O19" s="2">
        <f t="shared" si="16"/>
        <v>100.2</v>
      </c>
      <c r="P19" s="2">
        <f t="shared" si="16"/>
        <v>0</v>
      </c>
      <c r="Q19" s="2">
        <f t="shared" si="16"/>
        <v>0</v>
      </c>
      <c r="R19" s="2">
        <f t="shared" si="16"/>
        <v>0</v>
      </c>
      <c r="S19" s="2">
        <f t="shared" si="16"/>
        <v>0</v>
      </c>
      <c r="T19" s="2">
        <f t="shared" si="16"/>
        <v>0</v>
      </c>
      <c r="U19" s="2">
        <f t="shared" si="16"/>
        <v>0</v>
      </c>
      <c r="V19" s="2">
        <f t="shared" si="17"/>
        <v>0</v>
      </c>
      <c r="W19" s="2">
        <f t="shared" si="17"/>
        <v>0</v>
      </c>
      <c r="X19" s="2">
        <f t="shared" si="17"/>
        <v>0</v>
      </c>
      <c r="Y19" s="2">
        <f t="shared" si="17"/>
        <v>0</v>
      </c>
      <c r="Z19" s="2">
        <f t="shared" si="17"/>
        <v>0</v>
      </c>
      <c r="AA19" s="2">
        <f t="shared" si="17"/>
        <v>0</v>
      </c>
      <c r="AB19" s="2">
        <f t="shared" si="17"/>
        <v>0</v>
      </c>
      <c r="AC19" s="2">
        <f t="shared" si="17"/>
        <v>0</v>
      </c>
      <c r="AD19" s="2">
        <f t="shared" si="17"/>
        <v>0</v>
      </c>
      <c r="AE19" s="2">
        <f t="shared" si="17"/>
        <v>0</v>
      </c>
      <c r="AF19" s="2">
        <f t="shared" si="18"/>
        <v>0</v>
      </c>
      <c r="AG19" s="2">
        <f t="shared" si="18"/>
        <v>0</v>
      </c>
      <c r="AH19" s="2">
        <f t="shared" si="18"/>
        <v>0</v>
      </c>
      <c r="AI19" s="2">
        <f t="shared" si="18"/>
        <v>0</v>
      </c>
      <c r="AJ19" s="2">
        <f t="shared" si="18"/>
        <v>0</v>
      </c>
      <c r="AK19" s="2">
        <f t="shared" si="18"/>
        <v>0</v>
      </c>
      <c r="AL19" s="2">
        <f t="shared" si="18"/>
        <v>0</v>
      </c>
      <c r="AM19" s="2">
        <f t="shared" si="18"/>
        <v>0</v>
      </c>
      <c r="AN19" s="2">
        <f t="shared" si="18"/>
        <v>0</v>
      </c>
      <c r="AO19" s="2">
        <f t="shared" si="18"/>
        <v>0</v>
      </c>
      <c r="AP19" s="2">
        <f t="shared" si="19"/>
        <v>0</v>
      </c>
      <c r="AQ19" s="2">
        <f t="shared" si="19"/>
        <v>0</v>
      </c>
      <c r="AR19" s="2">
        <f t="shared" si="19"/>
        <v>0</v>
      </c>
      <c r="AS19" s="2">
        <f t="shared" si="19"/>
        <v>0</v>
      </c>
      <c r="AT19" s="2">
        <f t="shared" si="19"/>
        <v>0</v>
      </c>
      <c r="AU19" s="2">
        <f t="shared" si="19"/>
        <v>0</v>
      </c>
      <c r="AV19" s="2">
        <f t="shared" si="19"/>
        <v>0</v>
      </c>
      <c r="AW19" s="2">
        <f t="shared" si="19"/>
        <v>0</v>
      </c>
      <c r="AX19" s="2">
        <f t="shared" si="19"/>
        <v>0</v>
      </c>
      <c r="AY19" s="2">
        <f t="shared" si="19"/>
        <v>0</v>
      </c>
      <c r="AZ19" s="2">
        <f t="shared" si="20"/>
        <v>0</v>
      </c>
      <c r="BA19" s="2">
        <f t="shared" si="20"/>
        <v>0</v>
      </c>
      <c r="BB19" s="2">
        <f t="shared" si="20"/>
        <v>0</v>
      </c>
      <c r="BC19" s="2">
        <f t="shared" si="20"/>
        <v>0</v>
      </c>
      <c r="BD19" s="2">
        <f t="shared" si="20"/>
        <v>0</v>
      </c>
      <c r="BE19" s="2">
        <f t="shared" si="20"/>
        <v>0</v>
      </c>
      <c r="BF19" s="2">
        <f t="shared" si="20"/>
        <v>0</v>
      </c>
      <c r="BG19" s="2">
        <f t="shared" si="20"/>
        <v>0</v>
      </c>
      <c r="BH19" s="2">
        <f t="shared" si="20"/>
        <v>0</v>
      </c>
      <c r="BI19" s="2">
        <f t="shared" si="20"/>
        <v>0</v>
      </c>
      <c r="BJ19" s="2">
        <f t="shared" si="21"/>
        <v>0</v>
      </c>
      <c r="BK19" s="2">
        <f t="shared" si="21"/>
        <v>0</v>
      </c>
      <c r="BL19" s="2">
        <f t="shared" si="21"/>
        <v>0</v>
      </c>
      <c r="BM19" s="2">
        <f t="shared" si="21"/>
        <v>0</v>
      </c>
      <c r="BN19" s="2">
        <f t="shared" si="21"/>
        <v>0</v>
      </c>
      <c r="BO19" s="2">
        <f t="shared" si="21"/>
        <v>0</v>
      </c>
      <c r="BP19" s="2">
        <f t="shared" si="21"/>
        <v>0</v>
      </c>
      <c r="BQ19" s="2">
        <f t="shared" si="21"/>
        <v>0</v>
      </c>
      <c r="BR19" s="2">
        <f t="shared" si="21"/>
        <v>0</v>
      </c>
      <c r="BS19" s="2">
        <f t="shared" si="21"/>
        <v>0</v>
      </c>
      <c r="BT19" s="2">
        <f t="shared" si="22"/>
        <v>0</v>
      </c>
      <c r="BU19" s="2">
        <f t="shared" si="22"/>
        <v>0</v>
      </c>
      <c r="BV19" s="2">
        <f t="shared" si="22"/>
        <v>0</v>
      </c>
      <c r="BW19" s="2">
        <f t="shared" si="22"/>
        <v>0</v>
      </c>
      <c r="BX19" s="2">
        <f t="shared" si="22"/>
        <v>0</v>
      </c>
      <c r="BY19" s="2">
        <f t="shared" si="22"/>
        <v>0</v>
      </c>
      <c r="BZ19" s="2">
        <f t="shared" si="22"/>
        <v>0</v>
      </c>
      <c r="CA19" s="2">
        <f t="shared" si="22"/>
        <v>0</v>
      </c>
      <c r="CB19" s="2">
        <f t="shared" si="22"/>
        <v>0</v>
      </c>
      <c r="CC19" s="2">
        <f t="shared" si="22"/>
        <v>0</v>
      </c>
      <c r="CD19" s="2">
        <f t="shared" si="23"/>
        <v>0</v>
      </c>
      <c r="CE19" s="2">
        <f t="shared" si="23"/>
        <v>0</v>
      </c>
      <c r="CF19" s="2">
        <f t="shared" si="23"/>
        <v>0</v>
      </c>
      <c r="CG19" s="2">
        <f t="shared" si="23"/>
        <v>0</v>
      </c>
      <c r="CH19" s="2">
        <f t="shared" si="23"/>
        <v>0</v>
      </c>
      <c r="CI19" s="2">
        <f t="shared" si="23"/>
        <v>0</v>
      </c>
      <c r="CJ19" s="2">
        <f t="shared" si="23"/>
        <v>0</v>
      </c>
      <c r="CK19" s="23">
        <f t="shared" si="23"/>
        <v>0</v>
      </c>
      <c r="CN19" s="2">
        <v>8</v>
      </c>
      <c r="CO19" s="14">
        <v>0.05</v>
      </c>
      <c r="CP19" s="14">
        <v>-1.8476309042477396E-2</v>
      </c>
      <c r="CQ19" s="14">
        <v>-1.3762520782674859E-2</v>
      </c>
      <c r="CR19" s="14">
        <v>3.1270923215993498E-4</v>
      </c>
      <c r="CS19" s="14">
        <f t="shared" si="15"/>
        <v>1.8073879407007686E-2</v>
      </c>
    </row>
    <row r="20" spans="1:97" x14ac:dyDescent="0.45">
      <c r="A20" s="16">
        <v>2</v>
      </c>
      <c r="B20" s="17">
        <v>1E-3</v>
      </c>
      <c r="C20" s="19">
        <v>97.774000000000001</v>
      </c>
      <c r="D20" s="19">
        <f t="shared" si="0"/>
        <v>97.426083887443596</v>
      </c>
      <c r="E20" s="19">
        <f t="shared" si="1"/>
        <v>-0.34791611255640476</v>
      </c>
      <c r="F20" s="19">
        <f t="shared" si="2"/>
        <v>0.34791611255640476</v>
      </c>
      <c r="G20" s="20">
        <f t="shared" si="3"/>
        <v>6.6579358643144015E-3</v>
      </c>
      <c r="H20" s="20">
        <f>IFERROR(IRR((J20,L20:CK20),0),0)</f>
        <v>7.5568141599136052E-3</v>
      </c>
      <c r="I20" s="21">
        <f t="shared" si="4"/>
        <v>8.9887829559920362E-4</v>
      </c>
      <c r="J20" s="19">
        <f t="shared" si="5"/>
        <v>-97.426083887443596</v>
      </c>
      <c r="K20" s="22">
        <f t="shared" si="6"/>
        <v>-97.774000000000001</v>
      </c>
      <c r="L20" s="2">
        <f t="shared" si="16"/>
        <v>0.1</v>
      </c>
      <c r="M20" s="2">
        <f t="shared" si="16"/>
        <v>0.1</v>
      </c>
      <c r="N20" s="2">
        <f t="shared" si="16"/>
        <v>0.1</v>
      </c>
      <c r="O20" s="2">
        <f t="shared" si="16"/>
        <v>100.1</v>
      </c>
      <c r="P20" s="2">
        <f t="shared" si="16"/>
        <v>0</v>
      </c>
      <c r="Q20" s="2">
        <f t="shared" si="16"/>
        <v>0</v>
      </c>
      <c r="R20" s="2">
        <f t="shared" si="16"/>
        <v>0</v>
      </c>
      <c r="S20" s="2">
        <f t="shared" si="16"/>
        <v>0</v>
      </c>
      <c r="T20" s="2">
        <f t="shared" si="16"/>
        <v>0</v>
      </c>
      <c r="U20" s="2">
        <f t="shared" si="16"/>
        <v>0</v>
      </c>
      <c r="V20" s="2">
        <f t="shared" si="17"/>
        <v>0</v>
      </c>
      <c r="W20" s="2">
        <f t="shared" si="17"/>
        <v>0</v>
      </c>
      <c r="X20" s="2">
        <f t="shared" si="17"/>
        <v>0</v>
      </c>
      <c r="Y20" s="2">
        <f t="shared" si="17"/>
        <v>0</v>
      </c>
      <c r="Z20" s="2">
        <f t="shared" si="17"/>
        <v>0</v>
      </c>
      <c r="AA20" s="2">
        <f t="shared" si="17"/>
        <v>0</v>
      </c>
      <c r="AB20" s="2">
        <f t="shared" si="17"/>
        <v>0</v>
      </c>
      <c r="AC20" s="2">
        <f t="shared" si="17"/>
        <v>0</v>
      </c>
      <c r="AD20" s="2">
        <f t="shared" si="17"/>
        <v>0</v>
      </c>
      <c r="AE20" s="2">
        <f t="shared" si="17"/>
        <v>0</v>
      </c>
      <c r="AF20" s="2">
        <f t="shared" si="18"/>
        <v>0</v>
      </c>
      <c r="AG20" s="2">
        <f t="shared" si="18"/>
        <v>0</v>
      </c>
      <c r="AH20" s="2">
        <f t="shared" si="18"/>
        <v>0</v>
      </c>
      <c r="AI20" s="2">
        <f t="shared" si="18"/>
        <v>0</v>
      </c>
      <c r="AJ20" s="2">
        <f t="shared" si="18"/>
        <v>0</v>
      </c>
      <c r="AK20" s="2">
        <f t="shared" si="18"/>
        <v>0</v>
      </c>
      <c r="AL20" s="2">
        <f t="shared" si="18"/>
        <v>0</v>
      </c>
      <c r="AM20" s="2">
        <f t="shared" si="18"/>
        <v>0</v>
      </c>
      <c r="AN20" s="2">
        <f t="shared" si="18"/>
        <v>0</v>
      </c>
      <c r="AO20" s="2">
        <f t="shared" si="18"/>
        <v>0</v>
      </c>
      <c r="AP20" s="2">
        <f t="shared" si="19"/>
        <v>0</v>
      </c>
      <c r="AQ20" s="2">
        <f t="shared" si="19"/>
        <v>0</v>
      </c>
      <c r="AR20" s="2">
        <f t="shared" si="19"/>
        <v>0</v>
      </c>
      <c r="AS20" s="2">
        <f t="shared" si="19"/>
        <v>0</v>
      </c>
      <c r="AT20" s="2">
        <f t="shared" si="19"/>
        <v>0</v>
      </c>
      <c r="AU20" s="2">
        <f t="shared" si="19"/>
        <v>0</v>
      </c>
      <c r="AV20" s="2">
        <f t="shared" si="19"/>
        <v>0</v>
      </c>
      <c r="AW20" s="2">
        <f t="shared" si="19"/>
        <v>0</v>
      </c>
      <c r="AX20" s="2">
        <f t="shared" si="19"/>
        <v>0</v>
      </c>
      <c r="AY20" s="2">
        <f t="shared" si="19"/>
        <v>0</v>
      </c>
      <c r="AZ20" s="2">
        <f t="shared" si="20"/>
        <v>0</v>
      </c>
      <c r="BA20" s="2">
        <f t="shared" si="20"/>
        <v>0</v>
      </c>
      <c r="BB20" s="2">
        <f t="shared" si="20"/>
        <v>0</v>
      </c>
      <c r="BC20" s="2">
        <f t="shared" si="20"/>
        <v>0</v>
      </c>
      <c r="BD20" s="2">
        <f t="shared" si="20"/>
        <v>0</v>
      </c>
      <c r="BE20" s="2">
        <f t="shared" si="20"/>
        <v>0</v>
      </c>
      <c r="BF20" s="2">
        <f t="shared" si="20"/>
        <v>0</v>
      </c>
      <c r="BG20" s="2">
        <f t="shared" si="20"/>
        <v>0</v>
      </c>
      <c r="BH20" s="2">
        <f t="shared" si="20"/>
        <v>0</v>
      </c>
      <c r="BI20" s="2">
        <f t="shared" si="20"/>
        <v>0</v>
      </c>
      <c r="BJ20" s="2">
        <f t="shared" si="21"/>
        <v>0</v>
      </c>
      <c r="BK20" s="2">
        <f t="shared" si="21"/>
        <v>0</v>
      </c>
      <c r="BL20" s="2">
        <f t="shared" si="21"/>
        <v>0</v>
      </c>
      <c r="BM20" s="2">
        <f t="shared" si="21"/>
        <v>0</v>
      </c>
      <c r="BN20" s="2">
        <f t="shared" si="21"/>
        <v>0</v>
      </c>
      <c r="BO20" s="2">
        <f t="shared" si="21"/>
        <v>0</v>
      </c>
      <c r="BP20" s="2">
        <f t="shared" si="21"/>
        <v>0</v>
      </c>
      <c r="BQ20" s="2">
        <f t="shared" si="21"/>
        <v>0</v>
      </c>
      <c r="BR20" s="2">
        <f t="shared" si="21"/>
        <v>0</v>
      </c>
      <c r="BS20" s="2">
        <f t="shared" si="21"/>
        <v>0</v>
      </c>
      <c r="BT20" s="2">
        <f t="shared" si="22"/>
        <v>0</v>
      </c>
      <c r="BU20" s="2">
        <f t="shared" si="22"/>
        <v>0</v>
      </c>
      <c r="BV20" s="2">
        <f t="shared" si="22"/>
        <v>0</v>
      </c>
      <c r="BW20" s="2">
        <f t="shared" si="22"/>
        <v>0</v>
      </c>
      <c r="BX20" s="2">
        <f t="shared" si="22"/>
        <v>0</v>
      </c>
      <c r="BY20" s="2">
        <f t="shared" si="22"/>
        <v>0</v>
      </c>
      <c r="BZ20" s="2">
        <f t="shared" si="22"/>
        <v>0</v>
      </c>
      <c r="CA20" s="2">
        <f t="shared" si="22"/>
        <v>0</v>
      </c>
      <c r="CB20" s="2">
        <f t="shared" si="22"/>
        <v>0</v>
      </c>
      <c r="CC20" s="2">
        <f t="shared" si="22"/>
        <v>0</v>
      </c>
      <c r="CD20" s="2">
        <f t="shared" si="23"/>
        <v>0</v>
      </c>
      <c r="CE20" s="2">
        <f t="shared" si="23"/>
        <v>0</v>
      </c>
      <c r="CF20" s="2">
        <f t="shared" si="23"/>
        <v>0</v>
      </c>
      <c r="CG20" s="2">
        <f t="shared" si="23"/>
        <v>0</v>
      </c>
      <c r="CH20" s="2">
        <f t="shared" si="23"/>
        <v>0</v>
      </c>
      <c r="CI20" s="2">
        <f t="shared" si="23"/>
        <v>0</v>
      </c>
      <c r="CJ20" s="2">
        <f t="shared" si="23"/>
        <v>0</v>
      </c>
      <c r="CK20" s="23">
        <f t="shared" si="23"/>
        <v>0</v>
      </c>
      <c r="CN20" s="2">
        <v>8.5</v>
      </c>
      <c r="CO20" s="14">
        <v>0.05</v>
      </c>
      <c r="CP20" s="14">
        <v>-1.7742056583637006E-2</v>
      </c>
      <c r="CQ20" s="14">
        <v>-1.3718742515826851E-2</v>
      </c>
      <c r="CR20" s="14">
        <v>2.9433581825423006E-4</v>
      </c>
      <c r="CS20" s="14">
        <f t="shared" si="15"/>
        <v>1.8833536718790376E-2</v>
      </c>
    </row>
    <row r="21" spans="1:97" x14ac:dyDescent="0.45">
      <c r="A21" s="16">
        <v>2</v>
      </c>
      <c r="B21" s="17">
        <v>1E-3</v>
      </c>
      <c r="C21" s="19">
        <v>97.453499999999991</v>
      </c>
      <c r="D21" s="19">
        <f t="shared" si="0"/>
        <v>97.426083887443596</v>
      </c>
      <c r="E21" s="19">
        <f t="shared" si="1"/>
        <v>-2.7416112556394978E-2</v>
      </c>
      <c r="F21" s="19">
        <f t="shared" si="2"/>
        <v>2.7416112556394978E-2</v>
      </c>
      <c r="G21" s="20">
        <f t="shared" si="3"/>
        <v>7.4858360290590564E-3</v>
      </c>
      <c r="H21" s="20">
        <f>IFERROR(IRR((J21,L21:CK21),0),0)</f>
        <v>7.5568141599136052E-3</v>
      </c>
      <c r="I21" s="21">
        <f t="shared" si="4"/>
        <v>7.0978130854548738E-5</v>
      </c>
      <c r="J21" s="19">
        <f t="shared" si="5"/>
        <v>-97.426083887443596</v>
      </c>
      <c r="K21" s="22">
        <f t="shared" si="6"/>
        <v>-97.453499999999991</v>
      </c>
      <c r="L21" s="2">
        <f t="shared" si="16"/>
        <v>0.1</v>
      </c>
      <c r="M21" s="2">
        <f t="shared" si="16"/>
        <v>0.1</v>
      </c>
      <c r="N21" s="2">
        <f t="shared" si="16"/>
        <v>0.1</v>
      </c>
      <c r="O21" s="2">
        <f t="shared" si="16"/>
        <v>100.1</v>
      </c>
      <c r="P21" s="2">
        <f t="shared" si="16"/>
        <v>0</v>
      </c>
      <c r="Q21" s="2">
        <f t="shared" si="16"/>
        <v>0</v>
      </c>
      <c r="R21" s="2">
        <f t="shared" si="16"/>
        <v>0</v>
      </c>
      <c r="S21" s="2">
        <f t="shared" si="16"/>
        <v>0</v>
      </c>
      <c r="T21" s="2">
        <f t="shared" si="16"/>
        <v>0</v>
      </c>
      <c r="U21" s="2">
        <f t="shared" si="16"/>
        <v>0</v>
      </c>
      <c r="V21" s="2">
        <f t="shared" si="17"/>
        <v>0</v>
      </c>
      <c r="W21" s="2">
        <f t="shared" si="17"/>
        <v>0</v>
      </c>
      <c r="X21" s="2">
        <f t="shared" si="17"/>
        <v>0</v>
      </c>
      <c r="Y21" s="2">
        <f t="shared" si="17"/>
        <v>0</v>
      </c>
      <c r="Z21" s="2">
        <f t="shared" si="17"/>
        <v>0</v>
      </c>
      <c r="AA21" s="2">
        <f t="shared" si="17"/>
        <v>0</v>
      </c>
      <c r="AB21" s="2">
        <f t="shared" si="17"/>
        <v>0</v>
      </c>
      <c r="AC21" s="2">
        <f t="shared" si="17"/>
        <v>0</v>
      </c>
      <c r="AD21" s="2">
        <f t="shared" si="17"/>
        <v>0</v>
      </c>
      <c r="AE21" s="2">
        <f t="shared" si="17"/>
        <v>0</v>
      </c>
      <c r="AF21" s="2">
        <f t="shared" si="18"/>
        <v>0</v>
      </c>
      <c r="AG21" s="2">
        <f t="shared" si="18"/>
        <v>0</v>
      </c>
      <c r="AH21" s="2">
        <f t="shared" si="18"/>
        <v>0</v>
      </c>
      <c r="AI21" s="2">
        <f t="shared" si="18"/>
        <v>0</v>
      </c>
      <c r="AJ21" s="2">
        <f t="shared" si="18"/>
        <v>0</v>
      </c>
      <c r="AK21" s="2">
        <f t="shared" si="18"/>
        <v>0</v>
      </c>
      <c r="AL21" s="2">
        <f t="shared" si="18"/>
        <v>0</v>
      </c>
      <c r="AM21" s="2">
        <f t="shared" si="18"/>
        <v>0</v>
      </c>
      <c r="AN21" s="2">
        <f t="shared" si="18"/>
        <v>0</v>
      </c>
      <c r="AO21" s="2">
        <f t="shared" si="18"/>
        <v>0</v>
      </c>
      <c r="AP21" s="2">
        <f t="shared" si="19"/>
        <v>0</v>
      </c>
      <c r="AQ21" s="2">
        <f t="shared" si="19"/>
        <v>0</v>
      </c>
      <c r="AR21" s="2">
        <f t="shared" si="19"/>
        <v>0</v>
      </c>
      <c r="AS21" s="2">
        <f t="shared" si="19"/>
        <v>0</v>
      </c>
      <c r="AT21" s="2">
        <f t="shared" si="19"/>
        <v>0</v>
      </c>
      <c r="AU21" s="2">
        <f t="shared" si="19"/>
        <v>0</v>
      </c>
      <c r="AV21" s="2">
        <f t="shared" si="19"/>
        <v>0</v>
      </c>
      <c r="AW21" s="2">
        <f t="shared" si="19"/>
        <v>0</v>
      </c>
      <c r="AX21" s="2">
        <f t="shared" si="19"/>
        <v>0</v>
      </c>
      <c r="AY21" s="2">
        <f t="shared" si="19"/>
        <v>0</v>
      </c>
      <c r="AZ21" s="2">
        <f t="shared" si="20"/>
        <v>0</v>
      </c>
      <c r="BA21" s="2">
        <f t="shared" si="20"/>
        <v>0</v>
      </c>
      <c r="BB21" s="2">
        <f t="shared" si="20"/>
        <v>0</v>
      </c>
      <c r="BC21" s="2">
        <f t="shared" si="20"/>
        <v>0</v>
      </c>
      <c r="BD21" s="2">
        <f t="shared" si="20"/>
        <v>0</v>
      </c>
      <c r="BE21" s="2">
        <f t="shared" si="20"/>
        <v>0</v>
      </c>
      <c r="BF21" s="2">
        <f t="shared" si="20"/>
        <v>0</v>
      </c>
      <c r="BG21" s="2">
        <f t="shared" si="20"/>
        <v>0</v>
      </c>
      <c r="BH21" s="2">
        <f t="shared" si="20"/>
        <v>0</v>
      </c>
      <c r="BI21" s="2">
        <f t="shared" si="20"/>
        <v>0</v>
      </c>
      <c r="BJ21" s="2">
        <f t="shared" si="21"/>
        <v>0</v>
      </c>
      <c r="BK21" s="2">
        <f t="shared" si="21"/>
        <v>0</v>
      </c>
      <c r="BL21" s="2">
        <f t="shared" si="21"/>
        <v>0</v>
      </c>
      <c r="BM21" s="2">
        <f t="shared" si="21"/>
        <v>0</v>
      </c>
      <c r="BN21" s="2">
        <f t="shared" si="21"/>
        <v>0</v>
      </c>
      <c r="BO21" s="2">
        <f t="shared" si="21"/>
        <v>0</v>
      </c>
      <c r="BP21" s="2">
        <f t="shared" si="21"/>
        <v>0</v>
      </c>
      <c r="BQ21" s="2">
        <f t="shared" si="21"/>
        <v>0</v>
      </c>
      <c r="BR21" s="2">
        <f t="shared" si="21"/>
        <v>0</v>
      </c>
      <c r="BS21" s="2">
        <f t="shared" si="21"/>
        <v>0</v>
      </c>
      <c r="BT21" s="2">
        <f t="shared" si="22"/>
        <v>0</v>
      </c>
      <c r="BU21" s="2">
        <f t="shared" si="22"/>
        <v>0</v>
      </c>
      <c r="BV21" s="2">
        <f t="shared" si="22"/>
        <v>0</v>
      </c>
      <c r="BW21" s="2">
        <f t="shared" si="22"/>
        <v>0</v>
      </c>
      <c r="BX21" s="2">
        <f t="shared" si="22"/>
        <v>0</v>
      </c>
      <c r="BY21" s="2">
        <f t="shared" si="22"/>
        <v>0</v>
      </c>
      <c r="BZ21" s="2">
        <f t="shared" si="22"/>
        <v>0</v>
      </c>
      <c r="CA21" s="2">
        <f t="shared" si="22"/>
        <v>0</v>
      </c>
      <c r="CB21" s="2">
        <f t="shared" si="22"/>
        <v>0</v>
      </c>
      <c r="CC21" s="2">
        <f t="shared" si="22"/>
        <v>0</v>
      </c>
      <c r="CD21" s="2">
        <f t="shared" si="23"/>
        <v>0</v>
      </c>
      <c r="CE21" s="2">
        <f t="shared" si="23"/>
        <v>0</v>
      </c>
      <c r="CF21" s="2">
        <f t="shared" si="23"/>
        <v>0</v>
      </c>
      <c r="CG21" s="2">
        <f t="shared" si="23"/>
        <v>0</v>
      </c>
      <c r="CH21" s="2">
        <f t="shared" si="23"/>
        <v>0</v>
      </c>
      <c r="CI21" s="2">
        <f t="shared" si="23"/>
        <v>0</v>
      </c>
      <c r="CJ21" s="2">
        <f t="shared" si="23"/>
        <v>0</v>
      </c>
      <c r="CK21" s="23">
        <f t="shared" si="23"/>
        <v>0</v>
      </c>
      <c r="CN21" s="2">
        <v>9</v>
      </c>
      <c r="CO21" s="14">
        <v>0.05</v>
      </c>
      <c r="CP21" s="14">
        <v>-1.7052897649709603E-2</v>
      </c>
      <c r="CQ21" s="14">
        <v>-1.3639628753003001E-2</v>
      </c>
      <c r="CR21" s="14">
        <v>2.7799432695385011E-4</v>
      </c>
      <c r="CS21" s="14">
        <f t="shared" si="15"/>
        <v>1.9585467924241248E-2</v>
      </c>
    </row>
    <row r="22" spans="1:97" x14ac:dyDescent="0.45">
      <c r="A22" s="16">
        <v>2</v>
      </c>
      <c r="B22" s="17">
        <v>2E-3</v>
      </c>
      <c r="C22" s="19">
        <v>97.664000000000001</v>
      </c>
      <c r="D22" s="19">
        <f t="shared" si="0"/>
        <v>97.818707463200326</v>
      </c>
      <c r="E22" s="19">
        <f t="shared" si="1"/>
        <v>0.15470746320032447</v>
      </c>
      <c r="F22" s="19">
        <f t="shared" si="2"/>
        <v>0.15470746320032447</v>
      </c>
      <c r="G22" s="20">
        <f t="shared" si="3"/>
        <v>7.95662706586997E-3</v>
      </c>
      <c r="H22" s="20">
        <f>IFERROR(IRR((J22,L22:CK22),0),0)</f>
        <v>7.5566393725838843E-3</v>
      </c>
      <c r="I22" s="21">
        <f t="shared" si="4"/>
        <v>-3.9998769328608574E-4</v>
      </c>
      <c r="J22" s="19">
        <f t="shared" si="5"/>
        <v>-97.818707463200326</v>
      </c>
      <c r="K22" s="22">
        <f t="shared" si="6"/>
        <v>-97.664000000000001</v>
      </c>
      <c r="L22" s="2">
        <f t="shared" si="16"/>
        <v>0.2</v>
      </c>
      <c r="M22" s="2">
        <f t="shared" si="16"/>
        <v>0.2</v>
      </c>
      <c r="N22" s="2">
        <f t="shared" si="16"/>
        <v>0.2</v>
      </c>
      <c r="O22" s="2">
        <f t="shared" si="16"/>
        <v>100.2</v>
      </c>
      <c r="P22" s="2">
        <f t="shared" si="16"/>
        <v>0</v>
      </c>
      <c r="Q22" s="2">
        <f t="shared" si="16"/>
        <v>0</v>
      </c>
      <c r="R22" s="2">
        <f t="shared" si="16"/>
        <v>0</v>
      </c>
      <c r="S22" s="2">
        <f t="shared" si="16"/>
        <v>0</v>
      </c>
      <c r="T22" s="2">
        <f t="shared" si="16"/>
        <v>0</v>
      </c>
      <c r="U22" s="2">
        <f t="shared" si="16"/>
        <v>0</v>
      </c>
      <c r="V22" s="2">
        <f t="shared" si="17"/>
        <v>0</v>
      </c>
      <c r="W22" s="2">
        <f t="shared" si="17"/>
        <v>0</v>
      </c>
      <c r="X22" s="2">
        <f t="shared" si="17"/>
        <v>0</v>
      </c>
      <c r="Y22" s="2">
        <f t="shared" si="17"/>
        <v>0</v>
      </c>
      <c r="Z22" s="2">
        <f t="shared" si="17"/>
        <v>0</v>
      </c>
      <c r="AA22" s="2">
        <f t="shared" si="17"/>
        <v>0</v>
      </c>
      <c r="AB22" s="2">
        <f t="shared" si="17"/>
        <v>0</v>
      </c>
      <c r="AC22" s="2">
        <f t="shared" si="17"/>
        <v>0</v>
      </c>
      <c r="AD22" s="2">
        <f t="shared" si="17"/>
        <v>0</v>
      </c>
      <c r="AE22" s="2">
        <f t="shared" si="17"/>
        <v>0</v>
      </c>
      <c r="AF22" s="2">
        <f t="shared" si="18"/>
        <v>0</v>
      </c>
      <c r="AG22" s="2">
        <f t="shared" si="18"/>
        <v>0</v>
      </c>
      <c r="AH22" s="2">
        <f t="shared" si="18"/>
        <v>0</v>
      </c>
      <c r="AI22" s="2">
        <f t="shared" si="18"/>
        <v>0</v>
      </c>
      <c r="AJ22" s="2">
        <f t="shared" si="18"/>
        <v>0</v>
      </c>
      <c r="AK22" s="2">
        <f t="shared" si="18"/>
        <v>0</v>
      </c>
      <c r="AL22" s="2">
        <f t="shared" si="18"/>
        <v>0</v>
      </c>
      <c r="AM22" s="2">
        <f t="shared" si="18"/>
        <v>0</v>
      </c>
      <c r="AN22" s="2">
        <f t="shared" si="18"/>
        <v>0</v>
      </c>
      <c r="AO22" s="2">
        <f t="shared" si="18"/>
        <v>0</v>
      </c>
      <c r="AP22" s="2">
        <f t="shared" si="19"/>
        <v>0</v>
      </c>
      <c r="AQ22" s="2">
        <f t="shared" si="19"/>
        <v>0</v>
      </c>
      <c r="AR22" s="2">
        <f t="shared" si="19"/>
        <v>0</v>
      </c>
      <c r="AS22" s="2">
        <f t="shared" si="19"/>
        <v>0</v>
      </c>
      <c r="AT22" s="2">
        <f t="shared" si="19"/>
        <v>0</v>
      </c>
      <c r="AU22" s="2">
        <f t="shared" si="19"/>
        <v>0</v>
      </c>
      <c r="AV22" s="2">
        <f t="shared" si="19"/>
        <v>0</v>
      </c>
      <c r="AW22" s="2">
        <f t="shared" si="19"/>
        <v>0</v>
      </c>
      <c r="AX22" s="2">
        <f t="shared" si="19"/>
        <v>0</v>
      </c>
      <c r="AY22" s="2">
        <f t="shared" si="19"/>
        <v>0</v>
      </c>
      <c r="AZ22" s="2">
        <f t="shared" si="20"/>
        <v>0</v>
      </c>
      <c r="BA22" s="2">
        <f t="shared" si="20"/>
        <v>0</v>
      </c>
      <c r="BB22" s="2">
        <f t="shared" si="20"/>
        <v>0</v>
      </c>
      <c r="BC22" s="2">
        <f t="shared" si="20"/>
        <v>0</v>
      </c>
      <c r="BD22" s="2">
        <f t="shared" si="20"/>
        <v>0</v>
      </c>
      <c r="BE22" s="2">
        <f t="shared" si="20"/>
        <v>0</v>
      </c>
      <c r="BF22" s="2">
        <f t="shared" si="20"/>
        <v>0</v>
      </c>
      <c r="BG22" s="2">
        <f t="shared" si="20"/>
        <v>0</v>
      </c>
      <c r="BH22" s="2">
        <f t="shared" si="20"/>
        <v>0</v>
      </c>
      <c r="BI22" s="2">
        <f t="shared" si="20"/>
        <v>0</v>
      </c>
      <c r="BJ22" s="2">
        <f t="shared" si="21"/>
        <v>0</v>
      </c>
      <c r="BK22" s="2">
        <f t="shared" si="21"/>
        <v>0</v>
      </c>
      <c r="BL22" s="2">
        <f t="shared" si="21"/>
        <v>0</v>
      </c>
      <c r="BM22" s="2">
        <f t="shared" si="21"/>
        <v>0</v>
      </c>
      <c r="BN22" s="2">
        <f t="shared" si="21"/>
        <v>0</v>
      </c>
      <c r="BO22" s="2">
        <f t="shared" si="21"/>
        <v>0</v>
      </c>
      <c r="BP22" s="2">
        <f t="shared" si="21"/>
        <v>0</v>
      </c>
      <c r="BQ22" s="2">
        <f t="shared" si="21"/>
        <v>0</v>
      </c>
      <c r="BR22" s="2">
        <f t="shared" si="21"/>
        <v>0</v>
      </c>
      <c r="BS22" s="2">
        <f t="shared" si="21"/>
        <v>0</v>
      </c>
      <c r="BT22" s="2">
        <f t="shared" si="22"/>
        <v>0</v>
      </c>
      <c r="BU22" s="2">
        <f t="shared" si="22"/>
        <v>0</v>
      </c>
      <c r="BV22" s="2">
        <f t="shared" si="22"/>
        <v>0</v>
      </c>
      <c r="BW22" s="2">
        <f t="shared" si="22"/>
        <v>0</v>
      </c>
      <c r="BX22" s="2">
        <f t="shared" si="22"/>
        <v>0</v>
      </c>
      <c r="BY22" s="2">
        <f t="shared" si="22"/>
        <v>0</v>
      </c>
      <c r="BZ22" s="2">
        <f t="shared" si="22"/>
        <v>0</v>
      </c>
      <c r="CA22" s="2">
        <f t="shared" si="22"/>
        <v>0</v>
      </c>
      <c r="CB22" s="2">
        <f t="shared" si="22"/>
        <v>0</v>
      </c>
      <c r="CC22" s="2">
        <f t="shared" si="22"/>
        <v>0</v>
      </c>
      <c r="CD22" s="2">
        <f t="shared" si="23"/>
        <v>0</v>
      </c>
      <c r="CE22" s="2">
        <f t="shared" si="23"/>
        <v>0</v>
      </c>
      <c r="CF22" s="2">
        <f t="shared" si="23"/>
        <v>0</v>
      </c>
      <c r="CG22" s="2">
        <f t="shared" si="23"/>
        <v>0</v>
      </c>
      <c r="CH22" s="2">
        <f t="shared" si="23"/>
        <v>0</v>
      </c>
      <c r="CI22" s="2">
        <f t="shared" si="23"/>
        <v>0</v>
      </c>
      <c r="CJ22" s="2">
        <f t="shared" si="23"/>
        <v>0</v>
      </c>
      <c r="CK22" s="23">
        <f t="shared" si="23"/>
        <v>0</v>
      </c>
      <c r="CN22" s="2">
        <v>9.5</v>
      </c>
      <c r="CO22" s="14">
        <v>0.05</v>
      </c>
      <c r="CP22" s="14">
        <v>-1.6405500324888911E-2</v>
      </c>
      <c r="CQ22" s="14">
        <v>-1.3530877896331743E-2</v>
      </c>
      <c r="CR22" s="14">
        <v>2.6336823317628757E-4</v>
      </c>
      <c r="CS22" s="14">
        <f t="shared" si="15"/>
        <v>2.0326990011955638E-2</v>
      </c>
    </row>
    <row r="23" spans="1:97" x14ac:dyDescent="0.45">
      <c r="A23" s="16">
        <v>2</v>
      </c>
      <c r="B23" s="17">
        <v>3.0000000000000001E-3</v>
      </c>
      <c r="C23" s="19">
        <v>97.888999999999996</v>
      </c>
      <c r="D23" s="19">
        <f t="shared" si="0"/>
        <v>98.211331038957013</v>
      </c>
      <c r="E23" s="19">
        <f t="shared" si="1"/>
        <v>0.32233103895701731</v>
      </c>
      <c r="F23" s="19">
        <f t="shared" si="2"/>
        <v>0.32233103895701731</v>
      </c>
      <c r="G23" s="20">
        <f t="shared" si="3"/>
        <v>8.3886398894845726E-3</v>
      </c>
      <c r="H23" s="20">
        <f>IFERROR(IRR((J23,L23:CK23),0),0)</f>
        <v>7.5564654593658354E-3</v>
      </c>
      <c r="I23" s="21">
        <f t="shared" si="4"/>
        <v>-8.3217443011873726E-4</v>
      </c>
      <c r="J23" s="19">
        <f t="shared" si="5"/>
        <v>-98.211331038957013</v>
      </c>
      <c r="K23" s="22">
        <f t="shared" si="6"/>
        <v>-97.888999999999996</v>
      </c>
      <c r="L23" s="2">
        <f t="shared" ref="L23:U32" si="24">$B23*100*(L$2&lt;$A23)+100*(1+$B23)*(L$2=$A23)</f>
        <v>0.3</v>
      </c>
      <c r="M23" s="2">
        <f t="shared" si="24"/>
        <v>0.3</v>
      </c>
      <c r="N23" s="2">
        <f t="shared" si="24"/>
        <v>0.3</v>
      </c>
      <c r="O23" s="2">
        <f t="shared" si="24"/>
        <v>100.29999999999998</v>
      </c>
      <c r="P23" s="2">
        <f t="shared" si="24"/>
        <v>0</v>
      </c>
      <c r="Q23" s="2">
        <f t="shared" si="24"/>
        <v>0</v>
      </c>
      <c r="R23" s="2">
        <f t="shared" si="24"/>
        <v>0</v>
      </c>
      <c r="S23" s="2">
        <f t="shared" si="24"/>
        <v>0</v>
      </c>
      <c r="T23" s="2">
        <f t="shared" si="24"/>
        <v>0</v>
      </c>
      <c r="U23" s="2">
        <f t="shared" si="24"/>
        <v>0</v>
      </c>
      <c r="V23" s="2">
        <f t="shared" ref="V23:AE32" si="25">$B23*100*(V$2&lt;$A23)+100*(1+$B23)*(V$2=$A23)</f>
        <v>0</v>
      </c>
      <c r="W23" s="2">
        <f t="shared" si="25"/>
        <v>0</v>
      </c>
      <c r="X23" s="2">
        <f t="shared" si="25"/>
        <v>0</v>
      </c>
      <c r="Y23" s="2">
        <f t="shared" si="25"/>
        <v>0</v>
      </c>
      <c r="Z23" s="2">
        <f t="shared" si="25"/>
        <v>0</v>
      </c>
      <c r="AA23" s="2">
        <f t="shared" si="25"/>
        <v>0</v>
      </c>
      <c r="AB23" s="2">
        <f t="shared" si="25"/>
        <v>0</v>
      </c>
      <c r="AC23" s="2">
        <f t="shared" si="25"/>
        <v>0</v>
      </c>
      <c r="AD23" s="2">
        <f t="shared" si="25"/>
        <v>0</v>
      </c>
      <c r="AE23" s="2">
        <f t="shared" si="25"/>
        <v>0</v>
      </c>
      <c r="AF23" s="2">
        <f t="shared" ref="AF23:AO32" si="26">$B23*100*(AF$2&lt;$A23)+100*(1+$B23)*(AF$2=$A23)</f>
        <v>0</v>
      </c>
      <c r="AG23" s="2">
        <f t="shared" si="26"/>
        <v>0</v>
      </c>
      <c r="AH23" s="2">
        <f t="shared" si="26"/>
        <v>0</v>
      </c>
      <c r="AI23" s="2">
        <f t="shared" si="26"/>
        <v>0</v>
      </c>
      <c r="AJ23" s="2">
        <f t="shared" si="26"/>
        <v>0</v>
      </c>
      <c r="AK23" s="2">
        <f t="shared" si="26"/>
        <v>0</v>
      </c>
      <c r="AL23" s="2">
        <f t="shared" si="26"/>
        <v>0</v>
      </c>
      <c r="AM23" s="2">
        <f t="shared" si="26"/>
        <v>0</v>
      </c>
      <c r="AN23" s="2">
        <f t="shared" si="26"/>
        <v>0</v>
      </c>
      <c r="AO23" s="2">
        <f t="shared" si="26"/>
        <v>0</v>
      </c>
      <c r="AP23" s="2">
        <f t="shared" ref="AP23:AY32" si="27">$B23*100*(AP$2&lt;$A23)+100*(1+$B23)*(AP$2=$A23)</f>
        <v>0</v>
      </c>
      <c r="AQ23" s="2">
        <f t="shared" si="27"/>
        <v>0</v>
      </c>
      <c r="AR23" s="2">
        <f t="shared" si="27"/>
        <v>0</v>
      </c>
      <c r="AS23" s="2">
        <f t="shared" si="27"/>
        <v>0</v>
      </c>
      <c r="AT23" s="2">
        <f t="shared" si="27"/>
        <v>0</v>
      </c>
      <c r="AU23" s="2">
        <f t="shared" si="27"/>
        <v>0</v>
      </c>
      <c r="AV23" s="2">
        <f t="shared" si="27"/>
        <v>0</v>
      </c>
      <c r="AW23" s="2">
        <f t="shared" si="27"/>
        <v>0</v>
      </c>
      <c r="AX23" s="2">
        <f t="shared" si="27"/>
        <v>0</v>
      </c>
      <c r="AY23" s="2">
        <f t="shared" si="27"/>
        <v>0</v>
      </c>
      <c r="AZ23" s="2">
        <f t="shared" ref="AZ23:BI32" si="28">$B23*100*(AZ$2&lt;$A23)+100*(1+$B23)*(AZ$2=$A23)</f>
        <v>0</v>
      </c>
      <c r="BA23" s="2">
        <f t="shared" si="28"/>
        <v>0</v>
      </c>
      <c r="BB23" s="2">
        <f t="shared" si="28"/>
        <v>0</v>
      </c>
      <c r="BC23" s="2">
        <f t="shared" si="28"/>
        <v>0</v>
      </c>
      <c r="BD23" s="2">
        <f t="shared" si="28"/>
        <v>0</v>
      </c>
      <c r="BE23" s="2">
        <f t="shared" si="28"/>
        <v>0</v>
      </c>
      <c r="BF23" s="2">
        <f t="shared" si="28"/>
        <v>0</v>
      </c>
      <c r="BG23" s="2">
        <f t="shared" si="28"/>
        <v>0</v>
      </c>
      <c r="BH23" s="2">
        <f t="shared" si="28"/>
        <v>0</v>
      </c>
      <c r="BI23" s="2">
        <f t="shared" si="28"/>
        <v>0</v>
      </c>
      <c r="BJ23" s="2">
        <f t="shared" ref="BJ23:BS32" si="29">$B23*100*(BJ$2&lt;$A23)+100*(1+$B23)*(BJ$2=$A23)</f>
        <v>0</v>
      </c>
      <c r="BK23" s="2">
        <f t="shared" si="29"/>
        <v>0</v>
      </c>
      <c r="BL23" s="2">
        <f t="shared" si="29"/>
        <v>0</v>
      </c>
      <c r="BM23" s="2">
        <f t="shared" si="29"/>
        <v>0</v>
      </c>
      <c r="BN23" s="2">
        <f t="shared" si="29"/>
        <v>0</v>
      </c>
      <c r="BO23" s="2">
        <f t="shared" si="29"/>
        <v>0</v>
      </c>
      <c r="BP23" s="2">
        <f t="shared" si="29"/>
        <v>0</v>
      </c>
      <c r="BQ23" s="2">
        <f t="shared" si="29"/>
        <v>0</v>
      </c>
      <c r="BR23" s="2">
        <f t="shared" si="29"/>
        <v>0</v>
      </c>
      <c r="BS23" s="2">
        <f t="shared" si="29"/>
        <v>0</v>
      </c>
      <c r="BT23" s="2">
        <f t="shared" ref="BT23:CC32" si="30">$B23*100*(BT$2&lt;$A23)+100*(1+$B23)*(BT$2=$A23)</f>
        <v>0</v>
      </c>
      <c r="BU23" s="2">
        <f t="shared" si="30"/>
        <v>0</v>
      </c>
      <c r="BV23" s="2">
        <f t="shared" si="30"/>
        <v>0</v>
      </c>
      <c r="BW23" s="2">
        <f t="shared" si="30"/>
        <v>0</v>
      </c>
      <c r="BX23" s="2">
        <f t="shared" si="30"/>
        <v>0</v>
      </c>
      <c r="BY23" s="2">
        <f t="shared" si="30"/>
        <v>0</v>
      </c>
      <c r="BZ23" s="2">
        <f t="shared" si="30"/>
        <v>0</v>
      </c>
      <c r="CA23" s="2">
        <f t="shared" si="30"/>
        <v>0</v>
      </c>
      <c r="CB23" s="2">
        <f t="shared" si="30"/>
        <v>0</v>
      </c>
      <c r="CC23" s="2">
        <f t="shared" si="30"/>
        <v>0</v>
      </c>
      <c r="CD23" s="2">
        <f t="shared" ref="CD23:CK32" si="31">$B23*100*(CD$2&lt;$A23)+100*(1+$B23)*(CD$2=$A23)</f>
        <v>0</v>
      </c>
      <c r="CE23" s="2">
        <f t="shared" si="31"/>
        <v>0</v>
      </c>
      <c r="CF23" s="2">
        <f t="shared" si="31"/>
        <v>0</v>
      </c>
      <c r="CG23" s="2">
        <f t="shared" si="31"/>
        <v>0</v>
      </c>
      <c r="CH23" s="2">
        <f t="shared" si="31"/>
        <v>0</v>
      </c>
      <c r="CI23" s="2">
        <f t="shared" si="31"/>
        <v>0</v>
      </c>
      <c r="CJ23" s="2">
        <f t="shared" si="31"/>
        <v>0</v>
      </c>
      <c r="CK23" s="23">
        <f t="shared" si="31"/>
        <v>0</v>
      </c>
      <c r="CN23" s="2">
        <v>10</v>
      </c>
      <c r="CO23" s="14">
        <v>0.05</v>
      </c>
      <c r="CP23" s="14">
        <v>-1.5796804731793478E-2</v>
      </c>
      <c r="CQ23" s="14">
        <v>-1.3397458302737385E-2</v>
      </c>
      <c r="CR23" s="14">
        <v>2.502023833922866E-4</v>
      </c>
      <c r="CS23" s="14">
        <f t="shared" si="15"/>
        <v>2.1055939348861429E-2</v>
      </c>
    </row>
    <row r="24" spans="1:97" x14ac:dyDescent="0.45">
      <c r="A24" s="16">
        <v>2</v>
      </c>
      <c r="B24" s="17">
        <v>1E-3</v>
      </c>
      <c r="C24" s="19">
        <v>97.43549999999999</v>
      </c>
      <c r="D24" s="19">
        <f t="shared" si="0"/>
        <v>97.426083887443596</v>
      </c>
      <c r="E24" s="19">
        <f t="shared" si="1"/>
        <v>-9.416112556394296E-3</v>
      </c>
      <c r="F24" s="19">
        <f t="shared" si="2"/>
        <v>9.416112556394296E-3</v>
      </c>
      <c r="G24" s="20">
        <f t="shared" si="3"/>
        <v>7.5324337773083894E-3</v>
      </c>
      <c r="H24" s="20">
        <f>IFERROR(IRR((J24,L24:CK24),0),0)</f>
        <v>7.5568141599136052E-3</v>
      </c>
      <c r="I24" s="21">
        <f t="shared" si="4"/>
        <v>2.43803826052158E-5</v>
      </c>
      <c r="J24" s="19">
        <f t="shared" si="5"/>
        <v>-97.426083887443596</v>
      </c>
      <c r="K24" s="22">
        <f t="shared" si="6"/>
        <v>-97.43549999999999</v>
      </c>
      <c r="L24" s="2">
        <f t="shared" si="24"/>
        <v>0.1</v>
      </c>
      <c r="M24" s="2">
        <f t="shared" si="24"/>
        <v>0.1</v>
      </c>
      <c r="N24" s="2">
        <f t="shared" si="24"/>
        <v>0.1</v>
      </c>
      <c r="O24" s="2">
        <f t="shared" si="24"/>
        <v>100.1</v>
      </c>
      <c r="P24" s="2">
        <f t="shared" si="24"/>
        <v>0</v>
      </c>
      <c r="Q24" s="2">
        <f t="shared" si="24"/>
        <v>0</v>
      </c>
      <c r="R24" s="2">
        <f t="shared" si="24"/>
        <v>0</v>
      </c>
      <c r="S24" s="2">
        <f t="shared" si="24"/>
        <v>0</v>
      </c>
      <c r="T24" s="2">
        <f t="shared" si="24"/>
        <v>0</v>
      </c>
      <c r="U24" s="2">
        <f t="shared" si="24"/>
        <v>0</v>
      </c>
      <c r="V24" s="2">
        <f t="shared" si="25"/>
        <v>0</v>
      </c>
      <c r="W24" s="2">
        <f t="shared" si="25"/>
        <v>0</v>
      </c>
      <c r="X24" s="2">
        <f t="shared" si="25"/>
        <v>0</v>
      </c>
      <c r="Y24" s="2">
        <f t="shared" si="25"/>
        <v>0</v>
      </c>
      <c r="Z24" s="2">
        <f t="shared" si="25"/>
        <v>0</v>
      </c>
      <c r="AA24" s="2">
        <f t="shared" si="25"/>
        <v>0</v>
      </c>
      <c r="AB24" s="2">
        <f t="shared" si="25"/>
        <v>0</v>
      </c>
      <c r="AC24" s="2">
        <f t="shared" si="25"/>
        <v>0</v>
      </c>
      <c r="AD24" s="2">
        <f t="shared" si="25"/>
        <v>0</v>
      </c>
      <c r="AE24" s="2">
        <f t="shared" si="25"/>
        <v>0</v>
      </c>
      <c r="AF24" s="2">
        <f t="shared" si="26"/>
        <v>0</v>
      </c>
      <c r="AG24" s="2">
        <f t="shared" si="26"/>
        <v>0</v>
      </c>
      <c r="AH24" s="2">
        <f t="shared" si="26"/>
        <v>0</v>
      </c>
      <c r="AI24" s="2">
        <f t="shared" si="26"/>
        <v>0</v>
      </c>
      <c r="AJ24" s="2">
        <f t="shared" si="26"/>
        <v>0</v>
      </c>
      <c r="AK24" s="2">
        <f t="shared" si="26"/>
        <v>0</v>
      </c>
      <c r="AL24" s="2">
        <f t="shared" si="26"/>
        <v>0</v>
      </c>
      <c r="AM24" s="2">
        <f t="shared" si="26"/>
        <v>0</v>
      </c>
      <c r="AN24" s="2">
        <f t="shared" si="26"/>
        <v>0</v>
      </c>
      <c r="AO24" s="2">
        <f t="shared" si="26"/>
        <v>0</v>
      </c>
      <c r="AP24" s="2">
        <f t="shared" si="27"/>
        <v>0</v>
      </c>
      <c r="AQ24" s="2">
        <f t="shared" si="27"/>
        <v>0</v>
      </c>
      <c r="AR24" s="2">
        <f t="shared" si="27"/>
        <v>0</v>
      </c>
      <c r="AS24" s="2">
        <f t="shared" si="27"/>
        <v>0</v>
      </c>
      <c r="AT24" s="2">
        <f t="shared" si="27"/>
        <v>0</v>
      </c>
      <c r="AU24" s="2">
        <f t="shared" si="27"/>
        <v>0</v>
      </c>
      <c r="AV24" s="2">
        <f t="shared" si="27"/>
        <v>0</v>
      </c>
      <c r="AW24" s="2">
        <f t="shared" si="27"/>
        <v>0</v>
      </c>
      <c r="AX24" s="2">
        <f t="shared" si="27"/>
        <v>0</v>
      </c>
      <c r="AY24" s="2">
        <f t="shared" si="27"/>
        <v>0</v>
      </c>
      <c r="AZ24" s="2">
        <f t="shared" si="28"/>
        <v>0</v>
      </c>
      <c r="BA24" s="2">
        <f t="shared" si="28"/>
        <v>0</v>
      </c>
      <c r="BB24" s="2">
        <f t="shared" si="28"/>
        <v>0</v>
      </c>
      <c r="BC24" s="2">
        <f t="shared" si="28"/>
        <v>0</v>
      </c>
      <c r="BD24" s="2">
        <f t="shared" si="28"/>
        <v>0</v>
      </c>
      <c r="BE24" s="2">
        <f t="shared" si="28"/>
        <v>0</v>
      </c>
      <c r="BF24" s="2">
        <f t="shared" si="28"/>
        <v>0</v>
      </c>
      <c r="BG24" s="2">
        <f t="shared" si="28"/>
        <v>0</v>
      </c>
      <c r="BH24" s="2">
        <f t="shared" si="28"/>
        <v>0</v>
      </c>
      <c r="BI24" s="2">
        <f t="shared" si="28"/>
        <v>0</v>
      </c>
      <c r="BJ24" s="2">
        <f t="shared" si="29"/>
        <v>0</v>
      </c>
      <c r="BK24" s="2">
        <f t="shared" si="29"/>
        <v>0</v>
      </c>
      <c r="BL24" s="2">
        <f t="shared" si="29"/>
        <v>0</v>
      </c>
      <c r="BM24" s="2">
        <f t="shared" si="29"/>
        <v>0</v>
      </c>
      <c r="BN24" s="2">
        <f t="shared" si="29"/>
        <v>0</v>
      </c>
      <c r="BO24" s="2">
        <f t="shared" si="29"/>
        <v>0</v>
      </c>
      <c r="BP24" s="2">
        <f t="shared" si="29"/>
        <v>0</v>
      </c>
      <c r="BQ24" s="2">
        <f t="shared" si="29"/>
        <v>0</v>
      </c>
      <c r="BR24" s="2">
        <f t="shared" si="29"/>
        <v>0</v>
      </c>
      <c r="BS24" s="2">
        <f t="shared" si="29"/>
        <v>0</v>
      </c>
      <c r="BT24" s="2">
        <f t="shared" si="30"/>
        <v>0</v>
      </c>
      <c r="BU24" s="2">
        <f t="shared" si="30"/>
        <v>0</v>
      </c>
      <c r="BV24" s="2">
        <f t="shared" si="30"/>
        <v>0</v>
      </c>
      <c r="BW24" s="2">
        <f t="shared" si="30"/>
        <v>0</v>
      </c>
      <c r="BX24" s="2">
        <f t="shared" si="30"/>
        <v>0</v>
      </c>
      <c r="BY24" s="2">
        <f t="shared" si="30"/>
        <v>0</v>
      </c>
      <c r="BZ24" s="2">
        <f t="shared" si="30"/>
        <v>0</v>
      </c>
      <c r="CA24" s="2">
        <f t="shared" si="30"/>
        <v>0</v>
      </c>
      <c r="CB24" s="2">
        <f t="shared" si="30"/>
        <v>0</v>
      </c>
      <c r="CC24" s="2">
        <f t="shared" si="30"/>
        <v>0</v>
      </c>
      <c r="CD24" s="2">
        <f t="shared" si="31"/>
        <v>0</v>
      </c>
      <c r="CE24" s="2">
        <f t="shared" si="31"/>
        <v>0</v>
      </c>
      <c r="CF24" s="2">
        <f t="shared" si="31"/>
        <v>0</v>
      </c>
      <c r="CG24" s="2">
        <f t="shared" si="31"/>
        <v>0</v>
      </c>
      <c r="CH24" s="2">
        <f t="shared" si="31"/>
        <v>0</v>
      </c>
      <c r="CI24" s="2">
        <f t="shared" si="31"/>
        <v>0</v>
      </c>
      <c r="CJ24" s="2">
        <f t="shared" si="31"/>
        <v>0</v>
      </c>
      <c r="CK24" s="23">
        <f t="shared" si="31"/>
        <v>0</v>
      </c>
      <c r="CN24" s="2">
        <v>10.5</v>
      </c>
      <c r="CO24" s="14">
        <v>0.05</v>
      </c>
      <c r="CP24" s="14">
        <v>-1.5223999414796761E-2</v>
      </c>
      <c r="CQ24" s="14">
        <v>-1.3243695309929091E-2</v>
      </c>
      <c r="CR24" s="14">
        <v>2.3828924941636436E-4</v>
      </c>
      <c r="CS24" s="14">
        <f t="shared" si="15"/>
        <v>2.1770594524690517E-2</v>
      </c>
    </row>
    <row r="25" spans="1:97" x14ac:dyDescent="0.45">
      <c r="A25" s="16">
        <v>2.5</v>
      </c>
      <c r="B25" s="17">
        <v>1E-3</v>
      </c>
      <c r="C25" s="19">
        <v>97.103999999999999</v>
      </c>
      <c r="D25" s="19">
        <f t="shared" si="0"/>
        <v>96.69821490389225</v>
      </c>
      <c r="E25" s="19">
        <f t="shared" si="1"/>
        <v>-0.40578509610774915</v>
      </c>
      <c r="F25" s="19">
        <f t="shared" si="2"/>
        <v>0.40578509610774915</v>
      </c>
      <c r="G25" s="20">
        <f t="shared" si="3"/>
        <v>6.9126661114502497E-3</v>
      </c>
      <c r="H25" s="20">
        <f>IFERROR(IRR((J25,L25:CK25),0),0)</f>
        <v>7.7580545816633428E-3</v>
      </c>
      <c r="I25" s="21">
        <f t="shared" si="4"/>
        <v>8.4538847021309316E-4</v>
      </c>
      <c r="J25" s="19">
        <f t="shared" si="5"/>
        <v>-96.69821490389225</v>
      </c>
      <c r="K25" s="22">
        <f t="shared" si="6"/>
        <v>-97.103999999999999</v>
      </c>
      <c r="L25" s="2">
        <f t="shared" si="24"/>
        <v>0.1</v>
      </c>
      <c r="M25" s="2">
        <f t="shared" si="24"/>
        <v>0.1</v>
      </c>
      <c r="N25" s="2">
        <f t="shared" si="24"/>
        <v>0.1</v>
      </c>
      <c r="O25" s="2">
        <f t="shared" si="24"/>
        <v>0.1</v>
      </c>
      <c r="P25" s="2">
        <f t="shared" si="24"/>
        <v>100.1</v>
      </c>
      <c r="Q25" s="2">
        <f t="shared" si="24"/>
        <v>0</v>
      </c>
      <c r="R25" s="2">
        <f t="shared" si="24"/>
        <v>0</v>
      </c>
      <c r="S25" s="2">
        <f t="shared" si="24"/>
        <v>0</v>
      </c>
      <c r="T25" s="2">
        <f t="shared" si="24"/>
        <v>0</v>
      </c>
      <c r="U25" s="2">
        <f t="shared" si="24"/>
        <v>0</v>
      </c>
      <c r="V25" s="2">
        <f t="shared" si="25"/>
        <v>0</v>
      </c>
      <c r="W25" s="2">
        <f t="shared" si="25"/>
        <v>0</v>
      </c>
      <c r="X25" s="2">
        <f t="shared" si="25"/>
        <v>0</v>
      </c>
      <c r="Y25" s="2">
        <f t="shared" si="25"/>
        <v>0</v>
      </c>
      <c r="Z25" s="2">
        <f t="shared" si="25"/>
        <v>0</v>
      </c>
      <c r="AA25" s="2">
        <f t="shared" si="25"/>
        <v>0</v>
      </c>
      <c r="AB25" s="2">
        <f t="shared" si="25"/>
        <v>0</v>
      </c>
      <c r="AC25" s="2">
        <f t="shared" si="25"/>
        <v>0</v>
      </c>
      <c r="AD25" s="2">
        <f t="shared" si="25"/>
        <v>0</v>
      </c>
      <c r="AE25" s="2">
        <f t="shared" si="25"/>
        <v>0</v>
      </c>
      <c r="AF25" s="2">
        <f t="shared" si="26"/>
        <v>0</v>
      </c>
      <c r="AG25" s="2">
        <f t="shared" si="26"/>
        <v>0</v>
      </c>
      <c r="AH25" s="2">
        <f t="shared" si="26"/>
        <v>0</v>
      </c>
      <c r="AI25" s="2">
        <f t="shared" si="26"/>
        <v>0</v>
      </c>
      <c r="AJ25" s="2">
        <f t="shared" si="26"/>
        <v>0</v>
      </c>
      <c r="AK25" s="2">
        <f t="shared" si="26"/>
        <v>0</v>
      </c>
      <c r="AL25" s="2">
        <f t="shared" si="26"/>
        <v>0</v>
      </c>
      <c r="AM25" s="2">
        <f t="shared" si="26"/>
        <v>0</v>
      </c>
      <c r="AN25" s="2">
        <f t="shared" si="26"/>
        <v>0</v>
      </c>
      <c r="AO25" s="2">
        <f t="shared" si="26"/>
        <v>0</v>
      </c>
      <c r="AP25" s="2">
        <f t="shared" si="27"/>
        <v>0</v>
      </c>
      <c r="AQ25" s="2">
        <f t="shared" si="27"/>
        <v>0</v>
      </c>
      <c r="AR25" s="2">
        <f t="shared" si="27"/>
        <v>0</v>
      </c>
      <c r="AS25" s="2">
        <f t="shared" si="27"/>
        <v>0</v>
      </c>
      <c r="AT25" s="2">
        <f t="shared" si="27"/>
        <v>0</v>
      </c>
      <c r="AU25" s="2">
        <f t="shared" si="27"/>
        <v>0</v>
      </c>
      <c r="AV25" s="2">
        <f t="shared" si="27"/>
        <v>0</v>
      </c>
      <c r="AW25" s="2">
        <f t="shared" si="27"/>
        <v>0</v>
      </c>
      <c r="AX25" s="2">
        <f t="shared" si="27"/>
        <v>0</v>
      </c>
      <c r="AY25" s="2">
        <f t="shared" si="27"/>
        <v>0</v>
      </c>
      <c r="AZ25" s="2">
        <f t="shared" si="28"/>
        <v>0</v>
      </c>
      <c r="BA25" s="2">
        <f t="shared" si="28"/>
        <v>0</v>
      </c>
      <c r="BB25" s="2">
        <f t="shared" si="28"/>
        <v>0</v>
      </c>
      <c r="BC25" s="2">
        <f t="shared" si="28"/>
        <v>0</v>
      </c>
      <c r="BD25" s="2">
        <f t="shared" si="28"/>
        <v>0</v>
      </c>
      <c r="BE25" s="2">
        <f t="shared" si="28"/>
        <v>0</v>
      </c>
      <c r="BF25" s="2">
        <f t="shared" si="28"/>
        <v>0</v>
      </c>
      <c r="BG25" s="2">
        <f t="shared" si="28"/>
        <v>0</v>
      </c>
      <c r="BH25" s="2">
        <f t="shared" si="28"/>
        <v>0</v>
      </c>
      <c r="BI25" s="2">
        <f t="shared" si="28"/>
        <v>0</v>
      </c>
      <c r="BJ25" s="2">
        <f t="shared" si="29"/>
        <v>0</v>
      </c>
      <c r="BK25" s="2">
        <f t="shared" si="29"/>
        <v>0</v>
      </c>
      <c r="BL25" s="2">
        <f t="shared" si="29"/>
        <v>0</v>
      </c>
      <c r="BM25" s="2">
        <f t="shared" si="29"/>
        <v>0</v>
      </c>
      <c r="BN25" s="2">
        <f t="shared" si="29"/>
        <v>0</v>
      </c>
      <c r="BO25" s="2">
        <f t="shared" si="29"/>
        <v>0</v>
      </c>
      <c r="BP25" s="2">
        <f t="shared" si="29"/>
        <v>0</v>
      </c>
      <c r="BQ25" s="2">
        <f t="shared" si="29"/>
        <v>0</v>
      </c>
      <c r="BR25" s="2">
        <f t="shared" si="29"/>
        <v>0</v>
      </c>
      <c r="BS25" s="2">
        <f t="shared" si="29"/>
        <v>0</v>
      </c>
      <c r="BT25" s="2">
        <f t="shared" si="30"/>
        <v>0</v>
      </c>
      <c r="BU25" s="2">
        <f t="shared" si="30"/>
        <v>0</v>
      </c>
      <c r="BV25" s="2">
        <f t="shared" si="30"/>
        <v>0</v>
      </c>
      <c r="BW25" s="2">
        <f t="shared" si="30"/>
        <v>0</v>
      </c>
      <c r="BX25" s="2">
        <f t="shared" si="30"/>
        <v>0</v>
      </c>
      <c r="BY25" s="2">
        <f t="shared" si="30"/>
        <v>0</v>
      </c>
      <c r="BZ25" s="2">
        <f t="shared" si="30"/>
        <v>0</v>
      </c>
      <c r="CA25" s="2">
        <f t="shared" si="30"/>
        <v>0</v>
      </c>
      <c r="CB25" s="2">
        <f t="shared" si="30"/>
        <v>0</v>
      </c>
      <c r="CC25" s="2">
        <f t="shared" si="30"/>
        <v>0</v>
      </c>
      <c r="CD25" s="2">
        <f t="shared" si="31"/>
        <v>0</v>
      </c>
      <c r="CE25" s="2">
        <f t="shared" si="31"/>
        <v>0</v>
      </c>
      <c r="CF25" s="2">
        <f t="shared" si="31"/>
        <v>0</v>
      </c>
      <c r="CG25" s="2">
        <f t="shared" si="31"/>
        <v>0</v>
      </c>
      <c r="CH25" s="2">
        <f t="shared" si="31"/>
        <v>0</v>
      </c>
      <c r="CI25" s="2">
        <f t="shared" si="31"/>
        <v>0</v>
      </c>
      <c r="CJ25" s="2">
        <f t="shared" si="31"/>
        <v>0</v>
      </c>
      <c r="CK25" s="23">
        <f t="shared" si="31"/>
        <v>0</v>
      </c>
      <c r="CN25" s="2">
        <v>11</v>
      </c>
      <c r="CO25" s="14">
        <v>0.05</v>
      </c>
      <c r="CP25" s="14">
        <v>-1.4684499859575324E-2</v>
      </c>
      <c r="CQ25" s="14">
        <v>-1.3073348213553498E-2</v>
      </c>
      <c r="CR25" s="14">
        <v>2.2745854467958555E-4</v>
      </c>
      <c r="CS25" s="14">
        <f t="shared" si="15"/>
        <v>2.2469610471550765E-2</v>
      </c>
    </row>
    <row r="26" spans="1:97" x14ac:dyDescent="0.45">
      <c r="A26" s="16">
        <v>2.5</v>
      </c>
      <c r="B26" s="17">
        <v>4.0000000000000001E-3</v>
      </c>
      <c r="C26" s="19">
        <v>97.831999999999994</v>
      </c>
      <c r="D26" s="19">
        <f t="shared" si="0"/>
        <v>98.164713777000983</v>
      </c>
      <c r="E26" s="19">
        <f t="shared" si="1"/>
        <v>0.33271377700098981</v>
      </c>
      <c r="F26" s="19">
        <f t="shared" si="2"/>
        <v>0.33271377700098981</v>
      </c>
      <c r="G26" s="20">
        <f t="shared" si="3"/>
        <v>8.4464879864647457E-3</v>
      </c>
      <c r="H26" s="20">
        <f>IFERROR(IRR((J26,L26:CK26),0),0)</f>
        <v>7.7564239373082433E-3</v>
      </c>
      <c r="I26" s="21">
        <f t="shared" si="4"/>
        <v>-6.9006404915650243E-4</v>
      </c>
      <c r="J26" s="19">
        <f t="shared" si="5"/>
        <v>-98.164713777000983</v>
      </c>
      <c r="K26" s="22">
        <f t="shared" si="6"/>
        <v>-97.831999999999994</v>
      </c>
      <c r="L26" s="2">
        <f t="shared" si="24"/>
        <v>0.4</v>
      </c>
      <c r="M26" s="2">
        <f t="shared" si="24"/>
        <v>0.4</v>
      </c>
      <c r="N26" s="2">
        <f t="shared" si="24"/>
        <v>0.4</v>
      </c>
      <c r="O26" s="2">
        <f t="shared" si="24"/>
        <v>0.4</v>
      </c>
      <c r="P26" s="2">
        <f t="shared" si="24"/>
        <v>100.4</v>
      </c>
      <c r="Q26" s="2">
        <f t="shared" si="24"/>
        <v>0</v>
      </c>
      <c r="R26" s="2">
        <f t="shared" si="24"/>
        <v>0</v>
      </c>
      <c r="S26" s="2">
        <f t="shared" si="24"/>
        <v>0</v>
      </c>
      <c r="T26" s="2">
        <f t="shared" si="24"/>
        <v>0</v>
      </c>
      <c r="U26" s="2">
        <f t="shared" si="24"/>
        <v>0</v>
      </c>
      <c r="V26" s="2">
        <f t="shared" si="25"/>
        <v>0</v>
      </c>
      <c r="W26" s="2">
        <f t="shared" si="25"/>
        <v>0</v>
      </c>
      <c r="X26" s="2">
        <f t="shared" si="25"/>
        <v>0</v>
      </c>
      <c r="Y26" s="2">
        <f t="shared" si="25"/>
        <v>0</v>
      </c>
      <c r="Z26" s="2">
        <f t="shared" si="25"/>
        <v>0</v>
      </c>
      <c r="AA26" s="2">
        <f t="shared" si="25"/>
        <v>0</v>
      </c>
      <c r="AB26" s="2">
        <f t="shared" si="25"/>
        <v>0</v>
      </c>
      <c r="AC26" s="2">
        <f t="shared" si="25"/>
        <v>0</v>
      </c>
      <c r="AD26" s="2">
        <f t="shared" si="25"/>
        <v>0</v>
      </c>
      <c r="AE26" s="2">
        <f t="shared" si="25"/>
        <v>0</v>
      </c>
      <c r="AF26" s="2">
        <f t="shared" si="26"/>
        <v>0</v>
      </c>
      <c r="AG26" s="2">
        <f t="shared" si="26"/>
        <v>0</v>
      </c>
      <c r="AH26" s="2">
        <f t="shared" si="26"/>
        <v>0</v>
      </c>
      <c r="AI26" s="2">
        <f t="shared" si="26"/>
        <v>0</v>
      </c>
      <c r="AJ26" s="2">
        <f t="shared" si="26"/>
        <v>0</v>
      </c>
      <c r="AK26" s="2">
        <f t="shared" si="26"/>
        <v>0</v>
      </c>
      <c r="AL26" s="2">
        <f t="shared" si="26"/>
        <v>0</v>
      </c>
      <c r="AM26" s="2">
        <f t="shared" si="26"/>
        <v>0</v>
      </c>
      <c r="AN26" s="2">
        <f t="shared" si="26"/>
        <v>0</v>
      </c>
      <c r="AO26" s="2">
        <f t="shared" si="26"/>
        <v>0</v>
      </c>
      <c r="AP26" s="2">
        <f t="shared" si="27"/>
        <v>0</v>
      </c>
      <c r="AQ26" s="2">
        <f t="shared" si="27"/>
        <v>0</v>
      </c>
      <c r="AR26" s="2">
        <f t="shared" si="27"/>
        <v>0</v>
      </c>
      <c r="AS26" s="2">
        <f t="shared" si="27"/>
        <v>0</v>
      </c>
      <c r="AT26" s="2">
        <f t="shared" si="27"/>
        <v>0</v>
      </c>
      <c r="AU26" s="2">
        <f t="shared" si="27"/>
        <v>0</v>
      </c>
      <c r="AV26" s="2">
        <f t="shared" si="27"/>
        <v>0</v>
      </c>
      <c r="AW26" s="2">
        <f t="shared" si="27"/>
        <v>0</v>
      </c>
      <c r="AX26" s="2">
        <f t="shared" si="27"/>
        <v>0</v>
      </c>
      <c r="AY26" s="2">
        <f t="shared" si="27"/>
        <v>0</v>
      </c>
      <c r="AZ26" s="2">
        <f t="shared" si="28"/>
        <v>0</v>
      </c>
      <c r="BA26" s="2">
        <f t="shared" si="28"/>
        <v>0</v>
      </c>
      <c r="BB26" s="2">
        <f t="shared" si="28"/>
        <v>0</v>
      </c>
      <c r="BC26" s="2">
        <f t="shared" si="28"/>
        <v>0</v>
      </c>
      <c r="BD26" s="2">
        <f t="shared" si="28"/>
        <v>0</v>
      </c>
      <c r="BE26" s="2">
        <f t="shared" si="28"/>
        <v>0</v>
      </c>
      <c r="BF26" s="2">
        <f t="shared" si="28"/>
        <v>0</v>
      </c>
      <c r="BG26" s="2">
        <f t="shared" si="28"/>
        <v>0</v>
      </c>
      <c r="BH26" s="2">
        <f t="shared" si="28"/>
        <v>0</v>
      </c>
      <c r="BI26" s="2">
        <f t="shared" si="28"/>
        <v>0</v>
      </c>
      <c r="BJ26" s="2">
        <f t="shared" si="29"/>
        <v>0</v>
      </c>
      <c r="BK26" s="2">
        <f t="shared" si="29"/>
        <v>0</v>
      </c>
      <c r="BL26" s="2">
        <f t="shared" si="29"/>
        <v>0</v>
      </c>
      <c r="BM26" s="2">
        <f t="shared" si="29"/>
        <v>0</v>
      </c>
      <c r="BN26" s="2">
        <f t="shared" si="29"/>
        <v>0</v>
      </c>
      <c r="BO26" s="2">
        <f t="shared" si="29"/>
        <v>0</v>
      </c>
      <c r="BP26" s="2">
        <f t="shared" si="29"/>
        <v>0</v>
      </c>
      <c r="BQ26" s="2">
        <f t="shared" si="29"/>
        <v>0</v>
      </c>
      <c r="BR26" s="2">
        <f t="shared" si="29"/>
        <v>0</v>
      </c>
      <c r="BS26" s="2">
        <f t="shared" si="29"/>
        <v>0</v>
      </c>
      <c r="BT26" s="2">
        <f t="shared" si="30"/>
        <v>0</v>
      </c>
      <c r="BU26" s="2">
        <f t="shared" si="30"/>
        <v>0</v>
      </c>
      <c r="BV26" s="2">
        <f t="shared" si="30"/>
        <v>0</v>
      </c>
      <c r="BW26" s="2">
        <f t="shared" si="30"/>
        <v>0</v>
      </c>
      <c r="BX26" s="2">
        <f t="shared" si="30"/>
        <v>0</v>
      </c>
      <c r="BY26" s="2">
        <f t="shared" si="30"/>
        <v>0</v>
      </c>
      <c r="BZ26" s="2">
        <f t="shared" si="30"/>
        <v>0</v>
      </c>
      <c r="CA26" s="2">
        <f t="shared" si="30"/>
        <v>0</v>
      </c>
      <c r="CB26" s="2">
        <f t="shared" si="30"/>
        <v>0</v>
      </c>
      <c r="CC26" s="2">
        <f t="shared" si="30"/>
        <v>0</v>
      </c>
      <c r="CD26" s="2">
        <f t="shared" si="31"/>
        <v>0</v>
      </c>
      <c r="CE26" s="2">
        <f t="shared" si="31"/>
        <v>0</v>
      </c>
      <c r="CF26" s="2">
        <f t="shared" si="31"/>
        <v>0</v>
      </c>
      <c r="CG26" s="2">
        <f t="shared" si="31"/>
        <v>0</v>
      </c>
      <c r="CH26" s="2">
        <f t="shared" si="31"/>
        <v>0</v>
      </c>
      <c r="CI26" s="2">
        <f t="shared" si="31"/>
        <v>0</v>
      </c>
      <c r="CJ26" s="2">
        <f t="shared" si="31"/>
        <v>0</v>
      </c>
      <c r="CK26" s="23">
        <f t="shared" si="31"/>
        <v>0</v>
      </c>
      <c r="CN26" s="2">
        <v>11.5</v>
      </c>
      <c r="CO26" s="14">
        <v>0.05</v>
      </c>
      <c r="CP26" s="14">
        <v>-1.4175928949918915E-2</v>
      </c>
      <c r="CQ26" s="14">
        <v>-1.2889678336522365E-2</v>
      </c>
      <c r="CR26" s="14">
        <v>2.1756935122564029E-4</v>
      </c>
      <c r="CS26" s="14">
        <f t="shared" si="15"/>
        <v>2.3151962064784364E-2</v>
      </c>
    </row>
    <row r="27" spans="1:97" x14ac:dyDescent="0.45">
      <c r="A27" s="16">
        <v>2.5</v>
      </c>
      <c r="B27" s="17">
        <v>3.0000000000000001E-3</v>
      </c>
      <c r="C27" s="19">
        <v>97.578499999999991</v>
      </c>
      <c r="D27" s="19">
        <f t="shared" si="0"/>
        <v>97.675880819298058</v>
      </c>
      <c r="E27" s="19">
        <f t="shared" si="1"/>
        <v>9.7380819298066967E-2</v>
      </c>
      <c r="F27" s="19">
        <f t="shared" si="2"/>
        <v>9.7380819298066967E-2</v>
      </c>
      <c r="G27" s="20">
        <f t="shared" si="3"/>
        <v>7.9592511188040227E-3</v>
      </c>
      <c r="H27" s="20">
        <f>IFERROR(IRR((J27,L27:CK27),0),0)</f>
        <v>7.7569642181547493E-3</v>
      </c>
      <c r="I27" s="21">
        <f t="shared" si="4"/>
        <v>-2.0228690064927335E-4</v>
      </c>
      <c r="J27" s="19">
        <f t="shared" si="5"/>
        <v>-97.675880819298058</v>
      </c>
      <c r="K27" s="22">
        <f t="shared" si="6"/>
        <v>-97.578499999999991</v>
      </c>
      <c r="L27" s="2">
        <f t="shared" si="24"/>
        <v>0.3</v>
      </c>
      <c r="M27" s="2">
        <f t="shared" si="24"/>
        <v>0.3</v>
      </c>
      <c r="N27" s="2">
        <f t="shared" si="24"/>
        <v>0.3</v>
      </c>
      <c r="O27" s="2">
        <f t="shared" si="24"/>
        <v>0.3</v>
      </c>
      <c r="P27" s="2">
        <f t="shared" si="24"/>
        <v>100.29999999999998</v>
      </c>
      <c r="Q27" s="2">
        <f t="shared" si="24"/>
        <v>0</v>
      </c>
      <c r="R27" s="2">
        <f t="shared" si="24"/>
        <v>0</v>
      </c>
      <c r="S27" s="2">
        <f t="shared" si="24"/>
        <v>0</v>
      </c>
      <c r="T27" s="2">
        <f t="shared" si="24"/>
        <v>0</v>
      </c>
      <c r="U27" s="2">
        <f t="shared" si="24"/>
        <v>0</v>
      </c>
      <c r="V27" s="2">
        <f t="shared" si="25"/>
        <v>0</v>
      </c>
      <c r="W27" s="2">
        <f t="shared" si="25"/>
        <v>0</v>
      </c>
      <c r="X27" s="2">
        <f t="shared" si="25"/>
        <v>0</v>
      </c>
      <c r="Y27" s="2">
        <f t="shared" si="25"/>
        <v>0</v>
      </c>
      <c r="Z27" s="2">
        <f t="shared" si="25"/>
        <v>0</v>
      </c>
      <c r="AA27" s="2">
        <f t="shared" si="25"/>
        <v>0</v>
      </c>
      <c r="AB27" s="2">
        <f t="shared" si="25"/>
        <v>0</v>
      </c>
      <c r="AC27" s="2">
        <f t="shared" si="25"/>
        <v>0</v>
      </c>
      <c r="AD27" s="2">
        <f t="shared" si="25"/>
        <v>0</v>
      </c>
      <c r="AE27" s="2">
        <f t="shared" si="25"/>
        <v>0</v>
      </c>
      <c r="AF27" s="2">
        <f t="shared" si="26"/>
        <v>0</v>
      </c>
      <c r="AG27" s="2">
        <f t="shared" si="26"/>
        <v>0</v>
      </c>
      <c r="AH27" s="2">
        <f t="shared" si="26"/>
        <v>0</v>
      </c>
      <c r="AI27" s="2">
        <f t="shared" si="26"/>
        <v>0</v>
      </c>
      <c r="AJ27" s="2">
        <f t="shared" si="26"/>
        <v>0</v>
      </c>
      <c r="AK27" s="2">
        <f t="shared" si="26"/>
        <v>0</v>
      </c>
      <c r="AL27" s="2">
        <f t="shared" si="26"/>
        <v>0</v>
      </c>
      <c r="AM27" s="2">
        <f t="shared" si="26"/>
        <v>0</v>
      </c>
      <c r="AN27" s="2">
        <f t="shared" si="26"/>
        <v>0</v>
      </c>
      <c r="AO27" s="2">
        <f t="shared" si="26"/>
        <v>0</v>
      </c>
      <c r="AP27" s="2">
        <f t="shared" si="27"/>
        <v>0</v>
      </c>
      <c r="AQ27" s="2">
        <f t="shared" si="27"/>
        <v>0</v>
      </c>
      <c r="AR27" s="2">
        <f t="shared" si="27"/>
        <v>0</v>
      </c>
      <c r="AS27" s="2">
        <f t="shared" si="27"/>
        <v>0</v>
      </c>
      <c r="AT27" s="2">
        <f t="shared" si="27"/>
        <v>0</v>
      </c>
      <c r="AU27" s="2">
        <f t="shared" si="27"/>
        <v>0</v>
      </c>
      <c r="AV27" s="2">
        <f t="shared" si="27"/>
        <v>0</v>
      </c>
      <c r="AW27" s="2">
        <f t="shared" si="27"/>
        <v>0</v>
      </c>
      <c r="AX27" s="2">
        <f t="shared" si="27"/>
        <v>0</v>
      </c>
      <c r="AY27" s="2">
        <f t="shared" si="27"/>
        <v>0</v>
      </c>
      <c r="AZ27" s="2">
        <f t="shared" si="28"/>
        <v>0</v>
      </c>
      <c r="BA27" s="2">
        <f t="shared" si="28"/>
        <v>0</v>
      </c>
      <c r="BB27" s="2">
        <f t="shared" si="28"/>
        <v>0</v>
      </c>
      <c r="BC27" s="2">
        <f t="shared" si="28"/>
        <v>0</v>
      </c>
      <c r="BD27" s="2">
        <f t="shared" si="28"/>
        <v>0</v>
      </c>
      <c r="BE27" s="2">
        <f t="shared" si="28"/>
        <v>0</v>
      </c>
      <c r="BF27" s="2">
        <f t="shared" si="28"/>
        <v>0</v>
      </c>
      <c r="BG27" s="2">
        <f t="shared" si="28"/>
        <v>0</v>
      </c>
      <c r="BH27" s="2">
        <f t="shared" si="28"/>
        <v>0</v>
      </c>
      <c r="BI27" s="2">
        <f t="shared" si="28"/>
        <v>0</v>
      </c>
      <c r="BJ27" s="2">
        <f t="shared" si="29"/>
        <v>0</v>
      </c>
      <c r="BK27" s="2">
        <f t="shared" si="29"/>
        <v>0</v>
      </c>
      <c r="BL27" s="2">
        <f t="shared" si="29"/>
        <v>0</v>
      </c>
      <c r="BM27" s="2">
        <f t="shared" si="29"/>
        <v>0</v>
      </c>
      <c r="BN27" s="2">
        <f t="shared" si="29"/>
        <v>0</v>
      </c>
      <c r="BO27" s="2">
        <f t="shared" si="29"/>
        <v>0</v>
      </c>
      <c r="BP27" s="2">
        <f t="shared" si="29"/>
        <v>0</v>
      </c>
      <c r="BQ27" s="2">
        <f t="shared" si="29"/>
        <v>0</v>
      </c>
      <c r="BR27" s="2">
        <f t="shared" si="29"/>
        <v>0</v>
      </c>
      <c r="BS27" s="2">
        <f t="shared" si="29"/>
        <v>0</v>
      </c>
      <c r="BT27" s="2">
        <f t="shared" si="30"/>
        <v>0</v>
      </c>
      <c r="BU27" s="2">
        <f t="shared" si="30"/>
        <v>0</v>
      </c>
      <c r="BV27" s="2">
        <f t="shared" si="30"/>
        <v>0</v>
      </c>
      <c r="BW27" s="2">
        <f t="shared" si="30"/>
        <v>0</v>
      </c>
      <c r="BX27" s="2">
        <f t="shared" si="30"/>
        <v>0</v>
      </c>
      <c r="BY27" s="2">
        <f t="shared" si="30"/>
        <v>0</v>
      </c>
      <c r="BZ27" s="2">
        <f t="shared" si="30"/>
        <v>0</v>
      </c>
      <c r="CA27" s="2">
        <f t="shared" si="30"/>
        <v>0</v>
      </c>
      <c r="CB27" s="2">
        <f t="shared" si="30"/>
        <v>0</v>
      </c>
      <c r="CC27" s="2">
        <f t="shared" si="30"/>
        <v>0</v>
      </c>
      <c r="CD27" s="2">
        <f t="shared" si="31"/>
        <v>0</v>
      </c>
      <c r="CE27" s="2">
        <f t="shared" si="31"/>
        <v>0</v>
      </c>
      <c r="CF27" s="2">
        <f t="shared" si="31"/>
        <v>0</v>
      </c>
      <c r="CG27" s="2">
        <f t="shared" si="31"/>
        <v>0</v>
      </c>
      <c r="CH27" s="2">
        <f t="shared" si="31"/>
        <v>0</v>
      </c>
      <c r="CI27" s="2">
        <f t="shared" si="31"/>
        <v>0</v>
      </c>
      <c r="CJ27" s="2">
        <f t="shared" si="31"/>
        <v>0</v>
      </c>
      <c r="CK27" s="23">
        <f t="shared" si="31"/>
        <v>0</v>
      </c>
      <c r="CN27" s="2">
        <v>12</v>
      </c>
      <c r="CO27" s="14">
        <v>0.05</v>
      </c>
      <c r="CP27" s="14">
        <v>-1.3696099181782998E-2</v>
      </c>
      <c r="CQ27" s="14">
        <v>-1.2695509203244337E-2</v>
      </c>
      <c r="CR27" s="14">
        <v>2.0850411389418681E-4</v>
      </c>
      <c r="CS27" s="14">
        <f t="shared" si="15"/>
        <v>2.3816895728866857E-2</v>
      </c>
    </row>
    <row r="28" spans="1:97" x14ac:dyDescent="0.45">
      <c r="A28" s="16">
        <v>2.5</v>
      </c>
      <c r="B28" s="17">
        <v>1E-3</v>
      </c>
      <c r="C28" s="19">
        <v>96.6995</v>
      </c>
      <c r="D28" s="19">
        <f t="shared" si="0"/>
        <v>96.69821490389225</v>
      </c>
      <c r="E28" s="19">
        <f t="shared" si="1"/>
        <v>-1.2850961077504053E-3</v>
      </c>
      <c r="F28" s="19">
        <f t="shared" si="2"/>
        <v>1.2850961077504053E-3</v>
      </c>
      <c r="G28" s="20">
        <f t="shared" si="3"/>
        <v>7.755370564084263E-3</v>
      </c>
      <c r="H28" s="20">
        <f>IFERROR(IRR((J28,L28:CK28),0),0)</f>
        <v>7.7580545816633428E-3</v>
      </c>
      <c r="I28" s="21">
        <f t="shared" si="4"/>
        <v>2.6840175790798781E-6</v>
      </c>
      <c r="J28" s="19">
        <f t="shared" si="5"/>
        <v>-96.69821490389225</v>
      </c>
      <c r="K28" s="22">
        <f t="shared" si="6"/>
        <v>-96.6995</v>
      </c>
      <c r="L28" s="2">
        <f t="shared" si="24"/>
        <v>0.1</v>
      </c>
      <c r="M28" s="2">
        <f t="shared" si="24"/>
        <v>0.1</v>
      </c>
      <c r="N28" s="2">
        <f t="shared" si="24"/>
        <v>0.1</v>
      </c>
      <c r="O28" s="2">
        <f t="shared" si="24"/>
        <v>0.1</v>
      </c>
      <c r="P28" s="2">
        <f t="shared" si="24"/>
        <v>100.1</v>
      </c>
      <c r="Q28" s="2">
        <f t="shared" si="24"/>
        <v>0</v>
      </c>
      <c r="R28" s="2">
        <f t="shared" si="24"/>
        <v>0</v>
      </c>
      <c r="S28" s="2">
        <f t="shared" si="24"/>
        <v>0</v>
      </c>
      <c r="T28" s="2">
        <f t="shared" si="24"/>
        <v>0</v>
      </c>
      <c r="U28" s="2">
        <f t="shared" si="24"/>
        <v>0</v>
      </c>
      <c r="V28" s="2">
        <f t="shared" si="25"/>
        <v>0</v>
      </c>
      <c r="W28" s="2">
        <f t="shared" si="25"/>
        <v>0</v>
      </c>
      <c r="X28" s="2">
        <f t="shared" si="25"/>
        <v>0</v>
      </c>
      <c r="Y28" s="2">
        <f t="shared" si="25"/>
        <v>0</v>
      </c>
      <c r="Z28" s="2">
        <f t="shared" si="25"/>
        <v>0</v>
      </c>
      <c r="AA28" s="2">
        <f t="shared" si="25"/>
        <v>0</v>
      </c>
      <c r="AB28" s="2">
        <f t="shared" si="25"/>
        <v>0</v>
      </c>
      <c r="AC28" s="2">
        <f t="shared" si="25"/>
        <v>0</v>
      </c>
      <c r="AD28" s="2">
        <f t="shared" si="25"/>
        <v>0</v>
      </c>
      <c r="AE28" s="2">
        <f t="shared" si="25"/>
        <v>0</v>
      </c>
      <c r="AF28" s="2">
        <f t="shared" si="26"/>
        <v>0</v>
      </c>
      <c r="AG28" s="2">
        <f t="shared" si="26"/>
        <v>0</v>
      </c>
      <c r="AH28" s="2">
        <f t="shared" si="26"/>
        <v>0</v>
      </c>
      <c r="AI28" s="2">
        <f t="shared" si="26"/>
        <v>0</v>
      </c>
      <c r="AJ28" s="2">
        <f t="shared" si="26"/>
        <v>0</v>
      </c>
      <c r="AK28" s="2">
        <f t="shared" si="26"/>
        <v>0</v>
      </c>
      <c r="AL28" s="2">
        <f t="shared" si="26"/>
        <v>0</v>
      </c>
      <c r="AM28" s="2">
        <f t="shared" si="26"/>
        <v>0</v>
      </c>
      <c r="AN28" s="2">
        <f t="shared" si="26"/>
        <v>0</v>
      </c>
      <c r="AO28" s="2">
        <f t="shared" si="26"/>
        <v>0</v>
      </c>
      <c r="AP28" s="2">
        <f t="shared" si="27"/>
        <v>0</v>
      </c>
      <c r="AQ28" s="2">
        <f t="shared" si="27"/>
        <v>0</v>
      </c>
      <c r="AR28" s="2">
        <f t="shared" si="27"/>
        <v>0</v>
      </c>
      <c r="AS28" s="2">
        <f t="shared" si="27"/>
        <v>0</v>
      </c>
      <c r="AT28" s="2">
        <f t="shared" si="27"/>
        <v>0</v>
      </c>
      <c r="AU28" s="2">
        <f t="shared" si="27"/>
        <v>0</v>
      </c>
      <c r="AV28" s="2">
        <f t="shared" si="27"/>
        <v>0</v>
      </c>
      <c r="AW28" s="2">
        <f t="shared" si="27"/>
        <v>0</v>
      </c>
      <c r="AX28" s="2">
        <f t="shared" si="27"/>
        <v>0</v>
      </c>
      <c r="AY28" s="2">
        <f t="shared" si="27"/>
        <v>0</v>
      </c>
      <c r="AZ28" s="2">
        <f t="shared" si="28"/>
        <v>0</v>
      </c>
      <c r="BA28" s="2">
        <f t="shared" si="28"/>
        <v>0</v>
      </c>
      <c r="BB28" s="2">
        <f t="shared" si="28"/>
        <v>0</v>
      </c>
      <c r="BC28" s="2">
        <f t="shared" si="28"/>
        <v>0</v>
      </c>
      <c r="BD28" s="2">
        <f t="shared" si="28"/>
        <v>0</v>
      </c>
      <c r="BE28" s="2">
        <f t="shared" si="28"/>
        <v>0</v>
      </c>
      <c r="BF28" s="2">
        <f t="shared" si="28"/>
        <v>0</v>
      </c>
      <c r="BG28" s="2">
        <f t="shared" si="28"/>
        <v>0</v>
      </c>
      <c r="BH28" s="2">
        <f t="shared" si="28"/>
        <v>0</v>
      </c>
      <c r="BI28" s="2">
        <f t="shared" si="28"/>
        <v>0</v>
      </c>
      <c r="BJ28" s="2">
        <f t="shared" si="29"/>
        <v>0</v>
      </c>
      <c r="BK28" s="2">
        <f t="shared" si="29"/>
        <v>0</v>
      </c>
      <c r="BL28" s="2">
        <f t="shared" si="29"/>
        <v>0</v>
      </c>
      <c r="BM28" s="2">
        <f t="shared" si="29"/>
        <v>0</v>
      </c>
      <c r="BN28" s="2">
        <f t="shared" si="29"/>
        <v>0</v>
      </c>
      <c r="BO28" s="2">
        <f t="shared" si="29"/>
        <v>0</v>
      </c>
      <c r="BP28" s="2">
        <f t="shared" si="29"/>
        <v>0</v>
      </c>
      <c r="BQ28" s="2">
        <f t="shared" si="29"/>
        <v>0</v>
      </c>
      <c r="BR28" s="2">
        <f t="shared" si="29"/>
        <v>0</v>
      </c>
      <c r="BS28" s="2">
        <f t="shared" si="29"/>
        <v>0</v>
      </c>
      <c r="BT28" s="2">
        <f t="shared" si="30"/>
        <v>0</v>
      </c>
      <c r="BU28" s="2">
        <f t="shared" si="30"/>
        <v>0</v>
      </c>
      <c r="BV28" s="2">
        <f t="shared" si="30"/>
        <v>0</v>
      </c>
      <c r="BW28" s="2">
        <f t="shared" si="30"/>
        <v>0</v>
      </c>
      <c r="BX28" s="2">
        <f t="shared" si="30"/>
        <v>0</v>
      </c>
      <c r="BY28" s="2">
        <f t="shared" si="30"/>
        <v>0</v>
      </c>
      <c r="BZ28" s="2">
        <f t="shared" si="30"/>
        <v>0</v>
      </c>
      <c r="CA28" s="2">
        <f t="shared" si="30"/>
        <v>0</v>
      </c>
      <c r="CB28" s="2">
        <f t="shared" si="30"/>
        <v>0</v>
      </c>
      <c r="CC28" s="2">
        <f t="shared" si="30"/>
        <v>0</v>
      </c>
      <c r="CD28" s="2">
        <f t="shared" si="31"/>
        <v>0</v>
      </c>
      <c r="CE28" s="2">
        <f t="shared" si="31"/>
        <v>0</v>
      </c>
      <c r="CF28" s="2">
        <f t="shared" si="31"/>
        <v>0</v>
      </c>
      <c r="CG28" s="2">
        <f t="shared" si="31"/>
        <v>0</v>
      </c>
      <c r="CH28" s="2">
        <f t="shared" si="31"/>
        <v>0</v>
      </c>
      <c r="CI28" s="2">
        <f t="shared" si="31"/>
        <v>0</v>
      </c>
      <c r="CJ28" s="2">
        <f t="shared" si="31"/>
        <v>0</v>
      </c>
      <c r="CK28" s="23">
        <f t="shared" si="31"/>
        <v>0</v>
      </c>
      <c r="CN28" s="2">
        <v>12.5</v>
      </c>
      <c r="CO28" s="14">
        <v>0.05</v>
      </c>
      <c r="CP28" s="14">
        <v>-1.3242996471668336E-2</v>
      </c>
      <c r="CQ28" s="14">
        <v>-1.249327971753973E-2</v>
      </c>
      <c r="CR28" s="14">
        <v>2.0016402452511909E-4</v>
      </c>
      <c r="CS28" s="14">
        <f t="shared" si="15"/>
        <v>2.4463887835317055E-2</v>
      </c>
    </row>
    <row r="29" spans="1:97" x14ac:dyDescent="0.45">
      <c r="A29" s="16">
        <v>2.5</v>
      </c>
      <c r="B29" s="17">
        <v>3.0000000000000001E-3</v>
      </c>
      <c r="C29" s="19">
        <v>97.244</v>
      </c>
      <c r="D29" s="19">
        <f t="shared" si="0"/>
        <v>97.675880819298058</v>
      </c>
      <c r="E29" s="19">
        <f t="shared" si="1"/>
        <v>0.43188081929805833</v>
      </c>
      <c r="F29" s="19">
        <f t="shared" si="2"/>
        <v>0.43188081929805833</v>
      </c>
      <c r="G29" s="20">
        <f t="shared" si="3"/>
        <v>8.6559573090378983E-3</v>
      </c>
      <c r="H29" s="20">
        <f>IFERROR(IRR((J29,L29:CK29),0),0)</f>
        <v>7.7569642181547493E-3</v>
      </c>
      <c r="I29" s="21">
        <f t="shared" si="4"/>
        <v>-8.9899309088314894E-4</v>
      </c>
      <c r="J29" s="19">
        <f t="shared" si="5"/>
        <v>-97.675880819298058</v>
      </c>
      <c r="K29" s="22">
        <f t="shared" si="6"/>
        <v>-97.244</v>
      </c>
      <c r="L29" s="2">
        <f t="shared" si="24"/>
        <v>0.3</v>
      </c>
      <c r="M29" s="2">
        <f t="shared" si="24"/>
        <v>0.3</v>
      </c>
      <c r="N29" s="2">
        <f t="shared" si="24"/>
        <v>0.3</v>
      </c>
      <c r="O29" s="2">
        <f t="shared" si="24"/>
        <v>0.3</v>
      </c>
      <c r="P29" s="2">
        <f t="shared" si="24"/>
        <v>100.29999999999998</v>
      </c>
      <c r="Q29" s="2">
        <f t="shared" si="24"/>
        <v>0</v>
      </c>
      <c r="R29" s="2">
        <f t="shared" si="24"/>
        <v>0</v>
      </c>
      <c r="S29" s="2">
        <f t="shared" si="24"/>
        <v>0</v>
      </c>
      <c r="T29" s="2">
        <f t="shared" si="24"/>
        <v>0</v>
      </c>
      <c r="U29" s="2">
        <f t="shared" si="24"/>
        <v>0</v>
      </c>
      <c r="V29" s="2">
        <f t="shared" si="25"/>
        <v>0</v>
      </c>
      <c r="W29" s="2">
        <f t="shared" si="25"/>
        <v>0</v>
      </c>
      <c r="X29" s="2">
        <f t="shared" si="25"/>
        <v>0</v>
      </c>
      <c r="Y29" s="2">
        <f t="shared" si="25"/>
        <v>0</v>
      </c>
      <c r="Z29" s="2">
        <f t="shared" si="25"/>
        <v>0</v>
      </c>
      <c r="AA29" s="2">
        <f t="shared" si="25"/>
        <v>0</v>
      </c>
      <c r="AB29" s="2">
        <f t="shared" si="25"/>
        <v>0</v>
      </c>
      <c r="AC29" s="2">
        <f t="shared" si="25"/>
        <v>0</v>
      </c>
      <c r="AD29" s="2">
        <f t="shared" si="25"/>
        <v>0</v>
      </c>
      <c r="AE29" s="2">
        <f t="shared" si="25"/>
        <v>0</v>
      </c>
      <c r="AF29" s="2">
        <f t="shared" si="26"/>
        <v>0</v>
      </c>
      <c r="AG29" s="2">
        <f t="shared" si="26"/>
        <v>0</v>
      </c>
      <c r="AH29" s="2">
        <f t="shared" si="26"/>
        <v>0</v>
      </c>
      <c r="AI29" s="2">
        <f t="shared" si="26"/>
        <v>0</v>
      </c>
      <c r="AJ29" s="2">
        <f t="shared" si="26"/>
        <v>0</v>
      </c>
      <c r="AK29" s="2">
        <f t="shared" si="26"/>
        <v>0</v>
      </c>
      <c r="AL29" s="2">
        <f t="shared" si="26"/>
        <v>0</v>
      </c>
      <c r="AM29" s="2">
        <f t="shared" si="26"/>
        <v>0</v>
      </c>
      <c r="AN29" s="2">
        <f t="shared" si="26"/>
        <v>0</v>
      </c>
      <c r="AO29" s="2">
        <f t="shared" si="26"/>
        <v>0</v>
      </c>
      <c r="AP29" s="2">
        <f t="shared" si="27"/>
        <v>0</v>
      </c>
      <c r="AQ29" s="2">
        <f t="shared" si="27"/>
        <v>0</v>
      </c>
      <c r="AR29" s="2">
        <f t="shared" si="27"/>
        <v>0</v>
      </c>
      <c r="AS29" s="2">
        <f t="shared" si="27"/>
        <v>0</v>
      </c>
      <c r="AT29" s="2">
        <f t="shared" si="27"/>
        <v>0</v>
      </c>
      <c r="AU29" s="2">
        <f t="shared" si="27"/>
        <v>0</v>
      </c>
      <c r="AV29" s="2">
        <f t="shared" si="27"/>
        <v>0</v>
      </c>
      <c r="AW29" s="2">
        <f t="shared" si="27"/>
        <v>0</v>
      </c>
      <c r="AX29" s="2">
        <f t="shared" si="27"/>
        <v>0</v>
      </c>
      <c r="AY29" s="2">
        <f t="shared" si="27"/>
        <v>0</v>
      </c>
      <c r="AZ29" s="2">
        <f t="shared" si="28"/>
        <v>0</v>
      </c>
      <c r="BA29" s="2">
        <f t="shared" si="28"/>
        <v>0</v>
      </c>
      <c r="BB29" s="2">
        <f t="shared" si="28"/>
        <v>0</v>
      </c>
      <c r="BC29" s="2">
        <f t="shared" si="28"/>
        <v>0</v>
      </c>
      <c r="BD29" s="2">
        <f t="shared" si="28"/>
        <v>0</v>
      </c>
      <c r="BE29" s="2">
        <f t="shared" si="28"/>
        <v>0</v>
      </c>
      <c r="BF29" s="2">
        <f t="shared" si="28"/>
        <v>0</v>
      </c>
      <c r="BG29" s="2">
        <f t="shared" si="28"/>
        <v>0</v>
      </c>
      <c r="BH29" s="2">
        <f t="shared" si="28"/>
        <v>0</v>
      </c>
      <c r="BI29" s="2">
        <f t="shared" si="28"/>
        <v>0</v>
      </c>
      <c r="BJ29" s="2">
        <f t="shared" si="29"/>
        <v>0</v>
      </c>
      <c r="BK29" s="2">
        <f t="shared" si="29"/>
        <v>0</v>
      </c>
      <c r="BL29" s="2">
        <f t="shared" si="29"/>
        <v>0</v>
      </c>
      <c r="BM29" s="2">
        <f t="shared" si="29"/>
        <v>0</v>
      </c>
      <c r="BN29" s="2">
        <f t="shared" si="29"/>
        <v>0</v>
      </c>
      <c r="BO29" s="2">
        <f t="shared" si="29"/>
        <v>0</v>
      </c>
      <c r="BP29" s="2">
        <f t="shared" si="29"/>
        <v>0</v>
      </c>
      <c r="BQ29" s="2">
        <f t="shared" si="29"/>
        <v>0</v>
      </c>
      <c r="BR29" s="2">
        <f t="shared" si="29"/>
        <v>0</v>
      </c>
      <c r="BS29" s="2">
        <f t="shared" si="29"/>
        <v>0</v>
      </c>
      <c r="BT29" s="2">
        <f t="shared" si="30"/>
        <v>0</v>
      </c>
      <c r="BU29" s="2">
        <f t="shared" si="30"/>
        <v>0</v>
      </c>
      <c r="BV29" s="2">
        <f t="shared" si="30"/>
        <v>0</v>
      </c>
      <c r="BW29" s="2">
        <f t="shared" si="30"/>
        <v>0</v>
      </c>
      <c r="BX29" s="2">
        <f t="shared" si="30"/>
        <v>0</v>
      </c>
      <c r="BY29" s="2">
        <f t="shared" si="30"/>
        <v>0</v>
      </c>
      <c r="BZ29" s="2">
        <f t="shared" si="30"/>
        <v>0</v>
      </c>
      <c r="CA29" s="2">
        <f t="shared" si="30"/>
        <v>0</v>
      </c>
      <c r="CB29" s="2">
        <f t="shared" si="30"/>
        <v>0</v>
      </c>
      <c r="CC29" s="2">
        <f t="shared" si="30"/>
        <v>0</v>
      </c>
      <c r="CD29" s="2">
        <f t="shared" si="31"/>
        <v>0</v>
      </c>
      <c r="CE29" s="2">
        <f t="shared" si="31"/>
        <v>0</v>
      </c>
      <c r="CF29" s="2">
        <f t="shared" si="31"/>
        <v>0</v>
      </c>
      <c r="CG29" s="2">
        <f t="shared" si="31"/>
        <v>0</v>
      </c>
      <c r="CH29" s="2">
        <f t="shared" si="31"/>
        <v>0</v>
      </c>
      <c r="CI29" s="2">
        <f t="shared" si="31"/>
        <v>0</v>
      </c>
      <c r="CJ29" s="2">
        <f t="shared" si="31"/>
        <v>0</v>
      </c>
      <c r="CK29" s="23">
        <f t="shared" si="31"/>
        <v>0</v>
      </c>
      <c r="CN29" s="2">
        <v>13</v>
      </c>
      <c r="CO29" s="14">
        <v>0.05</v>
      </c>
      <c r="CP29" s="14">
        <v>-1.28147654118632E-2</v>
      </c>
      <c r="CQ29" s="14">
        <v>-1.2285091141804452E-2</v>
      </c>
      <c r="CR29" s="14">
        <v>1.9246544531155492E-4</v>
      </c>
      <c r="CS29" s="14">
        <f t="shared" si="15"/>
        <v>2.5092608891643903E-2</v>
      </c>
    </row>
    <row r="30" spans="1:97" x14ac:dyDescent="0.45">
      <c r="A30" s="16">
        <v>2.5</v>
      </c>
      <c r="B30" s="17">
        <v>4.0000000000000001E-3</v>
      </c>
      <c r="C30" s="19">
        <v>97.507499999999993</v>
      </c>
      <c r="D30" s="19">
        <f t="shared" si="0"/>
        <v>98.164713777000983</v>
      </c>
      <c r="E30" s="19">
        <f t="shared" si="1"/>
        <v>0.65721377700099026</v>
      </c>
      <c r="F30" s="19">
        <f t="shared" si="2"/>
        <v>0.65721377700099026</v>
      </c>
      <c r="G30" s="20">
        <f t="shared" si="3"/>
        <v>9.1222491023135177E-3</v>
      </c>
      <c r="H30" s="20">
        <f>IFERROR(IRR((J30,L30:CK30),0),0)</f>
        <v>7.7564239373082433E-3</v>
      </c>
      <c r="I30" s="21">
        <f t="shared" si="4"/>
        <v>-1.3658251650052744E-3</v>
      </c>
      <c r="J30" s="19">
        <f t="shared" si="5"/>
        <v>-98.164713777000983</v>
      </c>
      <c r="K30" s="22">
        <f t="shared" si="6"/>
        <v>-97.507499999999993</v>
      </c>
      <c r="L30" s="2">
        <f t="shared" si="24"/>
        <v>0.4</v>
      </c>
      <c r="M30" s="2">
        <f t="shared" si="24"/>
        <v>0.4</v>
      </c>
      <c r="N30" s="2">
        <f t="shared" si="24"/>
        <v>0.4</v>
      </c>
      <c r="O30" s="2">
        <f t="shared" si="24"/>
        <v>0.4</v>
      </c>
      <c r="P30" s="2">
        <f t="shared" si="24"/>
        <v>100.4</v>
      </c>
      <c r="Q30" s="2">
        <f t="shared" si="24"/>
        <v>0</v>
      </c>
      <c r="R30" s="2">
        <f t="shared" si="24"/>
        <v>0</v>
      </c>
      <c r="S30" s="2">
        <f t="shared" si="24"/>
        <v>0</v>
      </c>
      <c r="T30" s="2">
        <f t="shared" si="24"/>
        <v>0</v>
      </c>
      <c r="U30" s="2">
        <f t="shared" si="24"/>
        <v>0</v>
      </c>
      <c r="V30" s="2">
        <f t="shared" si="25"/>
        <v>0</v>
      </c>
      <c r="W30" s="2">
        <f t="shared" si="25"/>
        <v>0</v>
      </c>
      <c r="X30" s="2">
        <f t="shared" si="25"/>
        <v>0</v>
      </c>
      <c r="Y30" s="2">
        <f t="shared" si="25"/>
        <v>0</v>
      </c>
      <c r="Z30" s="2">
        <f t="shared" si="25"/>
        <v>0</v>
      </c>
      <c r="AA30" s="2">
        <f t="shared" si="25"/>
        <v>0</v>
      </c>
      <c r="AB30" s="2">
        <f t="shared" si="25"/>
        <v>0</v>
      </c>
      <c r="AC30" s="2">
        <f t="shared" si="25"/>
        <v>0</v>
      </c>
      <c r="AD30" s="2">
        <f t="shared" si="25"/>
        <v>0</v>
      </c>
      <c r="AE30" s="2">
        <f t="shared" si="25"/>
        <v>0</v>
      </c>
      <c r="AF30" s="2">
        <f t="shared" si="26"/>
        <v>0</v>
      </c>
      <c r="AG30" s="2">
        <f t="shared" si="26"/>
        <v>0</v>
      </c>
      <c r="AH30" s="2">
        <f t="shared" si="26"/>
        <v>0</v>
      </c>
      <c r="AI30" s="2">
        <f t="shared" si="26"/>
        <v>0</v>
      </c>
      <c r="AJ30" s="2">
        <f t="shared" si="26"/>
        <v>0</v>
      </c>
      <c r="AK30" s="2">
        <f t="shared" si="26"/>
        <v>0</v>
      </c>
      <c r="AL30" s="2">
        <f t="shared" si="26"/>
        <v>0</v>
      </c>
      <c r="AM30" s="2">
        <f t="shared" si="26"/>
        <v>0</v>
      </c>
      <c r="AN30" s="2">
        <f t="shared" si="26"/>
        <v>0</v>
      </c>
      <c r="AO30" s="2">
        <f t="shared" si="26"/>
        <v>0</v>
      </c>
      <c r="AP30" s="2">
        <f t="shared" si="27"/>
        <v>0</v>
      </c>
      <c r="AQ30" s="2">
        <f t="shared" si="27"/>
        <v>0</v>
      </c>
      <c r="AR30" s="2">
        <f t="shared" si="27"/>
        <v>0</v>
      </c>
      <c r="AS30" s="2">
        <f t="shared" si="27"/>
        <v>0</v>
      </c>
      <c r="AT30" s="2">
        <f t="shared" si="27"/>
        <v>0</v>
      </c>
      <c r="AU30" s="2">
        <f t="shared" si="27"/>
        <v>0</v>
      </c>
      <c r="AV30" s="2">
        <f t="shared" si="27"/>
        <v>0</v>
      </c>
      <c r="AW30" s="2">
        <f t="shared" si="27"/>
        <v>0</v>
      </c>
      <c r="AX30" s="2">
        <f t="shared" si="27"/>
        <v>0</v>
      </c>
      <c r="AY30" s="2">
        <f t="shared" si="27"/>
        <v>0</v>
      </c>
      <c r="AZ30" s="2">
        <f t="shared" si="28"/>
        <v>0</v>
      </c>
      <c r="BA30" s="2">
        <f t="shared" si="28"/>
        <v>0</v>
      </c>
      <c r="BB30" s="2">
        <f t="shared" si="28"/>
        <v>0</v>
      </c>
      <c r="BC30" s="2">
        <f t="shared" si="28"/>
        <v>0</v>
      </c>
      <c r="BD30" s="2">
        <f t="shared" si="28"/>
        <v>0</v>
      </c>
      <c r="BE30" s="2">
        <f t="shared" si="28"/>
        <v>0</v>
      </c>
      <c r="BF30" s="2">
        <f t="shared" si="28"/>
        <v>0</v>
      </c>
      <c r="BG30" s="2">
        <f t="shared" si="28"/>
        <v>0</v>
      </c>
      <c r="BH30" s="2">
        <f t="shared" si="28"/>
        <v>0</v>
      </c>
      <c r="BI30" s="2">
        <f t="shared" si="28"/>
        <v>0</v>
      </c>
      <c r="BJ30" s="2">
        <f t="shared" si="29"/>
        <v>0</v>
      </c>
      <c r="BK30" s="2">
        <f t="shared" si="29"/>
        <v>0</v>
      </c>
      <c r="BL30" s="2">
        <f t="shared" si="29"/>
        <v>0</v>
      </c>
      <c r="BM30" s="2">
        <f t="shared" si="29"/>
        <v>0</v>
      </c>
      <c r="BN30" s="2">
        <f t="shared" si="29"/>
        <v>0</v>
      </c>
      <c r="BO30" s="2">
        <f t="shared" si="29"/>
        <v>0</v>
      </c>
      <c r="BP30" s="2">
        <f t="shared" si="29"/>
        <v>0</v>
      </c>
      <c r="BQ30" s="2">
        <f t="shared" si="29"/>
        <v>0</v>
      </c>
      <c r="BR30" s="2">
        <f t="shared" si="29"/>
        <v>0</v>
      </c>
      <c r="BS30" s="2">
        <f t="shared" si="29"/>
        <v>0</v>
      </c>
      <c r="BT30" s="2">
        <f t="shared" si="30"/>
        <v>0</v>
      </c>
      <c r="BU30" s="2">
        <f t="shared" si="30"/>
        <v>0</v>
      </c>
      <c r="BV30" s="2">
        <f t="shared" si="30"/>
        <v>0</v>
      </c>
      <c r="BW30" s="2">
        <f t="shared" si="30"/>
        <v>0</v>
      </c>
      <c r="BX30" s="2">
        <f t="shared" si="30"/>
        <v>0</v>
      </c>
      <c r="BY30" s="2">
        <f t="shared" si="30"/>
        <v>0</v>
      </c>
      <c r="BZ30" s="2">
        <f t="shared" si="30"/>
        <v>0</v>
      </c>
      <c r="CA30" s="2">
        <f t="shared" si="30"/>
        <v>0</v>
      </c>
      <c r="CB30" s="2">
        <f t="shared" si="30"/>
        <v>0</v>
      </c>
      <c r="CC30" s="2">
        <f t="shared" si="30"/>
        <v>0</v>
      </c>
      <c r="CD30" s="2">
        <f t="shared" si="31"/>
        <v>0</v>
      </c>
      <c r="CE30" s="2">
        <f t="shared" si="31"/>
        <v>0</v>
      </c>
      <c r="CF30" s="2">
        <f t="shared" si="31"/>
        <v>0</v>
      </c>
      <c r="CG30" s="2">
        <f t="shared" si="31"/>
        <v>0</v>
      </c>
      <c r="CH30" s="2">
        <f t="shared" si="31"/>
        <v>0</v>
      </c>
      <c r="CI30" s="2">
        <f t="shared" si="31"/>
        <v>0</v>
      </c>
      <c r="CJ30" s="2">
        <f t="shared" si="31"/>
        <v>0</v>
      </c>
      <c r="CK30" s="23">
        <f t="shared" si="31"/>
        <v>0</v>
      </c>
      <c r="CN30" s="2">
        <v>13.5</v>
      </c>
      <c r="CO30" s="14">
        <v>0.05</v>
      </c>
      <c r="CP30" s="14">
        <v>-1.2409695839043401E-2</v>
      </c>
      <c r="CQ30" s="14">
        <v>-1.2072748585096408E-2</v>
      </c>
      <c r="CR30" s="14">
        <v>1.8533711380469857E-4</v>
      </c>
      <c r="CS30" s="14">
        <f t="shared" si="15"/>
        <v>2.5702892689664889E-2</v>
      </c>
    </row>
    <row r="31" spans="1:97" x14ac:dyDescent="0.45">
      <c r="A31" s="16">
        <v>2.5</v>
      </c>
      <c r="B31" s="17">
        <v>2E-3</v>
      </c>
      <c r="C31" s="19">
        <v>96.978000000000009</v>
      </c>
      <c r="D31" s="19">
        <f t="shared" si="0"/>
        <v>97.187047861595161</v>
      </c>
      <c r="E31" s="19">
        <f t="shared" si="1"/>
        <v>0.20904786159515254</v>
      </c>
      <c r="F31" s="19">
        <f t="shared" si="2"/>
        <v>0.20904786159515254</v>
      </c>
      <c r="G31" s="20">
        <f t="shared" si="3"/>
        <v>8.1933703447927275E-3</v>
      </c>
      <c r="H31" s="20">
        <f>IFERROR(IRR((J31,L31:CK31),0),0)</f>
        <v>7.7575077564226991E-3</v>
      </c>
      <c r="I31" s="21">
        <f t="shared" si="4"/>
        <v>-4.3586258837002845E-4</v>
      </c>
      <c r="J31" s="19">
        <f t="shared" si="5"/>
        <v>-97.187047861595161</v>
      </c>
      <c r="K31" s="22">
        <f t="shared" si="6"/>
        <v>-96.978000000000009</v>
      </c>
      <c r="L31" s="2">
        <f t="shared" si="24"/>
        <v>0.2</v>
      </c>
      <c r="M31" s="2">
        <f t="shared" si="24"/>
        <v>0.2</v>
      </c>
      <c r="N31" s="2">
        <f t="shared" si="24"/>
        <v>0.2</v>
      </c>
      <c r="O31" s="2">
        <f t="shared" si="24"/>
        <v>0.2</v>
      </c>
      <c r="P31" s="2">
        <f t="shared" si="24"/>
        <v>100.2</v>
      </c>
      <c r="Q31" s="2">
        <f t="shared" si="24"/>
        <v>0</v>
      </c>
      <c r="R31" s="2">
        <f t="shared" si="24"/>
        <v>0</v>
      </c>
      <c r="S31" s="2">
        <f t="shared" si="24"/>
        <v>0</v>
      </c>
      <c r="T31" s="2">
        <f t="shared" si="24"/>
        <v>0</v>
      </c>
      <c r="U31" s="2">
        <f t="shared" si="24"/>
        <v>0</v>
      </c>
      <c r="V31" s="2">
        <f t="shared" si="25"/>
        <v>0</v>
      </c>
      <c r="W31" s="2">
        <f t="shared" si="25"/>
        <v>0</v>
      </c>
      <c r="X31" s="2">
        <f t="shared" si="25"/>
        <v>0</v>
      </c>
      <c r="Y31" s="2">
        <f t="shared" si="25"/>
        <v>0</v>
      </c>
      <c r="Z31" s="2">
        <f t="shared" si="25"/>
        <v>0</v>
      </c>
      <c r="AA31" s="2">
        <f t="shared" si="25"/>
        <v>0</v>
      </c>
      <c r="AB31" s="2">
        <f t="shared" si="25"/>
        <v>0</v>
      </c>
      <c r="AC31" s="2">
        <f t="shared" si="25"/>
        <v>0</v>
      </c>
      <c r="AD31" s="2">
        <f t="shared" si="25"/>
        <v>0</v>
      </c>
      <c r="AE31" s="2">
        <f t="shared" si="25"/>
        <v>0</v>
      </c>
      <c r="AF31" s="2">
        <f t="shared" si="26"/>
        <v>0</v>
      </c>
      <c r="AG31" s="2">
        <f t="shared" si="26"/>
        <v>0</v>
      </c>
      <c r="AH31" s="2">
        <f t="shared" si="26"/>
        <v>0</v>
      </c>
      <c r="AI31" s="2">
        <f t="shared" si="26"/>
        <v>0</v>
      </c>
      <c r="AJ31" s="2">
        <f t="shared" si="26"/>
        <v>0</v>
      </c>
      <c r="AK31" s="2">
        <f t="shared" si="26"/>
        <v>0</v>
      </c>
      <c r="AL31" s="2">
        <f t="shared" si="26"/>
        <v>0</v>
      </c>
      <c r="AM31" s="2">
        <f t="shared" si="26"/>
        <v>0</v>
      </c>
      <c r="AN31" s="2">
        <f t="shared" si="26"/>
        <v>0</v>
      </c>
      <c r="AO31" s="2">
        <f t="shared" si="26"/>
        <v>0</v>
      </c>
      <c r="AP31" s="2">
        <f t="shared" si="27"/>
        <v>0</v>
      </c>
      <c r="AQ31" s="2">
        <f t="shared" si="27"/>
        <v>0</v>
      </c>
      <c r="AR31" s="2">
        <f t="shared" si="27"/>
        <v>0</v>
      </c>
      <c r="AS31" s="2">
        <f t="shared" si="27"/>
        <v>0</v>
      </c>
      <c r="AT31" s="2">
        <f t="shared" si="27"/>
        <v>0</v>
      </c>
      <c r="AU31" s="2">
        <f t="shared" si="27"/>
        <v>0</v>
      </c>
      <c r="AV31" s="2">
        <f t="shared" si="27"/>
        <v>0</v>
      </c>
      <c r="AW31" s="2">
        <f t="shared" si="27"/>
        <v>0</v>
      </c>
      <c r="AX31" s="2">
        <f t="shared" si="27"/>
        <v>0</v>
      </c>
      <c r="AY31" s="2">
        <f t="shared" si="27"/>
        <v>0</v>
      </c>
      <c r="AZ31" s="2">
        <f t="shared" si="28"/>
        <v>0</v>
      </c>
      <c r="BA31" s="2">
        <f t="shared" si="28"/>
        <v>0</v>
      </c>
      <c r="BB31" s="2">
        <f t="shared" si="28"/>
        <v>0</v>
      </c>
      <c r="BC31" s="2">
        <f t="shared" si="28"/>
        <v>0</v>
      </c>
      <c r="BD31" s="2">
        <f t="shared" si="28"/>
        <v>0</v>
      </c>
      <c r="BE31" s="2">
        <f t="shared" si="28"/>
        <v>0</v>
      </c>
      <c r="BF31" s="2">
        <f t="shared" si="28"/>
        <v>0</v>
      </c>
      <c r="BG31" s="2">
        <f t="shared" si="28"/>
        <v>0</v>
      </c>
      <c r="BH31" s="2">
        <f t="shared" si="28"/>
        <v>0</v>
      </c>
      <c r="BI31" s="2">
        <f t="shared" si="28"/>
        <v>0</v>
      </c>
      <c r="BJ31" s="2">
        <f t="shared" si="29"/>
        <v>0</v>
      </c>
      <c r="BK31" s="2">
        <f t="shared" si="29"/>
        <v>0</v>
      </c>
      <c r="BL31" s="2">
        <f t="shared" si="29"/>
        <v>0</v>
      </c>
      <c r="BM31" s="2">
        <f t="shared" si="29"/>
        <v>0</v>
      </c>
      <c r="BN31" s="2">
        <f t="shared" si="29"/>
        <v>0</v>
      </c>
      <c r="BO31" s="2">
        <f t="shared" si="29"/>
        <v>0</v>
      </c>
      <c r="BP31" s="2">
        <f t="shared" si="29"/>
        <v>0</v>
      </c>
      <c r="BQ31" s="2">
        <f t="shared" si="29"/>
        <v>0</v>
      </c>
      <c r="BR31" s="2">
        <f t="shared" si="29"/>
        <v>0</v>
      </c>
      <c r="BS31" s="2">
        <f t="shared" si="29"/>
        <v>0</v>
      </c>
      <c r="BT31" s="2">
        <f t="shared" si="30"/>
        <v>0</v>
      </c>
      <c r="BU31" s="2">
        <f t="shared" si="30"/>
        <v>0</v>
      </c>
      <c r="BV31" s="2">
        <f t="shared" si="30"/>
        <v>0</v>
      </c>
      <c r="BW31" s="2">
        <f t="shared" si="30"/>
        <v>0</v>
      </c>
      <c r="BX31" s="2">
        <f t="shared" si="30"/>
        <v>0</v>
      </c>
      <c r="BY31" s="2">
        <f t="shared" si="30"/>
        <v>0</v>
      </c>
      <c r="BZ31" s="2">
        <f t="shared" si="30"/>
        <v>0</v>
      </c>
      <c r="CA31" s="2">
        <f t="shared" si="30"/>
        <v>0</v>
      </c>
      <c r="CB31" s="2">
        <f t="shared" si="30"/>
        <v>0</v>
      </c>
      <c r="CC31" s="2">
        <f t="shared" si="30"/>
        <v>0</v>
      </c>
      <c r="CD31" s="2">
        <f t="shared" si="31"/>
        <v>0</v>
      </c>
      <c r="CE31" s="2">
        <f t="shared" si="31"/>
        <v>0</v>
      </c>
      <c r="CF31" s="2">
        <f t="shared" si="31"/>
        <v>0</v>
      </c>
      <c r="CG31" s="2">
        <f t="shared" si="31"/>
        <v>0</v>
      </c>
      <c r="CH31" s="2">
        <f t="shared" si="31"/>
        <v>0</v>
      </c>
      <c r="CI31" s="2">
        <f t="shared" si="31"/>
        <v>0</v>
      </c>
      <c r="CJ31" s="2">
        <f t="shared" si="31"/>
        <v>0</v>
      </c>
      <c r="CK31" s="23">
        <f t="shared" si="31"/>
        <v>0</v>
      </c>
      <c r="CN31" s="2">
        <v>14</v>
      </c>
      <c r="CO31" s="14">
        <v>0.05</v>
      </c>
      <c r="CP31" s="14">
        <v>-1.202621059533994E-2</v>
      </c>
      <c r="CQ31" s="14">
        <v>-1.1857797627984921E-2</v>
      </c>
      <c r="CR31" s="14">
        <v>1.7871794021072447E-4</v>
      </c>
      <c r="CS31" s="14">
        <f t="shared" si="15"/>
        <v>2.6294709716885866E-2</v>
      </c>
    </row>
    <row r="32" spans="1:97" x14ac:dyDescent="0.45">
      <c r="A32" s="16">
        <v>2.5</v>
      </c>
      <c r="B32" s="17">
        <v>3.0000000000000001E-3</v>
      </c>
      <c r="C32" s="19">
        <v>97.244</v>
      </c>
      <c r="D32" s="19">
        <f t="shared" si="0"/>
        <v>97.675880819298058</v>
      </c>
      <c r="E32" s="19">
        <f t="shared" si="1"/>
        <v>0.43188081929805833</v>
      </c>
      <c r="F32" s="19">
        <f t="shared" si="2"/>
        <v>0.43188081929805833</v>
      </c>
      <c r="G32" s="20">
        <f t="shared" si="3"/>
        <v>8.6559573090378983E-3</v>
      </c>
      <c r="H32" s="20">
        <f>IFERROR(IRR((J32,L32:CK32),0),0)</f>
        <v>7.7569642181547493E-3</v>
      </c>
      <c r="I32" s="21">
        <f t="shared" si="4"/>
        <v>-8.9899309088314894E-4</v>
      </c>
      <c r="J32" s="19">
        <f t="shared" si="5"/>
        <v>-97.675880819298058</v>
      </c>
      <c r="K32" s="22">
        <f t="shared" si="6"/>
        <v>-97.244</v>
      </c>
      <c r="L32" s="2">
        <f t="shared" si="24"/>
        <v>0.3</v>
      </c>
      <c r="M32" s="2">
        <f t="shared" si="24"/>
        <v>0.3</v>
      </c>
      <c r="N32" s="2">
        <f t="shared" si="24"/>
        <v>0.3</v>
      </c>
      <c r="O32" s="2">
        <f t="shared" si="24"/>
        <v>0.3</v>
      </c>
      <c r="P32" s="2">
        <f t="shared" si="24"/>
        <v>100.29999999999998</v>
      </c>
      <c r="Q32" s="2">
        <f t="shared" si="24"/>
        <v>0</v>
      </c>
      <c r="R32" s="2">
        <f t="shared" si="24"/>
        <v>0</v>
      </c>
      <c r="S32" s="2">
        <f t="shared" si="24"/>
        <v>0</v>
      </c>
      <c r="T32" s="2">
        <f t="shared" si="24"/>
        <v>0</v>
      </c>
      <c r="U32" s="2">
        <f t="shared" si="24"/>
        <v>0</v>
      </c>
      <c r="V32" s="2">
        <f t="shared" si="25"/>
        <v>0</v>
      </c>
      <c r="W32" s="2">
        <f t="shared" si="25"/>
        <v>0</v>
      </c>
      <c r="X32" s="2">
        <f t="shared" si="25"/>
        <v>0</v>
      </c>
      <c r="Y32" s="2">
        <f t="shared" si="25"/>
        <v>0</v>
      </c>
      <c r="Z32" s="2">
        <f t="shared" si="25"/>
        <v>0</v>
      </c>
      <c r="AA32" s="2">
        <f t="shared" si="25"/>
        <v>0</v>
      </c>
      <c r="AB32" s="2">
        <f t="shared" si="25"/>
        <v>0</v>
      </c>
      <c r="AC32" s="2">
        <f t="shared" si="25"/>
        <v>0</v>
      </c>
      <c r="AD32" s="2">
        <f t="shared" si="25"/>
        <v>0</v>
      </c>
      <c r="AE32" s="2">
        <f t="shared" si="25"/>
        <v>0</v>
      </c>
      <c r="AF32" s="2">
        <f t="shared" si="26"/>
        <v>0</v>
      </c>
      <c r="AG32" s="2">
        <f t="shared" si="26"/>
        <v>0</v>
      </c>
      <c r="AH32" s="2">
        <f t="shared" si="26"/>
        <v>0</v>
      </c>
      <c r="AI32" s="2">
        <f t="shared" si="26"/>
        <v>0</v>
      </c>
      <c r="AJ32" s="2">
        <f t="shared" si="26"/>
        <v>0</v>
      </c>
      <c r="AK32" s="2">
        <f t="shared" si="26"/>
        <v>0</v>
      </c>
      <c r="AL32" s="2">
        <f t="shared" si="26"/>
        <v>0</v>
      </c>
      <c r="AM32" s="2">
        <f t="shared" si="26"/>
        <v>0</v>
      </c>
      <c r="AN32" s="2">
        <f t="shared" si="26"/>
        <v>0</v>
      </c>
      <c r="AO32" s="2">
        <f t="shared" si="26"/>
        <v>0</v>
      </c>
      <c r="AP32" s="2">
        <f t="shared" si="27"/>
        <v>0</v>
      </c>
      <c r="AQ32" s="2">
        <f t="shared" si="27"/>
        <v>0</v>
      </c>
      <c r="AR32" s="2">
        <f t="shared" si="27"/>
        <v>0</v>
      </c>
      <c r="AS32" s="2">
        <f t="shared" si="27"/>
        <v>0</v>
      </c>
      <c r="AT32" s="2">
        <f t="shared" si="27"/>
        <v>0</v>
      </c>
      <c r="AU32" s="2">
        <f t="shared" si="27"/>
        <v>0</v>
      </c>
      <c r="AV32" s="2">
        <f t="shared" si="27"/>
        <v>0</v>
      </c>
      <c r="AW32" s="2">
        <f t="shared" si="27"/>
        <v>0</v>
      </c>
      <c r="AX32" s="2">
        <f t="shared" si="27"/>
        <v>0</v>
      </c>
      <c r="AY32" s="2">
        <f t="shared" si="27"/>
        <v>0</v>
      </c>
      <c r="AZ32" s="2">
        <f t="shared" si="28"/>
        <v>0</v>
      </c>
      <c r="BA32" s="2">
        <f t="shared" si="28"/>
        <v>0</v>
      </c>
      <c r="BB32" s="2">
        <f t="shared" si="28"/>
        <v>0</v>
      </c>
      <c r="BC32" s="2">
        <f t="shared" si="28"/>
        <v>0</v>
      </c>
      <c r="BD32" s="2">
        <f t="shared" si="28"/>
        <v>0</v>
      </c>
      <c r="BE32" s="2">
        <f t="shared" si="28"/>
        <v>0</v>
      </c>
      <c r="BF32" s="2">
        <f t="shared" si="28"/>
        <v>0</v>
      </c>
      <c r="BG32" s="2">
        <f t="shared" si="28"/>
        <v>0</v>
      </c>
      <c r="BH32" s="2">
        <f t="shared" si="28"/>
        <v>0</v>
      </c>
      <c r="BI32" s="2">
        <f t="shared" si="28"/>
        <v>0</v>
      </c>
      <c r="BJ32" s="2">
        <f t="shared" si="29"/>
        <v>0</v>
      </c>
      <c r="BK32" s="2">
        <f t="shared" si="29"/>
        <v>0</v>
      </c>
      <c r="BL32" s="2">
        <f t="shared" si="29"/>
        <v>0</v>
      </c>
      <c r="BM32" s="2">
        <f t="shared" si="29"/>
        <v>0</v>
      </c>
      <c r="BN32" s="2">
        <f t="shared" si="29"/>
        <v>0</v>
      </c>
      <c r="BO32" s="2">
        <f t="shared" si="29"/>
        <v>0</v>
      </c>
      <c r="BP32" s="2">
        <f t="shared" si="29"/>
        <v>0</v>
      </c>
      <c r="BQ32" s="2">
        <f t="shared" si="29"/>
        <v>0</v>
      </c>
      <c r="BR32" s="2">
        <f t="shared" si="29"/>
        <v>0</v>
      </c>
      <c r="BS32" s="2">
        <f t="shared" si="29"/>
        <v>0</v>
      </c>
      <c r="BT32" s="2">
        <f t="shared" si="30"/>
        <v>0</v>
      </c>
      <c r="BU32" s="2">
        <f t="shared" si="30"/>
        <v>0</v>
      </c>
      <c r="BV32" s="2">
        <f t="shared" si="30"/>
        <v>0</v>
      </c>
      <c r="BW32" s="2">
        <f t="shared" si="30"/>
        <v>0</v>
      </c>
      <c r="BX32" s="2">
        <f t="shared" si="30"/>
        <v>0</v>
      </c>
      <c r="BY32" s="2">
        <f t="shared" si="30"/>
        <v>0</v>
      </c>
      <c r="BZ32" s="2">
        <f t="shared" si="30"/>
        <v>0</v>
      </c>
      <c r="CA32" s="2">
        <f t="shared" si="30"/>
        <v>0</v>
      </c>
      <c r="CB32" s="2">
        <f t="shared" si="30"/>
        <v>0</v>
      </c>
      <c r="CC32" s="2">
        <f t="shared" si="30"/>
        <v>0</v>
      </c>
      <c r="CD32" s="2">
        <f t="shared" si="31"/>
        <v>0</v>
      </c>
      <c r="CE32" s="2">
        <f t="shared" si="31"/>
        <v>0</v>
      </c>
      <c r="CF32" s="2">
        <f t="shared" si="31"/>
        <v>0</v>
      </c>
      <c r="CG32" s="2">
        <f t="shared" si="31"/>
        <v>0</v>
      </c>
      <c r="CH32" s="2">
        <f t="shared" si="31"/>
        <v>0</v>
      </c>
      <c r="CI32" s="2">
        <f t="shared" si="31"/>
        <v>0</v>
      </c>
      <c r="CJ32" s="2">
        <f t="shared" si="31"/>
        <v>0</v>
      </c>
      <c r="CK32" s="23">
        <f t="shared" si="31"/>
        <v>0</v>
      </c>
      <c r="CN32" s="2">
        <v>14.5</v>
      </c>
      <c r="CO32" s="14">
        <v>0.05</v>
      </c>
      <c r="CP32" s="14">
        <v>-1.1662854372384715E-2</v>
      </c>
      <c r="CQ32" s="14">
        <v>-1.1641556641109708E-2</v>
      </c>
      <c r="CR32" s="14">
        <v>1.7255525707980847E-4</v>
      </c>
      <c r="CS32" s="14">
        <f t="shared" si="15"/>
        <v>2.6868144243585391E-2</v>
      </c>
    </row>
    <row r="33" spans="1:97" x14ac:dyDescent="0.45">
      <c r="A33" s="16">
        <v>3</v>
      </c>
      <c r="B33" s="17">
        <v>1E-3</v>
      </c>
      <c r="C33" s="19">
        <v>96.294499999999999</v>
      </c>
      <c r="D33" s="19">
        <f t="shared" si="0"/>
        <v>95.911810247422693</v>
      </c>
      <c r="E33" s="19">
        <f t="shared" si="1"/>
        <v>-0.38268975257730631</v>
      </c>
      <c r="F33" s="19">
        <f t="shared" si="2"/>
        <v>0.38268975257730631</v>
      </c>
      <c r="G33" s="20">
        <f t="shared" si="3"/>
        <v>7.3353557604298736E-3</v>
      </c>
      <c r="H33" s="20">
        <f>IFERROR(IRR((J33,L33:CK33),0),0)</f>
        <v>8.0058396562718848E-3</v>
      </c>
      <c r="I33" s="21">
        <f t="shared" si="4"/>
        <v>6.7048389584201118E-4</v>
      </c>
      <c r="J33" s="19">
        <f t="shared" si="5"/>
        <v>-95.911810247422693</v>
      </c>
      <c r="K33" s="22">
        <f t="shared" si="6"/>
        <v>-96.294499999999999</v>
      </c>
      <c r="L33" s="2">
        <f t="shared" ref="L33:U42" si="32">$B33*100*(L$2&lt;$A33)+100*(1+$B33)*(L$2=$A33)</f>
        <v>0.1</v>
      </c>
      <c r="M33" s="2">
        <f t="shared" si="32"/>
        <v>0.1</v>
      </c>
      <c r="N33" s="2">
        <f t="shared" si="32"/>
        <v>0.1</v>
      </c>
      <c r="O33" s="2">
        <f t="shared" si="32"/>
        <v>0.1</v>
      </c>
      <c r="P33" s="2">
        <f t="shared" si="32"/>
        <v>0.1</v>
      </c>
      <c r="Q33" s="2">
        <f t="shared" si="32"/>
        <v>100.1</v>
      </c>
      <c r="R33" s="2">
        <f t="shared" si="32"/>
        <v>0</v>
      </c>
      <c r="S33" s="2">
        <f t="shared" si="32"/>
        <v>0</v>
      </c>
      <c r="T33" s="2">
        <f t="shared" si="32"/>
        <v>0</v>
      </c>
      <c r="U33" s="2">
        <f t="shared" si="32"/>
        <v>0</v>
      </c>
      <c r="V33" s="2">
        <f t="shared" ref="V33:AE42" si="33">$B33*100*(V$2&lt;$A33)+100*(1+$B33)*(V$2=$A33)</f>
        <v>0</v>
      </c>
      <c r="W33" s="2">
        <f t="shared" si="33"/>
        <v>0</v>
      </c>
      <c r="X33" s="2">
        <f t="shared" si="33"/>
        <v>0</v>
      </c>
      <c r="Y33" s="2">
        <f t="shared" si="33"/>
        <v>0</v>
      </c>
      <c r="Z33" s="2">
        <f t="shared" si="33"/>
        <v>0</v>
      </c>
      <c r="AA33" s="2">
        <f t="shared" si="33"/>
        <v>0</v>
      </c>
      <c r="AB33" s="2">
        <f t="shared" si="33"/>
        <v>0</v>
      </c>
      <c r="AC33" s="2">
        <f t="shared" si="33"/>
        <v>0</v>
      </c>
      <c r="AD33" s="2">
        <f t="shared" si="33"/>
        <v>0</v>
      </c>
      <c r="AE33" s="2">
        <f t="shared" si="33"/>
        <v>0</v>
      </c>
      <c r="AF33" s="2">
        <f t="shared" ref="AF33:AO42" si="34">$B33*100*(AF$2&lt;$A33)+100*(1+$B33)*(AF$2=$A33)</f>
        <v>0</v>
      </c>
      <c r="AG33" s="2">
        <f t="shared" si="34"/>
        <v>0</v>
      </c>
      <c r="AH33" s="2">
        <f t="shared" si="34"/>
        <v>0</v>
      </c>
      <c r="AI33" s="2">
        <f t="shared" si="34"/>
        <v>0</v>
      </c>
      <c r="AJ33" s="2">
        <f t="shared" si="34"/>
        <v>0</v>
      </c>
      <c r="AK33" s="2">
        <f t="shared" si="34"/>
        <v>0</v>
      </c>
      <c r="AL33" s="2">
        <f t="shared" si="34"/>
        <v>0</v>
      </c>
      <c r="AM33" s="2">
        <f t="shared" si="34"/>
        <v>0</v>
      </c>
      <c r="AN33" s="2">
        <f t="shared" si="34"/>
        <v>0</v>
      </c>
      <c r="AO33" s="2">
        <f t="shared" si="34"/>
        <v>0</v>
      </c>
      <c r="AP33" s="2">
        <f t="shared" ref="AP33:AY42" si="35">$B33*100*(AP$2&lt;$A33)+100*(1+$B33)*(AP$2=$A33)</f>
        <v>0</v>
      </c>
      <c r="AQ33" s="2">
        <f t="shared" si="35"/>
        <v>0</v>
      </c>
      <c r="AR33" s="2">
        <f t="shared" si="35"/>
        <v>0</v>
      </c>
      <c r="AS33" s="2">
        <f t="shared" si="35"/>
        <v>0</v>
      </c>
      <c r="AT33" s="2">
        <f t="shared" si="35"/>
        <v>0</v>
      </c>
      <c r="AU33" s="2">
        <f t="shared" si="35"/>
        <v>0</v>
      </c>
      <c r="AV33" s="2">
        <f t="shared" si="35"/>
        <v>0</v>
      </c>
      <c r="AW33" s="2">
        <f t="shared" si="35"/>
        <v>0</v>
      </c>
      <c r="AX33" s="2">
        <f t="shared" si="35"/>
        <v>0</v>
      </c>
      <c r="AY33" s="2">
        <f t="shared" si="35"/>
        <v>0</v>
      </c>
      <c r="AZ33" s="2">
        <f t="shared" ref="AZ33:BI42" si="36">$B33*100*(AZ$2&lt;$A33)+100*(1+$B33)*(AZ$2=$A33)</f>
        <v>0</v>
      </c>
      <c r="BA33" s="2">
        <f t="shared" si="36"/>
        <v>0</v>
      </c>
      <c r="BB33" s="2">
        <f t="shared" si="36"/>
        <v>0</v>
      </c>
      <c r="BC33" s="2">
        <f t="shared" si="36"/>
        <v>0</v>
      </c>
      <c r="BD33" s="2">
        <f t="shared" si="36"/>
        <v>0</v>
      </c>
      <c r="BE33" s="2">
        <f t="shared" si="36"/>
        <v>0</v>
      </c>
      <c r="BF33" s="2">
        <f t="shared" si="36"/>
        <v>0</v>
      </c>
      <c r="BG33" s="2">
        <f t="shared" si="36"/>
        <v>0</v>
      </c>
      <c r="BH33" s="2">
        <f t="shared" si="36"/>
        <v>0</v>
      </c>
      <c r="BI33" s="2">
        <f t="shared" si="36"/>
        <v>0</v>
      </c>
      <c r="BJ33" s="2">
        <f t="shared" ref="BJ33:BS42" si="37">$B33*100*(BJ$2&lt;$A33)+100*(1+$B33)*(BJ$2=$A33)</f>
        <v>0</v>
      </c>
      <c r="BK33" s="2">
        <f t="shared" si="37"/>
        <v>0</v>
      </c>
      <c r="BL33" s="2">
        <f t="shared" si="37"/>
        <v>0</v>
      </c>
      <c r="BM33" s="2">
        <f t="shared" si="37"/>
        <v>0</v>
      </c>
      <c r="BN33" s="2">
        <f t="shared" si="37"/>
        <v>0</v>
      </c>
      <c r="BO33" s="2">
        <f t="shared" si="37"/>
        <v>0</v>
      </c>
      <c r="BP33" s="2">
        <f t="shared" si="37"/>
        <v>0</v>
      </c>
      <c r="BQ33" s="2">
        <f t="shared" si="37"/>
        <v>0</v>
      </c>
      <c r="BR33" s="2">
        <f t="shared" si="37"/>
        <v>0</v>
      </c>
      <c r="BS33" s="2">
        <f t="shared" si="37"/>
        <v>0</v>
      </c>
      <c r="BT33" s="2">
        <f t="shared" ref="BT33:CC42" si="38">$B33*100*(BT$2&lt;$A33)+100*(1+$B33)*(BT$2=$A33)</f>
        <v>0</v>
      </c>
      <c r="BU33" s="2">
        <f t="shared" si="38"/>
        <v>0</v>
      </c>
      <c r="BV33" s="2">
        <f t="shared" si="38"/>
        <v>0</v>
      </c>
      <c r="BW33" s="2">
        <f t="shared" si="38"/>
        <v>0</v>
      </c>
      <c r="BX33" s="2">
        <f t="shared" si="38"/>
        <v>0</v>
      </c>
      <c r="BY33" s="2">
        <f t="shared" si="38"/>
        <v>0</v>
      </c>
      <c r="BZ33" s="2">
        <f t="shared" si="38"/>
        <v>0</v>
      </c>
      <c r="CA33" s="2">
        <f t="shared" si="38"/>
        <v>0</v>
      </c>
      <c r="CB33" s="2">
        <f t="shared" si="38"/>
        <v>0</v>
      </c>
      <c r="CC33" s="2">
        <f t="shared" si="38"/>
        <v>0</v>
      </c>
      <c r="CD33" s="2">
        <f t="shared" ref="CD33:CK42" si="39">$B33*100*(CD$2&lt;$A33)+100*(1+$B33)*(CD$2=$A33)</f>
        <v>0</v>
      </c>
      <c r="CE33" s="2">
        <f t="shared" si="39"/>
        <v>0</v>
      </c>
      <c r="CF33" s="2">
        <f t="shared" si="39"/>
        <v>0</v>
      </c>
      <c r="CG33" s="2">
        <f t="shared" si="39"/>
        <v>0</v>
      </c>
      <c r="CH33" s="2">
        <f t="shared" si="39"/>
        <v>0</v>
      </c>
      <c r="CI33" s="2">
        <f t="shared" si="39"/>
        <v>0</v>
      </c>
      <c r="CJ33" s="2">
        <f t="shared" si="39"/>
        <v>0</v>
      </c>
      <c r="CK33" s="23">
        <f t="shared" si="39"/>
        <v>0</v>
      </c>
      <c r="CN33" s="2">
        <v>15</v>
      </c>
      <c r="CO33" s="14">
        <v>0.05</v>
      </c>
      <c r="CP33" s="14">
        <v>-1.1318283539150225E-2</v>
      </c>
      <c r="CQ33" s="14">
        <v>-1.1425145291445829E-2</v>
      </c>
      <c r="CR33" s="14">
        <v>1.6680341737950168E-4</v>
      </c>
      <c r="CS33" s="14">
        <f t="shared" si="15"/>
        <v>2.7423374586783452E-2</v>
      </c>
    </row>
    <row r="34" spans="1:97" x14ac:dyDescent="0.45">
      <c r="A34" s="16">
        <v>3</v>
      </c>
      <c r="B34" s="17">
        <v>4.0000000000000001E-3</v>
      </c>
      <c r="C34" s="19">
        <v>97.174999999999997</v>
      </c>
      <c r="D34" s="19">
        <f t="shared" si="0"/>
        <v>97.664292069451662</v>
      </c>
      <c r="E34" s="19">
        <f t="shared" si="1"/>
        <v>0.4892920694516647</v>
      </c>
      <c r="F34" s="19">
        <f t="shared" si="2"/>
        <v>0.4892920694516647</v>
      </c>
      <c r="G34" s="20">
        <f t="shared" si="3"/>
        <v>8.8553339371943984E-3</v>
      </c>
      <c r="H34" s="20">
        <f>IFERROR(IRR((J34,L34:CK34),0),0)</f>
        <v>8.0026059763953494E-3</v>
      </c>
      <c r="I34" s="21">
        <f t="shared" si="4"/>
        <v>-8.52727960799049E-4</v>
      </c>
      <c r="J34" s="19">
        <f t="shared" si="5"/>
        <v>-97.664292069451662</v>
      </c>
      <c r="K34" s="22">
        <f t="shared" si="6"/>
        <v>-97.174999999999997</v>
      </c>
      <c r="L34" s="2">
        <f t="shared" si="32"/>
        <v>0.4</v>
      </c>
      <c r="M34" s="2">
        <f t="shared" si="32"/>
        <v>0.4</v>
      </c>
      <c r="N34" s="2">
        <f t="shared" si="32"/>
        <v>0.4</v>
      </c>
      <c r="O34" s="2">
        <f t="shared" si="32"/>
        <v>0.4</v>
      </c>
      <c r="P34" s="2">
        <f t="shared" si="32"/>
        <v>0.4</v>
      </c>
      <c r="Q34" s="2">
        <f t="shared" si="32"/>
        <v>100.4</v>
      </c>
      <c r="R34" s="2">
        <f t="shared" si="32"/>
        <v>0</v>
      </c>
      <c r="S34" s="2">
        <f t="shared" si="32"/>
        <v>0</v>
      </c>
      <c r="T34" s="2">
        <f t="shared" si="32"/>
        <v>0</v>
      </c>
      <c r="U34" s="2">
        <f t="shared" si="32"/>
        <v>0</v>
      </c>
      <c r="V34" s="2">
        <f t="shared" si="33"/>
        <v>0</v>
      </c>
      <c r="W34" s="2">
        <f t="shared" si="33"/>
        <v>0</v>
      </c>
      <c r="X34" s="2">
        <f t="shared" si="33"/>
        <v>0</v>
      </c>
      <c r="Y34" s="2">
        <f t="shared" si="33"/>
        <v>0</v>
      </c>
      <c r="Z34" s="2">
        <f t="shared" si="33"/>
        <v>0</v>
      </c>
      <c r="AA34" s="2">
        <f t="shared" si="33"/>
        <v>0</v>
      </c>
      <c r="AB34" s="2">
        <f t="shared" si="33"/>
        <v>0</v>
      </c>
      <c r="AC34" s="2">
        <f t="shared" si="33"/>
        <v>0</v>
      </c>
      <c r="AD34" s="2">
        <f t="shared" si="33"/>
        <v>0</v>
      </c>
      <c r="AE34" s="2">
        <f t="shared" si="33"/>
        <v>0</v>
      </c>
      <c r="AF34" s="2">
        <f t="shared" si="34"/>
        <v>0</v>
      </c>
      <c r="AG34" s="2">
        <f t="shared" si="34"/>
        <v>0</v>
      </c>
      <c r="AH34" s="2">
        <f t="shared" si="34"/>
        <v>0</v>
      </c>
      <c r="AI34" s="2">
        <f t="shared" si="34"/>
        <v>0</v>
      </c>
      <c r="AJ34" s="2">
        <f t="shared" si="34"/>
        <v>0</v>
      </c>
      <c r="AK34" s="2">
        <f t="shared" si="34"/>
        <v>0</v>
      </c>
      <c r="AL34" s="2">
        <f t="shared" si="34"/>
        <v>0</v>
      </c>
      <c r="AM34" s="2">
        <f t="shared" si="34"/>
        <v>0</v>
      </c>
      <c r="AN34" s="2">
        <f t="shared" si="34"/>
        <v>0</v>
      </c>
      <c r="AO34" s="2">
        <f t="shared" si="34"/>
        <v>0</v>
      </c>
      <c r="AP34" s="2">
        <f t="shared" si="35"/>
        <v>0</v>
      </c>
      <c r="AQ34" s="2">
        <f t="shared" si="35"/>
        <v>0</v>
      </c>
      <c r="AR34" s="2">
        <f t="shared" si="35"/>
        <v>0</v>
      </c>
      <c r="AS34" s="2">
        <f t="shared" si="35"/>
        <v>0</v>
      </c>
      <c r="AT34" s="2">
        <f t="shared" si="35"/>
        <v>0</v>
      </c>
      <c r="AU34" s="2">
        <f t="shared" si="35"/>
        <v>0</v>
      </c>
      <c r="AV34" s="2">
        <f t="shared" si="35"/>
        <v>0</v>
      </c>
      <c r="AW34" s="2">
        <f t="shared" si="35"/>
        <v>0</v>
      </c>
      <c r="AX34" s="2">
        <f t="shared" si="35"/>
        <v>0</v>
      </c>
      <c r="AY34" s="2">
        <f t="shared" si="35"/>
        <v>0</v>
      </c>
      <c r="AZ34" s="2">
        <f t="shared" si="36"/>
        <v>0</v>
      </c>
      <c r="BA34" s="2">
        <f t="shared" si="36"/>
        <v>0</v>
      </c>
      <c r="BB34" s="2">
        <f t="shared" si="36"/>
        <v>0</v>
      </c>
      <c r="BC34" s="2">
        <f t="shared" si="36"/>
        <v>0</v>
      </c>
      <c r="BD34" s="2">
        <f t="shared" si="36"/>
        <v>0</v>
      </c>
      <c r="BE34" s="2">
        <f t="shared" si="36"/>
        <v>0</v>
      </c>
      <c r="BF34" s="2">
        <f t="shared" si="36"/>
        <v>0</v>
      </c>
      <c r="BG34" s="2">
        <f t="shared" si="36"/>
        <v>0</v>
      </c>
      <c r="BH34" s="2">
        <f t="shared" si="36"/>
        <v>0</v>
      </c>
      <c r="BI34" s="2">
        <f t="shared" si="36"/>
        <v>0</v>
      </c>
      <c r="BJ34" s="2">
        <f t="shared" si="37"/>
        <v>0</v>
      </c>
      <c r="BK34" s="2">
        <f t="shared" si="37"/>
        <v>0</v>
      </c>
      <c r="BL34" s="2">
        <f t="shared" si="37"/>
        <v>0</v>
      </c>
      <c r="BM34" s="2">
        <f t="shared" si="37"/>
        <v>0</v>
      </c>
      <c r="BN34" s="2">
        <f t="shared" si="37"/>
        <v>0</v>
      </c>
      <c r="BO34" s="2">
        <f t="shared" si="37"/>
        <v>0</v>
      </c>
      <c r="BP34" s="2">
        <f t="shared" si="37"/>
        <v>0</v>
      </c>
      <c r="BQ34" s="2">
        <f t="shared" si="37"/>
        <v>0</v>
      </c>
      <c r="BR34" s="2">
        <f t="shared" si="37"/>
        <v>0</v>
      </c>
      <c r="BS34" s="2">
        <f t="shared" si="37"/>
        <v>0</v>
      </c>
      <c r="BT34" s="2">
        <f t="shared" si="38"/>
        <v>0</v>
      </c>
      <c r="BU34" s="2">
        <f t="shared" si="38"/>
        <v>0</v>
      </c>
      <c r="BV34" s="2">
        <f t="shared" si="38"/>
        <v>0</v>
      </c>
      <c r="BW34" s="2">
        <f t="shared" si="38"/>
        <v>0</v>
      </c>
      <c r="BX34" s="2">
        <f t="shared" si="38"/>
        <v>0</v>
      </c>
      <c r="BY34" s="2">
        <f t="shared" si="38"/>
        <v>0</v>
      </c>
      <c r="BZ34" s="2">
        <f t="shared" si="38"/>
        <v>0</v>
      </c>
      <c r="CA34" s="2">
        <f t="shared" si="38"/>
        <v>0</v>
      </c>
      <c r="CB34" s="2">
        <f t="shared" si="38"/>
        <v>0</v>
      </c>
      <c r="CC34" s="2">
        <f t="shared" si="38"/>
        <v>0</v>
      </c>
      <c r="CD34" s="2">
        <f t="shared" si="39"/>
        <v>0</v>
      </c>
      <c r="CE34" s="2">
        <f t="shared" si="39"/>
        <v>0</v>
      </c>
      <c r="CF34" s="2">
        <f t="shared" si="39"/>
        <v>0</v>
      </c>
      <c r="CG34" s="2">
        <f t="shared" si="39"/>
        <v>0</v>
      </c>
      <c r="CH34" s="2">
        <f t="shared" si="39"/>
        <v>0</v>
      </c>
      <c r="CI34" s="2">
        <f t="shared" si="39"/>
        <v>0</v>
      </c>
      <c r="CJ34" s="2">
        <f t="shared" si="39"/>
        <v>0</v>
      </c>
      <c r="CK34" s="23">
        <f t="shared" si="39"/>
        <v>0</v>
      </c>
      <c r="CN34" s="2">
        <v>15.5</v>
      </c>
      <c r="CO34" s="14">
        <v>0.05</v>
      </c>
      <c r="CP34" s="14">
        <v>-1.0991256863715979E-2</v>
      </c>
      <c r="CQ34" s="14">
        <v>-1.1209509674378029E-2</v>
      </c>
      <c r="CR34" s="14">
        <v>1.6142266306701827E-4</v>
      </c>
      <c r="CS34" s="14">
        <f t="shared" si="15"/>
        <v>2.7960656124973015E-2</v>
      </c>
    </row>
    <row r="35" spans="1:97" x14ac:dyDescent="0.45">
      <c r="A35" s="16">
        <v>3</v>
      </c>
      <c r="B35" s="17">
        <v>1E-3</v>
      </c>
      <c r="C35" s="19">
        <v>95.846000000000004</v>
      </c>
      <c r="D35" s="19">
        <f t="shared" ref="D35:D66" si="40">SUMPRODUCT(L35:CK35,$L$79:$CK$79)</f>
        <v>95.911810247422693</v>
      </c>
      <c r="E35" s="19">
        <f t="shared" si="1"/>
        <v>6.5810247422689372E-2</v>
      </c>
      <c r="F35" s="19">
        <f t="shared" si="2"/>
        <v>6.5810247422689372E-2</v>
      </c>
      <c r="G35" s="20">
        <f t="shared" ref="G35:G66" si="41">+IFERROR(IRR(K35:CK35,0),0)</f>
        <v>8.1214562148776981E-3</v>
      </c>
      <c r="H35" s="20">
        <f>IFERROR(IRR((J35,L35:CK35),0),0)</f>
        <v>8.0058396562718848E-3</v>
      </c>
      <c r="I35" s="21">
        <f t="shared" si="4"/>
        <v>-1.1561655860581332E-4</v>
      </c>
      <c r="J35" s="19">
        <f t="shared" si="5"/>
        <v>-95.911810247422693</v>
      </c>
      <c r="K35" s="22">
        <f t="shared" ref="K35:K66" si="42">-C35</f>
        <v>-95.846000000000004</v>
      </c>
      <c r="L35" s="2">
        <f t="shared" si="32"/>
        <v>0.1</v>
      </c>
      <c r="M35" s="2">
        <f t="shared" si="32"/>
        <v>0.1</v>
      </c>
      <c r="N35" s="2">
        <f t="shared" si="32"/>
        <v>0.1</v>
      </c>
      <c r="O35" s="2">
        <f t="shared" si="32"/>
        <v>0.1</v>
      </c>
      <c r="P35" s="2">
        <f t="shared" si="32"/>
        <v>0.1</v>
      </c>
      <c r="Q35" s="2">
        <f t="shared" si="32"/>
        <v>100.1</v>
      </c>
      <c r="R35" s="2">
        <f t="shared" si="32"/>
        <v>0</v>
      </c>
      <c r="S35" s="2">
        <f t="shared" si="32"/>
        <v>0</v>
      </c>
      <c r="T35" s="2">
        <f t="shared" si="32"/>
        <v>0</v>
      </c>
      <c r="U35" s="2">
        <f t="shared" si="32"/>
        <v>0</v>
      </c>
      <c r="V35" s="2">
        <f t="shared" si="33"/>
        <v>0</v>
      </c>
      <c r="W35" s="2">
        <f t="shared" si="33"/>
        <v>0</v>
      </c>
      <c r="X35" s="2">
        <f t="shared" si="33"/>
        <v>0</v>
      </c>
      <c r="Y35" s="2">
        <f t="shared" si="33"/>
        <v>0</v>
      </c>
      <c r="Z35" s="2">
        <f t="shared" si="33"/>
        <v>0</v>
      </c>
      <c r="AA35" s="2">
        <f t="shared" si="33"/>
        <v>0</v>
      </c>
      <c r="AB35" s="2">
        <f t="shared" si="33"/>
        <v>0</v>
      </c>
      <c r="AC35" s="2">
        <f t="shared" si="33"/>
        <v>0</v>
      </c>
      <c r="AD35" s="2">
        <f t="shared" si="33"/>
        <v>0</v>
      </c>
      <c r="AE35" s="2">
        <f t="shared" si="33"/>
        <v>0</v>
      </c>
      <c r="AF35" s="2">
        <f t="shared" si="34"/>
        <v>0</v>
      </c>
      <c r="AG35" s="2">
        <f t="shared" si="34"/>
        <v>0</v>
      </c>
      <c r="AH35" s="2">
        <f t="shared" si="34"/>
        <v>0</v>
      </c>
      <c r="AI35" s="2">
        <f t="shared" si="34"/>
        <v>0</v>
      </c>
      <c r="AJ35" s="2">
        <f t="shared" si="34"/>
        <v>0</v>
      </c>
      <c r="AK35" s="2">
        <f t="shared" si="34"/>
        <v>0</v>
      </c>
      <c r="AL35" s="2">
        <f t="shared" si="34"/>
        <v>0</v>
      </c>
      <c r="AM35" s="2">
        <f t="shared" si="34"/>
        <v>0</v>
      </c>
      <c r="AN35" s="2">
        <f t="shared" si="34"/>
        <v>0</v>
      </c>
      <c r="AO35" s="2">
        <f t="shared" si="34"/>
        <v>0</v>
      </c>
      <c r="AP35" s="2">
        <f t="shared" si="35"/>
        <v>0</v>
      </c>
      <c r="AQ35" s="2">
        <f t="shared" si="35"/>
        <v>0</v>
      </c>
      <c r="AR35" s="2">
        <f t="shared" si="35"/>
        <v>0</v>
      </c>
      <c r="AS35" s="2">
        <f t="shared" si="35"/>
        <v>0</v>
      </c>
      <c r="AT35" s="2">
        <f t="shared" si="35"/>
        <v>0</v>
      </c>
      <c r="AU35" s="2">
        <f t="shared" si="35"/>
        <v>0</v>
      </c>
      <c r="AV35" s="2">
        <f t="shared" si="35"/>
        <v>0</v>
      </c>
      <c r="AW35" s="2">
        <f t="shared" si="35"/>
        <v>0</v>
      </c>
      <c r="AX35" s="2">
        <f t="shared" si="35"/>
        <v>0</v>
      </c>
      <c r="AY35" s="2">
        <f t="shared" si="35"/>
        <v>0</v>
      </c>
      <c r="AZ35" s="2">
        <f t="shared" si="36"/>
        <v>0</v>
      </c>
      <c r="BA35" s="2">
        <f t="shared" si="36"/>
        <v>0</v>
      </c>
      <c r="BB35" s="2">
        <f t="shared" si="36"/>
        <v>0</v>
      </c>
      <c r="BC35" s="2">
        <f t="shared" si="36"/>
        <v>0</v>
      </c>
      <c r="BD35" s="2">
        <f t="shared" si="36"/>
        <v>0</v>
      </c>
      <c r="BE35" s="2">
        <f t="shared" si="36"/>
        <v>0</v>
      </c>
      <c r="BF35" s="2">
        <f t="shared" si="36"/>
        <v>0</v>
      </c>
      <c r="BG35" s="2">
        <f t="shared" si="36"/>
        <v>0</v>
      </c>
      <c r="BH35" s="2">
        <f t="shared" si="36"/>
        <v>0</v>
      </c>
      <c r="BI35" s="2">
        <f t="shared" si="36"/>
        <v>0</v>
      </c>
      <c r="BJ35" s="2">
        <f t="shared" si="37"/>
        <v>0</v>
      </c>
      <c r="BK35" s="2">
        <f t="shared" si="37"/>
        <v>0</v>
      </c>
      <c r="BL35" s="2">
        <f t="shared" si="37"/>
        <v>0</v>
      </c>
      <c r="BM35" s="2">
        <f t="shared" si="37"/>
        <v>0</v>
      </c>
      <c r="BN35" s="2">
        <f t="shared" si="37"/>
        <v>0</v>
      </c>
      <c r="BO35" s="2">
        <f t="shared" si="37"/>
        <v>0</v>
      </c>
      <c r="BP35" s="2">
        <f t="shared" si="37"/>
        <v>0</v>
      </c>
      <c r="BQ35" s="2">
        <f t="shared" si="37"/>
        <v>0</v>
      </c>
      <c r="BR35" s="2">
        <f t="shared" si="37"/>
        <v>0</v>
      </c>
      <c r="BS35" s="2">
        <f t="shared" si="37"/>
        <v>0</v>
      </c>
      <c r="BT35" s="2">
        <f t="shared" si="38"/>
        <v>0</v>
      </c>
      <c r="BU35" s="2">
        <f t="shared" si="38"/>
        <v>0</v>
      </c>
      <c r="BV35" s="2">
        <f t="shared" si="38"/>
        <v>0</v>
      </c>
      <c r="BW35" s="2">
        <f t="shared" si="38"/>
        <v>0</v>
      </c>
      <c r="BX35" s="2">
        <f t="shared" si="38"/>
        <v>0</v>
      </c>
      <c r="BY35" s="2">
        <f t="shared" si="38"/>
        <v>0</v>
      </c>
      <c r="BZ35" s="2">
        <f t="shared" si="38"/>
        <v>0</v>
      </c>
      <c r="CA35" s="2">
        <f t="shared" si="38"/>
        <v>0</v>
      </c>
      <c r="CB35" s="2">
        <f t="shared" si="38"/>
        <v>0</v>
      </c>
      <c r="CC35" s="2">
        <f t="shared" si="38"/>
        <v>0</v>
      </c>
      <c r="CD35" s="2">
        <f t="shared" si="39"/>
        <v>0</v>
      </c>
      <c r="CE35" s="2">
        <f t="shared" si="39"/>
        <v>0</v>
      </c>
      <c r="CF35" s="2">
        <f t="shared" si="39"/>
        <v>0</v>
      </c>
      <c r="CG35" s="2">
        <f t="shared" si="39"/>
        <v>0</v>
      </c>
      <c r="CH35" s="2">
        <f t="shared" si="39"/>
        <v>0</v>
      </c>
      <c r="CI35" s="2">
        <f t="shared" si="39"/>
        <v>0</v>
      </c>
      <c r="CJ35" s="2">
        <f t="shared" si="39"/>
        <v>0</v>
      </c>
      <c r="CK35" s="23">
        <f t="shared" si="39"/>
        <v>0</v>
      </c>
      <c r="CN35" s="2">
        <v>16</v>
      </c>
      <c r="CO35" s="14">
        <v>0.05</v>
      </c>
      <c r="CP35" s="14">
        <v>-1.0680627047519112E-2</v>
      </c>
      <c r="CQ35" s="14">
        <v>-1.0995444460066133E-2</v>
      </c>
      <c r="CR35" s="14">
        <v>1.5637820538251331E-4</v>
      </c>
      <c r="CS35" s="14">
        <f t="shared" si="15"/>
        <v>2.8480306697797272E-2</v>
      </c>
    </row>
    <row r="36" spans="1:97" x14ac:dyDescent="0.45">
      <c r="A36" s="16">
        <v>3</v>
      </c>
      <c r="B36" s="17">
        <v>4.0000000000000001E-3</v>
      </c>
      <c r="C36" s="19">
        <v>96.799499999999995</v>
      </c>
      <c r="D36" s="19">
        <f t="shared" si="40"/>
        <v>97.664292069451662</v>
      </c>
      <c r="E36" s="19">
        <f t="shared" si="1"/>
        <v>0.86479206945166709</v>
      </c>
      <c r="F36" s="19">
        <f t="shared" si="2"/>
        <v>0.86479206945166709</v>
      </c>
      <c r="G36" s="20">
        <f t="shared" si="41"/>
        <v>9.5131749520340758E-3</v>
      </c>
      <c r="H36" s="20">
        <f>IFERROR(IRR((J36,L36:CK36),0),0)</f>
        <v>8.0026059763953494E-3</v>
      </c>
      <c r="I36" s="21">
        <f t="shared" si="4"/>
        <v>-1.5105689756387264E-3</v>
      </c>
      <c r="J36" s="19">
        <f t="shared" si="5"/>
        <v>-97.664292069451662</v>
      </c>
      <c r="K36" s="22">
        <f t="shared" si="42"/>
        <v>-96.799499999999995</v>
      </c>
      <c r="L36" s="2">
        <f t="shared" si="32"/>
        <v>0.4</v>
      </c>
      <c r="M36" s="2">
        <f t="shared" si="32"/>
        <v>0.4</v>
      </c>
      <c r="N36" s="2">
        <f t="shared" si="32"/>
        <v>0.4</v>
      </c>
      <c r="O36" s="2">
        <f t="shared" si="32"/>
        <v>0.4</v>
      </c>
      <c r="P36" s="2">
        <f t="shared" si="32"/>
        <v>0.4</v>
      </c>
      <c r="Q36" s="2">
        <f t="shared" si="32"/>
        <v>100.4</v>
      </c>
      <c r="R36" s="2">
        <f t="shared" si="32"/>
        <v>0</v>
      </c>
      <c r="S36" s="2">
        <f t="shared" si="32"/>
        <v>0</v>
      </c>
      <c r="T36" s="2">
        <f t="shared" si="32"/>
        <v>0</v>
      </c>
      <c r="U36" s="2">
        <f t="shared" si="32"/>
        <v>0</v>
      </c>
      <c r="V36" s="2">
        <f t="shared" si="33"/>
        <v>0</v>
      </c>
      <c r="W36" s="2">
        <f t="shared" si="33"/>
        <v>0</v>
      </c>
      <c r="X36" s="2">
        <f t="shared" si="33"/>
        <v>0</v>
      </c>
      <c r="Y36" s="2">
        <f t="shared" si="33"/>
        <v>0</v>
      </c>
      <c r="Z36" s="2">
        <f t="shared" si="33"/>
        <v>0</v>
      </c>
      <c r="AA36" s="2">
        <f t="shared" si="33"/>
        <v>0</v>
      </c>
      <c r="AB36" s="2">
        <f t="shared" si="33"/>
        <v>0</v>
      </c>
      <c r="AC36" s="2">
        <f t="shared" si="33"/>
        <v>0</v>
      </c>
      <c r="AD36" s="2">
        <f t="shared" si="33"/>
        <v>0</v>
      </c>
      <c r="AE36" s="2">
        <f t="shared" si="33"/>
        <v>0</v>
      </c>
      <c r="AF36" s="2">
        <f t="shared" si="34"/>
        <v>0</v>
      </c>
      <c r="AG36" s="2">
        <f t="shared" si="34"/>
        <v>0</v>
      </c>
      <c r="AH36" s="2">
        <f t="shared" si="34"/>
        <v>0</v>
      </c>
      <c r="AI36" s="2">
        <f t="shared" si="34"/>
        <v>0</v>
      </c>
      <c r="AJ36" s="2">
        <f t="shared" si="34"/>
        <v>0</v>
      </c>
      <c r="AK36" s="2">
        <f t="shared" si="34"/>
        <v>0</v>
      </c>
      <c r="AL36" s="2">
        <f t="shared" si="34"/>
        <v>0</v>
      </c>
      <c r="AM36" s="2">
        <f t="shared" si="34"/>
        <v>0</v>
      </c>
      <c r="AN36" s="2">
        <f t="shared" si="34"/>
        <v>0</v>
      </c>
      <c r="AO36" s="2">
        <f t="shared" si="34"/>
        <v>0</v>
      </c>
      <c r="AP36" s="2">
        <f t="shared" si="35"/>
        <v>0</v>
      </c>
      <c r="AQ36" s="2">
        <f t="shared" si="35"/>
        <v>0</v>
      </c>
      <c r="AR36" s="2">
        <f t="shared" si="35"/>
        <v>0</v>
      </c>
      <c r="AS36" s="2">
        <f t="shared" si="35"/>
        <v>0</v>
      </c>
      <c r="AT36" s="2">
        <f t="shared" si="35"/>
        <v>0</v>
      </c>
      <c r="AU36" s="2">
        <f t="shared" si="35"/>
        <v>0</v>
      </c>
      <c r="AV36" s="2">
        <f t="shared" si="35"/>
        <v>0</v>
      </c>
      <c r="AW36" s="2">
        <f t="shared" si="35"/>
        <v>0</v>
      </c>
      <c r="AX36" s="2">
        <f t="shared" si="35"/>
        <v>0</v>
      </c>
      <c r="AY36" s="2">
        <f t="shared" si="35"/>
        <v>0</v>
      </c>
      <c r="AZ36" s="2">
        <f t="shared" si="36"/>
        <v>0</v>
      </c>
      <c r="BA36" s="2">
        <f t="shared" si="36"/>
        <v>0</v>
      </c>
      <c r="BB36" s="2">
        <f t="shared" si="36"/>
        <v>0</v>
      </c>
      <c r="BC36" s="2">
        <f t="shared" si="36"/>
        <v>0</v>
      </c>
      <c r="BD36" s="2">
        <f t="shared" si="36"/>
        <v>0</v>
      </c>
      <c r="BE36" s="2">
        <f t="shared" si="36"/>
        <v>0</v>
      </c>
      <c r="BF36" s="2">
        <f t="shared" si="36"/>
        <v>0</v>
      </c>
      <c r="BG36" s="2">
        <f t="shared" si="36"/>
        <v>0</v>
      </c>
      <c r="BH36" s="2">
        <f t="shared" si="36"/>
        <v>0</v>
      </c>
      <c r="BI36" s="2">
        <f t="shared" si="36"/>
        <v>0</v>
      </c>
      <c r="BJ36" s="2">
        <f t="shared" si="37"/>
        <v>0</v>
      </c>
      <c r="BK36" s="2">
        <f t="shared" si="37"/>
        <v>0</v>
      </c>
      <c r="BL36" s="2">
        <f t="shared" si="37"/>
        <v>0</v>
      </c>
      <c r="BM36" s="2">
        <f t="shared" si="37"/>
        <v>0</v>
      </c>
      <c r="BN36" s="2">
        <f t="shared" si="37"/>
        <v>0</v>
      </c>
      <c r="BO36" s="2">
        <f t="shared" si="37"/>
        <v>0</v>
      </c>
      <c r="BP36" s="2">
        <f t="shared" si="37"/>
        <v>0</v>
      </c>
      <c r="BQ36" s="2">
        <f t="shared" si="37"/>
        <v>0</v>
      </c>
      <c r="BR36" s="2">
        <f t="shared" si="37"/>
        <v>0</v>
      </c>
      <c r="BS36" s="2">
        <f t="shared" si="37"/>
        <v>0</v>
      </c>
      <c r="BT36" s="2">
        <f t="shared" si="38"/>
        <v>0</v>
      </c>
      <c r="BU36" s="2">
        <f t="shared" si="38"/>
        <v>0</v>
      </c>
      <c r="BV36" s="2">
        <f t="shared" si="38"/>
        <v>0</v>
      </c>
      <c r="BW36" s="2">
        <f t="shared" si="38"/>
        <v>0</v>
      </c>
      <c r="BX36" s="2">
        <f t="shared" si="38"/>
        <v>0</v>
      </c>
      <c r="BY36" s="2">
        <f t="shared" si="38"/>
        <v>0</v>
      </c>
      <c r="BZ36" s="2">
        <f t="shared" si="38"/>
        <v>0</v>
      </c>
      <c r="CA36" s="2">
        <f t="shared" si="38"/>
        <v>0</v>
      </c>
      <c r="CB36" s="2">
        <f t="shared" si="38"/>
        <v>0</v>
      </c>
      <c r="CC36" s="2">
        <f t="shared" si="38"/>
        <v>0</v>
      </c>
      <c r="CD36" s="2">
        <f t="shared" si="39"/>
        <v>0</v>
      </c>
      <c r="CE36" s="2">
        <f t="shared" si="39"/>
        <v>0</v>
      </c>
      <c r="CF36" s="2">
        <f t="shared" si="39"/>
        <v>0</v>
      </c>
      <c r="CG36" s="2">
        <f t="shared" si="39"/>
        <v>0</v>
      </c>
      <c r="CH36" s="2">
        <f t="shared" si="39"/>
        <v>0</v>
      </c>
      <c r="CI36" s="2">
        <f t="shared" si="39"/>
        <v>0</v>
      </c>
      <c r="CJ36" s="2">
        <f t="shared" si="39"/>
        <v>0</v>
      </c>
      <c r="CK36" s="23">
        <f t="shared" si="39"/>
        <v>0</v>
      </c>
      <c r="CN36" s="2">
        <v>16.5</v>
      </c>
      <c r="CO36" s="14">
        <v>0.05</v>
      </c>
      <c r="CP36" s="14">
        <v>-1.0385332998265644E-2</v>
      </c>
      <c r="CQ36" s="14">
        <v>-1.0783612398532171E-2</v>
      </c>
      <c r="CR36" s="14">
        <v>1.5163947215073606E-4</v>
      </c>
      <c r="CS36" s="14">
        <f t="shared" si="15"/>
        <v>2.8982694075352922E-2</v>
      </c>
    </row>
    <row r="37" spans="1:97" x14ac:dyDescent="0.45">
      <c r="A37" s="16">
        <v>3.5</v>
      </c>
      <c r="B37" s="17">
        <v>1E-3</v>
      </c>
      <c r="C37" s="19">
        <v>95.403999999999996</v>
      </c>
      <c r="D37" s="19">
        <f t="shared" si="40"/>
        <v>95.061199751567401</v>
      </c>
      <c r="E37" s="19">
        <f t="shared" si="1"/>
        <v>-0.34280024843259582</v>
      </c>
      <c r="F37" s="19">
        <f t="shared" si="2"/>
        <v>0.34280024843259582</v>
      </c>
      <c r="G37" s="20">
        <f t="shared" si="41"/>
        <v>7.7713931981404638E-3</v>
      </c>
      <c r="H37" s="20">
        <f>IFERROR(IRR((J37,L37:CK37),0),0)</f>
        <v>8.2913572929390611E-3</v>
      </c>
      <c r="I37" s="21">
        <f t="shared" si="4"/>
        <v>5.1996409479859729E-4</v>
      </c>
      <c r="J37" s="19">
        <f t="shared" si="5"/>
        <v>-95.061199751567401</v>
      </c>
      <c r="K37" s="22">
        <f t="shared" si="42"/>
        <v>-95.403999999999996</v>
      </c>
      <c r="L37" s="2">
        <f t="shared" si="32"/>
        <v>0.1</v>
      </c>
      <c r="M37" s="2">
        <f t="shared" si="32"/>
        <v>0.1</v>
      </c>
      <c r="N37" s="2">
        <f t="shared" si="32"/>
        <v>0.1</v>
      </c>
      <c r="O37" s="2">
        <f t="shared" si="32"/>
        <v>0.1</v>
      </c>
      <c r="P37" s="2">
        <f t="shared" si="32"/>
        <v>0.1</v>
      </c>
      <c r="Q37" s="2">
        <f t="shared" si="32"/>
        <v>0.1</v>
      </c>
      <c r="R37" s="2">
        <f t="shared" si="32"/>
        <v>100.1</v>
      </c>
      <c r="S37" s="2">
        <f t="shared" si="32"/>
        <v>0</v>
      </c>
      <c r="T37" s="2">
        <f t="shared" si="32"/>
        <v>0</v>
      </c>
      <c r="U37" s="2">
        <f t="shared" si="32"/>
        <v>0</v>
      </c>
      <c r="V37" s="2">
        <f t="shared" si="33"/>
        <v>0</v>
      </c>
      <c r="W37" s="2">
        <f t="shared" si="33"/>
        <v>0</v>
      </c>
      <c r="X37" s="2">
        <f t="shared" si="33"/>
        <v>0</v>
      </c>
      <c r="Y37" s="2">
        <f t="shared" si="33"/>
        <v>0</v>
      </c>
      <c r="Z37" s="2">
        <f t="shared" si="33"/>
        <v>0</v>
      </c>
      <c r="AA37" s="2">
        <f t="shared" si="33"/>
        <v>0</v>
      </c>
      <c r="AB37" s="2">
        <f t="shared" si="33"/>
        <v>0</v>
      </c>
      <c r="AC37" s="2">
        <f t="shared" si="33"/>
        <v>0</v>
      </c>
      <c r="AD37" s="2">
        <f t="shared" si="33"/>
        <v>0</v>
      </c>
      <c r="AE37" s="2">
        <f t="shared" si="33"/>
        <v>0</v>
      </c>
      <c r="AF37" s="2">
        <f t="shared" si="34"/>
        <v>0</v>
      </c>
      <c r="AG37" s="2">
        <f t="shared" si="34"/>
        <v>0</v>
      </c>
      <c r="AH37" s="2">
        <f t="shared" si="34"/>
        <v>0</v>
      </c>
      <c r="AI37" s="2">
        <f t="shared" si="34"/>
        <v>0</v>
      </c>
      <c r="AJ37" s="2">
        <f t="shared" si="34"/>
        <v>0</v>
      </c>
      <c r="AK37" s="2">
        <f t="shared" si="34"/>
        <v>0</v>
      </c>
      <c r="AL37" s="2">
        <f t="shared" si="34"/>
        <v>0</v>
      </c>
      <c r="AM37" s="2">
        <f t="shared" si="34"/>
        <v>0</v>
      </c>
      <c r="AN37" s="2">
        <f t="shared" si="34"/>
        <v>0</v>
      </c>
      <c r="AO37" s="2">
        <f t="shared" si="34"/>
        <v>0</v>
      </c>
      <c r="AP37" s="2">
        <f t="shared" si="35"/>
        <v>0</v>
      </c>
      <c r="AQ37" s="2">
        <f t="shared" si="35"/>
        <v>0</v>
      </c>
      <c r="AR37" s="2">
        <f t="shared" si="35"/>
        <v>0</v>
      </c>
      <c r="AS37" s="2">
        <f t="shared" si="35"/>
        <v>0</v>
      </c>
      <c r="AT37" s="2">
        <f t="shared" si="35"/>
        <v>0</v>
      </c>
      <c r="AU37" s="2">
        <f t="shared" si="35"/>
        <v>0</v>
      </c>
      <c r="AV37" s="2">
        <f t="shared" si="35"/>
        <v>0</v>
      </c>
      <c r="AW37" s="2">
        <f t="shared" si="35"/>
        <v>0</v>
      </c>
      <c r="AX37" s="2">
        <f t="shared" si="35"/>
        <v>0</v>
      </c>
      <c r="AY37" s="2">
        <f t="shared" si="35"/>
        <v>0</v>
      </c>
      <c r="AZ37" s="2">
        <f t="shared" si="36"/>
        <v>0</v>
      </c>
      <c r="BA37" s="2">
        <f t="shared" si="36"/>
        <v>0</v>
      </c>
      <c r="BB37" s="2">
        <f t="shared" si="36"/>
        <v>0</v>
      </c>
      <c r="BC37" s="2">
        <f t="shared" si="36"/>
        <v>0</v>
      </c>
      <c r="BD37" s="2">
        <f t="shared" si="36"/>
        <v>0</v>
      </c>
      <c r="BE37" s="2">
        <f t="shared" si="36"/>
        <v>0</v>
      </c>
      <c r="BF37" s="2">
        <f t="shared" si="36"/>
        <v>0</v>
      </c>
      <c r="BG37" s="2">
        <f t="shared" si="36"/>
        <v>0</v>
      </c>
      <c r="BH37" s="2">
        <f t="shared" si="36"/>
        <v>0</v>
      </c>
      <c r="BI37" s="2">
        <f t="shared" si="36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si="37"/>
        <v>0</v>
      </c>
      <c r="BR37" s="2">
        <f t="shared" si="37"/>
        <v>0</v>
      </c>
      <c r="BS37" s="2">
        <f t="shared" si="37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9"/>
        <v>0</v>
      </c>
      <c r="CE37" s="2">
        <f t="shared" si="39"/>
        <v>0</v>
      </c>
      <c r="CF37" s="2">
        <f t="shared" si="39"/>
        <v>0</v>
      </c>
      <c r="CG37" s="2">
        <f t="shared" si="39"/>
        <v>0</v>
      </c>
      <c r="CH37" s="2">
        <f t="shared" si="39"/>
        <v>0</v>
      </c>
      <c r="CI37" s="2">
        <f t="shared" si="39"/>
        <v>0</v>
      </c>
      <c r="CJ37" s="2">
        <f t="shared" si="39"/>
        <v>0</v>
      </c>
      <c r="CK37" s="23">
        <f t="shared" si="39"/>
        <v>0</v>
      </c>
      <c r="CN37" s="2">
        <v>17</v>
      </c>
      <c r="CO37" s="14">
        <v>0.05</v>
      </c>
      <c r="CP37" s="14">
        <v>-1.0104392774570741E-2</v>
      </c>
      <c r="CQ37" s="14">
        <v>-1.0574561488798137E-2</v>
      </c>
      <c r="CR37" s="14">
        <v>1.4717948780631088E-4</v>
      </c>
      <c r="CS37" s="14">
        <f t="shared" si="15"/>
        <v>2.9468225224437431E-2</v>
      </c>
    </row>
    <row r="38" spans="1:97" x14ac:dyDescent="0.45">
      <c r="A38" s="16">
        <v>3.5</v>
      </c>
      <c r="B38" s="17">
        <v>1E-3</v>
      </c>
      <c r="C38" s="19">
        <v>94.936499999999995</v>
      </c>
      <c r="D38" s="19">
        <f t="shared" si="40"/>
        <v>95.061199751567401</v>
      </c>
      <c r="E38" s="19">
        <f t="shared" si="1"/>
        <v>0.12469975156740531</v>
      </c>
      <c r="F38" s="19">
        <f t="shared" si="2"/>
        <v>0.12469975156740531</v>
      </c>
      <c r="G38" s="20">
        <f t="shared" si="41"/>
        <v>8.4810364459806387E-3</v>
      </c>
      <c r="H38" s="20">
        <f>IFERROR(IRR((J38,L38:CK38),0),0)</f>
        <v>8.2913572929390611E-3</v>
      </c>
      <c r="I38" s="21">
        <f t="shared" si="4"/>
        <v>-1.8967915304157756E-4</v>
      </c>
      <c r="J38" s="19">
        <f t="shared" si="5"/>
        <v>-95.061199751567401</v>
      </c>
      <c r="K38" s="22">
        <f t="shared" si="42"/>
        <v>-94.936499999999995</v>
      </c>
      <c r="L38" s="2">
        <f t="shared" si="32"/>
        <v>0.1</v>
      </c>
      <c r="M38" s="2">
        <f t="shared" si="32"/>
        <v>0.1</v>
      </c>
      <c r="N38" s="2">
        <f t="shared" si="32"/>
        <v>0.1</v>
      </c>
      <c r="O38" s="2">
        <f t="shared" si="32"/>
        <v>0.1</v>
      </c>
      <c r="P38" s="2">
        <f t="shared" si="32"/>
        <v>0.1</v>
      </c>
      <c r="Q38" s="2">
        <f t="shared" si="32"/>
        <v>0.1</v>
      </c>
      <c r="R38" s="2">
        <f t="shared" si="32"/>
        <v>100.1</v>
      </c>
      <c r="S38" s="2">
        <f t="shared" si="32"/>
        <v>0</v>
      </c>
      <c r="T38" s="2">
        <f t="shared" si="32"/>
        <v>0</v>
      </c>
      <c r="U38" s="2">
        <f t="shared" si="32"/>
        <v>0</v>
      </c>
      <c r="V38" s="2">
        <f t="shared" si="33"/>
        <v>0</v>
      </c>
      <c r="W38" s="2">
        <f t="shared" si="33"/>
        <v>0</v>
      </c>
      <c r="X38" s="2">
        <f t="shared" si="33"/>
        <v>0</v>
      </c>
      <c r="Y38" s="2">
        <f t="shared" si="33"/>
        <v>0</v>
      </c>
      <c r="Z38" s="2">
        <f t="shared" si="33"/>
        <v>0</v>
      </c>
      <c r="AA38" s="2">
        <f t="shared" si="33"/>
        <v>0</v>
      </c>
      <c r="AB38" s="2">
        <f t="shared" si="33"/>
        <v>0</v>
      </c>
      <c r="AC38" s="2">
        <f t="shared" si="33"/>
        <v>0</v>
      </c>
      <c r="AD38" s="2">
        <f t="shared" si="33"/>
        <v>0</v>
      </c>
      <c r="AE38" s="2">
        <f t="shared" si="33"/>
        <v>0</v>
      </c>
      <c r="AF38" s="2">
        <f t="shared" si="34"/>
        <v>0</v>
      </c>
      <c r="AG38" s="2">
        <f t="shared" si="34"/>
        <v>0</v>
      </c>
      <c r="AH38" s="2">
        <f t="shared" si="34"/>
        <v>0</v>
      </c>
      <c r="AI38" s="2">
        <f t="shared" si="34"/>
        <v>0</v>
      </c>
      <c r="AJ38" s="2">
        <f t="shared" si="34"/>
        <v>0</v>
      </c>
      <c r="AK38" s="2">
        <f t="shared" si="34"/>
        <v>0</v>
      </c>
      <c r="AL38" s="2">
        <f t="shared" si="34"/>
        <v>0</v>
      </c>
      <c r="AM38" s="2">
        <f t="shared" si="34"/>
        <v>0</v>
      </c>
      <c r="AN38" s="2">
        <f t="shared" si="34"/>
        <v>0</v>
      </c>
      <c r="AO38" s="2">
        <f t="shared" si="34"/>
        <v>0</v>
      </c>
      <c r="AP38" s="2">
        <f t="shared" si="35"/>
        <v>0</v>
      </c>
      <c r="AQ38" s="2">
        <f t="shared" si="35"/>
        <v>0</v>
      </c>
      <c r="AR38" s="2">
        <f t="shared" si="35"/>
        <v>0</v>
      </c>
      <c r="AS38" s="2">
        <f t="shared" si="35"/>
        <v>0</v>
      </c>
      <c r="AT38" s="2">
        <f t="shared" si="35"/>
        <v>0</v>
      </c>
      <c r="AU38" s="2">
        <f t="shared" si="35"/>
        <v>0</v>
      </c>
      <c r="AV38" s="2">
        <f t="shared" si="35"/>
        <v>0</v>
      </c>
      <c r="AW38" s="2">
        <f t="shared" si="35"/>
        <v>0</v>
      </c>
      <c r="AX38" s="2">
        <f t="shared" si="35"/>
        <v>0</v>
      </c>
      <c r="AY38" s="2">
        <f t="shared" si="35"/>
        <v>0</v>
      </c>
      <c r="AZ38" s="2">
        <f t="shared" si="36"/>
        <v>0</v>
      </c>
      <c r="BA38" s="2">
        <f t="shared" si="36"/>
        <v>0</v>
      </c>
      <c r="BB38" s="2">
        <f t="shared" si="36"/>
        <v>0</v>
      </c>
      <c r="BC38" s="2">
        <f t="shared" si="36"/>
        <v>0</v>
      </c>
      <c r="BD38" s="2">
        <f t="shared" si="36"/>
        <v>0</v>
      </c>
      <c r="BE38" s="2">
        <f t="shared" si="36"/>
        <v>0</v>
      </c>
      <c r="BF38" s="2">
        <f t="shared" si="36"/>
        <v>0</v>
      </c>
      <c r="BG38" s="2">
        <f t="shared" si="36"/>
        <v>0</v>
      </c>
      <c r="BH38" s="2">
        <f t="shared" si="36"/>
        <v>0</v>
      </c>
      <c r="BI38" s="2">
        <f t="shared" si="36"/>
        <v>0</v>
      </c>
      <c r="BJ38" s="2">
        <f t="shared" si="37"/>
        <v>0</v>
      </c>
      <c r="BK38" s="2">
        <f t="shared" si="37"/>
        <v>0</v>
      </c>
      <c r="BL38" s="2">
        <f t="shared" si="37"/>
        <v>0</v>
      </c>
      <c r="BM38" s="2">
        <f t="shared" si="37"/>
        <v>0</v>
      </c>
      <c r="BN38" s="2">
        <f t="shared" si="37"/>
        <v>0</v>
      </c>
      <c r="BO38" s="2">
        <f t="shared" si="37"/>
        <v>0</v>
      </c>
      <c r="BP38" s="2">
        <f t="shared" si="37"/>
        <v>0</v>
      </c>
      <c r="BQ38" s="2">
        <f t="shared" si="37"/>
        <v>0</v>
      </c>
      <c r="BR38" s="2">
        <f t="shared" si="37"/>
        <v>0</v>
      </c>
      <c r="BS38" s="2">
        <f t="shared" si="37"/>
        <v>0</v>
      </c>
      <c r="BT38" s="2">
        <f t="shared" si="38"/>
        <v>0</v>
      </c>
      <c r="BU38" s="2">
        <f t="shared" si="38"/>
        <v>0</v>
      </c>
      <c r="BV38" s="2">
        <f t="shared" si="38"/>
        <v>0</v>
      </c>
      <c r="BW38" s="2">
        <f t="shared" si="38"/>
        <v>0</v>
      </c>
      <c r="BX38" s="2">
        <f t="shared" si="38"/>
        <v>0</v>
      </c>
      <c r="BY38" s="2">
        <f t="shared" si="38"/>
        <v>0</v>
      </c>
      <c r="BZ38" s="2">
        <f t="shared" si="38"/>
        <v>0</v>
      </c>
      <c r="CA38" s="2">
        <f t="shared" si="38"/>
        <v>0</v>
      </c>
      <c r="CB38" s="2">
        <f t="shared" si="38"/>
        <v>0</v>
      </c>
      <c r="CC38" s="2">
        <f t="shared" si="38"/>
        <v>0</v>
      </c>
      <c r="CD38" s="2">
        <f t="shared" si="39"/>
        <v>0</v>
      </c>
      <c r="CE38" s="2">
        <f t="shared" si="39"/>
        <v>0</v>
      </c>
      <c r="CF38" s="2">
        <f t="shared" si="39"/>
        <v>0</v>
      </c>
      <c r="CG38" s="2">
        <f t="shared" si="39"/>
        <v>0</v>
      </c>
      <c r="CH38" s="2">
        <f t="shared" si="39"/>
        <v>0</v>
      </c>
      <c r="CI38" s="2">
        <f t="shared" si="39"/>
        <v>0</v>
      </c>
      <c r="CJ38" s="2">
        <f t="shared" si="39"/>
        <v>0</v>
      </c>
      <c r="CK38" s="23">
        <f t="shared" si="39"/>
        <v>0</v>
      </c>
      <c r="CN38" s="2">
        <v>17.5</v>
      </c>
      <c r="CO38" s="14">
        <v>0.05</v>
      </c>
      <c r="CP38" s="14">
        <v>-9.8368971416313306E-3</v>
      </c>
      <c r="CQ38" s="14">
        <v>-1.0368740082698093E-2</v>
      </c>
      <c r="CR38" s="14">
        <v>1.4297435964771374E-4</v>
      </c>
      <c r="CS38" s="14">
        <f t="shared" si="15"/>
        <v>2.9937337135318296E-2</v>
      </c>
    </row>
    <row r="39" spans="1:97" x14ac:dyDescent="0.45">
      <c r="A39" s="16">
        <v>4</v>
      </c>
      <c r="B39" s="17">
        <v>1E-3</v>
      </c>
      <c r="C39" s="19">
        <v>94.484999999999999</v>
      </c>
      <c r="D39" s="19">
        <f t="shared" si="40"/>
        <v>94.14349817334616</v>
      </c>
      <c r="E39" s="19">
        <f t="shared" si="1"/>
        <v>-0.34150182665383966</v>
      </c>
      <c r="F39" s="19">
        <f t="shared" si="2"/>
        <v>0.34150182665383966</v>
      </c>
      <c r="G39" s="20">
        <f t="shared" si="41"/>
        <v>8.1489387999349461E-3</v>
      </c>
      <c r="H39" s="20">
        <f>IFERROR(IRR((J39,L39:CK39),0),0)</f>
        <v>8.607000937336462E-3</v>
      </c>
      <c r="I39" s="21">
        <f t="shared" si="4"/>
        <v>4.5806213740151591E-4</v>
      </c>
      <c r="J39" s="19">
        <f t="shared" si="5"/>
        <v>-94.14349817334616</v>
      </c>
      <c r="K39" s="22">
        <f t="shared" si="42"/>
        <v>-94.484999999999999</v>
      </c>
      <c r="L39" s="2">
        <f t="shared" si="32"/>
        <v>0.1</v>
      </c>
      <c r="M39" s="2">
        <f t="shared" si="32"/>
        <v>0.1</v>
      </c>
      <c r="N39" s="2">
        <f t="shared" si="32"/>
        <v>0.1</v>
      </c>
      <c r="O39" s="2">
        <f t="shared" si="32"/>
        <v>0.1</v>
      </c>
      <c r="P39" s="2">
        <f t="shared" si="32"/>
        <v>0.1</v>
      </c>
      <c r="Q39" s="2">
        <f t="shared" si="32"/>
        <v>0.1</v>
      </c>
      <c r="R39" s="2">
        <f t="shared" si="32"/>
        <v>0.1</v>
      </c>
      <c r="S39" s="2">
        <f t="shared" si="32"/>
        <v>100.1</v>
      </c>
      <c r="T39" s="2">
        <f t="shared" si="32"/>
        <v>0</v>
      </c>
      <c r="U39" s="2">
        <f t="shared" si="32"/>
        <v>0</v>
      </c>
      <c r="V39" s="2">
        <f t="shared" si="33"/>
        <v>0</v>
      </c>
      <c r="W39" s="2">
        <f t="shared" si="33"/>
        <v>0</v>
      </c>
      <c r="X39" s="2">
        <f t="shared" si="33"/>
        <v>0</v>
      </c>
      <c r="Y39" s="2">
        <f t="shared" si="33"/>
        <v>0</v>
      </c>
      <c r="Z39" s="2">
        <f t="shared" si="33"/>
        <v>0</v>
      </c>
      <c r="AA39" s="2">
        <f t="shared" si="33"/>
        <v>0</v>
      </c>
      <c r="AB39" s="2">
        <f t="shared" si="33"/>
        <v>0</v>
      </c>
      <c r="AC39" s="2">
        <f t="shared" si="33"/>
        <v>0</v>
      </c>
      <c r="AD39" s="2">
        <f t="shared" si="33"/>
        <v>0</v>
      </c>
      <c r="AE39" s="2">
        <f t="shared" si="33"/>
        <v>0</v>
      </c>
      <c r="AF39" s="2">
        <f t="shared" si="34"/>
        <v>0</v>
      </c>
      <c r="AG39" s="2">
        <f t="shared" si="34"/>
        <v>0</v>
      </c>
      <c r="AH39" s="2">
        <f t="shared" si="34"/>
        <v>0</v>
      </c>
      <c r="AI39" s="2">
        <f t="shared" si="34"/>
        <v>0</v>
      </c>
      <c r="AJ39" s="2">
        <f t="shared" si="34"/>
        <v>0</v>
      </c>
      <c r="AK39" s="2">
        <f t="shared" si="34"/>
        <v>0</v>
      </c>
      <c r="AL39" s="2">
        <f t="shared" si="34"/>
        <v>0</v>
      </c>
      <c r="AM39" s="2">
        <f t="shared" si="34"/>
        <v>0</v>
      </c>
      <c r="AN39" s="2">
        <f t="shared" si="34"/>
        <v>0</v>
      </c>
      <c r="AO39" s="2">
        <f t="shared" si="34"/>
        <v>0</v>
      </c>
      <c r="AP39" s="2">
        <f t="shared" si="35"/>
        <v>0</v>
      </c>
      <c r="AQ39" s="2">
        <f t="shared" si="35"/>
        <v>0</v>
      </c>
      <c r="AR39" s="2">
        <f t="shared" si="35"/>
        <v>0</v>
      </c>
      <c r="AS39" s="2">
        <f t="shared" si="35"/>
        <v>0</v>
      </c>
      <c r="AT39" s="2">
        <f t="shared" si="35"/>
        <v>0</v>
      </c>
      <c r="AU39" s="2">
        <f t="shared" si="35"/>
        <v>0</v>
      </c>
      <c r="AV39" s="2">
        <f t="shared" si="35"/>
        <v>0</v>
      </c>
      <c r="AW39" s="2">
        <f t="shared" si="35"/>
        <v>0</v>
      </c>
      <c r="AX39" s="2">
        <f t="shared" si="35"/>
        <v>0</v>
      </c>
      <c r="AY39" s="2">
        <f t="shared" si="35"/>
        <v>0</v>
      </c>
      <c r="AZ39" s="2">
        <f t="shared" si="36"/>
        <v>0</v>
      </c>
      <c r="BA39" s="2">
        <f t="shared" si="36"/>
        <v>0</v>
      </c>
      <c r="BB39" s="2">
        <f t="shared" si="36"/>
        <v>0</v>
      </c>
      <c r="BC39" s="2">
        <f t="shared" si="36"/>
        <v>0</v>
      </c>
      <c r="BD39" s="2">
        <f t="shared" si="36"/>
        <v>0</v>
      </c>
      <c r="BE39" s="2">
        <f t="shared" si="36"/>
        <v>0</v>
      </c>
      <c r="BF39" s="2">
        <f t="shared" si="36"/>
        <v>0</v>
      </c>
      <c r="BG39" s="2">
        <f t="shared" si="36"/>
        <v>0</v>
      </c>
      <c r="BH39" s="2">
        <f t="shared" si="36"/>
        <v>0</v>
      </c>
      <c r="BI39" s="2">
        <f t="shared" si="36"/>
        <v>0</v>
      </c>
      <c r="BJ39" s="2">
        <f t="shared" si="37"/>
        <v>0</v>
      </c>
      <c r="BK39" s="2">
        <f t="shared" si="37"/>
        <v>0</v>
      </c>
      <c r="BL39" s="2">
        <f t="shared" si="37"/>
        <v>0</v>
      </c>
      <c r="BM39" s="2">
        <f t="shared" si="37"/>
        <v>0</v>
      </c>
      <c r="BN39" s="2">
        <f t="shared" si="37"/>
        <v>0</v>
      </c>
      <c r="BO39" s="2">
        <f t="shared" si="37"/>
        <v>0</v>
      </c>
      <c r="BP39" s="2">
        <f t="shared" si="37"/>
        <v>0</v>
      </c>
      <c r="BQ39" s="2">
        <f t="shared" si="37"/>
        <v>0</v>
      </c>
      <c r="BR39" s="2">
        <f t="shared" si="37"/>
        <v>0</v>
      </c>
      <c r="BS39" s="2">
        <f t="shared" si="37"/>
        <v>0</v>
      </c>
      <c r="BT39" s="2">
        <f t="shared" si="38"/>
        <v>0</v>
      </c>
      <c r="BU39" s="2">
        <f t="shared" si="38"/>
        <v>0</v>
      </c>
      <c r="BV39" s="2">
        <f t="shared" si="38"/>
        <v>0</v>
      </c>
      <c r="BW39" s="2">
        <f t="shared" si="38"/>
        <v>0</v>
      </c>
      <c r="BX39" s="2">
        <f t="shared" si="38"/>
        <v>0</v>
      </c>
      <c r="BY39" s="2">
        <f t="shared" si="38"/>
        <v>0</v>
      </c>
      <c r="BZ39" s="2">
        <f t="shared" si="38"/>
        <v>0</v>
      </c>
      <c r="CA39" s="2">
        <f t="shared" si="38"/>
        <v>0</v>
      </c>
      <c r="CB39" s="2">
        <f t="shared" si="38"/>
        <v>0</v>
      </c>
      <c r="CC39" s="2">
        <f t="shared" si="38"/>
        <v>0</v>
      </c>
      <c r="CD39" s="2">
        <f t="shared" si="39"/>
        <v>0</v>
      </c>
      <c r="CE39" s="2">
        <f t="shared" si="39"/>
        <v>0</v>
      </c>
      <c r="CF39" s="2">
        <f t="shared" si="39"/>
        <v>0</v>
      </c>
      <c r="CG39" s="2">
        <f t="shared" si="39"/>
        <v>0</v>
      </c>
      <c r="CH39" s="2">
        <f t="shared" si="39"/>
        <v>0</v>
      </c>
      <c r="CI39" s="2">
        <f t="shared" si="39"/>
        <v>0</v>
      </c>
      <c r="CJ39" s="2">
        <f t="shared" si="39"/>
        <v>0</v>
      </c>
      <c r="CK39" s="23">
        <f t="shared" si="39"/>
        <v>0</v>
      </c>
      <c r="CN39" s="2">
        <v>18</v>
      </c>
      <c r="CO39" s="14">
        <v>0.05</v>
      </c>
      <c r="CP39" s="14">
        <v>-9.582003682876308E-3</v>
      </c>
      <c r="CQ39" s="14">
        <v>-1.0166510163188178E-2</v>
      </c>
      <c r="CR39" s="14">
        <v>1.3900284968929543E-4</v>
      </c>
      <c r="CS39" s="14">
        <f t="shared" si="15"/>
        <v>3.0390489003624808E-2</v>
      </c>
    </row>
    <row r="40" spans="1:97" x14ac:dyDescent="0.45">
      <c r="A40" s="16">
        <v>4</v>
      </c>
      <c r="B40" s="17">
        <v>1E-3</v>
      </c>
      <c r="C40" s="19">
        <v>94.031000000000006</v>
      </c>
      <c r="D40" s="19">
        <f t="shared" si="40"/>
        <v>94.14349817334616</v>
      </c>
      <c r="E40" s="19">
        <f t="shared" si="1"/>
        <v>0.11249817334615386</v>
      </c>
      <c r="F40" s="19">
        <f t="shared" si="2"/>
        <v>0.11249817334615386</v>
      </c>
      <c r="G40" s="20">
        <f t="shared" si="41"/>
        <v>8.7583070751955372E-3</v>
      </c>
      <c r="H40" s="20">
        <f>IFERROR(IRR((J40,L40:CK40),0),0)</f>
        <v>8.607000937336462E-3</v>
      </c>
      <c r="I40" s="21">
        <f t="shared" si="4"/>
        <v>-1.5130613785907521E-4</v>
      </c>
      <c r="J40" s="19">
        <f t="shared" si="5"/>
        <v>-94.14349817334616</v>
      </c>
      <c r="K40" s="22">
        <f t="shared" si="42"/>
        <v>-94.031000000000006</v>
      </c>
      <c r="L40" s="2">
        <f t="shared" si="32"/>
        <v>0.1</v>
      </c>
      <c r="M40" s="2">
        <f t="shared" si="32"/>
        <v>0.1</v>
      </c>
      <c r="N40" s="2">
        <f t="shared" si="32"/>
        <v>0.1</v>
      </c>
      <c r="O40" s="2">
        <f t="shared" si="32"/>
        <v>0.1</v>
      </c>
      <c r="P40" s="2">
        <f t="shared" si="32"/>
        <v>0.1</v>
      </c>
      <c r="Q40" s="2">
        <f t="shared" si="32"/>
        <v>0.1</v>
      </c>
      <c r="R40" s="2">
        <f t="shared" si="32"/>
        <v>0.1</v>
      </c>
      <c r="S40" s="2">
        <f t="shared" si="32"/>
        <v>100.1</v>
      </c>
      <c r="T40" s="2">
        <f t="shared" si="32"/>
        <v>0</v>
      </c>
      <c r="U40" s="2">
        <f t="shared" si="32"/>
        <v>0</v>
      </c>
      <c r="V40" s="2">
        <f t="shared" si="33"/>
        <v>0</v>
      </c>
      <c r="W40" s="2">
        <f t="shared" si="33"/>
        <v>0</v>
      </c>
      <c r="X40" s="2">
        <f t="shared" si="33"/>
        <v>0</v>
      </c>
      <c r="Y40" s="2">
        <f t="shared" si="33"/>
        <v>0</v>
      </c>
      <c r="Z40" s="2">
        <f t="shared" si="33"/>
        <v>0</v>
      </c>
      <c r="AA40" s="2">
        <f t="shared" si="33"/>
        <v>0</v>
      </c>
      <c r="AB40" s="2">
        <f t="shared" si="33"/>
        <v>0</v>
      </c>
      <c r="AC40" s="2">
        <f t="shared" si="33"/>
        <v>0</v>
      </c>
      <c r="AD40" s="2">
        <f t="shared" si="33"/>
        <v>0</v>
      </c>
      <c r="AE40" s="2">
        <f t="shared" si="33"/>
        <v>0</v>
      </c>
      <c r="AF40" s="2">
        <f t="shared" si="34"/>
        <v>0</v>
      </c>
      <c r="AG40" s="2">
        <f t="shared" si="34"/>
        <v>0</v>
      </c>
      <c r="AH40" s="2">
        <f t="shared" si="34"/>
        <v>0</v>
      </c>
      <c r="AI40" s="2">
        <f t="shared" si="34"/>
        <v>0</v>
      </c>
      <c r="AJ40" s="2">
        <f t="shared" si="34"/>
        <v>0</v>
      </c>
      <c r="AK40" s="2">
        <f t="shared" si="34"/>
        <v>0</v>
      </c>
      <c r="AL40" s="2">
        <f t="shared" si="34"/>
        <v>0</v>
      </c>
      <c r="AM40" s="2">
        <f t="shared" si="34"/>
        <v>0</v>
      </c>
      <c r="AN40" s="2">
        <f t="shared" si="34"/>
        <v>0</v>
      </c>
      <c r="AO40" s="2">
        <f t="shared" si="34"/>
        <v>0</v>
      </c>
      <c r="AP40" s="2">
        <f t="shared" si="35"/>
        <v>0</v>
      </c>
      <c r="AQ40" s="2">
        <f t="shared" si="35"/>
        <v>0</v>
      </c>
      <c r="AR40" s="2">
        <f t="shared" si="35"/>
        <v>0</v>
      </c>
      <c r="AS40" s="2">
        <f t="shared" si="35"/>
        <v>0</v>
      </c>
      <c r="AT40" s="2">
        <f t="shared" si="35"/>
        <v>0</v>
      </c>
      <c r="AU40" s="2">
        <f t="shared" si="35"/>
        <v>0</v>
      </c>
      <c r="AV40" s="2">
        <f t="shared" si="35"/>
        <v>0</v>
      </c>
      <c r="AW40" s="2">
        <f t="shared" si="35"/>
        <v>0</v>
      </c>
      <c r="AX40" s="2">
        <f t="shared" si="35"/>
        <v>0</v>
      </c>
      <c r="AY40" s="2">
        <f t="shared" si="35"/>
        <v>0</v>
      </c>
      <c r="AZ40" s="2">
        <f t="shared" si="36"/>
        <v>0</v>
      </c>
      <c r="BA40" s="2">
        <f t="shared" si="36"/>
        <v>0</v>
      </c>
      <c r="BB40" s="2">
        <f t="shared" si="36"/>
        <v>0</v>
      </c>
      <c r="BC40" s="2">
        <f t="shared" si="36"/>
        <v>0</v>
      </c>
      <c r="BD40" s="2">
        <f t="shared" si="36"/>
        <v>0</v>
      </c>
      <c r="BE40" s="2">
        <f t="shared" si="36"/>
        <v>0</v>
      </c>
      <c r="BF40" s="2">
        <f t="shared" si="36"/>
        <v>0</v>
      </c>
      <c r="BG40" s="2">
        <f t="shared" si="36"/>
        <v>0</v>
      </c>
      <c r="BH40" s="2">
        <f t="shared" si="36"/>
        <v>0</v>
      </c>
      <c r="BI40" s="2">
        <f t="shared" si="36"/>
        <v>0</v>
      </c>
      <c r="BJ40" s="2">
        <f t="shared" si="37"/>
        <v>0</v>
      </c>
      <c r="BK40" s="2">
        <f t="shared" si="37"/>
        <v>0</v>
      </c>
      <c r="BL40" s="2">
        <f t="shared" si="37"/>
        <v>0</v>
      </c>
      <c r="BM40" s="2">
        <f t="shared" si="37"/>
        <v>0</v>
      </c>
      <c r="BN40" s="2">
        <f t="shared" si="37"/>
        <v>0</v>
      </c>
      <c r="BO40" s="2">
        <f t="shared" si="37"/>
        <v>0</v>
      </c>
      <c r="BP40" s="2">
        <f t="shared" si="37"/>
        <v>0</v>
      </c>
      <c r="BQ40" s="2">
        <f t="shared" si="37"/>
        <v>0</v>
      </c>
      <c r="BR40" s="2">
        <f t="shared" si="37"/>
        <v>0</v>
      </c>
      <c r="BS40" s="2">
        <f t="shared" si="37"/>
        <v>0</v>
      </c>
      <c r="BT40" s="2">
        <f t="shared" si="38"/>
        <v>0</v>
      </c>
      <c r="BU40" s="2">
        <f t="shared" si="38"/>
        <v>0</v>
      </c>
      <c r="BV40" s="2">
        <f t="shared" si="38"/>
        <v>0</v>
      </c>
      <c r="BW40" s="2">
        <f t="shared" si="38"/>
        <v>0</v>
      </c>
      <c r="BX40" s="2">
        <f t="shared" si="38"/>
        <v>0</v>
      </c>
      <c r="BY40" s="2">
        <f t="shared" si="38"/>
        <v>0</v>
      </c>
      <c r="BZ40" s="2">
        <f t="shared" si="38"/>
        <v>0</v>
      </c>
      <c r="CA40" s="2">
        <f t="shared" si="38"/>
        <v>0</v>
      </c>
      <c r="CB40" s="2">
        <f t="shared" si="38"/>
        <v>0</v>
      </c>
      <c r="CC40" s="2">
        <f t="shared" si="38"/>
        <v>0</v>
      </c>
      <c r="CD40" s="2">
        <f t="shared" si="39"/>
        <v>0</v>
      </c>
      <c r="CE40" s="2">
        <f t="shared" si="39"/>
        <v>0</v>
      </c>
      <c r="CF40" s="2">
        <f t="shared" si="39"/>
        <v>0</v>
      </c>
      <c r="CG40" s="2">
        <f t="shared" si="39"/>
        <v>0</v>
      </c>
      <c r="CH40" s="2">
        <f t="shared" si="39"/>
        <v>0</v>
      </c>
      <c r="CI40" s="2">
        <f t="shared" si="39"/>
        <v>0</v>
      </c>
      <c r="CJ40" s="2">
        <f t="shared" si="39"/>
        <v>0</v>
      </c>
      <c r="CK40" s="23">
        <f t="shared" si="39"/>
        <v>0</v>
      </c>
      <c r="CN40" s="2">
        <v>18.5</v>
      </c>
      <c r="CO40" s="14">
        <v>0.05</v>
      </c>
      <c r="CP40" s="14">
        <v>-9.3389314176456802E-3</v>
      </c>
      <c r="CQ40" s="14">
        <v>-9.9681590096466783E-3</v>
      </c>
      <c r="CR40" s="14">
        <v>1.3524601592959738E-4</v>
      </c>
      <c r="CS40" s="14">
        <f t="shared" si="15"/>
        <v>3.0828155588637246E-2</v>
      </c>
    </row>
    <row r="41" spans="1:97" x14ac:dyDescent="0.45">
      <c r="A41" s="16">
        <v>4.5</v>
      </c>
      <c r="B41" s="17">
        <v>1E-3</v>
      </c>
      <c r="C41" s="19">
        <v>93.595500000000001</v>
      </c>
      <c r="D41" s="19">
        <f t="shared" si="40"/>
        <v>93.158081769023724</v>
      </c>
      <c r="E41" s="19">
        <f t="shared" si="1"/>
        <v>-0.4374182309762773</v>
      </c>
      <c r="F41" s="19">
        <f t="shared" si="2"/>
        <v>0.4374182309762773</v>
      </c>
      <c r="G41" s="20">
        <f t="shared" si="41"/>
        <v>8.4190124417087286E-3</v>
      </c>
      <c r="H41" s="20">
        <f>IFERROR(IRR((J41,L41:CK41),0),0)</f>
        <v>8.9462208608999116E-3</v>
      </c>
      <c r="I41" s="21">
        <f t="shared" si="4"/>
        <v>5.27208419191183E-4</v>
      </c>
      <c r="J41" s="19">
        <f t="shared" si="5"/>
        <v>-93.158081769023724</v>
      </c>
      <c r="K41" s="22">
        <f t="shared" si="42"/>
        <v>-93.595500000000001</v>
      </c>
      <c r="L41" s="2">
        <f t="shared" si="32"/>
        <v>0.1</v>
      </c>
      <c r="M41" s="2">
        <f t="shared" si="32"/>
        <v>0.1</v>
      </c>
      <c r="N41" s="2">
        <f t="shared" si="32"/>
        <v>0.1</v>
      </c>
      <c r="O41" s="2">
        <f t="shared" si="32"/>
        <v>0.1</v>
      </c>
      <c r="P41" s="2">
        <f t="shared" si="32"/>
        <v>0.1</v>
      </c>
      <c r="Q41" s="2">
        <f t="shared" si="32"/>
        <v>0.1</v>
      </c>
      <c r="R41" s="2">
        <f t="shared" si="32"/>
        <v>0.1</v>
      </c>
      <c r="S41" s="2">
        <f t="shared" si="32"/>
        <v>0.1</v>
      </c>
      <c r="T41" s="2">
        <f t="shared" si="32"/>
        <v>100.1</v>
      </c>
      <c r="U41" s="2">
        <f t="shared" si="32"/>
        <v>0</v>
      </c>
      <c r="V41" s="2">
        <f t="shared" si="33"/>
        <v>0</v>
      </c>
      <c r="W41" s="2">
        <f t="shared" si="33"/>
        <v>0</v>
      </c>
      <c r="X41" s="2">
        <f t="shared" si="33"/>
        <v>0</v>
      </c>
      <c r="Y41" s="2">
        <f t="shared" si="33"/>
        <v>0</v>
      </c>
      <c r="Z41" s="2">
        <f t="shared" si="33"/>
        <v>0</v>
      </c>
      <c r="AA41" s="2">
        <f t="shared" si="33"/>
        <v>0</v>
      </c>
      <c r="AB41" s="2">
        <f t="shared" si="33"/>
        <v>0</v>
      </c>
      <c r="AC41" s="2">
        <f t="shared" si="33"/>
        <v>0</v>
      </c>
      <c r="AD41" s="2">
        <f t="shared" si="33"/>
        <v>0</v>
      </c>
      <c r="AE41" s="2">
        <f t="shared" si="33"/>
        <v>0</v>
      </c>
      <c r="AF41" s="2">
        <f t="shared" si="34"/>
        <v>0</v>
      </c>
      <c r="AG41" s="2">
        <f t="shared" si="34"/>
        <v>0</v>
      </c>
      <c r="AH41" s="2">
        <f t="shared" si="34"/>
        <v>0</v>
      </c>
      <c r="AI41" s="2">
        <f t="shared" si="34"/>
        <v>0</v>
      </c>
      <c r="AJ41" s="2">
        <f t="shared" si="34"/>
        <v>0</v>
      </c>
      <c r="AK41" s="2">
        <f t="shared" si="34"/>
        <v>0</v>
      </c>
      <c r="AL41" s="2">
        <f t="shared" si="34"/>
        <v>0</v>
      </c>
      <c r="AM41" s="2">
        <f t="shared" si="34"/>
        <v>0</v>
      </c>
      <c r="AN41" s="2">
        <f t="shared" si="34"/>
        <v>0</v>
      </c>
      <c r="AO41" s="2">
        <f t="shared" si="34"/>
        <v>0</v>
      </c>
      <c r="AP41" s="2">
        <f t="shared" si="35"/>
        <v>0</v>
      </c>
      <c r="AQ41" s="2">
        <f t="shared" si="35"/>
        <v>0</v>
      </c>
      <c r="AR41" s="2">
        <f t="shared" si="35"/>
        <v>0</v>
      </c>
      <c r="AS41" s="2">
        <f t="shared" si="35"/>
        <v>0</v>
      </c>
      <c r="AT41" s="2">
        <f t="shared" si="35"/>
        <v>0</v>
      </c>
      <c r="AU41" s="2">
        <f t="shared" si="35"/>
        <v>0</v>
      </c>
      <c r="AV41" s="2">
        <f t="shared" si="35"/>
        <v>0</v>
      </c>
      <c r="AW41" s="2">
        <f t="shared" si="35"/>
        <v>0</v>
      </c>
      <c r="AX41" s="2">
        <f t="shared" si="35"/>
        <v>0</v>
      </c>
      <c r="AY41" s="2">
        <f t="shared" si="35"/>
        <v>0</v>
      </c>
      <c r="AZ41" s="2">
        <f t="shared" si="36"/>
        <v>0</v>
      </c>
      <c r="BA41" s="2">
        <f t="shared" si="36"/>
        <v>0</v>
      </c>
      <c r="BB41" s="2">
        <f t="shared" si="36"/>
        <v>0</v>
      </c>
      <c r="BC41" s="2">
        <f t="shared" si="36"/>
        <v>0</v>
      </c>
      <c r="BD41" s="2">
        <f t="shared" si="36"/>
        <v>0</v>
      </c>
      <c r="BE41" s="2">
        <f t="shared" si="36"/>
        <v>0</v>
      </c>
      <c r="BF41" s="2">
        <f t="shared" si="36"/>
        <v>0</v>
      </c>
      <c r="BG41" s="2">
        <f t="shared" si="36"/>
        <v>0</v>
      </c>
      <c r="BH41" s="2">
        <f t="shared" si="36"/>
        <v>0</v>
      </c>
      <c r="BI41" s="2">
        <f t="shared" si="36"/>
        <v>0</v>
      </c>
      <c r="BJ41" s="2">
        <f t="shared" si="37"/>
        <v>0</v>
      </c>
      <c r="BK41" s="2">
        <f t="shared" si="37"/>
        <v>0</v>
      </c>
      <c r="BL41" s="2">
        <f t="shared" si="37"/>
        <v>0</v>
      </c>
      <c r="BM41" s="2">
        <f t="shared" si="37"/>
        <v>0</v>
      </c>
      <c r="BN41" s="2">
        <f t="shared" si="37"/>
        <v>0</v>
      </c>
      <c r="BO41" s="2">
        <f t="shared" si="37"/>
        <v>0</v>
      </c>
      <c r="BP41" s="2">
        <f t="shared" si="37"/>
        <v>0</v>
      </c>
      <c r="BQ41" s="2">
        <f t="shared" si="37"/>
        <v>0</v>
      </c>
      <c r="BR41" s="2">
        <f t="shared" si="37"/>
        <v>0</v>
      </c>
      <c r="BS41" s="2">
        <f t="shared" si="37"/>
        <v>0</v>
      </c>
      <c r="BT41" s="2">
        <f t="shared" si="38"/>
        <v>0</v>
      </c>
      <c r="BU41" s="2">
        <f t="shared" si="38"/>
        <v>0</v>
      </c>
      <c r="BV41" s="2">
        <f t="shared" si="38"/>
        <v>0</v>
      </c>
      <c r="BW41" s="2">
        <f t="shared" si="38"/>
        <v>0</v>
      </c>
      <c r="BX41" s="2">
        <f t="shared" si="38"/>
        <v>0</v>
      </c>
      <c r="BY41" s="2">
        <f t="shared" si="38"/>
        <v>0</v>
      </c>
      <c r="BZ41" s="2">
        <f t="shared" si="38"/>
        <v>0</v>
      </c>
      <c r="CA41" s="2">
        <f t="shared" si="38"/>
        <v>0</v>
      </c>
      <c r="CB41" s="2">
        <f t="shared" si="38"/>
        <v>0</v>
      </c>
      <c r="CC41" s="2">
        <f t="shared" si="38"/>
        <v>0</v>
      </c>
      <c r="CD41" s="2">
        <f t="shared" si="39"/>
        <v>0</v>
      </c>
      <c r="CE41" s="2">
        <f t="shared" si="39"/>
        <v>0</v>
      </c>
      <c r="CF41" s="2">
        <f t="shared" si="39"/>
        <v>0</v>
      </c>
      <c r="CG41" s="2">
        <f t="shared" si="39"/>
        <v>0</v>
      </c>
      <c r="CH41" s="2">
        <f t="shared" si="39"/>
        <v>0</v>
      </c>
      <c r="CI41" s="2">
        <f t="shared" si="39"/>
        <v>0</v>
      </c>
      <c r="CJ41" s="2">
        <f t="shared" si="39"/>
        <v>0</v>
      </c>
      <c r="CK41" s="23">
        <f t="shared" si="39"/>
        <v>0</v>
      </c>
      <c r="CN41" s="2">
        <v>19</v>
      </c>
      <c r="CO41" s="14">
        <v>0.05</v>
      </c>
      <c r="CP41" s="14">
        <v>-9.1069558795719707E-3</v>
      </c>
      <c r="CQ41" s="14">
        <v>-9.7739094384053701E-3</v>
      </c>
      <c r="CR41" s="14">
        <v>1.3168691025498011E-4</v>
      </c>
      <c r="CS41" s="14">
        <f t="shared" si="15"/>
        <v>3.1250821592277642E-2</v>
      </c>
    </row>
    <row r="42" spans="1:97" x14ac:dyDescent="0.45">
      <c r="A42" s="16">
        <v>4.5</v>
      </c>
      <c r="B42" s="17">
        <v>1E-3</v>
      </c>
      <c r="C42" s="19">
        <v>93.12</v>
      </c>
      <c r="D42" s="19">
        <f t="shared" si="40"/>
        <v>93.158081769023724</v>
      </c>
      <c r="E42" s="19">
        <f t="shared" si="1"/>
        <v>3.8081769023719403E-2</v>
      </c>
      <c r="F42" s="19">
        <f t="shared" si="2"/>
        <v>3.8081769023719403E-2</v>
      </c>
      <c r="G42" s="20">
        <f t="shared" si="41"/>
        <v>8.9922502580710439E-3</v>
      </c>
      <c r="H42" s="20">
        <f>IFERROR(IRR((J42,L42:CK42),0),0)</f>
        <v>8.9462208608999116E-3</v>
      </c>
      <c r="I42" s="21">
        <f t="shared" si="4"/>
        <v>-4.6029397171132302E-5</v>
      </c>
      <c r="J42" s="19">
        <f t="shared" si="5"/>
        <v>-93.158081769023724</v>
      </c>
      <c r="K42" s="22">
        <f t="shared" si="42"/>
        <v>-93.12</v>
      </c>
      <c r="L42" s="2">
        <f t="shared" si="32"/>
        <v>0.1</v>
      </c>
      <c r="M42" s="2">
        <f t="shared" si="32"/>
        <v>0.1</v>
      </c>
      <c r="N42" s="2">
        <f t="shared" si="32"/>
        <v>0.1</v>
      </c>
      <c r="O42" s="2">
        <f t="shared" si="32"/>
        <v>0.1</v>
      </c>
      <c r="P42" s="2">
        <f t="shared" si="32"/>
        <v>0.1</v>
      </c>
      <c r="Q42" s="2">
        <f t="shared" si="32"/>
        <v>0.1</v>
      </c>
      <c r="R42" s="2">
        <f t="shared" si="32"/>
        <v>0.1</v>
      </c>
      <c r="S42" s="2">
        <f t="shared" si="32"/>
        <v>0.1</v>
      </c>
      <c r="T42" s="2">
        <f t="shared" si="32"/>
        <v>100.1</v>
      </c>
      <c r="U42" s="2">
        <f t="shared" si="32"/>
        <v>0</v>
      </c>
      <c r="V42" s="2">
        <f t="shared" si="33"/>
        <v>0</v>
      </c>
      <c r="W42" s="2">
        <f t="shared" si="33"/>
        <v>0</v>
      </c>
      <c r="X42" s="2">
        <f t="shared" si="33"/>
        <v>0</v>
      </c>
      <c r="Y42" s="2">
        <f t="shared" si="33"/>
        <v>0</v>
      </c>
      <c r="Z42" s="2">
        <f t="shared" si="33"/>
        <v>0</v>
      </c>
      <c r="AA42" s="2">
        <f t="shared" si="33"/>
        <v>0</v>
      </c>
      <c r="AB42" s="2">
        <f t="shared" si="33"/>
        <v>0</v>
      </c>
      <c r="AC42" s="2">
        <f t="shared" si="33"/>
        <v>0</v>
      </c>
      <c r="AD42" s="2">
        <f t="shared" si="33"/>
        <v>0</v>
      </c>
      <c r="AE42" s="2">
        <f t="shared" si="33"/>
        <v>0</v>
      </c>
      <c r="AF42" s="2">
        <f t="shared" si="34"/>
        <v>0</v>
      </c>
      <c r="AG42" s="2">
        <f t="shared" si="34"/>
        <v>0</v>
      </c>
      <c r="AH42" s="2">
        <f t="shared" si="34"/>
        <v>0</v>
      </c>
      <c r="AI42" s="2">
        <f t="shared" si="34"/>
        <v>0</v>
      </c>
      <c r="AJ42" s="2">
        <f t="shared" si="34"/>
        <v>0</v>
      </c>
      <c r="AK42" s="2">
        <f t="shared" si="34"/>
        <v>0</v>
      </c>
      <c r="AL42" s="2">
        <f t="shared" si="34"/>
        <v>0</v>
      </c>
      <c r="AM42" s="2">
        <f t="shared" si="34"/>
        <v>0</v>
      </c>
      <c r="AN42" s="2">
        <f t="shared" si="34"/>
        <v>0</v>
      </c>
      <c r="AO42" s="2">
        <f t="shared" si="34"/>
        <v>0</v>
      </c>
      <c r="AP42" s="2">
        <f t="shared" si="35"/>
        <v>0</v>
      </c>
      <c r="AQ42" s="2">
        <f t="shared" si="35"/>
        <v>0</v>
      </c>
      <c r="AR42" s="2">
        <f t="shared" si="35"/>
        <v>0</v>
      </c>
      <c r="AS42" s="2">
        <f t="shared" si="35"/>
        <v>0</v>
      </c>
      <c r="AT42" s="2">
        <f t="shared" si="35"/>
        <v>0</v>
      </c>
      <c r="AU42" s="2">
        <f t="shared" si="35"/>
        <v>0</v>
      </c>
      <c r="AV42" s="2">
        <f t="shared" si="35"/>
        <v>0</v>
      </c>
      <c r="AW42" s="2">
        <f t="shared" si="35"/>
        <v>0</v>
      </c>
      <c r="AX42" s="2">
        <f t="shared" si="35"/>
        <v>0</v>
      </c>
      <c r="AY42" s="2">
        <f t="shared" si="35"/>
        <v>0</v>
      </c>
      <c r="AZ42" s="2">
        <f t="shared" si="36"/>
        <v>0</v>
      </c>
      <c r="BA42" s="2">
        <f t="shared" si="36"/>
        <v>0</v>
      </c>
      <c r="BB42" s="2">
        <f t="shared" si="36"/>
        <v>0</v>
      </c>
      <c r="BC42" s="2">
        <f t="shared" si="36"/>
        <v>0</v>
      </c>
      <c r="BD42" s="2">
        <f t="shared" si="36"/>
        <v>0</v>
      </c>
      <c r="BE42" s="2">
        <f t="shared" si="36"/>
        <v>0</v>
      </c>
      <c r="BF42" s="2">
        <f t="shared" si="36"/>
        <v>0</v>
      </c>
      <c r="BG42" s="2">
        <f t="shared" si="36"/>
        <v>0</v>
      </c>
      <c r="BH42" s="2">
        <f t="shared" si="36"/>
        <v>0</v>
      </c>
      <c r="BI42" s="2">
        <f t="shared" si="36"/>
        <v>0</v>
      </c>
      <c r="BJ42" s="2">
        <f t="shared" si="37"/>
        <v>0</v>
      </c>
      <c r="BK42" s="2">
        <f t="shared" si="37"/>
        <v>0</v>
      </c>
      <c r="BL42" s="2">
        <f t="shared" si="37"/>
        <v>0</v>
      </c>
      <c r="BM42" s="2">
        <f t="shared" si="37"/>
        <v>0</v>
      </c>
      <c r="BN42" s="2">
        <f t="shared" si="37"/>
        <v>0</v>
      </c>
      <c r="BO42" s="2">
        <f t="shared" si="37"/>
        <v>0</v>
      </c>
      <c r="BP42" s="2">
        <f t="shared" si="37"/>
        <v>0</v>
      </c>
      <c r="BQ42" s="2">
        <f t="shared" si="37"/>
        <v>0</v>
      </c>
      <c r="BR42" s="2">
        <f t="shared" si="37"/>
        <v>0</v>
      </c>
      <c r="BS42" s="2">
        <f t="shared" si="37"/>
        <v>0</v>
      </c>
      <c r="BT42" s="2">
        <f t="shared" si="38"/>
        <v>0</v>
      </c>
      <c r="BU42" s="2">
        <f t="shared" si="38"/>
        <v>0</v>
      </c>
      <c r="BV42" s="2">
        <f t="shared" si="38"/>
        <v>0</v>
      </c>
      <c r="BW42" s="2">
        <f t="shared" si="38"/>
        <v>0</v>
      </c>
      <c r="BX42" s="2">
        <f t="shared" si="38"/>
        <v>0</v>
      </c>
      <c r="BY42" s="2">
        <f t="shared" si="38"/>
        <v>0</v>
      </c>
      <c r="BZ42" s="2">
        <f t="shared" si="38"/>
        <v>0</v>
      </c>
      <c r="CA42" s="2">
        <f t="shared" si="38"/>
        <v>0</v>
      </c>
      <c r="CB42" s="2">
        <f t="shared" si="38"/>
        <v>0</v>
      </c>
      <c r="CC42" s="2">
        <f t="shared" si="38"/>
        <v>0</v>
      </c>
      <c r="CD42" s="2">
        <f t="shared" si="39"/>
        <v>0</v>
      </c>
      <c r="CE42" s="2">
        <f t="shared" si="39"/>
        <v>0</v>
      </c>
      <c r="CF42" s="2">
        <f t="shared" si="39"/>
        <v>0</v>
      </c>
      <c r="CG42" s="2">
        <f t="shared" si="39"/>
        <v>0</v>
      </c>
      <c r="CH42" s="2">
        <f t="shared" si="39"/>
        <v>0</v>
      </c>
      <c r="CI42" s="2">
        <f t="shared" si="39"/>
        <v>0</v>
      </c>
      <c r="CJ42" s="2">
        <f t="shared" si="39"/>
        <v>0</v>
      </c>
      <c r="CK42" s="23">
        <f t="shared" si="39"/>
        <v>0</v>
      </c>
      <c r="CN42" s="2">
        <v>19.5</v>
      </c>
      <c r="CO42" s="14">
        <v>0.05</v>
      </c>
      <c r="CP42" s="14">
        <v>-8.885404614521945E-3</v>
      </c>
      <c r="CQ42" s="14">
        <v>-9.5839287852384075E-3</v>
      </c>
      <c r="CR42" s="14">
        <v>1.2831032281636378E-4</v>
      </c>
      <c r="CS42" s="14">
        <f t="shared" si="15"/>
        <v>3.1658976923056012E-2</v>
      </c>
    </row>
    <row r="43" spans="1:97" x14ac:dyDescent="0.45">
      <c r="A43" s="16">
        <v>4.5</v>
      </c>
      <c r="B43" s="17">
        <v>1E-3</v>
      </c>
      <c r="C43" s="19">
        <v>92.654499999999999</v>
      </c>
      <c r="D43" s="19">
        <f t="shared" si="40"/>
        <v>93.158081769023724</v>
      </c>
      <c r="E43" s="19">
        <f t="shared" si="1"/>
        <v>0.5035817690237252</v>
      </c>
      <c r="F43" s="19">
        <f t="shared" si="2"/>
        <v>0.5035817690237252</v>
      </c>
      <c r="G43" s="20">
        <f t="shared" si="41"/>
        <v>9.5566006975049689E-3</v>
      </c>
      <c r="H43" s="20">
        <f>IFERROR(IRR((J43,L43:CK43),0),0)</f>
        <v>8.9462208608999116E-3</v>
      </c>
      <c r="I43" s="21">
        <f t="shared" si="4"/>
        <v>-6.1037983660505724E-4</v>
      </c>
      <c r="J43" s="19">
        <f t="shared" si="5"/>
        <v>-93.158081769023724</v>
      </c>
      <c r="K43" s="22">
        <f t="shared" si="42"/>
        <v>-92.654499999999999</v>
      </c>
      <c r="L43" s="2">
        <f t="shared" ref="L43:U52" si="43">$B43*100*(L$2&lt;$A43)+100*(1+$B43)*(L$2=$A43)</f>
        <v>0.1</v>
      </c>
      <c r="M43" s="2">
        <f t="shared" si="43"/>
        <v>0.1</v>
      </c>
      <c r="N43" s="2">
        <f t="shared" si="43"/>
        <v>0.1</v>
      </c>
      <c r="O43" s="2">
        <f t="shared" si="43"/>
        <v>0.1</v>
      </c>
      <c r="P43" s="2">
        <f t="shared" si="43"/>
        <v>0.1</v>
      </c>
      <c r="Q43" s="2">
        <f t="shared" si="43"/>
        <v>0.1</v>
      </c>
      <c r="R43" s="2">
        <f t="shared" si="43"/>
        <v>0.1</v>
      </c>
      <c r="S43" s="2">
        <f t="shared" si="43"/>
        <v>0.1</v>
      </c>
      <c r="T43" s="2">
        <f t="shared" si="43"/>
        <v>100.1</v>
      </c>
      <c r="U43" s="2">
        <f t="shared" si="43"/>
        <v>0</v>
      </c>
      <c r="V43" s="2">
        <f t="shared" ref="V43:AE52" si="44">$B43*100*(V$2&lt;$A43)+100*(1+$B43)*(V$2=$A43)</f>
        <v>0</v>
      </c>
      <c r="W43" s="2">
        <f t="shared" si="44"/>
        <v>0</v>
      </c>
      <c r="X43" s="2">
        <f t="shared" si="44"/>
        <v>0</v>
      </c>
      <c r="Y43" s="2">
        <f t="shared" si="44"/>
        <v>0</v>
      </c>
      <c r="Z43" s="2">
        <f t="shared" si="44"/>
        <v>0</v>
      </c>
      <c r="AA43" s="2">
        <f t="shared" si="44"/>
        <v>0</v>
      </c>
      <c r="AB43" s="2">
        <f t="shared" si="44"/>
        <v>0</v>
      </c>
      <c r="AC43" s="2">
        <f t="shared" si="44"/>
        <v>0</v>
      </c>
      <c r="AD43" s="2">
        <f t="shared" si="44"/>
        <v>0</v>
      </c>
      <c r="AE43" s="2">
        <f t="shared" si="44"/>
        <v>0</v>
      </c>
      <c r="AF43" s="2">
        <f t="shared" ref="AF43:AO52" si="45">$B43*100*(AF$2&lt;$A43)+100*(1+$B43)*(AF$2=$A43)</f>
        <v>0</v>
      </c>
      <c r="AG43" s="2">
        <f t="shared" si="45"/>
        <v>0</v>
      </c>
      <c r="AH43" s="2">
        <f t="shared" si="45"/>
        <v>0</v>
      </c>
      <c r="AI43" s="2">
        <f t="shared" si="45"/>
        <v>0</v>
      </c>
      <c r="AJ43" s="2">
        <f t="shared" si="45"/>
        <v>0</v>
      </c>
      <c r="AK43" s="2">
        <f t="shared" si="45"/>
        <v>0</v>
      </c>
      <c r="AL43" s="2">
        <f t="shared" si="45"/>
        <v>0</v>
      </c>
      <c r="AM43" s="2">
        <f t="shared" si="45"/>
        <v>0</v>
      </c>
      <c r="AN43" s="2">
        <f t="shared" si="45"/>
        <v>0</v>
      </c>
      <c r="AO43" s="2">
        <f t="shared" si="45"/>
        <v>0</v>
      </c>
      <c r="AP43" s="2">
        <f t="shared" ref="AP43:AY52" si="46">$B43*100*(AP$2&lt;$A43)+100*(1+$B43)*(AP$2=$A43)</f>
        <v>0</v>
      </c>
      <c r="AQ43" s="2">
        <f t="shared" si="46"/>
        <v>0</v>
      </c>
      <c r="AR43" s="2">
        <f t="shared" si="46"/>
        <v>0</v>
      </c>
      <c r="AS43" s="2">
        <f t="shared" si="46"/>
        <v>0</v>
      </c>
      <c r="AT43" s="2">
        <f t="shared" si="46"/>
        <v>0</v>
      </c>
      <c r="AU43" s="2">
        <f t="shared" si="46"/>
        <v>0</v>
      </c>
      <c r="AV43" s="2">
        <f t="shared" si="46"/>
        <v>0</v>
      </c>
      <c r="AW43" s="2">
        <f t="shared" si="46"/>
        <v>0</v>
      </c>
      <c r="AX43" s="2">
        <f t="shared" si="46"/>
        <v>0</v>
      </c>
      <c r="AY43" s="2">
        <f t="shared" si="46"/>
        <v>0</v>
      </c>
      <c r="AZ43" s="2">
        <f t="shared" ref="AZ43:BI52" si="47">$B43*100*(AZ$2&lt;$A43)+100*(1+$B43)*(AZ$2=$A43)</f>
        <v>0</v>
      </c>
      <c r="BA43" s="2">
        <f t="shared" si="47"/>
        <v>0</v>
      </c>
      <c r="BB43" s="2">
        <f t="shared" si="47"/>
        <v>0</v>
      </c>
      <c r="BC43" s="2">
        <f t="shared" si="47"/>
        <v>0</v>
      </c>
      <c r="BD43" s="2">
        <f t="shared" si="47"/>
        <v>0</v>
      </c>
      <c r="BE43" s="2">
        <f t="shared" si="47"/>
        <v>0</v>
      </c>
      <c r="BF43" s="2">
        <f t="shared" si="47"/>
        <v>0</v>
      </c>
      <c r="BG43" s="2">
        <f t="shared" si="47"/>
        <v>0</v>
      </c>
      <c r="BH43" s="2">
        <f t="shared" si="47"/>
        <v>0</v>
      </c>
      <c r="BI43" s="2">
        <f t="shared" si="47"/>
        <v>0</v>
      </c>
      <c r="BJ43" s="2">
        <f t="shared" ref="BJ43:BS52" si="48">$B43*100*(BJ$2&lt;$A43)+100*(1+$B43)*(BJ$2=$A43)</f>
        <v>0</v>
      </c>
      <c r="BK43" s="2">
        <f t="shared" si="48"/>
        <v>0</v>
      </c>
      <c r="BL43" s="2">
        <f t="shared" si="48"/>
        <v>0</v>
      </c>
      <c r="BM43" s="2">
        <f t="shared" si="48"/>
        <v>0</v>
      </c>
      <c r="BN43" s="2">
        <f t="shared" si="48"/>
        <v>0</v>
      </c>
      <c r="BO43" s="2">
        <f t="shared" si="48"/>
        <v>0</v>
      </c>
      <c r="BP43" s="2">
        <f t="shared" si="48"/>
        <v>0</v>
      </c>
      <c r="BQ43" s="2">
        <f t="shared" si="48"/>
        <v>0</v>
      </c>
      <c r="BR43" s="2">
        <f t="shared" si="48"/>
        <v>0</v>
      </c>
      <c r="BS43" s="2">
        <f t="shared" si="48"/>
        <v>0</v>
      </c>
      <c r="BT43" s="2">
        <f t="shared" ref="BT43:CC52" si="49">$B43*100*(BT$2&lt;$A43)+100*(1+$B43)*(BT$2=$A43)</f>
        <v>0</v>
      </c>
      <c r="BU43" s="2">
        <f t="shared" si="49"/>
        <v>0</v>
      </c>
      <c r="BV43" s="2">
        <f t="shared" si="49"/>
        <v>0</v>
      </c>
      <c r="BW43" s="2">
        <f t="shared" si="49"/>
        <v>0</v>
      </c>
      <c r="BX43" s="2">
        <f t="shared" si="49"/>
        <v>0</v>
      </c>
      <c r="BY43" s="2">
        <f t="shared" si="49"/>
        <v>0</v>
      </c>
      <c r="BZ43" s="2">
        <f t="shared" si="49"/>
        <v>0</v>
      </c>
      <c r="CA43" s="2">
        <f t="shared" si="49"/>
        <v>0</v>
      </c>
      <c r="CB43" s="2">
        <f t="shared" si="49"/>
        <v>0</v>
      </c>
      <c r="CC43" s="2">
        <f t="shared" si="49"/>
        <v>0</v>
      </c>
      <c r="CD43" s="2">
        <f t="shared" ref="CD43:CK52" si="50">$B43*100*(CD$2&lt;$A43)+100*(1+$B43)*(CD$2=$A43)</f>
        <v>0</v>
      </c>
      <c r="CE43" s="2">
        <f t="shared" si="50"/>
        <v>0</v>
      </c>
      <c r="CF43" s="2">
        <f t="shared" si="50"/>
        <v>0</v>
      </c>
      <c r="CG43" s="2">
        <f t="shared" si="50"/>
        <v>0</v>
      </c>
      <c r="CH43" s="2">
        <f t="shared" si="50"/>
        <v>0</v>
      </c>
      <c r="CI43" s="2">
        <f t="shared" si="50"/>
        <v>0</v>
      </c>
      <c r="CJ43" s="2">
        <f t="shared" si="50"/>
        <v>0</v>
      </c>
      <c r="CK43" s="23">
        <f t="shared" si="50"/>
        <v>0</v>
      </c>
      <c r="CN43" s="2">
        <v>20</v>
      </c>
      <c r="CO43" s="14">
        <v>0.05</v>
      </c>
      <c r="CP43" s="14">
        <v>-8.6736530607460054E-3</v>
      </c>
      <c r="CQ43" s="14">
        <v>-9.3983367774493065E-3</v>
      </c>
      <c r="CR43" s="14">
        <v>1.2510256474783892E-4</v>
      </c>
      <c r="CS43" s="14">
        <f t="shared" si="15"/>
        <v>3.2053112726552528E-2</v>
      </c>
    </row>
    <row r="44" spans="1:97" x14ac:dyDescent="0.45">
      <c r="A44" s="16">
        <v>5</v>
      </c>
      <c r="B44" s="17">
        <v>1E-3</v>
      </c>
      <c r="C44" s="19">
        <v>92.173000000000002</v>
      </c>
      <c r="D44" s="19">
        <f t="shared" si="40"/>
        <v>92.106135419155692</v>
      </c>
      <c r="E44" s="19">
        <f t="shared" si="1"/>
        <v>-6.686458084431024E-2</v>
      </c>
      <c r="F44" s="19">
        <f t="shared" si="2"/>
        <v>6.686458084431024E-2</v>
      </c>
      <c r="G44" s="20">
        <f t="shared" si="41"/>
        <v>9.2298041172713674E-3</v>
      </c>
      <c r="H44" s="20">
        <f>IFERROR(IRR((J44,L44:CK44),0),0)</f>
        <v>9.3033929085899469E-3</v>
      </c>
      <c r="I44" s="21">
        <f t="shared" si="4"/>
        <v>7.3588791318579538E-5</v>
      </c>
      <c r="J44" s="19">
        <f t="shared" si="5"/>
        <v>-92.106135419155692</v>
      </c>
      <c r="K44" s="22">
        <f t="shared" si="42"/>
        <v>-92.173000000000002</v>
      </c>
      <c r="L44" s="2">
        <f t="shared" si="43"/>
        <v>0.1</v>
      </c>
      <c r="M44" s="2">
        <f t="shared" si="43"/>
        <v>0.1</v>
      </c>
      <c r="N44" s="2">
        <f t="shared" si="43"/>
        <v>0.1</v>
      </c>
      <c r="O44" s="2">
        <f t="shared" si="43"/>
        <v>0.1</v>
      </c>
      <c r="P44" s="2">
        <f t="shared" si="43"/>
        <v>0.1</v>
      </c>
      <c r="Q44" s="2">
        <f t="shared" si="43"/>
        <v>0.1</v>
      </c>
      <c r="R44" s="2">
        <f t="shared" si="43"/>
        <v>0.1</v>
      </c>
      <c r="S44" s="2">
        <f t="shared" si="43"/>
        <v>0.1</v>
      </c>
      <c r="T44" s="2">
        <f t="shared" si="43"/>
        <v>0.1</v>
      </c>
      <c r="U44" s="2">
        <f t="shared" si="43"/>
        <v>100.1</v>
      </c>
      <c r="V44" s="2">
        <f t="shared" si="44"/>
        <v>0</v>
      </c>
      <c r="W44" s="2">
        <f t="shared" si="44"/>
        <v>0</v>
      </c>
      <c r="X44" s="2">
        <f t="shared" si="44"/>
        <v>0</v>
      </c>
      <c r="Y44" s="2">
        <f t="shared" si="44"/>
        <v>0</v>
      </c>
      <c r="Z44" s="2">
        <f t="shared" si="44"/>
        <v>0</v>
      </c>
      <c r="AA44" s="2">
        <f t="shared" si="44"/>
        <v>0</v>
      </c>
      <c r="AB44" s="2">
        <f t="shared" si="44"/>
        <v>0</v>
      </c>
      <c r="AC44" s="2">
        <f t="shared" si="44"/>
        <v>0</v>
      </c>
      <c r="AD44" s="2">
        <f t="shared" si="44"/>
        <v>0</v>
      </c>
      <c r="AE44" s="2">
        <f t="shared" si="44"/>
        <v>0</v>
      </c>
      <c r="AF44" s="2">
        <f t="shared" si="45"/>
        <v>0</v>
      </c>
      <c r="AG44" s="2">
        <f t="shared" si="45"/>
        <v>0</v>
      </c>
      <c r="AH44" s="2">
        <f t="shared" si="45"/>
        <v>0</v>
      </c>
      <c r="AI44" s="2">
        <f t="shared" si="45"/>
        <v>0</v>
      </c>
      <c r="AJ44" s="2">
        <f t="shared" si="45"/>
        <v>0</v>
      </c>
      <c r="AK44" s="2">
        <f t="shared" si="45"/>
        <v>0</v>
      </c>
      <c r="AL44" s="2">
        <f t="shared" si="45"/>
        <v>0</v>
      </c>
      <c r="AM44" s="2">
        <f t="shared" si="45"/>
        <v>0</v>
      </c>
      <c r="AN44" s="2">
        <f t="shared" si="45"/>
        <v>0</v>
      </c>
      <c r="AO44" s="2">
        <f t="shared" si="45"/>
        <v>0</v>
      </c>
      <c r="AP44" s="2">
        <f t="shared" si="46"/>
        <v>0</v>
      </c>
      <c r="AQ44" s="2">
        <f t="shared" si="46"/>
        <v>0</v>
      </c>
      <c r="AR44" s="2">
        <f t="shared" si="46"/>
        <v>0</v>
      </c>
      <c r="AS44" s="2">
        <f t="shared" si="46"/>
        <v>0</v>
      </c>
      <c r="AT44" s="2">
        <f t="shared" si="46"/>
        <v>0</v>
      </c>
      <c r="AU44" s="2">
        <f t="shared" si="46"/>
        <v>0</v>
      </c>
      <c r="AV44" s="2">
        <f t="shared" si="46"/>
        <v>0</v>
      </c>
      <c r="AW44" s="2">
        <f t="shared" si="46"/>
        <v>0</v>
      </c>
      <c r="AX44" s="2">
        <f t="shared" si="46"/>
        <v>0</v>
      </c>
      <c r="AY44" s="2">
        <f t="shared" si="46"/>
        <v>0</v>
      </c>
      <c r="AZ44" s="2">
        <f t="shared" si="47"/>
        <v>0</v>
      </c>
      <c r="BA44" s="2">
        <f t="shared" si="47"/>
        <v>0</v>
      </c>
      <c r="BB44" s="2">
        <f t="shared" si="47"/>
        <v>0</v>
      </c>
      <c r="BC44" s="2">
        <f t="shared" si="47"/>
        <v>0</v>
      </c>
      <c r="BD44" s="2">
        <f t="shared" si="47"/>
        <v>0</v>
      </c>
      <c r="BE44" s="2">
        <f t="shared" si="47"/>
        <v>0</v>
      </c>
      <c r="BF44" s="2">
        <f t="shared" si="47"/>
        <v>0</v>
      </c>
      <c r="BG44" s="2">
        <f t="shared" si="47"/>
        <v>0</v>
      </c>
      <c r="BH44" s="2">
        <f t="shared" si="47"/>
        <v>0</v>
      </c>
      <c r="BI44" s="2">
        <f t="shared" si="47"/>
        <v>0</v>
      </c>
      <c r="BJ44" s="2">
        <f t="shared" si="48"/>
        <v>0</v>
      </c>
      <c r="BK44" s="2">
        <f t="shared" si="48"/>
        <v>0</v>
      </c>
      <c r="BL44" s="2">
        <f t="shared" si="48"/>
        <v>0</v>
      </c>
      <c r="BM44" s="2">
        <f t="shared" si="48"/>
        <v>0</v>
      </c>
      <c r="BN44" s="2">
        <f t="shared" si="48"/>
        <v>0</v>
      </c>
      <c r="BO44" s="2">
        <f t="shared" si="48"/>
        <v>0</v>
      </c>
      <c r="BP44" s="2">
        <f t="shared" si="48"/>
        <v>0</v>
      </c>
      <c r="BQ44" s="2">
        <f t="shared" si="48"/>
        <v>0</v>
      </c>
      <c r="BR44" s="2">
        <f t="shared" si="48"/>
        <v>0</v>
      </c>
      <c r="BS44" s="2">
        <f t="shared" si="48"/>
        <v>0</v>
      </c>
      <c r="BT44" s="2">
        <f t="shared" si="49"/>
        <v>0</v>
      </c>
      <c r="BU44" s="2">
        <f t="shared" si="49"/>
        <v>0</v>
      </c>
      <c r="BV44" s="2">
        <f t="shared" si="49"/>
        <v>0</v>
      </c>
      <c r="BW44" s="2">
        <f t="shared" si="49"/>
        <v>0</v>
      </c>
      <c r="BX44" s="2">
        <f t="shared" si="49"/>
        <v>0</v>
      </c>
      <c r="BY44" s="2">
        <f t="shared" si="49"/>
        <v>0</v>
      </c>
      <c r="BZ44" s="2">
        <f t="shared" si="49"/>
        <v>0</v>
      </c>
      <c r="CA44" s="2">
        <f t="shared" si="49"/>
        <v>0</v>
      </c>
      <c r="CB44" s="2">
        <f t="shared" si="49"/>
        <v>0</v>
      </c>
      <c r="CC44" s="2">
        <f t="shared" si="49"/>
        <v>0</v>
      </c>
      <c r="CD44" s="2">
        <f t="shared" si="50"/>
        <v>0</v>
      </c>
      <c r="CE44" s="2">
        <f t="shared" si="50"/>
        <v>0</v>
      </c>
      <c r="CF44" s="2">
        <f t="shared" si="50"/>
        <v>0</v>
      </c>
      <c r="CG44" s="2">
        <f t="shared" si="50"/>
        <v>0</v>
      </c>
      <c r="CH44" s="2">
        <f t="shared" si="50"/>
        <v>0</v>
      </c>
      <c r="CI44" s="2">
        <f t="shared" si="50"/>
        <v>0</v>
      </c>
      <c r="CJ44" s="2">
        <f t="shared" si="50"/>
        <v>0</v>
      </c>
      <c r="CK44" s="23">
        <f t="shared" si="50"/>
        <v>0</v>
      </c>
      <c r="CN44" s="2">
        <v>20.5</v>
      </c>
      <c r="CO44" s="14">
        <v>0.05</v>
      </c>
      <c r="CP44" s="14">
        <v>-8.4711207773148153E-3</v>
      </c>
      <c r="CQ44" s="14">
        <v>-9.2172124262682228E-3</v>
      </c>
      <c r="CR44" s="14">
        <v>1.2205128268174806E-4</v>
      </c>
      <c r="CS44" s="14">
        <f t="shared" si="15"/>
        <v>3.2433718079098714E-2</v>
      </c>
    </row>
    <row r="45" spans="1:97" x14ac:dyDescent="0.45">
      <c r="A45" s="16">
        <v>5.5</v>
      </c>
      <c r="B45" s="17">
        <v>1E-3</v>
      </c>
      <c r="C45" s="19">
        <v>91.65100000000001</v>
      </c>
      <c r="D45" s="19">
        <f t="shared" si="40"/>
        <v>90.990261557176908</v>
      </c>
      <c r="E45" s="19">
        <f t="shared" si="1"/>
        <v>-0.6607384428231029</v>
      </c>
      <c r="F45" s="19">
        <f t="shared" si="2"/>
        <v>0.6607384428231029</v>
      </c>
      <c r="G45" s="20">
        <f t="shared" si="41"/>
        <v>9.0062736098344143E-3</v>
      </c>
      <c r="H45" s="20">
        <f>IFERROR(IRR((J45,L45:CK45),0),0)</f>
        <v>9.6737026139985804E-3</v>
      </c>
      <c r="I45" s="21">
        <f t="shared" si="4"/>
        <v>6.6742900416416617E-4</v>
      </c>
      <c r="J45" s="19">
        <f t="shared" si="5"/>
        <v>-90.990261557176908</v>
      </c>
      <c r="K45" s="22">
        <f t="shared" si="42"/>
        <v>-91.65100000000001</v>
      </c>
      <c r="L45" s="2">
        <f t="shared" si="43"/>
        <v>0.1</v>
      </c>
      <c r="M45" s="2">
        <f t="shared" si="43"/>
        <v>0.1</v>
      </c>
      <c r="N45" s="2">
        <f t="shared" si="43"/>
        <v>0.1</v>
      </c>
      <c r="O45" s="2">
        <f t="shared" si="43"/>
        <v>0.1</v>
      </c>
      <c r="P45" s="2">
        <f t="shared" si="43"/>
        <v>0.1</v>
      </c>
      <c r="Q45" s="2">
        <f t="shared" si="43"/>
        <v>0.1</v>
      </c>
      <c r="R45" s="2">
        <f t="shared" si="43"/>
        <v>0.1</v>
      </c>
      <c r="S45" s="2">
        <f t="shared" si="43"/>
        <v>0.1</v>
      </c>
      <c r="T45" s="2">
        <f t="shared" si="43"/>
        <v>0.1</v>
      </c>
      <c r="U45" s="2">
        <f t="shared" si="43"/>
        <v>0.1</v>
      </c>
      <c r="V45" s="2">
        <f t="shared" si="44"/>
        <v>100.1</v>
      </c>
      <c r="W45" s="2">
        <f t="shared" si="44"/>
        <v>0</v>
      </c>
      <c r="X45" s="2">
        <f t="shared" si="44"/>
        <v>0</v>
      </c>
      <c r="Y45" s="2">
        <f t="shared" si="44"/>
        <v>0</v>
      </c>
      <c r="Z45" s="2">
        <f t="shared" si="44"/>
        <v>0</v>
      </c>
      <c r="AA45" s="2">
        <f t="shared" si="44"/>
        <v>0</v>
      </c>
      <c r="AB45" s="2">
        <f t="shared" si="44"/>
        <v>0</v>
      </c>
      <c r="AC45" s="2">
        <f t="shared" si="44"/>
        <v>0</v>
      </c>
      <c r="AD45" s="2">
        <f t="shared" si="44"/>
        <v>0</v>
      </c>
      <c r="AE45" s="2">
        <f t="shared" si="44"/>
        <v>0</v>
      </c>
      <c r="AF45" s="2">
        <f t="shared" si="45"/>
        <v>0</v>
      </c>
      <c r="AG45" s="2">
        <f t="shared" si="45"/>
        <v>0</v>
      </c>
      <c r="AH45" s="2">
        <f t="shared" si="45"/>
        <v>0</v>
      </c>
      <c r="AI45" s="2">
        <f t="shared" si="45"/>
        <v>0</v>
      </c>
      <c r="AJ45" s="2">
        <f t="shared" si="45"/>
        <v>0</v>
      </c>
      <c r="AK45" s="2">
        <f t="shared" si="45"/>
        <v>0</v>
      </c>
      <c r="AL45" s="2">
        <f t="shared" si="45"/>
        <v>0</v>
      </c>
      <c r="AM45" s="2">
        <f t="shared" si="45"/>
        <v>0</v>
      </c>
      <c r="AN45" s="2">
        <f t="shared" si="45"/>
        <v>0</v>
      </c>
      <c r="AO45" s="2">
        <f t="shared" si="45"/>
        <v>0</v>
      </c>
      <c r="AP45" s="2">
        <f t="shared" si="46"/>
        <v>0</v>
      </c>
      <c r="AQ45" s="2">
        <f t="shared" si="46"/>
        <v>0</v>
      </c>
      <c r="AR45" s="2">
        <f t="shared" si="46"/>
        <v>0</v>
      </c>
      <c r="AS45" s="2">
        <f t="shared" si="46"/>
        <v>0</v>
      </c>
      <c r="AT45" s="2">
        <f t="shared" si="46"/>
        <v>0</v>
      </c>
      <c r="AU45" s="2">
        <f t="shared" si="46"/>
        <v>0</v>
      </c>
      <c r="AV45" s="2">
        <f t="shared" si="46"/>
        <v>0</v>
      </c>
      <c r="AW45" s="2">
        <f t="shared" si="46"/>
        <v>0</v>
      </c>
      <c r="AX45" s="2">
        <f t="shared" si="46"/>
        <v>0</v>
      </c>
      <c r="AY45" s="2">
        <f t="shared" si="46"/>
        <v>0</v>
      </c>
      <c r="AZ45" s="2">
        <f t="shared" si="47"/>
        <v>0</v>
      </c>
      <c r="BA45" s="2">
        <f t="shared" si="47"/>
        <v>0</v>
      </c>
      <c r="BB45" s="2">
        <f t="shared" si="47"/>
        <v>0</v>
      </c>
      <c r="BC45" s="2">
        <f t="shared" si="47"/>
        <v>0</v>
      </c>
      <c r="BD45" s="2">
        <f t="shared" si="47"/>
        <v>0</v>
      </c>
      <c r="BE45" s="2">
        <f t="shared" si="47"/>
        <v>0</v>
      </c>
      <c r="BF45" s="2">
        <f t="shared" si="47"/>
        <v>0</v>
      </c>
      <c r="BG45" s="2">
        <f t="shared" si="47"/>
        <v>0</v>
      </c>
      <c r="BH45" s="2">
        <f t="shared" si="47"/>
        <v>0</v>
      </c>
      <c r="BI45" s="2">
        <f t="shared" si="47"/>
        <v>0</v>
      </c>
      <c r="BJ45" s="2">
        <f t="shared" si="48"/>
        <v>0</v>
      </c>
      <c r="BK45" s="2">
        <f t="shared" si="48"/>
        <v>0</v>
      </c>
      <c r="BL45" s="2">
        <f t="shared" si="48"/>
        <v>0</v>
      </c>
      <c r="BM45" s="2">
        <f t="shared" si="48"/>
        <v>0</v>
      </c>
      <c r="BN45" s="2">
        <f t="shared" si="48"/>
        <v>0</v>
      </c>
      <c r="BO45" s="2">
        <f t="shared" si="48"/>
        <v>0</v>
      </c>
      <c r="BP45" s="2">
        <f t="shared" si="48"/>
        <v>0</v>
      </c>
      <c r="BQ45" s="2">
        <f t="shared" si="48"/>
        <v>0</v>
      </c>
      <c r="BR45" s="2">
        <f t="shared" si="48"/>
        <v>0</v>
      </c>
      <c r="BS45" s="2">
        <f t="shared" si="48"/>
        <v>0</v>
      </c>
      <c r="BT45" s="2">
        <f t="shared" si="49"/>
        <v>0</v>
      </c>
      <c r="BU45" s="2">
        <f t="shared" si="49"/>
        <v>0</v>
      </c>
      <c r="BV45" s="2">
        <f t="shared" si="49"/>
        <v>0</v>
      </c>
      <c r="BW45" s="2">
        <f t="shared" si="49"/>
        <v>0</v>
      </c>
      <c r="BX45" s="2">
        <f t="shared" si="49"/>
        <v>0</v>
      </c>
      <c r="BY45" s="2">
        <f t="shared" si="49"/>
        <v>0</v>
      </c>
      <c r="BZ45" s="2">
        <f t="shared" si="49"/>
        <v>0</v>
      </c>
      <c r="CA45" s="2">
        <f t="shared" si="49"/>
        <v>0</v>
      </c>
      <c r="CB45" s="2">
        <f t="shared" si="49"/>
        <v>0</v>
      </c>
      <c r="CC45" s="2">
        <f t="shared" si="49"/>
        <v>0</v>
      </c>
      <c r="CD45" s="2">
        <f t="shared" si="50"/>
        <v>0</v>
      </c>
      <c r="CE45" s="2">
        <f t="shared" si="50"/>
        <v>0</v>
      </c>
      <c r="CF45" s="2">
        <f t="shared" si="50"/>
        <v>0</v>
      </c>
      <c r="CG45" s="2">
        <f t="shared" si="50"/>
        <v>0</v>
      </c>
      <c r="CH45" s="2">
        <f t="shared" si="50"/>
        <v>0</v>
      </c>
      <c r="CI45" s="2">
        <f t="shared" si="50"/>
        <v>0</v>
      </c>
      <c r="CJ45" s="2">
        <f t="shared" si="50"/>
        <v>0</v>
      </c>
      <c r="CK45" s="23">
        <f t="shared" si="50"/>
        <v>0</v>
      </c>
      <c r="CN45" s="2">
        <v>21</v>
      </c>
      <c r="CO45" s="14">
        <v>0.05</v>
      </c>
      <c r="CP45" s="14">
        <v>-8.2772679900318738E-3</v>
      </c>
      <c r="CQ45" s="14">
        <v>-9.0406000552585922E-3</v>
      </c>
      <c r="CR45" s="14">
        <v>1.1914529976121266E-4</v>
      </c>
      <c r="CS45" s="14">
        <f t="shared" si="15"/>
        <v>3.2801277254470747E-2</v>
      </c>
    </row>
    <row r="46" spans="1:97" x14ac:dyDescent="0.45">
      <c r="A46" s="16">
        <v>5.5</v>
      </c>
      <c r="B46" s="17">
        <v>1E-3</v>
      </c>
      <c r="C46" s="19">
        <v>91.1845</v>
      </c>
      <c r="D46" s="19">
        <f t="shared" si="40"/>
        <v>90.990261557176908</v>
      </c>
      <c r="E46" s="19">
        <f t="shared" si="1"/>
        <v>-0.19423844282309233</v>
      </c>
      <c r="F46" s="19">
        <f t="shared" si="2"/>
        <v>0.19423844282309233</v>
      </c>
      <c r="G46" s="20">
        <f t="shared" si="41"/>
        <v>9.4769481162588765E-3</v>
      </c>
      <c r="H46" s="20">
        <f>IFERROR(IRR((J46,L46:CK46),0),0)</f>
        <v>9.6737026139985804E-3</v>
      </c>
      <c r="I46" s="21">
        <f t="shared" si="4"/>
        <v>1.9675449773970399E-4</v>
      </c>
      <c r="J46" s="19">
        <f t="shared" si="5"/>
        <v>-90.990261557176908</v>
      </c>
      <c r="K46" s="22">
        <f t="shared" si="42"/>
        <v>-91.1845</v>
      </c>
      <c r="L46" s="2">
        <f t="shared" si="43"/>
        <v>0.1</v>
      </c>
      <c r="M46" s="2">
        <f t="shared" si="43"/>
        <v>0.1</v>
      </c>
      <c r="N46" s="2">
        <f t="shared" si="43"/>
        <v>0.1</v>
      </c>
      <c r="O46" s="2">
        <f t="shared" si="43"/>
        <v>0.1</v>
      </c>
      <c r="P46" s="2">
        <f t="shared" si="43"/>
        <v>0.1</v>
      </c>
      <c r="Q46" s="2">
        <f t="shared" si="43"/>
        <v>0.1</v>
      </c>
      <c r="R46" s="2">
        <f t="shared" si="43"/>
        <v>0.1</v>
      </c>
      <c r="S46" s="2">
        <f t="shared" si="43"/>
        <v>0.1</v>
      </c>
      <c r="T46" s="2">
        <f t="shared" si="43"/>
        <v>0.1</v>
      </c>
      <c r="U46" s="2">
        <f t="shared" si="43"/>
        <v>0.1</v>
      </c>
      <c r="V46" s="2">
        <f t="shared" si="44"/>
        <v>100.1</v>
      </c>
      <c r="W46" s="2">
        <f t="shared" si="44"/>
        <v>0</v>
      </c>
      <c r="X46" s="2">
        <f t="shared" si="44"/>
        <v>0</v>
      </c>
      <c r="Y46" s="2">
        <f t="shared" si="44"/>
        <v>0</v>
      </c>
      <c r="Z46" s="2">
        <f t="shared" si="44"/>
        <v>0</v>
      </c>
      <c r="AA46" s="2">
        <f t="shared" si="44"/>
        <v>0</v>
      </c>
      <c r="AB46" s="2">
        <f t="shared" si="44"/>
        <v>0</v>
      </c>
      <c r="AC46" s="2">
        <f t="shared" si="44"/>
        <v>0</v>
      </c>
      <c r="AD46" s="2">
        <f t="shared" si="44"/>
        <v>0</v>
      </c>
      <c r="AE46" s="2">
        <f t="shared" si="44"/>
        <v>0</v>
      </c>
      <c r="AF46" s="2">
        <f t="shared" si="45"/>
        <v>0</v>
      </c>
      <c r="AG46" s="2">
        <f t="shared" si="45"/>
        <v>0</v>
      </c>
      <c r="AH46" s="2">
        <f t="shared" si="45"/>
        <v>0</v>
      </c>
      <c r="AI46" s="2">
        <f t="shared" si="45"/>
        <v>0</v>
      </c>
      <c r="AJ46" s="2">
        <f t="shared" si="45"/>
        <v>0</v>
      </c>
      <c r="AK46" s="2">
        <f t="shared" si="45"/>
        <v>0</v>
      </c>
      <c r="AL46" s="2">
        <f t="shared" si="45"/>
        <v>0</v>
      </c>
      <c r="AM46" s="2">
        <f t="shared" si="45"/>
        <v>0</v>
      </c>
      <c r="AN46" s="2">
        <f t="shared" si="45"/>
        <v>0</v>
      </c>
      <c r="AO46" s="2">
        <f t="shared" si="45"/>
        <v>0</v>
      </c>
      <c r="AP46" s="2">
        <f t="shared" si="46"/>
        <v>0</v>
      </c>
      <c r="AQ46" s="2">
        <f t="shared" si="46"/>
        <v>0</v>
      </c>
      <c r="AR46" s="2">
        <f t="shared" si="46"/>
        <v>0</v>
      </c>
      <c r="AS46" s="2">
        <f t="shared" si="46"/>
        <v>0</v>
      </c>
      <c r="AT46" s="2">
        <f t="shared" si="46"/>
        <v>0</v>
      </c>
      <c r="AU46" s="2">
        <f t="shared" si="46"/>
        <v>0</v>
      </c>
      <c r="AV46" s="2">
        <f t="shared" si="46"/>
        <v>0</v>
      </c>
      <c r="AW46" s="2">
        <f t="shared" si="46"/>
        <v>0</v>
      </c>
      <c r="AX46" s="2">
        <f t="shared" si="46"/>
        <v>0</v>
      </c>
      <c r="AY46" s="2">
        <f t="shared" si="46"/>
        <v>0</v>
      </c>
      <c r="AZ46" s="2">
        <f t="shared" si="47"/>
        <v>0</v>
      </c>
      <c r="BA46" s="2">
        <f t="shared" si="47"/>
        <v>0</v>
      </c>
      <c r="BB46" s="2">
        <f t="shared" si="47"/>
        <v>0</v>
      </c>
      <c r="BC46" s="2">
        <f t="shared" si="47"/>
        <v>0</v>
      </c>
      <c r="BD46" s="2">
        <f t="shared" si="47"/>
        <v>0</v>
      </c>
      <c r="BE46" s="2">
        <f t="shared" si="47"/>
        <v>0</v>
      </c>
      <c r="BF46" s="2">
        <f t="shared" si="47"/>
        <v>0</v>
      </c>
      <c r="BG46" s="2">
        <f t="shared" si="47"/>
        <v>0</v>
      </c>
      <c r="BH46" s="2">
        <f t="shared" si="47"/>
        <v>0</v>
      </c>
      <c r="BI46" s="2">
        <f t="shared" si="47"/>
        <v>0</v>
      </c>
      <c r="BJ46" s="2">
        <f t="shared" si="48"/>
        <v>0</v>
      </c>
      <c r="BK46" s="2">
        <f t="shared" si="48"/>
        <v>0</v>
      </c>
      <c r="BL46" s="2">
        <f t="shared" si="48"/>
        <v>0</v>
      </c>
      <c r="BM46" s="2">
        <f t="shared" si="48"/>
        <v>0</v>
      </c>
      <c r="BN46" s="2">
        <f t="shared" si="48"/>
        <v>0</v>
      </c>
      <c r="BO46" s="2">
        <f t="shared" si="48"/>
        <v>0</v>
      </c>
      <c r="BP46" s="2">
        <f t="shared" si="48"/>
        <v>0</v>
      </c>
      <c r="BQ46" s="2">
        <f t="shared" si="48"/>
        <v>0</v>
      </c>
      <c r="BR46" s="2">
        <f t="shared" si="48"/>
        <v>0</v>
      </c>
      <c r="BS46" s="2">
        <f t="shared" si="48"/>
        <v>0</v>
      </c>
      <c r="BT46" s="2">
        <f t="shared" si="49"/>
        <v>0</v>
      </c>
      <c r="BU46" s="2">
        <f t="shared" si="49"/>
        <v>0</v>
      </c>
      <c r="BV46" s="2">
        <f t="shared" si="49"/>
        <v>0</v>
      </c>
      <c r="BW46" s="2">
        <f t="shared" si="49"/>
        <v>0</v>
      </c>
      <c r="BX46" s="2">
        <f t="shared" si="49"/>
        <v>0</v>
      </c>
      <c r="BY46" s="2">
        <f t="shared" si="49"/>
        <v>0</v>
      </c>
      <c r="BZ46" s="2">
        <f t="shared" si="49"/>
        <v>0</v>
      </c>
      <c r="CA46" s="2">
        <f t="shared" si="49"/>
        <v>0</v>
      </c>
      <c r="CB46" s="2">
        <f t="shared" si="49"/>
        <v>0</v>
      </c>
      <c r="CC46" s="2">
        <f t="shared" si="49"/>
        <v>0</v>
      </c>
      <c r="CD46" s="2">
        <f t="shared" si="50"/>
        <v>0</v>
      </c>
      <c r="CE46" s="2">
        <f t="shared" si="50"/>
        <v>0</v>
      </c>
      <c r="CF46" s="2">
        <f t="shared" si="50"/>
        <v>0</v>
      </c>
      <c r="CG46" s="2">
        <f t="shared" si="50"/>
        <v>0</v>
      </c>
      <c r="CH46" s="2">
        <f t="shared" si="50"/>
        <v>0</v>
      </c>
      <c r="CI46" s="2">
        <f t="shared" si="50"/>
        <v>0</v>
      </c>
      <c r="CJ46" s="2">
        <f t="shared" si="50"/>
        <v>0</v>
      </c>
      <c r="CK46" s="23">
        <f t="shared" si="50"/>
        <v>0</v>
      </c>
      <c r="CN46" s="2">
        <v>21.5</v>
      </c>
      <c r="CO46" s="14">
        <v>0.05</v>
      </c>
      <c r="CP46" s="14">
        <v>-8.0915924268278976E-3</v>
      </c>
      <c r="CQ46" s="14">
        <v>-8.8685145671194374E-3</v>
      </c>
      <c r="CR46" s="14">
        <v>1.1637447883675957E-4</v>
      </c>
      <c r="CS46" s="14">
        <f t="shared" si="15"/>
        <v>3.3156267484889423E-2</v>
      </c>
    </row>
    <row r="47" spans="1:97" x14ac:dyDescent="0.45">
      <c r="A47" s="16">
        <v>6</v>
      </c>
      <c r="B47" s="17">
        <v>2E-3</v>
      </c>
      <c r="C47" s="19">
        <v>91.232500000000002</v>
      </c>
      <c r="D47" s="19">
        <f t="shared" si="40"/>
        <v>90.948128619015407</v>
      </c>
      <c r="E47" s="19">
        <f t="shared" si="1"/>
        <v>-0.28437138098459513</v>
      </c>
      <c r="F47" s="19">
        <f t="shared" si="2"/>
        <v>0.28437138098459513</v>
      </c>
      <c r="G47" s="20">
        <f t="shared" si="41"/>
        <v>9.7789416272280327E-3</v>
      </c>
      <c r="H47" s="20">
        <f>IFERROR(IRR((J47,L47:CK47),0),0)</f>
        <v>1.0044752321114236E-2</v>
      </c>
      <c r="I47" s="21">
        <f t="shared" si="4"/>
        <v>2.6581069388620371E-4</v>
      </c>
      <c r="J47" s="19">
        <f t="shared" si="5"/>
        <v>-90.948128619015407</v>
      </c>
      <c r="K47" s="22">
        <f t="shared" si="42"/>
        <v>-91.232500000000002</v>
      </c>
      <c r="L47" s="2">
        <f t="shared" si="43"/>
        <v>0.2</v>
      </c>
      <c r="M47" s="2">
        <f t="shared" si="43"/>
        <v>0.2</v>
      </c>
      <c r="N47" s="2">
        <f t="shared" si="43"/>
        <v>0.2</v>
      </c>
      <c r="O47" s="2">
        <f t="shared" si="43"/>
        <v>0.2</v>
      </c>
      <c r="P47" s="2">
        <f t="shared" si="43"/>
        <v>0.2</v>
      </c>
      <c r="Q47" s="2">
        <f t="shared" si="43"/>
        <v>0.2</v>
      </c>
      <c r="R47" s="2">
        <f t="shared" si="43"/>
        <v>0.2</v>
      </c>
      <c r="S47" s="2">
        <f t="shared" si="43"/>
        <v>0.2</v>
      </c>
      <c r="T47" s="2">
        <f t="shared" si="43"/>
        <v>0.2</v>
      </c>
      <c r="U47" s="2">
        <f t="shared" si="43"/>
        <v>0.2</v>
      </c>
      <c r="V47" s="2">
        <f t="shared" si="44"/>
        <v>0.2</v>
      </c>
      <c r="W47" s="2">
        <f t="shared" si="44"/>
        <v>100.2</v>
      </c>
      <c r="X47" s="2">
        <f t="shared" si="44"/>
        <v>0</v>
      </c>
      <c r="Y47" s="2">
        <f t="shared" si="44"/>
        <v>0</v>
      </c>
      <c r="Z47" s="2">
        <f t="shared" si="44"/>
        <v>0</v>
      </c>
      <c r="AA47" s="2">
        <f t="shared" si="44"/>
        <v>0</v>
      </c>
      <c r="AB47" s="2">
        <f t="shared" si="44"/>
        <v>0</v>
      </c>
      <c r="AC47" s="2">
        <f t="shared" si="44"/>
        <v>0</v>
      </c>
      <c r="AD47" s="2">
        <f t="shared" si="44"/>
        <v>0</v>
      </c>
      <c r="AE47" s="2">
        <f t="shared" si="44"/>
        <v>0</v>
      </c>
      <c r="AF47" s="2">
        <f t="shared" si="45"/>
        <v>0</v>
      </c>
      <c r="AG47" s="2">
        <f t="shared" si="45"/>
        <v>0</v>
      </c>
      <c r="AH47" s="2">
        <f t="shared" si="45"/>
        <v>0</v>
      </c>
      <c r="AI47" s="2">
        <f t="shared" si="45"/>
        <v>0</v>
      </c>
      <c r="AJ47" s="2">
        <f t="shared" si="45"/>
        <v>0</v>
      </c>
      <c r="AK47" s="2">
        <f t="shared" si="45"/>
        <v>0</v>
      </c>
      <c r="AL47" s="2">
        <f t="shared" si="45"/>
        <v>0</v>
      </c>
      <c r="AM47" s="2">
        <f t="shared" si="45"/>
        <v>0</v>
      </c>
      <c r="AN47" s="2">
        <f t="shared" si="45"/>
        <v>0</v>
      </c>
      <c r="AO47" s="2">
        <f t="shared" si="45"/>
        <v>0</v>
      </c>
      <c r="AP47" s="2">
        <f t="shared" si="46"/>
        <v>0</v>
      </c>
      <c r="AQ47" s="2">
        <f t="shared" si="46"/>
        <v>0</v>
      </c>
      <c r="AR47" s="2">
        <f t="shared" si="46"/>
        <v>0</v>
      </c>
      <c r="AS47" s="2">
        <f t="shared" si="46"/>
        <v>0</v>
      </c>
      <c r="AT47" s="2">
        <f t="shared" si="46"/>
        <v>0</v>
      </c>
      <c r="AU47" s="2">
        <f t="shared" si="46"/>
        <v>0</v>
      </c>
      <c r="AV47" s="2">
        <f t="shared" si="46"/>
        <v>0</v>
      </c>
      <c r="AW47" s="2">
        <f t="shared" si="46"/>
        <v>0</v>
      </c>
      <c r="AX47" s="2">
        <f t="shared" si="46"/>
        <v>0</v>
      </c>
      <c r="AY47" s="2">
        <f t="shared" si="46"/>
        <v>0</v>
      </c>
      <c r="AZ47" s="2">
        <f t="shared" si="47"/>
        <v>0</v>
      </c>
      <c r="BA47" s="2">
        <f t="shared" si="47"/>
        <v>0</v>
      </c>
      <c r="BB47" s="2">
        <f t="shared" si="47"/>
        <v>0</v>
      </c>
      <c r="BC47" s="2">
        <f t="shared" si="47"/>
        <v>0</v>
      </c>
      <c r="BD47" s="2">
        <f t="shared" si="47"/>
        <v>0</v>
      </c>
      <c r="BE47" s="2">
        <f t="shared" si="47"/>
        <v>0</v>
      </c>
      <c r="BF47" s="2">
        <f t="shared" si="47"/>
        <v>0</v>
      </c>
      <c r="BG47" s="2">
        <f t="shared" si="47"/>
        <v>0</v>
      </c>
      <c r="BH47" s="2">
        <f t="shared" si="47"/>
        <v>0</v>
      </c>
      <c r="BI47" s="2">
        <f t="shared" si="47"/>
        <v>0</v>
      </c>
      <c r="BJ47" s="2">
        <f t="shared" si="48"/>
        <v>0</v>
      </c>
      <c r="BK47" s="2">
        <f t="shared" si="48"/>
        <v>0</v>
      </c>
      <c r="BL47" s="2">
        <f t="shared" si="48"/>
        <v>0</v>
      </c>
      <c r="BM47" s="2">
        <f t="shared" si="48"/>
        <v>0</v>
      </c>
      <c r="BN47" s="2">
        <f t="shared" si="48"/>
        <v>0</v>
      </c>
      <c r="BO47" s="2">
        <f t="shared" si="48"/>
        <v>0</v>
      </c>
      <c r="BP47" s="2">
        <f t="shared" si="48"/>
        <v>0</v>
      </c>
      <c r="BQ47" s="2">
        <f t="shared" si="48"/>
        <v>0</v>
      </c>
      <c r="BR47" s="2">
        <f t="shared" si="48"/>
        <v>0</v>
      </c>
      <c r="BS47" s="2">
        <f t="shared" si="48"/>
        <v>0</v>
      </c>
      <c r="BT47" s="2">
        <f t="shared" si="49"/>
        <v>0</v>
      </c>
      <c r="BU47" s="2">
        <f t="shared" si="49"/>
        <v>0</v>
      </c>
      <c r="BV47" s="2">
        <f t="shared" si="49"/>
        <v>0</v>
      </c>
      <c r="BW47" s="2">
        <f t="shared" si="49"/>
        <v>0</v>
      </c>
      <c r="BX47" s="2">
        <f t="shared" si="49"/>
        <v>0</v>
      </c>
      <c r="BY47" s="2">
        <f t="shared" si="49"/>
        <v>0</v>
      </c>
      <c r="BZ47" s="2">
        <f t="shared" si="49"/>
        <v>0</v>
      </c>
      <c r="CA47" s="2">
        <f t="shared" si="49"/>
        <v>0</v>
      </c>
      <c r="CB47" s="2">
        <f t="shared" si="49"/>
        <v>0</v>
      </c>
      <c r="CC47" s="2">
        <f t="shared" si="49"/>
        <v>0</v>
      </c>
      <c r="CD47" s="2">
        <f t="shared" si="50"/>
        <v>0</v>
      </c>
      <c r="CE47" s="2">
        <f t="shared" si="50"/>
        <v>0</v>
      </c>
      <c r="CF47" s="2">
        <f t="shared" si="50"/>
        <v>0</v>
      </c>
      <c r="CG47" s="2">
        <f t="shared" si="50"/>
        <v>0</v>
      </c>
      <c r="CH47" s="2">
        <f t="shared" si="50"/>
        <v>0</v>
      </c>
      <c r="CI47" s="2">
        <f t="shared" si="50"/>
        <v>0</v>
      </c>
      <c r="CJ47" s="2">
        <f t="shared" si="50"/>
        <v>0</v>
      </c>
      <c r="CK47" s="23">
        <f t="shared" si="50"/>
        <v>0</v>
      </c>
      <c r="CN47" s="2">
        <v>22</v>
      </c>
      <c r="CO47" s="14">
        <v>0.05</v>
      </c>
      <c r="CP47" s="14">
        <v>-7.9136264171960052E-3</v>
      </c>
      <c r="CQ47" s="14">
        <v>-8.7009460394663913E-3</v>
      </c>
      <c r="CR47" s="14">
        <v>1.1372960431785393E-4</v>
      </c>
      <c r="CS47" s="14">
        <f t="shared" si="15"/>
        <v>3.3499157147655459E-2</v>
      </c>
    </row>
    <row r="48" spans="1:97" x14ac:dyDescent="0.45">
      <c r="A48" s="16">
        <v>6</v>
      </c>
      <c r="B48" s="17">
        <v>2E-3</v>
      </c>
      <c r="C48" s="19">
        <v>90.757499999999993</v>
      </c>
      <c r="D48" s="19">
        <f t="shared" si="40"/>
        <v>90.948128619015407</v>
      </c>
      <c r="E48" s="19">
        <f t="shared" si="1"/>
        <v>0.19062861901541339</v>
      </c>
      <c r="F48" s="19">
        <f t="shared" si="2"/>
        <v>0.19062861901541339</v>
      </c>
      <c r="G48" s="20">
        <f t="shared" si="41"/>
        <v>1.022344729451885E-2</v>
      </c>
      <c r="H48" s="20">
        <f>IFERROR(IRR((J48,L48:CK48),0),0)</f>
        <v>1.0044752321114236E-2</v>
      </c>
      <c r="I48" s="21">
        <f t="shared" si="4"/>
        <v>-1.7869497340461393E-4</v>
      </c>
      <c r="J48" s="19">
        <f t="shared" si="5"/>
        <v>-90.948128619015407</v>
      </c>
      <c r="K48" s="22">
        <f t="shared" si="42"/>
        <v>-90.757499999999993</v>
      </c>
      <c r="L48" s="2">
        <f t="shared" si="43"/>
        <v>0.2</v>
      </c>
      <c r="M48" s="2">
        <f t="shared" si="43"/>
        <v>0.2</v>
      </c>
      <c r="N48" s="2">
        <f t="shared" si="43"/>
        <v>0.2</v>
      </c>
      <c r="O48" s="2">
        <f t="shared" si="43"/>
        <v>0.2</v>
      </c>
      <c r="P48" s="2">
        <f t="shared" si="43"/>
        <v>0.2</v>
      </c>
      <c r="Q48" s="2">
        <f t="shared" si="43"/>
        <v>0.2</v>
      </c>
      <c r="R48" s="2">
        <f t="shared" si="43"/>
        <v>0.2</v>
      </c>
      <c r="S48" s="2">
        <f t="shared" si="43"/>
        <v>0.2</v>
      </c>
      <c r="T48" s="2">
        <f t="shared" si="43"/>
        <v>0.2</v>
      </c>
      <c r="U48" s="2">
        <f t="shared" si="43"/>
        <v>0.2</v>
      </c>
      <c r="V48" s="2">
        <f t="shared" si="44"/>
        <v>0.2</v>
      </c>
      <c r="W48" s="2">
        <f t="shared" si="44"/>
        <v>100.2</v>
      </c>
      <c r="X48" s="2">
        <f t="shared" si="44"/>
        <v>0</v>
      </c>
      <c r="Y48" s="2">
        <f t="shared" si="44"/>
        <v>0</v>
      </c>
      <c r="Z48" s="2">
        <f t="shared" si="44"/>
        <v>0</v>
      </c>
      <c r="AA48" s="2">
        <f t="shared" si="44"/>
        <v>0</v>
      </c>
      <c r="AB48" s="2">
        <f t="shared" si="44"/>
        <v>0</v>
      </c>
      <c r="AC48" s="2">
        <f t="shared" si="44"/>
        <v>0</v>
      </c>
      <c r="AD48" s="2">
        <f t="shared" si="44"/>
        <v>0</v>
      </c>
      <c r="AE48" s="2">
        <f t="shared" si="44"/>
        <v>0</v>
      </c>
      <c r="AF48" s="2">
        <f t="shared" si="45"/>
        <v>0</v>
      </c>
      <c r="AG48" s="2">
        <f t="shared" si="45"/>
        <v>0</v>
      </c>
      <c r="AH48" s="2">
        <f t="shared" si="45"/>
        <v>0</v>
      </c>
      <c r="AI48" s="2">
        <f t="shared" si="45"/>
        <v>0</v>
      </c>
      <c r="AJ48" s="2">
        <f t="shared" si="45"/>
        <v>0</v>
      </c>
      <c r="AK48" s="2">
        <f t="shared" si="45"/>
        <v>0</v>
      </c>
      <c r="AL48" s="2">
        <f t="shared" si="45"/>
        <v>0</v>
      </c>
      <c r="AM48" s="2">
        <f t="shared" si="45"/>
        <v>0</v>
      </c>
      <c r="AN48" s="2">
        <f t="shared" si="45"/>
        <v>0</v>
      </c>
      <c r="AO48" s="2">
        <f t="shared" si="45"/>
        <v>0</v>
      </c>
      <c r="AP48" s="2">
        <f t="shared" si="46"/>
        <v>0</v>
      </c>
      <c r="AQ48" s="2">
        <f t="shared" si="46"/>
        <v>0</v>
      </c>
      <c r="AR48" s="2">
        <f t="shared" si="46"/>
        <v>0</v>
      </c>
      <c r="AS48" s="2">
        <f t="shared" si="46"/>
        <v>0</v>
      </c>
      <c r="AT48" s="2">
        <f t="shared" si="46"/>
        <v>0</v>
      </c>
      <c r="AU48" s="2">
        <f t="shared" si="46"/>
        <v>0</v>
      </c>
      <c r="AV48" s="2">
        <f t="shared" si="46"/>
        <v>0</v>
      </c>
      <c r="AW48" s="2">
        <f t="shared" si="46"/>
        <v>0</v>
      </c>
      <c r="AX48" s="2">
        <f t="shared" si="46"/>
        <v>0</v>
      </c>
      <c r="AY48" s="2">
        <f t="shared" si="46"/>
        <v>0</v>
      </c>
      <c r="AZ48" s="2">
        <f t="shared" si="47"/>
        <v>0</v>
      </c>
      <c r="BA48" s="2">
        <f t="shared" si="47"/>
        <v>0</v>
      </c>
      <c r="BB48" s="2">
        <f t="shared" si="47"/>
        <v>0</v>
      </c>
      <c r="BC48" s="2">
        <f t="shared" si="47"/>
        <v>0</v>
      </c>
      <c r="BD48" s="2">
        <f t="shared" si="47"/>
        <v>0</v>
      </c>
      <c r="BE48" s="2">
        <f t="shared" si="47"/>
        <v>0</v>
      </c>
      <c r="BF48" s="2">
        <f t="shared" si="47"/>
        <v>0</v>
      </c>
      <c r="BG48" s="2">
        <f t="shared" si="47"/>
        <v>0</v>
      </c>
      <c r="BH48" s="2">
        <f t="shared" si="47"/>
        <v>0</v>
      </c>
      <c r="BI48" s="2">
        <f t="shared" si="47"/>
        <v>0</v>
      </c>
      <c r="BJ48" s="2">
        <f t="shared" si="48"/>
        <v>0</v>
      </c>
      <c r="BK48" s="2">
        <f t="shared" si="48"/>
        <v>0</v>
      </c>
      <c r="BL48" s="2">
        <f t="shared" si="48"/>
        <v>0</v>
      </c>
      <c r="BM48" s="2">
        <f t="shared" si="48"/>
        <v>0</v>
      </c>
      <c r="BN48" s="2">
        <f t="shared" si="48"/>
        <v>0</v>
      </c>
      <c r="BO48" s="2">
        <f t="shared" si="48"/>
        <v>0</v>
      </c>
      <c r="BP48" s="2">
        <f t="shared" si="48"/>
        <v>0</v>
      </c>
      <c r="BQ48" s="2">
        <f t="shared" si="48"/>
        <v>0</v>
      </c>
      <c r="BR48" s="2">
        <f t="shared" si="48"/>
        <v>0</v>
      </c>
      <c r="BS48" s="2">
        <f t="shared" si="48"/>
        <v>0</v>
      </c>
      <c r="BT48" s="2">
        <f t="shared" si="49"/>
        <v>0</v>
      </c>
      <c r="BU48" s="2">
        <f t="shared" si="49"/>
        <v>0</v>
      </c>
      <c r="BV48" s="2">
        <f t="shared" si="49"/>
        <v>0</v>
      </c>
      <c r="BW48" s="2">
        <f t="shared" si="49"/>
        <v>0</v>
      </c>
      <c r="BX48" s="2">
        <f t="shared" si="49"/>
        <v>0</v>
      </c>
      <c r="BY48" s="2">
        <f t="shared" si="49"/>
        <v>0</v>
      </c>
      <c r="BZ48" s="2">
        <f t="shared" si="49"/>
        <v>0</v>
      </c>
      <c r="CA48" s="2">
        <f t="shared" si="49"/>
        <v>0</v>
      </c>
      <c r="CB48" s="2">
        <f t="shared" si="49"/>
        <v>0</v>
      </c>
      <c r="CC48" s="2">
        <f t="shared" si="49"/>
        <v>0</v>
      </c>
      <c r="CD48" s="2">
        <f t="shared" si="50"/>
        <v>0</v>
      </c>
      <c r="CE48" s="2">
        <f t="shared" si="50"/>
        <v>0</v>
      </c>
      <c r="CF48" s="2">
        <f t="shared" si="50"/>
        <v>0</v>
      </c>
      <c r="CG48" s="2">
        <f t="shared" si="50"/>
        <v>0</v>
      </c>
      <c r="CH48" s="2">
        <f t="shared" si="50"/>
        <v>0</v>
      </c>
      <c r="CI48" s="2">
        <f t="shared" si="50"/>
        <v>0</v>
      </c>
      <c r="CJ48" s="2">
        <f t="shared" si="50"/>
        <v>0</v>
      </c>
      <c r="CK48" s="23">
        <f t="shared" si="50"/>
        <v>0</v>
      </c>
      <c r="CN48" s="2">
        <v>22.5</v>
      </c>
      <c r="CO48" s="14">
        <v>0.05</v>
      </c>
      <c r="CP48" s="14">
        <v>-7.7429342325409959E-3</v>
      </c>
      <c r="CQ48" s="14">
        <v>-8.5378637297111645E-3</v>
      </c>
      <c r="CR48" s="14">
        <v>1.1120227977751224E-4</v>
      </c>
      <c r="CS48" s="14">
        <f t="shared" si="15"/>
        <v>3.3830404317525355E-2</v>
      </c>
    </row>
    <row r="49" spans="1:97" x14ac:dyDescent="0.45">
      <c r="A49" s="16">
        <v>6.5</v>
      </c>
      <c r="B49" s="17">
        <v>2E-3</v>
      </c>
      <c r="C49" s="19">
        <v>90.271000000000001</v>
      </c>
      <c r="D49" s="19">
        <f t="shared" si="40"/>
        <v>89.80360649476178</v>
      </c>
      <c r="E49" s="19">
        <f t="shared" si="1"/>
        <v>-0.46739350523822054</v>
      </c>
      <c r="F49" s="19">
        <f t="shared" si="2"/>
        <v>0.46739350523822054</v>
      </c>
      <c r="G49" s="20">
        <f t="shared" si="41"/>
        <v>1.0019182638479673E-2</v>
      </c>
      <c r="H49" s="20">
        <f>IFERROR(IRR((J49,L49:CK49),0),0)</f>
        <v>1.0427777588380538E-2</v>
      </c>
      <c r="I49" s="21">
        <f t="shared" si="4"/>
        <v>4.0859494990086453E-4</v>
      </c>
      <c r="J49" s="19">
        <f t="shared" si="5"/>
        <v>-89.80360649476178</v>
      </c>
      <c r="K49" s="22">
        <f t="shared" si="42"/>
        <v>-90.271000000000001</v>
      </c>
      <c r="L49" s="2">
        <f t="shared" si="43"/>
        <v>0.2</v>
      </c>
      <c r="M49" s="2">
        <f t="shared" si="43"/>
        <v>0.2</v>
      </c>
      <c r="N49" s="2">
        <f t="shared" si="43"/>
        <v>0.2</v>
      </c>
      <c r="O49" s="2">
        <f t="shared" si="43"/>
        <v>0.2</v>
      </c>
      <c r="P49" s="2">
        <f t="shared" si="43"/>
        <v>0.2</v>
      </c>
      <c r="Q49" s="2">
        <f t="shared" si="43"/>
        <v>0.2</v>
      </c>
      <c r="R49" s="2">
        <f t="shared" si="43"/>
        <v>0.2</v>
      </c>
      <c r="S49" s="2">
        <f t="shared" si="43"/>
        <v>0.2</v>
      </c>
      <c r="T49" s="2">
        <f t="shared" si="43"/>
        <v>0.2</v>
      </c>
      <c r="U49" s="2">
        <f t="shared" si="43"/>
        <v>0.2</v>
      </c>
      <c r="V49" s="2">
        <f t="shared" si="44"/>
        <v>0.2</v>
      </c>
      <c r="W49" s="2">
        <f t="shared" si="44"/>
        <v>0.2</v>
      </c>
      <c r="X49" s="2">
        <f t="shared" si="44"/>
        <v>100.2</v>
      </c>
      <c r="Y49" s="2">
        <f t="shared" si="44"/>
        <v>0</v>
      </c>
      <c r="Z49" s="2">
        <f t="shared" si="44"/>
        <v>0</v>
      </c>
      <c r="AA49" s="2">
        <f t="shared" si="44"/>
        <v>0</v>
      </c>
      <c r="AB49" s="2">
        <f t="shared" si="44"/>
        <v>0</v>
      </c>
      <c r="AC49" s="2">
        <f t="shared" si="44"/>
        <v>0</v>
      </c>
      <c r="AD49" s="2">
        <f t="shared" si="44"/>
        <v>0</v>
      </c>
      <c r="AE49" s="2">
        <f t="shared" si="44"/>
        <v>0</v>
      </c>
      <c r="AF49" s="2">
        <f t="shared" si="45"/>
        <v>0</v>
      </c>
      <c r="AG49" s="2">
        <f t="shared" si="45"/>
        <v>0</v>
      </c>
      <c r="AH49" s="2">
        <f t="shared" si="45"/>
        <v>0</v>
      </c>
      <c r="AI49" s="2">
        <f t="shared" si="45"/>
        <v>0</v>
      </c>
      <c r="AJ49" s="2">
        <f t="shared" si="45"/>
        <v>0</v>
      </c>
      <c r="AK49" s="2">
        <f t="shared" si="45"/>
        <v>0</v>
      </c>
      <c r="AL49" s="2">
        <f t="shared" si="45"/>
        <v>0</v>
      </c>
      <c r="AM49" s="2">
        <f t="shared" si="45"/>
        <v>0</v>
      </c>
      <c r="AN49" s="2">
        <f t="shared" si="45"/>
        <v>0</v>
      </c>
      <c r="AO49" s="2">
        <f t="shared" si="45"/>
        <v>0</v>
      </c>
      <c r="AP49" s="2">
        <f t="shared" si="46"/>
        <v>0</v>
      </c>
      <c r="AQ49" s="2">
        <f t="shared" si="46"/>
        <v>0</v>
      </c>
      <c r="AR49" s="2">
        <f t="shared" si="46"/>
        <v>0</v>
      </c>
      <c r="AS49" s="2">
        <f t="shared" si="46"/>
        <v>0</v>
      </c>
      <c r="AT49" s="2">
        <f t="shared" si="46"/>
        <v>0</v>
      </c>
      <c r="AU49" s="2">
        <f t="shared" si="46"/>
        <v>0</v>
      </c>
      <c r="AV49" s="2">
        <f t="shared" si="46"/>
        <v>0</v>
      </c>
      <c r="AW49" s="2">
        <f t="shared" si="46"/>
        <v>0</v>
      </c>
      <c r="AX49" s="2">
        <f t="shared" si="46"/>
        <v>0</v>
      </c>
      <c r="AY49" s="2">
        <f t="shared" si="46"/>
        <v>0</v>
      </c>
      <c r="AZ49" s="2">
        <f t="shared" si="47"/>
        <v>0</v>
      </c>
      <c r="BA49" s="2">
        <f t="shared" si="47"/>
        <v>0</v>
      </c>
      <c r="BB49" s="2">
        <f t="shared" si="47"/>
        <v>0</v>
      </c>
      <c r="BC49" s="2">
        <f t="shared" si="47"/>
        <v>0</v>
      </c>
      <c r="BD49" s="2">
        <f t="shared" si="47"/>
        <v>0</v>
      </c>
      <c r="BE49" s="2">
        <f t="shared" si="47"/>
        <v>0</v>
      </c>
      <c r="BF49" s="2">
        <f t="shared" si="47"/>
        <v>0</v>
      </c>
      <c r="BG49" s="2">
        <f t="shared" si="47"/>
        <v>0</v>
      </c>
      <c r="BH49" s="2">
        <f t="shared" si="47"/>
        <v>0</v>
      </c>
      <c r="BI49" s="2">
        <f t="shared" si="47"/>
        <v>0</v>
      </c>
      <c r="BJ49" s="2">
        <f t="shared" si="48"/>
        <v>0</v>
      </c>
      <c r="BK49" s="2">
        <f t="shared" si="48"/>
        <v>0</v>
      </c>
      <c r="BL49" s="2">
        <f t="shared" si="48"/>
        <v>0</v>
      </c>
      <c r="BM49" s="2">
        <f t="shared" si="48"/>
        <v>0</v>
      </c>
      <c r="BN49" s="2">
        <f t="shared" si="48"/>
        <v>0</v>
      </c>
      <c r="BO49" s="2">
        <f t="shared" si="48"/>
        <v>0</v>
      </c>
      <c r="BP49" s="2">
        <f t="shared" si="48"/>
        <v>0</v>
      </c>
      <c r="BQ49" s="2">
        <f t="shared" si="48"/>
        <v>0</v>
      </c>
      <c r="BR49" s="2">
        <f t="shared" si="48"/>
        <v>0</v>
      </c>
      <c r="BS49" s="2">
        <f t="shared" si="48"/>
        <v>0</v>
      </c>
      <c r="BT49" s="2">
        <f t="shared" si="49"/>
        <v>0</v>
      </c>
      <c r="BU49" s="2">
        <f t="shared" si="49"/>
        <v>0</v>
      </c>
      <c r="BV49" s="2">
        <f t="shared" si="49"/>
        <v>0</v>
      </c>
      <c r="BW49" s="2">
        <f t="shared" si="49"/>
        <v>0</v>
      </c>
      <c r="BX49" s="2">
        <f t="shared" si="49"/>
        <v>0</v>
      </c>
      <c r="BY49" s="2">
        <f t="shared" si="49"/>
        <v>0</v>
      </c>
      <c r="BZ49" s="2">
        <f t="shared" si="49"/>
        <v>0</v>
      </c>
      <c r="CA49" s="2">
        <f t="shared" si="49"/>
        <v>0</v>
      </c>
      <c r="CB49" s="2">
        <f t="shared" si="49"/>
        <v>0</v>
      </c>
      <c r="CC49" s="2">
        <f t="shared" si="49"/>
        <v>0</v>
      </c>
      <c r="CD49" s="2">
        <f t="shared" si="50"/>
        <v>0</v>
      </c>
      <c r="CE49" s="2">
        <f t="shared" si="50"/>
        <v>0</v>
      </c>
      <c r="CF49" s="2">
        <f t="shared" si="50"/>
        <v>0</v>
      </c>
      <c r="CG49" s="2">
        <f t="shared" si="50"/>
        <v>0</v>
      </c>
      <c r="CH49" s="2">
        <f t="shared" si="50"/>
        <v>0</v>
      </c>
      <c r="CI49" s="2">
        <f t="shared" si="50"/>
        <v>0</v>
      </c>
      <c r="CJ49" s="2">
        <f t="shared" si="50"/>
        <v>0</v>
      </c>
      <c r="CK49" s="23">
        <f t="shared" si="50"/>
        <v>0</v>
      </c>
      <c r="CN49" s="2">
        <v>23</v>
      </c>
      <c r="CO49" s="14">
        <v>0.05</v>
      </c>
      <c r="CP49" s="14">
        <v>-7.5791096464142456E-3</v>
      </c>
      <c r="CQ49" s="14">
        <v>-8.3792195598847968E-3</v>
      </c>
      <c r="CR49" s="14">
        <v>1.087848389128109E-4</v>
      </c>
      <c r="CS49" s="14">
        <f t="shared" si="15"/>
        <v>3.415045563261377E-2</v>
      </c>
    </row>
    <row r="50" spans="1:97" x14ac:dyDescent="0.45">
      <c r="A50" s="16">
        <v>7</v>
      </c>
      <c r="B50" s="17">
        <v>4.0000000000000001E-3</v>
      </c>
      <c r="C50" s="19">
        <v>90.114000000000004</v>
      </c>
      <c r="D50" s="19">
        <f t="shared" si="40"/>
        <v>91.221655589458493</v>
      </c>
      <c r="E50" s="19">
        <f t="shared" si="1"/>
        <v>1.1076555894584885</v>
      </c>
      <c r="F50" s="19">
        <f t="shared" si="2"/>
        <v>1.1076555894584885</v>
      </c>
      <c r="G50" s="20">
        <f t="shared" si="41"/>
        <v>1.1696483087877629E-2</v>
      </c>
      <c r="H50" s="20">
        <f>IFERROR(IRR((J50,L50:CK50),0),0)</f>
        <v>1.0789432358103479E-2</v>
      </c>
      <c r="I50" s="21">
        <f t="shared" si="4"/>
        <v>-9.0705072977415035E-4</v>
      </c>
      <c r="J50" s="19">
        <f t="shared" si="5"/>
        <v>-91.221655589458493</v>
      </c>
      <c r="K50" s="22">
        <f t="shared" si="42"/>
        <v>-90.114000000000004</v>
      </c>
      <c r="L50" s="2">
        <f t="shared" si="43"/>
        <v>0.4</v>
      </c>
      <c r="M50" s="2">
        <f t="shared" si="43"/>
        <v>0.4</v>
      </c>
      <c r="N50" s="2">
        <f t="shared" si="43"/>
        <v>0.4</v>
      </c>
      <c r="O50" s="2">
        <f t="shared" si="43"/>
        <v>0.4</v>
      </c>
      <c r="P50" s="2">
        <f t="shared" si="43"/>
        <v>0.4</v>
      </c>
      <c r="Q50" s="2">
        <f t="shared" si="43"/>
        <v>0.4</v>
      </c>
      <c r="R50" s="2">
        <f t="shared" si="43"/>
        <v>0.4</v>
      </c>
      <c r="S50" s="2">
        <f t="shared" si="43"/>
        <v>0.4</v>
      </c>
      <c r="T50" s="2">
        <f t="shared" si="43"/>
        <v>0.4</v>
      </c>
      <c r="U50" s="2">
        <f t="shared" si="43"/>
        <v>0.4</v>
      </c>
      <c r="V50" s="2">
        <f t="shared" si="44"/>
        <v>0.4</v>
      </c>
      <c r="W50" s="2">
        <f t="shared" si="44"/>
        <v>0.4</v>
      </c>
      <c r="X50" s="2">
        <f t="shared" si="44"/>
        <v>0.4</v>
      </c>
      <c r="Y50" s="2">
        <f t="shared" si="44"/>
        <v>100.4</v>
      </c>
      <c r="Z50" s="2">
        <f t="shared" si="44"/>
        <v>0</v>
      </c>
      <c r="AA50" s="2">
        <f t="shared" si="44"/>
        <v>0</v>
      </c>
      <c r="AB50" s="2">
        <f t="shared" si="44"/>
        <v>0</v>
      </c>
      <c r="AC50" s="2">
        <f t="shared" si="44"/>
        <v>0</v>
      </c>
      <c r="AD50" s="2">
        <f t="shared" si="44"/>
        <v>0</v>
      </c>
      <c r="AE50" s="2">
        <f t="shared" si="44"/>
        <v>0</v>
      </c>
      <c r="AF50" s="2">
        <f t="shared" si="45"/>
        <v>0</v>
      </c>
      <c r="AG50" s="2">
        <f t="shared" si="45"/>
        <v>0</v>
      </c>
      <c r="AH50" s="2">
        <f t="shared" si="45"/>
        <v>0</v>
      </c>
      <c r="AI50" s="2">
        <f t="shared" si="45"/>
        <v>0</v>
      </c>
      <c r="AJ50" s="2">
        <f t="shared" si="45"/>
        <v>0</v>
      </c>
      <c r="AK50" s="2">
        <f t="shared" si="45"/>
        <v>0</v>
      </c>
      <c r="AL50" s="2">
        <f t="shared" si="45"/>
        <v>0</v>
      </c>
      <c r="AM50" s="2">
        <f t="shared" si="45"/>
        <v>0</v>
      </c>
      <c r="AN50" s="2">
        <f t="shared" si="45"/>
        <v>0</v>
      </c>
      <c r="AO50" s="2">
        <f t="shared" si="45"/>
        <v>0</v>
      </c>
      <c r="AP50" s="2">
        <f t="shared" si="46"/>
        <v>0</v>
      </c>
      <c r="AQ50" s="2">
        <f t="shared" si="46"/>
        <v>0</v>
      </c>
      <c r="AR50" s="2">
        <f t="shared" si="46"/>
        <v>0</v>
      </c>
      <c r="AS50" s="2">
        <f t="shared" si="46"/>
        <v>0</v>
      </c>
      <c r="AT50" s="2">
        <f t="shared" si="46"/>
        <v>0</v>
      </c>
      <c r="AU50" s="2">
        <f t="shared" si="46"/>
        <v>0</v>
      </c>
      <c r="AV50" s="2">
        <f t="shared" si="46"/>
        <v>0</v>
      </c>
      <c r="AW50" s="2">
        <f t="shared" si="46"/>
        <v>0</v>
      </c>
      <c r="AX50" s="2">
        <f t="shared" si="46"/>
        <v>0</v>
      </c>
      <c r="AY50" s="2">
        <f t="shared" si="46"/>
        <v>0</v>
      </c>
      <c r="AZ50" s="2">
        <f t="shared" si="47"/>
        <v>0</v>
      </c>
      <c r="BA50" s="2">
        <f t="shared" si="47"/>
        <v>0</v>
      </c>
      <c r="BB50" s="2">
        <f t="shared" si="47"/>
        <v>0</v>
      </c>
      <c r="BC50" s="2">
        <f t="shared" si="47"/>
        <v>0</v>
      </c>
      <c r="BD50" s="2">
        <f t="shared" si="47"/>
        <v>0</v>
      </c>
      <c r="BE50" s="2">
        <f t="shared" si="47"/>
        <v>0</v>
      </c>
      <c r="BF50" s="2">
        <f t="shared" si="47"/>
        <v>0</v>
      </c>
      <c r="BG50" s="2">
        <f t="shared" si="47"/>
        <v>0</v>
      </c>
      <c r="BH50" s="2">
        <f t="shared" si="47"/>
        <v>0</v>
      </c>
      <c r="BI50" s="2">
        <f t="shared" si="47"/>
        <v>0</v>
      </c>
      <c r="BJ50" s="2">
        <f t="shared" si="48"/>
        <v>0</v>
      </c>
      <c r="BK50" s="2">
        <f t="shared" si="48"/>
        <v>0</v>
      </c>
      <c r="BL50" s="2">
        <f t="shared" si="48"/>
        <v>0</v>
      </c>
      <c r="BM50" s="2">
        <f t="shared" si="48"/>
        <v>0</v>
      </c>
      <c r="BN50" s="2">
        <f t="shared" si="48"/>
        <v>0</v>
      </c>
      <c r="BO50" s="2">
        <f t="shared" si="48"/>
        <v>0</v>
      </c>
      <c r="BP50" s="2">
        <f t="shared" si="48"/>
        <v>0</v>
      </c>
      <c r="BQ50" s="2">
        <f t="shared" si="48"/>
        <v>0</v>
      </c>
      <c r="BR50" s="2">
        <f t="shared" si="48"/>
        <v>0</v>
      </c>
      <c r="BS50" s="2">
        <f t="shared" si="48"/>
        <v>0</v>
      </c>
      <c r="BT50" s="2">
        <f t="shared" si="49"/>
        <v>0</v>
      </c>
      <c r="BU50" s="2">
        <f t="shared" si="49"/>
        <v>0</v>
      </c>
      <c r="BV50" s="2">
        <f t="shared" si="49"/>
        <v>0</v>
      </c>
      <c r="BW50" s="2">
        <f t="shared" si="49"/>
        <v>0</v>
      </c>
      <c r="BX50" s="2">
        <f t="shared" si="49"/>
        <v>0</v>
      </c>
      <c r="BY50" s="2">
        <f t="shared" si="49"/>
        <v>0</v>
      </c>
      <c r="BZ50" s="2">
        <f t="shared" si="49"/>
        <v>0</v>
      </c>
      <c r="CA50" s="2">
        <f t="shared" si="49"/>
        <v>0</v>
      </c>
      <c r="CB50" s="2">
        <f t="shared" si="49"/>
        <v>0</v>
      </c>
      <c r="CC50" s="2">
        <f t="shared" si="49"/>
        <v>0</v>
      </c>
      <c r="CD50" s="2">
        <f t="shared" si="50"/>
        <v>0</v>
      </c>
      <c r="CE50" s="2">
        <f t="shared" si="50"/>
        <v>0</v>
      </c>
      <c r="CF50" s="2">
        <f t="shared" si="50"/>
        <v>0</v>
      </c>
      <c r="CG50" s="2">
        <f t="shared" si="50"/>
        <v>0</v>
      </c>
      <c r="CH50" s="2">
        <f t="shared" si="50"/>
        <v>0</v>
      </c>
      <c r="CI50" s="2">
        <f t="shared" si="50"/>
        <v>0</v>
      </c>
      <c r="CJ50" s="2">
        <f t="shared" si="50"/>
        <v>0</v>
      </c>
      <c r="CK50" s="23">
        <f t="shared" si="50"/>
        <v>0</v>
      </c>
      <c r="CN50" s="2">
        <v>23.5</v>
      </c>
      <c r="CO50" s="14">
        <v>0.05</v>
      </c>
      <c r="CP50" s="14">
        <v>-7.4217736955084984E-3</v>
      </c>
      <c r="CQ50" s="14">
        <v>-8.2249511440314112E-3</v>
      </c>
      <c r="CR50" s="14">
        <v>1.0647026787212616E-4</v>
      </c>
      <c r="CS50" s="14">
        <f t="shared" si="15"/>
        <v>3.4459745428332217E-2</v>
      </c>
    </row>
    <row r="51" spans="1:97" x14ac:dyDescent="0.45">
      <c r="A51" s="16">
        <v>10</v>
      </c>
      <c r="B51" s="17">
        <v>4.0000000000000001E-3</v>
      </c>
      <c r="C51" s="19">
        <v>83.936999999999998</v>
      </c>
      <c r="D51" s="19">
        <f t="shared" si="40"/>
        <v>84.222710339289961</v>
      </c>
      <c r="E51" s="19">
        <f t="shared" si="1"/>
        <v>0.28571033928996314</v>
      </c>
      <c r="F51" s="19">
        <f t="shared" si="2"/>
        <v>0.28571033928996314</v>
      </c>
      <c r="G51" s="20">
        <f t="shared" si="41"/>
        <v>1.3189918386031341E-2</v>
      </c>
      <c r="H51" s="20">
        <f>IFERROR(IRR((J51,L51:CK51),0),0)</f>
        <v>1.3010367027687098E-2</v>
      </c>
      <c r="I51" s="21">
        <f t="shared" si="4"/>
        <v>-1.7955135834424318E-4</v>
      </c>
      <c r="J51" s="19">
        <f t="shared" si="5"/>
        <v>-84.222710339289961</v>
      </c>
      <c r="K51" s="22">
        <f t="shared" si="42"/>
        <v>-83.936999999999998</v>
      </c>
      <c r="L51" s="2">
        <f t="shared" si="43"/>
        <v>0.4</v>
      </c>
      <c r="M51" s="2">
        <f t="shared" si="43"/>
        <v>0.4</v>
      </c>
      <c r="N51" s="2">
        <f t="shared" si="43"/>
        <v>0.4</v>
      </c>
      <c r="O51" s="2">
        <f t="shared" si="43"/>
        <v>0.4</v>
      </c>
      <c r="P51" s="2">
        <f t="shared" si="43"/>
        <v>0.4</v>
      </c>
      <c r="Q51" s="2">
        <f t="shared" si="43"/>
        <v>0.4</v>
      </c>
      <c r="R51" s="2">
        <f t="shared" si="43"/>
        <v>0.4</v>
      </c>
      <c r="S51" s="2">
        <f t="shared" si="43"/>
        <v>0.4</v>
      </c>
      <c r="T51" s="2">
        <f t="shared" si="43"/>
        <v>0.4</v>
      </c>
      <c r="U51" s="2">
        <f t="shared" si="43"/>
        <v>0.4</v>
      </c>
      <c r="V51" s="2">
        <f t="shared" si="44"/>
        <v>0.4</v>
      </c>
      <c r="W51" s="2">
        <f t="shared" si="44"/>
        <v>0.4</v>
      </c>
      <c r="X51" s="2">
        <f t="shared" si="44"/>
        <v>0.4</v>
      </c>
      <c r="Y51" s="2">
        <f t="shared" si="44"/>
        <v>0.4</v>
      </c>
      <c r="Z51" s="2">
        <f t="shared" si="44"/>
        <v>0.4</v>
      </c>
      <c r="AA51" s="2">
        <f t="shared" si="44"/>
        <v>0.4</v>
      </c>
      <c r="AB51" s="2">
        <f t="shared" si="44"/>
        <v>0.4</v>
      </c>
      <c r="AC51" s="2">
        <f t="shared" si="44"/>
        <v>0.4</v>
      </c>
      <c r="AD51" s="2">
        <f t="shared" si="44"/>
        <v>0.4</v>
      </c>
      <c r="AE51" s="2">
        <f t="shared" si="44"/>
        <v>100.4</v>
      </c>
      <c r="AF51" s="2">
        <f t="shared" si="45"/>
        <v>0</v>
      </c>
      <c r="AG51" s="2">
        <f t="shared" si="45"/>
        <v>0</v>
      </c>
      <c r="AH51" s="2">
        <f t="shared" si="45"/>
        <v>0</v>
      </c>
      <c r="AI51" s="2">
        <f t="shared" si="45"/>
        <v>0</v>
      </c>
      <c r="AJ51" s="2">
        <f t="shared" si="45"/>
        <v>0</v>
      </c>
      <c r="AK51" s="2">
        <f t="shared" si="45"/>
        <v>0</v>
      </c>
      <c r="AL51" s="2">
        <f t="shared" si="45"/>
        <v>0</v>
      </c>
      <c r="AM51" s="2">
        <f t="shared" si="45"/>
        <v>0</v>
      </c>
      <c r="AN51" s="2">
        <f t="shared" si="45"/>
        <v>0</v>
      </c>
      <c r="AO51" s="2">
        <f t="shared" si="45"/>
        <v>0</v>
      </c>
      <c r="AP51" s="2">
        <f t="shared" si="46"/>
        <v>0</v>
      </c>
      <c r="AQ51" s="2">
        <f t="shared" si="46"/>
        <v>0</v>
      </c>
      <c r="AR51" s="2">
        <f t="shared" si="46"/>
        <v>0</v>
      </c>
      <c r="AS51" s="2">
        <f t="shared" si="46"/>
        <v>0</v>
      </c>
      <c r="AT51" s="2">
        <f t="shared" si="46"/>
        <v>0</v>
      </c>
      <c r="AU51" s="2">
        <f t="shared" si="46"/>
        <v>0</v>
      </c>
      <c r="AV51" s="2">
        <f t="shared" si="46"/>
        <v>0</v>
      </c>
      <c r="AW51" s="2">
        <f t="shared" si="46"/>
        <v>0</v>
      </c>
      <c r="AX51" s="2">
        <f t="shared" si="46"/>
        <v>0</v>
      </c>
      <c r="AY51" s="2">
        <f t="shared" si="46"/>
        <v>0</v>
      </c>
      <c r="AZ51" s="2">
        <f t="shared" si="47"/>
        <v>0</v>
      </c>
      <c r="BA51" s="2">
        <f t="shared" si="47"/>
        <v>0</v>
      </c>
      <c r="BB51" s="2">
        <f t="shared" si="47"/>
        <v>0</v>
      </c>
      <c r="BC51" s="2">
        <f t="shared" si="47"/>
        <v>0</v>
      </c>
      <c r="BD51" s="2">
        <f t="shared" si="47"/>
        <v>0</v>
      </c>
      <c r="BE51" s="2">
        <f t="shared" si="47"/>
        <v>0</v>
      </c>
      <c r="BF51" s="2">
        <f t="shared" si="47"/>
        <v>0</v>
      </c>
      <c r="BG51" s="2">
        <f t="shared" si="47"/>
        <v>0</v>
      </c>
      <c r="BH51" s="2">
        <f t="shared" si="47"/>
        <v>0</v>
      </c>
      <c r="BI51" s="2">
        <f t="shared" si="47"/>
        <v>0</v>
      </c>
      <c r="BJ51" s="2">
        <f t="shared" si="48"/>
        <v>0</v>
      </c>
      <c r="BK51" s="2">
        <f t="shared" si="48"/>
        <v>0</v>
      </c>
      <c r="BL51" s="2">
        <f t="shared" si="48"/>
        <v>0</v>
      </c>
      <c r="BM51" s="2">
        <f t="shared" si="48"/>
        <v>0</v>
      </c>
      <c r="BN51" s="2">
        <f t="shared" si="48"/>
        <v>0</v>
      </c>
      <c r="BO51" s="2">
        <f t="shared" si="48"/>
        <v>0</v>
      </c>
      <c r="BP51" s="2">
        <f t="shared" si="48"/>
        <v>0</v>
      </c>
      <c r="BQ51" s="2">
        <f t="shared" si="48"/>
        <v>0</v>
      </c>
      <c r="BR51" s="2">
        <f t="shared" si="48"/>
        <v>0</v>
      </c>
      <c r="BS51" s="2">
        <f t="shared" si="48"/>
        <v>0</v>
      </c>
      <c r="BT51" s="2">
        <f t="shared" si="49"/>
        <v>0</v>
      </c>
      <c r="BU51" s="2">
        <f t="shared" si="49"/>
        <v>0</v>
      </c>
      <c r="BV51" s="2">
        <f t="shared" si="49"/>
        <v>0</v>
      </c>
      <c r="BW51" s="2">
        <f t="shared" si="49"/>
        <v>0</v>
      </c>
      <c r="BX51" s="2">
        <f t="shared" si="49"/>
        <v>0</v>
      </c>
      <c r="BY51" s="2">
        <f t="shared" si="49"/>
        <v>0</v>
      </c>
      <c r="BZ51" s="2">
        <f t="shared" si="49"/>
        <v>0</v>
      </c>
      <c r="CA51" s="2">
        <f t="shared" si="49"/>
        <v>0</v>
      </c>
      <c r="CB51" s="2">
        <f t="shared" si="49"/>
        <v>0</v>
      </c>
      <c r="CC51" s="2">
        <f t="shared" si="49"/>
        <v>0</v>
      </c>
      <c r="CD51" s="2">
        <f t="shared" si="50"/>
        <v>0</v>
      </c>
      <c r="CE51" s="2">
        <f t="shared" si="50"/>
        <v>0</v>
      </c>
      <c r="CF51" s="2">
        <f t="shared" si="50"/>
        <v>0</v>
      </c>
      <c r="CG51" s="2">
        <f t="shared" si="50"/>
        <v>0</v>
      </c>
      <c r="CH51" s="2">
        <f t="shared" si="50"/>
        <v>0</v>
      </c>
      <c r="CI51" s="2">
        <f t="shared" si="50"/>
        <v>0</v>
      </c>
      <c r="CJ51" s="2">
        <f t="shared" si="50"/>
        <v>0</v>
      </c>
      <c r="CK51" s="23">
        <f t="shared" si="50"/>
        <v>0</v>
      </c>
      <c r="CN51" s="2">
        <v>24</v>
      </c>
      <c r="CO51" s="14">
        <v>0.05</v>
      </c>
      <c r="CP51" s="14">
        <v>-7.2705726240127689E-3</v>
      </c>
      <c r="CQ51" s="14">
        <v>-8.0749844135166223E-3</v>
      </c>
      <c r="CR51" s="14">
        <v>1.0425213729146349E-4</v>
      </c>
      <c r="CS51" s="14">
        <f t="shared" si="15"/>
        <v>3.4758695099762073E-2</v>
      </c>
    </row>
    <row r="52" spans="1:97" x14ac:dyDescent="0.45">
      <c r="A52" s="16">
        <v>10</v>
      </c>
      <c r="B52" s="17">
        <v>2E-3</v>
      </c>
      <c r="C52" s="19">
        <v>81.515000000000001</v>
      </c>
      <c r="D52" s="19">
        <f t="shared" si="40"/>
        <v>80.6377488146193</v>
      </c>
      <c r="E52" s="19">
        <f t="shared" si="1"/>
        <v>-0.87725118538070035</v>
      </c>
      <c r="F52" s="19">
        <f t="shared" si="2"/>
        <v>0.87725118538070035</v>
      </c>
      <c r="G52" s="20">
        <f t="shared" si="41"/>
        <v>1.2503628747419837E-2</v>
      </c>
      <c r="H52" s="20">
        <f>IFERROR(IRR((J52,L52:CK52),0),0)</f>
        <v>1.3063579186474605E-2</v>
      </c>
      <c r="I52" s="21">
        <f t="shared" si="4"/>
        <v>5.5995043905476827E-4</v>
      </c>
      <c r="J52" s="19">
        <f t="shared" si="5"/>
        <v>-80.6377488146193</v>
      </c>
      <c r="K52" s="22">
        <f t="shared" si="42"/>
        <v>-81.515000000000001</v>
      </c>
      <c r="L52" s="2">
        <f t="shared" si="43"/>
        <v>0.2</v>
      </c>
      <c r="M52" s="2">
        <f t="shared" si="43"/>
        <v>0.2</v>
      </c>
      <c r="N52" s="2">
        <f t="shared" si="43"/>
        <v>0.2</v>
      </c>
      <c r="O52" s="2">
        <f t="shared" si="43"/>
        <v>0.2</v>
      </c>
      <c r="P52" s="2">
        <f t="shared" si="43"/>
        <v>0.2</v>
      </c>
      <c r="Q52" s="2">
        <f t="shared" si="43"/>
        <v>0.2</v>
      </c>
      <c r="R52" s="2">
        <f t="shared" si="43"/>
        <v>0.2</v>
      </c>
      <c r="S52" s="2">
        <f t="shared" si="43"/>
        <v>0.2</v>
      </c>
      <c r="T52" s="2">
        <f t="shared" si="43"/>
        <v>0.2</v>
      </c>
      <c r="U52" s="2">
        <f t="shared" si="43"/>
        <v>0.2</v>
      </c>
      <c r="V52" s="2">
        <f t="shared" si="44"/>
        <v>0.2</v>
      </c>
      <c r="W52" s="2">
        <f t="shared" si="44"/>
        <v>0.2</v>
      </c>
      <c r="X52" s="2">
        <f t="shared" si="44"/>
        <v>0.2</v>
      </c>
      <c r="Y52" s="2">
        <f t="shared" si="44"/>
        <v>0.2</v>
      </c>
      <c r="Z52" s="2">
        <f t="shared" si="44"/>
        <v>0.2</v>
      </c>
      <c r="AA52" s="2">
        <f t="shared" si="44"/>
        <v>0.2</v>
      </c>
      <c r="AB52" s="2">
        <f t="shared" si="44"/>
        <v>0.2</v>
      </c>
      <c r="AC52" s="2">
        <f t="shared" si="44"/>
        <v>0.2</v>
      </c>
      <c r="AD52" s="2">
        <f t="shared" si="44"/>
        <v>0.2</v>
      </c>
      <c r="AE52" s="2">
        <f t="shared" si="44"/>
        <v>100.2</v>
      </c>
      <c r="AF52" s="2">
        <f t="shared" si="45"/>
        <v>0</v>
      </c>
      <c r="AG52" s="2">
        <f t="shared" si="45"/>
        <v>0</v>
      </c>
      <c r="AH52" s="2">
        <f t="shared" si="45"/>
        <v>0</v>
      </c>
      <c r="AI52" s="2">
        <f t="shared" si="45"/>
        <v>0</v>
      </c>
      <c r="AJ52" s="2">
        <f t="shared" si="45"/>
        <v>0</v>
      </c>
      <c r="AK52" s="2">
        <f t="shared" si="45"/>
        <v>0</v>
      </c>
      <c r="AL52" s="2">
        <f t="shared" si="45"/>
        <v>0</v>
      </c>
      <c r="AM52" s="2">
        <f t="shared" si="45"/>
        <v>0</v>
      </c>
      <c r="AN52" s="2">
        <f t="shared" si="45"/>
        <v>0</v>
      </c>
      <c r="AO52" s="2">
        <f t="shared" si="45"/>
        <v>0</v>
      </c>
      <c r="AP52" s="2">
        <f t="shared" si="46"/>
        <v>0</v>
      </c>
      <c r="AQ52" s="2">
        <f t="shared" si="46"/>
        <v>0</v>
      </c>
      <c r="AR52" s="2">
        <f t="shared" si="46"/>
        <v>0</v>
      </c>
      <c r="AS52" s="2">
        <f t="shared" si="46"/>
        <v>0</v>
      </c>
      <c r="AT52" s="2">
        <f t="shared" si="46"/>
        <v>0</v>
      </c>
      <c r="AU52" s="2">
        <f t="shared" si="46"/>
        <v>0</v>
      </c>
      <c r="AV52" s="2">
        <f t="shared" si="46"/>
        <v>0</v>
      </c>
      <c r="AW52" s="2">
        <f t="shared" si="46"/>
        <v>0</v>
      </c>
      <c r="AX52" s="2">
        <f t="shared" si="46"/>
        <v>0</v>
      </c>
      <c r="AY52" s="2">
        <f t="shared" si="46"/>
        <v>0</v>
      </c>
      <c r="AZ52" s="2">
        <f t="shared" si="47"/>
        <v>0</v>
      </c>
      <c r="BA52" s="2">
        <f t="shared" si="47"/>
        <v>0</v>
      </c>
      <c r="BB52" s="2">
        <f t="shared" si="47"/>
        <v>0</v>
      </c>
      <c r="BC52" s="2">
        <f t="shared" si="47"/>
        <v>0</v>
      </c>
      <c r="BD52" s="2">
        <f t="shared" si="47"/>
        <v>0</v>
      </c>
      <c r="BE52" s="2">
        <f t="shared" si="47"/>
        <v>0</v>
      </c>
      <c r="BF52" s="2">
        <f t="shared" si="47"/>
        <v>0</v>
      </c>
      <c r="BG52" s="2">
        <f t="shared" si="47"/>
        <v>0</v>
      </c>
      <c r="BH52" s="2">
        <f t="shared" si="47"/>
        <v>0</v>
      </c>
      <c r="BI52" s="2">
        <f t="shared" si="47"/>
        <v>0</v>
      </c>
      <c r="BJ52" s="2">
        <f t="shared" si="48"/>
        <v>0</v>
      </c>
      <c r="BK52" s="2">
        <f t="shared" si="48"/>
        <v>0</v>
      </c>
      <c r="BL52" s="2">
        <f t="shared" si="48"/>
        <v>0</v>
      </c>
      <c r="BM52" s="2">
        <f t="shared" si="48"/>
        <v>0</v>
      </c>
      <c r="BN52" s="2">
        <f t="shared" si="48"/>
        <v>0</v>
      </c>
      <c r="BO52" s="2">
        <f t="shared" si="48"/>
        <v>0</v>
      </c>
      <c r="BP52" s="2">
        <f t="shared" si="48"/>
        <v>0</v>
      </c>
      <c r="BQ52" s="2">
        <f t="shared" si="48"/>
        <v>0</v>
      </c>
      <c r="BR52" s="2">
        <f t="shared" si="48"/>
        <v>0</v>
      </c>
      <c r="BS52" s="2">
        <f t="shared" si="48"/>
        <v>0</v>
      </c>
      <c r="BT52" s="2">
        <f t="shared" si="49"/>
        <v>0</v>
      </c>
      <c r="BU52" s="2">
        <f t="shared" si="49"/>
        <v>0</v>
      </c>
      <c r="BV52" s="2">
        <f t="shared" si="49"/>
        <v>0</v>
      </c>
      <c r="BW52" s="2">
        <f t="shared" si="49"/>
        <v>0</v>
      </c>
      <c r="BX52" s="2">
        <f t="shared" si="49"/>
        <v>0</v>
      </c>
      <c r="BY52" s="2">
        <f t="shared" si="49"/>
        <v>0</v>
      </c>
      <c r="BZ52" s="2">
        <f t="shared" si="49"/>
        <v>0</v>
      </c>
      <c r="CA52" s="2">
        <f t="shared" si="49"/>
        <v>0</v>
      </c>
      <c r="CB52" s="2">
        <f t="shared" si="49"/>
        <v>0</v>
      </c>
      <c r="CC52" s="2">
        <f t="shared" si="49"/>
        <v>0</v>
      </c>
      <c r="CD52" s="2">
        <f t="shared" si="50"/>
        <v>0</v>
      </c>
      <c r="CE52" s="2">
        <f t="shared" si="50"/>
        <v>0</v>
      </c>
      <c r="CF52" s="2">
        <f t="shared" si="50"/>
        <v>0</v>
      </c>
      <c r="CG52" s="2">
        <f t="shared" si="50"/>
        <v>0</v>
      </c>
      <c r="CH52" s="2">
        <f t="shared" si="50"/>
        <v>0</v>
      </c>
      <c r="CI52" s="2">
        <f t="shared" si="50"/>
        <v>0</v>
      </c>
      <c r="CJ52" s="2">
        <f t="shared" si="50"/>
        <v>0</v>
      </c>
      <c r="CK52" s="23">
        <f t="shared" si="50"/>
        <v>0</v>
      </c>
      <c r="CN52" s="2">
        <v>24.5</v>
      </c>
      <c r="CO52" s="14">
        <v>0.05</v>
      </c>
      <c r="CP52" s="14">
        <v>-7.1251759954933267E-3</v>
      </c>
      <c r="CQ52" s="14">
        <v>-7.9292358891435103E-3</v>
      </c>
      <c r="CR52" s="14">
        <v>1.0212454265286546E-4</v>
      </c>
      <c r="CS52" s="14">
        <f t="shared" si="15"/>
        <v>3.5047712658016032E-2</v>
      </c>
    </row>
    <row r="53" spans="1:97" x14ac:dyDescent="0.45">
      <c r="A53" s="16">
        <v>12.5</v>
      </c>
      <c r="B53" s="17">
        <v>4.0000000000000001E-3</v>
      </c>
      <c r="C53" s="19">
        <v>76.502499999999998</v>
      </c>
      <c r="D53" s="19">
        <f t="shared" si="40"/>
        <v>77.836267317130577</v>
      </c>
      <c r="E53" s="19">
        <f t="shared" si="1"/>
        <v>1.3337673171305795</v>
      </c>
      <c r="F53" s="19">
        <f t="shared" si="2"/>
        <v>1.3337673171305795</v>
      </c>
      <c r="G53" s="20">
        <f t="shared" si="41"/>
        <v>1.5394702787180359E-2</v>
      </c>
      <c r="H53" s="20">
        <f>IFERROR(IRR((J53,L53:CK53),0),0)</f>
        <v>1.4652219953803725E-2</v>
      </c>
      <c r="I53" s="21">
        <f t="shared" si="4"/>
        <v>-7.4248283337663423E-4</v>
      </c>
      <c r="J53" s="19">
        <f t="shared" si="5"/>
        <v>-77.836267317130577</v>
      </c>
      <c r="K53" s="22">
        <f t="shared" si="42"/>
        <v>-76.502499999999998</v>
      </c>
      <c r="L53" s="2">
        <f t="shared" ref="L53:U66" si="51">$B53*100*(L$2&lt;$A53)+100*(1+$B53)*(L$2=$A53)</f>
        <v>0.4</v>
      </c>
      <c r="M53" s="2">
        <f t="shared" si="51"/>
        <v>0.4</v>
      </c>
      <c r="N53" s="2">
        <f t="shared" si="51"/>
        <v>0.4</v>
      </c>
      <c r="O53" s="2">
        <f t="shared" si="51"/>
        <v>0.4</v>
      </c>
      <c r="P53" s="2">
        <f t="shared" si="51"/>
        <v>0.4</v>
      </c>
      <c r="Q53" s="2">
        <f t="shared" si="51"/>
        <v>0.4</v>
      </c>
      <c r="R53" s="2">
        <f t="shared" si="51"/>
        <v>0.4</v>
      </c>
      <c r="S53" s="2">
        <f t="shared" si="51"/>
        <v>0.4</v>
      </c>
      <c r="T53" s="2">
        <f t="shared" si="51"/>
        <v>0.4</v>
      </c>
      <c r="U53" s="2">
        <f t="shared" si="51"/>
        <v>0.4</v>
      </c>
      <c r="V53" s="2">
        <f t="shared" ref="V53:AE66" si="52">$B53*100*(V$2&lt;$A53)+100*(1+$B53)*(V$2=$A53)</f>
        <v>0.4</v>
      </c>
      <c r="W53" s="2">
        <f t="shared" si="52"/>
        <v>0.4</v>
      </c>
      <c r="X53" s="2">
        <f t="shared" si="52"/>
        <v>0.4</v>
      </c>
      <c r="Y53" s="2">
        <f t="shared" si="52"/>
        <v>0.4</v>
      </c>
      <c r="Z53" s="2">
        <f t="shared" si="52"/>
        <v>0.4</v>
      </c>
      <c r="AA53" s="2">
        <f t="shared" si="52"/>
        <v>0.4</v>
      </c>
      <c r="AB53" s="2">
        <f t="shared" si="52"/>
        <v>0.4</v>
      </c>
      <c r="AC53" s="2">
        <f t="shared" si="52"/>
        <v>0.4</v>
      </c>
      <c r="AD53" s="2">
        <f t="shared" si="52"/>
        <v>0.4</v>
      </c>
      <c r="AE53" s="2">
        <f t="shared" si="52"/>
        <v>0.4</v>
      </c>
      <c r="AF53" s="2">
        <f t="shared" ref="AF53:AO66" si="53">$B53*100*(AF$2&lt;$A53)+100*(1+$B53)*(AF$2=$A53)</f>
        <v>0.4</v>
      </c>
      <c r="AG53" s="2">
        <f t="shared" si="53"/>
        <v>0.4</v>
      </c>
      <c r="AH53" s="2">
        <f t="shared" si="53"/>
        <v>0.4</v>
      </c>
      <c r="AI53" s="2">
        <f t="shared" si="53"/>
        <v>0.4</v>
      </c>
      <c r="AJ53" s="2">
        <f t="shared" si="53"/>
        <v>100.4</v>
      </c>
      <c r="AK53" s="2">
        <f t="shared" si="53"/>
        <v>0</v>
      </c>
      <c r="AL53" s="2">
        <f t="shared" si="53"/>
        <v>0</v>
      </c>
      <c r="AM53" s="2">
        <f t="shared" si="53"/>
        <v>0</v>
      </c>
      <c r="AN53" s="2">
        <f t="shared" si="53"/>
        <v>0</v>
      </c>
      <c r="AO53" s="2">
        <f t="shared" si="53"/>
        <v>0</v>
      </c>
      <c r="AP53" s="2">
        <f t="shared" ref="AP53:AY66" si="54">$B53*100*(AP$2&lt;$A53)+100*(1+$B53)*(AP$2=$A53)</f>
        <v>0</v>
      </c>
      <c r="AQ53" s="2">
        <f t="shared" si="54"/>
        <v>0</v>
      </c>
      <c r="AR53" s="2">
        <f t="shared" si="54"/>
        <v>0</v>
      </c>
      <c r="AS53" s="2">
        <f t="shared" si="54"/>
        <v>0</v>
      </c>
      <c r="AT53" s="2">
        <f t="shared" si="54"/>
        <v>0</v>
      </c>
      <c r="AU53" s="2">
        <f t="shared" si="54"/>
        <v>0</v>
      </c>
      <c r="AV53" s="2">
        <f t="shared" si="54"/>
        <v>0</v>
      </c>
      <c r="AW53" s="2">
        <f t="shared" si="54"/>
        <v>0</v>
      </c>
      <c r="AX53" s="2">
        <f t="shared" si="54"/>
        <v>0</v>
      </c>
      <c r="AY53" s="2">
        <f t="shared" si="54"/>
        <v>0</v>
      </c>
      <c r="AZ53" s="2">
        <f t="shared" ref="AZ53:BI66" si="55">$B53*100*(AZ$2&lt;$A53)+100*(1+$B53)*(AZ$2=$A53)</f>
        <v>0</v>
      </c>
      <c r="BA53" s="2">
        <f t="shared" si="55"/>
        <v>0</v>
      </c>
      <c r="BB53" s="2">
        <f t="shared" si="55"/>
        <v>0</v>
      </c>
      <c r="BC53" s="2">
        <f t="shared" si="55"/>
        <v>0</v>
      </c>
      <c r="BD53" s="2">
        <f t="shared" si="55"/>
        <v>0</v>
      </c>
      <c r="BE53" s="2">
        <f t="shared" si="55"/>
        <v>0</v>
      </c>
      <c r="BF53" s="2">
        <f t="shared" si="55"/>
        <v>0</v>
      </c>
      <c r="BG53" s="2">
        <f t="shared" si="55"/>
        <v>0</v>
      </c>
      <c r="BH53" s="2">
        <f t="shared" si="55"/>
        <v>0</v>
      </c>
      <c r="BI53" s="2">
        <f t="shared" si="55"/>
        <v>0</v>
      </c>
      <c r="BJ53" s="2">
        <f t="shared" ref="BJ53:BS66" si="56">$B53*100*(BJ$2&lt;$A53)+100*(1+$B53)*(BJ$2=$A53)</f>
        <v>0</v>
      </c>
      <c r="BK53" s="2">
        <f t="shared" si="56"/>
        <v>0</v>
      </c>
      <c r="BL53" s="2">
        <f t="shared" si="56"/>
        <v>0</v>
      </c>
      <c r="BM53" s="2">
        <f t="shared" si="56"/>
        <v>0</v>
      </c>
      <c r="BN53" s="2">
        <f t="shared" si="56"/>
        <v>0</v>
      </c>
      <c r="BO53" s="2">
        <f t="shared" si="56"/>
        <v>0</v>
      </c>
      <c r="BP53" s="2">
        <f t="shared" si="56"/>
        <v>0</v>
      </c>
      <c r="BQ53" s="2">
        <f t="shared" si="56"/>
        <v>0</v>
      </c>
      <c r="BR53" s="2">
        <f t="shared" si="56"/>
        <v>0</v>
      </c>
      <c r="BS53" s="2">
        <f t="shared" si="56"/>
        <v>0</v>
      </c>
      <c r="BT53" s="2">
        <f t="shared" ref="BT53:CC66" si="57">$B53*100*(BT$2&lt;$A53)+100*(1+$B53)*(BT$2=$A53)</f>
        <v>0</v>
      </c>
      <c r="BU53" s="2">
        <f t="shared" si="57"/>
        <v>0</v>
      </c>
      <c r="BV53" s="2">
        <f t="shared" si="57"/>
        <v>0</v>
      </c>
      <c r="BW53" s="2">
        <f t="shared" si="57"/>
        <v>0</v>
      </c>
      <c r="BX53" s="2">
        <f t="shared" si="57"/>
        <v>0</v>
      </c>
      <c r="BY53" s="2">
        <f t="shared" si="57"/>
        <v>0</v>
      </c>
      <c r="BZ53" s="2">
        <f t="shared" si="57"/>
        <v>0</v>
      </c>
      <c r="CA53" s="2">
        <f t="shared" si="57"/>
        <v>0</v>
      </c>
      <c r="CB53" s="2">
        <f t="shared" si="57"/>
        <v>0</v>
      </c>
      <c r="CC53" s="2">
        <f t="shared" si="57"/>
        <v>0</v>
      </c>
      <c r="CD53" s="2">
        <f t="shared" ref="CD53:CK66" si="58">$B53*100*(CD$2&lt;$A53)+100*(1+$B53)*(CD$2=$A53)</f>
        <v>0</v>
      </c>
      <c r="CE53" s="2">
        <f t="shared" si="58"/>
        <v>0</v>
      </c>
      <c r="CF53" s="2">
        <f t="shared" si="58"/>
        <v>0</v>
      </c>
      <c r="CG53" s="2">
        <f t="shared" si="58"/>
        <v>0</v>
      </c>
      <c r="CH53" s="2">
        <f t="shared" si="58"/>
        <v>0</v>
      </c>
      <c r="CI53" s="2">
        <f t="shared" si="58"/>
        <v>0</v>
      </c>
      <c r="CJ53" s="2">
        <f t="shared" si="58"/>
        <v>0</v>
      </c>
      <c r="CK53" s="23">
        <f t="shared" si="58"/>
        <v>0</v>
      </c>
      <c r="CN53" s="2">
        <v>25</v>
      </c>
      <c r="CO53" s="14">
        <v>0.05</v>
      </c>
      <c r="CP53" s="14">
        <v>-6.98527495788763E-3</v>
      </c>
      <c r="CQ53" s="14">
        <v>-7.7876146432547507E-3</v>
      </c>
      <c r="CR53" s="14">
        <v>1.0008205179980977E-4</v>
      </c>
      <c r="CS53" s="14">
        <f t="shared" si="15"/>
        <v>3.5327192450657428E-2</v>
      </c>
    </row>
    <row r="54" spans="1:97" x14ac:dyDescent="0.45">
      <c r="A54" s="16">
        <v>13</v>
      </c>
      <c r="B54" s="17">
        <v>3.0000000000000001E-3</v>
      </c>
      <c r="C54" s="19">
        <v>74.697000000000003</v>
      </c>
      <c r="D54" s="19">
        <f t="shared" si="40"/>
        <v>74.328266109513365</v>
      </c>
      <c r="E54" s="19">
        <f t="shared" si="1"/>
        <v>-0.36873389048663796</v>
      </c>
      <c r="F54" s="19">
        <f t="shared" si="2"/>
        <v>0.36873389048663796</v>
      </c>
      <c r="G54" s="20">
        <f t="shared" si="41"/>
        <v>1.4794254292094022E-2</v>
      </c>
      <c r="H54" s="20">
        <f>IFERROR(IRR((J54,L54:CK54),0),0)</f>
        <v>1.4996359426170391E-2</v>
      </c>
      <c r="I54" s="21">
        <f t="shared" si="4"/>
        <v>2.021051340763691E-4</v>
      </c>
      <c r="J54" s="19">
        <f t="shared" si="5"/>
        <v>-74.328266109513365</v>
      </c>
      <c r="K54" s="22">
        <f t="shared" si="42"/>
        <v>-74.697000000000003</v>
      </c>
      <c r="L54" s="2">
        <f t="shared" si="51"/>
        <v>0.3</v>
      </c>
      <c r="M54" s="2">
        <f t="shared" si="51"/>
        <v>0.3</v>
      </c>
      <c r="N54" s="2">
        <f t="shared" si="51"/>
        <v>0.3</v>
      </c>
      <c r="O54" s="2">
        <f t="shared" si="51"/>
        <v>0.3</v>
      </c>
      <c r="P54" s="2">
        <f t="shared" si="51"/>
        <v>0.3</v>
      </c>
      <c r="Q54" s="2">
        <f t="shared" si="51"/>
        <v>0.3</v>
      </c>
      <c r="R54" s="2">
        <f t="shared" si="51"/>
        <v>0.3</v>
      </c>
      <c r="S54" s="2">
        <f t="shared" si="51"/>
        <v>0.3</v>
      </c>
      <c r="T54" s="2">
        <f t="shared" si="51"/>
        <v>0.3</v>
      </c>
      <c r="U54" s="2">
        <f t="shared" si="51"/>
        <v>0.3</v>
      </c>
      <c r="V54" s="2">
        <f t="shared" si="52"/>
        <v>0.3</v>
      </c>
      <c r="W54" s="2">
        <f t="shared" si="52"/>
        <v>0.3</v>
      </c>
      <c r="X54" s="2">
        <f t="shared" si="52"/>
        <v>0.3</v>
      </c>
      <c r="Y54" s="2">
        <f t="shared" si="52"/>
        <v>0.3</v>
      </c>
      <c r="Z54" s="2">
        <f t="shared" si="52"/>
        <v>0.3</v>
      </c>
      <c r="AA54" s="2">
        <f t="shared" si="52"/>
        <v>0.3</v>
      </c>
      <c r="AB54" s="2">
        <f t="shared" si="52"/>
        <v>0.3</v>
      </c>
      <c r="AC54" s="2">
        <f t="shared" si="52"/>
        <v>0.3</v>
      </c>
      <c r="AD54" s="2">
        <f t="shared" si="52"/>
        <v>0.3</v>
      </c>
      <c r="AE54" s="2">
        <f t="shared" si="52"/>
        <v>0.3</v>
      </c>
      <c r="AF54" s="2">
        <f t="shared" si="53"/>
        <v>0.3</v>
      </c>
      <c r="AG54" s="2">
        <f t="shared" si="53"/>
        <v>0.3</v>
      </c>
      <c r="AH54" s="2">
        <f t="shared" si="53"/>
        <v>0.3</v>
      </c>
      <c r="AI54" s="2">
        <f t="shared" si="53"/>
        <v>0.3</v>
      </c>
      <c r="AJ54" s="2">
        <f t="shared" si="53"/>
        <v>0.3</v>
      </c>
      <c r="AK54" s="2">
        <f t="shared" si="53"/>
        <v>100.29999999999998</v>
      </c>
      <c r="AL54" s="2">
        <f t="shared" si="53"/>
        <v>0</v>
      </c>
      <c r="AM54" s="2">
        <f t="shared" si="53"/>
        <v>0</v>
      </c>
      <c r="AN54" s="2">
        <f t="shared" si="53"/>
        <v>0</v>
      </c>
      <c r="AO54" s="2">
        <f t="shared" si="53"/>
        <v>0</v>
      </c>
      <c r="AP54" s="2">
        <f t="shared" si="54"/>
        <v>0</v>
      </c>
      <c r="AQ54" s="2">
        <f t="shared" si="54"/>
        <v>0</v>
      </c>
      <c r="AR54" s="2">
        <f t="shared" si="54"/>
        <v>0</v>
      </c>
      <c r="AS54" s="2">
        <f t="shared" si="54"/>
        <v>0</v>
      </c>
      <c r="AT54" s="2">
        <f t="shared" si="54"/>
        <v>0</v>
      </c>
      <c r="AU54" s="2">
        <f t="shared" si="54"/>
        <v>0</v>
      </c>
      <c r="AV54" s="2">
        <f t="shared" si="54"/>
        <v>0</v>
      </c>
      <c r="AW54" s="2">
        <f t="shared" si="54"/>
        <v>0</v>
      </c>
      <c r="AX54" s="2">
        <f t="shared" si="54"/>
        <v>0</v>
      </c>
      <c r="AY54" s="2">
        <f t="shared" si="54"/>
        <v>0</v>
      </c>
      <c r="AZ54" s="2">
        <f t="shared" si="55"/>
        <v>0</v>
      </c>
      <c r="BA54" s="2">
        <f t="shared" si="55"/>
        <v>0</v>
      </c>
      <c r="BB54" s="2">
        <f t="shared" si="55"/>
        <v>0</v>
      </c>
      <c r="BC54" s="2">
        <f t="shared" si="55"/>
        <v>0</v>
      </c>
      <c r="BD54" s="2">
        <f t="shared" si="55"/>
        <v>0</v>
      </c>
      <c r="BE54" s="2">
        <f t="shared" si="55"/>
        <v>0</v>
      </c>
      <c r="BF54" s="2">
        <f t="shared" si="55"/>
        <v>0</v>
      </c>
      <c r="BG54" s="2">
        <f t="shared" si="55"/>
        <v>0</v>
      </c>
      <c r="BH54" s="2">
        <f t="shared" si="55"/>
        <v>0</v>
      </c>
      <c r="BI54" s="2">
        <f t="shared" si="55"/>
        <v>0</v>
      </c>
      <c r="BJ54" s="2">
        <f t="shared" si="56"/>
        <v>0</v>
      </c>
      <c r="BK54" s="2">
        <f t="shared" si="56"/>
        <v>0</v>
      </c>
      <c r="BL54" s="2">
        <f t="shared" si="56"/>
        <v>0</v>
      </c>
      <c r="BM54" s="2">
        <f t="shared" si="56"/>
        <v>0</v>
      </c>
      <c r="BN54" s="2">
        <f t="shared" si="56"/>
        <v>0</v>
      </c>
      <c r="BO54" s="2">
        <f t="shared" si="56"/>
        <v>0</v>
      </c>
      <c r="BP54" s="2">
        <f t="shared" si="56"/>
        <v>0</v>
      </c>
      <c r="BQ54" s="2">
        <f t="shared" si="56"/>
        <v>0</v>
      </c>
      <c r="BR54" s="2">
        <f t="shared" si="56"/>
        <v>0</v>
      </c>
      <c r="BS54" s="2">
        <f t="shared" si="56"/>
        <v>0</v>
      </c>
      <c r="BT54" s="2">
        <f t="shared" si="57"/>
        <v>0</v>
      </c>
      <c r="BU54" s="2">
        <f t="shared" si="57"/>
        <v>0</v>
      </c>
      <c r="BV54" s="2">
        <f t="shared" si="57"/>
        <v>0</v>
      </c>
      <c r="BW54" s="2">
        <f t="shared" si="57"/>
        <v>0</v>
      </c>
      <c r="BX54" s="2">
        <f t="shared" si="57"/>
        <v>0</v>
      </c>
      <c r="BY54" s="2">
        <f t="shared" si="57"/>
        <v>0</v>
      </c>
      <c r="BZ54" s="2">
        <f t="shared" si="57"/>
        <v>0</v>
      </c>
      <c r="CA54" s="2">
        <f t="shared" si="57"/>
        <v>0</v>
      </c>
      <c r="CB54" s="2">
        <f t="shared" si="57"/>
        <v>0</v>
      </c>
      <c r="CC54" s="2">
        <f t="shared" si="57"/>
        <v>0</v>
      </c>
      <c r="CD54" s="2">
        <f t="shared" si="58"/>
        <v>0</v>
      </c>
      <c r="CE54" s="2">
        <f t="shared" si="58"/>
        <v>0</v>
      </c>
      <c r="CF54" s="2">
        <f t="shared" si="58"/>
        <v>0</v>
      </c>
      <c r="CG54" s="2">
        <f t="shared" si="58"/>
        <v>0</v>
      </c>
      <c r="CH54" s="2">
        <f t="shared" si="58"/>
        <v>0</v>
      </c>
      <c r="CI54" s="2">
        <f t="shared" si="58"/>
        <v>0</v>
      </c>
      <c r="CJ54" s="2">
        <f t="shared" si="58"/>
        <v>0</v>
      </c>
      <c r="CK54" s="23">
        <f t="shared" si="58"/>
        <v>0</v>
      </c>
      <c r="CN54" s="2">
        <v>25.5</v>
      </c>
      <c r="CO54" s="14">
        <v>0.05</v>
      </c>
      <c r="CP54" s="14">
        <v>-6.8505806484877082E-3</v>
      </c>
      <c r="CQ54" s="14">
        <v>-7.6500239899392588E-3</v>
      </c>
      <c r="CR54" s="14">
        <v>9.8119658627265276E-5</v>
      </c>
      <c r="CS54" s="14">
        <f t="shared" si="15"/>
        <v>3.5597515020200296E-2</v>
      </c>
    </row>
    <row r="55" spans="1:97" x14ac:dyDescent="0.45">
      <c r="A55" s="16">
        <v>13.5</v>
      </c>
      <c r="B55" s="17">
        <v>3.0000000000000001E-3</v>
      </c>
      <c r="C55" s="19">
        <v>74.035499999999999</v>
      </c>
      <c r="D55" s="19">
        <f t="shared" si="40"/>
        <v>72.980836539405729</v>
      </c>
      <c r="E55" s="19">
        <f t="shared" si="1"/>
        <v>-1.05466346059427</v>
      </c>
      <c r="F55" s="19">
        <f t="shared" si="2"/>
        <v>1.05466346059427</v>
      </c>
      <c r="G55" s="20">
        <f t="shared" si="41"/>
        <v>1.472401896860509E-2</v>
      </c>
      <c r="H55" s="20">
        <f>IFERROR(IRR((J55,L55:CK55),0),0)</f>
        <v>1.5289619103089569E-2</v>
      </c>
      <c r="I55" s="21">
        <f t="shared" si="4"/>
        <v>5.6560013448447855E-4</v>
      </c>
      <c r="J55" s="19">
        <f t="shared" si="5"/>
        <v>-72.980836539405729</v>
      </c>
      <c r="K55" s="22">
        <f t="shared" si="42"/>
        <v>-74.035499999999999</v>
      </c>
      <c r="L55" s="2">
        <f t="shared" si="51"/>
        <v>0.3</v>
      </c>
      <c r="M55" s="2">
        <f t="shared" si="51"/>
        <v>0.3</v>
      </c>
      <c r="N55" s="2">
        <f t="shared" si="51"/>
        <v>0.3</v>
      </c>
      <c r="O55" s="2">
        <f t="shared" si="51"/>
        <v>0.3</v>
      </c>
      <c r="P55" s="2">
        <f t="shared" si="51"/>
        <v>0.3</v>
      </c>
      <c r="Q55" s="2">
        <f t="shared" si="51"/>
        <v>0.3</v>
      </c>
      <c r="R55" s="2">
        <f t="shared" si="51"/>
        <v>0.3</v>
      </c>
      <c r="S55" s="2">
        <f t="shared" si="51"/>
        <v>0.3</v>
      </c>
      <c r="T55" s="2">
        <f t="shared" si="51"/>
        <v>0.3</v>
      </c>
      <c r="U55" s="2">
        <f t="shared" si="51"/>
        <v>0.3</v>
      </c>
      <c r="V55" s="2">
        <f t="shared" si="52"/>
        <v>0.3</v>
      </c>
      <c r="W55" s="2">
        <f t="shared" si="52"/>
        <v>0.3</v>
      </c>
      <c r="X55" s="2">
        <f t="shared" si="52"/>
        <v>0.3</v>
      </c>
      <c r="Y55" s="2">
        <f t="shared" si="52"/>
        <v>0.3</v>
      </c>
      <c r="Z55" s="2">
        <f t="shared" si="52"/>
        <v>0.3</v>
      </c>
      <c r="AA55" s="2">
        <f t="shared" si="52"/>
        <v>0.3</v>
      </c>
      <c r="AB55" s="2">
        <f t="shared" si="52"/>
        <v>0.3</v>
      </c>
      <c r="AC55" s="2">
        <f t="shared" si="52"/>
        <v>0.3</v>
      </c>
      <c r="AD55" s="2">
        <f t="shared" si="52"/>
        <v>0.3</v>
      </c>
      <c r="AE55" s="2">
        <f t="shared" si="52"/>
        <v>0.3</v>
      </c>
      <c r="AF55" s="2">
        <f t="shared" si="53"/>
        <v>0.3</v>
      </c>
      <c r="AG55" s="2">
        <f t="shared" si="53"/>
        <v>0.3</v>
      </c>
      <c r="AH55" s="2">
        <f t="shared" si="53"/>
        <v>0.3</v>
      </c>
      <c r="AI55" s="2">
        <f t="shared" si="53"/>
        <v>0.3</v>
      </c>
      <c r="AJ55" s="2">
        <f t="shared" si="53"/>
        <v>0.3</v>
      </c>
      <c r="AK55" s="2">
        <f t="shared" si="53"/>
        <v>0.3</v>
      </c>
      <c r="AL55" s="2">
        <f t="shared" si="53"/>
        <v>100.29999999999998</v>
      </c>
      <c r="AM55" s="2">
        <f t="shared" si="53"/>
        <v>0</v>
      </c>
      <c r="AN55" s="2">
        <f t="shared" si="53"/>
        <v>0</v>
      </c>
      <c r="AO55" s="2">
        <f t="shared" si="53"/>
        <v>0</v>
      </c>
      <c r="AP55" s="2">
        <f t="shared" si="54"/>
        <v>0</v>
      </c>
      <c r="AQ55" s="2">
        <f t="shared" si="54"/>
        <v>0</v>
      </c>
      <c r="AR55" s="2">
        <f t="shared" si="54"/>
        <v>0</v>
      </c>
      <c r="AS55" s="2">
        <f t="shared" si="54"/>
        <v>0</v>
      </c>
      <c r="AT55" s="2">
        <f t="shared" si="54"/>
        <v>0</v>
      </c>
      <c r="AU55" s="2">
        <f t="shared" si="54"/>
        <v>0</v>
      </c>
      <c r="AV55" s="2">
        <f t="shared" si="54"/>
        <v>0</v>
      </c>
      <c r="AW55" s="2">
        <f t="shared" si="54"/>
        <v>0</v>
      </c>
      <c r="AX55" s="2">
        <f t="shared" si="54"/>
        <v>0</v>
      </c>
      <c r="AY55" s="2">
        <f t="shared" si="54"/>
        <v>0</v>
      </c>
      <c r="AZ55" s="2">
        <f t="shared" si="55"/>
        <v>0</v>
      </c>
      <c r="BA55" s="2">
        <f t="shared" si="55"/>
        <v>0</v>
      </c>
      <c r="BB55" s="2">
        <f t="shared" si="55"/>
        <v>0</v>
      </c>
      <c r="BC55" s="2">
        <f t="shared" si="55"/>
        <v>0</v>
      </c>
      <c r="BD55" s="2">
        <f t="shared" si="55"/>
        <v>0</v>
      </c>
      <c r="BE55" s="2">
        <f t="shared" si="55"/>
        <v>0</v>
      </c>
      <c r="BF55" s="2">
        <f t="shared" si="55"/>
        <v>0</v>
      </c>
      <c r="BG55" s="2">
        <f t="shared" si="55"/>
        <v>0</v>
      </c>
      <c r="BH55" s="2">
        <f t="shared" si="55"/>
        <v>0</v>
      </c>
      <c r="BI55" s="2">
        <f t="shared" si="55"/>
        <v>0</v>
      </c>
      <c r="BJ55" s="2">
        <f t="shared" si="56"/>
        <v>0</v>
      </c>
      <c r="BK55" s="2">
        <f t="shared" si="56"/>
        <v>0</v>
      </c>
      <c r="BL55" s="2">
        <f t="shared" si="56"/>
        <v>0</v>
      </c>
      <c r="BM55" s="2">
        <f t="shared" si="56"/>
        <v>0</v>
      </c>
      <c r="BN55" s="2">
        <f t="shared" si="56"/>
        <v>0</v>
      </c>
      <c r="BO55" s="2">
        <f t="shared" si="56"/>
        <v>0</v>
      </c>
      <c r="BP55" s="2">
        <f t="shared" si="56"/>
        <v>0</v>
      </c>
      <c r="BQ55" s="2">
        <f t="shared" si="56"/>
        <v>0</v>
      </c>
      <c r="BR55" s="2">
        <f t="shared" si="56"/>
        <v>0</v>
      </c>
      <c r="BS55" s="2">
        <f t="shared" si="56"/>
        <v>0</v>
      </c>
      <c r="BT55" s="2">
        <f t="shared" si="57"/>
        <v>0</v>
      </c>
      <c r="BU55" s="2">
        <f t="shared" si="57"/>
        <v>0</v>
      </c>
      <c r="BV55" s="2">
        <f t="shared" si="57"/>
        <v>0</v>
      </c>
      <c r="BW55" s="2">
        <f t="shared" si="57"/>
        <v>0</v>
      </c>
      <c r="BX55" s="2">
        <f t="shared" si="57"/>
        <v>0</v>
      </c>
      <c r="BY55" s="2">
        <f t="shared" si="57"/>
        <v>0</v>
      </c>
      <c r="BZ55" s="2">
        <f t="shared" si="57"/>
        <v>0</v>
      </c>
      <c r="CA55" s="2">
        <f t="shared" si="57"/>
        <v>0</v>
      </c>
      <c r="CB55" s="2">
        <f t="shared" si="57"/>
        <v>0</v>
      </c>
      <c r="CC55" s="2">
        <f t="shared" si="57"/>
        <v>0</v>
      </c>
      <c r="CD55" s="2">
        <f t="shared" si="58"/>
        <v>0</v>
      </c>
      <c r="CE55" s="2">
        <f t="shared" si="58"/>
        <v>0</v>
      </c>
      <c r="CF55" s="2">
        <f t="shared" si="58"/>
        <v>0</v>
      </c>
      <c r="CG55" s="2">
        <f t="shared" si="58"/>
        <v>0</v>
      </c>
      <c r="CH55" s="2">
        <f t="shared" si="58"/>
        <v>0</v>
      </c>
      <c r="CI55" s="2">
        <f t="shared" si="58"/>
        <v>0</v>
      </c>
      <c r="CJ55" s="2">
        <f t="shared" si="58"/>
        <v>0</v>
      </c>
      <c r="CK55" s="23">
        <f t="shared" si="58"/>
        <v>0</v>
      </c>
      <c r="CN55" s="2">
        <v>26</v>
      </c>
      <c r="CO55" s="14">
        <v>0.05</v>
      </c>
      <c r="CP55" s="14">
        <v>-6.7208227269603682E-3</v>
      </c>
      <c r="CQ55" s="14">
        <v>-7.5163629369814425E-3</v>
      </c>
      <c r="CR55" s="14">
        <v>9.6232742115202877E-5</v>
      </c>
      <c r="CS55" s="14">
        <f t="shared" si="15"/>
        <v>3.5859047078173396E-2</v>
      </c>
    </row>
    <row r="56" spans="1:97" x14ac:dyDescent="0.45">
      <c r="A56" s="16">
        <v>13.5</v>
      </c>
      <c r="B56" s="17">
        <v>3.0000000000000001E-3</v>
      </c>
      <c r="C56" s="19">
        <v>73.396000000000001</v>
      </c>
      <c r="D56" s="19">
        <f t="shared" si="40"/>
        <v>72.980836539405729</v>
      </c>
      <c r="E56" s="19">
        <f t="shared" si="1"/>
        <v>-0.41516346059427178</v>
      </c>
      <c r="F56" s="19">
        <f t="shared" si="2"/>
        <v>0.41516346059427178</v>
      </c>
      <c r="G56" s="20">
        <f t="shared" si="41"/>
        <v>1.5065934941609793E-2</v>
      </c>
      <c r="H56" s="20">
        <f>IFERROR(IRR((J56,L56:CK56),0),0)</f>
        <v>1.5289619103089569E-2</v>
      </c>
      <c r="I56" s="21">
        <f t="shared" si="4"/>
        <v>2.2368416147977577E-4</v>
      </c>
      <c r="J56" s="19">
        <f t="shared" si="5"/>
        <v>-72.980836539405729</v>
      </c>
      <c r="K56" s="22">
        <f t="shared" si="42"/>
        <v>-73.396000000000001</v>
      </c>
      <c r="L56" s="2">
        <f t="shared" si="51"/>
        <v>0.3</v>
      </c>
      <c r="M56" s="2">
        <f t="shared" si="51"/>
        <v>0.3</v>
      </c>
      <c r="N56" s="2">
        <f t="shared" si="51"/>
        <v>0.3</v>
      </c>
      <c r="O56" s="2">
        <f t="shared" si="51"/>
        <v>0.3</v>
      </c>
      <c r="P56" s="2">
        <f t="shared" si="51"/>
        <v>0.3</v>
      </c>
      <c r="Q56" s="2">
        <f t="shared" si="51"/>
        <v>0.3</v>
      </c>
      <c r="R56" s="2">
        <f t="shared" si="51"/>
        <v>0.3</v>
      </c>
      <c r="S56" s="2">
        <f t="shared" si="51"/>
        <v>0.3</v>
      </c>
      <c r="T56" s="2">
        <f t="shared" si="51"/>
        <v>0.3</v>
      </c>
      <c r="U56" s="2">
        <f t="shared" si="51"/>
        <v>0.3</v>
      </c>
      <c r="V56" s="2">
        <f t="shared" si="52"/>
        <v>0.3</v>
      </c>
      <c r="W56" s="2">
        <f t="shared" si="52"/>
        <v>0.3</v>
      </c>
      <c r="X56" s="2">
        <f t="shared" si="52"/>
        <v>0.3</v>
      </c>
      <c r="Y56" s="2">
        <f t="shared" si="52"/>
        <v>0.3</v>
      </c>
      <c r="Z56" s="2">
        <f t="shared" si="52"/>
        <v>0.3</v>
      </c>
      <c r="AA56" s="2">
        <f t="shared" si="52"/>
        <v>0.3</v>
      </c>
      <c r="AB56" s="2">
        <f t="shared" si="52"/>
        <v>0.3</v>
      </c>
      <c r="AC56" s="2">
        <f t="shared" si="52"/>
        <v>0.3</v>
      </c>
      <c r="AD56" s="2">
        <f t="shared" si="52"/>
        <v>0.3</v>
      </c>
      <c r="AE56" s="2">
        <f t="shared" si="52"/>
        <v>0.3</v>
      </c>
      <c r="AF56" s="2">
        <f t="shared" si="53"/>
        <v>0.3</v>
      </c>
      <c r="AG56" s="2">
        <f t="shared" si="53"/>
        <v>0.3</v>
      </c>
      <c r="AH56" s="2">
        <f t="shared" si="53"/>
        <v>0.3</v>
      </c>
      <c r="AI56" s="2">
        <f t="shared" si="53"/>
        <v>0.3</v>
      </c>
      <c r="AJ56" s="2">
        <f t="shared" si="53"/>
        <v>0.3</v>
      </c>
      <c r="AK56" s="2">
        <f t="shared" si="53"/>
        <v>0.3</v>
      </c>
      <c r="AL56" s="2">
        <f t="shared" si="53"/>
        <v>100.29999999999998</v>
      </c>
      <c r="AM56" s="2">
        <f t="shared" si="53"/>
        <v>0</v>
      </c>
      <c r="AN56" s="2">
        <f t="shared" si="53"/>
        <v>0</v>
      </c>
      <c r="AO56" s="2">
        <f t="shared" si="53"/>
        <v>0</v>
      </c>
      <c r="AP56" s="2">
        <f t="shared" si="54"/>
        <v>0</v>
      </c>
      <c r="AQ56" s="2">
        <f t="shared" si="54"/>
        <v>0</v>
      </c>
      <c r="AR56" s="2">
        <f t="shared" si="54"/>
        <v>0</v>
      </c>
      <c r="AS56" s="2">
        <f t="shared" si="54"/>
        <v>0</v>
      </c>
      <c r="AT56" s="2">
        <f t="shared" si="54"/>
        <v>0</v>
      </c>
      <c r="AU56" s="2">
        <f t="shared" si="54"/>
        <v>0</v>
      </c>
      <c r="AV56" s="2">
        <f t="shared" si="54"/>
        <v>0</v>
      </c>
      <c r="AW56" s="2">
        <f t="shared" si="54"/>
        <v>0</v>
      </c>
      <c r="AX56" s="2">
        <f t="shared" si="54"/>
        <v>0</v>
      </c>
      <c r="AY56" s="2">
        <f t="shared" si="54"/>
        <v>0</v>
      </c>
      <c r="AZ56" s="2">
        <f t="shared" si="55"/>
        <v>0</v>
      </c>
      <c r="BA56" s="2">
        <f t="shared" si="55"/>
        <v>0</v>
      </c>
      <c r="BB56" s="2">
        <f t="shared" si="55"/>
        <v>0</v>
      </c>
      <c r="BC56" s="2">
        <f t="shared" si="55"/>
        <v>0</v>
      </c>
      <c r="BD56" s="2">
        <f t="shared" si="55"/>
        <v>0</v>
      </c>
      <c r="BE56" s="2">
        <f t="shared" si="55"/>
        <v>0</v>
      </c>
      <c r="BF56" s="2">
        <f t="shared" si="55"/>
        <v>0</v>
      </c>
      <c r="BG56" s="2">
        <f t="shared" si="55"/>
        <v>0</v>
      </c>
      <c r="BH56" s="2">
        <f t="shared" si="55"/>
        <v>0</v>
      </c>
      <c r="BI56" s="2">
        <f t="shared" si="55"/>
        <v>0</v>
      </c>
      <c r="BJ56" s="2">
        <f t="shared" si="56"/>
        <v>0</v>
      </c>
      <c r="BK56" s="2">
        <f t="shared" si="56"/>
        <v>0</v>
      </c>
      <c r="BL56" s="2">
        <f t="shared" si="56"/>
        <v>0</v>
      </c>
      <c r="BM56" s="2">
        <f t="shared" si="56"/>
        <v>0</v>
      </c>
      <c r="BN56" s="2">
        <f t="shared" si="56"/>
        <v>0</v>
      </c>
      <c r="BO56" s="2">
        <f t="shared" si="56"/>
        <v>0</v>
      </c>
      <c r="BP56" s="2">
        <f t="shared" si="56"/>
        <v>0</v>
      </c>
      <c r="BQ56" s="2">
        <f t="shared" si="56"/>
        <v>0</v>
      </c>
      <c r="BR56" s="2">
        <f t="shared" si="56"/>
        <v>0</v>
      </c>
      <c r="BS56" s="2">
        <f t="shared" si="56"/>
        <v>0</v>
      </c>
      <c r="BT56" s="2">
        <f t="shared" si="57"/>
        <v>0</v>
      </c>
      <c r="BU56" s="2">
        <f t="shared" si="57"/>
        <v>0</v>
      </c>
      <c r="BV56" s="2">
        <f t="shared" si="57"/>
        <v>0</v>
      </c>
      <c r="BW56" s="2">
        <f t="shared" si="57"/>
        <v>0</v>
      </c>
      <c r="BX56" s="2">
        <f t="shared" si="57"/>
        <v>0</v>
      </c>
      <c r="BY56" s="2">
        <f t="shared" si="57"/>
        <v>0</v>
      </c>
      <c r="BZ56" s="2">
        <f t="shared" si="57"/>
        <v>0</v>
      </c>
      <c r="CA56" s="2">
        <f t="shared" si="57"/>
        <v>0</v>
      </c>
      <c r="CB56" s="2">
        <f t="shared" si="57"/>
        <v>0</v>
      </c>
      <c r="CC56" s="2">
        <f t="shared" si="57"/>
        <v>0</v>
      </c>
      <c r="CD56" s="2">
        <f t="shared" si="58"/>
        <v>0</v>
      </c>
      <c r="CE56" s="2">
        <f t="shared" si="58"/>
        <v>0</v>
      </c>
      <c r="CF56" s="2">
        <f t="shared" si="58"/>
        <v>0</v>
      </c>
      <c r="CG56" s="2">
        <f t="shared" si="58"/>
        <v>0</v>
      </c>
      <c r="CH56" s="2">
        <f t="shared" si="58"/>
        <v>0</v>
      </c>
      <c r="CI56" s="2">
        <f t="shared" si="58"/>
        <v>0</v>
      </c>
      <c r="CJ56" s="2">
        <f t="shared" si="58"/>
        <v>0</v>
      </c>
      <c r="CK56" s="23">
        <f t="shared" si="58"/>
        <v>0</v>
      </c>
      <c r="CN56" s="2">
        <v>26.5</v>
      </c>
      <c r="CO56" s="14">
        <v>0.05</v>
      </c>
      <c r="CP56" s="14">
        <v>-6.5957480255147156E-3</v>
      </c>
      <c r="CQ56" s="14">
        <v>-7.3865274292252963E-3</v>
      </c>
      <c r="CR56" s="14">
        <v>9.4417029999821896E-5</v>
      </c>
      <c r="CS56" s="14">
        <f t="shared" si="15"/>
        <v>3.6112141575259812E-2</v>
      </c>
    </row>
    <row r="57" spans="1:97" x14ac:dyDescent="0.45">
      <c r="A57" s="16">
        <v>14</v>
      </c>
      <c r="B57" s="17">
        <v>4.0000000000000001E-3</v>
      </c>
      <c r="C57" s="19">
        <v>73.914500000000004</v>
      </c>
      <c r="D57" s="19">
        <f t="shared" si="40"/>
        <v>73.995009124093059</v>
      </c>
      <c r="E57" s="19">
        <f t="shared" si="1"/>
        <v>8.0509124093055107E-2</v>
      </c>
      <c r="F57" s="19">
        <f t="shared" si="2"/>
        <v>8.0509124093055107E-2</v>
      </c>
      <c r="G57" s="20">
        <f t="shared" si="41"/>
        <v>1.5564457877941473E-2</v>
      </c>
      <c r="H57" s="20">
        <f>IFERROR(IRR((J57,L57:CK57),0),0)</f>
        <v>1.5522309772036946E-2</v>
      </c>
      <c r="I57" s="21">
        <f t="shared" si="4"/>
        <v>-4.2148105904527E-5</v>
      </c>
      <c r="J57" s="19">
        <f t="shared" si="5"/>
        <v>-73.995009124093059</v>
      </c>
      <c r="K57" s="22">
        <f t="shared" si="42"/>
        <v>-73.914500000000004</v>
      </c>
      <c r="L57" s="2">
        <f t="shared" si="51"/>
        <v>0.4</v>
      </c>
      <c r="M57" s="2">
        <f t="shared" si="51"/>
        <v>0.4</v>
      </c>
      <c r="N57" s="2">
        <f t="shared" si="51"/>
        <v>0.4</v>
      </c>
      <c r="O57" s="2">
        <f t="shared" si="51"/>
        <v>0.4</v>
      </c>
      <c r="P57" s="2">
        <f t="shared" si="51"/>
        <v>0.4</v>
      </c>
      <c r="Q57" s="2">
        <f t="shared" si="51"/>
        <v>0.4</v>
      </c>
      <c r="R57" s="2">
        <f t="shared" si="51"/>
        <v>0.4</v>
      </c>
      <c r="S57" s="2">
        <f t="shared" si="51"/>
        <v>0.4</v>
      </c>
      <c r="T57" s="2">
        <f t="shared" si="51"/>
        <v>0.4</v>
      </c>
      <c r="U57" s="2">
        <f t="shared" si="51"/>
        <v>0.4</v>
      </c>
      <c r="V57" s="2">
        <f t="shared" si="52"/>
        <v>0.4</v>
      </c>
      <c r="W57" s="2">
        <f t="shared" si="52"/>
        <v>0.4</v>
      </c>
      <c r="X57" s="2">
        <f t="shared" si="52"/>
        <v>0.4</v>
      </c>
      <c r="Y57" s="2">
        <f t="shared" si="52"/>
        <v>0.4</v>
      </c>
      <c r="Z57" s="2">
        <f t="shared" si="52"/>
        <v>0.4</v>
      </c>
      <c r="AA57" s="2">
        <f t="shared" si="52"/>
        <v>0.4</v>
      </c>
      <c r="AB57" s="2">
        <f t="shared" si="52"/>
        <v>0.4</v>
      </c>
      <c r="AC57" s="2">
        <f t="shared" si="52"/>
        <v>0.4</v>
      </c>
      <c r="AD57" s="2">
        <f t="shared" si="52"/>
        <v>0.4</v>
      </c>
      <c r="AE57" s="2">
        <f t="shared" si="52"/>
        <v>0.4</v>
      </c>
      <c r="AF57" s="2">
        <f t="shared" si="53"/>
        <v>0.4</v>
      </c>
      <c r="AG57" s="2">
        <f t="shared" si="53"/>
        <v>0.4</v>
      </c>
      <c r="AH57" s="2">
        <f t="shared" si="53"/>
        <v>0.4</v>
      </c>
      <c r="AI57" s="2">
        <f t="shared" si="53"/>
        <v>0.4</v>
      </c>
      <c r="AJ57" s="2">
        <f t="shared" si="53"/>
        <v>0.4</v>
      </c>
      <c r="AK57" s="2">
        <f t="shared" si="53"/>
        <v>0.4</v>
      </c>
      <c r="AL57" s="2">
        <f t="shared" si="53"/>
        <v>0.4</v>
      </c>
      <c r="AM57" s="2">
        <f t="shared" si="53"/>
        <v>100.4</v>
      </c>
      <c r="AN57" s="2">
        <f t="shared" si="53"/>
        <v>0</v>
      </c>
      <c r="AO57" s="2">
        <f t="shared" si="53"/>
        <v>0</v>
      </c>
      <c r="AP57" s="2">
        <f t="shared" si="54"/>
        <v>0</v>
      </c>
      <c r="AQ57" s="2">
        <f t="shared" si="54"/>
        <v>0</v>
      </c>
      <c r="AR57" s="2">
        <f t="shared" si="54"/>
        <v>0</v>
      </c>
      <c r="AS57" s="2">
        <f t="shared" si="54"/>
        <v>0</v>
      </c>
      <c r="AT57" s="2">
        <f t="shared" si="54"/>
        <v>0</v>
      </c>
      <c r="AU57" s="2">
        <f t="shared" si="54"/>
        <v>0</v>
      </c>
      <c r="AV57" s="2">
        <f t="shared" si="54"/>
        <v>0</v>
      </c>
      <c r="AW57" s="2">
        <f t="shared" si="54"/>
        <v>0</v>
      </c>
      <c r="AX57" s="2">
        <f t="shared" si="54"/>
        <v>0</v>
      </c>
      <c r="AY57" s="2">
        <f t="shared" si="54"/>
        <v>0</v>
      </c>
      <c r="AZ57" s="2">
        <f t="shared" si="55"/>
        <v>0</v>
      </c>
      <c r="BA57" s="2">
        <f t="shared" si="55"/>
        <v>0</v>
      </c>
      <c r="BB57" s="2">
        <f t="shared" si="55"/>
        <v>0</v>
      </c>
      <c r="BC57" s="2">
        <f t="shared" si="55"/>
        <v>0</v>
      </c>
      <c r="BD57" s="2">
        <f t="shared" si="55"/>
        <v>0</v>
      </c>
      <c r="BE57" s="2">
        <f t="shared" si="55"/>
        <v>0</v>
      </c>
      <c r="BF57" s="2">
        <f t="shared" si="55"/>
        <v>0</v>
      </c>
      <c r="BG57" s="2">
        <f t="shared" si="55"/>
        <v>0</v>
      </c>
      <c r="BH57" s="2">
        <f t="shared" si="55"/>
        <v>0</v>
      </c>
      <c r="BI57" s="2">
        <f t="shared" si="55"/>
        <v>0</v>
      </c>
      <c r="BJ57" s="2">
        <f t="shared" si="56"/>
        <v>0</v>
      </c>
      <c r="BK57" s="2">
        <f t="shared" si="56"/>
        <v>0</v>
      </c>
      <c r="BL57" s="2">
        <f t="shared" si="56"/>
        <v>0</v>
      </c>
      <c r="BM57" s="2">
        <f t="shared" si="56"/>
        <v>0</v>
      </c>
      <c r="BN57" s="2">
        <f t="shared" si="56"/>
        <v>0</v>
      </c>
      <c r="BO57" s="2">
        <f t="shared" si="56"/>
        <v>0</v>
      </c>
      <c r="BP57" s="2">
        <f t="shared" si="56"/>
        <v>0</v>
      </c>
      <c r="BQ57" s="2">
        <f t="shared" si="56"/>
        <v>0</v>
      </c>
      <c r="BR57" s="2">
        <f t="shared" si="56"/>
        <v>0</v>
      </c>
      <c r="BS57" s="2">
        <f t="shared" si="56"/>
        <v>0</v>
      </c>
      <c r="BT57" s="2">
        <f t="shared" si="57"/>
        <v>0</v>
      </c>
      <c r="BU57" s="2">
        <f t="shared" si="57"/>
        <v>0</v>
      </c>
      <c r="BV57" s="2">
        <f t="shared" si="57"/>
        <v>0</v>
      </c>
      <c r="BW57" s="2">
        <f t="shared" si="57"/>
        <v>0</v>
      </c>
      <c r="BX57" s="2">
        <f t="shared" si="57"/>
        <v>0</v>
      </c>
      <c r="BY57" s="2">
        <f t="shared" si="57"/>
        <v>0</v>
      </c>
      <c r="BZ57" s="2">
        <f t="shared" si="57"/>
        <v>0</v>
      </c>
      <c r="CA57" s="2">
        <f t="shared" si="57"/>
        <v>0</v>
      </c>
      <c r="CB57" s="2">
        <f t="shared" si="57"/>
        <v>0</v>
      </c>
      <c r="CC57" s="2">
        <f t="shared" si="57"/>
        <v>0</v>
      </c>
      <c r="CD57" s="2">
        <f t="shared" si="58"/>
        <v>0</v>
      </c>
      <c r="CE57" s="2">
        <f t="shared" si="58"/>
        <v>0</v>
      </c>
      <c r="CF57" s="2">
        <f t="shared" si="58"/>
        <v>0</v>
      </c>
      <c r="CG57" s="2">
        <f t="shared" si="58"/>
        <v>0</v>
      </c>
      <c r="CH57" s="2">
        <f t="shared" si="58"/>
        <v>0</v>
      </c>
      <c r="CI57" s="2">
        <f t="shared" si="58"/>
        <v>0</v>
      </c>
      <c r="CJ57" s="2">
        <f t="shared" si="58"/>
        <v>0</v>
      </c>
      <c r="CK57" s="23">
        <f t="shared" si="58"/>
        <v>0</v>
      </c>
      <c r="CN57" s="2">
        <v>27</v>
      </c>
      <c r="CO57" s="14">
        <v>0.05</v>
      </c>
      <c r="CP57" s="14">
        <v>-6.4751193062932352E-3</v>
      </c>
      <c r="CQ57" s="14">
        <v>-7.2604114095158601E-3</v>
      </c>
      <c r="CR57" s="14">
        <v>9.2668566481306756E-5</v>
      </c>
      <c r="CS57" s="14">
        <f t="shared" si="15"/>
        <v>3.6357137850672211E-2</v>
      </c>
    </row>
    <row r="58" spans="1:97" x14ac:dyDescent="0.45">
      <c r="A58" s="16">
        <v>14</v>
      </c>
      <c r="B58" s="17">
        <v>4.0000000000000001E-3</v>
      </c>
      <c r="C58" s="19">
        <v>73.332999999999998</v>
      </c>
      <c r="D58" s="19">
        <f t="shared" si="40"/>
        <v>73.995009124093059</v>
      </c>
      <c r="E58" s="19">
        <f t="shared" si="1"/>
        <v>0.66200912409306056</v>
      </c>
      <c r="F58" s="19">
        <f t="shared" si="2"/>
        <v>0.66200912409306056</v>
      </c>
      <c r="G58" s="20">
        <f t="shared" si="41"/>
        <v>1.5870368081413844E-2</v>
      </c>
      <c r="H58" s="20">
        <f>IFERROR(IRR((J58,L58:CK58),0),0)</f>
        <v>1.5522309772036946E-2</v>
      </c>
      <c r="I58" s="21">
        <f t="shared" si="4"/>
        <v>-3.4805830937689741E-4</v>
      </c>
      <c r="J58" s="19">
        <f t="shared" si="5"/>
        <v>-73.995009124093059</v>
      </c>
      <c r="K58" s="22">
        <f t="shared" si="42"/>
        <v>-73.332999999999998</v>
      </c>
      <c r="L58" s="2">
        <f t="shared" si="51"/>
        <v>0.4</v>
      </c>
      <c r="M58" s="2">
        <f t="shared" si="51"/>
        <v>0.4</v>
      </c>
      <c r="N58" s="2">
        <f t="shared" si="51"/>
        <v>0.4</v>
      </c>
      <c r="O58" s="2">
        <f t="shared" si="51"/>
        <v>0.4</v>
      </c>
      <c r="P58" s="2">
        <f t="shared" si="51"/>
        <v>0.4</v>
      </c>
      <c r="Q58" s="2">
        <f t="shared" si="51"/>
        <v>0.4</v>
      </c>
      <c r="R58" s="2">
        <f t="shared" si="51"/>
        <v>0.4</v>
      </c>
      <c r="S58" s="2">
        <f t="shared" si="51"/>
        <v>0.4</v>
      </c>
      <c r="T58" s="2">
        <f t="shared" si="51"/>
        <v>0.4</v>
      </c>
      <c r="U58" s="2">
        <f t="shared" si="51"/>
        <v>0.4</v>
      </c>
      <c r="V58" s="2">
        <f t="shared" si="52"/>
        <v>0.4</v>
      </c>
      <c r="W58" s="2">
        <f t="shared" si="52"/>
        <v>0.4</v>
      </c>
      <c r="X58" s="2">
        <f t="shared" si="52"/>
        <v>0.4</v>
      </c>
      <c r="Y58" s="2">
        <f t="shared" si="52"/>
        <v>0.4</v>
      </c>
      <c r="Z58" s="2">
        <f t="shared" si="52"/>
        <v>0.4</v>
      </c>
      <c r="AA58" s="2">
        <f t="shared" si="52"/>
        <v>0.4</v>
      </c>
      <c r="AB58" s="2">
        <f t="shared" si="52"/>
        <v>0.4</v>
      </c>
      <c r="AC58" s="2">
        <f t="shared" si="52"/>
        <v>0.4</v>
      </c>
      <c r="AD58" s="2">
        <f t="shared" si="52"/>
        <v>0.4</v>
      </c>
      <c r="AE58" s="2">
        <f t="shared" si="52"/>
        <v>0.4</v>
      </c>
      <c r="AF58" s="2">
        <f t="shared" si="53"/>
        <v>0.4</v>
      </c>
      <c r="AG58" s="2">
        <f t="shared" si="53"/>
        <v>0.4</v>
      </c>
      <c r="AH58" s="2">
        <f t="shared" si="53"/>
        <v>0.4</v>
      </c>
      <c r="AI58" s="2">
        <f t="shared" si="53"/>
        <v>0.4</v>
      </c>
      <c r="AJ58" s="2">
        <f t="shared" si="53"/>
        <v>0.4</v>
      </c>
      <c r="AK58" s="2">
        <f t="shared" si="53"/>
        <v>0.4</v>
      </c>
      <c r="AL58" s="2">
        <f t="shared" si="53"/>
        <v>0.4</v>
      </c>
      <c r="AM58" s="2">
        <f t="shared" si="53"/>
        <v>100.4</v>
      </c>
      <c r="AN58" s="2">
        <f t="shared" si="53"/>
        <v>0</v>
      </c>
      <c r="AO58" s="2">
        <f t="shared" si="53"/>
        <v>0</v>
      </c>
      <c r="AP58" s="2">
        <f t="shared" si="54"/>
        <v>0</v>
      </c>
      <c r="AQ58" s="2">
        <f t="shared" si="54"/>
        <v>0</v>
      </c>
      <c r="AR58" s="2">
        <f t="shared" si="54"/>
        <v>0</v>
      </c>
      <c r="AS58" s="2">
        <f t="shared" si="54"/>
        <v>0</v>
      </c>
      <c r="AT58" s="2">
        <f t="shared" si="54"/>
        <v>0</v>
      </c>
      <c r="AU58" s="2">
        <f t="shared" si="54"/>
        <v>0</v>
      </c>
      <c r="AV58" s="2">
        <f t="shared" si="54"/>
        <v>0</v>
      </c>
      <c r="AW58" s="2">
        <f t="shared" si="54"/>
        <v>0</v>
      </c>
      <c r="AX58" s="2">
        <f t="shared" si="54"/>
        <v>0</v>
      </c>
      <c r="AY58" s="2">
        <f t="shared" si="54"/>
        <v>0</v>
      </c>
      <c r="AZ58" s="2">
        <f t="shared" si="55"/>
        <v>0</v>
      </c>
      <c r="BA58" s="2">
        <f t="shared" si="55"/>
        <v>0</v>
      </c>
      <c r="BB58" s="2">
        <f t="shared" si="55"/>
        <v>0</v>
      </c>
      <c r="BC58" s="2">
        <f t="shared" si="55"/>
        <v>0</v>
      </c>
      <c r="BD58" s="2">
        <f t="shared" si="55"/>
        <v>0</v>
      </c>
      <c r="BE58" s="2">
        <f t="shared" si="55"/>
        <v>0</v>
      </c>
      <c r="BF58" s="2">
        <f t="shared" si="55"/>
        <v>0</v>
      </c>
      <c r="BG58" s="2">
        <f t="shared" si="55"/>
        <v>0</v>
      </c>
      <c r="BH58" s="2">
        <f t="shared" si="55"/>
        <v>0</v>
      </c>
      <c r="BI58" s="2">
        <f t="shared" si="55"/>
        <v>0</v>
      </c>
      <c r="BJ58" s="2">
        <f t="shared" si="56"/>
        <v>0</v>
      </c>
      <c r="BK58" s="2">
        <f t="shared" si="56"/>
        <v>0</v>
      </c>
      <c r="BL58" s="2">
        <f t="shared" si="56"/>
        <v>0</v>
      </c>
      <c r="BM58" s="2">
        <f t="shared" si="56"/>
        <v>0</v>
      </c>
      <c r="BN58" s="2">
        <f t="shared" si="56"/>
        <v>0</v>
      </c>
      <c r="BO58" s="2">
        <f t="shared" si="56"/>
        <v>0</v>
      </c>
      <c r="BP58" s="2">
        <f t="shared" si="56"/>
        <v>0</v>
      </c>
      <c r="BQ58" s="2">
        <f t="shared" si="56"/>
        <v>0</v>
      </c>
      <c r="BR58" s="2">
        <f t="shared" si="56"/>
        <v>0</v>
      </c>
      <c r="BS58" s="2">
        <f t="shared" si="56"/>
        <v>0</v>
      </c>
      <c r="BT58" s="2">
        <f t="shared" si="57"/>
        <v>0</v>
      </c>
      <c r="BU58" s="2">
        <f t="shared" si="57"/>
        <v>0</v>
      </c>
      <c r="BV58" s="2">
        <f t="shared" si="57"/>
        <v>0</v>
      </c>
      <c r="BW58" s="2">
        <f t="shared" si="57"/>
        <v>0</v>
      </c>
      <c r="BX58" s="2">
        <f t="shared" si="57"/>
        <v>0</v>
      </c>
      <c r="BY58" s="2">
        <f t="shared" si="57"/>
        <v>0</v>
      </c>
      <c r="BZ58" s="2">
        <f t="shared" si="57"/>
        <v>0</v>
      </c>
      <c r="CA58" s="2">
        <f t="shared" si="57"/>
        <v>0</v>
      </c>
      <c r="CB58" s="2">
        <f t="shared" si="57"/>
        <v>0</v>
      </c>
      <c r="CC58" s="2">
        <f t="shared" si="57"/>
        <v>0</v>
      </c>
      <c r="CD58" s="2">
        <f t="shared" si="58"/>
        <v>0</v>
      </c>
      <c r="CE58" s="2">
        <f t="shared" si="58"/>
        <v>0</v>
      </c>
      <c r="CF58" s="2">
        <f t="shared" si="58"/>
        <v>0</v>
      </c>
      <c r="CG58" s="2">
        <f t="shared" si="58"/>
        <v>0</v>
      </c>
      <c r="CH58" s="2">
        <f t="shared" si="58"/>
        <v>0</v>
      </c>
      <c r="CI58" s="2">
        <f t="shared" si="58"/>
        <v>0</v>
      </c>
      <c r="CJ58" s="2">
        <f t="shared" si="58"/>
        <v>0</v>
      </c>
      <c r="CK58" s="23">
        <f t="shared" si="58"/>
        <v>0</v>
      </c>
      <c r="CN58" s="2">
        <v>27.5</v>
      </c>
      <c r="CO58" s="14">
        <v>0.05</v>
      </c>
      <c r="CP58" s="14">
        <v>-6.3587141169399999E-3</v>
      </c>
      <c r="CQ58" s="14">
        <v>-7.1379077202752489E-3</v>
      </c>
      <c r="CR58" s="14">
        <v>9.0983683454373953E-5</v>
      </c>
      <c r="CS58" s="14">
        <f t="shared" si="15"/>
        <v>3.6594361846239126E-2</v>
      </c>
    </row>
    <row r="59" spans="1:97" x14ac:dyDescent="0.45">
      <c r="A59" s="16">
        <v>14.5</v>
      </c>
      <c r="B59" s="17">
        <v>4.0000000000000001E-3</v>
      </c>
      <c r="C59" s="19">
        <v>72.730999999999995</v>
      </c>
      <c r="D59" s="19">
        <f t="shared" si="40"/>
        <v>72.730991952531483</v>
      </c>
      <c r="E59" s="19">
        <f t="shared" si="1"/>
        <v>-8.0474685120179856E-6</v>
      </c>
      <c r="F59" s="19">
        <f t="shared" si="2"/>
        <v>8.0474685120179856E-6</v>
      </c>
      <c r="G59" s="20">
        <f t="shared" si="41"/>
        <v>1.5792978551382397E-2</v>
      </c>
      <c r="H59" s="20">
        <f>IFERROR(IRR((J59,L59:CK59),0),0)</f>
        <v>1.5792982701750669E-2</v>
      </c>
      <c r="I59" s="21">
        <f t="shared" si="4"/>
        <v>4.1503682712829004E-9</v>
      </c>
      <c r="J59" s="19">
        <f t="shared" si="5"/>
        <v>-72.730991952531483</v>
      </c>
      <c r="K59" s="22">
        <f t="shared" si="42"/>
        <v>-72.730999999999995</v>
      </c>
      <c r="L59" s="2">
        <f t="shared" si="51"/>
        <v>0.4</v>
      </c>
      <c r="M59" s="2">
        <f t="shared" si="51"/>
        <v>0.4</v>
      </c>
      <c r="N59" s="2">
        <f t="shared" si="51"/>
        <v>0.4</v>
      </c>
      <c r="O59" s="2">
        <f t="shared" si="51"/>
        <v>0.4</v>
      </c>
      <c r="P59" s="2">
        <f t="shared" si="51"/>
        <v>0.4</v>
      </c>
      <c r="Q59" s="2">
        <f t="shared" si="51"/>
        <v>0.4</v>
      </c>
      <c r="R59" s="2">
        <f t="shared" si="51"/>
        <v>0.4</v>
      </c>
      <c r="S59" s="2">
        <f t="shared" si="51"/>
        <v>0.4</v>
      </c>
      <c r="T59" s="2">
        <f t="shared" si="51"/>
        <v>0.4</v>
      </c>
      <c r="U59" s="2">
        <f t="shared" si="51"/>
        <v>0.4</v>
      </c>
      <c r="V59" s="2">
        <f t="shared" si="52"/>
        <v>0.4</v>
      </c>
      <c r="W59" s="2">
        <f t="shared" si="52"/>
        <v>0.4</v>
      </c>
      <c r="X59" s="2">
        <f t="shared" si="52"/>
        <v>0.4</v>
      </c>
      <c r="Y59" s="2">
        <f t="shared" si="52"/>
        <v>0.4</v>
      </c>
      <c r="Z59" s="2">
        <f t="shared" si="52"/>
        <v>0.4</v>
      </c>
      <c r="AA59" s="2">
        <f t="shared" si="52"/>
        <v>0.4</v>
      </c>
      <c r="AB59" s="2">
        <f t="shared" si="52"/>
        <v>0.4</v>
      </c>
      <c r="AC59" s="2">
        <f t="shared" si="52"/>
        <v>0.4</v>
      </c>
      <c r="AD59" s="2">
        <f t="shared" si="52"/>
        <v>0.4</v>
      </c>
      <c r="AE59" s="2">
        <f t="shared" si="52"/>
        <v>0.4</v>
      </c>
      <c r="AF59" s="2">
        <f t="shared" si="53"/>
        <v>0.4</v>
      </c>
      <c r="AG59" s="2">
        <f t="shared" si="53"/>
        <v>0.4</v>
      </c>
      <c r="AH59" s="2">
        <f t="shared" si="53"/>
        <v>0.4</v>
      </c>
      <c r="AI59" s="2">
        <f t="shared" si="53"/>
        <v>0.4</v>
      </c>
      <c r="AJ59" s="2">
        <f t="shared" si="53"/>
        <v>0.4</v>
      </c>
      <c r="AK59" s="2">
        <f t="shared" si="53"/>
        <v>0.4</v>
      </c>
      <c r="AL59" s="2">
        <f t="shared" si="53"/>
        <v>0.4</v>
      </c>
      <c r="AM59" s="2">
        <f t="shared" si="53"/>
        <v>0.4</v>
      </c>
      <c r="AN59" s="2">
        <f t="shared" si="53"/>
        <v>100.4</v>
      </c>
      <c r="AO59" s="2">
        <f t="shared" si="53"/>
        <v>0</v>
      </c>
      <c r="AP59" s="2">
        <f t="shared" si="54"/>
        <v>0</v>
      </c>
      <c r="AQ59" s="2">
        <f t="shared" si="54"/>
        <v>0</v>
      </c>
      <c r="AR59" s="2">
        <f t="shared" si="54"/>
        <v>0</v>
      </c>
      <c r="AS59" s="2">
        <f t="shared" si="54"/>
        <v>0</v>
      </c>
      <c r="AT59" s="2">
        <f t="shared" si="54"/>
        <v>0</v>
      </c>
      <c r="AU59" s="2">
        <f t="shared" si="54"/>
        <v>0</v>
      </c>
      <c r="AV59" s="2">
        <f t="shared" si="54"/>
        <v>0</v>
      </c>
      <c r="AW59" s="2">
        <f t="shared" si="54"/>
        <v>0</v>
      </c>
      <c r="AX59" s="2">
        <f t="shared" si="54"/>
        <v>0</v>
      </c>
      <c r="AY59" s="2">
        <f t="shared" si="54"/>
        <v>0</v>
      </c>
      <c r="AZ59" s="2">
        <f t="shared" si="55"/>
        <v>0</v>
      </c>
      <c r="BA59" s="2">
        <f t="shared" si="55"/>
        <v>0</v>
      </c>
      <c r="BB59" s="2">
        <f t="shared" si="55"/>
        <v>0</v>
      </c>
      <c r="BC59" s="2">
        <f t="shared" si="55"/>
        <v>0</v>
      </c>
      <c r="BD59" s="2">
        <f t="shared" si="55"/>
        <v>0</v>
      </c>
      <c r="BE59" s="2">
        <f t="shared" si="55"/>
        <v>0</v>
      </c>
      <c r="BF59" s="2">
        <f t="shared" si="55"/>
        <v>0</v>
      </c>
      <c r="BG59" s="2">
        <f t="shared" si="55"/>
        <v>0</v>
      </c>
      <c r="BH59" s="2">
        <f t="shared" si="55"/>
        <v>0</v>
      </c>
      <c r="BI59" s="2">
        <f t="shared" si="55"/>
        <v>0</v>
      </c>
      <c r="BJ59" s="2">
        <f t="shared" si="56"/>
        <v>0</v>
      </c>
      <c r="BK59" s="2">
        <f t="shared" si="56"/>
        <v>0</v>
      </c>
      <c r="BL59" s="2">
        <f t="shared" si="56"/>
        <v>0</v>
      </c>
      <c r="BM59" s="2">
        <f t="shared" si="56"/>
        <v>0</v>
      </c>
      <c r="BN59" s="2">
        <f t="shared" si="56"/>
        <v>0</v>
      </c>
      <c r="BO59" s="2">
        <f t="shared" si="56"/>
        <v>0</v>
      </c>
      <c r="BP59" s="2">
        <f t="shared" si="56"/>
        <v>0</v>
      </c>
      <c r="BQ59" s="2">
        <f t="shared" si="56"/>
        <v>0</v>
      </c>
      <c r="BR59" s="2">
        <f t="shared" si="56"/>
        <v>0</v>
      </c>
      <c r="BS59" s="2">
        <f t="shared" si="56"/>
        <v>0</v>
      </c>
      <c r="BT59" s="2">
        <f t="shared" si="57"/>
        <v>0</v>
      </c>
      <c r="BU59" s="2">
        <f t="shared" si="57"/>
        <v>0</v>
      </c>
      <c r="BV59" s="2">
        <f t="shared" si="57"/>
        <v>0</v>
      </c>
      <c r="BW59" s="2">
        <f t="shared" si="57"/>
        <v>0</v>
      </c>
      <c r="BX59" s="2">
        <f t="shared" si="57"/>
        <v>0</v>
      </c>
      <c r="BY59" s="2">
        <f t="shared" si="57"/>
        <v>0</v>
      </c>
      <c r="BZ59" s="2">
        <f t="shared" si="57"/>
        <v>0</v>
      </c>
      <c r="CA59" s="2">
        <f t="shared" si="57"/>
        <v>0</v>
      </c>
      <c r="CB59" s="2">
        <f t="shared" si="57"/>
        <v>0</v>
      </c>
      <c r="CC59" s="2">
        <f t="shared" si="57"/>
        <v>0</v>
      </c>
      <c r="CD59" s="2">
        <f t="shared" si="58"/>
        <v>0</v>
      </c>
      <c r="CE59" s="2">
        <f t="shared" si="58"/>
        <v>0</v>
      </c>
      <c r="CF59" s="2">
        <f t="shared" si="58"/>
        <v>0</v>
      </c>
      <c r="CG59" s="2">
        <f t="shared" si="58"/>
        <v>0</v>
      </c>
      <c r="CH59" s="2">
        <f t="shared" si="58"/>
        <v>0</v>
      </c>
      <c r="CI59" s="2">
        <f t="shared" si="58"/>
        <v>0</v>
      </c>
      <c r="CJ59" s="2">
        <f t="shared" si="58"/>
        <v>0</v>
      </c>
      <c r="CK59" s="23">
        <f t="shared" si="58"/>
        <v>0</v>
      </c>
      <c r="CN59" s="2">
        <v>28</v>
      </c>
      <c r="CO59" s="14">
        <v>0.05</v>
      </c>
      <c r="CP59" s="14">
        <v>-6.2463237360967979E-3</v>
      </c>
      <c r="CQ59" s="14">
        <v>-7.0189088660236893E-3</v>
      </c>
      <c r="CR59" s="14">
        <v>8.9358974821260139E-5</v>
      </c>
      <c r="CS59" s="14">
        <f t="shared" si="15"/>
        <v>3.6824126372700779E-2</v>
      </c>
    </row>
    <row r="60" spans="1:97" x14ac:dyDescent="0.45">
      <c r="A60" s="16">
        <v>15</v>
      </c>
      <c r="B60" s="17">
        <v>4.0000000000000001E-3</v>
      </c>
      <c r="C60" s="19">
        <v>70.858499999999992</v>
      </c>
      <c r="D60" s="19">
        <f t="shared" si="40"/>
        <v>71.478934804159081</v>
      </c>
      <c r="E60" s="19">
        <f t="shared" si="1"/>
        <v>0.62043480415908903</v>
      </c>
      <c r="F60" s="19">
        <f t="shared" si="2"/>
        <v>0.62043480415908903</v>
      </c>
      <c r="G60" s="20">
        <f t="shared" si="41"/>
        <v>1.6371509048000776E-2</v>
      </c>
      <c r="H60" s="20">
        <f>IFERROR(IRR((J60,L60:CK60),0),0)</f>
        <v>1.6054165648516916E-2</v>
      </c>
      <c r="I60" s="21">
        <f t="shared" si="4"/>
        <v>-3.1734339948386037E-4</v>
      </c>
      <c r="J60" s="19">
        <f t="shared" si="5"/>
        <v>-71.478934804159081</v>
      </c>
      <c r="K60" s="22">
        <f t="shared" si="42"/>
        <v>-70.858499999999992</v>
      </c>
      <c r="L60" s="2">
        <f t="shared" si="51"/>
        <v>0.4</v>
      </c>
      <c r="M60" s="2">
        <f t="shared" si="51"/>
        <v>0.4</v>
      </c>
      <c r="N60" s="2">
        <f t="shared" si="51"/>
        <v>0.4</v>
      </c>
      <c r="O60" s="2">
        <f t="shared" si="51"/>
        <v>0.4</v>
      </c>
      <c r="P60" s="2">
        <f t="shared" si="51"/>
        <v>0.4</v>
      </c>
      <c r="Q60" s="2">
        <f t="shared" si="51"/>
        <v>0.4</v>
      </c>
      <c r="R60" s="2">
        <f t="shared" si="51"/>
        <v>0.4</v>
      </c>
      <c r="S60" s="2">
        <f t="shared" si="51"/>
        <v>0.4</v>
      </c>
      <c r="T60" s="2">
        <f t="shared" si="51"/>
        <v>0.4</v>
      </c>
      <c r="U60" s="2">
        <f t="shared" si="51"/>
        <v>0.4</v>
      </c>
      <c r="V60" s="2">
        <f t="shared" si="52"/>
        <v>0.4</v>
      </c>
      <c r="W60" s="2">
        <f t="shared" si="52"/>
        <v>0.4</v>
      </c>
      <c r="X60" s="2">
        <f t="shared" si="52"/>
        <v>0.4</v>
      </c>
      <c r="Y60" s="2">
        <f t="shared" si="52"/>
        <v>0.4</v>
      </c>
      <c r="Z60" s="2">
        <f t="shared" si="52"/>
        <v>0.4</v>
      </c>
      <c r="AA60" s="2">
        <f t="shared" si="52"/>
        <v>0.4</v>
      </c>
      <c r="AB60" s="2">
        <f t="shared" si="52"/>
        <v>0.4</v>
      </c>
      <c r="AC60" s="2">
        <f t="shared" si="52"/>
        <v>0.4</v>
      </c>
      <c r="AD60" s="2">
        <f t="shared" si="52"/>
        <v>0.4</v>
      </c>
      <c r="AE60" s="2">
        <f t="shared" si="52"/>
        <v>0.4</v>
      </c>
      <c r="AF60" s="2">
        <f t="shared" si="53"/>
        <v>0.4</v>
      </c>
      <c r="AG60" s="2">
        <f t="shared" si="53"/>
        <v>0.4</v>
      </c>
      <c r="AH60" s="2">
        <f t="shared" si="53"/>
        <v>0.4</v>
      </c>
      <c r="AI60" s="2">
        <f t="shared" si="53"/>
        <v>0.4</v>
      </c>
      <c r="AJ60" s="2">
        <f t="shared" si="53"/>
        <v>0.4</v>
      </c>
      <c r="AK60" s="2">
        <f t="shared" si="53"/>
        <v>0.4</v>
      </c>
      <c r="AL60" s="2">
        <f t="shared" si="53"/>
        <v>0.4</v>
      </c>
      <c r="AM60" s="2">
        <f t="shared" si="53"/>
        <v>0.4</v>
      </c>
      <c r="AN60" s="2">
        <f t="shared" si="53"/>
        <v>0.4</v>
      </c>
      <c r="AO60" s="2">
        <f t="shared" si="53"/>
        <v>100.4</v>
      </c>
      <c r="AP60" s="2">
        <f t="shared" si="54"/>
        <v>0</v>
      </c>
      <c r="AQ60" s="2">
        <f t="shared" si="54"/>
        <v>0</v>
      </c>
      <c r="AR60" s="2">
        <f t="shared" si="54"/>
        <v>0</v>
      </c>
      <c r="AS60" s="2">
        <f t="shared" si="54"/>
        <v>0</v>
      </c>
      <c r="AT60" s="2">
        <f t="shared" si="54"/>
        <v>0</v>
      </c>
      <c r="AU60" s="2">
        <f t="shared" si="54"/>
        <v>0</v>
      </c>
      <c r="AV60" s="2">
        <f t="shared" si="54"/>
        <v>0</v>
      </c>
      <c r="AW60" s="2">
        <f t="shared" si="54"/>
        <v>0</v>
      </c>
      <c r="AX60" s="2">
        <f t="shared" si="54"/>
        <v>0</v>
      </c>
      <c r="AY60" s="2">
        <f t="shared" si="54"/>
        <v>0</v>
      </c>
      <c r="AZ60" s="2">
        <f t="shared" si="55"/>
        <v>0</v>
      </c>
      <c r="BA60" s="2">
        <f t="shared" si="55"/>
        <v>0</v>
      </c>
      <c r="BB60" s="2">
        <f t="shared" si="55"/>
        <v>0</v>
      </c>
      <c r="BC60" s="2">
        <f t="shared" si="55"/>
        <v>0</v>
      </c>
      <c r="BD60" s="2">
        <f t="shared" si="55"/>
        <v>0</v>
      </c>
      <c r="BE60" s="2">
        <f t="shared" si="55"/>
        <v>0</v>
      </c>
      <c r="BF60" s="2">
        <f t="shared" si="55"/>
        <v>0</v>
      </c>
      <c r="BG60" s="2">
        <f t="shared" si="55"/>
        <v>0</v>
      </c>
      <c r="BH60" s="2">
        <f t="shared" si="55"/>
        <v>0</v>
      </c>
      <c r="BI60" s="2">
        <f t="shared" si="55"/>
        <v>0</v>
      </c>
      <c r="BJ60" s="2">
        <f t="shared" si="56"/>
        <v>0</v>
      </c>
      <c r="BK60" s="2">
        <f t="shared" si="56"/>
        <v>0</v>
      </c>
      <c r="BL60" s="2">
        <f t="shared" si="56"/>
        <v>0</v>
      </c>
      <c r="BM60" s="2">
        <f t="shared" si="56"/>
        <v>0</v>
      </c>
      <c r="BN60" s="2">
        <f t="shared" si="56"/>
        <v>0</v>
      </c>
      <c r="BO60" s="2">
        <f t="shared" si="56"/>
        <v>0</v>
      </c>
      <c r="BP60" s="2">
        <f t="shared" si="56"/>
        <v>0</v>
      </c>
      <c r="BQ60" s="2">
        <f t="shared" si="56"/>
        <v>0</v>
      </c>
      <c r="BR60" s="2">
        <f t="shared" si="56"/>
        <v>0</v>
      </c>
      <c r="BS60" s="2">
        <f t="shared" si="56"/>
        <v>0</v>
      </c>
      <c r="BT60" s="2">
        <f t="shared" si="57"/>
        <v>0</v>
      </c>
      <c r="BU60" s="2">
        <f t="shared" si="57"/>
        <v>0</v>
      </c>
      <c r="BV60" s="2">
        <f t="shared" si="57"/>
        <v>0</v>
      </c>
      <c r="BW60" s="2">
        <f t="shared" si="57"/>
        <v>0</v>
      </c>
      <c r="BX60" s="2">
        <f t="shared" si="57"/>
        <v>0</v>
      </c>
      <c r="BY60" s="2">
        <f t="shared" si="57"/>
        <v>0</v>
      </c>
      <c r="BZ60" s="2">
        <f t="shared" si="57"/>
        <v>0</v>
      </c>
      <c r="CA60" s="2">
        <f t="shared" si="57"/>
        <v>0</v>
      </c>
      <c r="CB60" s="2">
        <f t="shared" si="57"/>
        <v>0</v>
      </c>
      <c r="CC60" s="2">
        <f t="shared" si="57"/>
        <v>0</v>
      </c>
      <c r="CD60" s="2">
        <f t="shared" si="58"/>
        <v>0</v>
      </c>
      <c r="CE60" s="2">
        <f t="shared" si="58"/>
        <v>0</v>
      </c>
      <c r="CF60" s="2">
        <f t="shared" si="58"/>
        <v>0</v>
      </c>
      <c r="CG60" s="2">
        <f t="shared" si="58"/>
        <v>0</v>
      </c>
      <c r="CH60" s="2">
        <f t="shared" si="58"/>
        <v>0</v>
      </c>
      <c r="CI60" s="2">
        <f t="shared" si="58"/>
        <v>0</v>
      </c>
      <c r="CJ60" s="2">
        <f t="shared" si="58"/>
        <v>0</v>
      </c>
      <c r="CK60" s="23">
        <f t="shared" si="58"/>
        <v>0</v>
      </c>
      <c r="CN60" s="2">
        <v>28.5</v>
      </c>
      <c r="CO60" s="14">
        <v>0.05</v>
      </c>
      <c r="CP60" s="14">
        <v>-6.1377522013027208E-3</v>
      </c>
      <c r="CQ60" s="14">
        <v>-6.9033076547269272E-3</v>
      </c>
      <c r="CR60" s="14">
        <v>8.779127350860647E-5</v>
      </c>
      <c r="CS60" s="14">
        <f t="shared" si="15"/>
        <v>3.7046731417478961E-2</v>
      </c>
    </row>
    <row r="61" spans="1:97" x14ac:dyDescent="0.45">
      <c r="A61" s="16">
        <v>20</v>
      </c>
      <c r="B61" s="17">
        <v>3.0000000000000001E-3</v>
      </c>
      <c r="C61" s="19">
        <v>58.231999999999999</v>
      </c>
      <c r="D61" s="19">
        <f t="shared" si="40"/>
        <v>56.905273383756573</v>
      </c>
      <c r="E61" s="19">
        <f t="shared" si="1"/>
        <v>-1.3267266162434268</v>
      </c>
      <c r="F61" s="19">
        <f t="shared" si="2"/>
        <v>1.3267266162434268</v>
      </c>
      <c r="G61" s="20">
        <f t="shared" si="41"/>
        <v>1.7645093813446255E-2</v>
      </c>
      <c r="H61" s="20">
        <f>IFERROR(IRR((J61,L61:CK61),0),0)</f>
        <v>1.8283135676863793E-2</v>
      </c>
      <c r="I61" s="21">
        <f t="shared" si="4"/>
        <v>6.3804186341753777E-4</v>
      </c>
      <c r="J61" s="19">
        <f t="shared" si="5"/>
        <v>-56.905273383756573</v>
      </c>
      <c r="K61" s="22">
        <f t="shared" si="42"/>
        <v>-58.231999999999999</v>
      </c>
      <c r="L61" s="2">
        <f t="shared" si="51"/>
        <v>0.3</v>
      </c>
      <c r="M61" s="2">
        <f t="shared" si="51"/>
        <v>0.3</v>
      </c>
      <c r="N61" s="2">
        <f t="shared" si="51"/>
        <v>0.3</v>
      </c>
      <c r="O61" s="2">
        <f t="shared" si="51"/>
        <v>0.3</v>
      </c>
      <c r="P61" s="2">
        <f t="shared" si="51"/>
        <v>0.3</v>
      </c>
      <c r="Q61" s="2">
        <f t="shared" si="51"/>
        <v>0.3</v>
      </c>
      <c r="R61" s="2">
        <f t="shared" si="51"/>
        <v>0.3</v>
      </c>
      <c r="S61" s="2">
        <f t="shared" si="51"/>
        <v>0.3</v>
      </c>
      <c r="T61" s="2">
        <f t="shared" si="51"/>
        <v>0.3</v>
      </c>
      <c r="U61" s="2">
        <f t="shared" si="51"/>
        <v>0.3</v>
      </c>
      <c r="V61" s="2">
        <f t="shared" si="52"/>
        <v>0.3</v>
      </c>
      <c r="W61" s="2">
        <f t="shared" si="52"/>
        <v>0.3</v>
      </c>
      <c r="X61" s="2">
        <f t="shared" si="52"/>
        <v>0.3</v>
      </c>
      <c r="Y61" s="2">
        <f t="shared" si="52"/>
        <v>0.3</v>
      </c>
      <c r="Z61" s="2">
        <f t="shared" si="52"/>
        <v>0.3</v>
      </c>
      <c r="AA61" s="2">
        <f t="shared" si="52"/>
        <v>0.3</v>
      </c>
      <c r="AB61" s="2">
        <f t="shared" si="52"/>
        <v>0.3</v>
      </c>
      <c r="AC61" s="2">
        <f t="shared" si="52"/>
        <v>0.3</v>
      </c>
      <c r="AD61" s="2">
        <f t="shared" si="52"/>
        <v>0.3</v>
      </c>
      <c r="AE61" s="2">
        <f t="shared" si="52"/>
        <v>0.3</v>
      </c>
      <c r="AF61" s="2">
        <f t="shared" si="53"/>
        <v>0.3</v>
      </c>
      <c r="AG61" s="2">
        <f t="shared" si="53"/>
        <v>0.3</v>
      </c>
      <c r="AH61" s="2">
        <f t="shared" si="53"/>
        <v>0.3</v>
      </c>
      <c r="AI61" s="2">
        <f t="shared" si="53"/>
        <v>0.3</v>
      </c>
      <c r="AJ61" s="2">
        <f t="shared" si="53"/>
        <v>0.3</v>
      </c>
      <c r="AK61" s="2">
        <f t="shared" si="53"/>
        <v>0.3</v>
      </c>
      <c r="AL61" s="2">
        <f t="shared" si="53"/>
        <v>0.3</v>
      </c>
      <c r="AM61" s="2">
        <f t="shared" si="53"/>
        <v>0.3</v>
      </c>
      <c r="AN61" s="2">
        <f t="shared" si="53"/>
        <v>0.3</v>
      </c>
      <c r="AO61" s="2">
        <f t="shared" si="53"/>
        <v>0.3</v>
      </c>
      <c r="AP61" s="2">
        <f t="shared" si="54"/>
        <v>0.3</v>
      </c>
      <c r="AQ61" s="2">
        <f t="shared" si="54"/>
        <v>0.3</v>
      </c>
      <c r="AR61" s="2">
        <f t="shared" si="54"/>
        <v>0.3</v>
      </c>
      <c r="AS61" s="2">
        <f t="shared" si="54"/>
        <v>0.3</v>
      </c>
      <c r="AT61" s="2">
        <f t="shared" si="54"/>
        <v>0.3</v>
      </c>
      <c r="AU61" s="2">
        <f t="shared" si="54"/>
        <v>0.3</v>
      </c>
      <c r="AV61" s="2">
        <f t="shared" si="54"/>
        <v>0.3</v>
      </c>
      <c r="AW61" s="2">
        <f t="shared" si="54"/>
        <v>0.3</v>
      </c>
      <c r="AX61" s="2">
        <f t="shared" si="54"/>
        <v>0.3</v>
      </c>
      <c r="AY61" s="2">
        <f t="shared" si="54"/>
        <v>100.29999999999998</v>
      </c>
      <c r="AZ61" s="2">
        <f t="shared" si="55"/>
        <v>0</v>
      </c>
      <c r="BA61" s="2">
        <f t="shared" si="55"/>
        <v>0</v>
      </c>
      <c r="BB61" s="2">
        <f t="shared" si="55"/>
        <v>0</v>
      </c>
      <c r="BC61" s="2">
        <f t="shared" si="55"/>
        <v>0</v>
      </c>
      <c r="BD61" s="2">
        <f t="shared" si="55"/>
        <v>0</v>
      </c>
      <c r="BE61" s="2">
        <f t="shared" si="55"/>
        <v>0</v>
      </c>
      <c r="BF61" s="2">
        <f t="shared" si="55"/>
        <v>0</v>
      </c>
      <c r="BG61" s="2">
        <f t="shared" si="55"/>
        <v>0</v>
      </c>
      <c r="BH61" s="2">
        <f t="shared" si="55"/>
        <v>0</v>
      </c>
      <c r="BI61" s="2">
        <f t="shared" si="55"/>
        <v>0</v>
      </c>
      <c r="BJ61" s="2">
        <f t="shared" si="56"/>
        <v>0</v>
      </c>
      <c r="BK61" s="2">
        <f t="shared" si="56"/>
        <v>0</v>
      </c>
      <c r="BL61" s="2">
        <f t="shared" si="56"/>
        <v>0</v>
      </c>
      <c r="BM61" s="2">
        <f t="shared" si="56"/>
        <v>0</v>
      </c>
      <c r="BN61" s="2">
        <f t="shared" si="56"/>
        <v>0</v>
      </c>
      <c r="BO61" s="2">
        <f t="shared" si="56"/>
        <v>0</v>
      </c>
      <c r="BP61" s="2">
        <f t="shared" si="56"/>
        <v>0</v>
      </c>
      <c r="BQ61" s="2">
        <f t="shared" si="56"/>
        <v>0</v>
      </c>
      <c r="BR61" s="2">
        <f t="shared" si="56"/>
        <v>0</v>
      </c>
      <c r="BS61" s="2">
        <f t="shared" si="56"/>
        <v>0</v>
      </c>
      <c r="BT61" s="2">
        <f t="shared" si="57"/>
        <v>0</v>
      </c>
      <c r="BU61" s="2">
        <f t="shared" si="57"/>
        <v>0</v>
      </c>
      <c r="BV61" s="2">
        <f t="shared" si="57"/>
        <v>0</v>
      </c>
      <c r="BW61" s="2">
        <f t="shared" si="57"/>
        <v>0</v>
      </c>
      <c r="BX61" s="2">
        <f t="shared" si="57"/>
        <v>0</v>
      </c>
      <c r="BY61" s="2">
        <f t="shared" si="57"/>
        <v>0</v>
      </c>
      <c r="BZ61" s="2">
        <f t="shared" si="57"/>
        <v>0</v>
      </c>
      <c r="CA61" s="2">
        <f t="shared" si="57"/>
        <v>0</v>
      </c>
      <c r="CB61" s="2">
        <f t="shared" si="57"/>
        <v>0</v>
      </c>
      <c r="CC61" s="2">
        <f t="shared" si="57"/>
        <v>0</v>
      </c>
      <c r="CD61" s="2">
        <f t="shared" si="58"/>
        <v>0</v>
      </c>
      <c r="CE61" s="2">
        <f t="shared" si="58"/>
        <v>0</v>
      </c>
      <c r="CF61" s="2">
        <f t="shared" si="58"/>
        <v>0</v>
      </c>
      <c r="CG61" s="2">
        <f t="shared" si="58"/>
        <v>0</v>
      </c>
      <c r="CH61" s="2">
        <f t="shared" si="58"/>
        <v>0</v>
      </c>
      <c r="CI61" s="2">
        <f t="shared" si="58"/>
        <v>0</v>
      </c>
      <c r="CJ61" s="2">
        <f t="shared" si="58"/>
        <v>0</v>
      </c>
      <c r="CK61" s="23">
        <f t="shared" si="58"/>
        <v>0</v>
      </c>
      <c r="CN61" s="2">
        <v>29</v>
      </c>
      <c r="CO61" s="14">
        <v>0.05</v>
      </c>
      <c r="CP61" s="14">
        <v>-6.032815412431539E-3</v>
      </c>
      <c r="CQ61" s="14">
        <v>-6.7909977337039743E-3</v>
      </c>
      <c r="CR61" s="14">
        <v>8.6277630861906376E-5</v>
      </c>
      <c r="CS61" s="14">
        <f t="shared" si="15"/>
        <v>3.72624644847264E-2</v>
      </c>
    </row>
    <row r="62" spans="1:97" x14ac:dyDescent="0.45">
      <c r="A62" s="16">
        <v>23</v>
      </c>
      <c r="B62" s="17">
        <v>4.0000000000000001E-3</v>
      </c>
      <c r="C62" s="19">
        <v>53.6965</v>
      </c>
      <c r="D62" s="19">
        <f t="shared" si="40"/>
        <v>54.002142317115748</v>
      </c>
      <c r="E62" s="19">
        <f t="shared" si="1"/>
        <v>0.30564231711574763</v>
      </c>
      <c r="F62" s="19">
        <f t="shared" si="2"/>
        <v>0.30564231711574763</v>
      </c>
      <c r="G62" s="20">
        <f t="shared" si="41"/>
        <v>1.9267986398877168E-2</v>
      </c>
      <c r="H62" s="20">
        <f>IFERROR(IRR((J62,L62:CK62),0),0)</f>
        <v>1.9124004115934623E-2</v>
      </c>
      <c r="I62" s="21">
        <f t="shared" si="4"/>
        <v>-1.4398228294254523E-4</v>
      </c>
      <c r="J62" s="19">
        <f t="shared" si="5"/>
        <v>-54.002142317115748</v>
      </c>
      <c r="K62" s="22">
        <f t="shared" si="42"/>
        <v>-53.6965</v>
      </c>
      <c r="L62" s="2">
        <f t="shared" si="51"/>
        <v>0.4</v>
      </c>
      <c r="M62" s="2">
        <f t="shared" si="51"/>
        <v>0.4</v>
      </c>
      <c r="N62" s="2">
        <f t="shared" si="51"/>
        <v>0.4</v>
      </c>
      <c r="O62" s="2">
        <f t="shared" si="51"/>
        <v>0.4</v>
      </c>
      <c r="P62" s="2">
        <f t="shared" si="51"/>
        <v>0.4</v>
      </c>
      <c r="Q62" s="2">
        <f t="shared" si="51"/>
        <v>0.4</v>
      </c>
      <c r="R62" s="2">
        <f t="shared" si="51"/>
        <v>0.4</v>
      </c>
      <c r="S62" s="2">
        <f t="shared" si="51"/>
        <v>0.4</v>
      </c>
      <c r="T62" s="2">
        <f t="shared" si="51"/>
        <v>0.4</v>
      </c>
      <c r="U62" s="2">
        <f t="shared" si="51"/>
        <v>0.4</v>
      </c>
      <c r="V62" s="2">
        <f t="shared" si="52"/>
        <v>0.4</v>
      </c>
      <c r="W62" s="2">
        <f t="shared" si="52"/>
        <v>0.4</v>
      </c>
      <c r="X62" s="2">
        <f t="shared" si="52"/>
        <v>0.4</v>
      </c>
      <c r="Y62" s="2">
        <f t="shared" si="52"/>
        <v>0.4</v>
      </c>
      <c r="Z62" s="2">
        <f t="shared" si="52"/>
        <v>0.4</v>
      </c>
      <c r="AA62" s="2">
        <f t="shared" si="52"/>
        <v>0.4</v>
      </c>
      <c r="AB62" s="2">
        <f t="shared" si="52"/>
        <v>0.4</v>
      </c>
      <c r="AC62" s="2">
        <f t="shared" si="52"/>
        <v>0.4</v>
      </c>
      <c r="AD62" s="2">
        <f t="shared" si="52"/>
        <v>0.4</v>
      </c>
      <c r="AE62" s="2">
        <f t="shared" si="52"/>
        <v>0.4</v>
      </c>
      <c r="AF62" s="2">
        <f t="shared" si="53"/>
        <v>0.4</v>
      </c>
      <c r="AG62" s="2">
        <f t="shared" si="53"/>
        <v>0.4</v>
      </c>
      <c r="AH62" s="2">
        <f t="shared" si="53"/>
        <v>0.4</v>
      </c>
      <c r="AI62" s="2">
        <f t="shared" si="53"/>
        <v>0.4</v>
      </c>
      <c r="AJ62" s="2">
        <f t="shared" si="53"/>
        <v>0.4</v>
      </c>
      <c r="AK62" s="2">
        <f t="shared" si="53"/>
        <v>0.4</v>
      </c>
      <c r="AL62" s="2">
        <f t="shared" si="53"/>
        <v>0.4</v>
      </c>
      <c r="AM62" s="2">
        <f t="shared" si="53"/>
        <v>0.4</v>
      </c>
      <c r="AN62" s="2">
        <f t="shared" si="53"/>
        <v>0.4</v>
      </c>
      <c r="AO62" s="2">
        <f t="shared" si="53"/>
        <v>0.4</v>
      </c>
      <c r="AP62" s="2">
        <f t="shared" si="54"/>
        <v>0.4</v>
      </c>
      <c r="AQ62" s="2">
        <f t="shared" si="54"/>
        <v>0.4</v>
      </c>
      <c r="AR62" s="2">
        <f t="shared" si="54"/>
        <v>0.4</v>
      </c>
      <c r="AS62" s="2">
        <f t="shared" si="54"/>
        <v>0.4</v>
      </c>
      <c r="AT62" s="2">
        <f t="shared" si="54"/>
        <v>0.4</v>
      </c>
      <c r="AU62" s="2">
        <f t="shared" si="54"/>
        <v>0.4</v>
      </c>
      <c r="AV62" s="2">
        <f t="shared" si="54"/>
        <v>0.4</v>
      </c>
      <c r="AW62" s="2">
        <f t="shared" si="54"/>
        <v>0.4</v>
      </c>
      <c r="AX62" s="2">
        <f t="shared" si="54"/>
        <v>0.4</v>
      </c>
      <c r="AY62" s="2">
        <f t="shared" si="54"/>
        <v>0.4</v>
      </c>
      <c r="AZ62" s="2">
        <f t="shared" si="55"/>
        <v>0.4</v>
      </c>
      <c r="BA62" s="2">
        <f t="shared" si="55"/>
        <v>0.4</v>
      </c>
      <c r="BB62" s="2">
        <f t="shared" si="55"/>
        <v>0.4</v>
      </c>
      <c r="BC62" s="2">
        <f t="shared" si="55"/>
        <v>0.4</v>
      </c>
      <c r="BD62" s="2">
        <f t="shared" si="55"/>
        <v>0.4</v>
      </c>
      <c r="BE62" s="2">
        <f t="shared" si="55"/>
        <v>100.4</v>
      </c>
      <c r="BF62" s="2">
        <f t="shared" si="55"/>
        <v>0</v>
      </c>
      <c r="BG62" s="2">
        <f t="shared" si="55"/>
        <v>0</v>
      </c>
      <c r="BH62" s="2">
        <f t="shared" si="55"/>
        <v>0</v>
      </c>
      <c r="BI62" s="2">
        <f t="shared" si="55"/>
        <v>0</v>
      </c>
      <c r="BJ62" s="2">
        <f t="shared" si="56"/>
        <v>0</v>
      </c>
      <c r="BK62" s="2">
        <f t="shared" si="56"/>
        <v>0</v>
      </c>
      <c r="BL62" s="2">
        <f t="shared" si="56"/>
        <v>0</v>
      </c>
      <c r="BM62" s="2">
        <f t="shared" si="56"/>
        <v>0</v>
      </c>
      <c r="BN62" s="2">
        <f t="shared" si="56"/>
        <v>0</v>
      </c>
      <c r="BO62" s="2">
        <f t="shared" si="56"/>
        <v>0</v>
      </c>
      <c r="BP62" s="2">
        <f t="shared" si="56"/>
        <v>0</v>
      </c>
      <c r="BQ62" s="2">
        <f t="shared" si="56"/>
        <v>0</v>
      </c>
      <c r="BR62" s="2">
        <f t="shared" si="56"/>
        <v>0</v>
      </c>
      <c r="BS62" s="2">
        <f t="shared" si="56"/>
        <v>0</v>
      </c>
      <c r="BT62" s="2">
        <f t="shared" si="57"/>
        <v>0</v>
      </c>
      <c r="BU62" s="2">
        <f t="shared" si="57"/>
        <v>0</v>
      </c>
      <c r="BV62" s="2">
        <f t="shared" si="57"/>
        <v>0</v>
      </c>
      <c r="BW62" s="2">
        <f t="shared" si="57"/>
        <v>0</v>
      </c>
      <c r="BX62" s="2">
        <f t="shared" si="57"/>
        <v>0</v>
      </c>
      <c r="BY62" s="2">
        <f t="shared" si="57"/>
        <v>0</v>
      </c>
      <c r="BZ62" s="2">
        <f t="shared" si="57"/>
        <v>0</v>
      </c>
      <c r="CA62" s="2">
        <f t="shared" si="57"/>
        <v>0</v>
      </c>
      <c r="CB62" s="2">
        <f t="shared" si="57"/>
        <v>0</v>
      </c>
      <c r="CC62" s="2">
        <f t="shared" si="57"/>
        <v>0</v>
      </c>
      <c r="CD62" s="2">
        <f t="shared" si="58"/>
        <v>0</v>
      </c>
      <c r="CE62" s="2">
        <f t="shared" si="58"/>
        <v>0</v>
      </c>
      <c r="CF62" s="2">
        <f t="shared" si="58"/>
        <v>0</v>
      </c>
      <c r="CG62" s="2">
        <f t="shared" si="58"/>
        <v>0</v>
      </c>
      <c r="CH62" s="2">
        <f t="shared" si="58"/>
        <v>0</v>
      </c>
      <c r="CI62" s="2">
        <f t="shared" si="58"/>
        <v>0</v>
      </c>
      <c r="CJ62" s="2">
        <f t="shared" si="58"/>
        <v>0</v>
      </c>
      <c r="CK62" s="23">
        <f t="shared" si="58"/>
        <v>0</v>
      </c>
      <c r="CN62" s="2">
        <v>29.5</v>
      </c>
      <c r="CO62" s="14">
        <v>0.05</v>
      </c>
      <c r="CP62" s="14">
        <v>-5.9313403044004651E-3</v>
      </c>
      <c r="CQ62" s="14">
        <v>-6.681874033931271E-3</v>
      </c>
      <c r="CR62" s="14">
        <v>8.4815298135433394E-5</v>
      </c>
      <c r="CS62" s="14">
        <f t="shared" si="15"/>
        <v>3.7471600959803703E-2</v>
      </c>
    </row>
    <row r="63" spans="1:97" x14ac:dyDescent="0.45">
      <c r="A63" s="16">
        <v>23.5</v>
      </c>
      <c r="B63" s="17">
        <v>4.0000000000000001E-3</v>
      </c>
      <c r="C63" s="19">
        <v>53.173500000000004</v>
      </c>
      <c r="D63" s="19">
        <f t="shared" si="40"/>
        <v>53.092735337682633</v>
      </c>
      <c r="E63" s="19">
        <f t="shared" si="1"/>
        <v>-8.0764662317371005E-2</v>
      </c>
      <c r="F63" s="19">
        <f t="shared" si="2"/>
        <v>8.0764662317371005E-2</v>
      </c>
      <c r="G63" s="20">
        <f t="shared" si="41"/>
        <v>1.9221220951226803E-2</v>
      </c>
      <c r="H63" s="20">
        <f>IFERROR(IRR((J63,L63:CK63),0),0)</f>
        <v>1.9259124902114788E-2</v>
      </c>
      <c r="I63" s="21">
        <f t="shared" si="4"/>
        <v>3.790395088798526E-5</v>
      </c>
      <c r="J63" s="19">
        <f t="shared" si="5"/>
        <v>-53.092735337682633</v>
      </c>
      <c r="K63" s="22">
        <f t="shared" si="42"/>
        <v>-53.173500000000004</v>
      </c>
      <c r="L63" s="2">
        <f t="shared" si="51"/>
        <v>0.4</v>
      </c>
      <c r="M63" s="2">
        <f t="shared" si="51"/>
        <v>0.4</v>
      </c>
      <c r="N63" s="2">
        <f t="shared" si="51"/>
        <v>0.4</v>
      </c>
      <c r="O63" s="2">
        <f t="shared" si="51"/>
        <v>0.4</v>
      </c>
      <c r="P63" s="2">
        <f t="shared" si="51"/>
        <v>0.4</v>
      </c>
      <c r="Q63" s="2">
        <f t="shared" si="51"/>
        <v>0.4</v>
      </c>
      <c r="R63" s="2">
        <f t="shared" si="51"/>
        <v>0.4</v>
      </c>
      <c r="S63" s="2">
        <f t="shared" si="51"/>
        <v>0.4</v>
      </c>
      <c r="T63" s="2">
        <f t="shared" si="51"/>
        <v>0.4</v>
      </c>
      <c r="U63" s="2">
        <f t="shared" si="51"/>
        <v>0.4</v>
      </c>
      <c r="V63" s="2">
        <f t="shared" si="52"/>
        <v>0.4</v>
      </c>
      <c r="W63" s="2">
        <f t="shared" si="52"/>
        <v>0.4</v>
      </c>
      <c r="X63" s="2">
        <f t="shared" si="52"/>
        <v>0.4</v>
      </c>
      <c r="Y63" s="2">
        <f t="shared" si="52"/>
        <v>0.4</v>
      </c>
      <c r="Z63" s="2">
        <f t="shared" si="52"/>
        <v>0.4</v>
      </c>
      <c r="AA63" s="2">
        <f t="shared" si="52"/>
        <v>0.4</v>
      </c>
      <c r="AB63" s="2">
        <f t="shared" si="52"/>
        <v>0.4</v>
      </c>
      <c r="AC63" s="2">
        <f t="shared" si="52"/>
        <v>0.4</v>
      </c>
      <c r="AD63" s="2">
        <f t="shared" si="52"/>
        <v>0.4</v>
      </c>
      <c r="AE63" s="2">
        <f t="shared" si="52"/>
        <v>0.4</v>
      </c>
      <c r="AF63" s="2">
        <f t="shared" si="53"/>
        <v>0.4</v>
      </c>
      <c r="AG63" s="2">
        <f t="shared" si="53"/>
        <v>0.4</v>
      </c>
      <c r="AH63" s="2">
        <f t="shared" si="53"/>
        <v>0.4</v>
      </c>
      <c r="AI63" s="2">
        <f t="shared" si="53"/>
        <v>0.4</v>
      </c>
      <c r="AJ63" s="2">
        <f t="shared" si="53"/>
        <v>0.4</v>
      </c>
      <c r="AK63" s="2">
        <f t="shared" si="53"/>
        <v>0.4</v>
      </c>
      <c r="AL63" s="2">
        <f t="shared" si="53"/>
        <v>0.4</v>
      </c>
      <c r="AM63" s="2">
        <f t="shared" si="53"/>
        <v>0.4</v>
      </c>
      <c r="AN63" s="2">
        <f t="shared" si="53"/>
        <v>0.4</v>
      </c>
      <c r="AO63" s="2">
        <f t="shared" si="53"/>
        <v>0.4</v>
      </c>
      <c r="AP63" s="2">
        <f t="shared" si="54"/>
        <v>0.4</v>
      </c>
      <c r="AQ63" s="2">
        <f t="shared" si="54"/>
        <v>0.4</v>
      </c>
      <c r="AR63" s="2">
        <f t="shared" si="54"/>
        <v>0.4</v>
      </c>
      <c r="AS63" s="2">
        <f t="shared" si="54"/>
        <v>0.4</v>
      </c>
      <c r="AT63" s="2">
        <f t="shared" si="54"/>
        <v>0.4</v>
      </c>
      <c r="AU63" s="2">
        <f t="shared" si="54"/>
        <v>0.4</v>
      </c>
      <c r="AV63" s="2">
        <f t="shared" si="54"/>
        <v>0.4</v>
      </c>
      <c r="AW63" s="2">
        <f t="shared" si="54"/>
        <v>0.4</v>
      </c>
      <c r="AX63" s="2">
        <f t="shared" si="54"/>
        <v>0.4</v>
      </c>
      <c r="AY63" s="2">
        <f t="shared" si="54"/>
        <v>0.4</v>
      </c>
      <c r="AZ63" s="2">
        <f t="shared" si="55"/>
        <v>0.4</v>
      </c>
      <c r="BA63" s="2">
        <f t="shared" si="55"/>
        <v>0.4</v>
      </c>
      <c r="BB63" s="2">
        <f t="shared" si="55"/>
        <v>0.4</v>
      </c>
      <c r="BC63" s="2">
        <f t="shared" si="55"/>
        <v>0.4</v>
      </c>
      <c r="BD63" s="2">
        <f t="shared" si="55"/>
        <v>0.4</v>
      </c>
      <c r="BE63" s="2">
        <f t="shared" si="55"/>
        <v>0.4</v>
      </c>
      <c r="BF63" s="2">
        <f t="shared" si="55"/>
        <v>100.4</v>
      </c>
      <c r="BG63" s="2">
        <f t="shared" si="55"/>
        <v>0</v>
      </c>
      <c r="BH63" s="2">
        <f t="shared" si="55"/>
        <v>0</v>
      </c>
      <c r="BI63" s="2">
        <f t="shared" si="55"/>
        <v>0</v>
      </c>
      <c r="BJ63" s="2">
        <f t="shared" si="56"/>
        <v>0</v>
      </c>
      <c r="BK63" s="2">
        <f t="shared" si="56"/>
        <v>0</v>
      </c>
      <c r="BL63" s="2">
        <f t="shared" si="56"/>
        <v>0</v>
      </c>
      <c r="BM63" s="2">
        <f t="shared" si="56"/>
        <v>0</v>
      </c>
      <c r="BN63" s="2">
        <f t="shared" si="56"/>
        <v>0</v>
      </c>
      <c r="BO63" s="2">
        <f t="shared" si="56"/>
        <v>0</v>
      </c>
      <c r="BP63" s="2">
        <f t="shared" si="56"/>
        <v>0</v>
      </c>
      <c r="BQ63" s="2">
        <f t="shared" si="56"/>
        <v>0</v>
      </c>
      <c r="BR63" s="2">
        <f t="shared" si="56"/>
        <v>0</v>
      </c>
      <c r="BS63" s="2">
        <f t="shared" si="56"/>
        <v>0</v>
      </c>
      <c r="BT63" s="2">
        <f t="shared" si="57"/>
        <v>0</v>
      </c>
      <c r="BU63" s="2">
        <f t="shared" si="57"/>
        <v>0</v>
      </c>
      <c r="BV63" s="2">
        <f t="shared" si="57"/>
        <v>0</v>
      </c>
      <c r="BW63" s="2">
        <f t="shared" si="57"/>
        <v>0</v>
      </c>
      <c r="BX63" s="2">
        <f t="shared" si="57"/>
        <v>0</v>
      </c>
      <c r="BY63" s="2">
        <f t="shared" si="57"/>
        <v>0</v>
      </c>
      <c r="BZ63" s="2">
        <f t="shared" si="57"/>
        <v>0</v>
      </c>
      <c r="CA63" s="2">
        <f t="shared" si="57"/>
        <v>0</v>
      </c>
      <c r="CB63" s="2">
        <f t="shared" si="57"/>
        <v>0</v>
      </c>
      <c r="CC63" s="2">
        <f t="shared" si="57"/>
        <v>0</v>
      </c>
      <c r="CD63" s="2">
        <f t="shared" si="58"/>
        <v>0</v>
      </c>
      <c r="CE63" s="2">
        <f t="shared" si="58"/>
        <v>0</v>
      </c>
      <c r="CF63" s="2">
        <f t="shared" si="58"/>
        <v>0</v>
      </c>
      <c r="CG63" s="2">
        <f t="shared" si="58"/>
        <v>0</v>
      </c>
      <c r="CH63" s="2">
        <f t="shared" si="58"/>
        <v>0</v>
      </c>
      <c r="CI63" s="2">
        <f t="shared" si="58"/>
        <v>0</v>
      </c>
      <c r="CJ63" s="2">
        <f t="shared" si="58"/>
        <v>0</v>
      </c>
      <c r="CK63" s="23">
        <f t="shared" si="58"/>
        <v>0</v>
      </c>
      <c r="CN63" s="2">
        <v>30</v>
      </c>
      <c r="CO63" s="14">
        <v>0.05</v>
      </c>
      <c r="CP63" s="14">
        <v>-5.8331640834288949E-3</v>
      </c>
      <c r="CQ63" s="14">
        <v>-6.5758331349024274E-3</v>
      </c>
      <c r="CR63" s="14">
        <v>8.3401709833176162E-5</v>
      </c>
      <c r="CS63" s="14">
        <f t="shared" si="15"/>
        <v>3.7674404491501855E-2</v>
      </c>
    </row>
    <row r="64" spans="1:97" x14ac:dyDescent="0.45">
      <c r="A64" s="16">
        <v>23.5</v>
      </c>
      <c r="B64" s="17">
        <v>4.0000000000000001E-3</v>
      </c>
      <c r="C64" s="19">
        <v>52.658000000000001</v>
      </c>
      <c r="D64" s="19">
        <f t="shared" si="40"/>
        <v>53.092735337682633</v>
      </c>
      <c r="E64" s="19">
        <f t="shared" si="1"/>
        <v>0.43473533768263195</v>
      </c>
      <c r="F64" s="19">
        <f t="shared" si="2"/>
        <v>0.43473533768263195</v>
      </c>
      <c r="G64" s="20">
        <f t="shared" si="41"/>
        <v>1.9464271428665247E-2</v>
      </c>
      <c r="H64" s="20">
        <f>IFERROR(IRR((J64,L64:CK64),0),0)</f>
        <v>1.9259124902114788E-2</v>
      </c>
      <c r="I64" s="21">
        <f t="shared" si="4"/>
        <v>-2.0514652655045928E-4</v>
      </c>
      <c r="J64" s="19">
        <f t="shared" si="5"/>
        <v>-53.092735337682633</v>
      </c>
      <c r="K64" s="22">
        <f t="shared" si="42"/>
        <v>-52.658000000000001</v>
      </c>
      <c r="L64" s="2">
        <f t="shared" si="51"/>
        <v>0.4</v>
      </c>
      <c r="M64" s="2">
        <f t="shared" si="51"/>
        <v>0.4</v>
      </c>
      <c r="N64" s="2">
        <f t="shared" si="51"/>
        <v>0.4</v>
      </c>
      <c r="O64" s="2">
        <f t="shared" si="51"/>
        <v>0.4</v>
      </c>
      <c r="P64" s="2">
        <f t="shared" si="51"/>
        <v>0.4</v>
      </c>
      <c r="Q64" s="2">
        <f t="shared" si="51"/>
        <v>0.4</v>
      </c>
      <c r="R64" s="2">
        <f t="shared" si="51"/>
        <v>0.4</v>
      </c>
      <c r="S64" s="2">
        <f t="shared" si="51"/>
        <v>0.4</v>
      </c>
      <c r="T64" s="2">
        <f t="shared" si="51"/>
        <v>0.4</v>
      </c>
      <c r="U64" s="2">
        <f t="shared" si="51"/>
        <v>0.4</v>
      </c>
      <c r="V64" s="2">
        <f t="shared" si="52"/>
        <v>0.4</v>
      </c>
      <c r="W64" s="2">
        <f t="shared" si="52"/>
        <v>0.4</v>
      </c>
      <c r="X64" s="2">
        <f t="shared" si="52"/>
        <v>0.4</v>
      </c>
      <c r="Y64" s="2">
        <f t="shared" si="52"/>
        <v>0.4</v>
      </c>
      <c r="Z64" s="2">
        <f t="shared" si="52"/>
        <v>0.4</v>
      </c>
      <c r="AA64" s="2">
        <f t="shared" si="52"/>
        <v>0.4</v>
      </c>
      <c r="AB64" s="2">
        <f t="shared" si="52"/>
        <v>0.4</v>
      </c>
      <c r="AC64" s="2">
        <f t="shared" si="52"/>
        <v>0.4</v>
      </c>
      <c r="AD64" s="2">
        <f t="shared" si="52"/>
        <v>0.4</v>
      </c>
      <c r="AE64" s="2">
        <f t="shared" si="52"/>
        <v>0.4</v>
      </c>
      <c r="AF64" s="2">
        <f t="shared" si="53"/>
        <v>0.4</v>
      </c>
      <c r="AG64" s="2">
        <f t="shared" si="53"/>
        <v>0.4</v>
      </c>
      <c r="AH64" s="2">
        <f t="shared" si="53"/>
        <v>0.4</v>
      </c>
      <c r="AI64" s="2">
        <f t="shared" si="53"/>
        <v>0.4</v>
      </c>
      <c r="AJ64" s="2">
        <f t="shared" si="53"/>
        <v>0.4</v>
      </c>
      <c r="AK64" s="2">
        <f t="shared" si="53"/>
        <v>0.4</v>
      </c>
      <c r="AL64" s="2">
        <f t="shared" si="53"/>
        <v>0.4</v>
      </c>
      <c r="AM64" s="2">
        <f t="shared" si="53"/>
        <v>0.4</v>
      </c>
      <c r="AN64" s="2">
        <f t="shared" si="53"/>
        <v>0.4</v>
      </c>
      <c r="AO64" s="2">
        <f t="shared" si="53"/>
        <v>0.4</v>
      </c>
      <c r="AP64" s="2">
        <f t="shared" si="54"/>
        <v>0.4</v>
      </c>
      <c r="AQ64" s="2">
        <f t="shared" si="54"/>
        <v>0.4</v>
      </c>
      <c r="AR64" s="2">
        <f t="shared" si="54"/>
        <v>0.4</v>
      </c>
      <c r="AS64" s="2">
        <f t="shared" si="54"/>
        <v>0.4</v>
      </c>
      <c r="AT64" s="2">
        <f t="shared" si="54"/>
        <v>0.4</v>
      </c>
      <c r="AU64" s="2">
        <f t="shared" si="54"/>
        <v>0.4</v>
      </c>
      <c r="AV64" s="2">
        <f t="shared" si="54"/>
        <v>0.4</v>
      </c>
      <c r="AW64" s="2">
        <f t="shared" si="54"/>
        <v>0.4</v>
      </c>
      <c r="AX64" s="2">
        <f t="shared" si="54"/>
        <v>0.4</v>
      </c>
      <c r="AY64" s="2">
        <f t="shared" si="54"/>
        <v>0.4</v>
      </c>
      <c r="AZ64" s="2">
        <f t="shared" si="55"/>
        <v>0.4</v>
      </c>
      <c r="BA64" s="2">
        <f t="shared" si="55"/>
        <v>0.4</v>
      </c>
      <c r="BB64" s="2">
        <f t="shared" si="55"/>
        <v>0.4</v>
      </c>
      <c r="BC64" s="2">
        <f t="shared" si="55"/>
        <v>0.4</v>
      </c>
      <c r="BD64" s="2">
        <f t="shared" si="55"/>
        <v>0.4</v>
      </c>
      <c r="BE64" s="2">
        <f t="shared" si="55"/>
        <v>0.4</v>
      </c>
      <c r="BF64" s="2">
        <f t="shared" si="55"/>
        <v>100.4</v>
      </c>
      <c r="BG64" s="2">
        <f t="shared" si="55"/>
        <v>0</v>
      </c>
      <c r="BH64" s="2">
        <f t="shared" si="55"/>
        <v>0</v>
      </c>
      <c r="BI64" s="2">
        <f t="shared" si="55"/>
        <v>0</v>
      </c>
      <c r="BJ64" s="2">
        <f t="shared" si="56"/>
        <v>0</v>
      </c>
      <c r="BK64" s="2">
        <f t="shared" si="56"/>
        <v>0</v>
      </c>
      <c r="BL64" s="2">
        <f t="shared" si="56"/>
        <v>0</v>
      </c>
      <c r="BM64" s="2">
        <f t="shared" si="56"/>
        <v>0</v>
      </c>
      <c r="BN64" s="2">
        <f t="shared" si="56"/>
        <v>0</v>
      </c>
      <c r="BO64" s="2">
        <f t="shared" si="56"/>
        <v>0</v>
      </c>
      <c r="BP64" s="2">
        <f t="shared" si="56"/>
        <v>0</v>
      </c>
      <c r="BQ64" s="2">
        <f t="shared" si="56"/>
        <v>0</v>
      </c>
      <c r="BR64" s="2">
        <f t="shared" si="56"/>
        <v>0</v>
      </c>
      <c r="BS64" s="2">
        <f t="shared" si="56"/>
        <v>0</v>
      </c>
      <c r="BT64" s="2">
        <f t="shared" si="57"/>
        <v>0</v>
      </c>
      <c r="BU64" s="2">
        <f t="shared" si="57"/>
        <v>0</v>
      </c>
      <c r="BV64" s="2">
        <f t="shared" si="57"/>
        <v>0</v>
      </c>
      <c r="BW64" s="2">
        <f t="shared" si="57"/>
        <v>0</v>
      </c>
      <c r="BX64" s="2">
        <f t="shared" si="57"/>
        <v>0</v>
      </c>
      <c r="BY64" s="2">
        <f t="shared" si="57"/>
        <v>0</v>
      </c>
      <c r="BZ64" s="2">
        <f t="shared" si="57"/>
        <v>0</v>
      </c>
      <c r="CA64" s="2">
        <f t="shared" si="57"/>
        <v>0</v>
      </c>
      <c r="CB64" s="2">
        <f t="shared" si="57"/>
        <v>0</v>
      </c>
      <c r="CC64" s="2">
        <f t="shared" si="57"/>
        <v>0</v>
      </c>
      <c r="CD64" s="2">
        <f t="shared" si="58"/>
        <v>0</v>
      </c>
      <c r="CE64" s="2">
        <f t="shared" si="58"/>
        <v>0</v>
      </c>
      <c r="CF64" s="2">
        <f t="shared" si="58"/>
        <v>0</v>
      </c>
      <c r="CG64" s="2">
        <f t="shared" si="58"/>
        <v>0</v>
      </c>
      <c r="CH64" s="2">
        <f t="shared" si="58"/>
        <v>0</v>
      </c>
      <c r="CI64" s="2">
        <f t="shared" si="58"/>
        <v>0</v>
      </c>
      <c r="CJ64" s="2">
        <f t="shared" si="58"/>
        <v>0</v>
      </c>
      <c r="CK64" s="23">
        <f t="shared" si="58"/>
        <v>0</v>
      </c>
      <c r="CN64" s="2">
        <v>30.5</v>
      </c>
      <c r="CO64" s="14">
        <v>0.05</v>
      </c>
      <c r="CP64" s="14">
        <v>-5.738133521621714E-3</v>
      </c>
      <c r="CQ64" s="14">
        <v>-6.4727735607217323E-3</v>
      </c>
      <c r="CR64" s="14">
        <v>8.2034468688369996E-5</v>
      </c>
      <c r="CS64" s="14">
        <f t="shared" si="15"/>
        <v>3.7871127386344926E-2</v>
      </c>
    </row>
    <row r="65" spans="1:99" x14ac:dyDescent="0.45">
      <c r="A65" s="16">
        <v>24</v>
      </c>
      <c r="B65" s="17">
        <v>4.0000000000000001E-3</v>
      </c>
      <c r="C65" s="19">
        <v>52.198499999999996</v>
      </c>
      <c r="D65" s="19">
        <f t="shared" si="40"/>
        <v>52.204886748345317</v>
      </c>
      <c r="E65" s="19">
        <f t="shared" si="1"/>
        <v>6.3867483453208251E-3</v>
      </c>
      <c r="F65" s="19">
        <f t="shared" si="2"/>
        <v>6.3867483453208251E-3</v>
      </c>
      <c r="G65" s="20">
        <f t="shared" si="41"/>
        <v>1.9391982584593181E-2</v>
      </c>
      <c r="H65" s="20">
        <f>IFERROR(IRR((J65,L65:CK65),0),0)</f>
        <v>1.938898036670933E-2</v>
      </c>
      <c r="I65" s="21">
        <f t="shared" si="4"/>
        <v>-3.0022178838517988E-6</v>
      </c>
      <c r="J65" s="19">
        <f t="shared" si="5"/>
        <v>-52.204886748345317</v>
      </c>
      <c r="K65" s="22">
        <f t="shared" si="42"/>
        <v>-52.198499999999996</v>
      </c>
      <c r="L65" s="2">
        <f t="shared" si="51"/>
        <v>0.4</v>
      </c>
      <c r="M65" s="2">
        <f t="shared" si="51"/>
        <v>0.4</v>
      </c>
      <c r="N65" s="2">
        <f t="shared" si="51"/>
        <v>0.4</v>
      </c>
      <c r="O65" s="2">
        <f t="shared" si="51"/>
        <v>0.4</v>
      </c>
      <c r="P65" s="2">
        <f t="shared" si="51"/>
        <v>0.4</v>
      </c>
      <c r="Q65" s="2">
        <f t="shared" si="51"/>
        <v>0.4</v>
      </c>
      <c r="R65" s="2">
        <f t="shared" si="51"/>
        <v>0.4</v>
      </c>
      <c r="S65" s="2">
        <f t="shared" si="51"/>
        <v>0.4</v>
      </c>
      <c r="T65" s="2">
        <f t="shared" si="51"/>
        <v>0.4</v>
      </c>
      <c r="U65" s="2">
        <f t="shared" si="51"/>
        <v>0.4</v>
      </c>
      <c r="V65" s="2">
        <f t="shared" si="52"/>
        <v>0.4</v>
      </c>
      <c r="W65" s="2">
        <f t="shared" si="52"/>
        <v>0.4</v>
      </c>
      <c r="X65" s="2">
        <f t="shared" si="52"/>
        <v>0.4</v>
      </c>
      <c r="Y65" s="2">
        <f t="shared" si="52"/>
        <v>0.4</v>
      </c>
      <c r="Z65" s="2">
        <f t="shared" si="52"/>
        <v>0.4</v>
      </c>
      <c r="AA65" s="2">
        <f t="shared" si="52"/>
        <v>0.4</v>
      </c>
      <c r="AB65" s="2">
        <f t="shared" si="52"/>
        <v>0.4</v>
      </c>
      <c r="AC65" s="2">
        <f t="shared" si="52"/>
        <v>0.4</v>
      </c>
      <c r="AD65" s="2">
        <f t="shared" si="52"/>
        <v>0.4</v>
      </c>
      <c r="AE65" s="2">
        <f t="shared" si="52"/>
        <v>0.4</v>
      </c>
      <c r="AF65" s="2">
        <f t="shared" si="53"/>
        <v>0.4</v>
      </c>
      <c r="AG65" s="2">
        <f t="shared" si="53"/>
        <v>0.4</v>
      </c>
      <c r="AH65" s="2">
        <f t="shared" si="53"/>
        <v>0.4</v>
      </c>
      <c r="AI65" s="2">
        <f t="shared" si="53"/>
        <v>0.4</v>
      </c>
      <c r="AJ65" s="2">
        <f t="shared" si="53"/>
        <v>0.4</v>
      </c>
      <c r="AK65" s="2">
        <f t="shared" si="53"/>
        <v>0.4</v>
      </c>
      <c r="AL65" s="2">
        <f t="shared" si="53"/>
        <v>0.4</v>
      </c>
      <c r="AM65" s="2">
        <f t="shared" si="53"/>
        <v>0.4</v>
      </c>
      <c r="AN65" s="2">
        <f t="shared" si="53"/>
        <v>0.4</v>
      </c>
      <c r="AO65" s="2">
        <f t="shared" si="53"/>
        <v>0.4</v>
      </c>
      <c r="AP65" s="2">
        <f t="shared" si="54"/>
        <v>0.4</v>
      </c>
      <c r="AQ65" s="2">
        <f t="shared" si="54"/>
        <v>0.4</v>
      </c>
      <c r="AR65" s="2">
        <f t="shared" si="54"/>
        <v>0.4</v>
      </c>
      <c r="AS65" s="2">
        <f t="shared" si="54"/>
        <v>0.4</v>
      </c>
      <c r="AT65" s="2">
        <f t="shared" si="54"/>
        <v>0.4</v>
      </c>
      <c r="AU65" s="2">
        <f t="shared" si="54"/>
        <v>0.4</v>
      </c>
      <c r="AV65" s="2">
        <f t="shared" si="54"/>
        <v>0.4</v>
      </c>
      <c r="AW65" s="2">
        <f t="shared" si="54"/>
        <v>0.4</v>
      </c>
      <c r="AX65" s="2">
        <f t="shared" si="54"/>
        <v>0.4</v>
      </c>
      <c r="AY65" s="2">
        <f t="shared" si="54"/>
        <v>0.4</v>
      </c>
      <c r="AZ65" s="2">
        <f t="shared" si="55"/>
        <v>0.4</v>
      </c>
      <c r="BA65" s="2">
        <f t="shared" si="55"/>
        <v>0.4</v>
      </c>
      <c r="BB65" s="2">
        <f t="shared" si="55"/>
        <v>0.4</v>
      </c>
      <c r="BC65" s="2">
        <f t="shared" si="55"/>
        <v>0.4</v>
      </c>
      <c r="BD65" s="2">
        <f t="shared" si="55"/>
        <v>0.4</v>
      </c>
      <c r="BE65" s="2">
        <f t="shared" si="55"/>
        <v>0.4</v>
      </c>
      <c r="BF65" s="2">
        <f t="shared" si="55"/>
        <v>0.4</v>
      </c>
      <c r="BG65" s="2">
        <f t="shared" si="55"/>
        <v>100.4</v>
      </c>
      <c r="BH65" s="2">
        <f t="shared" si="55"/>
        <v>0</v>
      </c>
      <c r="BI65" s="2">
        <f t="shared" si="55"/>
        <v>0</v>
      </c>
      <c r="BJ65" s="2">
        <f t="shared" si="56"/>
        <v>0</v>
      </c>
      <c r="BK65" s="2">
        <f t="shared" si="56"/>
        <v>0</v>
      </c>
      <c r="BL65" s="2">
        <f t="shared" si="56"/>
        <v>0</v>
      </c>
      <c r="BM65" s="2">
        <f t="shared" si="56"/>
        <v>0</v>
      </c>
      <c r="BN65" s="2">
        <f t="shared" si="56"/>
        <v>0</v>
      </c>
      <c r="BO65" s="2">
        <f t="shared" si="56"/>
        <v>0</v>
      </c>
      <c r="BP65" s="2">
        <f t="shared" si="56"/>
        <v>0</v>
      </c>
      <c r="BQ65" s="2">
        <f t="shared" si="56"/>
        <v>0</v>
      </c>
      <c r="BR65" s="2">
        <f t="shared" si="56"/>
        <v>0</v>
      </c>
      <c r="BS65" s="2">
        <f t="shared" si="56"/>
        <v>0</v>
      </c>
      <c r="BT65" s="2">
        <f t="shared" si="57"/>
        <v>0</v>
      </c>
      <c r="BU65" s="2">
        <f t="shared" si="57"/>
        <v>0</v>
      </c>
      <c r="BV65" s="2">
        <f t="shared" si="57"/>
        <v>0</v>
      </c>
      <c r="BW65" s="2">
        <f t="shared" si="57"/>
        <v>0</v>
      </c>
      <c r="BX65" s="2">
        <f t="shared" si="57"/>
        <v>0</v>
      </c>
      <c r="BY65" s="2">
        <f t="shared" si="57"/>
        <v>0</v>
      </c>
      <c r="BZ65" s="2">
        <f t="shared" si="57"/>
        <v>0</v>
      </c>
      <c r="CA65" s="2">
        <f t="shared" si="57"/>
        <v>0</v>
      </c>
      <c r="CB65" s="2">
        <f t="shared" si="57"/>
        <v>0</v>
      </c>
      <c r="CC65" s="2">
        <f t="shared" si="57"/>
        <v>0</v>
      </c>
      <c r="CD65" s="2">
        <f t="shared" si="58"/>
        <v>0</v>
      </c>
      <c r="CE65" s="2">
        <f t="shared" si="58"/>
        <v>0</v>
      </c>
      <c r="CF65" s="2">
        <f t="shared" si="58"/>
        <v>0</v>
      </c>
      <c r="CG65" s="2">
        <f t="shared" si="58"/>
        <v>0</v>
      </c>
      <c r="CH65" s="2">
        <f t="shared" si="58"/>
        <v>0</v>
      </c>
      <c r="CI65" s="2">
        <f t="shared" si="58"/>
        <v>0</v>
      </c>
      <c r="CJ65" s="2">
        <f t="shared" si="58"/>
        <v>0</v>
      </c>
      <c r="CK65" s="23">
        <f t="shared" si="58"/>
        <v>0</v>
      </c>
      <c r="CN65" s="2">
        <v>31</v>
      </c>
      <c r="CO65" s="14">
        <v>0.05</v>
      </c>
      <c r="CP65" s="14">
        <v>-5.6461043051030876E-3</v>
      </c>
      <c r="CQ65" s="14">
        <v>-6.3725960168018684E-3</v>
      </c>
      <c r="CR65" s="14">
        <v>8.07113320966221E-5</v>
      </c>
      <c r="CS65" s="14">
        <f t="shared" si="15"/>
        <v>3.8062011010191674E-2</v>
      </c>
    </row>
    <row r="66" spans="1:99" x14ac:dyDescent="0.45">
      <c r="A66" s="16">
        <v>30</v>
      </c>
      <c r="B66" s="17">
        <v>4.0000000000000001E-3</v>
      </c>
      <c r="C66" s="19">
        <v>43.823999999999998</v>
      </c>
      <c r="D66" s="19">
        <f t="shared" si="40"/>
        <v>43.117306424777951</v>
      </c>
      <c r="E66" s="19">
        <f t="shared" si="1"/>
        <v>-0.70669357522204734</v>
      </c>
      <c r="F66" s="19">
        <f t="shared" si="2"/>
        <v>0.70669357522204734</v>
      </c>
      <c r="G66" s="20">
        <f t="shared" si="41"/>
        <v>2.0264256130852143E-2</v>
      </c>
      <c r="H66" s="20">
        <f>IFERROR(IRR((J66,L66:CK66),0),0)</f>
        <v>2.0604289018498312E-2</v>
      </c>
      <c r="I66" s="21">
        <f t="shared" si="4"/>
        <v>3.400328876461689E-4</v>
      </c>
      <c r="J66" s="19">
        <f t="shared" si="5"/>
        <v>-43.117306424777951</v>
      </c>
      <c r="K66" s="53">
        <f t="shared" si="42"/>
        <v>-43.823999999999998</v>
      </c>
      <c r="L66" s="54">
        <f t="shared" si="51"/>
        <v>0.4</v>
      </c>
      <c r="M66" s="54">
        <f t="shared" si="51"/>
        <v>0.4</v>
      </c>
      <c r="N66" s="54">
        <f t="shared" si="51"/>
        <v>0.4</v>
      </c>
      <c r="O66" s="54">
        <f t="shared" si="51"/>
        <v>0.4</v>
      </c>
      <c r="P66" s="54">
        <f t="shared" si="51"/>
        <v>0.4</v>
      </c>
      <c r="Q66" s="54">
        <f t="shared" si="51"/>
        <v>0.4</v>
      </c>
      <c r="R66" s="54">
        <f t="shared" si="51"/>
        <v>0.4</v>
      </c>
      <c r="S66" s="54">
        <f t="shared" si="51"/>
        <v>0.4</v>
      </c>
      <c r="T66" s="54">
        <f t="shared" si="51"/>
        <v>0.4</v>
      </c>
      <c r="U66" s="54">
        <f t="shared" si="51"/>
        <v>0.4</v>
      </c>
      <c r="V66" s="54">
        <f t="shared" si="52"/>
        <v>0.4</v>
      </c>
      <c r="W66" s="54">
        <f t="shared" si="52"/>
        <v>0.4</v>
      </c>
      <c r="X66" s="54">
        <f t="shared" si="52"/>
        <v>0.4</v>
      </c>
      <c r="Y66" s="54">
        <f t="shared" si="52"/>
        <v>0.4</v>
      </c>
      <c r="Z66" s="54">
        <f t="shared" si="52"/>
        <v>0.4</v>
      </c>
      <c r="AA66" s="54">
        <f t="shared" si="52"/>
        <v>0.4</v>
      </c>
      <c r="AB66" s="54">
        <f t="shared" si="52"/>
        <v>0.4</v>
      </c>
      <c r="AC66" s="54">
        <f t="shared" si="52"/>
        <v>0.4</v>
      </c>
      <c r="AD66" s="54">
        <f t="shared" si="52"/>
        <v>0.4</v>
      </c>
      <c r="AE66" s="54">
        <f t="shared" si="52"/>
        <v>0.4</v>
      </c>
      <c r="AF66" s="54">
        <f t="shared" si="53"/>
        <v>0.4</v>
      </c>
      <c r="AG66" s="54">
        <f t="shared" si="53"/>
        <v>0.4</v>
      </c>
      <c r="AH66" s="54">
        <f t="shared" si="53"/>
        <v>0.4</v>
      </c>
      <c r="AI66" s="54">
        <f t="shared" si="53"/>
        <v>0.4</v>
      </c>
      <c r="AJ66" s="54">
        <f t="shared" si="53"/>
        <v>0.4</v>
      </c>
      <c r="AK66" s="54">
        <f t="shared" si="53"/>
        <v>0.4</v>
      </c>
      <c r="AL66" s="54">
        <f t="shared" si="53"/>
        <v>0.4</v>
      </c>
      <c r="AM66" s="54">
        <f t="shared" si="53"/>
        <v>0.4</v>
      </c>
      <c r="AN66" s="54">
        <f t="shared" si="53"/>
        <v>0.4</v>
      </c>
      <c r="AO66" s="54">
        <f t="shared" si="53"/>
        <v>0.4</v>
      </c>
      <c r="AP66" s="54">
        <f t="shared" si="54"/>
        <v>0.4</v>
      </c>
      <c r="AQ66" s="54">
        <f t="shared" si="54"/>
        <v>0.4</v>
      </c>
      <c r="AR66" s="54">
        <f t="shared" si="54"/>
        <v>0.4</v>
      </c>
      <c r="AS66" s="54">
        <f t="shared" si="54"/>
        <v>0.4</v>
      </c>
      <c r="AT66" s="54">
        <f t="shared" si="54"/>
        <v>0.4</v>
      </c>
      <c r="AU66" s="54">
        <f t="shared" si="54"/>
        <v>0.4</v>
      </c>
      <c r="AV66" s="54">
        <f t="shared" si="54"/>
        <v>0.4</v>
      </c>
      <c r="AW66" s="54">
        <f t="shared" si="54"/>
        <v>0.4</v>
      </c>
      <c r="AX66" s="54">
        <f t="shared" si="54"/>
        <v>0.4</v>
      </c>
      <c r="AY66" s="54">
        <f t="shared" si="54"/>
        <v>0.4</v>
      </c>
      <c r="AZ66" s="54">
        <f t="shared" si="55"/>
        <v>0.4</v>
      </c>
      <c r="BA66" s="54">
        <f t="shared" si="55"/>
        <v>0.4</v>
      </c>
      <c r="BB66" s="54">
        <f t="shared" si="55"/>
        <v>0.4</v>
      </c>
      <c r="BC66" s="54">
        <f t="shared" si="55"/>
        <v>0.4</v>
      </c>
      <c r="BD66" s="54">
        <f t="shared" si="55"/>
        <v>0.4</v>
      </c>
      <c r="BE66" s="54">
        <f t="shared" si="55"/>
        <v>0.4</v>
      </c>
      <c r="BF66" s="54">
        <f t="shared" si="55"/>
        <v>0.4</v>
      </c>
      <c r="BG66" s="54">
        <f t="shared" si="55"/>
        <v>0.4</v>
      </c>
      <c r="BH66" s="54">
        <f t="shared" si="55"/>
        <v>0.4</v>
      </c>
      <c r="BI66" s="54">
        <f t="shared" si="55"/>
        <v>0.4</v>
      </c>
      <c r="BJ66" s="54">
        <f t="shared" si="56"/>
        <v>0.4</v>
      </c>
      <c r="BK66" s="54">
        <f t="shared" si="56"/>
        <v>0.4</v>
      </c>
      <c r="BL66" s="54">
        <f t="shared" si="56"/>
        <v>0.4</v>
      </c>
      <c r="BM66" s="54">
        <f t="shared" si="56"/>
        <v>0.4</v>
      </c>
      <c r="BN66" s="54">
        <f t="shared" si="56"/>
        <v>0.4</v>
      </c>
      <c r="BO66" s="54">
        <f t="shared" si="56"/>
        <v>0.4</v>
      </c>
      <c r="BP66" s="54">
        <f t="shared" si="56"/>
        <v>0.4</v>
      </c>
      <c r="BQ66" s="54">
        <f t="shared" si="56"/>
        <v>0.4</v>
      </c>
      <c r="BR66" s="54">
        <f t="shared" si="56"/>
        <v>0.4</v>
      </c>
      <c r="BS66" s="54">
        <f t="shared" si="56"/>
        <v>100.4</v>
      </c>
      <c r="BT66" s="54">
        <f t="shared" si="57"/>
        <v>0</v>
      </c>
      <c r="BU66" s="54">
        <f t="shared" si="57"/>
        <v>0</v>
      </c>
      <c r="BV66" s="54">
        <f t="shared" si="57"/>
        <v>0</v>
      </c>
      <c r="BW66" s="54">
        <f t="shared" si="57"/>
        <v>0</v>
      </c>
      <c r="BX66" s="54">
        <f t="shared" si="57"/>
        <v>0</v>
      </c>
      <c r="BY66" s="54">
        <f t="shared" si="57"/>
        <v>0</v>
      </c>
      <c r="BZ66" s="54">
        <f t="shared" si="57"/>
        <v>0</v>
      </c>
      <c r="CA66" s="54">
        <f t="shared" si="57"/>
        <v>0</v>
      </c>
      <c r="CB66" s="54">
        <f t="shared" si="57"/>
        <v>0</v>
      </c>
      <c r="CC66" s="54">
        <f t="shared" si="57"/>
        <v>0</v>
      </c>
      <c r="CD66" s="54">
        <f t="shared" si="58"/>
        <v>0</v>
      </c>
      <c r="CE66" s="54">
        <f t="shared" si="58"/>
        <v>0</v>
      </c>
      <c r="CF66" s="54">
        <f t="shared" si="58"/>
        <v>0</v>
      </c>
      <c r="CG66" s="54">
        <f t="shared" si="58"/>
        <v>0</v>
      </c>
      <c r="CH66" s="54">
        <f t="shared" si="58"/>
        <v>0</v>
      </c>
      <c r="CI66" s="54">
        <f t="shared" si="58"/>
        <v>0</v>
      </c>
      <c r="CJ66" s="54">
        <f t="shared" si="58"/>
        <v>0</v>
      </c>
      <c r="CK66" s="55">
        <f t="shared" si="58"/>
        <v>0</v>
      </c>
      <c r="CN66" s="2">
        <v>31.5</v>
      </c>
      <c r="CO66" s="14">
        <v>0.05</v>
      </c>
      <c r="CP66" s="14">
        <v>-5.5569404313376572E-3</v>
      </c>
      <c r="CQ66" s="14">
        <v>-6.2752035753822089E-3</v>
      </c>
      <c r="CR66" s="14">
        <v>7.9430199841120164E-5</v>
      </c>
      <c r="CS66" s="14">
        <f t="shared" si="15"/>
        <v>3.824728619312126E-2</v>
      </c>
    </row>
    <row r="67" spans="1:99" x14ac:dyDescent="0.45">
      <c r="A67" s="16"/>
      <c r="B67" s="17"/>
      <c r="C67" s="19"/>
      <c r="D67" s="19"/>
      <c r="E67" s="19"/>
      <c r="G67" s="20"/>
      <c r="H67" s="20"/>
      <c r="I67" s="21"/>
      <c r="J67"/>
      <c r="K67"/>
      <c r="CK67"/>
      <c r="CL67"/>
      <c r="CN67" s="2">
        <v>32</v>
      </c>
      <c r="CO67" s="14">
        <v>0.05</v>
      </c>
      <c r="CP67" s="14">
        <v>-5.4705136516501858E-3</v>
      </c>
      <c r="CQ67" s="14">
        <v>-6.1805018170657585E-3</v>
      </c>
      <c r="CR67" s="14">
        <v>7.8189102968602658E-5</v>
      </c>
      <c r="CS67" s="14">
        <f t="shared" si="15"/>
        <v>3.8427173634252659E-2</v>
      </c>
      <c r="CT67" s="20"/>
      <c r="CU67" s="20"/>
    </row>
    <row r="68" spans="1:99" x14ac:dyDescent="0.45">
      <c r="A68" s="16"/>
      <c r="B68" s="26"/>
      <c r="I68" s="20"/>
      <c r="J68" s="19"/>
      <c r="CN68" s="2">
        <v>32.5</v>
      </c>
      <c r="CO68" s="14">
        <v>0.05</v>
      </c>
      <c r="CP68" s="14">
        <v>-5.3867029552956526E-3</v>
      </c>
      <c r="CQ68" s="14">
        <v>-6.0883989346748844E-3</v>
      </c>
      <c r="CR68" s="14">
        <v>7.6986193692162608E-5</v>
      </c>
      <c r="CS68" s="14">
        <f t="shared" ref="CS68:CS131" si="59">SUM(CO68:CR68)</f>
        <v>3.860188430372162E-2</v>
      </c>
      <c r="CT68" s="20"/>
      <c r="CU68" s="20"/>
    </row>
    <row r="69" spans="1:99" x14ac:dyDescent="0.45">
      <c r="A69" s="16"/>
      <c r="B69" s="26"/>
      <c r="I69" s="20"/>
      <c r="J69" s="19"/>
      <c r="CN69" s="2">
        <v>33</v>
      </c>
      <c r="CO69" s="14">
        <v>0.05</v>
      </c>
      <c r="CP69" s="14">
        <v>-5.3053940917423071E-3</v>
      </c>
      <c r="CQ69" s="14">
        <v>-5.9988058049343755E-3</v>
      </c>
      <c r="CR69" s="14">
        <v>7.5819736211978317E-5</v>
      </c>
      <c r="CS69" s="14">
        <f t="shared" si="59"/>
        <v>3.8771619839535303E-2</v>
      </c>
      <c r="CT69" s="20"/>
      <c r="CU69" s="20"/>
    </row>
    <row r="70" spans="1:99" x14ac:dyDescent="0.45">
      <c r="A70" s="16"/>
      <c r="B70" s="26"/>
      <c r="E70" s="48"/>
      <c r="I70" s="20"/>
      <c r="J70" s="19"/>
      <c r="CN70" s="2">
        <v>33.5</v>
      </c>
      <c r="CO70" s="14">
        <v>0.05</v>
      </c>
      <c r="CP70" s="14">
        <v>-5.226479128113309E-3</v>
      </c>
      <c r="CQ70" s="14">
        <v>-5.9116360327930188E-3</v>
      </c>
      <c r="CR70" s="14">
        <v>7.4688098358068205E-5</v>
      </c>
      <c r="CS70" s="14">
        <f t="shared" si="59"/>
        <v>3.8936572937451744E-2</v>
      </c>
      <c r="CT70" s="20"/>
      <c r="CU70" s="20"/>
    </row>
    <row r="71" spans="1:99" x14ac:dyDescent="0.45">
      <c r="A71" s="16"/>
      <c r="B71" s="26"/>
      <c r="I71" s="20"/>
      <c r="J71" s="19"/>
      <c r="CN71" s="2">
        <v>34</v>
      </c>
      <c r="CO71" s="14">
        <v>0.05</v>
      </c>
      <c r="CP71" s="14">
        <v>-5.149856038990608E-3</v>
      </c>
      <c r="CQ71" s="14">
        <v>-5.8268059725806419E-3</v>
      </c>
      <c r="CR71" s="14">
        <v>7.3589743970449553E-5</v>
      </c>
      <c r="CS71" s="14">
        <f t="shared" si="59"/>
        <v>3.9096927732399193E-2</v>
      </c>
      <c r="CT71" s="20"/>
      <c r="CU71" s="20"/>
    </row>
    <row r="72" spans="1:99" x14ac:dyDescent="0.45">
      <c r="A72" s="16"/>
      <c r="B72" s="26"/>
      <c r="I72" s="20"/>
      <c r="J72" s="19"/>
      <c r="CN72" s="2">
        <v>34.5</v>
      </c>
      <c r="CO72" s="14">
        <v>0.05</v>
      </c>
      <c r="CP72" s="14">
        <v>-5.0754283260200945E-3</v>
      </c>
      <c r="CQ72" s="14">
        <v>-5.7442347296570431E-3</v>
      </c>
      <c r="CR72" s="14">
        <v>7.2523225941892322E-5</v>
      </c>
      <c r="CS72" s="14">
        <f t="shared" si="59"/>
        <v>3.9252860170264761E-2</v>
      </c>
      <c r="CT72" s="20"/>
      <c r="CU72" s="20"/>
    </row>
    <row r="73" spans="1:99" x14ac:dyDescent="0.45">
      <c r="A73" s="16"/>
      <c r="B73" s="26"/>
      <c r="I73" s="20"/>
      <c r="J73" s="19"/>
      <c r="CN73" s="2">
        <v>35</v>
      </c>
      <c r="CO73" s="14">
        <v>0.05</v>
      </c>
      <c r="CP73" s="14">
        <v>-5.0031046649717031E-3</v>
      </c>
      <c r="CQ73" s="14">
        <v>-5.6638441457337639E-3</v>
      </c>
      <c r="CR73" s="14">
        <v>7.1487179857008141E-5</v>
      </c>
      <c r="CS73" s="14">
        <f t="shared" si="59"/>
        <v>3.9404538369151539E-2</v>
      </c>
      <c r="CT73" s="20"/>
      <c r="CU73" s="20"/>
    </row>
    <row r="74" spans="1:99" x14ac:dyDescent="0.45">
      <c r="A74" s="16"/>
      <c r="B74" s="26"/>
      <c r="I74" s="20"/>
      <c r="J74" s="19"/>
      <c r="CN74" s="2">
        <v>35.5</v>
      </c>
      <c r="CO74" s="14">
        <v>0.05</v>
      </c>
      <c r="CP74" s="14">
        <v>-4.9327985781040763E-3</v>
      </c>
      <c r="CQ74" s="14">
        <v>-5.5855587706315308E-3</v>
      </c>
      <c r="CR74" s="14">
        <v>7.0480318168881272E-5</v>
      </c>
      <c r="CS74" s="14">
        <f t="shared" si="59"/>
        <v>3.9552122969433279E-2</v>
      </c>
      <c r="CT74" s="20"/>
      <c r="CU74" s="20"/>
    </row>
    <row r="75" spans="1:99" x14ac:dyDescent="0.45">
      <c r="A75" s="16"/>
      <c r="B75" s="26"/>
      <c r="I75" s="20"/>
      <c r="J75" s="19"/>
      <c r="CN75" s="2">
        <v>36</v>
      </c>
      <c r="CO75" s="14">
        <v>0.05</v>
      </c>
      <c r="CP75" s="14">
        <v>-4.8644281298621684E-3</v>
      </c>
      <c r="CQ75" s="14">
        <v>-5.5093058228690549E-3</v>
      </c>
      <c r="CR75" s="14">
        <v>6.9501424860980135E-5</v>
      </c>
      <c r="CS75" s="14">
        <f t="shared" si="59"/>
        <v>3.9695767472129759E-2</v>
      </c>
      <c r="CT75" s="20"/>
      <c r="CU75" s="20"/>
    </row>
    <row r="76" spans="1:99" x14ac:dyDescent="0.45">
      <c r="B76" s="29"/>
      <c r="C76" s="30"/>
      <c r="D76" s="31"/>
      <c r="E76" s="32"/>
      <c r="CN76" s="2">
        <v>36.5</v>
      </c>
      <c r="CO76" s="14">
        <v>0.05</v>
      </c>
      <c r="CP76" s="14">
        <v>-4.7979156440994836E-3</v>
      </c>
      <c r="CQ76" s="14">
        <v>-5.4350151411563926E-3</v>
      </c>
      <c r="CR76" s="14">
        <v>6.8549350547816019E-5</v>
      </c>
      <c r="CS76" s="14">
        <f t="shared" si="59"/>
        <v>3.9835618565291941E-2</v>
      </c>
      <c r="CT76" s="20"/>
      <c r="CU76" s="20"/>
    </row>
    <row r="77" spans="1:99" x14ac:dyDescent="0.45">
      <c r="B77" s="33" t="s">
        <v>17</v>
      </c>
      <c r="C77" s="34" t="s">
        <v>18</v>
      </c>
      <c r="D77" s="33" t="s">
        <v>19</v>
      </c>
      <c r="E77" s="35" t="s">
        <v>20</v>
      </c>
      <c r="CN77" s="2">
        <v>37</v>
      </c>
      <c r="CO77" s="14">
        <v>0.05</v>
      </c>
      <c r="CP77" s="14">
        <v>-4.733187441165701E-3</v>
      </c>
      <c r="CQ77" s="14">
        <v>-5.3626191285832672E-3</v>
      </c>
      <c r="CR77" s="14">
        <v>6.7623007972845528E-5</v>
      </c>
      <c r="CS77" s="14">
        <f t="shared" si="59"/>
        <v>3.9971816438223881E-2</v>
      </c>
      <c r="CT77" s="20"/>
      <c r="CU77" s="20"/>
    </row>
    <row r="78" spans="1:99" ht="15.75" x14ac:dyDescent="0.5">
      <c r="A78" s="36" t="s">
        <v>21</v>
      </c>
      <c r="B78" s="37">
        <v>0.05</v>
      </c>
      <c r="C78" s="38">
        <v>5.560494859187675E-2</v>
      </c>
      <c r="D78" s="39" t="s">
        <v>23</v>
      </c>
      <c r="E78" s="40" t="s">
        <v>23</v>
      </c>
      <c r="I78" s="19" t="s">
        <v>24</v>
      </c>
      <c r="J78" s="19" t="s">
        <v>25</v>
      </c>
      <c r="K78" s="2" t="s">
        <v>26</v>
      </c>
      <c r="L78" s="14">
        <f>+b0_G+b1_G*((1-EXP(-L2/tau1_G))*tau1_G/L2)+b2_G*((1-EXP(-L2/tau1_G))*tau1_G/L2-EXP(-L2/tau1_G))+b3_G*((1-EXP(-L2/tau2_G))*tau2_G/L2-EXP(-L2/tau2_G))</f>
        <v>1.5529446517495061E-2</v>
      </c>
      <c r="M78" s="28">
        <f t="shared" ref="M78:AR78" si="60">+b0_G+b1_G*((1-EXP(-M2/tau1_G))*tau1_G/M2)+b2_G*((1-EXP(-M2/tau1_G))*tau1_G/M2-EXP(-M2/tau1_G))</f>
        <v>1.4725990403566053E-2</v>
      </c>
      <c r="N78" s="28">
        <f t="shared" si="60"/>
        <v>1.4879436232653665E-2</v>
      </c>
      <c r="O78" s="28">
        <f t="shared" si="60"/>
        <v>1.5171087751184311E-2</v>
      </c>
      <c r="P78" s="28">
        <f t="shared" si="60"/>
        <v>1.5577405394840455E-2</v>
      </c>
      <c r="Q78" s="28">
        <f t="shared" si="60"/>
        <v>1.6077976692702285E-2</v>
      </c>
      <c r="R78" s="28">
        <f t="shared" si="60"/>
        <v>1.6655133820386362E-2</v>
      </c>
      <c r="S78" s="28">
        <f t="shared" si="60"/>
        <v>1.7293616162044036E-2</v>
      </c>
      <c r="T78" s="28">
        <f t="shared" si="60"/>
        <v>1.7980272695201128E-2</v>
      </c>
      <c r="U78" s="28">
        <f t="shared" si="60"/>
        <v>1.8703799602288781E-2</v>
      </c>
      <c r="V78" s="28">
        <f t="shared" si="60"/>
        <v>1.9454509036059713E-2</v>
      </c>
      <c r="W78" s="28">
        <f t="shared" si="60"/>
        <v>2.0224125430359719E-2</v>
      </c>
      <c r="X78" s="28">
        <f t="shared" si="60"/>
        <v>2.1005606159559848E-2</v>
      </c>
      <c r="Y78" s="28">
        <f t="shared" si="60"/>
        <v>2.1792983715235283E-2</v>
      </c>
      <c r="Z78" s="28">
        <f t="shared" si="60"/>
        <v>2.2581226892630899E-2</v>
      </c>
      <c r="AA78" s="28">
        <f t="shared" si="60"/>
        <v>2.3366118766724491E-2</v>
      </c>
      <c r="AB78" s="28">
        <f t="shared" si="60"/>
        <v>2.4144149492412906E-2</v>
      </c>
      <c r="AC78" s="28">
        <f t="shared" si="60"/>
        <v>2.4912422189164146E-2</v>
      </c>
      <c r="AD78" s="28">
        <f t="shared" si="60"/>
        <v>2.5668570370656105E-2</v>
      </c>
      <c r="AE78" s="28">
        <f t="shared" si="60"/>
        <v>2.6410685557345888E-2</v>
      </c>
      <c r="AF78" s="28">
        <f t="shared" si="60"/>
        <v>2.71372538671509E-2</v>
      </c>
      <c r="AG78" s="28">
        <f t="shared" si="60"/>
        <v>2.7847100518747926E-2</v>
      </c>
      <c r="AH78" s="28">
        <f t="shared" si="60"/>
        <v>2.8539341305435464E-2</v>
      </c>
      <c r="AI78" s="28">
        <f t="shared" si="60"/>
        <v>2.9213340206849417E-2</v>
      </c>
      <c r="AJ78" s="28">
        <f t="shared" si="60"/>
        <v>2.9868672402668682E-2</v>
      </c>
      <c r="AK78" s="28">
        <f t="shared" si="60"/>
        <v>3.0505092038209097E-2</v>
      </c>
      <c r="AL78" s="28">
        <f t="shared" si="60"/>
        <v>3.1122504167736938E-2</v>
      </c>
      <c r="AM78" s="28">
        <f t="shared" si="60"/>
        <v>3.1720940368551886E-2</v>
      </c>
      <c r="AN78" s="28">
        <f t="shared" si="60"/>
        <v>3.2300537578382332E-2</v>
      </c>
      <c r="AO78" s="28">
        <f t="shared" si="60"/>
        <v>3.2861519761280704E-2</v>
      </c>
      <c r="AP78" s="28">
        <f t="shared" si="60"/>
        <v>3.3404182053782747E-2</v>
      </c>
      <c r="AQ78" s="28">
        <f t="shared" si="60"/>
        <v>3.3928877084291507E-2</v>
      </c>
      <c r="AR78" s="28">
        <f t="shared" si="60"/>
        <v>3.4436003195078932E-2</v>
      </c>
      <c r="AS78" s="28">
        <f t="shared" ref="AS78:BX78" si="61">+b0_G+b1_G*((1-EXP(-AS2/tau1_G))*tau1_G/AS2)+b2_G*((1-EXP(-AS2/tau1_G))*tau1_G/AS2-EXP(-AS2/tau1_G))</f>
        <v>3.4925994328507876E-2</v>
      </c>
      <c r="AT78" s="28">
        <f t="shared" si="61"/>
        <v>3.5399311367547329E-2</v>
      </c>
      <c r="AU78" s="28">
        <f t="shared" si="61"/>
        <v>3.5856434745812266E-2</v>
      </c>
      <c r="AV78" s="28">
        <f t="shared" si="61"/>
        <v>3.629785816458439E-2</v>
      </c>
      <c r="AW78" s="28">
        <f t="shared" si="61"/>
        <v>3.6724083273899408E-2</v>
      </c>
      <c r="AX78" s="28">
        <f t="shared" si="61"/>
        <v>3.7135615192116396E-2</v>
      </c>
      <c r="AY78" s="28">
        <f t="shared" si="61"/>
        <v>3.7532958753681442E-2</v>
      </c>
      <c r="AZ78" s="28">
        <f t="shared" si="61"/>
        <v>3.791661538829371E-2</v>
      </c>
      <c r="BA78" s="28">
        <f t="shared" si="61"/>
        <v>3.8287080546586284E-2</v>
      </c>
      <c r="BB78" s="28">
        <f t="shared" si="61"/>
        <v>3.864484159792942E-2</v>
      </c>
      <c r="BC78" s="28">
        <f t="shared" si="61"/>
        <v>3.8990376135214347E-2</v>
      </c>
      <c r="BD78" s="28">
        <f t="shared" si="61"/>
        <v>3.9324150629624591E-2</v>
      </c>
      <c r="BE78" s="28">
        <f t="shared" si="61"/>
        <v>3.9646619385577703E-2</v>
      </c>
      <c r="BF78" s="28">
        <f t="shared" si="61"/>
        <v>3.995822375233684E-2</v>
      </c>
      <c r="BG78" s="28">
        <f t="shared" si="61"/>
        <v>4.0259391554347358E-2</v>
      </c>
      <c r="BH78" s="28">
        <f t="shared" si="61"/>
        <v>4.0550536707239911E-2</v>
      </c>
      <c r="BI78" s="28">
        <f t="shared" si="61"/>
        <v>4.0832058990734367E-2</v>
      </c>
      <c r="BJ78" s="28">
        <f t="shared" si="61"/>
        <v>4.1104343953449779E-2</v>
      </c>
      <c r="BK78" s="28">
        <f t="shared" si="61"/>
        <v>4.136776292793494E-2</v>
      </c>
      <c r="BL78" s="28">
        <f t="shared" si="61"/>
        <v>4.1622673137136738E-2</v>
      </c>
      <c r="BM78" s="28">
        <f t="shared" si="61"/>
        <v>4.1869417876067655E-2</v>
      </c>
      <c r="BN78" s="28">
        <f t="shared" si="61"/>
        <v>4.2108326754661501E-2</v>
      </c>
      <c r="BO78" s="28">
        <f t="shared" si="61"/>
        <v>4.2339715989756263E-2</v>
      </c>
      <c r="BP78" s="28">
        <f t="shared" si="61"/>
        <v>4.25638887358471E-2</v>
      </c>
      <c r="BQ78" s="28">
        <f t="shared" si="61"/>
        <v>4.278113544574124E-2</v>
      </c>
      <c r="BR78" s="28">
        <f t="shared" si="61"/>
        <v>4.2991734253545015E-2</v>
      </c>
      <c r="BS78" s="28">
        <f t="shared" si="61"/>
        <v>4.3195951373545427E-2</v>
      </c>
      <c r="BT78" s="28">
        <f t="shared" si="61"/>
        <v>4.3394041509533306E-2</v>
      </c>
      <c r="BU78" s="28">
        <f t="shared" si="61"/>
        <v>4.3586248269971796E-2</v>
      </c>
      <c r="BV78" s="28">
        <f t="shared" si="61"/>
        <v>4.3772804585156887E-2</v>
      </c>
      <c r="BW78" s="28">
        <f t="shared" si="61"/>
        <v>4.3953933123160802E-2</v>
      </c>
      <c r="BX78" s="28">
        <f t="shared" si="61"/>
        <v>4.4129846701906221E-2</v>
      </c>
      <c r="BY78" s="28">
        <f t="shared" ref="BY78:CK78" si="62">+b0_G+b1_G*((1-EXP(-BY2/tau1_G))*tau1_G/BY2)+b2_G*((1-EXP(-BY2/tau1_G))*tau1_G/BY2-EXP(-BY2/tau1_G))</f>
        <v>4.4300748695200065E-2</v>
      </c>
      <c r="BZ78" s="28">
        <f t="shared" si="62"/>
        <v>4.4466833430970423E-2</v>
      </c>
      <c r="CA78" s="28">
        <f t="shared" si="62"/>
        <v>4.4628286580305501E-2</v>
      </c>
      <c r="CB78" s="28">
        <f t="shared" si="62"/>
        <v>4.4785285536199614E-2</v>
      </c>
      <c r="CC78" s="28">
        <f t="shared" si="62"/>
        <v>4.493799978117128E-2</v>
      </c>
      <c r="CD78" s="28">
        <f t="shared" si="62"/>
        <v>4.5086591243141148E-2</v>
      </c>
      <c r="CE78" s="28">
        <f t="shared" si="62"/>
        <v>4.5231214639145527E-2</v>
      </c>
      <c r="CF78" s="28">
        <f t="shared" si="62"/>
        <v>4.5372017806620875E-2</v>
      </c>
      <c r="CG78" s="28">
        <f t="shared" si="62"/>
        <v>4.5509142022127781E-2</v>
      </c>
      <c r="CH78" s="28">
        <f t="shared" si="62"/>
        <v>4.5642722307495227E-2</v>
      </c>
      <c r="CI78" s="28">
        <f t="shared" si="62"/>
        <v>4.5772887723458056E-2</v>
      </c>
      <c r="CJ78" s="28">
        <f t="shared" si="62"/>
        <v>4.5899761650937024E-2</v>
      </c>
      <c r="CK78" s="28">
        <f t="shared" si="62"/>
        <v>4.6023462060172556E-2</v>
      </c>
      <c r="CN78" s="2">
        <v>37.5</v>
      </c>
      <c r="CO78" s="14">
        <v>0.05</v>
      </c>
      <c r="CP78" s="14">
        <v>-4.6701735933367076E-3</v>
      </c>
      <c r="CQ78" s="14">
        <v>-5.2920526910448162E-3</v>
      </c>
      <c r="CR78" s="14">
        <v>6.6721367866540927E-5</v>
      </c>
      <c r="CS78" s="14">
        <f t="shared" si="59"/>
        <v>4.0104495083485021E-2</v>
      </c>
    </row>
    <row r="79" spans="1:99" ht="15.75" x14ac:dyDescent="0.5">
      <c r="A79" s="36" t="s">
        <v>27</v>
      </c>
      <c r="B79" s="37">
        <v>-0.04</v>
      </c>
      <c r="C79" s="38">
        <v>-4.0658781755070171E-2</v>
      </c>
      <c r="D79" s="41">
        <v>6.06</v>
      </c>
      <c r="E79" s="40">
        <f>AVERAGE(F3:F67)</f>
        <v>0.33976706421072733</v>
      </c>
      <c r="I79" s="19" t="s">
        <v>28</v>
      </c>
      <c r="J79" s="4" t="s">
        <v>29</v>
      </c>
      <c r="K79" s="4"/>
      <c r="L79" s="42">
        <f t="shared" ref="L79:AQ79" si="63">+(1+L78)^(-L2)</f>
        <v>0.99232455846022272</v>
      </c>
      <c r="M79" s="10">
        <f t="shared" si="63"/>
        <v>0.98548771733174045</v>
      </c>
      <c r="N79" s="10">
        <f t="shared" si="63"/>
        <v>0.97808887865833294</v>
      </c>
      <c r="O79" s="10">
        <f t="shared" si="63"/>
        <v>0.97033460311686892</v>
      </c>
      <c r="P79" s="10">
        <f t="shared" si="63"/>
        <v>0.96209381946189354</v>
      </c>
      <c r="Q79" s="10">
        <f t="shared" si="63"/>
        <v>0.95327649640079704</v>
      </c>
      <c r="R79" s="10">
        <f t="shared" si="63"/>
        <v>0.94382656487736694</v>
      </c>
      <c r="S79" s="10">
        <f t="shared" si="63"/>
        <v>0.93371583326189256</v>
      </c>
      <c r="T79" s="10">
        <f t="shared" si="63"/>
        <v>0.92293873048818009</v>
      </c>
      <c r="U79" s="10">
        <f t="shared" si="63"/>
        <v>0.91150775923026939</v>
      </c>
      <c r="V79" s="10">
        <f t="shared" si="63"/>
        <v>0.89944957103944223</v>
      </c>
      <c r="W79" s="10">
        <f t="shared" si="63"/>
        <v>0.8868015939376247</v>
      </c>
      <c r="X79" s="10">
        <f t="shared" si="63"/>
        <v>0.87360915438631592</v>
      </c>
      <c r="Y79" s="10">
        <f t="shared" si="63"/>
        <v>0.85992304260157482</v>
      </c>
      <c r="Z79" s="10">
        <f t="shared" si="63"/>
        <v>0.84579747471373279</v>
      </c>
      <c r="AA79" s="10">
        <f t="shared" si="63"/>
        <v>0.83128840846720131</v>
      </c>
      <c r="AB79" s="10">
        <f t="shared" si="63"/>
        <v>0.81645217175573614</v>
      </c>
      <c r="AC79" s="10">
        <f t="shared" si="63"/>
        <v>0.80134436571387979</v>
      </c>
      <c r="AD79" s="10">
        <f t="shared" si="63"/>
        <v>0.78601900655070411</v>
      </c>
      <c r="AE79" s="10">
        <f t="shared" si="63"/>
        <v>0.77052787289948643</v>
      </c>
      <c r="AF79" s="10">
        <f t="shared" si="63"/>
        <v>0.75492002816942338</v>
      </c>
      <c r="AG79" s="10">
        <f t="shared" si="63"/>
        <v>0.73924149018270524</v>
      </c>
      <c r="AH79" s="10">
        <f t="shared" si="63"/>
        <v>0.72353502320335739</v>
      </c>
      <c r="AI79" s="10">
        <f t="shared" si="63"/>
        <v>0.70784003025092279</v>
      </c>
      <c r="AJ79" s="10">
        <f t="shared" si="63"/>
        <v>0.69219252628552497</v>
      </c>
      <c r="AK79" s="10">
        <f t="shared" si="63"/>
        <v>0.67662517540458433</v>
      </c>
      <c r="AL79" s="10">
        <f t="shared" si="63"/>
        <v>0.66116737757079558</v>
      </c>
      <c r="AM79" s="10">
        <f t="shared" si="63"/>
        <v>0.64584539257295648</v>
      </c>
      <c r="AN79" s="10">
        <f t="shared" si="63"/>
        <v>0.6306824908937656</v>
      </c>
      <c r="AO79" s="10">
        <f t="shared" si="63"/>
        <v>0.61569912291836804</v>
      </c>
      <c r="AP79" s="10">
        <f t="shared" si="63"/>
        <v>0.60091309946812577</v>
      </c>
      <c r="AQ79" s="10">
        <f t="shared" si="63"/>
        <v>0.58633977799500925</v>
      </c>
      <c r="AR79" s="10">
        <f t="shared" ref="AR79:BW79" si="64">+(1+AR78)^(-AR2)</f>
        <v>0.57199224993605591</v>
      </c>
      <c r="AS79" s="10">
        <f t="shared" si="64"/>
        <v>0.55788152571967753</v>
      </c>
      <c r="AT79" s="10">
        <f t="shared" si="64"/>
        <v>0.54401671475287883</v>
      </c>
      <c r="AU79" s="10">
        <f t="shared" si="64"/>
        <v>0.53040519841725864</v>
      </c>
      <c r="AV79" s="10">
        <f t="shared" si="64"/>
        <v>0.51705279467873899</v>
      </c>
      <c r="AW79" s="10">
        <f t="shared" si="64"/>
        <v>0.50396391338688873</v>
      </c>
      <c r="AX79" s="10">
        <f t="shared" si="64"/>
        <v>0.4911417017193454</v>
      </c>
      <c r="AY79" s="10">
        <f t="shared" si="64"/>
        <v>0.47858817952834187</v>
      </c>
      <c r="AZ79" s="10">
        <f t="shared" si="64"/>
        <v>0.4663043645820949</v>
      </c>
      <c r="BA79" s="10">
        <f t="shared" si="64"/>
        <v>0.45429038787439785</v>
      </c>
      <c r="BB79" s="10">
        <f t="shared" si="64"/>
        <v>0.44254559931049814</v>
      </c>
      <c r="BC79" s="10">
        <f t="shared" si="64"/>
        <v>0.43106866417470491</v>
      </c>
      <c r="BD79" s="10">
        <f t="shared" si="64"/>
        <v>0.41985765085185667</v>
      </c>
      <c r="BE79" s="10">
        <f t="shared" si="64"/>
        <v>0.40891011031708296</v>
      </c>
      <c r="BF79" s="10">
        <f t="shared" si="64"/>
        <v>0.39822314793102764</v>
      </c>
      <c r="BG79" s="10">
        <f t="shared" si="64"/>
        <v>0.38779348808531322</v>
      </c>
      <c r="BH79" s="10">
        <f t="shared" si="64"/>
        <v>0.37761753223890976</v>
      </c>
      <c r="BI79" s="10">
        <f t="shared" si="64"/>
        <v>0.36769141087314883</v>
      </c>
      <c r="BJ79" s="10">
        <f t="shared" si="64"/>
        <v>0.35801102987388539</v>
      </c>
      <c r="BK79" s="10">
        <f t="shared" si="64"/>
        <v>0.34857211182545411</v>
      </c>
      <c r="BL79" s="10">
        <f t="shared" si="64"/>
        <v>0.33937023267437599</v>
      </c>
      <c r="BM79" s="10">
        <f t="shared" si="64"/>
        <v>0.33040085419226783</v>
      </c>
      <c r="BN79" s="10">
        <f t="shared" si="64"/>
        <v>0.32165935263816986</v>
      </c>
      <c r="BO79" s="10">
        <f t="shared" si="64"/>
        <v>0.31314104399117904</v>
      </c>
      <c r="BP79" s="10">
        <f t="shared" si="64"/>
        <v>0.3048412060954877</v>
      </c>
      <c r="BQ79" s="10">
        <f t="shared" si="64"/>
        <v>0.29675509803202421</v>
      </c>
      <c r="BR79" s="10">
        <f t="shared" si="64"/>
        <v>0.28887797700419193</v>
      </c>
      <c r="BS79" s="10">
        <f t="shared" si="64"/>
        <v>0.28120511299988371</v>
      </c>
      <c r="BT79" s="10">
        <f t="shared" si="64"/>
        <v>0.27373180146815596</v>
      </c>
      <c r="BU79" s="10">
        <f t="shared" si="64"/>
        <v>0.26645337422673415</v>
      </c>
      <c r="BV79" s="10">
        <f t="shared" si="64"/>
        <v>0.25936520879582631</v>
      </c>
      <c r="BW79" s="10">
        <f t="shared" si="64"/>
        <v>0.25246273633470739</v>
      </c>
      <c r="BX79" s="10">
        <f t="shared" ref="BX79:CK79" si="65">+(1+BX78)^(-BX2)</f>
        <v>0.24574144833996217</v>
      </c>
      <c r="BY79" s="10">
        <f t="shared" si="65"/>
        <v>0.23919690224819129</v>
      </c>
      <c r="BZ79" s="10">
        <f t="shared" si="65"/>
        <v>0.23282472607133251</v>
      </c>
      <c r="CA79" s="10">
        <f t="shared" si="65"/>
        <v>0.22662062217935525</v>
      </c>
      <c r="CB79" s="10">
        <f t="shared" si="65"/>
        <v>0.22058037033297662</v>
      </c>
      <c r="CC79" s="10">
        <f t="shared" si="65"/>
        <v>0.21469983005802756</v>
      </c>
      <c r="CD79" s="10">
        <f t="shared" si="65"/>
        <v>0.20897494244320555</v>
      </c>
      <c r="CE79" s="10">
        <f t="shared" si="65"/>
        <v>0.20340173143397397</v>
      </c>
      <c r="CF79" s="10">
        <f t="shared" si="65"/>
        <v>0.19797630468730451</v>
      </c>
      <c r="CG79" s="10">
        <f t="shared" si="65"/>
        <v>0.19269485404472234</v>
      </c>
      <c r="CH79" s="10">
        <f t="shared" si="65"/>
        <v>0.18755365567465584</v>
      </c>
      <c r="CI79" s="10">
        <f t="shared" si="65"/>
        <v>0.18254906992919592</v>
      </c>
      <c r="CJ79" s="10">
        <f t="shared" si="65"/>
        <v>0.17767754095524391</v>
      </c>
      <c r="CK79" s="10">
        <f t="shared" si="65"/>
        <v>0.17293559609535278</v>
      </c>
      <c r="CN79" s="2">
        <v>38</v>
      </c>
      <c r="CO79" s="14">
        <v>0.05</v>
      </c>
      <c r="CP79" s="14">
        <v>-4.608807697188559E-3</v>
      </c>
      <c r="CQ79" s="14">
        <v>-5.2232531712301349E-3</v>
      </c>
      <c r="CR79" s="14">
        <v>6.5843455131454876E-5</v>
      </c>
      <c r="CS79" s="14">
        <f t="shared" si="59"/>
        <v>4.0233782586712771E-2</v>
      </c>
    </row>
    <row r="80" spans="1:99" ht="15.75" x14ac:dyDescent="0.5">
      <c r="A80" s="36" t="s">
        <v>30</v>
      </c>
      <c r="B80" s="37">
        <v>0.05</v>
      </c>
      <c r="C80" s="38">
        <v>-4.6139503108037438E-2</v>
      </c>
      <c r="D80" s="41" t="s">
        <v>31</v>
      </c>
      <c r="E80" s="40" t="s">
        <v>31</v>
      </c>
      <c r="I80" s="19" t="s">
        <v>32</v>
      </c>
      <c r="J80" s="4" t="s">
        <v>33</v>
      </c>
      <c r="K80" s="4"/>
      <c r="L80" s="20"/>
      <c r="M80" s="20"/>
      <c r="N80" s="20">
        <f>L79/N79-1</f>
        <v>1.4554587126496266E-2</v>
      </c>
      <c r="O80" s="20">
        <f t="shared" ref="O80:BZ80" si="66">M79/O79-1</f>
        <v>1.5616380335399027E-2</v>
      </c>
      <c r="P80" s="20">
        <f t="shared" si="66"/>
        <v>1.6625259276050075E-2</v>
      </c>
      <c r="Q80" s="20">
        <f t="shared" si="66"/>
        <v>1.7894185769266935E-2</v>
      </c>
      <c r="R80" s="20">
        <f t="shared" si="66"/>
        <v>1.93544611524048E-2</v>
      </c>
      <c r="S80" s="20">
        <f t="shared" si="66"/>
        <v>2.094926790581475E-2</v>
      </c>
      <c r="T80" s="20">
        <f t="shared" si="66"/>
        <v>2.2631875442195915E-2</v>
      </c>
      <c r="U80" s="20">
        <f t="shared" si="66"/>
        <v>2.4364108595605449E-2</v>
      </c>
      <c r="V80" s="20">
        <f t="shared" si="66"/>
        <v>2.6115037690876752E-2</v>
      </c>
      <c r="W80" s="20">
        <f t="shared" si="66"/>
        <v>2.7859856659642412E-2</v>
      </c>
      <c r="X80" s="20">
        <f t="shared" si="66"/>
        <v>2.9578921561643323E-2</v>
      </c>
      <c r="Y80" s="20">
        <f t="shared" si="66"/>
        <v>3.1256926497437165E-2</v>
      </c>
      <c r="Z80" s="20">
        <f t="shared" si="66"/>
        <v>3.2882197575721417E-2</v>
      </c>
      <c r="AA80" s="20">
        <f t="shared" si="66"/>
        <v>3.4446088556885357E-2</v>
      </c>
      <c r="AB80" s="20">
        <f t="shared" si="66"/>
        <v>3.5942464204475222E-2</v>
      </c>
      <c r="AC80" s="20">
        <f t="shared" si="66"/>
        <v>3.7367259363763949E-2</v>
      </c>
      <c r="AD80" s="20">
        <f t="shared" si="66"/>
        <v>3.8718103444574714E-2</v>
      </c>
      <c r="AE80" s="20">
        <f t="shared" si="66"/>
        <v>3.9994001383014677E-2</v>
      </c>
      <c r="AF80" s="20">
        <f t="shared" si="66"/>
        <v>4.1195063345572436E-2</v>
      </c>
      <c r="AG80" s="20">
        <f t="shared" si="66"/>
        <v>4.2322276458060637E-2</v>
      </c>
      <c r="AH80" s="20">
        <f t="shared" si="66"/>
        <v>4.3377312720969563E-2</v>
      </c>
      <c r="AI80" s="20">
        <f t="shared" si="66"/>
        <v>4.4362368034838173E-2</v>
      </c>
      <c r="AJ80" s="20">
        <f t="shared" si="66"/>
        <v>4.5280027922323773E-2</v>
      </c>
      <c r="AK80" s="20">
        <f t="shared" si="66"/>
        <v>4.613315611213209E-2</v>
      </c>
      <c r="AL80" s="20">
        <f t="shared" si="66"/>
        <v>4.6924802655447628E-2</v>
      </c>
      <c r="AM80" s="20">
        <f t="shared" si="66"/>
        <v>4.7658128687743107E-2</v>
      </c>
      <c r="AN80" s="20">
        <f t="shared" si="66"/>
        <v>4.833634533571507E-2</v>
      </c>
      <c r="AO80" s="20">
        <f t="shared" si="66"/>
        <v>4.89626646075072E-2</v>
      </c>
      <c r="AP80" s="20">
        <f t="shared" si="66"/>
        <v>4.9540260400362524E-2</v>
      </c>
      <c r="AQ80" s="20">
        <f t="shared" si="66"/>
        <v>5.0072238018292303E-2</v>
      </c>
      <c r="AR80" s="20">
        <f t="shared" si="66"/>
        <v>5.0561610817809077E-2</v>
      </c>
      <c r="AS80" s="20">
        <f t="shared" si="66"/>
        <v>5.1011282796324942E-2</v>
      </c>
      <c r="AT80" s="20">
        <f t="shared" si="66"/>
        <v>5.1424036108679294E-2</v>
      </c>
      <c r="AU80" s="20">
        <f t="shared" si="66"/>
        <v>5.1802522645722382E-2</v>
      </c>
      <c r="AV80" s="20">
        <f t="shared" si="66"/>
        <v>5.2149258937655318E-2</v>
      </c>
      <c r="AW80" s="20">
        <f t="shared" si="66"/>
        <v>5.2466623756195707E-2</v>
      </c>
      <c r="AX80" s="20">
        <f t="shared" si="66"/>
        <v>5.2756857885791986E-2</v>
      </c>
      <c r="AY80" s="20">
        <f t="shared" si="66"/>
        <v>5.3022065617155834E-2</v>
      </c>
      <c r="AZ80" s="20">
        <f t="shared" si="66"/>
        <v>5.3264217587819296E-2</v>
      </c>
      <c r="BA80" s="20">
        <f t="shared" si="66"/>
        <v>5.3485154655444456E-2</v>
      </c>
      <c r="BB80" s="20">
        <f t="shared" si="66"/>
        <v>5.3686592542358857E-2</v>
      </c>
      <c r="BC80" s="20">
        <f t="shared" si="66"/>
        <v>5.3870127034521653E-2</v>
      </c>
      <c r="BD80" s="20">
        <f t="shared" si="66"/>
        <v>5.4037239556334216E-2</v>
      </c>
      <c r="BE80" s="20">
        <f t="shared" si="66"/>
        <v>5.4189302975266251E-2</v>
      </c>
      <c r="BF80" s="20">
        <f t="shared" si="66"/>
        <v>5.4327587517780662E-2</v>
      </c>
      <c r="BG80" s="20">
        <f t="shared" si="66"/>
        <v>5.4453266701384617E-2</v>
      </c>
      <c r="BH80" s="20">
        <f t="shared" si="66"/>
        <v>5.4567423207143806E-2</v>
      </c>
      <c r="BI80" s="20">
        <f t="shared" si="66"/>
        <v>5.4671054633635308E-2</v>
      </c>
      <c r="BJ80" s="20">
        <f t="shared" si="66"/>
        <v>5.4765079086895874E-2</v>
      </c>
      <c r="BK80" s="20">
        <f t="shared" si="66"/>
        <v>5.4850340572479839E-2</v>
      </c>
      <c r="BL80" s="20">
        <f t="shared" si="66"/>
        <v>5.4927614165250382E-2</v>
      </c>
      <c r="BM80" s="20">
        <f t="shared" si="66"/>
        <v>5.4997610940230812E-2</v>
      </c>
      <c r="BN80" s="20">
        <f t="shared" si="66"/>
        <v>5.5060982654307811E-2</v>
      </c>
      <c r="BO80" s="20">
        <f t="shared" si="66"/>
        <v>5.5118326173732024E-2</v>
      </c>
      <c r="BP80" s="20">
        <f t="shared" si="66"/>
        <v>5.5170187646528701E-2</v>
      </c>
      <c r="BQ80" s="20">
        <f t="shared" si="66"/>
        <v>5.521706642218005E-2</v>
      </c>
      <c r="BR80" s="20">
        <f t="shared" si="66"/>
        <v>5.5259418723581533E-2</v>
      </c>
      <c r="BS80" s="20">
        <f t="shared" si="66"/>
        <v>5.5297661078256954E-2</v>
      </c>
      <c r="BT80" s="20">
        <f t="shared" si="66"/>
        <v>5.5332173517288474E-2</v>
      </c>
      <c r="BU80" s="20">
        <f t="shared" si="66"/>
        <v>5.5363302551375559E-2</v>
      </c>
      <c r="BV80" s="20">
        <f t="shared" si="66"/>
        <v>5.53913639343937E-2</v>
      </c>
      <c r="BW80" s="20">
        <f t="shared" si="66"/>
        <v>5.541664522513301E-2</v>
      </c>
      <c r="BX80" s="20">
        <f t="shared" si="66"/>
        <v>5.5439408158028058E-2</v>
      </c>
      <c r="BY80" s="20">
        <f t="shared" si="66"/>
        <v>5.5459890834001824E-2</v>
      </c>
      <c r="BZ80" s="20">
        <f t="shared" si="66"/>
        <v>5.5478309742206022E-2</v>
      </c>
      <c r="CA80" s="20">
        <f t="shared" ref="CA80:CK80" si="67">BY79/CA79-1</f>
        <v>5.5494861623329061E-2</v>
      </c>
      <c r="CB80" s="20">
        <f t="shared" si="67"/>
        <v>5.5509725184849534E-2</v>
      </c>
      <c r="CC80" s="20">
        <f t="shared" si="67"/>
        <v>5.5523062678278778E-2</v>
      </c>
      <c r="CD80" s="20">
        <f t="shared" si="67"/>
        <v>5.5535021347954849E-2</v>
      </c>
      <c r="CE80" s="20">
        <f t="shared" si="67"/>
        <v>5.5545734760478416E-2</v>
      </c>
      <c r="CF80" s="20">
        <f t="shared" si="67"/>
        <v>5.5555324023614627E-2</v>
      </c>
      <c r="CG80" s="20">
        <f t="shared" si="67"/>
        <v>5.556389890290836E-2</v>
      </c>
      <c r="CH80" s="20">
        <f t="shared" si="67"/>
        <v>5.5571558843558577E-2</v>
      </c>
      <c r="CI80" s="20">
        <f t="shared" si="67"/>
        <v>5.5578393905055812E-2</v>
      </c>
      <c r="CJ80" s="20">
        <f t="shared" si="67"/>
        <v>5.5584485615431278E-2</v>
      </c>
      <c r="CK80" s="20">
        <f t="shared" si="67"/>
        <v>5.5589907751221412E-2</v>
      </c>
      <c r="CN80" s="2">
        <v>38.5</v>
      </c>
      <c r="CO80" s="14">
        <v>0.05</v>
      </c>
      <c r="CP80" s="14">
        <v>-4.5490266616307262E-3</v>
      </c>
      <c r="CQ80" s="14">
        <v>-5.1561602793089968E-3</v>
      </c>
      <c r="CR80" s="14">
        <v>6.4988345324552856E-5</v>
      </c>
      <c r="CS80" s="14">
        <f t="shared" si="59"/>
        <v>4.0359801404384832E-2</v>
      </c>
    </row>
    <row r="81" spans="1:97" ht="15.75" x14ac:dyDescent="0.5">
      <c r="A81" s="36" t="s">
        <v>34</v>
      </c>
      <c r="B81" s="37">
        <v>-0.05</v>
      </c>
      <c r="C81" s="38">
        <v>3.5371483339580803E-3</v>
      </c>
      <c r="D81" s="41">
        <v>8.08</v>
      </c>
      <c r="E81" s="40">
        <f>SQRT(SUMSQ(E3:E67)/COUNT(E3:E67))</f>
        <v>0.4592072336862727</v>
      </c>
      <c r="J81" s="4" t="s">
        <v>35</v>
      </c>
      <c r="K81" s="4"/>
      <c r="N81" s="14">
        <f>'NSS Corporate'!N80-N80</f>
        <v>3.8507625787416178E-3</v>
      </c>
      <c r="O81" s="14">
        <f>'NSS Corporate'!O80-O80</f>
        <v>5.0934518589456079E-3</v>
      </c>
      <c r="P81" s="14">
        <f>'NSS Corporate'!P80-P80</f>
        <v>5.8554488424598095E-3</v>
      </c>
      <c r="Q81" s="14">
        <f>'NSS Corporate'!Q80-Q80</f>
        <v>6.2720590476241789E-3</v>
      </c>
      <c r="R81" s="14">
        <f>'NSS Corporate'!R80-R80</f>
        <v>6.4152642156258821E-3</v>
      </c>
      <c r="S81" s="14">
        <f>'NSS Corporate'!S80-S80</f>
        <v>6.3450579214971992E-3</v>
      </c>
      <c r="T81" s="14">
        <f>'NSS Corporate'!T80-T80</f>
        <v>6.1112423475606636E-3</v>
      </c>
      <c r="U81" s="14">
        <f>'NSS Corporate'!U80-U80</f>
        <v>5.754962366810723E-3</v>
      </c>
      <c r="V81" s="14">
        <f>'NSS Corporate'!V80-V80</f>
        <v>5.3100180476521874E-3</v>
      </c>
      <c r="W81" s="14">
        <f>'NSS Corporate'!W80-W80</f>
        <v>4.8039891067399587E-3</v>
      </c>
      <c r="X81" s="14">
        <f>'NSS Corporate'!X80-X80</f>
        <v>4.2591989449864975E-3</v>
      </c>
      <c r="Y81" s="14">
        <f>'NSS Corporate'!Y80-Y80</f>
        <v>3.6935412750209728E-3</v>
      </c>
      <c r="Z81" s="14">
        <f>'NSS Corporate'!Z80-Z80</f>
        <v>3.1211886719215709E-3</v>
      </c>
      <c r="AA81" s="14">
        <f>'NSS Corporate'!AA80-AA80</f>
        <v>2.5531994212770748E-3</v>
      </c>
      <c r="AB81" s="14">
        <f>'NSS Corporate'!AB80-AB80</f>
        <v>1.9980366290166529E-3</v>
      </c>
      <c r="AC81" s="14">
        <f>'NSS Corporate'!AC80-AC80</f>
        <v>1.4620115704622183E-3</v>
      </c>
      <c r="AD81" s="14">
        <f>'NSS Corporate'!AD80-AD80</f>
        <v>9.4966159857734489E-4</v>
      </c>
      <c r="AE81" s="14">
        <f>'NSS Corporate'!AE80-AE80</f>
        <v>4.6407153423277947E-4</v>
      </c>
      <c r="AF81" s="14">
        <f>'NSS Corporate'!AF80-AF80</f>
        <v>7.1462729043236806E-6</v>
      </c>
      <c r="AG81" s="14">
        <f>'NSS Corporate'!AG80-AG80</f>
        <v>-4.2015867650269101E-4</v>
      </c>
      <c r="AH81" s="14">
        <f>'NSS Corporate'!AH80-AH80</f>
        <v>-8.1764288369390314E-4</v>
      </c>
      <c r="AI81" s="14">
        <f>'NSS Corporate'!AI80-AI80</f>
        <v>-1.185697844790834E-3</v>
      </c>
      <c r="AJ81" s="14">
        <f>'NSS Corporate'!AJ80-AJ80</f>
        <v>-1.5251705735164212E-3</v>
      </c>
      <c r="AK81" s="14">
        <f>'NSS Corporate'!AK80-AK80</f>
        <v>-1.8372501016157283E-3</v>
      </c>
      <c r="AL81" s="14">
        <f>'NSS Corporate'!AL80-AL80</f>
        <v>-2.1233735597716574E-3</v>
      </c>
      <c r="AM81" s="14">
        <f>'NSS Corporate'!AM80-AM80</f>
        <v>-2.3851489521868885E-3</v>
      </c>
      <c r="AN81" s="14">
        <f>'NSS Corporate'!AN80-AN80</f>
        <v>-2.6242921247694451E-3</v>
      </c>
      <c r="AO81" s="14">
        <f>'NSS Corporate'!AO80-AO80</f>
        <v>-2.8425757651204808E-3</v>
      </c>
      <c r="AP81" s="14">
        <f>'NSS Corporate'!AP80-AP80</f>
        <v>-3.0417885683711177E-3</v>
      </c>
      <c r="AQ81" s="14">
        <f>'NSS Corporate'!AQ80-AQ80</f>
        <v>-3.2237029612536272E-3</v>
      </c>
      <c r="AR81" s="14">
        <f>'NSS Corporate'!AR80-AR80</f>
        <v>-3.3900500020860314E-3</v>
      </c>
      <c r="AS81" s="14">
        <f>'NSS Corporate'!AS80-AS80</f>
        <v>-3.5425002708999731E-3</v>
      </c>
      <c r="AT81" s="14">
        <f>'NSS Corporate'!AT80-AT80</f>
        <v>-3.6826497346622578E-3</v>
      </c>
      <c r="AU81" s="14">
        <f>'NSS Corporate'!AU80-AU80</f>
        <v>-3.8120097209419779E-3</v>
      </c>
      <c r="AV81" s="14">
        <f>'NSS Corporate'!AV80-AV80</f>
        <v>-3.9320002620815142E-3</v>
      </c>
      <c r="AW81" s="14">
        <f>'NSS Corporate'!AW80-AW80</f>
        <v>-4.0439461832522117E-3</v>
      </c>
      <c r="AX81" s="14">
        <f>'NSS Corporate'!AX80-AX80</f>
        <v>-4.1490754039488209E-3</v>
      </c>
      <c r="AY81" s="14">
        <f>'NSS Corporate'!AY80-AY80</f>
        <v>-4.2485190052992117E-3</v>
      </c>
      <c r="AZ81" s="14">
        <f>'NSS Corporate'!AZ80-AZ80</f>
        <v>-4.3433126871381678E-3</v>
      </c>
      <c r="BA81" s="14">
        <f>'NSS Corporate'!BA80-BA80</f>
        <v>-4.4343992998259196E-3</v>
      </c>
      <c r="BB81" s="14">
        <f>'NSS Corporate'!BB80-BB80</f>
        <v>-4.5226321882785303E-3</v>
      </c>
      <c r="BC81" s="14">
        <f>'NSS Corporate'!BC80-BC80</f>
        <v>-4.6087791305691184E-3</v>
      </c>
      <c r="BD81" s="14">
        <f>'NSS Corporate'!BD80-BD80</f>
        <v>-4.693526691772032E-3</v>
      </c>
      <c r="BE81" s="14">
        <f>'NSS Corporate'!BE80-BE80</f>
        <v>-4.7774848458927988E-3</v>
      </c>
      <c r="BF81" s="14">
        <f>'NSS Corporate'!BF80-BF80</f>
        <v>-4.8611917466285792E-3</v>
      </c>
      <c r="BG81" s="14">
        <f>'NSS Corporate'!BG80-BG80</f>
        <v>-4.9451185508095907E-3</v>
      </c>
      <c r="BH81" s="14">
        <f>'NSS Corporate'!BH80-BH80</f>
        <v>-5.0296742179287701E-3</v>
      </c>
      <c r="BI81" s="14">
        <f>'NSS Corporate'!BI80-BI80</f>
        <v>-5.1152102259168775E-3</v>
      </c>
      <c r="BJ81" s="14">
        <f>'NSS Corporate'!BJ80-BJ80</f>
        <v>-5.2020251566471387E-3</v>
      </c>
      <c r="BK81" s="14">
        <f>'NSS Corporate'!BK80-BK80</f>
        <v>-5.2903691166057421E-3</v>
      </c>
      <c r="BL81" s="14">
        <f>'NSS Corporate'!BL80-BL80</f>
        <v>-5.3804479672798777E-3</v>
      </c>
      <c r="BM81" s="14">
        <f>'NSS Corporate'!BM80-BM80</f>
        <v>-5.4724273477513297E-3</v>
      </c>
      <c r="BN81" s="14">
        <f>'NSS Corporate'!BN80-BN80</f>
        <v>-5.5664364785130704E-3</v>
      </c>
      <c r="BO81" s="14">
        <f>'NSS Corporate'!BO80-BO80</f>
        <v>-5.6625717404570342E-3</v>
      </c>
      <c r="BP81" s="14">
        <f>'NSS Corporate'!BP80-BP80</f>
        <v>-5.7609000273932676E-3</v>
      </c>
      <c r="BQ81" s="14">
        <f>'NSS Corporate'!BQ80-BQ80</f>
        <v>-5.8614618736059221E-3</v>
      </c>
      <c r="BR81" s="14">
        <f>'NSS Corporate'!BR80-BR80</f>
        <v>-5.964274360620303E-3</v>
      </c>
      <c r="BS81" s="14">
        <f>'NSS Corporate'!BS80-BS80</f>
        <v>-6.0693338093653626E-3</v>
      </c>
      <c r="BT81" s="14">
        <f>'NSS Corporate'!BT80-BT80</f>
        <v>-6.1766182654243718E-3</v>
      </c>
      <c r="BU81" s="14">
        <f>'NSS Corporate'!BU80-BU80</f>
        <v>-6.2860897860139708E-3</v>
      </c>
      <c r="BV81" s="14">
        <f>'NSS Corporate'!BV80-BV80</f>
        <v>-6.3976965382415152E-3</v>
      </c>
      <c r="BW81" s="14">
        <f>'NSS Corporate'!BW80-BW80</f>
        <v>-6.5113747187171001E-3</v>
      </c>
      <c r="BX81" s="14">
        <f>'NSS Corporate'!BX80-BX80</f>
        <v>-6.627050304497395E-3</v>
      </c>
      <c r="BY81" s="14">
        <f>'NSS Corporate'!BY80-BY80</f>
        <v>-6.7446406457791763E-3</v>
      </c>
      <c r="BZ81" s="14">
        <f>'NSS Corporate'!BZ80-BZ80</f>
        <v>-6.8640559105892507E-3</v>
      </c>
      <c r="CA81" s="14">
        <f>'NSS Corporate'!CA80-CA80</f>
        <v>-6.9852003912682648E-3</v>
      </c>
      <c r="CB81" s="14">
        <f>'NSS Corporate'!CB80-CB80</f>
        <v>-7.1079736825923057E-3</v>
      </c>
      <c r="CC81" s="14">
        <f>'NSS Corporate'!CC80-CC80</f>
        <v>-7.2322717409518678E-3</v>
      </c>
      <c r="CD81" s="14">
        <f>'NSS Corporate'!CD80-CD80</f>
        <v>-7.3579878335017224E-3</v>
      </c>
      <c r="CE81" s="14">
        <f>'NSS Corporate'!CE80-CE80</f>
        <v>-7.4850133857202739E-3</v>
      </c>
      <c r="CF81" s="14">
        <f>'NSS Corporate'!CF80-CF80</f>
        <v>-7.6132387357283893E-3</v>
      </c>
      <c r="CG81" s="14">
        <f>'NSS Corporate'!CG80-CG80</f>
        <v>-7.7425538029802787E-3</v>
      </c>
      <c r="CH81" s="14">
        <f>'NSS Corporate'!CH80-CH80</f>
        <v>-7.872848678267097E-3</v>
      </c>
      <c r="CI81" s="14">
        <f>'NSS Corporate'!CI80-CI80</f>
        <v>-8.0040141421873212E-3</v>
      </c>
      <c r="CJ81" s="14">
        <f>'NSS Corporate'!CJ80-CJ80</f>
        <v>-8.1359421181441682E-3</v>
      </c>
      <c r="CK81" s="14">
        <f>'NSS Corporate'!CK80-CK80</f>
        <v>-8.2685260657184845E-3</v>
      </c>
      <c r="CN81" s="2">
        <v>39</v>
      </c>
      <c r="CO81" s="14">
        <v>0.05</v>
      </c>
      <c r="CP81" s="14">
        <v>-4.4907705104180583E-3</v>
      </c>
      <c r="CQ81" s="14">
        <v>-5.090716021286132E-3</v>
      </c>
      <c r="CR81" s="14">
        <v>6.4155161410135513E-5</v>
      </c>
      <c r="CS81" s="14">
        <f t="shared" si="59"/>
        <v>4.0482668629705947E-2</v>
      </c>
    </row>
    <row r="82" spans="1:97" ht="14.65" x14ac:dyDescent="0.45">
      <c r="A82" s="36" t="s">
        <v>36</v>
      </c>
      <c r="B82" s="43">
        <v>5</v>
      </c>
      <c r="C82" s="44">
        <v>4.3080620531561635</v>
      </c>
      <c r="D82" s="41" t="s">
        <v>37</v>
      </c>
      <c r="E82" s="40" t="s">
        <v>37</v>
      </c>
      <c r="J82" s="4" t="s">
        <v>251</v>
      </c>
      <c r="K82" s="4"/>
      <c r="N82" s="20">
        <f t="shared" ref="N82:AS82" si="68">(((1+N78)^N2)/((1+L78)^L2))^(1/(N2-L2))-1</f>
        <v>1.4554587126496266E-2</v>
      </c>
      <c r="O82" s="20">
        <f t="shared" si="68"/>
        <v>1.5616380335399027E-2</v>
      </c>
      <c r="P82" s="20">
        <f t="shared" si="68"/>
        <v>1.6625259276050297E-2</v>
      </c>
      <c r="Q82" s="20">
        <f t="shared" si="68"/>
        <v>1.7894185769266935E-2</v>
      </c>
      <c r="R82" s="20">
        <f t="shared" si="68"/>
        <v>1.93544611524048E-2</v>
      </c>
      <c r="S82" s="20">
        <f t="shared" si="68"/>
        <v>2.094926790581475E-2</v>
      </c>
      <c r="T82" s="20">
        <f t="shared" si="68"/>
        <v>2.2631875442195692E-2</v>
      </c>
      <c r="U82" s="20">
        <f t="shared" si="68"/>
        <v>2.4364108595605227E-2</v>
      </c>
      <c r="V82" s="20">
        <f t="shared" si="68"/>
        <v>2.611503769087653E-2</v>
      </c>
      <c r="W82" s="20">
        <f t="shared" si="68"/>
        <v>2.7859856659642634E-2</v>
      </c>
      <c r="X82" s="20">
        <f t="shared" si="68"/>
        <v>2.9578921561643323E-2</v>
      </c>
      <c r="Y82" s="20">
        <f t="shared" si="68"/>
        <v>3.1256926497436943E-2</v>
      </c>
      <c r="Z82" s="20">
        <f t="shared" si="68"/>
        <v>3.2882197575721195E-2</v>
      </c>
      <c r="AA82" s="20">
        <f t="shared" si="68"/>
        <v>3.4446088556885357E-2</v>
      </c>
      <c r="AB82" s="20">
        <f t="shared" si="68"/>
        <v>3.5942464204475222E-2</v>
      </c>
      <c r="AC82" s="20">
        <f t="shared" si="68"/>
        <v>3.7367259363763949E-2</v>
      </c>
      <c r="AD82" s="20">
        <f t="shared" si="68"/>
        <v>3.8718103444574714E-2</v>
      </c>
      <c r="AE82" s="20">
        <f t="shared" si="68"/>
        <v>3.9994001383014677E-2</v>
      </c>
      <c r="AF82" s="20">
        <f t="shared" si="68"/>
        <v>4.1195063345572436E-2</v>
      </c>
      <c r="AG82" s="20">
        <f t="shared" si="68"/>
        <v>4.2322276458060637E-2</v>
      </c>
      <c r="AH82" s="20">
        <f t="shared" si="68"/>
        <v>4.3377312720969563E-2</v>
      </c>
      <c r="AI82" s="20">
        <f t="shared" si="68"/>
        <v>4.4362368034838173E-2</v>
      </c>
      <c r="AJ82" s="20">
        <f t="shared" si="68"/>
        <v>4.5280027922323773E-2</v>
      </c>
      <c r="AK82" s="20">
        <f t="shared" si="68"/>
        <v>4.613315611213209E-2</v>
      </c>
      <c r="AL82" s="20">
        <f t="shared" si="68"/>
        <v>4.6924802655447628E-2</v>
      </c>
      <c r="AM82" s="20">
        <f t="shared" si="68"/>
        <v>4.7658128687743107E-2</v>
      </c>
      <c r="AN82" s="20">
        <f t="shared" si="68"/>
        <v>4.833634533571507E-2</v>
      </c>
      <c r="AO82" s="20">
        <f t="shared" si="68"/>
        <v>4.8962664607507422E-2</v>
      </c>
      <c r="AP82" s="20">
        <f t="shared" si="68"/>
        <v>4.9540260400362301E-2</v>
      </c>
      <c r="AQ82" s="20">
        <f t="shared" si="68"/>
        <v>5.0072238018292303E-2</v>
      </c>
      <c r="AR82" s="20">
        <f t="shared" si="68"/>
        <v>5.0561610817809077E-2</v>
      </c>
      <c r="AS82" s="20">
        <f t="shared" si="68"/>
        <v>5.1011282796324942E-2</v>
      </c>
      <c r="AT82" s="20">
        <f t="shared" ref="AT82:BY82" si="69">(((1+AT78)^AT2)/((1+AR78)^AR2))^(1/(AT2-AR2))-1</f>
        <v>5.1424036108679072E-2</v>
      </c>
      <c r="AU82" s="20">
        <f t="shared" si="69"/>
        <v>5.1802522645722382E-2</v>
      </c>
      <c r="AV82" s="20">
        <f t="shared" si="69"/>
        <v>5.2149258937655318E-2</v>
      </c>
      <c r="AW82" s="20">
        <f t="shared" si="69"/>
        <v>5.2466623756195929E-2</v>
      </c>
      <c r="AX82" s="20">
        <f t="shared" si="69"/>
        <v>5.2756857885792208E-2</v>
      </c>
      <c r="AY82" s="20">
        <f t="shared" si="69"/>
        <v>5.3022065617155612E-2</v>
      </c>
      <c r="AZ82" s="20">
        <f t="shared" si="69"/>
        <v>5.3264217587819296E-2</v>
      </c>
      <c r="BA82" s="20">
        <f t="shared" si="69"/>
        <v>5.3485154655444456E-2</v>
      </c>
      <c r="BB82" s="20">
        <f t="shared" si="69"/>
        <v>5.368659254235908E-2</v>
      </c>
      <c r="BC82" s="20">
        <f t="shared" si="69"/>
        <v>5.3870127034521653E-2</v>
      </c>
      <c r="BD82" s="20">
        <f t="shared" si="69"/>
        <v>5.4037239556333994E-2</v>
      </c>
      <c r="BE82" s="20">
        <f t="shared" si="69"/>
        <v>5.4189302975266251E-2</v>
      </c>
      <c r="BF82" s="20">
        <f t="shared" si="69"/>
        <v>5.4327587517780662E-2</v>
      </c>
      <c r="BG82" s="20">
        <f t="shared" si="69"/>
        <v>5.4453266701384617E-2</v>
      </c>
      <c r="BH82" s="20">
        <f t="shared" si="69"/>
        <v>5.4567423207143806E-2</v>
      </c>
      <c r="BI82" s="20">
        <f t="shared" si="69"/>
        <v>5.4671054633635308E-2</v>
      </c>
      <c r="BJ82" s="20">
        <f t="shared" si="69"/>
        <v>5.4765079086895874E-2</v>
      </c>
      <c r="BK82" s="20">
        <f t="shared" si="69"/>
        <v>5.4850340572480061E-2</v>
      </c>
      <c r="BL82" s="20">
        <f t="shared" si="69"/>
        <v>5.4927614165250604E-2</v>
      </c>
      <c r="BM82" s="20">
        <f t="shared" si="69"/>
        <v>5.4997610940230812E-2</v>
      </c>
      <c r="BN82" s="20">
        <f t="shared" si="69"/>
        <v>5.5060982654307811E-2</v>
      </c>
      <c r="BO82" s="20">
        <f t="shared" si="69"/>
        <v>5.5118326173732024E-2</v>
      </c>
      <c r="BP82" s="20">
        <f t="shared" si="69"/>
        <v>5.5170187646528479E-2</v>
      </c>
      <c r="BQ82" s="20">
        <f t="shared" si="69"/>
        <v>5.521706642218005E-2</v>
      </c>
      <c r="BR82" s="20">
        <f t="shared" si="69"/>
        <v>5.5259418723581311E-2</v>
      </c>
      <c r="BS82" s="20">
        <f t="shared" si="69"/>
        <v>5.5297661078256732E-2</v>
      </c>
      <c r="BT82" s="20">
        <f t="shared" si="69"/>
        <v>5.5332173517288696E-2</v>
      </c>
      <c r="BU82" s="20">
        <f t="shared" si="69"/>
        <v>5.5363302551375559E-2</v>
      </c>
      <c r="BV82" s="20">
        <f t="shared" si="69"/>
        <v>5.53913639343937E-2</v>
      </c>
      <c r="BW82" s="20">
        <f t="shared" si="69"/>
        <v>5.5416645225132788E-2</v>
      </c>
      <c r="BX82" s="20">
        <f t="shared" si="69"/>
        <v>5.5439408158028058E-2</v>
      </c>
      <c r="BY82" s="20">
        <f t="shared" si="69"/>
        <v>5.5459890834001824E-2</v>
      </c>
      <c r="BZ82" s="20">
        <f t="shared" ref="BZ82:CK82" si="70">(((1+BZ78)^BZ2)/((1+BX78)^BX2))^(1/(BZ2-BX2))-1</f>
        <v>5.5478309742206022E-2</v>
      </c>
      <c r="CA82" s="20">
        <f t="shared" si="70"/>
        <v>5.5494861623329061E-2</v>
      </c>
      <c r="CB82" s="20">
        <f t="shared" si="70"/>
        <v>5.5509725184849756E-2</v>
      </c>
      <c r="CC82" s="20">
        <f t="shared" si="70"/>
        <v>5.5523062678278778E-2</v>
      </c>
      <c r="CD82" s="20">
        <f t="shared" si="70"/>
        <v>5.5535021347954849E-2</v>
      </c>
      <c r="CE82" s="20">
        <f t="shared" si="70"/>
        <v>5.5545734760478416E-2</v>
      </c>
      <c r="CF82" s="20">
        <f t="shared" si="70"/>
        <v>5.5555324023614627E-2</v>
      </c>
      <c r="CG82" s="20">
        <f t="shared" si="70"/>
        <v>5.556389890290836E-2</v>
      </c>
      <c r="CH82" s="20">
        <f t="shared" si="70"/>
        <v>5.5571558843558577E-2</v>
      </c>
      <c r="CI82" s="20">
        <f t="shared" si="70"/>
        <v>5.5578393905055812E-2</v>
      </c>
      <c r="CJ82" s="20">
        <f t="shared" si="70"/>
        <v>5.5584485615431278E-2</v>
      </c>
      <c r="CK82" s="20">
        <f t="shared" si="70"/>
        <v>5.558990775122119E-2</v>
      </c>
      <c r="CN82" s="2">
        <v>39.5</v>
      </c>
      <c r="CO82" s="14">
        <v>0.05</v>
      </c>
      <c r="CP82" s="14">
        <v>-4.4339821980561534E-3</v>
      </c>
      <c r="CQ82" s="14">
        <v>-5.0268646258474501E-3</v>
      </c>
      <c r="CR82" s="14">
        <v>6.3343070759374292E-5</v>
      </c>
      <c r="CS82" s="14">
        <f t="shared" si="59"/>
        <v>4.0602496246855774E-2</v>
      </c>
    </row>
    <row r="83" spans="1:97" ht="14.65" x14ac:dyDescent="0.45">
      <c r="A83" s="36" t="s">
        <v>38</v>
      </c>
      <c r="B83" s="43">
        <v>10</v>
      </c>
      <c r="C83" s="44">
        <v>0.70736397198120371</v>
      </c>
      <c r="D83" s="41">
        <v>6895.43</v>
      </c>
      <c r="E83" s="40">
        <f>SQRT(SUMSQ(I3:I67)/COUNT(I3:I67))*1000000</f>
        <v>936.42086524622016</v>
      </c>
      <c r="AY83" s="14"/>
      <c r="CN83" s="2">
        <v>40</v>
      </c>
      <c r="CO83" s="14">
        <v>0.05</v>
      </c>
      <c r="CP83" s="14">
        <v>-4.3786074381019658E-3</v>
      </c>
      <c r="CQ83" s="14">
        <v>-4.9645524703962312E-3</v>
      </c>
      <c r="CR83" s="14">
        <v>6.2551282374882121E-5</v>
      </c>
      <c r="CS83" s="14">
        <f t="shared" si="59"/>
        <v>4.0719391373876687E-2</v>
      </c>
    </row>
    <row r="84" spans="1:97" x14ac:dyDescent="0.45">
      <c r="D84" s="41" t="s">
        <v>252</v>
      </c>
      <c r="E84" s="40" t="s">
        <v>252</v>
      </c>
      <c r="CN84" s="2">
        <v>40.5</v>
      </c>
      <c r="CO84" s="14">
        <v>0.05</v>
      </c>
      <c r="CP84" s="14">
        <v>-4.3245945429412408E-3</v>
      </c>
      <c r="CQ84" s="14">
        <v>-4.9037280068672008E-3</v>
      </c>
      <c r="CR84" s="14">
        <v>6.1779044320871239E-5</v>
      </c>
      <c r="CS84" s="14">
        <f t="shared" si="59"/>
        <v>4.0833456494512428E-2</v>
      </c>
    </row>
    <row r="85" spans="1:97" x14ac:dyDescent="0.45">
      <c r="D85" s="41">
        <v>6293.98</v>
      </c>
      <c r="E85" s="40" cm="1">
        <f t="array" ref="E85">AVERAGE(ABS(G3:G66-H3:H66))*1000000</f>
        <v>632.08316494586109</v>
      </c>
      <c r="CN85" s="2">
        <v>41</v>
      </c>
      <c r="CO85" s="14">
        <v>0.05</v>
      </c>
      <c r="CP85" s="14">
        <v>-4.2718942741974747E-3</v>
      </c>
      <c r="CQ85" s="14">
        <v>-4.8443416878107097E-3</v>
      </c>
      <c r="CR85" s="14">
        <v>6.1025641341348416E-5</v>
      </c>
      <c r="CS85" s="14">
        <f t="shared" si="59"/>
        <v>4.0944789679333168E-2</v>
      </c>
    </row>
    <row r="86" spans="1:97" x14ac:dyDescent="0.45">
      <c r="CN86" s="2">
        <v>41.5</v>
      </c>
      <c r="CO86" s="14">
        <v>0.05</v>
      </c>
      <c r="CP86" s="14">
        <v>-4.2204597029939662E-3</v>
      </c>
      <c r="CQ86" s="14">
        <v>-4.786345893156115E-3</v>
      </c>
      <c r="CR86" s="14">
        <v>6.0290392650488784E-5</v>
      </c>
      <c r="CS86" s="14">
        <f t="shared" si="59"/>
        <v>4.1053484796500408E-2</v>
      </c>
    </row>
    <row r="87" spans="1:97" x14ac:dyDescent="0.45">
      <c r="CN87" s="2">
        <v>42</v>
      </c>
      <c r="CO87" s="14">
        <v>0.05</v>
      </c>
      <c r="CP87" s="14">
        <v>-4.1702460793519103E-3</v>
      </c>
      <c r="CQ87" s="14">
        <v>-4.7296948579914509E-3</v>
      </c>
      <c r="CR87" s="14">
        <v>5.9572649880840113E-5</v>
      </c>
      <c r="CS87" s="14">
        <f t="shared" si="59"/>
        <v>4.1159631712537482E-2</v>
      </c>
    </row>
    <row r="88" spans="1:97" x14ac:dyDescent="0.45">
      <c r="CN88" s="2">
        <v>42.5</v>
      </c>
      <c r="CO88" s="14">
        <v>0.05</v>
      </c>
      <c r="CP88" s="14">
        <v>-4.1212107100636703E-3</v>
      </c>
      <c r="CQ88" s="14">
        <v>-4.6743446016341604E-3</v>
      </c>
      <c r="CR88" s="14">
        <v>5.8871795176359646E-5</v>
      </c>
      <c r="CS88" s="14">
        <f t="shared" si="59"/>
        <v>4.1263316483478529E-2</v>
      </c>
    </row>
    <row r="89" spans="1:97" x14ac:dyDescent="0.45">
      <c r="CN89" s="2">
        <v>43</v>
      </c>
      <c r="CO89" s="14">
        <v>0.05</v>
      </c>
      <c r="CP89" s="14">
        <v>-4.073312844431954E-3</v>
      </c>
      <c r="CQ89" s="14">
        <v>-4.6202528582139028E-3</v>
      </c>
      <c r="CR89" s="14">
        <v>5.8187239418494996E-5</v>
      </c>
      <c r="CS89" s="14">
        <f t="shared" si="59"/>
        <v>4.1364621536772644E-2</v>
      </c>
    </row>
    <row r="90" spans="1:97" x14ac:dyDescent="0.45">
      <c r="CN90" s="2">
        <v>43.5</v>
      </c>
      <c r="CO90" s="14">
        <v>0.05</v>
      </c>
      <c r="CP90" s="14">
        <v>-4.0265135673129091E-3</v>
      </c>
      <c r="CQ90" s="14">
        <v>-4.5673790089421256E-3</v>
      </c>
      <c r="CR90" s="14">
        <v>5.751842057460425E-5</v>
      </c>
      <c r="CS90" s="14">
        <f t="shared" si="59"/>
        <v>4.146362584431957E-2</v>
      </c>
    </row>
    <row r="91" spans="1:97" x14ac:dyDescent="0.45">
      <c r="CN91" s="2">
        <v>44</v>
      </c>
      <c r="CO91" s="14">
        <v>0.05</v>
      </c>
      <c r="CP91" s="14">
        <v>-3.98077569894454E-3</v>
      </c>
      <c r="CQ91" s="14">
        <v>-4.5156840162033293E-3</v>
      </c>
      <c r="CR91" s="14">
        <v>5.6864802158983751E-5</v>
      </c>
      <c r="CS91" s="14">
        <f t="shared" si="59"/>
        <v>4.1560405087011115E-2</v>
      </c>
    </row>
    <row r="92" spans="1:97" x14ac:dyDescent="0.45">
      <c r="CN92" s="2">
        <v>44.5</v>
      </c>
      <c r="CO92" s="14">
        <v>0.05</v>
      </c>
      <c r="CP92" s="14">
        <v>-3.9360637010817578E-3</v>
      </c>
      <c r="CQ92" s="14">
        <v>-4.4651303595689175E-3</v>
      </c>
      <c r="CR92" s="14">
        <v>5.6225871797646848E-5</v>
      </c>
      <c r="CS92" s="14">
        <f t="shared" si="59"/>
        <v>4.1655031811146971E-2</v>
      </c>
    </row>
    <row r="93" spans="1:97" x14ac:dyDescent="0.45">
      <c r="CN93" s="2">
        <v>45</v>
      </c>
      <c r="CO93" s="14">
        <v>0.05</v>
      </c>
      <c r="CP93" s="14">
        <v>-3.8923435889958889E-3</v>
      </c>
      <c r="CQ93" s="14">
        <v>-4.415681973805455E-3</v>
      </c>
      <c r="CR93" s="14">
        <v>5.5601139888784101E-5</v>
      </c>
      <c r="CS93" s="14">
        <f t="shared" si="59"/>
        <v>4.1747575577087442E-2</v>
      </c>
    </row>
    <row r="94" spans="1:97" x14ac:dyDescent="0.45">
      <c r="CN94" s="2">
        <v>45.5</v>
      </c>
      <c r="CO94" s="14">
        <v>0.05</v>
      </c>
      <c r="CP94" s="14">
        <v>-3.8495828489301894E-3</v>
      </c>
      <c r="CQ94" s="14">
        <v>-4.3673041889244774E-3</v>
      </c>
      <c r="CR94" s="14">
        <v>5.4990138351544726E-5</v>
      </c>
      <c r="CS94" s="14">
        <f t="shared" si="59"/>
        <v>4.1838103100496883E-2</v>
      </c>
    </row>
    <row r="95" spans="1:97" x14ac:dyDescent="0.45">
      <c r="CN95" s="2">
        <v>46</v>
      </c>
      <c r="CO95" s="14">
        <v>0.05</v>
      </c>
      <c r="CP95" s="14">
        <v>-3.8077503606337203E-3</v>
      </c>
      <c r="CQ95" s="14">
        <v>-4.319963672300085E-3</v>
      </c>
      <c r="CR95" s="14">
        <v>5.4392419456419248E-5</v>
      </c>
      <c r="CS95" s="14">
        <f t="shared" si="59"/>
        <v>4.1926678386522614E-2</v>
      </c>
    </row>
    <row r="96" spans="1:97" x14ac:dyDescent="0.45">
      <c r="CN96" s="2">
        <v>46.5</v>
      </c>
      <c r="CO96" s="14">
        <v>0.05</v>
      </c>
      <c r="CP96" s="14">
        <v>-3.7668163246244242E-3</v>
      </c>
      <c r="CQ96" s="14">
        <v>-4.2736283728629842E-3</v>
      </c>
      <c r="CR96" s="14">
        <v>5.3807554731081405E-5</v>
      </c>
      <c r="CS96" s="14">
        <f t="shared" si="59"/>
        <v>4.2013362857243677E-2</v>
      </c>
    </row>
    <row r="97" spans="50:97" x14ac:dyDescent="0.45">
      <c r="AY97" s="2" t="s">
        <v>26</v>
      </c>
      <c r="AZ97" s="2" t="s">
        <v>33</v>
      </c>
      <c r="CN97" s="2">
        <v>47</v>
      </c>
      <c r="CO97" s="14">
        <v>0.05</v>
      </c>
      <c r="CP97" s="14">
        <v>-3.7267521938583524E-3</v>
      </c>
      <c r="CQ97" s="14">
        <v>-4.2282674673649323E-3</v>
      </c>
      <c r="CR97" s="14">
        <v>5.3235133936069884E-5</v>
      </c>
      <c r="CS97" s="14">
        <f t="shared" si="59"/>
        <v>4.2098215472712787E-2</v>
      </c>
    </row>
    <row r="98" spans="50:97" x14ac:dyDescent="0.45">
      <c r="AX98" s="2">
        <f>M2</f>
        <v>1</v>
      </c>
      <c r="AY98" s="14">
        <f>M78</f>
        <v>1.4725990403566053E-2</v>
      </c>
      <c r="AZ98" s="14">
        <f>N80</f>
        <v>1.4554587126496266E-2</v>
      </c>
      <c r="CN98" s="2">
        <v>47.5</v>
      </c>
      <c r="CO98" s="14">
        <v>0.05</v>
      </c>
      <c r="CP98" s="14">
        <v>-3.6875306095060156E-3</v>
      </c>
      <c r="CQ98" s="14">
        <v>-4.1838513086952739E-3</v>
      </c>
      <c r="CR98" s="14">
        <v>5.2674764105163891E-5</v>
      </c>
      <c r="CS98" s="14">
        <f t="shared" si="59"/>
        <v>4.2181292845903877E-2</v>
      </c>
    </row>
    <row r="99" spans="50:97" x14ac:dyDescent="0.45">
      <c r="AX99" s="2">
        <f>U2</f>
        <v>5</v>
      </c>
      <c r="AY99" s="14">
        <f>U78</f>
        <v>1.8703799602288781E-2</v>
      </c>
      <c r="AZ99" s="14">
        <f>U80</f>
        <v>2.4364108595605449E-2</v>
      </c>
      <c r="CN99" s="2">
        <v>48</v>
      </c>
      <c r="CO99" s="14">
        <v>0.05</v>
      </c>
      <c r="CP99" s="14">
        <v>-3.6491253405590142E-3</v>
      </c>
      <c r="CQ99" s="14">
        <v>-4.140351376221282E-3</v>
      </c>
      <c r="CR99" s="14">
        <v>5.2126068645735094E-5</v>
      </c>
      <c r="CS99" s="14">
        <f t="shared" si="59"/>
        <v>4.2262649351865439E-2</v>
      </c>
    </row>
    <row r="100" spans="50:97" x14ac:dyDescent="0.45">
      <c r="AX100" s="2">
        <f>AE2</f>
        <v>10</v>
      </c>
      <c r="AY100" s="14">
        <f>AD78</f>
        <v>2.5668570370656105E-2</v>
      </c>
      <c r="AZ100" s="14">
        <f>AD80</f>
        <v>3.8718103444574714E-2</v>
      </c>
      <c r="CN100" s="2">
        <v>48.5</v>
      </c>
      <c r="CO100" s="14">
        <v>0.05</v>
      </c>
      <c r="CP100" s="14">
        <v>-3.6115112270104369E-3</v>
      </c>
      <c r="CQ100" s="14">
        <v>-4.0977402281157189E-3</v>
      </c>
      <c r="CR100" s="14">
        <v>5.1588686494748141E-5</v>
      </c>
      <c r="CS100" s="14">
        <f t="shared" si="59"/>
        <v>4.2342337231368599E-2</v>
      </c>
    </row>
    <row r="101" spans="50:97" x14ac:dyDescent="0.45">
      <c r="AX101" s="2">
        <f>AY2</f>
        <v>20</v>
      </c>
      <c r="AY101" s="14">
        <f>AY78</f>
        <v>3.7532958753681442E-2</v>
      </c>
      <c r="AZ101" s="14">
        <f>AY80</f>
        <v>5.3022065617155834E-2</v>
      </c>
      <c r="CN101" s="2">
        <v>49</v>
      </c>
      <c r="CO101" s="14">
        <v>0.05</v>
      </c>
      <c r="CP101" s="14">
        <v>-3.5746641263713387E-3</v>
      </c>
      <c r="CQ101" s="14">
        <v>-4.0559914556285567E-3</v>
      </c>
      <c r="CR101" s="14">
        <v>5.1062271326434383E-5</v>
      </c>
      <c r="CS101" s="14">
        <f t="shared" si="59"/>
        <v>4.2420406689326541E-2</v>
      </c>
    </row>
    <row r="102" spans="50:97" x14ac:dyDescent="0.45">
      <c r="AX102" s="2">
        <f>BS2</f>
        <v>30</v>
      </c>
      <c r="AY102" s="14">
        <f>BS78</f>
        <v>4.3195951373545427E-2</v>
      </c>
      <c r="AZ102" s="14">
        <f>BS80</f>
        <v>5.5297661078256954E-2</v>
      </c>
      <c r="CN102" s="2">
        <v>49.5</v>
      </c>
      <c r="CO102" s="14">
        <v>0.05</v>
      </c>
      <c r="CP102" s="14">
        <v>-3.5385608633028728E-3</v>
      </c>
      <c r="CQ102" s="14">
        <v>-4.0150796392544978E-3</v>
      </c>
      <c r="CR102" s="14">
        <v>5.0546490807985556E-5</v>
      </c>
      <c r="CS102" s="14">
        <f t="shared" si="59"/>
        <v>4.2496905988250615E-2</v>
      </c>
    </row>
    <row r="103" spans="50:97" x14ac:dyDescent="0.45">
      <c r="CN103" s="2">
        <v>50</v>
      </c>
      <c r="CO103" s="14">
        <v>0.05</v>
      </c>
      <c r="CP103" s="14">
        <v>-3.5031791821596337E-3</v>
      </c>
      <c r="CQ103" s="14">
        <v>-3.974980306744009E-3</v>
      </c>
      <c r="CR103" s="14">
        <v>5.0041025899905698E-5</v>
      </c>
      <c r="CS103" s="14">
        <f t="shared" si="59"/>
        <v>4.2571881536996266E-2</v>
      </c>
    </row>
    <row r="104" spans="50:97" x14ac:dyDescent="0.45">
      <c r="CN104" s="2">
        <v>50.5</v>
      </c>
      <c r="CO104" s="14">
        <v>0.05</v>
      </c>
      <c r="CP104" s="14">
        <v>-3.4684977022544743E-3</v>
      </c>
      <c r="CQ104" s="14">
        <v>-3.9356698929025385E-3</v>
      </c>
      <c r="CR104" s="14">
        <v>4.9545570197926433E-5</v>
      </c>
      <c r="CS104" s="14">
        <f t="shared" si="59"/>
        <v>4.2645377975040914E-2</v>
      </c>
    </row>
    <row r="105" spans="50:97" x14ac:dyDescent="0.45">
      <c r="CN105" s="2">
        <v>51</v>
      </c>
      <c r="CO105" s="14">
        <v>0.05</v>
      </c>
      <c r="CP105" s="14">
        <v>-3.4344958756686236E-3</v>
      </c>
      <c r="CQ105" s="14">
        <v>-3.897125701120475E-3</v>
      </c>
      <c r="CR105" s="14">
        <v>4.9059829313633038E-5</v>
      </c>
      <c r="CS105" s="14">
        <f t="shared" si="59"/>
        <v>4.2717438252524539E-2</v>
      </c>
    </row>
    <row r="106" spans="50:97" x14ac:dyDescent="0.45">
      <c r="CN106" s="2">
        <v>51.5</v>
      </c>
      <c r="CO106" s="14">
        <v>0.05</v>
      </c>
      <c r="CP106" s="14">
        <v>-3.4011539474434883E-3</v>
      </c>
      <c r="CQ106" s="14">
        <v>-3.859325866575019E-3</v>
      </c>
      <c r="CR106" s="14">
        <v>4.8583520291170579E-5</v>
      </c>
      <c r="CS106" s="14">
        <f t="shared" si="59"/>
        <v>4.2788103706272666E-2</v>
      </c>
    </row>
    <row r="107" spans="50:97" x14ac:dyDescent="0.45">
      <c r="CN107" s="2">
        <v>52</v>
      </c>
      <c r="CO107" s="14">
        <v>0.05</v>
      </c>
      <c r="CP107" s="14">
        <v>-3.3684529180020677E-3</v>
      </c>
      <c r="CQ107" s="14">
        <v>-3.8222493210443727E-3</v>
      </c>
      <c r="CR107" s="14">
        <v>4.8116371057601635E-5</v>
      </c>
      <c r="CS107" s="14">
        <f t="shared" si="59"/>
        <v>4.2857414132011162E-2</v>
      </c>
    </row>
    <row r="108" spans="50:97" x14ac:dyDescent="0.45">
      <c r="CN108" s="2">
        <v>52.5</v>
      </c>
      <c r="CO108" s="14">
        <v>0.05</v>
      </c>
      <c r="CP108" s="14">
        <v>-3.3363745076586179E-3</v>
      </c>
      <c r="CQ108" s="14">
        <v>-3.7858757592743901E-3</v>
      </c>
      <c r="CR108" s="14">
        <v>4.7658119904672092E-5</v>
      </c>
      <c r="CS108" s="14">
        <f t="shared" si="59"/>
        <v>4.2925407852971671E-2</v>
      </c>
    </row>
    <row r="109" spans="50:97" x14ac:dyDescent="0.45">
      <c r="CN109" s="2">
        <v>53</v>
      </c>
      <c r="CO109" s="14">
        <v>0.05</v>
      </c>
      <c r="CP109" s="14">
        <v>-3.3049011230850806E-3</v>
      </c>
      <c r="CQ109" s="14">
        <v>-3.7501856068380373E-3</v>
      </c>
      <c r="CR109" s="14">
        <v>4.7208514999911043E-5</v>
      </c>
      <c r="CS109" s="14">
        <f t="shared" si="59"/>
        <v>4.2992121785076796E-2</v>
      </c>
    </row>
    <row r="110" spans="50:97" x14ac:dyDescent="0.45">
      <c r="CN110" s="2">
        <v>53.5</v>
      </c>
      <c r="CO110" s="14">
        <v>0.05</v>
      </c>
      <c r="CP110" s="14">
        <v>-3.2740158256119182E-3</v>
      </c>
      <c r="CQ110" s="14">
        <v>-3.7151599894285634E-3</v>
      </c>
      <c r="CR110" s="14">
        <v>4.6767313925145517E-5</v>
      </c>
      <c r="CS110" s="14">
        <f t="shared" si="59"/>
        <v>4.3057591498884669E-2</v>
      </c>
    </row>
    <row r="111" spans="50:97" x14ac:dyDescent="0.45">
      <c r="CN111" s="2">
        <v>54</v>
      </c>
      <c r="CO111" s="14">
        <v>0.05</v>
      </c>
      <c r="CP111" s="14">
        <v>-3.2437023012494488E-3</v>
      </c>
      <c r="CQ111" s="14">
        <v>-3.6807807035281197E-3</v>
      </c>
      <c r="CR111" s="14">
        <v>4.6334283240653432E-5</v>
      </c>
      <c r="CS111" s="14">
        <f t="shared" si="59"/>
        <v>4.3121851278463089E-2</v>
      </c>
    </row>
    <row r="112" spans="50:97" x14ac:dyDescent="0.45">
      <c r="CN112" s="2">
        <v>54.5</v>
      </c>
      <c r="CO112" s="14">
        <v>0.05</v>
      </c>
      <c r="CP112" s="14">
        <v>-3.2139448323235992E-3</v>
      </c>
      <c r="CQ112" s="14">
        <v>-3.6470301883946687E-3</v>
      </c>
      <c r="CR112" s="14">
        <v>4.5909198073307983E-5</v>
      </c>
      <c r="CS112" s="14">
        <f t="shared" si="59"/>
        <v>4.3184934177355042E-2</v>
      </c>
    </row>
    <row r="113" spans="92:97" x14ac:dyDescent="0.45">
      <c r="CN113" s="2">
        <v>55</v>
      </c>
      <c r="CO113" s="14">
        <v>0.05</v>
      </c>
      <c r="CP113" s="14">
        <v>-3.1847282706272228E-3</v>
      </c>
      <c r="CQ113" s="14">
        <v>-3.6138914993112982E-3</v>
      </c>
      <c r="CR113" s="14">
        <v>4.5491841727187004E-5</v>
      </c>
      <c r="CS113" s="14">
        <f t="shared" si="59"/>
        <v>4.3246872071788671E-2</v>
      </c>
    </row>
    <row r="114" spans="92:97" x14ac:dyDescent="0.45">
      <c r="CN114" s="2">
        <v>55.5</v>
      </c>
      <c r="CO114" s="14">
        <v>0.05</v>
      </c>
      <c r="CP114" s="14">
        <v>-3.156038011994836E-3</v>
      </c>
      <c r="CQ114" s="14">
        <v>-3.5813482820435177E-3</v>
      </c>
      <c r="CR114" s="14">
        <v>4.5082005315230352E-5</v>
      </c>
      <c r="CS114" s="14">
        <f t="shared" si="59"/>
        <v>4.3307695711276878E-2</v>
      </c>
    </row>
    <row r="115" spans="92:97" x14ac:dyDescent="0.45">
      <c r="CN115" s="2">
        <v>56</v>
      </c>
      <c r="CO115" s="14">
        <v>0.05</v>
      </c>
      <c r="CP115" s="14">
        <v>-3.1278599722148357E-3</v>
      </c>
      <c r="CQ115" s="14">
        <v>-3.549384748451618E-3</v>
      </c>
      <c r="CR115" s="14">
        <v>4.4679487410630083E-5</v>
      </c>
      <c r="CS115" s="14">
        <f t="shared" si="59"/>
        <v>4.3367434766744185E-2</v>
      </c>
    </row>
    <row r="116" spans="92:97" x14ac:dyDescent="0.45">
      <c r="CN116" s="2">
        <v>56.5</v>
      </c>
      <c r="CO116" s="14">
        <v>0.05</v>
      </c>
      <c r="CP116" s="14">
        <v>-3.1001805641990101E-3</v>
      </c>
      <c r="CQ116" s="14">
        <v>-3.5179856532068805E-3</v>
      </c>
      <c r="CR116" s="14">
        <v>4.4284093716730704E-5</v>
      </c>
      <c r="CS116" s="14">
        <f t="shared" si="59"/>
        <v>4.3426117876310844E-2</v>
      </c>
    </row>
    <row r="117" spans="92:97" x14ac:dyDescent="0.45">
      <c r="CN117" s="2">
        <v>57</v>
      </c>
      <c r="CO117" s="14">
        <v>0.05</v>
      </c>
      <c r="CP117" s="14">
        <v>-3.0729866763345107E-3</v>
      </c>
      <c r="CQ117" s="14">
        <v>-3.4871362715620624E-3</v>
      </c>
      <c r="CR117" s="14">
        <v>4.3895636754303242E-5</v>
      </c>
      <c r="CS117" s="14">
        <f t="shared" si="59"/>
        <v>4.3483772688857739E-2</v>
      </c>
    </row>
    <row r="118" spans="92:97" x14ac:dyDescent="0.45">
      <c r="CN118" s="2">
        <v>57.5</v>
      </c>
      <c r="CO118" s="14">
        <v>0.05</v>
      </c>
      <c r="CP118" s="14">
        <v>-3.0462656519483766E-3</v>
      </c>
      <c r="CQ118" s="14">
        <v>-3.4568223781283693E-3</v>
      </c>
      <c r="CR118" s="14">
        <v>4.3513935565135388E-5</v>
      </c>
      <c r="CS118" s="14">
        <f t="shared" si="59"/>
        <v>4.3540425905488393E-2</v>
      </c>
    </row>
    <row r="119" spans="92:97" x14ac:dyDescent="0.45">
      <c r="CN119" s="2">
        <v>58</v>
      </c>
      <c r="CO119" s="14">
        <v>0.05</v>
      </c>
      <c r="CP119" s="14">
        <v>-3.0200052698193111E-3</v>
      </c>
      <c r="CQ119" s="14">
        <v>-3.4270302266128589E-3</v>
      </c>
      <c r="CR119" s="14">
        <v>4.3138815430953188E-5</v>
      </c>
      <c r="CS119" s="14">
        <f t="shared" si="59"/>
        <v>4.3596103318998783E-2</v>
      </c>
    </row>
    <row r="120" spans="92:97" x14ac:dyDescent="0.45">
      <c r="CN120" s="2">
        <v>58.5</v>
      </c>
      <c r="CO120" s="14">
        <v>0.05</v>
      </c>
      <c r="CP120" s="14">
        <v>-2.9941937256756927E-3</v>
      </c>
      <c r="CQ120" s="14">
        <v>-3.3977465304720054E-3</v>
      </c>
      <c r="CR120" s="14">
        <v>4.2770107606757007E-5</v>
      </c>
      <c r="CS120" s="14">
        <f t="shared" si="59"/>
        <v>4.3650829851459058E-2</v>
      </c>
    </row>
    <row r="121" spans="92:97" x14ac:dyDescent="0.45">
      <c r="CN121" s="2">
        <v>59</v>
      </c>
      <c r="CO121" s="14">
        <v>0.05</v>
      </c>
      <c r="CP121" s="14">
        <v>-2.9688196146227218E-3</v>
      </c>
      <c r="CQ121" s="14">
        <v>-3.368958444438895E-3</v>
      </c>
      <c r="CR121" s="14">
        <v>4.2407649067716697E-5</v>
      </c>
      <c r="CS121" s="14">
        <f t="shared" si="59"/>
        <v>4.3704629590006101E-2</v>
      </c>
    </row>
    <row r="122" spans="92:97" x14ac:dyDescent="0.45">
      <c r="CN122" s="2">
        <v>59.5</v>
      </c>
      <c r="CO122" s="14">
        <v>0.05</v>
      </c>
      <c r="CP122" s="14">
        <v>-2.9438719144453305E-3</v>
      </c>
      <c r="CQ122" s="14">
        <v>-3.3406535468832742E-3</v>
      </c>
      <c r="CR122" s="14">
        <v>4.2051282268828321E-5</v>
      </c>
      <c r="CS122" s="14">
        <f t="shared" si="59"/>
        <v>4.3757525820940224E-2</v>
      </c>
    </row>
    <row r="123" spans="92:97" x14ac:dyDescent="0.45">
      <c r="CN123" s="2">
        <v>60</v>
      </c>
      <c r="CO123" s="14">
        <v>0.05</v>
      </c>
      <c r="CP123" s="14">
        <v>-2.9193399697368793E-3</v>
      </c>
      <c r="CQ123" s="14">
        <v>-3.3128198229653862E-3</v>
      </c>
      <c r="CR123" s="14">
        <v>4.1700854916588081E-5</v>
      </c>
      <c r="CS123" s="14">
        <f t="shared" si="59"/>
        <v>4.3809541062214324E-2</v>
      </c>
    </row>
    <row r="124" spans="92:97" x14ac:dyDescent="0.45">
      <c r="CN124" s="2">
        <v>60.5</v>
      </c>
      <c r="CO124" s="14">
        <v>0.05</v>
      </c>
      <c r="CP124" s="14">
        <v>-2.8952134768068516E-3</v>
      </c>
      <c r="CQ124" s="14">
        <v>-3.2854456485461978E-3</v>
      </c>
      <c r="CR124" s="14">
        <v>4.1356219751988181E-5</v>
      </c>
      <c r="CS124" s="14">
        <f t="shared" si="59"/>
        <v>4.3860697094398937E-2</v>
      </c>
    </row>
    <row r="125" spans="92:97" x14ac:dyDescent="0.45">
      <c r="CN125" s="2">
        <v>61</v>
      </c>
      <c r="CO125" s="14">
        <v>0.05</v>
      </c>
      <c r="CP125" s="14">
        <v>-2.8714824693237173E-3</v>
      </c>
      <c r="CQ125" s="14">
        <v>-3.2585197748182752E-3</v>
      </c>
      <c r="CR125" s="14">
        <v>4.1017234344184998E-5</v>
      </c>
      <c r="CS125" s="14">
        <f t="shared" si="59"/>
        <v>4.3911014990202196E-2</v>
      </c>
    </row>
    <row r="126" spans="92:97" x14ac:dyDescent="0.45">
      <c r="CN126" s="2">
        <v>61.5</v>
      </c>
      <c r="CO126" s="14">
        <v>0.05</v>
      </c>
      <c r="CP126" s="14">
        <v>-2.8481373046519089E-3</v>
      </c>
      <c r="CQ126" s="14">
        <v>-3.2320313136231476E-3</v>
      </c>
      <c r="CR126" s="14">
        <v>4.0683760894232275E-5</v>
      </c>
      <c r="CS126" s="14">
        <f t="shared" si="59"/>
        <v>4.3960515142619179E-2</v>
      </c>
    </row>
    <row r="127" spans="92:97" x14ac:dyDescent="0.45">
      <c r="CN127" s="2">
        <v>62</v>
      </c>
      <c r="CO127" s="14">
        <v>0.05</v>
      </c>
      <c r="CP127" s="14">
        <v>-2.8251686508443826E-3</v>
      </c>
      <c r="CQ127" s="14">
        <v>-3.2059697234225479E-3</v>
      </c>
      <c r="CR127" s="14">
        <v>4.035566604831105E-5</v>
      </c>
      <c r="CS127" s="14">
        <f t="shared" si="59"/>
        <v>4.4009217291781387E-2</v>
      </c>
    </row>
    <row r="128" spans="92:97" x14ac:dyDescent="0.45">
      <c r="CN128" s="2">
        <v>62.5</v>
      </c>
      <c r="CO128" s="14">
        <v>0.05</v>
      </c>
      <c r="CP128" s="14">
        <v>-2.8025674742546769E-3</v>
      </c>
      <c r="CQ128" s="14">
        <v>-3.1803247958924344E-3</v>
      </c>
      <c r="CR128" s="14">
        <v>4.0032820719924563E-5</v>
      </c>
      <c r="CS128" s="14">
        <f t="shared" si="59"/>
        <v>4.4057140550572818E-2</v>
      </c>
    </row>
    <row r="129" spans="5:97" x14ac:dyDescent="0.45">
      <c r="CN129" s="2">
        <v>63</v>
      </c>
      <c r="CO129" s="14">
        <v>0.05</v>
      </c>
      <c r="CP129" s="14">
        <v>-2.7803250277345583E-3</v>
      </c>
      <c r="CQ129" s="14">
        <v>-3.1550866431101091E-3</v>
      </c>
      <c r="CR129" s="14">
        <v>3.9715099920560082E-5</v>
      </c>
      <c r="CS129" s="14">
        <f t="shared" si="59"/>
        <v>4.4104303429075897E-2</v>
      </c>
    </row>
    <row r="130" spans="5:97" x14ac:dyDescent="0.45">
      <c r="CN130" s="2">
        <v>63.5</v>
      </c>
      <c r="CO130" s="14">
        <v>0.05</v>
      </c>
      <c r="CP130" s="14">
        <v>-2.7584328393854625E-3</v>
      </c>
      <c r="CQ130" s="14">
        <v>-3.1302456853061853E-3</v>
      </c>
      <c r="CR130" s="14">
        <v>3.9402382598350943E-5</v>
      </c>
      <c r="CS130" s="14">
        <f t="shared" si="59"/>
        <v>4.4150723857906707E-2</v>
      </c>
    </row>
    <row r="131" spans="5:97" x14ac:dyDescent="0.45">
      <c r="CN131" s="2">
        <v>64</v>
      </c>
      <c r="CO131" s="14">
        <v>0.05</v>
      </c>
      <c r="CP131" s="14">
        <v>-2.7368827018338492E-3</v>
      </c>
      <c r="CQ131" s="14">
        <v>-3.1057926391544516E-3</v>
      </c>
      <c r="CR131" s="14">
        <v>3.9094551484301329E-5</v>
      </c>
      <c r="CS131" s="14">
        <f t="shared" si="59"/>
        <v>4.4196419210495996E-2</v>
      </c>
    </row>
    <row r="132" spans="5:97" x14ac:dyDescent="0.45">
      <c r="CN132" s="2">
        <v>64.5</v>
      </c>
      <c r="CO132" s="14">
        <v>0.05</v>
      </c>
      <c r="CP132" s="14">
        <v>-2.7156666620024115E-3</v>
      </c>
      <c r="CQ132" s="14">
        <v>-3.0817185065740143E-3</v>
      </c>
      <c r="CR132" s="14">
        <v>3.8791492945663328E-5</v>
      </c>
      <c r="CS132" s="14">
        <f t="shared" ref="CS132:CS195" si="71">SUM(CO132:CR132)</f>
        <v>4.4241406324369244E-2</v>
      </c>
    </row>
    <row r="133" spans="5:97" x14ac:dyDescent="0.45">
      <c r="CN133" s="2">
        <v>65</v>
      </c>
      <c r="CO133" s="14">
        <v>0.05</v>
      </c>
      <c r="CP133" s="14">
        <v>-2.6947770113507638E-3</v>
      </c>
      <c r="CQ133" s="14">
        <v>-3.0580145640192952E-3</v>
      </c>
      <c r="CR133" s="14">
        <v>3.8493096846081304E-5</v>
      </c>
      <c r="CS133" s="14">
        <f t="shared" si="71"/>
        <v>4.4285701521476026E-2</v>
      </c>
    </row>
    <row r="134" spans="5:97" x14ac:dyDescent="0.45">
      <c r="CN134" s="2">
        <v>65.5</v>
      </c>
      <c r="CO134" s="14">
        <v>0.05</v>
      </c>
      <c r="CP134" s="14">
        <v>-2.6742062765607953E-3</v>
      </c>
      <c r="CQ134" s="14">
        <v>-3.0346723522346611E-3</v>
      </c>
      <c r="CR134" s="14">
        <v>3.8199256412141755E-5</v>
      </c>
      <c r="CS134" s="14">
        <f t="shared" si="71"/>
        <v>4.4329320627616693E-2</v>
      </c>
    </row>
    <row r="135" spans="5:97" x14ac:dyDescent="0.45">
      <c r="CN135" s="2">
        <v>66</v>
      </c>
      <c r="CO135" s="14">
        <v>0.05</v>
      </c>
      <c r="CP135" s="14">
        <v>-2.6539472106433776E-3</v>
      </c>
      <c r="CQ135" s="14">
        <v>-3.0116836664515986E-3</v>
      </c>
      <c r="CR135" s="14">
        <v>3.7909868105989158E-5</v>
      </c>
      <c r="CS135" s="14">
        <f t="shared" si="71"/>
        <v>4.4372278991011024E-2</v>
      </c>
    </row>
    <row r="136" spans="5:97" x14ac:dyDescent="0.45">
      <c r="CN136" s="2">
        <v>66.5</v>
      </c>
      <c r="CO136" s="14">
        <v>0.05</v>
      </c>
      <c r="CP136" s="14">
        <v>-2.633992784444459E-3</v>
      </c>
      <c r="CQ136" s="14">
        <v>-2.989040547007429E-3</v>
      </c>
      <c r="CR136" s="14">
        <v>3.7624831503688492E-5</v>
      </c>
      <c r="CS136" s="14">
        <f t="shared" si="71"/>
        <v>4.4414591500051802E-2</v>
      </c>
    </row>
    <row r="137" spans="5:97" x14ac:dyDescent="0.45">
      <c r="CN137" s="2">
        <v>67</v>
      </c>
      <c r="CO137" s="14">
        <v>0.05</v>
      </c>
      <c r="CP137" s="14">
        <v>-2.6143361785298871E-3</v>
      </c>
      <c r="CQ137" s="14">
        <v>-2.9667352703655549E-3</v>
      </c>
      <c r="CR137" s="14">
        <v>3.7344049179034102E-5</v>
      </c>
      <c r="CS137" s="14">
        <f t="shared" si="71"/>
        <v>4.4456272600283599E-2</v>
      </c>
    </row>
    <row r="138" spans="5:97" x14ac:dyDescent="0.45">
      <c r="CN138" s="2">
        <v>67.5</v>
      </c>
      <c r="CO138" s="14">
        <v>0.05</v>
      </c>
      <c r="CP138" s="14">
        <v>-2.5949707754294887E-3</v>
      </c>
      <c r="CQ138" s="14">
        <v>-2.9447603405182857E-3</v>
      </c>
      <c r="CR138" s="14">
        <v>3.7067426592522743E-5</v>
      </c>
      <c r="CS138" s="14">
        <f t="shared" si="71"/>
        <v>4.4497336310644751E-2</v>
      </c>
    </row>
    <row r="139" spans="5:97" x14ac:dyDescent="0.45">
      <c r="CN139" s="2">
        <v>68</v>
      </c>
      <c r="CO139" s="14">
        <v>0.05</v>
      </c>
      <c r="CP139" s="14">
        <v>-2.5758901522220747E-3</v>
      </c>
      <c r="CQ139" s="14">
        <v>-2.9231084807541459E-3</v>
      </c>
      <c r="CR139" s="14">
        <v>3.6794871985224776E-5</v>
      </c>
      <c r="CS139" s="14">
        <f t="shared" si="71"/>
        <v>4.4537796239009012E-2</v>
      </c>
    </row>
    <row r="140" spans="5:97" x14ac:dyDescent="0.45">
      <c r="CN140" s="2">
        <v>68.5</v>
      </c>
      <c r="CO140" s="14">
        <v>0.05</v>
      </c>
      <c r="CP140" s="14">
        <v>-2.5570880734440879E-3</v>
      </c>
      <c r="CQ140" s="14">
        <v>-2.9017726257725383E-3</v>
      </c>
      <c r="CR140" s="14">
        <v>3.6526296277303434E-5</v>
      </c>
      <c r="CS140" s="14">
        <f t="shared" si="71"/>
        <v>4.4577665597060681E-2</v>
      </c>
    </row>
    <row r="141" spans="5:97" x14ac:dyDescent="0.45">
      <c r="CN141" s="2">
        <v>69</v>
      </c>
      <c r="CO141" s="14">
        <v>0.05</v>
      </c>
      <c r="CP141" s="14">
        <v>-2.5385584843055902E-3</v>
      </c>
      <c r="CQ141" s="14">
        <v>-2.8807459141294289E-3</v>
      </c>
      <c r="CR141" s="14">
        <v>3.6261612970946161E-5</v>
      </c>
      <c r="CS141" s="14">
        <f t="shared" si="71"/>
        <v>4.4616957214535929E-2</v>
      </c>
    </row>
    <row r="142" spans="5:97" x14ac:dyDescent="0.45">
      <c r="CN142" s="2">
        <v>69.5</v>
      </c>
      <c r="CO142" s="14">
        <v>0.05</v>
      </c>
      <c r="CP142" s="14">
        <v>-2.5202955041982236E-3</v>
      </c>
      <c r="CQ142" s="14">
        <v>-2.8600216809985678E-3</v>
      </c>
      <c r="CR142" s="14">
        <v>3.600073805748612E-5</v>
      </c>
      <c r="CS142" s="14">
        <f t="shared" si="71"/>
        <v>4.4655683552860696E-2</v>
      </c>
    </row>
    <row r="143" spans="5:97" x14ac:dyDescent="0.45">
      <c r="CN143" s="2">
        <v>70</v>
      </c>
      <c r="CO143" s="14">
        <v>0.05</v>
      </c>
      <c r="CP143" s="14">
        <v>-2.5022934204806399E-3</v>
      </c>
      <c r="CQ143" s="14">
        <v>-2.8395934512335072E-3</v>
      </c>
      <c r="CR143" s="14">
        <v>3.574358992850407E-5</v>
      </c>
      <c r="CS143" s="14">
        <f t="shared" si="71"/>
        <v>4.469385671821436E-2</v>
      </c>
    </row>
    <row r="144" spans="5:97" x14ac:dyDescent="0.45">
      <c r="E144" s="40"/>
      <c r="CN144" s="2">
        <v>70.5</v>
      </c>
      <c r="CO144" s="14">
        <v>0.05</v>
      </c>
      <c r="CP144" s="14">
        <v>-2.484546682527703E-3</v>
      </c>
      <c r="CQ144" s="14">
        <v>-2.8194549327164331E-3</v>
      </c>
      <c r="CR144" s="14">
        <v>3.5490089290713258E-5</v>
      </c>
      <c r="CS144" s="14">
        <f t="shared" si="71"/>
        <v>4.473148847404658E-2</v>
      </c>
    </row>
    <row r="145" spans="3:97" x14ac:dyDescent="0.45">
      <c r="E145" s="19"/>
      <c r="CN145" s="2">
        <v>71</v>
      </c>
      <c r="CO145" s="14">
        <v>0.05</v>
      </c>
      <c r="CP145" s="14">
        <v>-2.4670498960305386E-3</v>
      </c>
      <c r="CQ145" s="14">
        <v>-2.7996000099804975E-3</v>
      </c>
      <c r="CR145" s="14">
        <v>3.5240159084440636E-5</v>
      </c>
      <c r="CS145" s="14">
        <f t="shared" si="71"/>
        <v>4.4768590253073406E-2</v>
      </c>
    </row>
    <row r="146" spans="3:97" x14ac:dyDescent="0.45">
      <c r="D146" s="40"/>
      <c r="E146" s="19"/>
      <c r="I146" s="34"/>
      <c r="CN146" s="2">
        <v>71.5</v>
      </c>
      <c r="CO146" s="14">
        <v>0.05</v>
      </c>
      <c r="CP146" s="14">
        <v>-2.4497978175352163E-3</v>
      </c>
      <c r="CQ146" s="14">
        <v>-2.7800227380930186E-3</v>
      </c>
      <c r="CR146" s="14">
        <v>3.4993724405528457E-5</v>
      </c>
      <c r="CS146" s="14">
        <f t="shared" si="71"/>
        <v>4.4805173168777294E-2</v>
      </c>
    </row>
    <row r="147" spans="3:97" ht="14.65" x14ac:dyDescent="0.45">
      <c r="C147" s="19"/>
      <c r="D147" s="19"/>
      <c r="E147" s="19"/>
      <c r="H147" s="36"/>
      <c r="I147" s="49"/>
      <c r="J147" s="46"/>
      <c r="CN147" s="2">
        <v>72</v>
      </c>
      <c r="CO147" s="14">
        <v>0.05</v>
      </c>
      <c r="CP147" s="14">
        <v>-2.4327853492085187E-3</v>
      </c>
      <c r="CQ147" s="14">
        <v>-2.7607173367875442E-3</v>
      </c>
      <c r="CR147" s="14">
        <v>3.4750712430490067E-5</v>
      </c>
      <c r="CS147" s="14">
        <f t="shared" si="71"/>
        <v>4.4841248026434431E-2</v>
      </c>
    </row>
    <row r="148" spans="3:97" ht="14.65" x14ac:dyDescent="0.45">
      <c r="C148" s="19"/>
      <c r="D148" s="19"/>
      <c r="E148" s="19"/>
      <c r="H148" s="36"/>
      <c r="I148" s="49"/>
      <c r="J148" s="50"/>
      <c r="CN148" s="2">
        <v>72.5</v>
      </c>
      <c r="CO148" s="14">
        <v>0.05</v>
      </c>
      <c r="CP148" s="14">
        <v>-2.4160075338198871E-3</v>
      </c>
      <c r="CQ148" s="14">
        <v>-2.7416781848333504E-3</v>
      </c>
      <c r="CR148" s="14">
        <v>3.4511052344762553E-5</v>
      </c>
      <c r="CS148" s="14">
        <f t="shared" si="71"/>
        <v>4.4876825333691528E-2</v>
      </c>
    </row>
    <row r="149" spans="3:97" ht="14.65" x14ac:dyDescent="0.45">
      <c r="C149" s="19"/>
      <c r="D149" s="19"/>
      <c r="E149" s="19"/>
      <c r="H149" s="36"/>
      <c r="I149" s="49"/>
      <c r="J149" s="46"/>
      <c r="CN149" s="2">
        <v>73</v>
      </c>
      <c r="CO149" s="14">
        <v>0.05</v>
      </c>
      <c r="CP149" s="14">
        <v>-2.3994595499292246E-3</v>
      </c>
      <c r="CQ149" s="14">
        <v>-2.7228998146315393E-3</v>
      </c>
      <c r="CR149" s="14">
        <v>3.4274675273908009E-5</v>
      </c>
      <c r="CS149" s="14">
        <f t="shared" si="71"/>
        <v>4.4911915310713146E-2</v>
      </c>
    </row>
    <row r="150" spans="3:97" ht="14.65" x14ac:dyDescent="0.45">
      <c r="C150" s="19"/>
      <c r="D150" s="19"/>
      <c r="E150" s="19"/>
      <c r="H150" s="36"/>
      <c r="I150" s="49"/>
      <c r="J150" s="50"/>
      <c r="CN150" s="2">
        <v>73.5</v>
      </c>
      <c r="CO150" s="14">
        <v>0.05</v>
      </c>
      <c r="CP150" s="14">
        <v>-2.3831367072707941E-3</v>
      </c>
      <c r="CQ150" s="14">
        <v>-2.7043769070274216E-3</v>
      </c>
      <c r="CR150" s="14">
        <v>3.4041514217622924E-5</v>
      </c>
      <c r="CS150" s="14">
        <f t="shared" si="71"/>
        <v>4.4946527899919417E-2</v>
      </c>
    </row>
    <row r="151" spans="3:97" ht="14.65" x14ac:dyDescent="0.45">
      <c r="C151" s="19"/>
      <c r="D151" s="19"/>
      <c r="H151" s="36"/>
      <c r="I151" s="50"/>
      <c r="J151" s="46"/>
      <c r="CN151" s="2">
        <v>74</v>
      </c>
      <c r="CO151" s="14">
        <v>0.05</v>
      </c>
      <c r="CP151" s="14">
        <v>-2.3670344423239692E-3</v>
      </c>
      <c r="CQ151" s="14">
        <v>-2.6861042863293811E-3</v>
      </c>
      <c r="CR151" s="14">
        <v>3.3811503986422764E-5</v>
      </c>
      <c r="CS151" s="14">
        <f t="shared" si="71"/>
        <v>4.4980672775333082E-2</v>
      </c>
    </row>
    <row r="152" spans="3:97" ht="14.65" x14ac:dyDescent="0.45">
      <c r="C152" s="19"/>
      <c r="D152" s="19"/>
      <c r="E152" s="19"/>
      <c r="H152" s="36"/>
      <c r="I152" s="51"/>
      <c r="J152" s="52"/>
      <c r="CN152" s="2">
        <v>74.5</v>
      </c>
      <c r="CO152" s="14">
        <v>0.05</v>
      </c>
      <c r="CP152" s="14">
        <v>-2.3511483140620892E-3</v>
      </c>
      <c r="CQ152" s="14">
        <v>-2.6680769155249038E-3</v>
      </c>
      <c r="CR152" s="14">
        <v>3.3584581140876309E-5</v>
      </c>
      <c r="CS152" s="14">
        <f t="shared" si="71"/>
        <v>4.5014359351553887E-2</v>
      </c>
    </row>
    <row r="153" spans="3:97" x14ac:dyDescent="0.45">
      <c r="CN153" s="2">
        <v>75</v>
      </c>
      <c r="CO153" s="14">
        <v>0.05</v>
      </c>
      <c r="CP153" s="14">
        <v>-2.3354739998711436E-3</v>
      </c>
      <c r="CQ153" s="14">
        <v>-2.6502898916849166E-3</v>
      </c>
      <c r="CR153" s="14">
        <v>3.3360683933270463E-5</v>
      </c>
      <c r="CS153" s="14">
        <f t="shared" si="71"/>
        <v>4.5047596792377215E-2</v>
      </c>
    </row>
    <row r="154" spans="3:97" x14ac:dyDescent="0.45">
      <c r="C154" s="19"/>
      <c r="D154" s="19"/>
      <c r="CN154" s="2">
        <v>75.5</v>
      </c>
      <c r="CO154" s="14">
        <v>0.05</v>
      </c>
      <c r="CP154" s="14">
        <v>-2.3200072916304236E-3</v>
      </c>
      <c r="CQ154" s="14">
        <v>-2.6327384415480086E-3</v>
      </c>
      <c r="CR154" s="14">
        <v>3.3139752251593179E-5</v>
      </c>
      <c r="CS154" s="14">
        <f t="shared" si="71"/>
        <v>4.5080394019073163E-2</v>
      </c>
    </row>
    <row r="155" spans="3:97" x14ac:dyDescent="0.45">
      <c r="C155" s="19"/>
      <c r="D155" s="19"/>
      <c r="CN155" s="2">
        <v>76</v>
      </c>
      <c r="CO155" s="14">
        <v>0.05</v>
      </c>
      <c r="CP155" s="14">
        <v>-2.304744091947716E-3</v>
      </c>
      <c r="CQ155" s="14">
        <v>-2.6154179172765287E-3</v>
      </c>
      <c r="CR155" s="14">
        <v>3.2921727565727438E-5</v>
      </c>
      <c r="CS155" s="14">
        <f t="shared" si="71"/>
        <v>4.5112759718341486E-2</v>
      </c>
    </row>
    <row r="156" spans="3:97" x14ac:dyDescent="0.45">
      <c r="C156" s="19"/>
      <c r="D156" s="19"/>
      <c r="CN156" s="2">
        <v>76.5</v>
      </c>
      <c r="CO156" s="14">
        <v>0.05</v>
      </c>
      <c r="CP156" s="14">
        <v>-2.2896804105419768E-3</v>
      </c>
      <c r="CQ156" s="14">
        <v>-2.598323792376931E-3</v>
      </c>
      <c r="CR156" s="14">
        <v>3.2706552875755358E-5</v>
      </c>
      <c r="CS156" s="14">
        <f t="shared" si="71"/>
        <v>4.514470234995685E-2</v>
      </c>
    </row>
    <row r="157" spans="3:97" x14ac:dyDescent="0.45">
      <c r="C157" s="19"/>
      <c r="D157" s="19"/>
      <c r="CN157" s="2">
        <v>77</v>
      </c>
      <c r="CO157" s="14">
        <v>0.05</v>
      </c>
      <c r="CP157" s="14">
        <v>-2.2748123607668064E-3</v>
      </c>
      <c r="CQ157" s="14">
        <v>-2.5814516577771346E-3</v>
      </c>
      <c r="CR157" s="14">
        <v>3.2494172662276428E-5</v>
      </c>
      <c r="CS157" s="14">
        <f t="shared" si="71"/>
        <v>4.5176230154118334E-2</v>
      </c>
    </row>
    <row r="158" spans="3:97" x14ac:dyDescent="0.45">
      <c r="C158" s="19"/>
      <c r="D158" s="19"/>
      <c r="CN158" s="2">
        <v>77.5</v>
      </c>
      <c r="CO158" s="14">
        <v>0.05</v>
      </c>
      <c r="CP158" s="14">
        <v>-2.2601361562683817E-3</v>
      </c>
      <c r="CQ158" s="14">
        <v>-2.5647972180539939E-3</v>
      </c>
      <c r="CR158" s="14">
        <v>3.2284532838648839E-5</v>
      </c>
      <c r="CS158" s="14">
        <f t="shared" si="71"/>
        <v>4.5207351158516276E-2</v>
      </c>
    </row>
    <row r="159" spans="3:97" x14ac:dyDescent="0.45">
      <c r="C159" s="19"/>
      <c r="D159" s="19"/>
      <c r="CN159" s="2">
        <v>78</v>
      </c>
      <c r="CO159" s="14">
        <v>0.05</v>
      </c>
      <c r="CP159" s="14">
        <v>-2.245648107771813E-3</v>
      </c>
      <c r="CQ159" s="14">
        <v>-2.5483562878043133E-3</v>
      </c>
      <c r="CR159" s="14">
        <v>3.2077580705067757E-5</v>
      </c>
      <c r="CS159" s="14">
        <f t="shared" si="71"/>
        <v>4.5238073185128937E-2</v>
      </c>
    </row>
    <row r="160" spans="3:97" x14ac:dyDescent="0.45">
      <c r="C160" s="19"/>
      <c r="D160" s="19"/>
      <c r="CN160" s="2">
        <v>78.5</v>
      </c>
      <c r="CO160" s="14">
        <v>0.05</v>
      </c>
      <c r="CP160" s="14">
        <v>-2.2313446199902329E-3</v>
      </c>
      <c r="CQ160" s="14">
        <v>-2.532124788153177E-3</v>
      </c>
      <c r="CR160" s="14">
        <v>3.1873264904398538E-5</v>
      </c>
      <c r="CS160" s="14">
        <f t="shared" si="71"/>
        <v>4.5268403856760987E-2</v>
      </c>
    </row>
    <row r="161" spans="92:97" x14ac:dyDescent="0.45">
      <c r="CN161" s="2">
        <v>79</v>
      </c>
      <c r="CO161" s="14">
        <v>0.05</v>
      </c>
      <c r="CP161" s="14">
        <v>-2.2172221886511676E-3</v>
      </c>
      <c r="CQ161" s="14">
        <v>-2.516098743393634E-3</v>
      </c>
      <c r="CR161" s="14">
        <v>3.1671535379687146E-5</v>
      </c>
      <c r="CS161" s="14">
        <f t="shared" si="71"/>
        <v>4.529835060333489E-2</v>
      </c>
    </row>
    <row r="162" spans="92:97" x14ac:dyDescent="0.45">
      <c r="CN162" s="2">
        <v>79.5</v>
      </c>
      <c r="CO162" s="14">
        <v>0.05</v>
      </c>
      <c r="CP162" s="14">
        <v>-2.2032773976350529E-3</v>
      </c>
      <c r="CQ162" s="14">
        <v>-2.5002742777520902E-3</v>
      </c>
      <c r="CR162" s="14">
        <v>3.1472343333274022E-5</v>
      </c>
      <c r="CS162" s="14">
        <f t="shared" si="71"/>
        <v>4.5327920667946137E-2</v>
      </c>
    </row>
    <row r="163" spans="92:97" x14ac:dyDescent="0.45">
      <c r="CN163" s="2">
        <v>80</v>
      </c>
      <c r="CO163" s="14">
        <v>0.05</v>
      </c>
      <c r="CP163" s="14">
        <v>-2.189506916220987E-3</v>
      </c>
      <c r="CQ163" s="14">
        <v>-2.4846476122740153E-3</v>
      </c>
      <c r="CR163" s="14">
        <v>3.1275641187441061E-5</v>
      </c>
      <c r="CS163" s="14">
        <f t="shared" si="71"/>
        <v>4.5357121112692439E-2</v>
      </c>
    </row>
    <row r="164" spans="92:97" x14ac:dyDescent="0.45">
      <c r="CN164" s="2">
        <v>80.5</v>
      </c>
      <c r="CO164" s="14">
        <v>0.05</v>
      </c>
      <c r="CP164" s="14">
        <v>-2.1759074964350701E-3</v>
      </c>
      <c r="CQ164" s="14">
        <v>-2.469215061824832E-3</v>
      </c>
      <c r="CR164" s="14">
        <v>3.1081382546525276E-5</v>
      </c>
      <c r="CS164" s="14">
        <f t="shared" si="71"/>
        <v>4.5385958824286622E-2</v>
      </c>
    </row>
    <row r="165" spans="92:97" x14ac:dyDescent="0.45">
      <c r="CN165" s="2">
        <v>81</v>
      </c>
      <c r="CO165" s="14">
        <v>0.05</v>
      </c>
      <c r="CP165" s="14">
        <v>-2.1624759704969017E-3</v>
      </c>
      <c r="CQ165" s="14">
        <v>-2.4539730322011045E-3</v>
      </c>
      <c r="CR165" s="14">
        <v>3.0889522160435619E-5</v>
      </c>
      <c r="CS165" s="14">
        <f t="shared" si="71"/>
        <v>4.5414440519462432E-2</v>
      </c>
    </row>
    <row r="166" spans="92:97" x14ac:dyDescent="0.45">
      <c r="CN166" s="2">
        <v>81.5</v>
      </c>
      <c r="CO166" s="14">
        <v>0.05</v>
      </c>
      <c r="CP166" s="14">
        <v>-2.149209248360024E-3</v>
      </c>
      <c r="CQ166" s="14">
        <v>-2.4389180173473549E-3</v>
      </c>
      <c r="CR166" s="14">
        <v>3.0700015889512695E-5</v>
      </c>
      <c r="CS166" s="14">
        <f t="shared" si="71"/>
        <v>4.5442572750182132E-2</v>
      </c>
    </row>
    <row r="167" spans="92:97" x14ac:dyDescent="0.45">
      <c r="CN167" s="2">
        <v>82</v>
      </c>
      <c r="CO167" s="14">
        <v>0.05</v>
      </c>
      <c r="CP167" s="14">
        <v>-2.1361043153423141E-3</v>
      </c>
      <c r="CQ167" s="14">
        <v>-2.4240465966740934E-3</v>
      </c>
      <c r="CR167" s="14">
        <v>3.0512820670674208E-5</v>
      </c>
      <c r="CS167" s="14">
        <f t="shared" si="71"/>
        <v>4.5470361908654271E-2</v>
      </c>
    </row>
    <row r="168" spans="92:97" x14ac:dyDescent="0.45">
      <c r="CN168" s="2">
        <v>82.5</v>
      </c>
      <c r="CO168" s="14">
        <v>0.05</v>
      </c>
      <c r="CP168" s="14">
        <v>-2.1231582298425044E-3</v>
      </c>
      <c r="CQ168" s="14">
        <v>-2.4093554324728082E-3</v>
      </c>
      <c r="CR168" s="14">
        <v>3.032789448479133E-5</v>
      </c>
      <c r="CS168" s="14">
        <f t="shared" si="71"/>
        <v>4.5497814232169476E-2</v>
      </c>
    </row>
    <row r="169" spans="92:97" x14ac:dyDescent="0.45">
      <c r="CN169" s="2">
        <v>83</v>
      </c>
      <c r="CO169" s="14">
        <v>0.05</v>
      </c>
      <c r="CP169" s="14">
        <v>-2.1103681211392064E-3</v>
      </c>
      <c r="CQ169" s="14">
        <v>-2.3948412674238933E-3</v>
      </c>
      <c r="CR169" s="14">
        <v>3.0145196325244392E-5</v>
      </c>
      <c r="CS169" s="14">
        <f t="shared" si="71"/>
        <v>4.5524935807762151E-2</v>
      </c>
    </row>
    <row r="170" spans="92:97" x14ac:dyDescent="0.45">
      <c r="CN170" s="2">
        <v>83.5</v>
      </c>
      <c r="CO170" s="14">
        <v>0.05</v>
      </c>
      <c r="CP170" s="14">
        <v>-2.0977311872689853E-3</v>
      </c>
      <c r="CQ170" s="14">
        <v>-2.380500922193675E-3</v>
      </c>
      <c r="CR170" s="14">
        <v>2.9964686167608199E-5</v>
      </c>
      <c r="CS170" s="14">
        <f t="shared" si="71"/>
        <v>4.5551732576704952E-2</v>
      </c>
    </row>
    <row r="171" spans="92:97" x14ac:dyDescent="0.45">
      <c r="CN171" s="2">
        <v>84</v>
      </c>
      <c r="CO171" s="14">
        <v>0.05</v>
      </c>
      <c r="CP171" s="14">
        <v>-2.0852446929801958E-3</v>
      </c>
      <c r="CQ171" s="14">
        <v>-2.3663312931168539E-3</v>
      </c>
      <c r="CR171" s="14">
        <v>2.9786324940420056E-5</v>
      </c>
      <c r="CS171" s="14">
        <f t="shared" si="71"/>
        <v>4.5578210338843371E-2</v>
      </c>
    </row>
    <row r="172" spans="92:97" x14ac:dyDescent="0.45">
      <c r="CN172" s="2">
        <v>84.5</v>
      </c>
      <c r="CO172" s="14">
        <v>0.05</v>
      </c>
      <c r="CP172" s="14">
        <v>-2.0729059677594332E-3</v>
      </c>
      <c r="CQ172" s="14">
        <v>-2.3523293499608821E-3</v>
      </c>
      <c r="CR172" s="14">
        <v>2.961007449698562E-5</v>
      </c>
      <c r="CS172" s="14">
        <f t="shared" si="71"/>
        <v>4.5604374756776672E-2</v>
      </c>
    </row>
    <row r="173" spans="92:97" x14ac:dyDescent="0.45">
      <c r="CN173" s="2">
        <v>85</v>
      </c>
      <c r="CO173" s="14">
        <v>0.05</v>
      </c>
      <c r="CP173" s="14">
        <v>-2.0607124039276267E-3</v>
      </c>
      <c r="CQ173" s="14">
        <v>-2.3384921337689236E-3</v>
      </c>
      <c r="CR173" s="14">
        <v>2.9435897588179823E-5</v>
      </c>
      <c r="CS173" s="14">
        <f t="shared" si="71"/>
        <v>4.5630231359891631E-2</v>
      </c>
    </row>
    <row r="174" spans="92:97" x14ac:dyDescent="0.45">
      <c r="CN174" s="2">
        <v>85.5</v>
      </c>
      <c r="CO174" s="14">
        <v>0.05</v>
      </c>
      <c r="CP174" s="14">
        <v>-2.0486614548029186E-3</v>
      </c>
      <c r="CQ174" s="14">
        <v>-2.3248167547782221E-3</v>
      </c>
      <c r="CR174" s="14">
        <v>2.9263757836202166E-5</v>
      </c>
      <c r="CS174" s="14">
        <f t="shared" si="71"/>
        <v>4.5655785548255071E-2</v>
      </c>
    </row>
    <row r="175" spans="92:97" x14ac:dyDescent="0.45">
      <c r="CN175" s="2">
        <v>86</v>
      </c>
      <c r="CO175" s="14">
        <v>0.05</v>
      </c>
      <c r="CP175" s="14">
        <v>-2.03675063292761E-3</v>
      </c>
      <c r="CQ175" s="14">
        <v>-2.3113003904108357E-3</v>
      </c>
      <c r="CR175" s="14">
        <v>2.9093619709247498E-5</v>
      </c>
      <c r="CS175" s="14">
        <f t="shared" si="71"/>
        <v>4.5681042596370805E-2</v>
      </c>
    </row>
    <row r="176" spans="92:97" x14ac:dyDescent="0.45">
      <c r="CN176" s="2">
        <v>86.5</v>
      </c>
      <c r="CO176" s="14">
        <v>0.05</v>
      </c>
      <c r="CP176" s="14">
        <v>-2.0249775083565902E-3</v>
      </c>
      <c r="CQ176" s="14">
        <v>-2.297940283333823E-3</v>
      </c>
      <c r="CR176" s="14">
        <v>2.8925448497055319E-5</v>
      </c>
      <c r="CS176" s="14">
        <f t="shared" si="71"/>
        <v>4.5706007656806651E-2</v>
      </c>
    </row>
    <row r="177" spans="92:97" x14ac:dyDescent="0.45">
      <c r="CN177" s="2">
        <v>87</v>
      </c>
      <c r="CO177" s="14">
        <v>0.05</v>
      </c>
      <c r="CP177" s="14">
        <v>-2.013339707004771E-3</v>
      </c>
      <c r="CQ177" s="14">
        <v>-2.284733739586133E-3</v>
      </c>
      <c r="CR177" s="14">
        <v>2.8759210287302125E-5</v>
      </c>
      <c r="CS177" s="14">
        <f t="shared" si="71"/>
        <v>4.5730685763696405E-2</v>
      </c>
    </row>
    <row r="178" spans="92:97" x14ac:dyDescent="0.45">
      <c r="CN178" s="2">
        <v>87.5</v>
      </c>
      <c r="CO178" s="14">
        <v>0.05</v>
      </c>
      <c r="CP178" s="14">
        <v>-2.0018349090511751E-3</v>
      </c>
      <c r="CQ178" s="14">
        <v>-2.2716781267695264E-3</v>
      </c>
      <c r="CR178" s="14">
        <v>2.8594871942803256E-5</v>
      </c>
      <c r="CS178" s="14">
        <f t="shared" si="71"/>
        <v>4.5755081836122105E-2</v>
      </c>
    </row>
    <row r="179" spans="92:97" x14ac:dyDescent="0.45">
      <c r="CN179" s="2">
        <v>88</v>
      </c>
      <c r="CO179" s="14">
        <v>0.05</v>
      </c>
      <c r="CP179" s="14">
        <v>-1.990460847397413E-3</v>
      </c>
      <c r="CQ179" s="14">
        <v>-2.2587708723010181E-3</v>
      </c>
      <c r="CR179" s="14">
        <v>2.8432401079491876E-5</v>
      </c>
      <c r="CS179" s="14">
        <f t="shared" si="71"/>
        <v>4.5779200681381062E-2</v>
      </c>
    </row>
    <row r="180" spans="92:97" x14ac:dyDescent="0.45">
      <c r="CN180" s="2">
        <v>88.5</v>
      </c>
      <c r="CO180" s="14">
        <v>0.05</v>
      </c>
      <c r="CP180" s="14">
        <v>-1.9792153061784145E-3</v>
      </c>
      <c r="CQ180" s="14">
        <v>-2.2460094617244132E-3</v>
      </c>
      <c r="CR180" s="14">
        <v>2.8271766045144464E-5</v>
      </c>
      <c r="CS180" s="14">
        <f t="shared" si="71"/>
        <v>4.5803046998142319E-2</v>
      </c>
    </row>
    <row r="181" spans="92:97" x14ac:dyDescent="0.45">
      <c r="CN181" s="2">
        <v>89</v>
      </c>
      <c r="CO181" s="14">
        <v>0.05</v>
      </c>
      <c r="CP181" s="14">
        <v>-1.968096119323348E-3</v>
      </c>
      <c r="CQ181" s="14">
        <v>-2.2333914370786315E-3</v>
      </c>
      <c r="CR181" s="14">
        <v>2.8112935898823424E-5</v>
      </c>
      <c r="CS181" s="14">
        <f t="shared" si="71"/>
        <v>4.5826625379496846E-2</v>
      </c>
    </row>
    <row r="182" spans="92:97" x14ac:dyDescent="0.45">
      <c r="CN182" s="2">
        <v>89.5</v>
      </c>
      <c r="CO182" s="14">
        <v>0.05</v>
      </c>
      <c r="CP182" s="14">
        <v>-1.9571011691647731E-3</v>
      </c>
      <c r="CQ182" s="14">
        <v>-2.220914395320617E-3</v>
      </c>
      <c r="CR182" s="14">
        <v>2.7955880391008768E-5</v>
      </c>
      <c r="CS182" s="14">
        <f t="shared" si="71"/>
        <v>4.584994031590562E-2</v>
      </c>
    </row>
    <row r="183" spans="92:97" x14ac:dyDescent="0.45">
      <c r="CN183" s="2">
        <v>90</v>
      </c>
      <c r="CO183" s="14">
        <v>0.05</v>
      </c>
      <c r="CP183" s="14">
        <v>-1.946228385094149E-3</v>
      </c>
      <c r="CQ183" s="14">
        <v>-2.2085759868007032E-3</v>
      </c>
      <c r="CR183" s="14">
        <v>2.7800569944392051E-5</v>
      </c>
      <c r="CS183" s="14">
        <f t="shared" si="71"/>
        <v>4.5872996198049541E-2</v>
      </c>
    </row>
    <row r="184" spans="92:97" x14ac:dyDescent="0.45">
      <c r="CN184" s="2">
        <v>90.5</v>
      </c>
      <c r="CO184" s="14">
        <v>0.05</v>
      </c>
      <c r="CP184" s="14">
        <v>-1.9354757422619055E-3</v>
      </c>
      <c r="CQ184" s="14">
        <v>-2.1963739137884487E-3</v>
      </c>
      <c r="CR184" s="14">
        <v>2.7646975635307016E-5</v>
      </c>
      <c r="CS184" s="14">
        <f t="shared" si="71"/>
        <v>4.5895797319584958E-2</v>
      </c>
    </row>
    <row r="185" spans="92:97" x14ac:dyDescent="0.45">
      <c r="CN185" s="2">
        <v>91</v>
      </c>
      <c r="CO185" s="14">
        <v>0.05</v>
      </c>
      <c r="CP185" s="14">
        <v>-1.9248412603203632E-3</v>
      </c>
      <c r="CQ185" s="14">
        <v>-2.1843059290469701E-3</v>
      </c>
      <c r="CR185" s="14">
        <v>2.7495069175772363E-5</v>
      </c>
      <c r="CS185" s="14">
        <f t="shared" si="71"/>
        <v>4.591834787980844E-2</v>
      </c>
    </row>
    <row r="186" spans="92:97" x14ac:dyDescent="0.45">
      <c r="CN186" s="2">
        <v>91.5</v>
      </c>
      <c r="CO186" s="14">
        <v>0.05</v>
      </c>
      <c r="CP186" s="14">
        <v>-1.9143230022078711E-3</v>
      </c>
      <c r="CQ186" s="14">
        <v>-2.1723698344539642E-3</v>
      </c>
      <c r="CR186" s="14">
        <v>2.7344822896123334E-5</v>
      </c>
      <c r="CS186" s="14">
        <f t="shared" si="71"/>
        <v>4.5940651986234295E-2</v>
      </c>
    </row>
    <row r="187" spans="92:97" x14ac:dyDescent="0.45">
      <c r="CN187" s="2">
        <v>92</v>
      </c>
      <c r="CO187" s="14">
        <v>0.05</v>
      </c>
      <c r="CP187" s="14">
        <v>-1.90391907297258E-3</v>
      </c>
      <c r="CQ187" s="14">
        <v>-2.1605634796676224E-3</v>
      </c>
      <c r="CR187" s="14">
        <v>2.7196209728209624E-5</v>
      </c>
      <c r="CS187" s="14">
        <f t="shared" si="71"/>
        <v>4.5962713657088004E-2</v>
      </c>
    </row>
    <row r="188" spans="92:97" x14ac:dyDescent="0.45">
      <c r="CN188" s="2">
        <v>92.5</v>
      </c>
      <c r="CO188" s="14">
        <v>0.05</v>
      </c>
      <c r="CP188" s="14">
        <v>-1.8936276186343685E-3</v>
      </c>
      <c r="CQ188" s="14">
        <v>-2.1488847608357579E-3</v>
      </c>
      <c r="CR188" s="14">
        <v>2.7049203189138219E-5</v>
      </c>
      <c r="CS188" s="14">
        <f t="shared" si="71"/>
        <v>4.5984536823719016E-2</v>
      </c>
    </row>
    <row r="189" spans="92:97" x14ac:dyDescent="0.45">
      <c r="CN189" s="2">
        <v>93</v>
      </c>
      <c r="CO189" s="14">
        <v>0.05</v>
      </c>
      <c r="CP189" s="14">
        <v>-1.8834468250834716E-3</v>
      </c>
      <c r="CQ189" s="14">
        <v>-2.1373316193465282E-3</v>
      </c>
      <c r="CR189" s="14">
        <v>2.6903777365540702E-5</v>
      </c>
      <c r="CS189" s="14">
        <f t="shared" si="71"/>
        <v>4.6006125332935549E-2</v>
      </c>
    </row>
    <row r="190" spans="92:97" x14ac:dyDescent="0.45">
      <c r="CN190" s="2">
        <v>93.5</v>
      </c>
      <c r="CO190" s="14">
        <v>0.05</v>
      </c>
      <c r="CP190" s="14">
        <v>-1.8733749170144521E-3</v>
      </c>
      <c r="CQ190" s="14">
        <v>-2.125902040619188E-3</v>
      </c>
      <c r="CR190" s="14">
        <v>2.6759906898345289E-5</v>
      </c>
      <c r="CS190" s="14">
        <f t="shared" si="71"/>
        <v>4.6027482949264703E-2</v>
      </c>
    </row>
    <row r="191" spans="92:97" x14ac:dyDescent="0.45">
      <c r="CN191" s="2">
        <v>94</v>
      </c>
      <c r="CO191" s="14">
        <v>0.05</v>
      </c>
      <c r="CP191" s="14">
        <v>-1.8634101568941845E-3</v>
      </c>
      <c r="CQ191" s="14">
        <v>-2.114594052933402E-3</v>
      </c>
      <c r="CR191" s="14">
        <v>2.6617566968034942E-5</v>
      </c>
      <c r="CS191" s="14">
        <f t="shared" si="71"/>
        <v>4.6048613357140444E-2</v>
      </c>
    </row>
    <row r="192" spans="92:97" x14ac:dyDescent="0.45">
      <c r="CN192" s="2">
        <v>94.5</v>
      </c>
      <c r="CO192" s="14">
        <v>0.05</v>
      </c>
      <c r="CP192" s="14">
        <v>-1.8535508439626058E-3</v>
      </c>
      <c r="CQ192" s="14">
        <v>-2.1034057262956812E-3</v>
      </c>
      <c r="CR192" s="14">
        <v>2.6476733280373381E-5</v>
      </c>
      <c r="CS192" s="14">
        <f t="shared" si="71"/>
        <v>4.6069520163022092E-2</v>
      </c>
    </row>
    <row r="193" spans="92:97" x14ac:dyDescent="0.45">
      <c r="CN193" s="2">
        <v>95</v>
      </c>
      <c r="CO193" s="14">
        <v>0.05</v>
      </c>
      <c r="CP193" s="14">
        <v>-1.8437953132650145E-3</v>
      </c>
      <c r="CQ193" s="14">
        <v>-2.0923351713415862E-3</v>
      </c>
      <c r="CR193" s="14">
        <v>2.6337382052581946E-5</v>
      </c>
      <c r="CS193" s="14">
        <f t="shared" si="71"/>
        <v>4.6090206897445987E-2</v>
      </c>
    </row>
    <row r="194" spans="92:97" x14ac:dyDescent="0.45">
      <c r="CN194" s="2">
        <v>95.5</v>
      </c>
      <c r="CO194" s="14">
        <v>0.05</v>
      </c>
      <c r="CP194" s="14">
        <v>-1.8341419347147731E-3</v>
      </c>
      <c r="CQ194" s="14">
        <v>-2.0813805382723888E-3</v>
      </c>
      <c r="CR194" s="14">
        <v>2.6199489999950623E-5</v>
      </c>
      <c r="CS194" s="14">
        <f t="shared" si="71"/>
        <v>4.611067701701279E-2</v>
      </c>
    </row>
    <row r="195" spans="92:97" x14ac:dyDescent="0.45">
      <c r="CN195" s="2">
        <v>96</v>
      </c>
      <c r="CO195" s="14">
        <v>0.05</v>
      </c>
      <c r="CP195" s="14">
        <v>-1.8245891121852929E-3</v>
      </c>
      <c r="CQ195" s="14">
        <v>-2.0705400158249334E-3</v>
      </c>
      <c r="CR195" s="14">
        <v>2.6063034322867547E-5</v>
      </c>
      <c r="CS195" s="14">
        <f t="shared" si="71"/>
        <v>4.6130933906312649E-2</v>
      </c>
    </row>
    <row r="196" spans="92:97" x14ac:dyDescent="0.45">
      <c r="CN196" s="2">
        <v>96.5</v>
      </c>
      <c r="CO196" s="14">
        <v>0.05</v>
      </c>
      <c r="CP196" s="14">
        <v>-1.8151352826302517E-3</v>
      </c>
      <c r="CQ196" s="14">
        <v>-2.0598118302735044E-3</v>
      </c>
      <c r="CR196" s="14">
        <v>2.5927992694251657E-5</v>
      </c>
      <c r="CS196" s="14">
        <f t="shared" ref="CS196:CS259" si="72">SUM(CO196:CR196)</f>
        <v>4.6150980879790492E-2</v>
      </c>
    </row>
    <row r="197" spans="92:97" x14ac:dyDescent="0.45">
      <c r="CN197" s="2">
        <v>97</v>
      </c>
      <c r="CO197" s="14">
        <v>0.05</v>
      </c>
      <c r="CP197" s="14">
        <v>-1.805778915231018E-3</v>
      </c>
      <c r="CQ197" s="14">
        <v>-2.0491942444625416E-3</v>
      </c>
      <c r="CR197" s="14">
        <v>2.579434324737407E-5</v>
      </c>
      <c r="CS197" s="14">
        <f t="shared" si="72"/>
        <v>4.6170821183553812E-2</v>
      </c>
    </row>
    <row r="198" spans="92:97" x14ac:dyDescent="0.45">
      <c r="CN198" s="2">
        <v>97.5</v>
      </c>
      <c r="CO198" s="14">
        <v>0.05</v>
      </c>
      <c r="CP198" s="14">
        <v>-1.7965185105703063E-3</v>
      </c>
      <c r="CQ198" s="14">
        <v>-2.0386855568691E-3</v>
      </c>
      <c r="CR198" s="14">
        <v>2.5662064564054203E-5</v>
      </c>
      <c r="CS198" s="14">
        <f t="shared" si="72"/>
        <v>4.6190457997124651E-2</v>
      </c>
    </row>
    <row r="199" spans="92:97" x14ac:dyDescent="0.45">
      <c r="CN199" s="2">
        <v>98</v>
      </c>
      <c r="CO199" s="14">
        <v>0.05</v>
      </c>
      <c r="CP199" s="14">
        <v>-1.7873525998311306E-3</v>
      </c>
      <c r="CQ199" s="14">
        <v>-2.0282841006939944E-3</v>
      </c>
      <c r="CR199" s="14">
        <v>2.5531135663217192E-5</v>
      </c>
      <c r="CS199" s="14">
        <f t="shared" si="72"/>
        <v>4.6209894435138101E-2</v>
      </c>
    </row>
    <row r="200" spans="92:97" x14ac:dyDescent="0.45">
      <c r="CN200" s="2">
        <v>98.5</v>
      </c>
      <c r="CO200" s="14">
        <v>0.05</v>
      </c>
      <c r="CP200" s="14">
        <v>-1.7782797440201504E-3</v>
      </c>
      <c r="CQ200" s="14">
        <v>-2.0179882429806088E-3</v>
      </c>
      <c r="CR200" s="14">
        <v>2.5401535989799845E-5</v>
      </c>
      <c r="CS200" s="14">
        <f t="shared" si="72"/>
        <v>4.6229133548989047E-2</v>
      </c>
    </row>
    <row r="201" spans="92:97" x14ac:dyDescent="0.45">
      <c r="CN201" s="2">
        <v>99</v>
      </c>
      <c r="CO201" s="14">
        <v>0.05</v>
      </c>
      <c r="CP201" s="14">
        <v>-1.7692985332145577E-3</v>
      </c>
      <c r="CQ201" s="14">
        <v>-2.0077963837604011E-3</v>
      </c>
      <c r="CR201" s="14">
        <v>2.5273245403992778E-5</v>
      </c>
      <c r="CS201" s="14">
        <f t="shared" si="72"/>
        <v>4.6248178328429035E-2</v>
      </c>
    </row>
    <row r="202" spans="92:97" x14ac:dyDescent="0.45">
      <c r="CN202" s="2">
        <v>99.5</v>
      </c>
      <c r="CO202" s="14">
        <v>0.05</v>
      </c>
      <c r="CP202" s="14">
        <v>-1.7604075858316615E-3</v>
      </c>
      <c r="CQ202" s="14">
        <v>-1.997706955224149E-3</v>
      </c>
      <c r="CR202" s="14">
        <v>2.5146244170806881E-5</v>
      </c>
      <c r="CS202" s="14">
        <f t="shared" si="72"/>
        <v>4.6267031703114997E-2</v>
      </c>
    </row>
    <row r="203" spans="92:97" x14ac:dyDescent="0.45">
      <c r="CN203" s="2">
        <v>100</v>
      </c>
      <c r="CO203" s="14">
        <v>0.05</v>
      </c>
      <c r="CP203" s="14">
        <v>-1.7516055479203931E-3</v>
      </c>
      <c r="CQ203" s="14">
        <v>-1.9877184209180611E-3</v>
      </c>
      <c r="CR203" s="14">
        <v>2.5020512949952849E-5</v>
      </c>
      <c r="CS203" s="14">
        <f t="shared" si="72"/>
        <v>4.62856965441115E-2</v>
      </c>
    </row>
    <row r="204" spans="92:97" x14ac:dyDescent="0.45">
      <c r="CN204" s="2">
        <v>100.5</v>
      </c>
      <c r="CO204" s="14">
        <v>0.05</v>
      </c>
      <c r="CP204" s="14">
        <v>-1.7428910924739524E-3</v>
      </c>
      <c r="CQ204" s="14">
        <v>-1.9778292749638663E-3</v>
      </c>
      <c r="CR204" s="14">
        <v>2.4896032786022737E-5</v>
      </c>
      <c r="CS204" s="14">
        <f t="shared" si="72"/>
        <v>4.6304175665348203E-2</v>
      </c>
    </row>
    <row r="205" spans="92:97" x14ac:dyDescent="0.45">
      <c r="CN205" s="2">
        <v>101</v>
      </c>
      <c r="CO205" s="14">
        <v>0.05</v>
      </c>
      <c r="CP205" s="14">
        <v>-1.7342629187628768E-3</v>
      </c>
      <c r="CQ205" s="14">
        <v>-1.968038041302066E-3</v>
      </c>
      <c r="CR205" s="14">
        <v>2.4772785098963216E-5</v>
      </c>
      <c r="CS205" s="14">
        <f t="shared" si="72"/>
        <v>4.6322471825034024E-2</v>
      </c>
    </row>
    <row r="206" spans="92:97" x14ac:dyDescent="0.45">
      <c r="CN206" s="2">
        <v>101.5</v>
      </c>
      <c r="CO206" s="14">
        <v>0.05</v>
      </c>
      <c r="CP206" s="14">
        <v>-1.725719751687818E-3</v>
      </c>
      <c r="CQ206" s="14">
        <v>-1.958343272957542E-3</v>
      </c>
      <c r="CR206" s="14">
        <v>2.4650751674830394E-5</v>
      </c>
      <c r="CS206" s="14">
        <f t="shared" si="72"/>
        <v>4.6340587727029474E-2</v>
      </c>
    </row>
    <row r="207" spans="92:97" x14ac:dyDescent="0.45">
      <c r="CN207" s="2">
        <v>102</v>
      </c>
      <c r="CO207" s="14">
        <v>0.05</v>
      </c>
      <c r="CP207" s="14">
        <v>-1.7172603411513537E-3</v>
      </c>
      <c r="CQ207" s="14">
        <v>-1.9487435513267611E-3</v>
      </c>
      <c r="CR207" s="14">
        <v>2.4529914656816519E-5</v>
      </c>
      <c r="CS207" s="14">
        <f t="shared" si="72"/>
        <v>4.6358526022178707E-2</v>
      </c>
    </row>
    <row r="208" spans="92:97" x14ac:dyDescent="0.45">
      <c r="CN208" s="2">
        <v>102.5</v>
      </c>
      <c r="CO208" s="14">
        <v>0.05</v>
      </c>
      <c r="CP208" s="14">
        <v>-1.7088834614481894E-3</v>
      </c>
      <c r="CQ208" s="14">
        <v>-1.9392374854858342E-3</v>
      </c>
      <c r="CR208" s="14">
        <v>2.4410256536539365E-5</v>
      </c>
      <c r="CS208" s="14">
        <f t="shared" si="72"/>
        <v>4.6376289309602518E-2</v>
      </c>
    </row>
    <row r="209" spans="92:97" x14ac:dyDescent="0.45">
      <c r="CN209" s="2">
        <v>103</v>
      </c>
      <c r="CO209" s="14">
        <v>0.05</v>
      </c>
      <c r="CP209" s="14">
        <v>-1.7005879106731167E-3</v>
      </c>
      <c r="CQ209" s="14">
        <v>-1.9298237115187246E-3</v>
      </c>
      <c r="CR209" s="14">
        <v>2.4291760145585289E-5</v>
      </c>
      <c r="CS209" s="14">
        <f t="shared" si="72"/>
        <v>4.6393880137953751E-2</v>
      </c>
    </row>
    <row r="210" spans="92:97" x14ac:dyDescent="0.45">
      <c r="CN210" s="2">
        <v>103.5</v>
      </c>
      <c r="CO210" s="14">
        <v>0.05</v>
      </c>
      <c r="CP210" s="14">
        <v>-1.6923725101461343E-3</v>
      </c>
      <c r="CQ210" s="14">
        <v>-1.9205008918649236E-3</v>
      </c>
      <c r="CR210" s="14">
        <v>2.4174408647297441E-5</v>
      </c>
      <c r="CS210" s="14">
        <f t="shared" si="72"/>
        <v>4.6411301006636249E-2</v>
      </c>
    </row>
    <row r="211" spans="92:97" x14ac:dyDescent="0.45">
      <c r="CN211" s="2">
        <v>104</v>
      </c>
      <c r="CO211" s="14">
        <v>0.05</v>
      </c>
      <c r="CP211" s="14">
        <v>-1.684236103854152E-3</v>
      </c>
      <c r="CQ211" s="14">
        <v>-1.9112677146859395E-3</v>
      </c>
      <c r="CR211" s="14">
        <v>2.4058185528800817E-5</v>
      </c>
      <c r="CS211" s="14">
        <f t="shared" si="72"/>
        <v>4.6428554366988714E-2</v>
      </c>
    </row>
    <row r="212" spans="92:97" x14ac:dyDescent="0.45">
      <c r="CN212" s="2">
        <v>104.5</v>
      </c>
      <c r="CO212" s="14">
        <v>0.05</v>
      </c>
      <c r="CP212" s="14">
        <v>-1.6761775579087201E-3</v>
      </c>
      <c r="CQ212" s="14">
        <v>-1.9021228932499703E-3</v>
      </c>
      <c r="CR212" s="14">
        <v>2.3943074593256316E-5</v>
      </c>
      <c r="CS212" s="14">
        <f t="shared" si="72"/>
        <v>4.6445642623434563E-2</v>
      </c>
    </row>
    <row r="213" spans="92:97" x14ac:dyDescent="0.45">
      <c r="CN213" s="2">
        <v>105</v>
      </c>
      <c r="CO213" s="14">
        <v>0.05</v>
      </c>
      <c r="CP213" s="14">
        <v>-1.6681957600192545E-3</v>
      </c>
      <c r="CQ213" s="14">
        <v>-1.8930651653341513E-3</v>
      </c>
      <c r="CR213" s="14">
        <v>2.3829059952336046E-5</v>
      </c>
      <c r="CS213" s="14">
        <f t="shared" si="72"/>
        <v>4.6462568134598939E-2</v>
      </c>
    </row>
    <row r="214" spans="92:97" x14ac:dyDescent="0.45">
      <c r="CN214" s="2">
        <v>105.5</v>
      </c>
      <c r="CO214" s="14">
        <v>0.05</v>
      </c>
      <c r="CP214" s="14">
        <v>-1.6602896189812392E-3</v>
      </c>
      <c r="CQ214" s="14">
        <v>-1.8840932926438014E-3</v>
      </c>
      <c r="CR214" s="14">
        <v>2.3716126018912656E-5</v>
      </c>
      <c r="CS214" s="14">
        <f t="shared" si="72"/>
        <v>4.6479333214393875E-2</v>
      </c>
    </row>
    <row r="215" spans="92:97" x14ac:dyDescent="0.45">
      <c r="CN215" s="2">
        <v>106</v>
      </c>
      <c r="CO215" s="14">
        <v>0.05</v>
      </c>
      <c r="CP215" s="14">
        <v>-1.6524580641789164E-3</v>
      </c>
      <c r="CQ215" s="14">
        <v>-1.8752060602481009E-3</v>
      </c>
      <c r="CR215" s="14">
        <v>2.3604257499955521E-5</v>
      </c>
      <c r="CS215" s="14">
        <f t="shared" si="72"/>
        <v>4.6495940133072941E-2</v>
      </c>
    </row>
    <row r="216" spans="92:97" x14ac:dyDescent="0.45">
      <c r="CN216" s="2">
        <v>106.5</v>
      </c>
      <c r="CO216" s="14">
        <v>0.05</v>
      </c>
      <c r="CP216" s="14">
        <v>-1.6447000451019795E-3</v>
      </c>
      <c r="CQ216" s="14">
        <v>-1.8664022760316633E-3</v>
      </c>
      <c r="CR216" s="14">
        <v>2.349343938962709E-5</v>
      </c>
      <c r="CS216" s="14">
        <f t="shared" si="72"/>
        <v>4.6512391118255988E-2</v>
      </c>
    </row>
    <row r="217" spans="92:97" x14ac:dyDescent="0.45">
      <c r="CN217" s="2">
        <v>107</v>
      </c>
      <c r="CO217" s="14">
        <v>0.05</v>
      </c>
      <c r="CP217" s="14">
        <v>-1.6370145308758236E-3</v>
      </c>
      <c r="CQ217" s="14">
        <v>-1.8576807701614817E-3</v>
      </c>
      <c r="CR217" s="14">
        <v>2.3383656962572758E-5</v>
      </c>
      <c r="CS217" s="14">
        <f t="shared" si="72"/>
        <v>4.6528688355925267E-2</v>
      </c>
    </row>
    <row r="218" spans="92:97" x14ac:dyDescent="0.45">
      <c r="CN218" s="2">
        <v>107.5</v>
      </c>
      <c r="CO218" s="14">
        <v>0.05</v>
      </c>
      <c r="CP218" s="14">
        <v>-1.6294005098049006E-3</v>
      </c>
      <c r="CQ218" s="14">
        <v>-1.8490403945687511E-3</v>
      </c>
      <c r="CR218" s="14">
        <v>2.3274895767397999E-5</v>
      </c>
      <c r="CS218" s="14">
        <f t="shared" si="72"/>
        <v>4.6544833991393753E-2</v>
      </c>
    </row>
    <row r="219" spans="92:97" x14ac:dyDescent="0.45">
      <c r="CN219" s="2">
        <v>108</v>
      </c>
      <c r="CO219" s="14">
        <v>0.05</v>
      </c>
      <c r="CP219" s="14">
        <v>-1.6218569889287608E-3</v>
      </c>
      <c r="CQ219" s="14">
        <v>-1.8404800224450797E-3</v>
      </c>
      <c r="CR219" s="14">
        <v>2.3167141620326716E-5</v>
      </c>
      <c r="CS219" s="14">
        <f t="shared" si="72"/>
        <v>4.6560830130246485E-2</v>
      </c>
    </row>
    <row r="220" spans="92:97" x14ac:dyDescent="0.45">
      <c r="CN220" s="2">
        <v>108.5</v>
      </c>
      <c r="CO220" s="14">
        <v>0.05</v>
      </c>
      <c r="CP220" s="14">
        <v>-1.6143829935903677E-3</v>
      </c>
      <c r="CQ220" s="14">
        <v>-1.8319985477526315E-3</v>
      </c>
      <c r="CR220" s="14">
        <v>2.3060380599034886E-5</v>
      </c>
      <c r="CS220" s="14">
        <f t="shared" si="72"/>
        <v>4.6576678839256043E-2</v>
      </c>
    </row>
    <row r="221" spans="92:97" x14ac:dyDescent="0.45">
      <c r="CN221" s="2">
        <v>109</v>
      </c>
      <c r="CO221" s="14">
        <v>0.05</v>
      </c>
      <c r="CP221" s="14">
        <v>-1.6069775670162969E-3</v>
      </c>
      <c r="CQ221" s="14">
        <v>-1.8235948847477473E-3</v>
      </c>
      <c r="CR221" s="14">
        <v>2.2954599036653991E-5</v>
      </c>
      <c r="CS221" s="14">
        <f t="shared" si="72"/>
        <v>4.6592382147272612E-2</v>
      </c>
    </row>
    <row r="222" spans="92:97" x14ac:dyDescent="0.45">
      <c r="CN222" s="2">
        <v>109.5</v>
      </c>
      <c r="CO222" s="14">
        <v>0.05</v>
      </c>
      <c r="CP222" s="14">
        <v>-1.599639769908434E-3</v>
      </c>
      <c r="CQ222" s="14">
        <v>-1.8152679675176183E-3</v>
      </c>
      <c r="CR222" s="14">
        <v>2.2849783515938677E-5</v>
      </c>
      <c r="CS222" s="14">
        <f t="shared" si="72"/>
        <v>4.6607942046089888E-2</v>
      </c>
    </row>
    <row r="223" spans="92:97" x14ac:dyDescent="0.45">
      <c r="CN223" s="2">
        <v>110</v>
      </c>
      <c r="CO223" s="14">
        <v>0.05</v>
      </c>
      <c r="CP223" s="14">
        <v>-1.5923686800468104E-3</v>
      </c>
      <c r="CQ223" s="14">
        <v>-1.8070167495295927E-3</v>
      </c>
      <c r="CR223" s="14">
        <v>2.2745920863593502E-5</v>
      </c>
      <c r="CS223" s="14">
        <f t="shared" si="72"/>
        <v>4.6623360491287194E-2</v>
      </c>
    </row>
    <row r="224" spans="92:97" x14ac:dyDescent="0.45">
      <c r="CN224" s="2">
        <v>110.5</v>
      </c>
      <c r="CO224" s="14">
        <v>0.05</v>
      </c>
      <c r="CP224" s="14">
        <v>-1.5851633919032172E-3</v>
      </c>
      <c r="CQ224" s="14">
        <v>-1.7988402031927204E-3</v>
      </c>
      <c r="CR224" s="14">
        <v>2.2642998144753707E-5</v>
      </c>
      <c r="CS224" s="14">
        <f t="shared" si="72"/>
        <v>4.6638639403048812E-2</v>
      </c>
    </row>
    <row r="225" spans="92:97" x14ac:dyDescent="0.45">
      <c r="CN225" s="2">
        <v>111</v>
      </c>
      <c r="CO225" s="14">
        <v>0.05</v>
      </c>
      <c r="CP225" s="14">
        <v>-1.5780230162652676E-3</v>
      </c>
      <c r="CQ225" s="14">
        <v>-1.7907373194311425E-3</v>
      </c>
      <c r="CR225" s="14">
        <v>2.2541002657615176E-5</v>
      </c>
      <c r="CS225" s="14">
        <f t="shared" si="72"/>
        <v>4.6653780666961214E-2</v>
      </c>
    </row>
    <row r="226" spans="92:97" x14ac:dyDescent="0.45">
      <c r="CN226" s="2">
        <v>111.5</v>
      </c>
      <c r="CO226" s="14">
        <v>0.05</v>
      </c>
      <c r="CP226" s="14">
        <v>-1.570946679870571E-3</v>
      </c>
      <c r="CQ226" s="14">
        <v>-1.7827071072689627E-3</v>
      </c>
      <c r="CR226" s="14">
        <v>2.2439921928208833E-5</v>
      </c>
      <c r="CS226" s="14">
        <f t="shared" si="72"/>
        <v>4.666878613478867E-2</v>
      </c>
    </row>
    <row r="227" spans="92:97" x14ac:dyDescent="0.45">
      <c r="CN227" s="2">
        <v>112</v>
      </c>
      <c r="CO227" s="14">
        <v>0.05</v>
      </c>
      <c r="CP227" s="14">
        <v>-1.5639335250507058E-3</v>
      </c>
      <c r="CQ227" s="14">
        <v>-1.7747485934262348E-3</v>
      </c>
      <c r="CR227" s="14">
        <v>2.2339743705315041E-5</v>
      </c>
      <c r="CS227" s="14">
        <f t="shared" si="72"/>
        <v>4.6683657625228372E-2</v>
      </c>
    </row>
    <row r="228" spans="92:97" x14ac:dyDescent="0.45">
      <c r="CN228" s="2">
        <v>112.5</v>
      </c>
      <c r="CO228" s="14">
        <v>0.05</v>
      </c>
      <c r="CP228" s="14">
        <v>-1.5569827093846874E-3</v>
      </c>
      <c r="CQ228" s="14">
        <v>-1.7668608219257264E-3</v>
      </c>
      <c r="CR228" s="14">
        <v>2.2240455955513641E-5</v>
      </c>
      <c r="CS228" s="14">
        <f t="shared" si="72"/>
        <v>4.6698396924645107E-2</v>
      </c>
    </row>
    <row r="229" spans="92:97" x14ac:dyDescent="0.45">
      <c r="CN229" s="2">
        <v>113</v>
      </c>
      <c r="CO229" s="14">
        <v>0.05</v>
      </c>
      <c r="CP229" s="14">
        <v>-1.550093405361636E-3</v>
      </c>
      <c r="CQ229" s="14">
        <v>-1.7590428537101171E-3</v>
      </c>
      <c r="CR229" s="14">
        <v>2.2142046858365352E-5</v>
      </c>
      <c r="CS229" s="14">
        <f t="shared" si="72"/>
        <v>4.6713005787786616E-2</v>
      </c>
    </row>
    <row r="230" spans="92:97" x14ac:dyDescent="0.45">
      <c r="CN230" s="2">
        <v>113.5</v>
      </c>
      <c r="CO230" s="14">
        <v>0.05</v>
      </c>
      <c r="CP230" s="14">
        <v>-1.5432648000523591E-3</v>
      </c>
      <c r="CQ230" s="14">
        <v>-1.751293766269319E-3</v>
      </c>
      <c r="CR230" s="14">
        <v>2.204450480172057E-5</v>
      </c>
      <c r="CS230" s="14">
        <f t="shared" si="72"/>
        <v>4.6727485938480043E-2</v>
      </c>
    </row>
    <row r="231" spans="92:97" x14ac:dyDescent="0.45">
      <c r="CN231" s="2">
        <v>114</v>
      </c>
      <c r="CO231" s="14">
        <v>0.05</v>
      </c>
      <c r="CP231" s="14">
        <v>-1.5364960947895805E-3</v>
      </c>
      <c r="CQ231" s="14">
        <v>-1.7436126532776018E-3</v>
      </c>
      <c r="CR231" s="14">
        <v>2.1947818377151621E-5</v>
      </c>
      <c r="CS231" s="14">
        <f t="shared" si="72"/>
        <v>4.6741839070309973E-2</v>
      </c>
    </row>
    <row r="232" spans="92:97" x14ac:dyDescent="0.45">
      <c r="CN232" s="2">
        <v>114.5</v>
      </c>
      <c r="CO232" s="14">
        <v>0.05</v>
      </c>
      <c r="CP232" s="14">
        <v>-1.5297865048565409E-3</v>
      </c>
      <c r="CQ232" s="14">
        <v>-1.7359986242402256E-3</v>
      </c>
      <c r="CR232" s="14">
        <v>2.1851976375504672E-5</v>
      </c>
      <c r="CS232" s="14">
        <f t="shared" si="72"/>
        <v>4.6756066847278739E-2</v>
      </c>
    </row>
    <row r="233" spans="92:97" x14ac:dyDescent="0.45">
      <c r="CN233" s="2">
        <v>115</v>
      </c>
      <c r="CO233" s="14">
        <v>0.05</v>
      </c>
      <c r="CP233" s="14">
        <v>-1.5231352591837299E-3</v>
      </c>
      <c r="CQ233" s="14">
        <v>-1.7284508041492919E-3</v>
      </c>
      <c r="CR233" s="14">
        <v>2.1756967782567694E-5</v>
      </c>
      <c r="CS233" s="14">
        <f t="shared" si="72"/>
        <v>4.6770170904449543E-2</v>
      </c>
    </row>
    <row r="234" spans="92:97" x14ac:dyDescent="0.45">
      <c r="CN234" s="2">
        <v>115.5</v>
      </c>
      <c r="CO234" s="14">
        <v>0.05</v>
      </c>
      <c r="CP234" s="14">
        <v>-1.5165416000534886E-3</v>
      </c>
      <c r="CQ234" s="14">
        <v>-1.7209683331485329E-3</v>
      </c>
      <c r="CR234" s="14">
        <v>2.1662781774850951E-5</v>
      </c>
      <c r="CS234" s="14">
        <f t="shared" si="72"/>
        <v>4.6784152848572833E-2</v>
      </c>
    </row>
    <row r="235" spans="92:97" x14ac:dyDescent="0.45">
      <c r="CN235" s="2">
        <v>116</v>
      </c>
      <c r="CO235" s="14">
        <v>0.05</v>
      </c>
      <c r="CP235" s="14">
        <v>-1.5100047828122546E-3</v>
      </c>
      <c r="CQ235" s="14">
        <v>-1.7135503662067703E-3</v>
      </c>
      <c r="CR235" s="14">
        <v>2.1569407715476594E-5</v>
      </c>
      <c r="CS235" s="14">
        <f t="shared" si="72"/>
        <v>4.6798014258696459E-2</v>
      </c>
    </row>
    <row r="236" spans="92:97" x14ac:dyDescent="0.45">
      <c r="CN236" s="2">
        <v>116.5</v>
      </c>
      <c r="CO236" s="14">
        <v>0.05</v>
      </c>
      <c r="CP236" s="14">
        <v>-1.5035240755902177E-3</v>
      </c>
      <c r="CQ236" s="14">
        <v>-1.7061960727997815E-3</v>
      </c>
      <c r="CR236" s="14">
        <v>2.147683515017412E-5</v>
      </c>
      <c r="CS236" s="14">
        <f t="shared" si="72"/>
        <v>4.6811756686760173E-2</v>
      </c>
    </row>
    <row r="237" spans="92:97" x14ac:dyDescent="0.45">
      <c r="CN237" s="2">
        <v>117</v>
      </c>
      <c r="CO237" s="14">
        <v>0.05</v>
      </c>
      <c r="CP237" s="14">
        <v>-1.4970987590281622E-3</v>
      </c>
      <c r="CQ237" s="14">
        <v>-1.6989046366003245E-3</v>
      </c>
      <c r="CR237" s="14">
        <v>2.1385053803378503E-5</v>
      </c>
      <c r="CS237" s="14">
        <f t="shared" si="72"/>
        <v>4.6825381658174896E-2</v>
      </c>
    </row>
    <row r="238" spans="92:97" x14ac:dyDescent="0.45">
      <c r="CN238" s="2">
        <v>117.5</v>
      </c>
      <c r="CO238" s="14">
        <v>0.05</v>
      </c>
      <c r="CP238" s="14">
        <v>-1.4907281260112832E-3</v>
      </c>
      <c r="CQ238" s="14">
        <v>-1.6916752551760759E-3</v>
      </c>
      <c r="CR238" s="14">
        <v>2.1294053574427958E-5</v>
      </c>
      <c r="CS238" s="14">
        <f t="shared" si="72"/>
        <v>4.6838890672387071E-2</v>
      </c>
    </row>
    <row r="239" spans="92:97" x14ac:dyDescent="0.45">
      <c r="CN239" s="2">
        <v>118</v>
      </c>
      <c r="CO239" s="14">
        <v>0.05</v>
      </c>
      <c r="CP239" s="14">
        <v>-1.4844114814097727E-3</v>
      </c>
      <c r="CQ239" s="14">
        <v>-1.6845071396952482E-3</v>
      </c>
      <c r="CR239" s="14">
        <v>2.1203824533858349E-5</v>
      </c>
      <c r="CS239" s="14">
        <f t="shared" si="72"/>
        <v>4.6852285203428837E-2</v>
      </c>
    </row>
    <row r="240" spans="92:97" x14ac:dyDescent="0.45">
      <c r="CN240" s="2">
        <v>118.5</v>
      </c>
      <c r="CO240" s="14">
        <v>0.05</v>
      </c>
      <c r="CP240" s="14">
        <v>-1.4781481418259714E-3</v>
      </c>
      <c r="CQ240" s="14">
        <v>-1.6773995146396599E-3</v>
      </c>
      <c r="CR240" s="14">
        <v>2.1114356919791433E-5</v>
      </c>
      <c r="CS240" s="14">
        <f t="shared" si="72"/>
        <v>4.6865566700454157E-2</v>
      </c>
    </row>
    <row r="241" spans="92:97" x14ac:dyDescent="0.45">
      <c r="CN241" s="2">
        <v>119</v>
      </c>
      <c r="CO241" s="14">
        <v>0.05</v>
      </c>
      <c r="CP241" s="14">
        <v>-1.4719374353478936E-3</v>
      </c>
      <c r="CQ241" s="14">
        <v>-1.670351617525039E-3</v>
      </c>
      <c r="CR241" s="14">
        <v>2.102564113441416E-5</v>
      </c>
      <c r="CS241" s="14">
        <f t="shared" si="72"/>
        <v>4.6878736588261485E-2</v>
      </c>
    </row>
    <row r="242" spans="92:97" x14ac:dyDescent="0.45">
      <c r="CN242" s="2">
        <v>119.5</v>
      </c>
      <c r="CO242" s="14">
        <v>0.05</v>
      </c>
      <c r="CP242" s="14">
        <v>-1.4657787013089428E-3</v>
      </c>
      <c r="CQ242" s="14">
        <v>-1.6633626986283481E-3</v>
      </c>
      <c r="CR242" s="14">
        <v>2.0937667740546317E-5</v>
      </c>
      <c r="CS242" s="14">
        <f t="shared" si="72"/>
        <v>4.6891796267803258E-2</v>
      </c>
    </row>
    <row r="243" spans="92:97" x14ac:dyDescent="0.45">
      <c r="CN243" s="2">
        <v>120</v>
      </c>
      <c r="CO243" s="14">
        <v>0.05</v>
      </c>
      <c r="CP243" s="14">
        <v>-1.4596712900536326E-3</v>
      </c>
      <c r="CQ243" s="14">
        <v>-1.656432020721927E-3</v>
      </c>
      <c r="CR243" s="14">
        <v>2.085042745829404E-5</v>
      </c>
      <c r="CS243" s="14">
        <f t="shared" si="72"/>
        <v>4.6904747116682743E-2</v>
      </c>
    </row>
    <row r="244" spans="92:97" x14ac:dyDescent="0.45">
      <c r="CN244" s="2">
        <v>120.5</v>
      </c>
      <c r="CO244" s="14">
        <v>0.05</v>
      </c>
      <c r="CP244" s="14">
        <v>-1.4536145627091393E-3</v>
      </c>
      <c r="CQ244" s="14">
        <v>-1.6495588588142517E-3</v>
      </c>
      <c r="CR244" s="14">
        <v>2.0763911161786599E-5</v>
      </c>
      <c r="CS244" s="14">
        <f t="shared" si="72"/>
        <v>4.6917590489638394E-2</v>
      </c>
    </row>
    <row r="245" spans="92:97" x14ac:dyDescent="0.45">
      <c r="CN245" s="2">
        <v>121</v>
      </c>
      <c r="CO245" s="14">
        <v>0.05</v>
      </c>
      <c r="CP245" s="14">
        <v>-1.44760789096252E-3</v>
      </c>
      <c r="CQ245" s="14">
        <v>-1.6427424998971232E-3</v>
      </c>
      <c r="CR245" s="14">
        <v>2.067810987599409E-5</v>
      </c>
      <c r="CS245" s="14">
        <f t="shared" si="72"/>
        <v>4.6930327719016347E-2</v>
      </c>
    </row>
    <row r="246" spans="92:97" x14ac:dyDescent="0.45">
      <c r="CN246" s="2">
        <v>121.5</v>
      </c>
      <c r="CO246" s="14">
        <v>0.05</v>
      </c>
      <c r="CP246" s="14">
        <v>-1.441650656843433E-3</v>
      </c>
      <c r="CQ246" s="14">
        <v>-1.6359822426990989E-3</v>
      </c>
      <c r="CR246" s="14">
        <v>2.0593014773623745E-5</v>
      </c>
      <c r="CS246" s="14">
        <f t="shared" si="72"/>
        <v>4.6942960115231101E-2</v>
      </c>
    </row>
    <row r="247" spans="92:97" x14ac:dyDescent="0.45">
      <c r="CN247" s="2">
        <v>122</v>
      </c>
      <c r="CO247" s="14">
        <v>0.05</v>
      </c>
      <c r="CP247" s="14">
        <v>-1.4357422525121961E-3</v>
      </c>
      <c r="CQ247" s="14">
        <v>-1.6292773974449835E-3</v>
      </c>
      <c r="CR247" s="14">
        <v>2.0508617172092499E-5</v>
      </c>
      <c r="CS247" s="14">
        <f t="shared" si="72"/>
        <v>4.6955488967214916E-2</v>
      </c>
    </row>
    <row r="248" spans="92:97" x14ac:dyDescent="0.45">
      <c r="CN248" s="2">
        <v>122.5</v>
      </c>
      <c r="CO248" s="14">
        <v>0.05</v>
      </c>
      <c r="CP248" s="14">
        <v>-1.4298820800530416E-3</v>
      </c>
      <c r="CQ248" s="14">
        <v>-1.6226272856212131E-3</v>
      </c>
      <c r="CR248" s="14">
        <v>2.0424908530573754E-5</v>
      </c>
      <c r="CS248" s="14">
        <f t="shared" si="72"/>
        <v>4.6967915542856321E-2</v>
      </c>
    </row>
    <row r="249" spans="92:97" x14ac:dyDescent="0.45">
      <c r="CN249" s="2">
        <v>123</v>
      </c>
      <c r="CO249" s="14">
        <v>0.05</v>
      </c>
      <c r="CP249" s="14">
        <v>-1.424069551272408E-3</v>
      </c>
      <c r="CQ249" s="14">
        <v>-1.6160312397469618E-3</v>
      </c>
      <c r="CR249" s="14">
        <v>2.0341880447116137E-5</v>
      </c>
      <c r="CS249" s="14">
        <f t="shared" si="72"/>
        <v>4.6980241089427749E-2</v>
      </c>
    </row>
    <row r="250" spans="92:97" x14ac:dyDescent="0.45">
      <c r="CN250" s="2">
        <v>123.5</v>
      </c>
      <c r="CO250" s="14">
        <v>0.05</v>
      </c>
      <c r="CP250" s="14">
        <v>-1.4183040875021362E-3</v>
      </c>
      <c r="CQ250" s="14">
        <v>-1.6094886031508065E-3</v>
      </c>
      <c r="CR250" s="14">
        <v>2.0259524655832265E-5</v>
      </c>
      <c r="CS250" s="14">
        <f t="shared" si="72"/>
        <v>4.6992466834002891E-2</v>
      </c>
    </row>
    <row r="251" spans="92:97" x14ac:dyDescent="0.45">
      <c r="CN251" s="2">
        <v>124</v>
      </c>
      <c r="CO251" s="14">
        <v>0.05</v>
      </c>
      <c r="CP251" s="14">
        <v>-1.4125851194074245E-3</v>
      </c>
      <c r="CQ251" s="14">
        <v>-1.6029987297527951E-3</v>
      </c>
      <c r="CR251" s="14">
        <v>2.0177833024155525E-5</v>
      </c>
      <c r="CS251" s="14">
        <f t="shared" si="72"/>
        <v>4.7004593983863939E-2</v>
      </c>
    </row>
    <row r="252" spans="92:97" x14ac:dyDescent="0.45">
      <c r="CN252" s="2">
        <v>124.5</v>
      </c>
      <c r="CO252" s="14">
        <v>0.05</v>
      </c>
      <c r="CP252" s="14">
        <v>-1.4069120867994112E-3</v>
      </c>
      <c r="CQ252" s="14">
        <v>-1.5965609838517673E-3</v>
      </c>
      <c r="CR252" s="14">
        <v>2.0096797550162931E-5</v>
      </c>
      <c r="CS252" s="14">
        <f t="shared" si="72"/>
        <v>4.7016623726898986E-2</v>
      </c>
    </row>
    <row r="253" spans="92:97" x14ac:dyDescent="0.45">
      <c r="CN253" s="2">
        <v>125</v>
      </c>
      <c r="CO253" s="14">
        <v>0.05</v>
      </c>
      <c r="CP253" s="14">
        <v>-1.4012844384522567E-3</v>
      </c>
      <c r="CQ253" s="14">
        <v>-1.5901747399177798E-3</v>
      </c>
      <c r="CR253" s="14">
        <v>2.0016410359962281E-5</v>
      </c>
      <c r="CS253" s="14">
        <f t="shared" si="72"/>
        <v>4.7028557231989926E-2</v>
      </c>
    </row>
    <row r="254" spans="92:97" x14ac:dyDescent="0.45">
      <c r="CN254" s="2">
        <v>125.5</v>
      </c>
      <c r="CO254" s="14">
        <v>0.05</v>
      </c>
      <c r="CP254" s="14">
        <v>-1.3957016319245967E-3</v>
      </c>
      <c r="CQ254" s="14">
        <v>-1.5838393823894908E-3</v>
      </c>
      <c r="CR254" s="14">
        <v>1.9936663705141712E-5</v>
      </c>
      <c r="CS254" s="14">
        <f t="shared" si="72"/>
        <v>4.704039564939106E-2</v>
      </c>
    </row>
    <row r="255" spans="92:97" x14ac:dyDescent="0.45">
      <c r="CN255" s="2">
        <v>126</v>
      </c>
      <c r="CO255" s="14">
        <v>0.05</v>
      </c>
      <c r="CP255" s="14">
        <v>-1.3901631333852473E-3</v>
      </c>
      <c r="CQ255" s="14">
        <v>-1.5775543054763724E-3</v>
      </c>
      <c r="CR255" s="14">
        <v>1.9857549960280041E-5</v>
      </c>
      <c r="CS255" s="14">
        <f t="shared" si="72"/>
        <v>4.7052140111098657E-2</v>
      </c>
    </row>
    <row r="256" spans="92:97" x14ac:dyDescent="0.45">
      <c r="CN256" s="2">
        <v>126.5</v>
      </c>
      <c r="CO256" s="14">
        <v>0.05</v>
      </c>
      <c r="CP256" s="14">
        <v>-1.3846684174430434E-3</v>
      </c>
      <c r="CQ256" s="14">
        <v>-1.5713189129656102E-3</v>
      </c>
      <c r="CR256" s="14">
        <v>1.9779061620516088E-5</v>
      </c>
      <c r="CS256" s="14">
        <f t="shared" si="72"/>
        <v>4.7063791731211869E-2</v>
      </c>
    </row>
    <row r="257" spans="92:97" x14ac:dyDescent="0.45">
      <c r="CN257" s="2">
        <v>127</v>
      </c>
      <c r="CO257" s="14">
        <v>0.05</v>
      </c>
      <c r="CP257" s="14">
        <v>-1.379216966980696E-3</v>
      </c>
      <c r="CQ257" s="14">
        <v>-1.5651326180335669E-3</v>
      </c>
      <c r="CR257" s="14">
        <v>1.9701191299175472E-5</v>
      </c>
      <c r="CS257" s="14">
        <f t="shared" si="72"/>
        <v>4.7075351606284919E-2</v>
      </c>
    </row>
    <row r="258" spans="92:97" x14ac:dyDescent="0.45">
      <c r="CN258" s="2">
        <v>127.5</v>
      </c>
      <c r="CO258" s="14">
        <v>0.05</v>
      </c>
      <c r="CP258" s="14">
        <v>-1.37380827299256E-3</v>
      </c>
      <c r="CQ258" s="14">
        <v>-1.5589948430616808E-3</v>
      </c>
      <c r="CR258" s="14">
        <v>1.9623931725453214E-5</v>
      </c>
      <c r="CS258" s="14">
        <f t="shared" si="72"/>
        <v>4.7086820815671206E-2</v>
      </c>
    </row>
    <row r="259" spans="92:97" x14ac:dyDescent="0.45">
      <c r="CN259" s="2">
        <v>128</v>
      </c>
      <c r="CO259" s="14">
        <v>0.05</v>
      </c>
      <c r="CP259" s="14">
        <v>-1.3684418344262039E-3</v>
      </c>
      <c r="CQ259" s="14">
        <v>-1.5529050194566789E-3</v>
      </c>
      <c r="CR259" s="14">
        <v>1.9547275742150665E-5</v>
      </c>
      <c r="CS259" s="14">
        <f t="shared" si="72"/>
        <v>4.709820042185927E-2</v>
      </c>
    </row>
    <row r="260" spans="92:97" x14ac:dyDescent="0.45">
      <c r="CN260" s="2">
        <v>128.5</v>
      </c>
      <c r="CO260" s="14">
        <v>0.05</v>
      </c>
      <c r="CP260" s="14">
        <v>-1.3631171580276769E-3</v>
      </c>
      <c r="CQ260" s="14">
        <v>-1.5468625874749868E-3</v>
      </c>
      <c r="CR260" s="14">
        <v>1.9471216303465252E-5</v>
      </c>
      <c r="CS260" s="14">
        <f t="shared" ref="CS260:CS323" si="73">SUM(CO260:CR260)</f>
        <v>4.7109491470800804E-2</v>
      </c>
    </row>
    <row r="261" spans="92:97" x14ac:dyDescent="0.45">
      <c r="CN261" s="2">
        <v>129</v>
      </c>
      <c r="CO261" s="14">
        <v>0.05</v>
      </c>
      <c r="CP261" s="14">
        <v>-1.3578337581903769E-3</v>
      </c>
      <c r="CQ261" s="14">
        <v>-1.5408669960512258E-3</v>
      </c>
      <c r="CR261" s="14">
        <v>1.9395746472831664E-5</v>
      </c>
      <c r="CS261" s="14">
        <f t="shared" si="73"/>
        <v>4.7120694992231239E-2</v>
      </c>
    </row>
    <row r="262" spans="92:97" x14ac:dyDescent="0.45">
      <c r="CN262" s="2">
        <v>129.5</v>
      </c>
      <c r="CO262" s="14">
        <v>0.05</v>
      </c>
      <c r="CP262" s="14">
        <v>-1.3525911568074171E-3</v>
      </c>
      <c r="CQ262" s="14">
        <v>-1.5349177026306783E-3</v>
      </c>
      <c r="CR262" s="14">
        <v>1.932085942081301E-5</v>
      </c>
      <c r="CS262" s="14">
        <f t="shared" si="73"/>
        <v>4.7131811999982724E-2</v>
      </c>
    </row>
    <row r="263" spans="92:97" x14ac:dyDescent="0.45">
      <c r="CN263" s="2">
        <v>130</v>
      </c>
      <c r="CO263" s="14">
        <v>0.05</v>
      </c>
      <c r="CP263" s="14">
        <v>-1.3473888831274016E-3</v>
      </c>
      <c r="CQ263" s="14">
        <v>-1.52901417300562E-3</v>
      </c>
      <c r="CR263" s="14">
        <v>1.9246548423040652E-5</v>
      </c>
      <c r="CS263" s="14">
        <f t="shared" si="73"/>
        <v>4.7142843492290025E-2</v>
      </c>
    </row>
    <row r="264" spans="92:97" x14ac:dyDescent="0.45">
      <c r="CN264" s="2">
        <v>130.5</v>
      </c>
      <c r="CO264" s="14">
        <v>0.05</v>
      </c>
      <c r="CP264" s="14">
        <v>-1.3422264736135151E-3</v>
      </c>
      <c r="CQ264" s="14">
        <v>-1.5231558811554201E-3</v>
      </c>
      <c r="CR264" s="14">
        <v>1.9172806858201416E-5</v>
      </c>
      <c r="CS264" s="14">
        <f t="shared" si="73"/>
        <v>4.715379045208927E-2</v>
      </c>
    </row>
    <row r="265" spans="92:97" x14ac:dyDescent="0.45">
      <c r="CN265" s="2">
        <v>131</v>
      </c>
      <c r="CO265" s="14">
        <v>0.05</v>
      </c>
      <c r="CP265" s="14">
        <v>-1.3371034718058403E-3</v>
      </c>
      <c r="CQ265" s="14">
        <v>-1.517342309090294E-3</v>
      </c>
      <c r="CR265" s="14">
        <v>1.9099628206070877E-5</v>
      </c>
      <c r="CS265" s="14">
        <f t="shared" si="73"/>
        <v>4.7164653847309938E-2</v>
      </c>
    </row>
    <row r="266" spans="92:97" x14ac:dyDescent="0.45">
      <c r="CN266" s="2">
        <v>131.5</v>
      </c>
      <c r="CO266" s="14">
        <v>0.05</v>
      </c>
      <c r="CP266" s="14">
        <v>-1.3320194281868155E-3</v>
      </c>
      <c r="CQ266" s="14">
        <v>-1.5115729466986297E-3</v>
      </c>
      <c r="CR266" s="14">
        <v>1.902700604559152E-5</v>
      </c>
      <c r="CS266" s="14">
        <f t="shared" si="73"/>
        <v>4.7175434631160147E-2</v>
      </c>
    </row>
    <row r="267" spans="92:97" x14ac:dyDescent="0.45">
      <c r="CN267" s="2">
        <v>132</v>
      </c>
      <c r="CO267" s="14">
        <v>0.05</v>
      </c>
      <c r="CP267" s="14">
        <v>-1.3269739000497523E-3</v>
      </c>
      <c r="CQ267" s="14">
        <v>-1.5058472915977781E-3</v>
      </c>
      <c r="CR267" s="14">
        <v>1.8954934052994579E-5</v>
      </c>
      <c r="CS267" s="14">
        <f t="shared" si="73"/>
        <v>4.7186133742405469E-2</v>
      </c>
    </row>
    <row r="268" spans="92:97" x14ac:dyDescent="0.45">
      <c r="CN268" s="2">
        <v>132.5</v>
      </c>
      <c r="CO268" s="14">
        <v>0.05</v>
      </c>
      <c r="CP268" s="14">
        <v>-1.3219664513703263E-3</v>
      </c>
      <c r="CQ268" s="14">
        <v>-1.5001648489882241E-3</v>
      </c>
      <c r="CR268" s="14">
        <v>1.8883405999964414E-5</v>
      </c>
      <c r="CS268" s="14">
        <f t="shared" si="73"/>
        <v>4.7196752105641421E-2</v>
      </c>
    </row>
    <row r="269" spans="92:97" x14ac:dyDescent="0.45">
      <c r="CN269" s="2">
        <v>133</v>
      </c>
      <c r="CO269" s="14">
        <v>0.05</v>
      </c>
      <c r="CP269" s="14">
        <v>-1.3169966526809706E-3</v>
      </c>
      <c r="CQ269" s="14">
        <v>-1.4945251315110462E-3</v>
      </c>
      <c r="CR269" s="14">
        <v>1.8812415751844246E-5</v>
      </c>
      <c r="CS269" s="14">
        <f t="shared" si="73"/>
        <v>4.7207290631559824E-2</v>
      </c>
    </row>
    <row r="270" spans="92:97" x14ac:dyDescent="0.45">
      <c r="CN270" s="2">
        <v>133.5</v>
      </c>
      <c r="CO270" s="14">
        <v>0.05</v>
      </c>
      <c r="CP270" s="14">
        <v>-1.3120640809480889E-3</v>
      </c>
      <c r="CQ270" s="14">
        <v>-1.4889276591085806E-3</v>
      </c>
      <c r="CR270" s="14">
        <v>1.8741957265882284E-5</v>
      </c>
      <c r="CS270" s="14">
        <f t="shared" si="73"/>
        <v>4.7217750217209212E-2</v>
      </c>
    </row>
    <row r="271" spans="92:97" x14ac:dyDescent="0.45">
      <c r="CN271" s="2">
        <v>134</v>
      </c>
      <c r="CO271" s="14">
        <v>0.05</v>
      </c>
      <c r="CP271" s="14">
        <v>-1.3071683194520187E-3</v>
      </c>
      <c r="CQ271" s="14">
        <v>-1.483371958888202E-3</v>
      </c>
      <c r="CR271" s="14">
        <v>1.8672024589517051E-5</v>
      </c>
      <c r="CS271" s="14">
        <f t="shared" si="73"/>
        <v>4.7228131746249298E-2</v>
      </c>
    </row>
    <row r="272" spans="92:97" x14ac:dyDescent="0.45">
      <c r="CN272" s="2">
        <v>134.5</v>
      </c>
      <c r="CO272" s="14">
        <v>0.05</v>
      </c>
      <c r="CP272" s="14">
        <v>-1.3023089576696737E-3</v>
      </c>
      <c r="CQ272" s="14">
        <v>-1.4778575649891459E-3</v>
      </c>
      <c r="CR272" s="14">
        <v>1.8602611858701003E-5</v>
      </c>
      <c r="CS272" s="14">
        <f t="shared" si="73"/>
        <v>4.7238436089199885E-2</v>
      </c>
    </row>
    <row r="273" spans="92:97" x14ac:dyDescent="0.45">
      <c r="CN273" s="2">
        <v>135</v>
      </c>
      <c r="CO273" s="14">
        <v>0.05</v>
      </c>
      <c r="CP273" s="14">
        <v>-1.2974855911597901E-3</v>
      </c>
      <c r="CQ273" s="14">
        <v>-1.4723840184522885E-3</v>
      </c>
      <c r="CR273" s="14">
        <v>1.8533713296261372E-5</v>
      </c>
      <c r="CS273" s="14">
        <f t="shared" si="73"/>
        <v>4.7248664103684189E-2</v>
      </c>
    </row>
    <row r="274" spans="92:97" x14ac:dyDescent="0.45">
      <c r="CN274" s="2">
        <v>135.5</v>
      </c>
      <c r="CO274" s="14">
        <v>0.05</v>
      </c>
      <c r="CP274" s="14">
        <v>-1.2926978214507169E-3</v>
      </c>
      <c r="CQ274" s="14">
        <v>-1.4669508670928099E-3</v>
      </c>
      <c r="CR274" s="14">
        <v>1.8465323210297305E-5</v>
      </c>
      <c r="CS274" s="14">
        <f t="shared" si="73"/>
        <v>4.7258816634666773E-2</v>
      </c>
    </row>
    <row r="275" spans="92:97" x14ac:dyDescent="0.45">
      <c r="CN275" s="2">
        <v>136</v>
      </c>
      <c r="CO275" s="14">
        <v>0.05</v>
      </c>
      <c r="CP275" s="14">
        <v>-1.2879452559306807E-3</v>
      </c>
      <c r="CQ275" s="14">
        <v>-1.4615576653756674E-3</v>
      </c>
      <c r="CR275" s="14">
        <v>1.8397435992612388E-5</v>
      </c>
      <c r="CS275" s="14">
        <f t="shared" si="73"/>
        <v>4.7268894514686272E-2</v>
      </c>
    </row>
    <row r="276" spans="92:97" x14ac:dyDescent="0.45">
      <c r="CN276" s="2">
        <v>136.5</v>
      </c>
      <c r="CO276" s="14">
        <v>0.05</v>
      </c>
      <c r="CP276" s="14">
        <v>-1.2832275077404613E-3</v>
      </c>
      <c r="CQ276" s="14">
        <v>-1.4562039742938039E-3</v>
      </c>
      <c r="CR276" s="14">
        <v>1.8330046117181575E-5</v>
      </c>
      <c r="CS276" s="14">
        <f t="shared" si="73"/>
        <v>4.7278898564082926E-2</v>
      </c>
    </row>
    <row r="277" spans="92:97" x14ac:dyDescent="0.45">
      <c r="CN277" s="2">
        <v>137</v>
      </c>
      <c r="CO277" s="14">
        <v>0.05</v>
      </c>
      <c r="CP277" s="14">
        <v>-1.278544195668418E-3</v>
      </c>
      <c r="CQ277" s="14">
        <v>-1.4508893612490237E-3</v>
      </c>
      <c r="CR277" s="14">
        <v>1.8263148138651717E-5</v>
      </c>
      <c r="CS277" s="14">
        <f t="shared" si="73"/>
        <v>4.7288829591221215E-2</v>
      </c>
    </row>
    <row r="278" spans="92:97" x14ac:dyDescent="0.45">
      <c r="CN278" s="2">
        <v>137.5</v>
      </c>
      <c r="CO278" s="14">
        <v>0.05</v>
      </c>
      <c r="CP278" s="14">
        <v>-1.2738949440478076E-3</v>
      </c>
      <c r="CQ278" s="14">
        <v>-1.4456133999354687E-3</v>
      </c>
      <c r="CR278" s="14">
        <v>1.81967366908748E-5</v>
      </c>
      <c r="CS278" s="14">
        <f t="shared" si="73"/>
        <v>4.7298688392707594E-2</v>
      </c>
    </row>
    <row r="279" spans="92:97" x14ac:dyDescent="0.45">
      <c r="CN279" s="2">
        <v>138</v>
      </c>
      <c r="CO279" s="14">
        <v>0.05</v>
      </c>
      <c r="CP279" s="14">
        <v>-1.2692793826563321E-3</v>
      </c>
      <c r="CQ279" s="14">
        <v>-1.4403756702256268E-3</v>
      </c>
      <c r="CR279" s="14">
        <v>1.813080648547308E-5</v>
      </c>
      <c r="CS279" s="14">
        <f t="shared" si="73"/>
        <v>4.7308475753603516E-2</v>
      </c>
    </row>
    <row r="280" spans="92:97" x14ac:dyDescent="0.45">
      <c r="CN280" s="2">
        <v>138.5</v>
      </c>
      <c r="CO280" s="14">
        <v>0.05</v>
      </c>
      <c r="CP280" s="14">
        <v>-1.2646971466178632E-3</v>
      </c>
      <c r="CQ280" s="14">
        <v>-1.4351757580588092E-3</v>
      </c>
      <c r="CR280" s="14">
        <v>1.8065352310435271E-5</v>
      </c>
      <c r="CS280" s="14">
        <f t="shared" si="73"/>
        <v>4.7318192447633765E-2</v>
      </c>
    </row>
    <row r="281" spans="92:97" x14ac:dyDescent="0.45">
      <c r="CN281" s="2">
        <v>139</v>
      </c>
      <c r="CO281" s="14">
        <v>0.05</v>
      </c>
      <c r="CP281" s="14">
        <v>-1.2601478763062898E-3</v>
      </c>
      <c r="CQ281" s="14">
        <v>-1.4300132553320339E-3</v>
      </c>
      <c r="CR281" s="14">
        <v>1.800036902874306E-5</v>
      </c>
      <c r="CS281" s="14">
        <f t="shared" si="73"/>
        <v>4.7327839237390423E-2</v>
      </c>
    </row>
    <row r="282" spans="92:97" x14ac:dyDescent="0.45">
      <c r="CN282" s="2">
        <v>139.5</v>
      </c>
      <c r="CO282" s="14">
        <v>0.05</v>
      </c>
      <c r="CP282" s="14">
        <v>-1.2556312172514296E-3</v>
      </c>
      <c r="CQ282" s="14">
        <v>-1.4248877597932586E-3</v>
      </c>
      <c r="CR282" s="14">
        <v>1.7935851577027133E-5</v>
      </c>
      <c r="CS282" s="14">
        <f t="shared" si="73"/>
        <v>4.7337416874532343E-2</v>
      </c>
    </row>
    <row r="283" spans="92:97" x14ac:dyDescent="0.45">
      <c r="CN283" s="2">
        <v>140</v>
      </c>
      <c r="CO283" s="14">
        <v>0.05</v>
      </c>
      <c r="CP283" s="14">
        <v>-1.2511468200469616E-3</v>
      </c>
      <c r="CQ283" s="14">
        <v>-1.4197988749368978E-3</v>
      </c>
      <c r="CR283" s="14">
        <v>1.7871794964252035E-5</v>
      </c>
      <c r="CS283" s="14">
        <f t="shared" si="73"/>
        <v>4.734692609998039E-2</v>
      </c>
    </row>
    <row r="284" spans="92:97" x14ac:dyDescent="0.45">
      <c r="CN284" s="2">
        <v>140.5</v>
      </c>
      <c r="CO284" s="14">
        <v>0.05</v>
      </c>
      <c r="CP284" s="14">
        <v>-1.2466943402603186E-3</v>
      </c>
      <c r="CQ284" s="14">
        <v>-1.4147462099015739E-3</v>
      </c>
      <c r="CR284" s="14">
        <v>1.7808194270429075E-5</v>
      </c>
      <c r="CS284" s="14">
        <f t="shared" si="73"/>
        <v>4.7356367644108534E-2</v>
      </c>
    </row>
    <row r="285" spans="92:97" x14ac:dyDescent="0.45">
      <c r="CN285" s="2">
        <v>141</v>
      </c>
      <c r="CO285" s="14">
        <v>0.05</v>
      </c>
      <c r="CP285" s="14">
        <v>-1.2422734383445027E-3</v>
      </c>
      <c r="CQ285" s="14">
        <v>-1.4097293793700427E-3</v>
      </c>
      <c r="CR285" s="14">
        <v>1.7745044645356629E-5</v>
      </c>
      <c r="CS285" s="14">
        <f t="shared" si="73"/>
        <v>4.7365742226930817E-2</v>
      </c>
    </row>
    <row r="286" spans="92:97" x14ac:dyDescent="0.45">
      <c r="CN286" s="2">
        <v>141.5</v>
      </c>
      <c r="CO286" s="14">
        <v>0.05</v>
      </c>
      <c r="CP286" s="14">
        <v>-1.2378837795517668E-3</v>
      </c>
      <c r="CQ286" s="14">
        <v>-1.4047480034712395E-3</v>
      </c>
      <c r="CR286" s="14">
        <v>1.7682341307387173E-5</v>
      </c>
      <c r="CS286" s="14">
        <f t="shared" si="73"/>
        <v>4.7375050558284386E-2</v>
      </c>
    </row>
    <row r="287" spans="92:97" x14ac:dyDescent="0.45">
      <c r="CN287" s="2">
        <v>142</v>
      </c>
      <c r="CO287" s="14">
        <v>0.05</v>
      </c>
      <c r="CP287" s="14">
        <v>-1.2335250338491204E-3</v>
      </c>
      <c r="CQ287" s="14">
        <v>-1.3998017076843961E-3</v>
      </c>
      <c r="CR287" s="14">
        <v>1.7620079542220318E-5</v>
      </c>
      <c r="CS287" s="14">
        <f t="shared" si="73"/>
        <v>4.7384293338008712E-2</v>
      </c>
    </row>
    <row r="288" spans="92:97" x14ac:dyDescent="0.45">
      <c r="CN288" s="2">
        <v>142.5</v>
      </c>
      <c r="CO288" s="14">
        <v>0.05</v>
      </c>
      <c r="CP288" s="14">
        <v>-1.2291968758356155E-3</v>
      </c>
      <c r="CQ288" s="14">
        <v>-1.3948901227451771E-3</v>
      </c>
      <c r="CR288" s="14">
        <v>1.7558254701721299E-5</v>
      </c>
      <c r="CS288" s="14">
        <f t="shared" si="73"/>
        <v>4.739347125612093E-2</v>
      </c>
    </row>
    <row r="289" spans="92:97" x14ac:dyDescent="0.45">
      <c r="CN289" s="2">
        <v>143</v>
      </c>
      <c r="CO289" s="14">
        <v>0.05</v>
      </c>
      <c r="CP289" s="14">
        <v>-1.2248989846613656E-3</v>
      </c>
      <c r="CQ289" s="14">
        <v>-1.3900128845537821E-3</v>
      </c>
      <c r="CR289" s="14">
        <v>1.7496862202764229E-5</v>
      </c>
      <c r="CS289" s="14">
        <f t="shared" si="73"/>
        <v>4.740258499298762E-2</v>
      </c>
    </row>
    <row r="290" spans="92:97" x14ac:dyDescent="0.45">
      <c r="CN290" s="2">
        <v>143.5</v>
      </c>
      <c r="CO290" s="14">
        <v>0.05</v>
      </c>
      <c r="CP290" s="14">
        <v>-1.2206310439482604E-3</v>
      </c>
      <c r="CQ290" s="14">
        <v>-1.385169634084973E-3</v>
      </c>
      <c r="CR290" s="14">
        <v>1.7435897526099545E-5</v>
      </c>
      <c r="CS290" s="14">
        <f t="shared" si="73"/>
        <v>4.7411635219492869E-2</v>
      </c>
    </row>
    <row r="291" spans="92:97" x14ac:dyDescent="0.45">
      <c r="CN291" s="2">
        <v>144</v>
      </c>
      <c r="CO291" s="14">
        <v>0.05</v>
      </c>
      <c r="CP291" s="14">
        <v>-1.2163927417123293E-3</v>
      </c>
      <c r="CQ291" s="14">
        <v>-1.3803600172999733E-3</v>
      </c>
      <c r="CR291" s="14">
        <v>1.7375356215245034E-5</v>
      </c>
      <c r="CS291" s="14">
        <f t="shared" si="73"/>
        <v>4.7420622597202949E-2</v>
      </c>
    </row>
    <row r="292" spans="92:97" x14ac:dyDescent="0.45">
      <c r="CN292" s="2">
        <v>144.5</v>
      </c>
      <c r="CO292" s="14">
        <v>0.05</v>
      </c>
      <c r="CP292" s="14">
        <v>-1.2121837702877196E-3</v>
      </c>
      <c r="CQ292" s="14">
        <v>-1.3755836850601964E-3</v>
      </c>
      <c r="CR292" s="14">
        <v>1.7315233875399894E-5</v>
      </c>
      <c r="CS292" s="14">
        <f t="shared" si="73"/>
        <v>4.7429547778527488E-2</v>
      </c>
    </row>
    <row r="293" spans="92:97" x14ac:dyDescent="0.45">
      <c r="CN293" s="2">
        <v>145</v>
      </c>
      <c r="CO293" s="14">
        <v>0.05</v>
      </c>
      <c r="CP293" s="14">
        <v>-1.208003826252245E-3</v>
      </c>
      <c r="CQ293" s="14">
        <v>-1.3708402930427608E-3</v>
      </c>
      <c r="CR293" s="14">
        <v>1.7255526172381276E-5</v>
      </c>
      <c r="CS293" s="14">
        <f t="shared" si="73"/>
        <v>4.7438411406877379E-2</v>
      </c>
    </row>
    <row r="294" spans="92:97" x14ac:dyDescent="0.45">
      <c r="CN294" s="2">
        <v>145.5</v>
      </c>
      <c r="CO294" s="14">
        <v>0.05</v>
      </c>
      <c r="CP294" s="14">
        <v>-1.2038526103544714E-3</v>
      </c>
      <c r="CQ294" s="14">
        <v>-1.3661295016577466E-3</v>
      </c>
      <c r="CR294" s="14">
        <v>1.7196228831582714E-5</v>
      </c>
      <c r="CS294" s="14">
        <f t="shared" si="73"/>
        <v>4.7447214116819368E-2</v>
      </c>
    </row>
    <row r="295" spans="92:97" x14ac:dyDescent="0.45">
      <c r="CN295" s="2">
        <v>146</v>
      </c>
      <c r="CO295" s="14">
        <v>0.05</v>
      </c>
      <c r="CP295" s="14">
        <v>-1.1997298274422988E-3</v>
      </c>
      <c r="CQ295" s="14">
        <v>-1.3614509759671486E-3</v>
      </c>
      <c r="CR295" s="14">
        <v>1.7137337636954005E-5</v>
      </c>
      <c r="CS295" s="14">
        <f t="shared" si="73"/>
        <v>4.745595653422751E-2</v>
      </c>
    </row>
    <row r="296" spans="92:97" x14ac:dyDescent="0.45">
      <c r="CN296" s="2">
        <v>146.5</v>
      </c>
      <c r="CO296" s="14">
        <v>0.05</v>
      </c>
      <c r="CP296" s="14">
        <v>-1.195635186393008E-3</v>
      </c>
      <c r="CQ296" s="14">
        <v>-1.3568043856054958E-3</v>
      </c>
      <c r="CR296" s="14">
        <v>1.7078848430001945E-5</v>
      </c>
      <c r="CS296" s="14">
        <f t="shared" si="73"/>
        <v>4.7464639276431506E-2</v>
      </c>
    </row>
    <row r="297" spans="92:97" x14ac:dyDescent="0.45">
      <c r="CN297" s="2">
        <v>147</v>
      </c>
      <c r="CO297" s="14">
        <v>0.05</v>
      </c>
      <c r="CP297" s="14">
        <v>-1.1915684000447326E-3</v>
      </c>
      <c r="CQ297" s="14">
        <v>-1.3521894047020841E-3</v>
      </c>
      <c r="CR297" s="14">
        <v>1.7020757108811462E-5</v>
      </c>
      <c r="CS297" s="14">
        <f t="shared" si="73"/>
        <v>4.7473262952362004E-2</v>
      </c>
    </row>
    <row r="298" spans="92:97" x14ac:dyDescent="0.45">
      <c r="CN298" s="2">
        <v>147.5</v>
      </c>
      <c r="CO298" s="14">
        <v>0.05</v>
      </c>
      <c r="CP298" s="14">
        <v>-1.1875291851293269E-3</v>
      </c>
      <c r="CQ298" s="14">
        <v>-1.3476057118047967E-3</v>
      </c>
      <c r="CR298" s="14">
        <v>1.6963059627086675E-5</v>
      </c>
      <c r="CS298" s="14">
        <f t="shared" si="73"/>
        <v>4.7481828162692967E-2</v>
      </c>
    </row>
    <row r="299" spans="92:97" x14ac:dyDescent="0.45">
      <c r="CN299" s="2">
        <v>148</v>
      </c>
      <c r="CO299" s="14">
        <v>0.05</v>
      </c>
      <c r="CP299" s="14">
        <v>-1.1835172622065928E-3</v>
      </c>
      <c r="CQ299" s="14">
        <v>-1.3430529898054628E-3</v>
      </c>
      <c r="CR299" s="14">
        <v>1.6905751993211382E-5</v>
      </c>
      <c r="CS299" s="14">
        <f t="shared" si="73"/>
        <v>4.7490335499981155E-2</v>
      </c>
    </row>
    <row r="300" spans="92:97" x14ac:dyDescent="0.45">
      <c r="CN300" s="2">
        <v>148.5</v>
      </c>
      <c r="CO300" s="14">
        <v>0.05</v>
      </c>
      <c r="CP300" s="14">
        <v>-1.1795323555998367E-3</v>
      </c>
      <c r="CQ300" s="14">
        <v>-1.33853092586673E-3</v>
      </c>
      <c r="CR300" s="14">
        <v>1.6848830269328517E-5</v>
      </c>
      <c r="CS300" s="14">
        <f t="shared" si="73"/>
        <v>4.7498785548802762E-2</v>
      </c>
    </row>
    <row r="301" spans="92:97" x14ac:dyDescent="0.45">
      <c r="CN301" s="2">
        <v>149</v>
      </c>
      <c r="CO301" s="14">
        <v>0.05</v>
      </c>
      <c r="CP301" s="14">
        <v>-1.1755741933327233E-3</v>
      </c>
      <c r="CQ301" s="14">
        <v>-1.3340392113504039E-3</v>
      </c>
      <c r="CR301" s="14">
        <v>1.6792290570438155E-5</v>
      </c>
      <c r="CS301" s="14">
        <f t="shared" si="73"/>
        <v>4.7507178885887312E-2</v>
      </c>
    </row>
    <row r="302" spans="92:97" x14ac:dyDescent="0.45">
      <c r="CN302" s="2">
        <v>149.5</v>
      </c>
      <c r="CO302" s="14">
        <v>0.05</v>
      </c>
      <c r="CP302" s="14">
        <v>-1.1716425070673966E-3</v>
      </c>
      <c r="CQ302" s="14">
        <v>-1.3295775417472302E-3</v>
      </c>
      <c r="CR302" s="14">
        <v>1.673612906351361E-5</v>
      </c>
      <c r="CS302" s="14">
        <f t="shared" si="73"/>
        <v>4.7515516080248892E-2</v>
      </c>
    </row>
    <row r="303" spans="92:97" x14ac:dyDescent="0.45">
      <c r="CN303" s="2">
        <v>150</v>
      </c>
      <c r="CO303" s="14">
        <v>0.05</v>
      </c>
      <c r="CP303" s="14">
        <v>-1.1677370320438388E-3</v>
      </c>
      <c r="CQ303" s="14">
        <v>-1.3251456166080771E-3</v>
      </c>
      <c r="CR303" s="14">
        <v>1.6680341966635232E-5</v>
      </c>
      <c r="CS303" s="14">
        <f t="shared" si="73"/>
        <v>4.7523797693314718E-2</v>
      </c>
    </row>
    <row r="304" spans="92:97" x14ac:dyDescent="0.45">
      <c r="CN304" s="2">
        <v>150.5</v>
      </c>
      <c r="CO304" s="14">
        <v>0.05</v>
      </c>
      <c r="CP304" s="14">
        <v>-1.1638575070204375E-3</v>
      </c>
      <c r="CQ304" s="14">
        <v>-1.3207431394764925E-3</v>
      </c>
      <c r="CR304" s="14">
        <v>1.6624925548141426E-5</v>
      </c>
      <c r="CS304" s="14">
        <f t="shared" si="73"/>
        <v>4.7532024279051219E-2</v>
      </c>
    </row>
    <row r="305" spans="92:97" x14ac:dyDescent="0.45">
      <c r="CN305" s="2">
        <v>151</v>
      </c>
      <c r="CO305" s="14">
        <v>0.05</v>
      </c>
      <c r="CP305" s="14">
        <v>-1.1600036742157342E-3</v>
      </c>
      <c r="CQ305" s="14">
        <v>-1.3163698178226004E-3</v>
      </c>
      <c r="CR305" s="14">
        <v>1.656987612579659E-5</v>
      </c>
      <c r="CS305" s="14">
        <f t="shared" si="73"/>
        <v>4.754019638408747E-2</v>
      </c>
    </row>
    <row r="306" spans="92:97" x14ac:dyDescent="0.45">
      <c r="CN306" s="2">
        <v>151.5</v>
      </c>
      <c r="CO306" s="14">
        <v>0.05</v>
      </c>
      <c r="CP306" s="14">
        <v>-1.1561752792513258E-3</v>
      </c>
      <c r="CQ306" s="14">
        <v>-1.3120253629783042E-3</v>
      </c>
      <c r="CR306" s="14">
        <v>1.6515190065975478E-5</v>
      </c>
      <c r="CS306" s="14">
        <f t="shared" si="73"/>
        <v>4.7548314547836354E-2</v>
      </c>
    </row>
    <row r="307" spans="92:97" x14ac:dyDescent="0.45">
      <c r="CN307" s="2">
        <v>152</v>
      </c>
      <c r="CO307" s="14">
        <v>0.05</v>
      </c>
      <c r="CP307" s="14">
        <v>-1.1523720710958937E-3</v>
      </c>
      <c r="CQ307" s="14">
        <v>-1.3077094900737732E-3</v>
      </c>
      <c r="CR307" s="14">
        <v>1.6460863782863719E-5</v>
      </c>
      <c r="CS307" s="14">
        <f t="shared" si="73"/>
        <v>4.7556379302613201E-2</v>
      </c>
    </row>
    <row r="308" spans="92:97" x14ac:dyDescent="0.45">
      <c r="CN308" s="2">
        <v>152.5</v>
      </c>
      <c r="CO308" s="14">
        <v>0.05</v>
      </c>
      <c r="CP308" s="14">
        <v>-1.1485938020103336E-3</v>
      </c>
      <c r="CQ308" s="14">
        <v>-1.303421917975173E-3</v>
      </c>
      <c r="CR308" s="14">
        <v>1.6406893737674002E-5</v>
      </c>
      <c r="CS308" s="14">
        <f t="shared" si="73"/>
        <v>4.7564391173752163E-2</v>
      </c>
    </row>
    <row r="309" spans="92:97" x14ac:dyDescent="0.45">
      <c r="CN309" s="2">
        <v>153</v>
      </c>
      <c r="CO309" s="14">
        <v>0.05</v>
      </c>
      <c r="CP309" s="14">
        <v>-1.1448402274939601E-3</v>
      </c>
      <c r="CQ309" s="14">
        <v>-1.2991623692236224E-3</v>
      </c>
      <c r="CR309" s="14">
        <v>1.6353276437877679E-5</v>
      </c>
      <c r="CS309" s="14">
        <f t="shared" si="73"/>
        <v>4.7572350679720293E-2</v>
      </c>
    </row>
    <row r="310" spans="92:97" x14ac:dyDescent="0.45">
      <c r="CN310" s="2">
        <v>153.5</v>
      </c>
      <c r="CO310" s="14">
        <v>0.05</v>
      </c>
      <c r="CP310" s="14">
        <v>-1.1411111062317647E-3</v>
      </c>
      <c r="CQ310" s="14">
        <v>-1.2949305699753388E-3</v>
      </c>
      <c r="CR310" s="14">
        <v>1.6300008436451366E-5</v>
      </c>
      <c r="CS310" s="14">
        <f t="shared" si="73"/>
        <v>4.7580258332229348E-2</v>
      </c>
    </row>
    <row r="311" spans="92:97" x14ac:dyDescent="0.45">
      <c r="CN311" s="2">
        <v>154</v>
      </c>
      <c r="CO311" s="14">
        <v>0.05</v>
      </c>
      <c r="CP311" s="14">
        <v>-1.1374062000427006E-3</v>
      </c>
      <c r="CQ311" s="14">
        <v>-1.2907262499429529E-3</v>
      </c>
      <c r="CR311" s="14">
        <v>1.6247086331138214E-5</v>
      </c>
      <c r="CS311" s="14">
        <f t="shared" si="73"/>
        <v>4.7588114636345491E-2</v>
      </c>
    </row>
    <row r="312" spans="92:97" x14ac:dyDescent="0.45">
      <c r="CN312" s="2">
        <v>154.5</v>
      </c>
      <c r="CO312" s="14">
        <v>0.05</v>
      </c>
      <c r="CP312" s="14">
        <v>-1.1337252738289703E-3</v>
      </c>
      <c r="CQ312" s="14">
        <v>-1.2865491423379612E-3</v>
      </c>
      <c r="CR312" s="14">
        <v>1.6194506763723529E-5</v>
      </c>
      <c r="CS312" s="14">
        <f t="shared" si="73"/>
        <v>4.7595920090596801E-2</v>
      </c>
    </row>
    <row r="313" spans="92:97" x14ac:dyDescent="0.45">
      <c r="CN313" s="2">
        <v>155</v>
      </c>
      <c r="CO313" s="14">
        <v>0.05</v>
      </c>
      <c r="CP313" s="14">
        <v>-1.1300680955262962E-3</v>
      </c>
      <c r="CQ313" s="14">
        <v>-1.2823989838142917E-3</v>
      </c>
      <c r="CR313" s="14">
        <v>1.6142266419324419E-5</v>
      </c>
      <c r="CS313" s="14">
        <f t="shared" si="73"/>
        <v>4.7603675187078746E-2</v>
      </c>
    </row>
    <row r="314" spans="92:97" x14ac:dyDescent="0.45">
      <c r="CN314" s="2">
        <v>155.5</v>
      </c>
      <c r="CO314" s="14">
        <v>0.05</v>
      </c>
      <c r="CP314" s="14">
        <v>-1.1264344360551507E-3</v>
      </c>
      <c r="CQ314" s="14">
        <v>-1.2782755144129607E-3</v>
      </c>
      <c r="CR314" s="14">
        <v>1.6090362025693149E-5</v>
      </c>
      <c r="CS314" s="14">
        <f t="shared" si="73"/>
        <v>4.7611380411557581E-2</v>
      </c>
    </row>
    <row r="315" spans="92:97" x14ac:dyDescent="0.45">
      <c r="CN315" s="2">
        <v>156</v>
      </c>
      <c r="CO315" s="14">
        <v>0.05</v>
      </c>
      <c r="CP315" s="14">
        <v>-1.1228240692729226E-3</v>
      </c>
      <c r="CQ315" s="14">
        <v>-1.2741784775077919E-3</v>
      </c>
      <c r="CR315" s="14">
        <v>1.6038790352533878E-5</v>
      </c>
      <c r="CS315" s="14">
        <f t="shared" si="73"/>
        <v>4.7619036243571826E-2</v>
      </c>
    </row>
    <row r="316" spans="92:97" x14ac:dyDescent="0.45">
      <c r="CN316" s="2">
        <v>156.5</v>
      </c>
      <c r="CO316" s="14">
        <v>0.05</v>
      </c>
      <c r="CP316" s="14">
        <v>-1.1192367719270026E-3</v>
      </c>
      <c r="CQ316" s="14">
        <v>-1.2701076197521768E-3</v>
      </c>
      <c r="CR316" s="14">
        <v>1.5987548210832491E-5</v>
      </c>
      <c r="CS316" s="14">
        <f t="shared" si="73"/>
        <v>4.7626643156531652E-2</v>
      </c>
    </row>
    <row r="317" spans="92:97" x14ac:dyDescent="0.45">
      <c r="CN317" s="2">
        <v>157</v>
      </c>
      <c r="CO317" s="14">
        <v>0.05</v>
      </c>
      <c r="CP317" s="14">
        <v>-1.1156723236087638E-3</v>
      </c>
      <c r="CQ317" s="14">
        <v>-1.2660626910268524E-3</v>
      </c>
      <c r="CR317" s="14">
        <v>1.5936632452199269E-5</v>
      </c>
      <c r="CS317" s="14">
        <f t="shared" si="73"/>
        <v>4.7634201617816584E-2</v>
      </c>
    </row>
    <row r="318" spans="92:97" x14ac:dyDescent="0.45">
      <c r="CN318" s="2">
        <v>157.5</v>
      </c>
      <c r="CO318" s="14">
        <v>0.05</v>
      </c>
      <c r="CP318" s="14">
        <v>-1.1121305067084185E-3</v>
      </c>
      <c r="CQ318" s="14">
        <v>-1.2620434443886728E-3</v>
      </c>
      <c r="CR318" s="14">
        <v>1.5886039968224033E-5</v>
      </c>
      <c r="CS318" s="14">
        <f t="shared" si="73"/>
        <v>4.7641712088871128E-2</v>
      </c>
    </row>
    <row r="319" spans="92:97" x14ac:dyDescent="0.45">
      <c r="CN319" s="2">
        <v>158</v>
      </c>
      <c r="CO319" s="14">
        <v>0.05</v>
      </c>
      <c r="CP319" s="14">
        <v>-1.1086111063707336E-3</v>
      </c>
      <c r="CQ319" s="14">
        <v>-1.2580496360203547E-3</v>
      </c>
      <c r="CR319" s="14">
        <v>1.5835767689843573E-5</v>
      </c>
      <c r="CS319" s="14">
        <f t="shared" si="73"/>
        <v>4.7649175025298758E-2</v>
      </c>
    </row>
    <row r="320" spans="92:97" x14ac:dyDescent="0.45">
      <c r="CN320" s="2">
        <v>158.5</v>
      </c>
      <c r="CO320" s="14">
        <v>0.05</v>
      </c>
      <c r="CP320" s="14">
        <v>-1.1051139104515831E-3</v>
      </c>
      <c r="CQ320" s="14">
        <v>-1.2540810251811744E-3</v>
      </c>
      <c r="CR320" s="14">
        <v>1.578581258672104E-5</v>
      </c>
      <c r="CS320" s="14">
        <f t="shared" si="73"/>
        <v>4.7656590876953973E-2</v>
      </c>
    </row>
    <row r="321" spans="92:97" x14ac:dyDescent="0.45">
      <c r="CN321" s="2">
        <v>159</v>
      </c>
      <c r="CO321" s="14">
        <v>0.05</v>
      </c>
      <c r="CP321" s="14">
        <v>-1.1016387094753203E-3</v>
      </c>
      <c r="CQ321" s="14">
        <v>-1.2501373741585925E-3</v>
      </c>
      <c r="CR321" s="14">
        <v>1.5736171666637011E-5</v>
      </c>
      <c r="CS321" s="14">
        <f t="shared" si="73"/>
        <v>4.7663960088032725E-2</v>
      </c>
    </row>
    <row r="322" spans="92:97" x14ac:dyDescent="0.45">
      <c r="CN322" s="2">
        <v>159.5</v>
      </c>
      <c r="CO322" s="14">
        <v>0.05</v>
      </c>
      <c r="CP322" s="14">
        <v>-1.0981852965929525E-3</v>
      </c>
      <c r="CQ322" s="14">
        <v>-1.246218448220792E-3</v>
      </c>
      <c r="CR322" s="14">
        <v>1.5686841974892068E-5</v>
      </c>
      <c r="CS322" s="14">
        <f t="shared" si="73"/>
        <v>4.7671283097161149E-2</v>
      </c>
    </row>
    <row r="323" spans="92:97" x14ac:dyDescent="0.45">
      <c r="CN323" s="2">
        <v>160</v>
      </c>
      <c r="CO323" s="14">
        <v>0.05</v>
      </c>
      <c r="CP323" s="14">
        <v>-1.0947534675410995E-3</v>
      </c>
      <c r="CQ323" s="14">
        <v>-1.2423240155701022E-3</v>
      </c>
      <c r="CR323" s="14">
        <v>1.563782059372053E-5</v>
      </c>
      <c r="CS323" s="14">
        <f t="shared" si="73"/>
        <v>4.7678560337482523E-2</v>
      </c>
    </row>
    <row r="324" spans="92:97" x14ac:dyDescent="0.45">
      <c r="CN324" s="2">
        <v>160.5</v>
      </c>
      <c r="CO324" s="14">
        <v>0.05</v>
      </c>
      <c r="CP324" s="14">
        <v>-1.0913430206017192E-3</v>
      </c>
      <c r="CQ324" s="14">
        <v>-1.2384538472972985E-3</v>
      </c>
      <c r="CR324" s="14">
        <v>1.5589104641715173E-5</v>
      </c>
      <c r="CS324" s="14">
        <f t="shared" ref="CS324:CS387" si="74">SUM(CO324:CR324)</f>
        <v>4.7685792236742706E-2</v>
      </c>
    </row>
    <row r="325" spans="92:97" x14ac:dyDescent="0.45">
      <c r="CN325" s="2">
        <v>161</v>
      </c>
      <c r="CO325" s="14">
        <v>0.05</v>
      </c>
      <c r="CP325" s="14">
        <v>-1.0879537565625834E-3</v>
      </c>
      <c r="CQ325" s="14">
        <v>-1.2346077173367484E-3</v>
      </c>
      <c r="CR325" s="14">
        <v>1.5540691273262638E-5</v>
      </c>
      <c r="CS325" s="14">
        <f t="shared" si="74"/>
        <v>4.7692979217373928E-2</v>
      </c>
    </row>
    <row r="326" spans="92:97" x14ac:dyDescent="0.45">
      <c r="CN326" s="2">
        <v>161.5</v>
      </c>
      <c r="CO326" s="14">
        <v>0.05</v>
      </c>
      <c r="CP326" s="14">
        <v>-1.0845854786784889E-3</v>
      </c>
      <c r="CQ326" s="14">
        <v>-1.2307854024223935E-3</v>
      </c>
      <c r="CR326" s="14">
        <v>1.5492577677989378E-5</v>
      </c>
      <c r="CS326" s="14">
        <f t="shared" si="74"/>
        <v>4.7700121696577107E-2</v>
      </c>
    </row>
    <row r="327" spans="92:97" x14ac:dyDescent="0.45">
      <c r="CN327" s="2">
        <v>162</v>
      </c>
      <c r="CO327" s="14">
        <v>0.05</v>
      </c>
      <c r="CP327" s="14">
        <v>-1.0812379926331852E-3</v>
      </c>
      <c r="CQ327" s="14">
        <v>-1.2269866820445471E-3</v>
      </c>
      <c r="CR327" s="14">
        <v>1.544476108021781E-5</v>
      </c>
      <c r="CS327" s="14">
        <f t="shared" si="74"/>
        <v>4.7707220086402491E-2</v>
      </c>
    </row>
    <row r="328" spans="92:97" x14ac:dyDescent="0.45">
      <c r="CN328" s="2">
        <v>162.5</v>
      </c>
      <c r="CO328" s="14">
        <v>0.05</v>
      </c>
      <c r="CP328" s="14">
        <v>-1.077911106502006E-3</v>
      </c>
      <c r="CQ328" s="14">
        <v>-1.223211338407487E-3</v>
      </c>
      <c r="CR328" s="14">
        <v>1.5397238738432522E-5</v>
      </c>
      <c r="CS328" s="14">
        <f t="shared" si="74"/>
        <v>4.7714274793828948E-2</v>
      </c>
    </row>
    <row r="329" spans="92:97" x14ac:dyDescent="0.45">
      <c r="CN329" s="2">
        <v>163</v>
      </c>
      <c r="CO329" s="14">
        <v>0.05</v>
      </c>
      <c r="CP329" s="14">
        <v>-1.07460463071519E-3</v>
      </c>
      <c r="CQ329" s="14">
        <v>-1.2194591563878324E-3</v>
      </c>
      <c r="CR329" s="14">
        <v>1.5350007944756347E-5</v>
      </c>
      <c r="CS329" s="14">
        <f t="shared" si="74"/>
        <v>4.7721286220841735E-2</v>
      </c>
    </row>
    <row r="330" spans="92:97" x14ac:dyDescent="0.45">
      <c r="CN330" s="2">
        <v>163.5</v>
      </c>
      <c r="CO330" s="14">
        <v>0.05</v>
      </c>
      <c r="CP330" s="14">
        <v>-1.0713183780218713E-3</v>
      </c>
      <c r="CQ330" s="14">
        <v>-1.2157299234936802E-3</v>
      </c>
      <c r="CR330" s="14">
        <v>1.5303066024435992E-5</v>
      </c>
      <c r="CS330" s="14">
        <f t="shared" si="74"/>
        <v>4.7728254764508884E-2</v>
      </c>
    </row>
    <row r="331" spans="92:97" x14ac:dyDescent="0.45">
      <c r="CN331" s="2">
        <v>164</v>
      </c>
      <c r="CO331" s="14">
        <v>0.05</v>
      </c>
      <c r="CP331" s="14">
        <v>-1.0680521634547316E-3</v>
      </c>
      <c r="CQ331" s="14">
        <v>-1.2120234298244924E-3</v>
      </c>
      <c r="CR331" s="14">
        <v>1.5256410335337104E-5</v>
      </c>
      <c r="CS331" s="14">
        <f t="shared" si="74"/>
        <v>4.7735180817056119E-2</v>
      </c>
    </row>
    <row r="332" spans="92:97" x14ac:dyDescent="0.45">
      <c r="CN332" s="2">
        <v>164.5</v>
      </c>
      <c r="CO332" s="14">
        <v>0.05</v>
      </c>
      <c r="CP332" s="14">
        <v>-1.0648058042952947E-3</v>
      </c>
      <c r="CQ332" s="14">
        <v>-1.2083394680317129E-3</v>
      </c>
      <c r="CR332" s="14">
        <v>1.5210038267448541E-5</v>
      </c>
      <c r="CS332" s="14">
        <f t="shared" si="74"/>
        <v>4.7742064765940444E-2</v>
      </c>
    </row>
    <row r="333" spans="92:97" x14ac:dyDescent="0.45">
      <c r="CN333" s="2">
        <v>165</v>
      </c>
      <c r="CO333" s="14">
        <v>0.05</v>
      </c>
      <c r="CP333" s="14">
        <v>-1.0615791200398544E-3</v>
      </c>
      <c r="CQ333" s="14">
        <v>-1.2046778332801017E-3</v>
      </c>
      <c r="CR333" s="14">
        <v>1.5163947242395665E-5</v>
      </c>
      <c r="CS333" s="14">
        <f t="shared" si="74"/>
        <v>4.7748906993922445E-2</v>
      </c>
    </row>
    <row r="334" spans="92:97" x14ac:dyDescent="0.45">
      <c r="CN334" s="2">
        <v>165.5</v>
      </c>
      <c r="CO334" s="14">
        <v>0.05</v>
      </c>
      <c r="CP334" s="14">
        <v>-1.0583719323660179E-3</v>
      </c>
      <c r="CQ334" s="14">
        <v>-1.2010383232097693E-3</v>
      </c>
      <c r="CR334" s="14">
        <v>1.5118134712962444E-5</v>
      </c>
      <c r="CS334" s="14">
        <f t="shared" si="74"/>
        <v>4.7755707879137181E-2</v>
      </c>
    </row>
    <row r="335" spans="92:97" x14ac:dyDescent="0.45">
      <c r="CN335" s="2">
        <v>166</v>
      </c>
      <c r="CO335" s="14">
        <v>0.05</v>
      </c>
      <c r="CP335" s="14">
        <v>-1.0551840650998552E-3</v>
      </c>
      <c r="CQ335" s="14">
        <v>-1.1974207378988965E-3</v>
      </c>
      <c r="CR335" s="14">
        <v>1.5072598162622196E-5</v>
      </c>
      <c r="CS335" s="14">
        <f t="shared" si="74"/>
        <v>4.7762467795163868E-2</v>
      </c>
    </row>
    <row r="336" spans="92:97" x14ac:dyDescent="0.45">
      <c r="CN336" s="2">
        <v>166.5</v>
      </c>
      <c r="CO336" s="14">
        <v>0.05</v>
      </c>
      <c r="CP336" s="14">
        <v>-1.0520153441836394E-3</v>
      </c>
      <c r="CQ336" s="14">
        <v>-1.1938248798271281E-3</v>
      </c>
      <c r="CR336" s="14">
        <v>1.5027335105076785E-5</v>
      </c>
      <c r="CS336" s="14">
        <f t="shared" si="74"/>
        <v>4.7769187111094312E-2</v>
      </c>
    </row>
    <row r="337" spans="92:97" x14ac:dyDescent="0.45">
      <c r="CN337" s="2">
        <v>167</v>
      </c>
      <c r="CO337" s="14">
        <v>0.05</v>
      </c>
      <c r="CP337" s="14">
        <v>-1.0488655976441676E-3</v>
      </c>
      <c r="CQ337" s="14">
        <v>-1.1902505538396219E-3</v>
      </c>
      <c r="CR337" s="14">
        <v>1.49823430838041E-5</v>
      </c>
      <c r="CS337" s="14">
        <f t="shared" si="74"/>
        <v>4.7775866191600014E-2</v>
      </c>
    </row>
    <row r="338" spans="92:97" x14ac:dyDescent="0.45">
      <c r="CN338" s="2">
        <v>167.5</v>
      </c>
      <c r="CO338" s="14">
        <v>0.05</v>
      </c>
      <c r="CP338" s="14">
        <v>-1.0457346555616477E-3</v>
      </c>
      <c r="CQ338" s="14">
        <v>-1.1866975671117423E-3</v>
      </c>
      <c r="CR338" s="14">
        <v>1.4937619671613641E-5</v>
      </c>
      <c r="CS338" s="14">
        <f t="shared" si="74"/>
        <v>4.7782505396998229E-2</v>
      </c>
    </row>
    <row r="339" spans="92:97" x14ac:dyDescent="0.45">
      <c r="CN339" s="2">
        <v>168</v>
      </c>
      <c r="CO339" s="14">
        <v>0.05</v>
      </c>
      <c r="CP339" s="14">
        <v>-1.0426223500391426E-3</v>
      </c>
      <c r="CQ339" s="14">
        <v>-1.1831657291143862E-3</v>
      </c>
      <c r="CR339" s="14">
        <v>1.4893162470210028E-5</v>
      </c>
      <c r="CS339" s="14">
        <f t="shared" si="74"/>
        <v>4.7789105083316685E-2</v>
      </c>
    </row>
    <row r="340" spans="92:97" x14ac:dyDescent="0.45">
      <c r="CN340" s="2">
        <v>168.5</v>
      </c>
      <c r="CO340" s="14">
        <v>0.05</v>
      </c>
      <c r="CP340" s="14">
        <v>-1.0395285151725577E-3</v>
      </c>
      <c r="CQ340" s="14">
        <v>-1.1796548515799221E-3</v>
      </c>
      <c r="CR340" s="14">
        <v>1.4848969109764301E-5</v>
      </c>
      <c r="CS340" s="14">
        <f t="shared" si="74"/>
        <v>4.779566560235729E-2</v>
      </c>
    </row>
    <row r="341" spans="92:97" x14ac:dyDescent="0.45">
      <c r="CN341" s="2">
        <v>169</v>
      </c>
      <c r="CO341" s="14">
        <v>0.05</v>
      </c>
      <c r="CP341" s="14">
        <v>-1.0364529870211597E-3</v>
      </c>
      <c r="CQ341" s="14">
        <v>-1.176164748468739E-3</v>
      </c>
      <c r="CR341" s="14">
        <v>1.480503724849281E-5</v>
      </c>
      <c r="CS341" s="14">
        <f t="shared" si="74"/>
        <v>4.78021873017586E-2</v>
      </c>
    </row>
    <row r="342" spans="92:97" x14ac:dyDescent="0.45">
      <c r="CN342" s="2">
        <v>169.5</v>
      </c>
      <c r="CO342" s="14">
        <v>0.05</v>
      </c>
      <c r="CP342" s="14">
        <v>-1.0333956035786193E-3</v>
      </c>
      <c r="CQ342" s="14">
        <v>-1.1726952359363829E-3</v>
      </c>
      <c r="CR342" s="14">
        <v>1.4761364572243569E-5</v>
      </c>
      <c r="CS342" s="14">
        <f t="shared" si="74"/>
        <v>4.7808670525057245E-2</v>
      </c>
    </row>
    <row r="343" spans="92:97" x14ac:dyDescent="0.45">
      <c r="CN343" s="2">
        <v>170</v>
      </c>
      <c r="CO343" s="14">
        <v>0.05</v>
      </c>
      <c r="CP343" s="14">
        <v>-1.0303562047445645E-3</v>
      </c>
      <c r="CQ343" s="14">
        <v>-1.1692461323012759E-3</v>
      </c>
      <c r="CR343" s="14">
        <v>1.4717948794089912E-5</v>
      </c>
      <c r="CS343" s="14">
        <f t="shared" si="74"/>
        <v>4.7815115611748255E-2</v>
      </c>
    </row>
    <row r="344" spans="92:97" x14ac:dyDescent="0.45">
      <c r="CN344" s="2">
        <v>170.5</v>
      </c>
      <c r="CO344" s="14">
        <v>0.05</v>
      </c>
      <c r="CP344" s="14">
        <v>-1.0273346322966332E-3</v>
      </c>
      <c r="CQ344" s="14">
        <v>-1.1658172580130024E-3</v>
      </c>
      <c r="CR344" s="14">
        <v>1.467478765393129E-5</v>
      </c>
      <c r="CS344" s="14">
        <f t="shared" si="74"/>
        <v>4.7821522897344301E-2</v>
      </c>
    </row>
    <row r="345" spans="92:97" x14ac:dyDescent="0.45">
      <c r="CN345" s="2">
        <v>171</v>
      </c>
      <c r="CO345" s="14">
        <v>0.05</v>
      </c>
      <c r="CP345" s="14">
        <v>-1.0243307298630174E-3</v>
      </c>
      <c r="CQ345" s="14">
        <v>-1.1624084356211515E-3</v>
      </c>
      <c r="CR345" s="14">
        <v>1.4631878918101083E-5</v>
      </c>
      <c r="CS345" s="14">
        <f t="shared" si="74"/>
        <v>4.7827892713433934E-2</v>
      </c>
    </row>
    <row r="346" spans="92:97" x14ac:dyDescent="0.45">
      <c r="CN346" s="2">
        <v>171.5</v>
      </c>
      <c r="CO346" s="14">
        <v>0.05</v>
      </c>
      <c r="CP346" s="14">
        <v>-1.0213443428954867E-3</v>
      </c>
      <c r="CQ346" s="14">
        <v>-1.1590194897447051E-3</v>
      </c>
      <c r="CR346" s="14">
        <v>1.4589220378981254E-5</v>
      </c>
      <c r="CS346" s="14">
        <f t="shared" si="74"/>
        <v>4.7834225387738794E-2</v>
      </c>
    </row>
    <row r="347" spans="92:97" x14ac:dyDescent="0.45">
      <c r="CN347" s="2">
        <v>172</v>
      </c>
      <c r="CO347" s="14">
        <v>0.05</v>
      </c>
      <c r="CP347" s="14">
        <v>-1.0183753186428835E-3</v>
      </c>
      <c r="CQ347" s="14">
        <v>-1.155650247041959E-3</v>
      </c>
      <c r="CR347" s="14">
        <v>1.4546809854623749E-5</v>
      </c>
      <c r="CS347" s="14">
        <f t="shared" si="74"/>
        <v>4.7840521244169786E-2</v>
      </c>
    </row>
    <row r="348" spans="92:97" x14ac:dyDescent="0.45">
      <c r="CN348" s="2">
        <v>172.5</v>
      </c>
      <c r="CO348" s="14">
        <v>0.05</v>
      </c>
      <c r="CP348" s="14">
        <v>-1.0154235061250782E-3</v>
      </c>
      <c r="CQ348" s="14">
        <v>-1.1523005361809679E-3</v>
      </c>
      <c r="CR348" s="14">
        <v>1.4504645188378464E-5</v>
      </c>
      <c r="CS348" s="14">
        <f t="shared" si="74"/>
        <v>4.7846780602882333E-2</v>
      </c>
    </row>
    <row r="349" spans="92:97" x14ac:dyDescent="0.45">
      <c r="CN349" s="2">
        <v>173</v>
      </c>
      <c r="CO349" s="14">
        <v>0.05</v>
      </c>
      <c r="CP349" s="14">
        <v>-1.0124887561073755E-3</v>
      </c>
      <c r="CQ349" s="14">
        <v>-1.1489701878105024E-3</v>
      </c>
      <c r="CR349" s="14">
        <v>1.446272424852766E-5</v>
      </c>
      <c r="CS349" s="14">
        <f t="shared" si="74"/>
        <v>4.7853003780330652E-2</v>
      </c>
    </row>
    <row r="350" spans="92:97" x14ac:dyDescent="0.45">
      <c r="CN350" s="2">
        <v>173.5</v>
      </c>
      <c r="CO350" s="14">
        <v>0.05</v>
      </c>
      <c r="CP350" s="14">
        <v>-1.0095709210753657E-3</v>
      </c>
      <c r="CQ350" s="14">
        <v>-1.1456590345315096E-3</v>
      </c>
      <c r="CR350" s="14">
        <v>1.4421044927926715E-5</v>
      </c>
      <c r="CS350" s="14">
        <f t="shared" si="74"/>
        <v>4.785919108932106E-2</v>
      </c>
    </row>
    <row r="351" spans="92:97" x14ac:dyDescent="0.45">
      <c r="CN351" s="2">
        <v>174</v>
      </c>
      <c r="CO351" s="14">
        <v>0.05</v>
      </c>
      <c r="CP351" s="14">
        <v>-1.0066698552102067E-3</v>
      </c>
      <c r="CQ351" s="14">
        <v>-1.1423669108690628E-3</v>
      </c>
      <c r="CR351" s="14">
        <v>1.4379605143651063E-5</v>
      </c>
      <c r="CS351" s="14">
        <f t="shared" si="74"/>
        <v>4.7865342839064386E-2</v>
      </c>
    </row>
    <row r="352" spans="92:97" x14ac:dyDescent="0.45">
      <c r="CN352" s="2">
        <v>174.5</v>
      </c>
      <c r="CO352" s="14">
        <v>0.05</v>
      </c>
      <c r="CP352" s="14">
        <v>-1.0037854143643322E-3</v>
      </c>
      <c r="CQ352" s="14">
        <v>-1.1390936532447962E-3</v>
      </c>
      <c r="CR352" s="14">
        <v>1.4338402836649196E-5</v>
      </c>
      <c r="CS352" s="14">
        <f t="shared" si="74"/>
        <v>4.7871459335227518E-2</v>
      </c>
    </row>
    <row r="353" spans="92:97" x14ac:dyDescent="0.45">
      <c r="CN353" s="2">
        <v>175</v>
      </c>
      <c r="CO353" s="14">
        <v>0.05</v>
      </c>
      <c r="CP353" s="14">
        <v>-1.0009174560375769E-3</v>
      </c>
      <c r="CQ353" s="14">
        <v>-1.135839099949811E-3</v>
      </c>
      <c r="CR353" s="14">
        <v>1.4297435971401628E-5</v>
      </c>
      <c r="CS353" s="14">
        <f t="shared" si="74"/>
        <v>4.7877540879984012E-2</v>
      </c>
    </row>
    <row r="354" spans="92:97" x14ac:dyDescent="0.45">
      <c r="CN354" s="2">
        <v>175.5</v>
      </c>
      <c r="CO354" s="14">
        <v>0.05</v>
      </c>
      <c r="CP354" s="14">
        <v>-9.9806583935370917E-4</v>
      </c>
      <c r="CQ354" s="14">
        <v>-1.1326030911180452E-3</v>
      </c>
      <c r="CR354" s="14">
        <v>1.4256702535585669E-5</v>
      </c>
      <c r="CS354" s="14">
        <f t="shared" si="74"/>
        <v>4.7883587772063828E-2</v>
      </c>
    </row>
    <row r="355" spans="92:97" x14ac:dyDescent="0.45">
      <c r="CN355" s="2">
        <v>176</v>
      </c>
      <c r="CO355" s="14">
        <v>0.05</v>
      </c>
      <c r="CP355" s="14">
        <v>-9.9523042503736354E-4</v>
      </c>
      <c r="CQ355" s="14">
        <v>-1.1293854687000962E-3</v>
      </c>
      <c r="CR355" s="14">
        <v>1.4216200539745938E-5</v>
      </c>
      <c r="CS355" s="14">
        <f t="shared" si="74"/>
        <v>4.7889600306802289E-2</v>
      </c>
    </row>
    <row r="356" spans="92:97" x14ac:dyDescent="0.45">
      <c r="CN356" s="2">
        <v>176.5</v>
      </c>
      <c r="CO356" s="14">
        <v>0.05</v>
      </c>
      <c r="CP356" s="14">
        <v>-9.9241107539136514E-4</v>
      </c>
      <c r="CQ356" s="14">
        <v>-1.1261860764374897E-3</v>
      </c>
      <c r="CR356" s="14">
        <v>1.4175928016970455E-5</v>
      </c>
      <c r="CS356" s="14">
        <f t="shared" si="74"/>
        <v>4.7895578776188115E-2</v>
      </c>
    </row>
    <row r="357" spans="92:97" x14ac:dyDescent="0.45">
      <c r="CN357" s="2">
        <v>177</v>
      </c>
      <c r="CO357" s="14">
        <v>0.05</v>
      </c>
      <c r="CP357" s="14">
        <v>-9.8960765427444039E-4</v>
      </c>
      <c r="CQ357" s="14">
        <v>-1.1230047598373839E-3</v>
      </c>
      <c r="CR357" s="14">
        <v>1.4135883022572232E-5</v>
      </c>
      <c r="CS357" s="14">
        <f t="shared" si="74"/>
        <v>4.7901523468910745E-2</v>
      </c>
    </row>
    <row r="358" spans="92:97" x14ac:dyDescent="0.45">
      <c r="CN358" s="2">
        <v>177.5</v>
      </c>
      <c r="CO358" s="14">
        <v>0.05</v>
      </c>
      <c r="CP358" s="14">
        <v>-9.8682002707930127E-4</v>
      </c>
      <c r="CQ358" s="14">
        <v>-1.1198413661477012E-3</v>
      </c>
      <c r="CR358" s="14">
        <v>1.4096063633776254E-5</v>
      </c>
      <c r="CS358" s="14">
        <f t="shared" si="74"/>
        <v>4.7907434670406777E-2</v>
      </c>
    </row>
    <row r="359" spans="92:97" x14ac:dyDescent="0.45">
      <c r="CN359" s="2">
        <v>178</v>
      </c>
      <c r="CO359" s="14">
        <v>0.05</v>
      </c>
      <c r="CP359" s="14">
        <v>-9.8404806071110103E-4</v>
      </c>
      <c r="CQ359" s="14">
        <v>-1.1166957443326795E-3</v>
      </c>
      <c r="CR359" s="14">
        <v>1.4056467949411712E-5</v>
      </c>
      <c r="CS359" s="14">
        <f t="shared" si="74"/>
        <v>4.7913312662905633E-2</v>
      </c>
    </row>
    <row r="360" spans="92:97" x14ac:dyDescent="0.45">
      <c r="CN360" s="2">
        <v>178.5</v>
      </c>
      <c r="CO360" s="14">
        <v>0.05</v>
      </c>
      <c r="CP360" s="14">
        <v>-9.8129162356625182E-4</v>
      </c>
      <c r="CQ360" s="14">
        <v>-1.1135677450488345E-3</v>
      </c>
      <c r="CR360" s="14">
        <v>1.4017094089609439E-5</v>
      </c>
      <c r="CS360" s="14">
        <f t="shared" si="74"/>
        <v>4.7919157725474525E-2</v>
      </c>
    </row>
    <row r="361" spans="92:97" x14ac:dyDescent="0.45">
      <c r="CN361" s="2">
        <v>179</v>
      </c>
      <c r="CO361" s="14">
        <v>0.05</v>
      </c>
      <c r="CP361" s="14">
        <v>-9.7855058551159766E-4</v>
      </c>
      <c r="CQ361" s="14">
        <v>-1.1104572206213238E-3</v>
      </c>
      <c r="CR361" s="14">
        <v>1.3977940195504384E-5</v>
      </c>
      <c r="CS361" s="14">
        <f t="shared" si="74"/>
        <v>4.7924970134062585E-2</v>
      </c>
    </row>
    <row r="362" spans="92:97" x14ac:dyDescent="0.45">
      <c r="CN362" s="2">
        <v>179.5</v>
      </c>
      <c r="CO362" s="14">
        <v>0.05</v>
      </c>
      <c r="CP362" s="14">
        <v>-9.7582481786393296E-4</v>
      </c>
      <c r="CQ362" s="14">
        <v>-1.1073640250207073E-3</v>
      </c>
      <c r="CR362" s="14">
        <v>1.3939004428943093E-5</v>
      </c>
      <c r="CS362" s="14">
        <f t="shared" si="74"/>
        <v>4.7930750161544307E-2</v>
      </c>
    </row>
    <row r="363" spans="92:97" x14ac:dyDescent="0.45">
      <c r="CN363" s="2">
        <v>180</v>
      </c>
      <c r="CO363" s="14">
        <v>0.05</v>
      </c>
      <c r="CP363" s="14">
        <v>-9.7311419336986642E-4</v>
      </c>
      <c r="CQ363" s="14">
        <v>-1.1042880138400941E-3</v>
      </c>
      <c r="CR363" s="14">
        <v>1.3900284972196025E-5</v>
      </c>
      <c r="CS363" s="14">
        <f t="shared" si="74"/>
        <v>4.7936498077762235E-2</v>
      </c>
    </row>
    <row r="364" spans="92:97" x14ac:dyDescent="0.45">
      <c r="CN364" s="2">
        <v>180.5</v>
      </c>
      <c r="CO364" s="14">
        <v>0.05</v>
      </c>
      <c r="CP364" s="14">
        <v>-9.7041858618601641E-4</v>
      </c>
      <c r="CQ364" s="14">
        <v>-1.1012290442726702E-3</v>
      </c>
      <c r="CR364" s="14">
        <v>1.3861780027674708E-5</v>
      </c>
      <c r="CS364" s="14">
        <f t="shared" si="74"/>
        <v>4.7942214149568986E-2</v>
      </c>
    </row>
    <row r="365" spans="92:97" x14ac:dyDescent="0.45">
      <c r="CN365" s="2">
        <v>181</v>
      </c>
      <c r="CO365" s="14">
        <v>0.05</v>
      </c>
      <c r="CP365" s="14">
        <v>-9.6773787185953572E-4</v>
      </c>
      <c r="CQ365" s="14">
        <v>-1.0981869750895964E-3</v>
      </c>
      <c r="CR365" s="14">
        <v>1.3823487817653508E-5</v>
      </c>
      <c r="CS365" s="14">
        <f t="shared" si="74"/>
        <v>4.7947898640868521E-2</v>
      </c>
    </row>
    <row r="366" spans="92:97" x14ac:dyDescent="0.45">
      <c r="CN366" s="2">
        <v>181.5</v>
      </c>
      <c r="CO366" s="14">
        <v>0.05</v>
      </c>
      <c r="CP366" s="14">
        <v>-9.6507192730895842E-4</v>
      </c>
      <c r="CQ366" s="14">
        <v>-1.0951616666182752E-3</v>
      </c>
      <c r="CR366" s="14">
        <v>1.3785406583996062E-5</v>
      </c>
      <c r="CS366" s="14">
        <f t="shared" si="74"/>
        <v>4.7953551812656765E-2</v>
      </c>
    </row>
    <row r="367" spans="92:97" x14ac:dyDescent="0.45">
      <c r="CN367" s="2">
        <v>182</v>
      </c>
      <c r="CO367" s="14">
        <v>0.05</v>
      </c>
      <c r="CP367" s="14">
        <v>-9.6242063080536244E-4</v>
      </c>
      <c r="CQ367" s="14">
        <v>-1.0921529807209724E-3</v>
      </c>
      <c r="CR367" s="14">
        <v>1.3747534587886181E-5</v>
      </c>
      <c r="CS367" s="14">
        <f t="shared" si="74"/>
        <v>4.7959173923061552E-2</v>
      </c>
    </row>
    <row r="368" spans="92:97" x14ac:dyDescent="0.45">
      <c r="CN368" s="2">
        <v>182.5</v>
      </c>
      <c r="CO368" s="14">
        <v>0.05</v>
      </c>
      <c r="CP368" s="14">
        <v>-9.5978386195384085E-4</v>
      </c>
      <c r="CQ368" s="14">
        <v>-1.0891607807737916E-3</v>
      </c>
      <c r="CR368" s="14">
        <v>1.3709870109563207E-5</v>
      </c>
      <c r="CS368" s="14">
        <f t="shared" si="74"/>
        <v>4.7964765227381932E-2</v>
      </c>
    </row>
    <row r="369" spans="92:97" x14ac:dyDescent="0.45">
      <c r="CN369" s="2">
        <v>183</v>
      </c>
      <c r="CO369" s="14">
        <v>0.05</v>
      </c>
      <c r="CP369" s="14">
        <v>-9.5716150167527846E-4</v>
      </c>
      <c r="CQ369" s="14">
        <v>-1.0861849316459943E-3</v>
      </c>
      <c r="CR369" s="14">
        <v>1.3672411448061667E-5</v>
      </c>
      <c r="CS369" s="14">
        <f t="shared" si="74"/>
        <v>4.7970325978126796E-2</v>
      </c>
    </row>
    <row r="370" spans="92:97" x14ac:dyDescent="0.45">
      <c r="CN370" s="2">
        <v>183.5</v>
      </c>
      <c r="CO370" s="14">
        <v>0.05</v>
      </c>
      <c r="CP370" s="14">
        <v>-9.5455343218842483E-4</v>
      </c>
      <c r="CQ370" s="14">
        <v>-1.0832252996796565E-3</v>
      </c>
      <c r="CR370" s="14">
        <v>1.3635156920955233E-5</v>
      </c>
      <c r="CS370" s="14">
        <f t="shared" si="74"/>
        <v>4.7975856425052872E-2</v>
      </c>
    </row>
    <row r="371" spans="92:97" x14ac:dyDescent="0.45">
      <c r="CN371" s="2">
        <v>184</v>
      </c>
      <c r="CO371" s="14">
        <v>0.05</v>
      </c>
      <c r="CP371" s="14">
        <v>-9.5195953699226061E-4</v>
      </c>
      <c r="CQ371" s="14">
        <v>-1.0802817526696573E-3</v>
      </c>
      <c r="CR371" s="14">
        <v>1.3598104864104812E-5</v>
      </c>
      <c r="CS371" s="14">
        <f t="shared" si="74"/>
        <v>4.7981356815202193E-2</v>
      </c>
    </row>
    <row r="372" spans="92:97" x14ac:dyDescent="0.45">
      <c r="CN372" s="2">
        <v>184.5</v>
      </c>
      <c r="CO372" s="14">
        <v>0.05</v>
      </c>
      <c r="CP372" s="14">
        <v>-9.4937970084865014E-4</v>
      </c>
      <c r="CQ372" s="14">
        <v>-1.0773541598439944E-3</v>
      </c>
      <c r="CR372" s="14">
        <v>1.3561253631410759E-5</v>
      </c>
      <c r="CS372" s="14">
        <f t="shared" si="74"/>
        <v>4.7986827392938768E-2</v>
      </c>
    </row>
    <row r="373" spans="92:97" x14ac:dyDescent="0.45">
      <c r="CN373" s="2">
        <v>185</v>
      </c>
      <c r="CO373" s="14">
        <v>0.05</v>
      </c>
      <c r="CP373" s="14">
        <v>-9.4681380976527547E-4</v>
      </c>
      <c r="CQ373" s="14">
        <v>-1.074442391844416E-3</v>
      </c>
      <c r="CR373" s="14">
        <v>1.3524601594569109E-5</v>
      </c>
      <c r="CS373" s="14">
        <f t="shared" si="74"/>
        <v>4.7992268399984883E-2</v>
      </c>
    </row>
    <row r="374" spans="92:97" x14ac:dyDescent="0.45">
      <c r="CN374" s="2">
        <v>185.5</v>
      </c>
      <c r="CO374" s="14">
        <v>0.05</v>
      </c>
      <c r="CP374" s="14">
        <v>-9.4426175097884612E-4</v>
      </c>
      <c r="CQ374" s="14">
        <v>-1.0715463207073689E-3</v>
      </c>
      <c r="CR374" s="14">
        <v>1.3488147142831726E-5</v>
      </c>
      <c r="CS374" s="14">
        <f t="shared" si="74"/>
        <v>4.7997680075456621E-2</v>
      </c>
    </row>
    <row r="375" spans="92:97" x14ac:dyDescent="0.45">
      <c r="CN375" s="2">
        <v>186</v>
      </c>
      <c r="CO375" s="14">
        <v>0.05</v>
      </c>
      <c r="CP375" s="14">
        <v>-9.4172341293858046E-4</v>
      </c>
      <c r="CQ375" s="14">
        <v>-1.0686658198452526E-3</v>
      </c>
      <c r="CR375" s="14">
        <v>1.3451888682770351E-5</v>
      </c>
      <c r="CS375" s="14">
        <f t="shared" si="74"/>
        <v>4.8003062655898945E-2</v>
      </c>
    </row>
    <row r="376" spans="92:97" x14ac:dyDescent="0.45">
      <c r="CN376" s="2">
        <v>186.5</v>
      </c>
      <c r="CO376" s="14">
        <v>0.05</v>
      </c>
      <c r="CP376" s="14">
        <v>-9.3919868528995155E-4</v>
      </c>
      <c r="CQ376" s="14">
        <v>-1.065800764027973E-3</v>
      </c>
      <c r="CR376" s="14">
        <v>1.341582463804442E-5</v>
      </c>
      <c r="CS376" s="14">
        <f t="shared" si="74"/>
        <v>4.800841637532012E-2</v>
      </c>
    </row>
    <row r="377" spans="92:97" x14ac:dyDescent="0.45">
      <c r="CN377" s="2">
        <v>187</v>
      </c>
      <c r="CO377" s="14">
        <v>0.05</v>
      </c>
      <c r="CP377" s="14">
        <v>-9.3668745885869492E-4</v>
      </c>
      <c r="CQ377" s="14">
        <v>-1.0629510293647965E-3</v>
      </c>
      <c r="CR377" s="14">
        <v>1.3379953449172645E-5</v>
      </c>
      <c r="CS377" s="14">
        <f t="shared" si="74"/>
        <v>4.801374146522569E-2</v>
      </c>
    </row>
    <row r="378" spans="92:97" x14ac:dyDescent="0.45">
      <c r="CN378" s="2">
        <v>187.5</v>
      </c>
      <c r="CO378" s="14">
        <v>0.05</v>
      </c>
      <c r="CP378" s="14">
        <v>-9.3418962563507173E-4</v>
      </c>
      <c r="CQ378" s="14">
        <v>-1.0601164932864905E-3</v>
      </c>
      <c r="CR378" s="14">
        <v>1.3344273573308184E-5</v>
      </c>
      <c r="CS378" s="14">
        <f t="shared" si="74"/>
        <v>4.801903815465175E-2</v>
      </c>
    </row>
    <row r="379" spans="92:97" x14ac:dyDescent="0.45">
      <c r="CN379" s="2">
        <v>188</v>
      </c>
      <c r="CO379" s="14">
        <v>0.05</v>
      </c>
      <c r="CP379" s="14">
        <v>-9.3170507875838275E-4</v>
      </c>
      <c r="CQ379" s="14">
        <v>-1.0572970345277496E-3</v>
      </c>
      <c r="CR379" s="14">
        <v>1.3308783484017471E-5</v>
      </c>
      <c r="CS379" s="14">
        <f t="shared" si="74"/>
        <v>4.8024306670197893E-2</v>
      </c>
    </row>
    <row r="380" spans="92:97" x14ac:dyDescent="0.45">
      <c r="CN380" s="2">
        <v>188.5</v>
      </c>
      <c r="CO380" s="14">
        <v>0.05</v>
      </c>
      <c r="CP380" s="14">
        <v>-9.2923371250172918E-4</v>
      </c>
      <c r="CQ380" s="14">
        <v>-1.0544925331099043E-3</v>
      </c>
      <c r="CR380" s="14">
        <v>1.3273481671062517E-5</v>
      </c>
      <c r="CS380" s="14">
        <f t="shared" si="74"/>
        <v>4.8029547236059435E-2</v>
      </c>
    </row>
    <row r="381" spans="92:97" x14ac:dyDescent="0.45">
      <c r="CN381" s="2">
        <v>189</v>
      </c>
      <c r="CO381" s="14">
        <v>0.05</v>
      </c>
      <c r="CP381" s="14">
        <v>-9.2677542225701561E-4</v>
      </c>
      <c r="CQ381" s="14">
        <v>-1.0517028703238992E-3</v>
      </c>
      <c r="CR381" s="14">
        <v>1.3238366640186691E-5</v>
      </c>
      <c r="CS381" s="14">
        <f t="shared" si="74"/>
        <v>4.8034760074059275E-2</v>
      </c>
    </row>
    <row r="382" spans="92:97" x14ac:dyDescent="0.45">
      <c r="CN382" s="2">
        <v>189.5</v>
      </c>
      <c r="CO382" s="14">
        <v>0.05</v>
      </c>
      <c r="CP382" s="14">
        <v>-9.2433010452018971E-4</v>
      </c>
      <c r="CQ382" s="14">
        <v>-1.048927928713546E-3</v>
      </c>
      <c r="CR382" s="14">
        <v>1.3203436912903877E-5</v>
      </c>
      <c r="CS382" s="14">
        <f t="shared" si="74"/>
        <v>4.8039945403679167E-2</v>
      </c>
    </row>
    <row r="383" spans="92:97" x14ac:dyDescent="0.45">
      <c r="CN383" s="2">
        <v>190</v>
      </c>
      <c r="CO383" s="14">
        <v>0.05</v>
      </c>
      <c r="CP383" s="14">
        <v>-9.2189765687671554E-4</v>
      </c>
      <c r="CQ383" s="14">
        <v>-1.0461675920590365E-3</v>
      </c>
      <c r="CR383" s="14">
        <v>1.3168691026290973E-5</v>
      </c>
      <c r="CS383" s="14">
        <f t="shared" si="74"/>
        <v>4.8045103442090543E-2</v>
      </c>
    </row>
    <row r="384" spans="92:97" x14ac:dyDescent="0.45">
      <c r="CN384" s="2">
        <v>190.5</v>
      </c>
      <c r="CO384" s="14">
        <v>0.05</v>
      </c>
      <c r="CP384" s="14">
        <v>-9.194779779872754E-4</v>
      </c>
      <c r="CQ384" s="14">
        <v>-1.0434217453607188E-3</v>
      </c>
      <c r="CR384" s="14">
        <v>1.3134127532783647E-5</v>
      </c>
      <c r="CS384" s="14">
        <f t="shared" si="74"/>
        <v>4.8050234404184787E-2</v>
      </c>
    </row>
    <row r="385" spans="92:97" x14ac:dyDescent="0.45">
      <c r="CN385" s="2">
        <v>191</v>
      </c>
      <c r="CO385" s="14">
        <v>0.05</v>
      </c>
      <c r="CP385" s="14">
        <v>-9.1707096757369605E-4</v>
      </c>
      <c r="CQ385" s="14">
        <v>-1.0406902748231253E-3</v>
      </c>
      <c r="CR385" s="14">
        <v>1.3099744999975311E-5</v>
      </c>
      <c r="CS385" s="14">
        <f t="shared" si="74"/>
        <v>4.8055338502603157E-2</v>
      </c>
    </row>
    <row r="386" spans="92:97" x14ac:dyDescent="0.45">
      <c r="CN386" s="2">
        <v>191.5</v>
      </c>
      <c r="CO386" s="14">
        <v>0.05</v>
      </c>
      <c r="CP386" s="14">
        <v>-9.1467652640509639E-4</v>
      </c>
      <c r="CQ386" s="14">
        <v>-1.0379730678392531E-3</v>
      </c>
      <c r="CR386" s="14">
        <v>1.3065542010419241E-5</v>
      </c>
      <c r="CS386" s="14">
        <f t="shared" si="74"/>
        <v>4.8060415947766076E-2</v>
      </c>
    </row>
    <row r="387" spans="92:97" x14ac:dyDescent="0.45">
      <c r="CN387" s="2">
        <v>192</v>
      </c>
      <c r="CO387" s="14">
        <v>0.05</v>
      </c>
      <c r="CP387" s="14">
        <v>-9.122945562842498E-4</v>
      </c>
      <c r="CQ387" s="14">
        <v>-1.0352700129750883E-3</v>
      </c>
      <c r="CR387" s="14">
        <v>1.3031517161433774E-5</v>
      </c>
      <c r="CS387" s="14">
        <f t="shared" si="74"/>
        <v>4.8065466947902098E-2</v>
      </c>
    </row>
    <row r="388" spans="92:97" x14ac:dyDescent="0.45">
      <c r="CN388" s="2">
        <v>192.5</v>
      </c>
      <c r="CO388" s="14">
        <v>0.05</v>
      </c>
      <c r="CP388" s="14">
        <v>-9.0992496003416078E-4</v>
      </c>
      <c r="CQ388" s="14">
        <v>-1.0325809999543738E-3</v>
      </c>
      <c r="CR388" s="14">
        <v>1.299766906491057E-5</v>
      </c>
      <c r="CS388" s="14">
        <f t="shared" ref="CS388:CS451" si="75">SUM(CO388:CR388)</f>
        <v>4.8070491709076374E-2</v>
      </c>
    </row>
    <row r="389" spans="92:97" x14ac:dyDescent="0.45">
      <c r="CN389" s="2">
        <v>193</v>
      </c>
      <c r="CO389" s="14">
        <v>0.05</v>
      </c>
      <c r="CP389" s="14">
        <v>-9.0756764148484947E-4</v>
      </c>
      <c r="CQ389" s="14">
        <v>-1.0299059196436111E-3</v>
      </c>
      <c r="CR389" s="14">
        <v>1.2963996347125829E-5</v>
      </c>
      <c r="CS389" s="14">
        <f t="shared" si="75"/>
        <v>4.8075490435218672E-2</v>
      </c>
    </row>
    <row r="390" spans="92:97" x14ac:dyDescent="0.45">
      <c r="CN390" s="2">
        <v>193.5</v>
      </c>
      <c r="CO390" s="14">
        <v>0.05</v>
      </c>
      <c r="CP390" s="14">
        <v>-9.0522250546034081E-4</v>
      </c>
      <c r="CQ390" s="14">
        <v>-1.027244664037297E-3</v>
      </c>
      <c r="CR390" s="14">
        <v>1.2930497648554443E-5</v>
      </c>
      <c r="CS390" s="14">
        <f t="shared" si="75"/>
        <v>4.8080463328150927E-2</v>
      </c>
    </row>
    <row r="391" spans="92:97" x14ac:dyDescent="0.45">
      <c r="CN391" s="2">
        <v>194</v>
      </c>
      <c r="CO391" s="14">
        <v>0.05</v>
      </c>
      <c r="CP391" s="14">
        <v>-9.0288945776585542E-4</v>
      </c>
      <c r="CQ391" s="14">
        <v>-1.0245971262433863E-3</v>
      </c>
      <c r="CR391" s="14">
        <v>1.2897171623687035E-5</v>
      </c>
      <c r="CS391" s="14">
        <f t="shared" si="75"/>
        <v>4.8085410587614445E-2</v>
      </c>
    </row>
    <row r="392" spans="92:97" x14ac:dyDescent="0.45">
      <c r="CN392" s="2">
        <v>194.5</v>
      </c>
      <c r="CO392" s="14">
        <v>0.05</v>
      </c>
      <c r="CP392" s="14">
        <v>-9.0056840517519767E-4</v>
      </c>
      <c r="CQ392" s="14">
        <v>-1.0219632004689818E-3</v>
      </c>
      <c r="CR392" s="14">
        <v>1.2864016940849793E-5</v>
      </c>
      <c r="CS392" s="14">
        <f t="shared" si="75"/>
        <v>4.8090332411296677E-2</v>
      </c>
    </row>
    <row r="393" spans="92:97" x14ac:dyDescent="0.45">
      <c r="CN393" s="2">
        <v>195</v>
      </c>
      <c r="CO393" s="14">
        <v>0.05</v>
      </c>
      <c r="CP393" s="14">
        <v>-8.9825925541833817E-4</v>
      </c>
      <c r="CQ393" s="14">
        <v>-1.0193427820062407E-3</v>
      </c>
      <c r="CR393" s="14">
        <v>1.2831032282027101E-5</v>
      </c>
      <c r="CS393" s="14">
        <f t="shared" si="75"/>
        <v>4.809522899485745E-2</v>
      </c>
    </row>
    <row r="394" spans="92:97" x14ac:dyDescent="0.45">
      <c r="CN394" s="2">
        <v>195.5</v>
      </c>
      <c r="CO394" s="14">
        <v>0.05</v>
      </c>
      <c r="CP394" s="14">
        <v>-8.9596191716918643E-4</v>
      </c>
      <c r="CQ394" s="14">
        <v>-1.0167357672185009E-3</v>
      </c>
      <c r="CR394" s="14">
        <v>1.2798216342686878E-5</v>
      </c>
      <c r="CS394" s="14">
        <f t="shared" si="75"/>
        <v>4.8100100531955001E-2</v>
      </c>
    </row>
    <row r="395" spans="92:97" x14ac:dyDescent="0.45">
      <c r="CN395" s="2">
        <v>196</v>
      </c>
      <c r="CO395" s="14">
        <v>0.05</v>
      </c>
      <c r="CP395" s="14">
        <v>-8.9367630003355078E-4</v>
      </c>
      <c r="CQ395" s="14">
        <v>-1.0141420535266169E-3</v>
      </c>
      <c r="CR395" s="14">
        <v>1.2765567831608596E-5</v>
      </c>
      <c r="CS395" s="14">
        <f t="shared" si="75"/>
        <v>4.8104947214271443E-2</v>
      </c>
    </row>
    <row r="396" spans="92:97" x14ac:dyDescent="0.45">
      <c r="CN396" s="2">
        <v>196.5</v>
      </c>
      <c r="CO396" s="14">
        <v>0.05</v>
      </c>
      <c r="CP396" s="14">
        <v>-8.9140231453728219E-4</v>
      </c>
      <c r="CQ396" s="14">
        <v>-1.0115615393955059E-3</v>
      </c>
      <c r="CR396" s="14">
        <v>1.2733085470713918E-5</v>
      </c>
      <c r="CS396" s="14">
        <f t="shared" si="75"/>
        <v>4.8109769231537924E-2</v>
      </c>
    </row>
    <row r="397" spans="92:97" x14ac:dyDescent="0.45">
      <c r="CN397" s="2">
        <v>197</v>
      </c>
      <c r="CO397" s="14">
        <v>0.05</v>
      </c>
      <c r="CP397" s="14">
        <v>-8.8913987211459869E-4</v>
      </c>
      <c r="CQ397" s="14">
        <v>-1.0089941243208982E-3</v>
      </c>
      <c r="CR397" s="14">
        <v>1.2700767994899923E-5</v>
      </c>
      <c r="CS397" s="14">
        <f t="shared" si="75"/>
        <v>4.8114566771559404E-2</v>
      </c>
    </row>
    <row r="398" spans="92:97" x14ac:dyDescent="0.45">
      <c r="CN398" s="2">
        <v>197.5</v>
      </c>
      <c r="CO398" s="14">
        <v>0.05</v>
      </c>
      <c r="CP398" s="14">
        <v>-8.8688888509658723E-4</v>
      </c>
      <c r="CQ398" s="14">
        <v>-1.0064397088162885E-3</v>
      </c>
      <c r="CR398" s="14">
        <v>1.266861415187486E-5</v>
      </c>
      <c r="CS398" s="14">
        <f t="shared" si="75"/>
        <v>4.8119340020239001E-2</v>
      </c>
    </row>
    <row r="399" spans="92:97" x14ac:dyDescent="0.45">
      <c r="CN399" s="2">
        <v>198</v>
      </c>
      <c r="CO399" s="14">
        <v>0.05</v>
      </c>
      <c r="CP399" s="14">
        <v>-8.846492666998787E-4</v>
      </c>
      <c r="CQ399" s="14">
        <v>-1.0038981944000857E-3</v>
      </c>
      <c r="CR399" s="14">
        <v>1.2636622701996389E-5</v>
      </c>
      <c r="CS399" s="14">
        <f t="shared" si="75"/>
        <v>4.8124089161602039E-2</v>
      </c>
    </row>
    <row r="400" spans="92:97" x14ac:dyDescent="0.45">
      <c r="CN400" s="2">
        <v>198.5</v>
      </c>
      <c r="CO400" s="14">
        <v>0.05</v>
      </c>
      <c r="CP400" s="14">
        <v>-8.8242093101549611E-4</v>
      </c>
      <c r="CQ400" s="14">
        <v>-1.0013694835829569E-3</v>
      </c>
      <c r="CR400" s="14">
        <v>1.2604792418112268E-5</v>
      </c>
      <c r="CS400" s="14">
        <f t="shared" si="75"/>
        <v>4.8128814377819663E-2</v>
      </c>
    </row>
    <row r="401" spans="92:97" x14ac:dyDescent="0.45">
      <c r="CN401" s="2">
        <v>199</v>
      </c>
      <c r="CO401" s="14">
        <v>0.05</v>
      </c>
      <c r="CP401" s="14">
        <v>-8.8020379299786928E-4</v>
      </c>
      <c r="CQ401" s="14">
        <v>-9.9885347985536168E-4</v>
      </c>
      <c r="CR401" s="14">
        <v>1.257312208540344E-5</v>
      </c>
      <c r="CS401" s="14">
        <f t="shared" si="75"/>
        <v>4.8133515849232172E-2</v>
      </c>
    </row>
    <row r="402" spans="92:97" x14ac:dyDescent="0.45">
      <c r="CN402" s="2">
        <v>199.5</v>
      </c>
      <c r="CO402" s="14">
        <v>0.05</v>
      </c>
      <c r="CP402" s="14">
        <v>-8.7799776845401487E-4</v>
      </c>
      <c r="CQ402" s="14">
        <v>-9.9635008767527309E-4</v>
      </c>
      <c r="CR402" s="14">
        <v>1.2541610501229498E-5</v>
      </c>
      <c r="CS402" s="14">
        <f t="shared" si="75"/>
        <v>4.813819375437195E-2</v>
      </c>
    </row>
    <row r="403" spans="92:97" x14ac:dyDescent="0.45">
      <c r="CN403" s="2">
        <v>200</v>
      </c>
      <c r="CO403" s="14">
        <v>0.05</v>
      </c>
      <c r="CP403" s="14">
        <v>-8.7580277403287985E-4</v>
      </c>
      <c r="CQ403" s="14">
        <v>-9.9385921245608477E-4</v>
      </c>
      <c r="CR403" s="14">
        <v>1.2510256474976425E-5</v>
      </c>
      <c r="CS403" s="14">
        <f t="shared" si="75"/>
        <v>4.8142848269986008E-2</v>
      </c>
    </row>
    <row r="404" spans="92:97" x14ac:dyDescent="0.45">
      <c r="CN404" s="2">
        <v>200.5</v>
      </c>
      <c r="CO404" s="14">
        <v>0.05</v>
      </c>
      <c r="CP404" s="14">
        <v>-8.7361872721484276E-4</v>
      </c>
      <c r="CQ404" s="14">
        <v>-9.9138076055469804E-4</v>
      </c>
      <c r="CR404" s="14">
        <v>1.2479058827906658E-5</v>
      </c>
      <c r="CS404" s="14">
        <f t="shared" si="75"/>
        <v>4.8147479571058367E-2</v>
      </c>
    </row>
    <row r="405" spans="92:97" x14ac:dyDescent="0.45">
      <c r="CN405" s="2">
        <v>201</v>
      </c>
      <c r="CO405" s="14">
        <v>0.05</v>
      </c>
      <c r="CP405" s="14">
        <v>-8.7144554630137305E-4</v>
      </c>
      <c r="CQ405" s="14">
        <v>-9.8891463925978597E-4</v>
      </c>
      <c r="CR405" s="14">
        <v>1.2448016393011369E-5</v>
      </c>
      <c r="CS405" s="14">
        <f t="shared" si="75"/>
        <v>4.8152087830831858E-2</v>
      </c>
    </row>
    <row r="406" spans="92:97" x14ac:dyDescent="0.45">
      <c r="CN406" s="2">
        <v>201.5</v>
      </c>
      <c r="CO406" s="14">
        <v>0.05</v>
      </c>
      <c r="CP406" s="14">
        <v>-8.6928315040484352E-4</v>
      </c>
      <c r="CQ406" s="14">
        <v>-9.8646075678023308E-4</v>
      </c>
      <c r="CR406" s="14">
        <v>1.2417128014864937E-5</v>
      </c>
      <c r="CS406" s="14">
        <f t="shared" si="75"/>
        <v>4.8156673220829789E-2</v>
      </c>
    </row>
    <row r="407" spans="92:97" x14ac:dyDescent="0.45">
      <c r="CN407" s="2">
        <v>202</v>
      </c>
      <c r="CO407" s="14">
        <v>0.05</v>
      </c>
      <c r="CP407" s="14">
        <v>-8.6713145943849489E-4</v>
      </c>
      <c r="CQ407" s="14">
        <v>-9.8401902223374743E-4</v>
      </c>
      <c r="CR407" s="14">
        <v>1.2386392549481608E-5</v>
      </c>
      <c r="CS407" s="14">
        <f t="shared" si="75"/>
        <v>4.8161235910877245E-2</v>
      </c>
    </row>
    <row r="408" spans="92:97" x14ac:dyDescent="0.45">
      <c r="CN408" s="2">
        <v>202.5</v>
      </c>
      <c r="CO408" s="14">
        <v>0.05</v>
      </c>
      <c r="CP408" s="14">
        <v>-8.6499039410654801E-4</v>
      </c>
      <c r="CQ408" s="14">
        <v>-9.8158934563563919E-4</v>
      </c>
      <c r="CR408" s="14">
        <v>1.2355808864174246E-5</v>
      </c>
      <c r="CS408" s="14">
        <f t="shared" si="75"/>
        <v>4.8165776069121993E-2</v>
      </c>
    </row>
    <row r="409" spans="92:97" x14ac:dyDescent="0.45">
      <c r="CN409" s="2">
        <v>203</v>
      </c>
      <c r="CO409" s="14">
        <v>0.05</v>
      </c>
      <c r="CP409" s="14">
        <v>-8.6285987589446297E-4</v>
      </c>
      <c r="CQ409" s="14">
        <v>-9.7917163788776825E-4</v>
      </c>
      <c r="CR409" s="14">
        <v>1.2325375837415197E-5</v>
      </c>
      <c r="CS409" s="14">
        <f t="shared" si="75"/>
        <v>4.8170293862055187E-2</v>
      </c>
    </row>
    <row r="410" spans="92:97" x14ac:dyDescent="0.45">
      <c r="CN410" s="2">
        <v>203.5</v>
      </c>
      <c r="CO410" s="14">
        <v>0.05</v>
      </c>
      <c r="CP410" s="14">
        <v>-8.6073982705934138E-4</v>
      </c>
      <c r="CQ410" s="14">
        <v>-9.7676581076765103E-4</v>
      </c>
      <c r="CR410" s="14">
        <v>1.2295092358699188E-5</v>
      </c>
      <c r="CS410" s="14">
        <f t="shared" si="75"/>
        <v>4.8174789454531707E-2</v>
      </c>
    </row>
    <row r="411" spans="92:97" x14ac:dyDescent="0.45">
      <c r="CN411" s="2">
        <v>204</v>
      </c>
      <c r="CO411" s="14">
        <v>0.05</v>
      </c>
      <c r="CP411" s="14">
        <v>-8.5863017062047043E-4</v>
      </c>
      <c r="CQ411" s="14">
        <v>-9.7437177691773026E-4</v>
      </c>
      <c r="CR411" s="14">
        <v>1.2264957328408259E-5</v>
      </c>
      <c r="CS411" s="14">
        <f t="shared" si="75"/>
        <v>4.817926300979021E-2</v>
      </c>
    </row>
    <row r="412" spans="92:97" x14ac:dyDescent="0.45">
      <c r="CN412" s="2">
        <v>204.5</v>
      </c>
      <c r="CO412" s="14">
        <v>0.05</v>
      </c>
      <c r="CP412" s="14">
        <v>-8.5653083035000478E-4</v>
      </c>
      <c r="CQ412" s="14">
        <v>-9.7198944983480182E-4</v>
      </c>
      <c r="CR412" s="14">
        <v>1.2234969657678655E-5</v>
      </c>
      <c r="CS412" s="14">
        <f t="shared" si="75"/>
        <v>4.8183714689472877E-2</v>
      </c>
    </row>
    <row r="413" spans="92:97" x14ac:dyDescent="0.45">
      <c r="CN413" s="2">
        <v>205</v>
      </c>
      <c r="CO413" s="14">
        <v>0.05</v>
      </c>
      <c r="CP413" s="14">
        <v>-8.5444173076378526E-4</v>
      </c>
      <c r="CQ413" s="14">
        <v>-9.696187438595949E-4</v>
      </c>
      <c r="CR413" s="14">
        <v>1.2205128268269682E-5</v>
      </c>
      <c r="CS413" s="14">
        <f t="shared" si="75"/>
        <v>4.818814465364489E-2</v>
      </c>
    </row>
    <row r="414" spans="92:97" x14ac:dyDescent="0.45">
      <c r="CN414" s="2">
        <v>205.5</v>
      </c>
      <c r="CO414" s="14">
        <v>0.05</v>
      </c>
      <c r="CP414" s="14">
        <v>-8.5236279711229182E-4</v>
      </c>
      <c r="CQ414" s="14">
        <v>-9.6725957416650583E-4</v>
      </c>
      <c r="CR414" s="14">
        <v>1.2175432092434476E-5</v>
      </c>
      <c r="CS414" s="14">
        <f t="shared" si="75"/>
        <v>4.8192553060813638E-2</v>
      </c>
    </row>
    <row r="415" spans="92:97" x14ac:dyDescent="0.45">
      <c r="CN415" s="2">
        <v>206</v>
      </c>
      <c r="CO415" s="14">
        <v>0.05</v>
      </c>
      <c r="CP415" s="14">
        <v>-8.5029395537172803E-4</v>
      </c>
      <c r="CQ415" s="14">
        <v>-9.6491185675348038E-4</v>
      </c>
      <c r="CR415" s="14">
        <v>1.2145880072792645E-5</v>
      </c>
      <c r="CS415" s="14">
        <f t="shared" si="75"/>
        <v>4.8196940067947586E-2</v>
      </c>
    </row>
    <row r="416" spans="92:97" x14ac:dyDescent="0.45">
      <c r="CN416" s="2">
        <v>206.5</v>
      </c>
      <c r="CO416" s="14">
        <v>0.05</v>
      </c>
      <c r="CP416" s="14">
        <v>-8.4823513223523472E-4</v>
      </c>
      <c r="CQ416" s="14">
        <v>-9.6257550843204345E-4</v>
      </c>
      <c r="CR416" s="14">
        <v>1.2116471162204769E-5</v>
      </c>
      <c r="CS416" s="14">
        <f t="shared" si="75"/>
        <v>4.820130583049493E-2</v>
      </c>
    </row>
    <row r="417" spans="92:97" x14ac:dyDescent="0.45">
      <c r="CN417" s="2">
        <v>207</v>
      </c>
      <c r="CO417" s="14">
        <v>0.05</v>
      </c>
      <c r="CP417" s="14">
        <v>-8.4618625510423176E-4</v>
      </c>
      <c r="CQ417" s="14">
        <v>-9.6025044681747316E-4</v>
      </c>
      <c r="CR417" s="14">
        <v>1.208720432364872E-5</v>
      </c>
      <c r="CS417" s="14">
        <f t="shared" si="75"/>
        <v>4.8205650502401942E-2</v>
      </c>
    </row>
    <row r="418" spans="92:97" x14ac:dyDescent="0.45">
      <c r="CN418" s="2">
        <v>207.5</v>
      </c>
      <c r="CO418" s="14">
        <v>0.05</v>
      </c>
      <c r="CP418" s="14">
        <v>-8.4414725207988415E-4</v>
      </c>
      <c r="CQ418" s="14">
        <v>-9.5793659031911797E-4</v>
      </c>
      <c r="CR418" s="14">
        <v>1.2058078530097759E-5</v>
      </c>
      <c r="CS418" s="14">
        <f t="shared" si="75"/>
        <v>4.8209974236131097E-2</v>
      </c>
    </row>
    <row r="419" spans="92:97" x14ac:dyDescent="0.45">
      <c r="CN419" s="2">
        <v>208</v>
      </c>
      <c r="CO419" s="14">
        <v>0.05</v>
      </c>
      <c r="CP419" s="14">
        <v>-8.4211805195469217E-4</v>
      </c>
      <c r="CQ419" s="14">
        <v>-9.5563385813085078E-4</v>
      </c>
      <c r="CR419" s="14">
        <v>1.2029092764400409E-5</v>
      </c>
      <c r="CS419" s="14">
        <f t="shared" si="75"/>
        <v>4.8214277182678858E-2</v>
      </c>
    </row>
    <row r="420" spans="92:97" x14ac:dyDescent="0.45">
      <c r="CN420" s="2">
        <v>208.5</v>
      </c>
      <c r="CO420" s="14">
        <v>0.05</v>
      </c>
      <c r="CP420" s="14">
        <v>-8.4009858420420124E-4</v>
      </c>
      <c r="CQ420" s="14">
        <v>-9.5334217022166406E-4</v>
      </c>
      <c r="CR420" s="14">
        <v>1.2000246019162038E-5</v>
      </c>
      <c r="CS420" s="14">
        <f t="shared" si="75"/>
        <v>4.8218559491593295E-2</v>
      </c>
    </row>
    <row r="421" spans="92:97" x14ac:dyDescent="0.45">
      <c r="CN421" s="2">
        <v>209</v>
      </c>
      <c r="CO421" s="14">
        <v>0.05</v>
      </c>
      <c r="CP421" s="14">
        <v>-8.3808877897883236E-4</v>
      </c>
      <c r="CQ421" s="14">
        <v>-9.5106144732639696E-4</v>
      </c>
      <c r="CR421" s="14">
        <v>1.1971537296628158E-5</v>
      </c>
      <c r="CS421" s="14">
        <f t="shared" si="75"/>
        <v>4.8222821310991405E-2</v>
      </c>
    </row>
    <row r="422" spans="92:97" x14ac:dyDescent="0.45">
      <c r="CN422" s="2">
        <v>209.5</v>
      </c>
      <c r="CO422" s="14">
        <v>0.05</v>
      </c>
      <c r="CP422" s="14">
        <v>-8.36088567095828E-4</v>
      </c>
      <c r="CQ422" s="14">
        <v>-9.4879161093659639E-4</v>
      </c>
      <c r="CR422" s="14">
        <v>1.1942965608569379E-5</v>
      </c>
      <c r="CS422" s="14">
        <f t="shared" si="75"/>
        <v>4.8227062787576144E-2</v>
      </c>
    </row>
    <row r="423" spans="92:97" x14ac:dyDescent="0.45">
      <c r="CN423" s="2">
        <v>210</v>
      </c>
      <c r="CO423" s="14">
        <v>0.05</v>
      </c>
      <c r="CP423" s="14">
        <v>-8.340978800313141E-4</v>
      </c>
      <c r="CQ423" s="14">
        <v>-9.4653258329150931E-4</v>
      </c>
      <c r="CR423" s="14">
        <v>1.1914529976168023E-5</v>
      </c>
      <c r="CS423" s="14">
        <f t="shared" si="75"/>
        <v>4.8231284066653342E-2</v>
      </c>
    </row>
    <row r="424" spans="92:97" x14ac:dyDescent="0.45">
      <c r="CN424" s="2">
        <v>210.5</v>
      </c>
      <c r="CO424" s="14">
        <v>0.05</v>
      </c>
      <c r="CP424" s="14">
        <v>-8.321166499124749E-4</v>
      </c>
      <c r="CQ424" s="14">
        <v>-9.4428428736920177E-4</v>
      </c>
      <c r="CR424" s="14">
        <v>1.1886229429906342E-5</v>
      </c>
      <c r="CS424" s="14">
        <f t="shared" si="75"/>
        <v>4.8235485292148238E-2</v>
      </c>
    </row>
    <row r="425" spans="92:97" x14ac:dyDescent="0.45">
      <c r="CN425" s="2">
        <v>211</v>
      </c>
      <c r="CO425" s="14">
        <v>0.05</v>
      </c>
      <c r="CP425" s="14">
        <v>-8.3014480950983872E-4</v>
      </c>
      <c r="CQ425" s="14">
        <v>-9.4204664687780554E-4</v>
      </c>
      <c r="CR425" s="14">
        <v>1.1858063009456328E-5</v>
      </c>
      <c r="CS425" s="14">
        <f t="shared" si="75"/>
        <v>4.8239666606621816E-2</v>
      </c>
    </row>
    <row r="426" spans="92:97" x14ac:dyDescent="0.45">
      <c r="CN426" s="2">
        <v>211.5</v>
      </c>
      <c r="CO426" s="14">
        <v>0.05</v>
      </c>
      <c r="CP426" s="14">
        <v>-8.2818229222967363E-4</v>
      </c>
      <c r="CQ426" s="14">
        <v>-9.3981958624688865E-4</v>
      </c>
      <c r="CR426" s="14">
        <v>1.1830029763571087E-5</v>
      </c>
      <c r="CS426" s="14">
        <f t="shared" si="75"/>
        <v>4.8243828151287013E-2</v>
      </c>
    </row>
    <row r="427" spans="92:97" x14ac:dyDescent="0.45">
      <c r="CN427" s="2">
        <v>212</v>
      </c>
      <c r="CO427" s="14">
        <v>0.05</v>
      </c>
      <c r="CP427" s="14">
        <v>-8.2622903210649037E-4</v>
      </c>
      <c r="CQ427" s="14">
        <v>-9.3760303061894798E-4</v>
      </c>
      <c r="CR427" s="14">
        <v>1.1802128749977761E-5</v>
      </c>
      <c r="CS427" s="14">
        <f t="shared" si="75"/>
        <v>4.8247970066024548E-2</v>
      </c>
    </row>
    <row r="428" spans="92:97" x14ac:dyDescent="0.45">
      <c r="CN428" s="2">
        <v>212.5</v>
      </c>
      <c r="CO428" s="14">
        <v>0.05</v>
      </c>
      <c r="CP428" s="14">
        <v>-8.2428496379565157E-4</v>
      </c>
      <c r="CQ428" s="14">
        <v>-9.3539690584102091E-4</v>
      </c>
      <c r="CR428" s="14">
        <v>1.1774359035271931E-5</v>
      </c>
      <c r="CS428" s="14">
        <f t="shared" si="75"/>
        <v>4.8252092489398608E-2</v>
      </c>
    </row>
    <row r="429" spans="92:97" x14ac:dyDescent="0.45">
      <c r="CN429" s="2">
        <v>213</v>
      </c>
      <c r="CO429" s="14">
        <v>0.05</v>
      </c>
      <c r="CP429" s="14">
        <v>-8.2235002256608432E-4</v>
      </c>
      <c r="CQ429" s="14">
        <v>-9.3320113845641759E-4</v>
      </c>
      <c r="CR429" s="14">
        <v>1.1746719694813545E-5</v>
      </c>
      <c r="CS429" s="14">
        <f t="shared" si="75"/>
        <v>4.8256195558672312E-2</v>
      </c>
    </row>
    <row r="430" spans="92:97" x14ac:dyDescent="0.45">
      <c r="CN430" s="2">
        <v>213.5</v>
      </c>
      <c r="CO430" s="14">
        <v>0.05</v>
      </c>
      <c r="CP430" s="14">
        <v>-8.2042414429309585E-4</v>
      </c>
      <c r="CQ430" s="14">
        <v>-9.3101565569656648E-4</v>
      </c>
      <c r="CR430" s="14">
        <v>1.1719209812624286E-5</v>
      </c>
      <c r="CS430" s="14">
        <f t="shared" si="75"/>
        <v>4.8260279409822963E-2</v>
      </c>
    </row>
    <row r="431" spans="92:97" x14ac:dyDescent="0.45">
      <c r="CN431" s="2">
        <v>214</v>
      </c>
      <c r="CO431" s="14">
        <v>0.05</v>
      </c>
      <c r="CP431" s="14">
        <v>-8.1850726545128953E-4</v>
      </c>
      <c r="CQ431" s="14">
        <v>-9.2884038547297646E-4</v>
      </c>
      <c r="CR431" s="14">
        <v>1.1691828481286379E-5</v>
      </c>
      <c r="CS431" s="14">
        <f t="shared" si="75"/>
        <v>4.8264344177557025E-2</v>
      </c>
    </row>
    <row r="432" spans="92:97" x14ac:dyDescent="0.45">
      <c r="CN432" s="2">
        <v>214.5</v>
      </c>
      <c r="CO432" s="14">
        <v>0.05</v>
      </c>
      <c r="CP432" s="14">
        <v>-8.1659932310758029E-4</v>
      </c>
      <c r="CQ432" s="14">
        <v>-9.2667525636930986E-4</v>
      </c>
      <c r="CR432" s="14">
        <v>1.166457480184282E-5</v>
      </c>
      <c r="CS432" s="14">
        <f t="shared" si="75"/>
        <v>4.8268389995324949E-2</v>
      </c>
    </row>
    <row r="433" spans="92:97" x14ac:dyDescent="0.45">
      <c r="CN433" s="2">
        <v>215</v>
      </c>
      <c r="CO433" s="14">
        <v>0.05</v>
      </c>
      <c r="CP433" s="14">
        <v>-8.147002549143068E-4</v>
      </c>
      <c r="CQ433" s="14">
        <v>-9.2452019763356724E-4</v>
      </c>
      <c r="CR433" s="14">
        <v>1.1637447883698999E-5</v>
      </c>
      <c r="CS433" s="14">
        <f t="shared" si="75"/>
        <v>4.8272416995335826E-2</v>
      </c>
    </row>
    <row r="434" spans="92:97" x14ac:dyDescent="0.45">
      <c r="CN434" s="2">
        <v>215.5</v>
      </c>
      <c r="CO434" s="14">
        <v>0.05</v>
      </c>
      <c r="CP434" s="14">
        <v>-8.128099991024407E-4</v>
      </c>
      <c r="CQ434" s="14">
        <v>-9.2237513917038032E-4</v>
      </c>
      <c r="CR434" s="14">
        <v>1.1610446844525685E-5</v>
      </c>
      <c r="CS434" s="14">
        <f t="shared" si="75"/>
        <v>4.8276425308571715E-2</v>
      </c>
    </row>
    <row r="435" spans="92:97" x14ac:dyDescent="0.45">
      <c r="CN435" s="2">
        <v>216</v>
      </c>
      <c r="CO435" s="14">
        <v>0.05</v>
      </c>
      <c r="CP435" s="14">
        <v>-8.109284944748887E-4</v>
      </c>
      <c r="CQ435" s="14">
        <v>-9.2024001153341182E-4</v>
      </c>
      <c r="CR435" s="14">
        <v>1.1583570810163358E-5</v>
      </c>
      <c r="CS435" s="14">
        <f t="shared" si="75"/>
        <v>4.8280415064801872E-2</v>
      </c>
    </row>
    <row r="436" spans="92:97" x14ac:dyDescent="0.45">
      <c r="CN436" s="2">
        <v>216.5</v>
      </c>
      <c r="CO436" s="14">
        <v>0.05</v>
      </c>
      <c r="CP436" s="14">
        <v>-8.0905568039988892E-4</v>
      </c>
      <c r="CQ436" s="14">
        <v>-9.1811474591786126E-4</v>
      </c>
      <c r="CR436" s="14">
        <v>1.1556818914527875E-5</v>
      </c>
      <c r="CS436" s="14">
        <f t="shared" si="75"/>
        <v>4.828438639259678E-2</v>
      </c>
    </row>
    <row r="437" spans="92:97" x14ac:dyDescent="0.45">
      <c r="CN437" s="2">
        <v>217</v>
      </c>
      <c r="CO437" s="14">
        <v>0.05</v>
      </c>
      <c r="CP437" s="14">
        <v>-8.0719149680449757E-4</v>
      </c>
      <c r="CQ437" s="14">
        <v>-9.1599927415307353E-4</v>
      </c>
      <c r="CR437" s="14">
        <v>1.1530190299517443E-5</v>
      </c>
      <c r="CS437" s="14">
        <f t="shared" si="75"/>
        <v>4.8288339419341943E-2</v>
      </c>
    </row>
    <row r="438" spans="92:97" x14ac:dyDescent="0.45">
      <c r="CN438" s="2">
        <v>217.5</v>
      </c>
      <c r="CO438" s="14">
        <v>0.05</v>
      </c>
      <c r="CP438" s="14">
        <v>-8.0533588416816535E-4</v>
      </c>
      <c r="CQ438" s="14">
        <v>-9.1389352869525027E-4</v>
      </c>
      <c r="CR438" s="14">
        <v>1.1503684114920852E-5</v>
      </c>
      <c r="CS438" s="14">
        <f t="shared" si="75"/>
        <v>4.8292274271251504E-2</v>
      </c>
    </row>
    <row r="439" spans="92:97" x14ac:dyDescent="0.45">
      <c r="CN439" s="2">
        <v>218</v>
      </c>
      <c r="CO439" s="14">
        <v>0.05</v>
      </c>
      <c r="CP439" s="14">
        <v>-8.0348878351640344E-4</v>
      </c>
      <c r="CQ439" s="14">
        <v>-9.1179744262026119E-4</v>
      </c>
      <c r="CR439" s="14">
        <v>1.1477299518326996E-5</v>
      </c>
      <c r="CS439" s="14">
        <f t="shared" si="75"/>
        <v>4.8296191073381671E-2</v>
      </c>
    </row>
    <row r="440" spans="92:97" x14ac:dyDescent="0.45">
      <c r="CN440" s="2">
        <v>218.5</v>
      </c>
      <c r="CO440" s="14">
        <v>0.05</v>
      </c>
      <c r="CP440" s="14">
        <v>-8.0165013641453526E-4</v>
      </c>
      <c r="CQ440" s="14">
        <v>-9.0971094961655357E-4</v>
      </c>
      <c r="CR440" s="14">
        <v>1.145103567503563E-5</v>
      </c>
      <c r="CS440" s="14">
        <f t="shared" si="75"/>
        <v>4.8300089949643951E-2</v>
      </c>
    </row>
    <row r="441" spans="92:97" x14ac:dyDescent="0.45">
      <c r="CN441" s="2">
        <v>219</v>
      </c>
      <c r="CO441" s="14">
        <v>0.05</v>
      </c>
      <c r="CP441" s="14">
        <v>-7.9981988496153407E-4</v>
      </c>
      <c r="CQ441" s="14">
        <v>-9.0763398397815951E-4</v>
      </c>
      <c r="CR441" s="14">
        <v>1.1424891757969339E-5</v>
      </c>
      <c r="CS441" s="14">
        <f t="shared" si="75"/>
        <v>4.8303971022818276E-2</v>
      </c>
    </row>
    <row r="442" spans="92:97" x14ac:dyDescent="0.45">
      <c r="CN442" s="2">
        <v>219.5</v>
      </c>
      <c r="CO442" s="14">
        <v>0.05</v>
      </c>
      <c r="CP442" s="14">
        <v>-7.9799797178394514E-4</v>
      </c>
      <c r="CQ442" s="14">
        <v>-9.0556648059779941E-4</v>
      </c>
      <c r="CR442" s="14">
        <v>1.1398866947586721E-5</v>
      </c>
      <c r="CS442" s="14">
        <f t="shared" si="75"/>
        <v>4.8307834414565841E-2</v>
      </c>
    </row>
    <row r="443" spans="92:97" x14ac:dyDescent="0.45">
      <c r="CN443" s="2">
        <v>220</v>
      </c>
      <c r="CO443" s="14">
        <v>0.05</v>
      </c>
      <c r="CP443" s="14">
        <v>-7.9618434002989077E-4</v>
      </c>
      <c r="CQ443" s="14">
        <v>-9.0350837496007701E-4</v>
      </c>
      <c r="CR443" s="14">
        <v>1.1372960431796751E-5</v>
      </c>
      <c r="CS443" s="14">
        <f t="shared" si="75"/>
        <v>4.8311680245441836E-2</v>
      </c>
    </row>
    <row r="444" spans="92:97" x14ac:dyDescent="0.45">
      <c r="CN444" s="2">
        <v>220.5</v>
      </c>
      <c r="CO444" s="14">
        <v>0.05</v>
      </c>
      <c r="CP444" s="14">
        <v>-7.9437893336315628E-4</v>
      </c>
      <c r="CQ444" s="14">
        <v>-9.0145960313477071E-4</v>
      </c>
      <c r="CR444" s="14">
        <v>1.1347171405874306E-5</v>
      </c>
      <c r="CS444" s="14">
        <f t="shared" si="75"/>
        <v>4.8315508634907953E-2</v>
      </c>
    </row>
    <row r="445" spans="92:97" x14ac:dyDescent="0.45">
      <c r="CN445" s="2">
        <v>221</v>
      </c>
      <c r="CO445" s="14">
        <v>0.05</v>
      </c>
      <c r="CP445" s="14">
        <v>-7.9258169595735728E-4</v>
      </c>
      <c r="CQ445" s="14">
        <v>-8.9942010177021243E-4</v>
      </c>
      <c r="CR445" s="14">
        <v>1.1321499072376853E-5</v>
      </c>
      <c r="CS445" s="14">
        <f t="shared" si="75"/>
        <v>4.8319319701344808E-2</v>
      </c>
    </row>
    <row r="446" spans="92:97" x14ac:dyDescent="0.45">
      <c r="CN446" s="2">
        <v>221.5</v>
      </c>
      <c r="CO446" s="14">
        <v>0.05</v>
      </c>
      <c r="CP446" s="14">
        <v>-7.9079257249018494E-4</v>
      </c>
      <c r="CQ446" s="14">
        <v>-8.9738980808675827E-4</v>
      </c>
      <c r="CR446" s="14">
        <v>1.1295942641062234E-5</v>
      </c>
      <c r="CS446" s="14">
        <f t="shared" si="75"/>
        <v>4.8323113562064125E-2</v>
      </c>
    </row>
    <row r="447" spans="92:97" x14ac:dyDescent="0.45">
      <c r="CN447" s="2">
        <v>222</v>
      </c>
      <c r="CO447" s="14">
        <v>0.05</v>
      </c>
      <c r="CP447" s="14">
        <v>-7.8901150813772954E-4</v>
      </c>
      <c r="CQ447" s="14">
        <v>-8.9536865987034653E-4</v>
      </c>
      <c r="CR447" s="14">
        <v>1.1270501328807588E-5</v>
      </c>
      <c r="CS447" s="14">
        <f t="shared" si="75"/>
        <v>4.8326890333320729E-2</v>
      </c>
    </row>
    <row r="448" spans="92:97" x14ac:dyDescent="0.45">
      <c r="CN448" s="2">
        <v>222.5</v>
      </c>
      <c r="CO448" s="14">
        <v>0.05</v>
      </c>
      <c r="CP448" s="14">
        <v>-7.8723844856888072E-4</v>
      </c>
      <c r="CQ448" s="14">
        <v>-8.9335659546614351E-4</v>
      </c>
      <c r="CR448" s="14">
        <v>1.124517435952937E-5</v>
      </c>
      <c r="CS448" s="14">
        <f t="shared" si="75"/>
        <v>4.8330650130324504E-2</v>
      </c>
    </row>
    <row r="449" spans="92:97" x14ac:dyDescent="0.45">
      <c r="CN449" s="2">
        <v>223</v>
      </c>
      <c r="CO449" s="14">
        <v>0.05</v>
      </c>
      <c r="CP449" s="14">
        <v>-7.8547333993980251E-4</v>
      </c>
      <c r="CQ449" s="14">
        <v>-8.9135355377227327E-4</v>
      </c>
      <c r="CR449" s="14">
        <v>1.1219960964104417E-5</v>
      </c>
      <c r="CS449" s="14">
        <f t="shared" si="75"/>
        <v>4.8334393067252034E-2</v>
      </c>
    </row>
    <row r="450" spans="92:97" x14ac:dyDescent="0.45">
      <c r="CN450" s="2">
        <v>223.5</v>
      </c>
      <c r="CO450" s="14">
        <v>0.05</v>
      </c>
      <c r="CP450" s="14">
        <v>-7.8371612888848306E-4</v>
      </c>
      <c r="CQ450" s="14">
        <v>-8.8935947423363288E-4</v>
      </c>
      <c r="CR450" s="14">
        <v>1.1194860380292102E-5</v>
      </c>
      <c r="CS450" s="14">
        <f t="shared" si="75"/>
        <v>4.8338119257258186E-2</v>
      </c>
    </row>
    <row r="451" spans="92:97" x14ac:dyDescent="0.45">
      <c r="CN451" s="2">
        <v>224</v>
      </c>
      <c r="CO451" s="14">
        <v>0.05</v>
      </c>
      <c r="CP451" s="14">
        <v>-7.8196676252935697E-4</v>
      </c>
      <c r="CQ451" s="14">
        <v>-8.8737429683579002E-4</v>
      </c>
      <c r="CR451" s="14">
        <v>1.1169871852657521E-5</v>
      </c>
      <c r="CS451" s="14">
        <f t="shared" si="75"/>
        <v>4.8341828812487518E-2</v>
      </c>
    </row>
    <row r="452" spans="92:97" x14ac:dyDescent="0.45">
      <c r="CN452" s="2">
        <v>224.5</v>
      </c>
      <c r="CO452" s="14">
        <v>0.05</v>
      </c>
      <c r="CP452" s="14">
        <v>-7.8022518844799978E-4</v>
      </c>
      <c r="CQ452" s="14">
        <v>-8.8539796209896181E-4</v>
      </c>
      <c r="CR452" s="14">
        <v>1.11449946324957E-5</v>
      </c>
      <c r="CS452" s="14">
        <f t="shared" ref="CS452:CS503" si="76">SUM(CO452:CR452)</f>
        <v>4.834552184408554E-2</v>
      </c>
    </row>
    <row r="453" spans="92:97" x14ac:dyDescent="0.45">
      <c r="CN453" s="2">
        <v>225</v>
      </c>
      <c r="CO453" s="14">
        <v>0.05</v>
      </c>
      <c r="CP453" s="14">
        <v>-7.7849135469589318E-4</v>
      </c>
      <c r="CQ453" s="14">
        <v>-8.834304110720753E-4</v>
      </c>
      <c r="CR453" s="14">
        <v>1.1120227977756821E-5</v>
      </c>
      <c r="CS453" s="14">
        <f t="shared" si="76"/>
        <v>4.8349198462209794E-2</v>
      </c>
    </row>
    <row r="454" spans="92:97" x14ac:dyDescent="0.45">
      <c r="CN454" s="2">
        <v>225.5</v>
      </c>
      <c r="CO454" s="14">
        <v>0.05</v>
      </c>
      <c r="CP454" s="14">
        <v>-7.7676520978525927E-4</v>
      </c>
      <c r="CQ454" s="14">
        <v>-8.8147158532690445E-4</v>
      </c>
      <c r="CR454" s="14">
        <v>1.1095571152972438E-5</v>
      </c>
      <c r="CS454" s="14">
        <f t="shared" si="76"/>
        <v>4.8352858776040814E-2</v>
      </c>
    </row>
    <row r="455" spans="92:97" x14ac:dyDescent="0.45">
      <c r="CN455" s="2">
        <v>226</v>
      </c>
      <c r="CO455" s="14">
        <v>0.05</v>
      </c>
      <c r="CP455" s="14">
        <v>-7.7504670268396445E-4</v>
      </c>
      <c r="CQ455" s="14">
        <v>-8.7952142695228741E-4</v>
      </c>
      <c r="CR455" s="14">
        <v>1.1071023429182676E-5</v>
      </c>
      <c r="CS455" s="14">
        <f t="shared" si="76"/>
        <v>4.8356502893792938E-2</v>
      </c>
    </row>
    <row r="456" spans="92:97" x14ac:dyDescent="0.45">
      <c r="CN456" s="2">
        <v>226.5</v>
      </c>
      <c r="CO456" s="14">
        <v>0.05</v>
      </c>
      <c r="CP456" s="14">
        <v>-7.7333578281048982E-4</v>
      </c>
      <c r="CQ456" s="14">
        <v>-8.775798785484192E-4</v>
      </c>
      <c r="CR456" s="14">
        <v>1.1046584083864391E-5</v>
      </c>
      <c r="CS456" s="14">
        <f t="shared" si="76"/>
        <v>4.836013092272496E-2</v>
      </c>
    </row>
    <row r="457" spans="92:97" x14ac:dyDescent="0.45">
      <c r="CN457" s="2">
        <v>227</v>
      </c>
      <c r="CO457" s="14">
        <v>0.05</v>
      </c>
      <c r="CP457" s="14">
        <v>-7.71632400028969E-4</v>
      </c>
      <c r="CQ457" s="14">
        <v>-8.7564688322122001E-4</v>
      </c>
      <c r="CR457" s="14">
        <v>1.1022252400860285E-5</v>
      </c>
      <c r="CS457" s="14">
        <f t="shared" si="76"/>
        <v>4.8363742969150678E-2</v>
      </c>
    </row>
    <row r="458" spans="92:97" x14ac:dyDescent="0.45">
      <c r="CN458" s="2">
        <v>227.5</v>
      </c>
      <c r="CO458" s="14">
        <v>0.05</v>
      </c>
      <c r="CP458" s="14">
        <v>-7.6993650464428993E-4</v>
      </c>
      <c r="CQ458" s="14">
        <v>-8.7372238457677782E-4</v>
      </c>
      <c r="CR458" s="14">
        <v>1.0998027670308943E-5</v>
      </c>
      <c r="CS458" s="14">
        <f t="shared" si="76"/>
        <v>4.836733913844924E-2</v>
      </c>
    </row>
    <row r="459" spans="92:97" x14ac:dyDescent="0.45">
      <c r="CN459" s="2">
        <v>228</v>
      </c>
      <c r="CO459" s="14">
        <v>0.05</v>
      </c>
      <c r="CP459" s="14">
        <v>-7.68248047397263E-4</v>
      </c>
      <c r="CQ459" s="14">
        <v>-8.7180632671586382E-4</v>
      </c>
      <c r="CR459" s="14">
        <v>1.097390918857581E-5</v>
      </c>
      <c r="CS459" s="14">
        <f t="shared" si="76"/>
        <v>4.8370919535075448E-2</v>
      </c>
    </row>
    <row r="460" spans="92:97" x14ac:dyDescent="0.45">
      <c r="CN460" s="2">
        <v>228.5</v>
      </c>
      <c r="CO460" s="14">
        <v>0.05</v>
      </c>
      <c r="CP460" s="14">
        <v>-7.66566979459851E-4</v>
      </c>
      <c r="CQ460" s="14">
        <v>-8.6989865422852056E-4</v>
      </c>
      <c r="CR460" s="14">
        <v>1.0949896258185055E-5</v>
      </c>
      <c r="CS460" s="14">
        <f t="shared" si="76"/>
        <v>4.8374484262569815E-2</v>
      </c>
    </row>
    <row r="461" spans="92:97" x14ac:dyDescent="0.45">
      <c r="CN461" s="2">
        <v>229</v>
      </c>
      <c r="CO461" s="14">
        <v>0.05</v>
      </c>
      <c r="CP461" s="14">
        <v>-7.6489325243046271E-4</v>
      </c>
      <c r="CQ461" s="14">
        <v>-8.6799931218872035E-4</v>
      </c>
      <c r="CR461" s="14">
        <v>1.0925988187752336E-5</v>
      </c>
      <c r="CS461" s="14">
        <f t="shared" si="76"/>
        <v>4.8378033423568577E-2</v>
      </c>
    </row>
    <row r="462" spans="92:97" x14ac:dyDescent="0.45">
      <c r="CN462" s="2">
        <v>229.5</v>
      </c>
      <c r="CO462" s="14">
        <v>0.05</v>
      </c>
      <c r="CP462" s="14">
        <v>-7.6322681832930697E-4</v>
      </c>
      <c r="CQ462" s="14">
        <v>-8.6610824614909339E-4</v>
      </c>
      <c r="CR462" s="14">
        <v>1.0902184291918452E-5</v>
      </c>
      <c r="CS462" s="14">
        <f t="shared" si="76"/>
        <v>4.8381567119813521E-2</v>
      </c>
    </row>
    <row r="463" spans="92:97" x14ac:dyDescent="0.45">
      <c r="CN463" s="2">
        <v>230</v>
      </c>
      <c r="CO463" s="14">
        <v>0.05</v>
      </c>
      <c r="CP463" s="14">
        <v>-7.6156762959380851E-4</v>
      </c>
      <c r="CQ463" s="14">
        <v>-8.6422540213572591E-4</v>
      </c>
      <c r="CR463" s="14">
        <v>1.0878483891283847E-5</v>
      </c>
      <c r="CS463" s="14">
        <f t="shared" si="76"/>
        <v>4.8385085452161761E-2</v>
      </c>
    </row>
    <row r="464" spans="92:97" x14ac:dyDescent="0.45">
      <c r="CN464" s="2">
        <v>230.5</v>
      </c>
      <c r="CO464" s="14">
        <v>0.05</v>
      </c>
      <c r="CP464" s="14">
        <v>-7.5991563907408218E-4</v>
      </c>
      <c r="CQ464" s="14">
        <v>-8.6235072664302365E-4</v>
      </c>
      <c r="CR464" s="14">
        <v>1.085488631234397E-5</v>
      </c>
      <c r="CS464" s="14">
        <f t="shared" si="76"/>
        <v>4.8388588520595237E-2</v>
      </c>
    </row>
    <row r="465" spans="92:97" x14ac:dyDescent="0.45">
      <c r="CN465" s="2">
        <v>231</v>
      </c>
      <c r="CO465" s="14">
        <v>0.05</v>
      </c>
      <c r="CP465" s="14">
        <v>-7.5827080002846732E-4</v>
      </c>
      <c r="CQ465" s="14">
        <v>-8.6048416662864481E-4</v>
      </c>
      <c r="CR465" s="14">
        <v>1.0831390887425475E-5</v>
      </c>
      <c r="CS465" s="14">
        <f t="shared" si="76"/>
        <v>4.8392076424230317E-2</v>
      </c>
    </row>
    <row r="466" spans="92:97" x14ac:dyDescent="0.45">
      <c r="CN466" s="2">
        <v>231.5</v>
      </c>
      <c r="CO466" s="14">
        <v>0.05</v>
      </c>
      <c r="CP466" s="14">
        <v>-7.5663306611911858E-4</v>
      </c>
      <c r="CQ466" s="14">
        <v>-8.5862566950849651E-4</v>
      </c>
      <c r="CR466" s="14">
        <v>1.0807996954623262E-5</v>
      </c>
      <c r="CS466" s="14">
        <f t="shared" si="76"/>
        <v>4.8395549261327012E-2</v>
      </c>
    </row>
    <row r="467" spans="92:97" x14ac:dyDescent="0.45">
      <c r="CN467" s="2">
        <v>232</v>
      </c>
      <c r="CO467" s="14">
        <v>0.05</v>
      </c>
      <c r="CP467" s="14">
        <v>-7.5500239140765494E-4</v>
      </c>
      <c r="CQ467" s="14">
        <v>-8.5677518315179716E-4</v>
      </c>
      <c r="CR467" s="14">
        <v>1.0784703857738297E-5</v>
      </c>
      <c r="CS467" s="14">
        <f t="shared" si="76"/>
        <v>4.8399007129298288E-2</v>
      </c>
    </row>
    <row r="468" spans="92:97" x14ac:dyDescent="0.45">
      <c r="CN468" s="2">
        <v>232.5</v>
      </c>
      <c r="CO468" s="14">
        <v>0.05</v>
      </c>
      <c r="CP468" s="14">
        <v>-7.5337873035086428E-4</v>
      </c>
      <c r="CQ468" s="14">
        <v>-8.5493265587620185E-4</v>
      </c>
      <c r="CR468" s="14">
        <v>1.076151094621628E-5</v>
      </c>
      <c r="CS468" s="14">
        <f t="shared" si="76"/>
        <v>4.8402450124719151E-2</v>
      </c>
    </row>
    <row r="469" spans="92:97" x14ac:dyDescent="0.45">
      <c r="CN469" s="2">
        <v>233</v>
      </c>
      <c r="CO469" s="14">
        <v>0.05</v>
      </c>
      <c r="CP469" s="14">
        <v>-7.5176203779646334E-4</v>
      </c>
      <c r="CQ469" s="14">
        <v>-8.5309803644299125E-4</v>
      </c>
      <c r="CR469" s="14">
        <v>1.073841757508706E-5</v>
      </c>
      <c r="CS469" s="14">
        <f t="shared" si="76"/>
        <v>4.8405878343335637E-2</v>
      </c>
    </row>
    <row r="470" spans="92:97" x14ac:dyDescent="0.45">
      <c r="CN470" s="2">
        <v>233.5</v>
      </c>
      <c r="CO470" s="14">
        <v>0.05</v>
      </c>
      <c r="CP470" s="14">
        <v>-7.5015226897891208E-4</v>
      </c>
      <c r="CQ470" s="14">
        <v>-8.51271274052321E-4</v>
      </c>
      <c r="CR470" s="14">
        <v>1.0715423104904861E-5</v>
      </c>
      <c r="CS470" s="14">
        <f t="shared" si="76"/>
        <v>4.8409291880073674E-2</v>
      </c>
    </row>
    <row r="471" spans="92:97" x14ac:dyDescent="0.45">
      <c r="CN471" s="2">
        <v>234</v>
      </c>
      <c r="CO471" s="14">
        <v>0.05</v>
      </c>
      <c r="CP471" s="14">
        <v>-7.4854937951528199E-4</v>
      </c>
      <c r="CQ471" s="14">
        <v>-8.4945231833853403E-4</v>
      </c>
      <c r="CR471" s="14">
        <v>1.0692526901689252E-5</v>
      </c>
      <c r="CS471" s="14">
        <f t="shared" si="76"/>
        <v>4.8412690829047873E-2</v>
      </c>
    </row>
    <row r="472" spans="92:97" x14ac:dyDescent="0.45">
      <c r="CN472" s="2">
        <v>234.5</v>
      </c>
      <c r="CO472" s="14">
        <v>0.05</v>
      </c>
      <c r="CP472" s="14">
        <v>-7.4695332540117689E-4</v>
      </c>
      <c r="CQ472" s="14">
        <v>-8.476411193655308E-4</v>
      </c>
      <c r="CR472" s="14">
        <v>1.0669728336866886E-5</v>
      </c>
      <c r="CS472" s="14">
        <f t="shared" si="76"/>
        <v>4.8416075283570163E-2</v>
      </c>
    </row>
    <row r="473" spans="92:97" x14ac:dyDescent="0.45">
      <c r="CN473" s="2">
        <v>235</v>
      </c>
      <c r="CO473" s="14">
        <v>0.05</v>
      </c>
      <c r="CP473" s="14">
        <v>-7.4536406300670629E-4</v>
      </c>
      <c r="CQ473" s="14">
        <v>-8.4583762762219987E-4</v>
      </c>
      <c r="CR473" s="14">
        <v>1.0647026787213979E-5</v>
      </c>
      <c r="CS473" s="14">
        <f t="shared" si="76"/>
        <v>4.8419445336158308E-2</v>
      </c>
    </row>
    <row r="474" spans="92:97" x14ac:dyDescent="0.45">
      <c r="CN474" s="2">
        <v>235.5</v>
      </c>
      <c r="CO474" s="14">
        <v>0.05</v>
      </c>
      <c r="CP474" s="14">
        <v>-7.4378154907250946E-4</v>
      </c>
      <c r="CQ474" s="14">
        <v>-8.4404179401790635E-4</v>
      </c>
      <c r="CR474" s="14">
        <v>1.062442163479951E-5</v>
      </c>
      <c r="CS474" s="14">
        <f t="shared" si="76"/>
        <v>4.8422801078544388E-2</v>
      </c>
    </row>
    <row r="475" spans="92:97" x14ac:dyDescent="0.45">
      <c r="CN475" s="2">
        <v>236</v>
      </c>
      <c r="CO475" s="14">
        <v>0.05</v>
      </c>
      <c r="CP475" s="14">
        <v>-7.4220574070583034E-4</v>
      </c>
      <c r="CQ475" s="14">
        <v>-8.4225356987803794E-4</v>
      </c>
      <c r="CR475" s="14">
        <v>1.0601912266929174E-5</v>
      </c>
      <c r="CS475" s="14">
        <f t="shared" si="76"/>
        <v>4.8426142601683063E-2</v>
      </c>
    </row>
    <row r="476" spans="92:97" x14ac:dyDescent="0.45">
      <c r="CN476" s="2">
        <v>236.5</v>
      </c>
      <c r="CO476" s="14">
        <v>0.05</v>
      </c>
      <c r="CP476" s="14">
        <v>-7.4063659537664255E-4</v>
      </c>
      <c r="CQ476" s="14">
        <v>-8.4047290693960663E-4</v>
      </c>
      <c r="CR476" s="14">
        <v>1.057949807609E-5</v>
      </c>
      <c r="CS476" s="14">
        <f t="shared" si="76"/>
        <v>4.8429469995759845E-2</v>
      </c>
    </row>
    <row r="477" spans="92:97" x14ac:dyDescent="0.45">
      <c r="CN477" s="2">
        <v>237</v>
      </c>
      <c r="CO477" s="14">
        <v>0.05</v>
      </c>
      <c r="CP477" s="14">
        <v>-7.3907407091382271E-4</v>
      </c>
      <c r="CQ477" s="14">
        <v>-8.3869975734690702E-4</v>
      </c>
      <c r="CR477" s="14">
        <v>1.0557178459895716E-5</v>
      </c>
      <c r="CS477" s="14">
        <f t="shared" si="76"/>
        <v>4.8432783350199168E-2</v>
      </c>
    </row>
    <row r="478" spans="92:97" x14ac:dyDescent="0.45">
      <c r="CN478" s="2">
        <v>237.5</v>
      </c>
      <c r="CO478" s="14">
        <v>0.05</v>
      </c>
      <c r="CP478" s="14">
        <v>-7.3751812550137247E-4</v>
      </c>
      <c r="CQ478" s="14">
        <v>-8.3693407364722938E-4</v>
      </c>
      <c r="CR478" s="14">
        <v>1.0534952821032778E-5</v>
      </c>
      <c r="CS478" s="14">
        <f t="shared" si="76"/>
        <v>4.8436082753672428E-2</v>
      </c>
    </row>
    <row r="479" spans="92:97" x14ac:dyDescent="0.45">
      <c r="CN479" s="2">
        <v>238</v>
      </c>
      <c r="CO479" s="14">
        <v>0.05</v>
      </c>
      <c r="CP479" s="14">
        <v>-7.3596871767468892E-4</v>
      </c>
      <c r="CQ479" s="14">
        <v>-8.3517580878662595E-4</v>
      </c>
      <c r="CR479" s="14">
        <v>1.051282056720708E-5</v>
      </c>
      <c r="CS479" s="14">
        <f t="shared" si="76"/>
        <v>4.8439368294105896E-2</v>
      </c>
    </row>
    <row r="480" spans="92:97" x14ac:dyDescent="0.45">
      <c r="CN480" s="2">
        <v>238.5</v>
      </c>
      <c r="CO480" s="14">
        <v>0.05</v>
      </c>
      <c r="CP480" s="14">
        <v>-7.3442580631688037E-4</v>
      </c>
      <c r="CQ480" s="14">
        <v>-8.3342491610573157E-4</v>
      </c>
      <c r="CR480" s="14">
        <v>1.0490781111091342E-5</v>
      </c>
      <c r="CS480" s="14">
        <f t="shared" si="76"/>
        <v>4.8442640058688487E-2</v>
      </c>
    </row>
    <row r="481" spans="92:97" x14ac:dyDescent="0.45">
      <c r="CN481" s="2">
        <v>239</v>
      </c>
      <c r="CO481" s="14">
        <v>0.05</v>
      </c>
      <c r="CP481" s="14">
        <v>-7.3288935065512963E-4</v>
      </c>
      <c r="CQ481" s="14">
        <v>-8.3168134933563585E-4</v>
      </c>
      <c r="CR481" s="14">
        <v>1.0468833870273159E-5</v>
      </c>
      <c r="CS481" s="14">
        <f t="shared" si="76"/>
        <v>4.8445898133879506E-2</v>
      </c>
    </row>
    <row r="482" spans="92:97" x14ac:dyDescent="0.45">
      <c r="CN482" s="2">
        <v>239.5</v>
      </c>
      <c r="CO482" s="14">
        <v>0.05</v>
      </c>
      <c r="CP482" s="14">
        <v>-7.3135931025710213E-4</v>
      </c>
      <c r="CQ482" s="14">
        <v>-8.2994506259380786E-4</v>
      </c>
      <c r="CR482" s="14">
        <v>1.0446978267203695E-5</v>
      </c>
      <c r="CS482" s="14">
        <f t="shared" si="76"/>
        <v>4.8449142605416294E-2</v>
      </c>
    </row>
    <row r="483" spans="92:97" x14ac:dyDescent="0.45">
      <c r="CN483" s="2">
        <v>240</v>
      </c>
      <c r="CO483" s="14">
        <v>0.05</v>
      </c>
      <c r="CP483" s="14">
        <v>-7.2983564502739984E-4</v>
      </c>
      <c r="CQ483" s="14">
        <v>-8.2821601038007072E-4</v>
      </c>
      <c r="CR483" s="14">
        <v>1.042521372914702E-5</v>
      </c>
      <c r="CS483" s="14">
        <f t="shared" si="76"/>
        <v>4.8452373558321681E-2</v>
      </c>
    </row>
    <row r="484" spans="92:97" x14ac:dyDescent="0.45">
      <c r="CN484" s="2">
        <v>240.5</v>
      </c>
      <c r="CO484" s="14">
        <v>0.05</v>
      </c>
      <c r="CP484" s="14">
        <v>-7.283183152040581E-4</v>
      </c>
      <c r="CQ484" s="14">
        <v>-8.2649414757262772E-4</v>
      </c>
      <c r="CR484" s="14">
        <v>1.0403539688130084E-5</v>
      </c>
      <c r="CS484" s="14">
        <f t="shared" si="76"/>
        <v>4.8455591076911449E-2</v>
      </c>
    </row>
    <row r="485" spans="92:97" x14ac:dyDescent="0.45">
      <c r="CN485" s="2">
        <v>241</v>
      </c>
      <c r="CO485" s="14">
        <v>0.05</v>
      </c>
      <c r="CP485" s="14">
        <v>-7.2680728135508701E-4</v>
      </c>
      <c r="CQ485" s="14">
        <v>-8.2477942942413675E-4</v>
      </c>
      <c r="CR485" s="14">
        <v>1.03819555808933E-5</v>
      </c>
      <c r="CS485" s="14">
        <f t="shared" si="76"/>
        <v>4.8458795244801671E-2</v>
      </c>
    </row>
    <row r="486" spans="92:97" x14ac:dyDescent="0.45">
      <c r="CN486" s="2">
        <v>241.5</v>
      </c>
      <c r="CO486" s="14">
        <v>0.05</v>
      </c>
      <c r="CP486" s="14">
        <v>-7.2530250437505576E-4</v>
      </c>
      <c r="CQ486" s="14">
        <v>-8.2307181155783415E-4</v>
      </c>
      <c r="CR486" s="14">
        <v>1.036046084884176E-5</v>
      </c>
      <c r="CS486" s="14">
        <f t="shared" si="76"/>
        <v>4.8461986144915953E-2</v>
      </c>
    </row>
    <row r="487" spans="92:97" x14ac:dyDescent="0.45">
      <c r="CN487" s="2">
        <v>242</v>
      </c>
      <c r="CO487" s="14">
        <v>0.05</v>
      </c>
      <c r="CP487" s="14">
        <v>-7.2380394548171893E-4</v>
      </c>
      <c r="CQ487" s="14">
        <v>-8.2137124996370652E-4</v>
      </c>
      <c r="CR487" s="14">
        <v>1.0339054937997045E-5</v>
      </c>
      <c r="CS487" s="14">
        <f t="shared" si="76"/>
        <v>4.846516385949258E-2</v>
      </c>
    </row>
    <row r="488" spans="92:97" x14ac:dyDescent="0.45">
      <c r="CN488" s="2">
        <v>242.5</v>
      </c>
      <c r="CO488" s="14">
        <v>0.05</v>
      </c>
      <c r="CP488" s="14">
        <v>-7.2231156621268438E-4</v>
      </c>
      <c r="CQ488" s="14">
        <v>-8.196777009947091E-4</v>
      </c>
      <c r="CR488" s="14">
        <v>1.0317737298949629E-5</v>
      </c>
      <c r="CS488" s="14">
        <f t="shared" si="76"/>
        <v>4.8468328470091554E-2</v>
      </c>
    </row>
    <row r="489" spans="92:97" x14ac:dyDescent="0.45">
      <c r="CN489" s="2">
        <v>243</v>
      </c>
      <c r="CO489" s="14">
        <v>0.05</v>
      </c>
      <c r="CP489" s="14">
        <v>-7.2082532842212329E-4</v>
      </c>
      <c r="CQ489" s="14">
        <v>-8.1799112136303281E-4</v>
      </c>
      <c r="CR489" s="14">
        <v>1.0296507386811873E-5</v>
      </c>
      <c r="CS489" s="14">
        <f t="shared" si="76"/>
        <v>4.8471480057601657E-2</v>
      </c>
    </row>
    <row r="490" spans="92:97" x14ac:dyDescent="0.45">
      <c r="CN490" s="2">
        <v>243.5</v>
      </c>
      <c r="CO490" s="14">
        <v>0.05</v>
      </c>
      <c r="CP490" s="14">
        <v>-7.1934519427751934E-4</v>
      </c>
      <c r="CQ490" s="14">
        <v>-8.1631146813641463E-4</v>
      </c>
      <c r="CR490" s="14">
        <v>1.0275364661171602E-5</v>
      </c>
      <c r="CS490" s="14">
        <f t="shared" si="76"/>
        <v>4.8474618702247244E-2</v>
      </c>
    </row>
    <row r="491" spans="92:97" x14ac:dyDescent="0.45">
      <c r="CN491" s="2">
        <v>244</v>
      </c>
      <c r="CO491" s="14">
        <v>0.05</v>
      </c>
      <c r="CP491" s="14">
        <v>-7.1787112625645887E-4</v>
      </c>
      <c r="CQ491" s="14">
        <v>-8.1463869873449573E-4</v>
      </c>
      <c r="CR491" s="14">
        <v>1.025430858604625E-5</v>
      </c>
      <c r="CS491" s="14">
        <f t="shared" si="76"/>
        <v>4.8477744483595098E-2</v>
      </c>
    </row>
    <row r="492" spans="92:97" x14ac:dyDescent="0.45">
      <c r="CN492" s="2">
        <v>244.5</v>
      </c>
      <c r="CO492" s="14">
        <v>0.05</v>
      </c>
      <c r="CP492" s="14">
        <v>-7.1640308714345999E-4</v>
      </c>
      <c r="CQ492" s="14">
        <v>-8.1297277092522277E-4</v>
      </c>
      <c r="CR492" s="14">
        <v>1.0233338629837567E-5</v>
      </c>
      <c r="CS492" s="14">
        <f t="shared" si="76"/>
        <v>4.8480857480561156E-2</v>
      </c>
    </row>
    <row r="493" spans="92:97" x14ac:dyDescent="0.45">
      <c r="CN493" s="2">
        <v>245</v>
      </c>
      <c r="CO493" s="14">
        <v>0.05</v>
      </c>
      <c r="CP493" s="14">
        <v>-7.1494104002684065E-4</v>
      </c>
      <c r="CQ493" s="14">
        <v>-8.1131364282129373E-4</v>
      </c>
      <c r="CR493" s="14">
        <v>1.0212454265286877E-5</v>
      </c>
      <c r="CS493" s="14">
        <f t="shared" si="76"/>
        <v>4.848395777141716E-2</v>
      </c>
    </row>
    <row r="494" spans="92:97" x14ac:dyDescent="0.45">
      <c r="CN494" s="2">
        <v>245.5</v>
      </c>
      <c r="CO494" s="14">
        <v>0.05</v>
      </c>
      <c r="CP494" s="14">
        <v>-7.1348494829562509E-4</v>
      </c>
      <c r="CQ494" s="14">
        <v>-8.0966127287664753E-4</v>
      </c>
      <c r="CR494" s="14">
        <v>1.0191654969430896E-5</v>
      </c>
      <c r="CS494" s="14">
        <f t="shared" si="76"/>
        <v>4.8487045433797164E-2</v>
      </c>
    </row>
    <row r="495" spans="92:97" x14ac:dyDescent="0.45">
      <c r="CN495" s="2">
        <v>246</v>
      </c>
      <c r="CO495" s="14">
        <v>0.05</v>
      </c>
      <c r="CP495" s="14">
        <v>-7.1203477563648772E-4</v>
      </c>
      <c r="CQ495" s="14">
        <v>-8.0801561988299588E-4</v>
      </c>
      <c r="CR495" s="14">
        <v>1.0170940223558069E-5</v>
      </c>
      <c r="CS495" s="14">
        <f t="shared" si="76"/>
        <v>4.8490120544704078E-2</v>
      </c>
    </row>
    <row r="496" spans="92:97" x14ac:dyDescent="0.45">
      <c r="CN496" s="2">
        <v>246.5</v>
      </c>
      <c r="CO496" s="14">
        <v>0.05</v>
      </c>
      <c r="CP496" s="14">
        <v>-7.1059048603073409E-4</v>
      </c>
      <c r="CQ496" s="14">
        <v>-8.0637664296639739E-4</v>
      </c>
      <c r="CR496" s="14">
        <v>1.0150309513165456E-5</v>
      </c>
      <c r="CS496" s="14">
        <f t="shared" si="76"/>
        <v>4.8493183180516035E-2</v>
      </c>
    </row>
    <row r="497" spans="92:97" x14ac:dyDescent="0.45">
      <c r="CN497" s="2">
        <v>247</v>
      </c>
      <c r="CO497" s="14">
        <v>0.05</v>
      </c>
      <c r="CP497" s="14">
        <v>-7.0915204375131974E-4</v>
      </c>
      <c r="CQ497" s="14">
        <v>-8.0474430158387433E-4</v>
      </c>
      <c r="CR497" s="14">
        <v>1.0129762327916132E-5</v>
      </c>
      <c r="CS497" s="14">
        <f t="shared" si="76"/>
        <v>4.8496233416992725E-2</v>
      </c>
    </row>
    <row r="498" spans="92:97" x14ac:dyDescent="0.45">
      <c r="CN498" s="2">
        <v>247.5</v>
      </c>
      <c r="CO498" s="14">
        <v>0.05</v>
      </c>
      <c r="CP498" s="14">
        <v>-7.0771941335990294E-4</v>
      </c>
      <c r="CQ498" s="14">
        <v>-8.0311855552006844E-4</v>
      </c>
      <c r="CR498" s="14">
        <v>1.0109298161597111E-5</v>
      </c>
      <c r="CS498" s="14">
        <f t="shared" si="76"/>
        <v>4.8499271329281626E-2</v>
      </c>
    </row>
    <row r="499" spans="92:97" x14ac:dyDescent="0.45">
      <c r="CN499" s="2">
        <v>248</v>
      </c>
      <c r="CO499" s="14">
        <v>0.05</v>
      </c>
      <c r="CP499" s="14">
        <v>-7.0629255970393529E-4</v>
      </c>
      <c r="CQ499" s="14">
        <v>-8.0149936488393926E-4</v>
      </c>
      <c r="CR499" s="14">
        <v>1.0088916512077763E-5</v>
      </c>
      <c r="CS499" s="14">
        <f t="shared" si="76"/>
        <v>4.850229699192421E-2</v>
      </c>
    </row>
    <row r="500" spans="92:97" x14ac:dyDescent="0.45">
      <c r="CN500" s="2">
        <v>248.5</v>
      </c>
      <c r="CO500" s="14">
        <v>0.05</v>
      </c>
      <c r="CP500" s="14">
        <v>-7.0487144791378661E-4</v>
      </c>
      <c r="CQ500" s="14">
        <v>-7.9988669010550083E-4</v>
      </c>
      <c r="CR500" s="14">
        <v>1.0068616881268753E-5</v>
      </c>
      <c r="CS500" s="14">
        <f t="shared" si="76"/>
        <v>4.8505310478861988E-2</v>
      </c>
    </row>
    <row r="501" spans="92:97" x14ac:dyDescent="0.45">
      <c r="CN501" s="2">
        <v>249</v>
      </c>
      <c r="CO501" s="14">
        <v>0.05</v>
      </c>
      <c r="CP501" s="14">
        <v>-7.0345604339990344E-4</v>
      </c>
      <c r="CQ501" s="14">
        <v>-7.9828049193259823E-4</v>
      </c>
      <c r="CR501" s="14">
        <v>1.0048398775081466E-5</v>
      </c>
      <c r="CS501" s="14">
        <f t="shared" si="76"/>
        <v>4.850831186344258E-2</v>
      </c>
    </row>
    <row r="502" spans="92:97" x14ac:dyDescent="0.45">
      <c r="CN502" s="2">
        <v>249.5</v>
      </c>
      <c r="CO502" s="14">
        <v>0.05</v>
      </c>
      <c r="CP502" s="14">
        <v>-7.0204631185000383E-4</v>
      </c>
      <c r="CQ502" s="14">
        <v>-7.9668073142772332E-4</v>
      </c>
      <c r="CR502" s="14">
        <v>1.0028261703387916E-5</v>
      </c>
      <c r="CS502" s="14">
        <f t="shared" si="76"/>
        <v>4.8511301218425666E-2</v>
      </c>
    </row>
    <row r="503" spans="92:97" x14ac:dyDescent="0.45">
      <c r="CN503" s="2">
        <v>250</v>
      </c>
      <c r="CO503" s="14">
        <v>0.05</v>
      </c>
      <c r="CP503" s="14">
        <v>-7.006422192263039E-4</v>
      </c>
      <c r="CQ503" s="14">
        <v>-7.9508736996486775E-4</v>
      </c>
      <c r="CR503" s="14">
        <v>1.0008205179981141E-5</v>
      </c>
      <c r="CS503" s="14">
        <f t="shared" si="76"/>
        <v>4.851427861598881E-2</v>
      </c>
    </row>
  </sheetData>
  <mergeCells count="2">
    <mergeCell ref="CN1:CS1"/>
    <mergeCell ref="K1:CK1"/>
  </mergeCells>
  <conditionalFormatting sqref="L3:CL66 L67:CJ67 CV67:DT77 DV67:FI77 DU68:DU78">
    <cfRule type="cellIs" dxfId="3" priority="4" operator="greaterThan">
      <formula>100</formula>
    </cfRule>
    <cfRule type="cellIs" dxfId="2" priority="5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5F26-C12E-4B92-B344-CBB320146048}">
  <sheetPr>
    <tabColor theme="6"/>
  </sheetPr>
  <dimension ref="A1:Z38"/>
  <sheetViews>
    <sheetView topLeftCell="L1" workbookViewId="0">
      <selection activeCell="V1" sqref="V1"/>
    </sheetView>
  </sheetViews>
  <sheetFormatPr defaultRowHeight="14.25" x14ac:dyDescent="0.45"/>
  <cols>
    <col min="1" max="1" width="13.59765625" bestFit="1" customWidth="1"/>
    <col min="2" max="2" width="16.6640625" bestFit="1" customWidth="1"/>
    <col min="3" max="3" width="6.9296875" bestFit="1" customWidth="1"/>
    <col min="4" max="4" width="13.46484375" bestFit="1" customWidth="1"/>
    <col min="5" max="5" width="8.1328125" bestFit="1" customWidth="1"/>
    <col min="6" max="6" width="9.9296875" bestFit="1" customWidth="1"/>
    <col min="7" max="7" width="11.59765625" bestFit="1" customWidth="1"/>
    <col min="8" max="8" width="16.265625" bestFit="1" customWidth="1"/>
    <col min="9" max="9" width="7.06640625" bestFit="1" customWidth="1"/>
    <col min="10" max="10" width="17.59765625" bestFit="1" customWidth="1"/>
    <col min="11" max="11" width="17.1328125" bestFit="1" customWidth="1"/>
    <col min="12" max="12" width="8.3984375" bestFit="1" customWidth="1"/>
    <col min="13" max="13" width="7.9296875" bestFit="1" customWidth="1"/>
    <col min="14" max="14" width="10.3984375" bestFit="1" customWidth="1"/>
    <col min="15" max="15" width="13" bestFit="1" customWidth="1"/>
    <col min="16" max="16" width="24.59765625" bestFit="1" customWidth="1"/>
    <col min="17" max="17" width="9.9296875" style="59" bestFit="1" customWidth="1"/>
    <col min="18" max="18" width="21" style="59" bestFit="1" customWidth="1"/>
    <col min="19" max="19" width="12.33203125" bestFit="1" customWidth="1"/>
    <col min="21" max="21" width="2.73046875" bestFit="1" customWidth="1"/>
    <col min="22" max="22" width="12.19921875" bestFit="1" customWidth="1"/>
    <col min="23" max="23" width="8.73046875" bestFit="1" customWidth="1"/>
    <col min="24" max="24" width="14.1328125" bestFit="1" customWidth="1"/>
    <col min="25" max="25" width="11.73046875" bestFit="1" customWidth="1"/>
    <col min="26" max="26" width="8.73046875" bestFit="1" customWidth="1"/>
  </cols>
  <sheetData>
    <row r="1" spans="1:26" s="46" customFormat="1" ht="12.75" x14ac:dyDescent="0.35">
      <c r="A1" s="46" t="s">
        <v>229</v>
      </c>
      <c r="B1" s="46" t="s">
        <v>230</v>
      </c>
      <c r="C1" s="46" t="s">
        <v>231</v>
      </c>
      <c r="D1" s="46" t="s">
        <v>232</v>
      </c>
      <c r="E1" s="46" t="s">
        <v>233</v>
      </c>
      <c r="F1" s="46" t="s">
        <v>3</v>
      </c>
      <c r="G1" s="46" t="s">
        <v>234</v>
      </c>
      <c r="H1" s="46" t="s">
        <v>235</v>
      </c>
      <c r="I1" s="46" t="s">
        <v>4</v>
      </c>
      <c r="J1" s="46" t="s">
        <v>236</v>
      </c>
      <c r="K1" s="46" t="s">
        <v>237</v>
      </c>
      <c r="L1" s="46" t="s">
        <v>238</v>
      </c>
      <c r="M1" s="46" t="s">
        <v>239</v>
      </c>
      <c r="N1" s="47" t="s">
        <v>240</v>
      </c>
      <c r="O1" s="46" t="s">
        <v>241</v>
      </c>
      <c r="P1" s="46" t="s">
        <v>242</v>
      </c>
      <c r="Q1" s="60" t="s">
        <v>243</v>
      </c>
      <c r="R1" s="60" t="s">
        <v>244</v>
      </c>
      <c r="S1" s="46" t="s">
        <v>245</v>
      </c>
      <c r="T1" s="46" t="s">
        <v>246</v>
      </c>
      <c r="U1" s="46" t="s">
        <v>247</v>
      </c>
      <c r="V1" s="45" t="s">
        <v>1404</v>
      </c>
      <c r="W1" s="45" t="s">
        <v>248</v>
      </c>
      <c r="X1" s="45" t="s">
        <v>249</v>
      </c>
      <c r="Y1" s="45" t="s">
        <v>250</v>
      </c>
      <c r="Z1" s="45" t="s">
        <v>2</v>
      </c>
    </row>
    <row r="2" spans="1:26" x14ac:dyDescent="0.4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>
        <v>2</v>
      </c>
      <c r="I2">
        <v>0.05</v>
      </c>
      <c r="J2">
        <v>1.4769999999999999</v>
      </c>
      <c r="K2">
        <v>1.4830000000000001</v>
      </c>
      <c r="L2">
        <v>99.98</v>
      </c>
      <c r="M2">
        <v>99.98</v>
      </c>
      <c r="N2" t="s">
        <v>47</v>
      </c>
      <c r="O2" t="s">
        <v>48</v>
      </c>
      <c r="P2" t="s">
        <v>49</v>
      </c>
      <c r="Q2" s="59" t="s">
        <v>50</v>
      </c>
      <c r="R2" s="59" t="s">
        <v>45</v>
      </c>
      <c r="S2">
        <v>-5.4757015742642025E-3</v>
      </c>
      <c r="T2">
        <v>99.98</v>
      </c>
      <c r="U2">
        <v>7</v>
      </c>
      <c r="V2">
        <v>0</v>
      </c>
      <c r="W2">
        <v>5</v>
      </c>
      <c r="X2">
        <v>5.0274725274725277E-2</v>
      </c>
      <c r="Y2">
        <v>99.929725274725286</v>
      </c>
      <c r="Z2">
        <v>1.48</v>
      </c>
    </row>
    <row r="3" spans="1:26" x14ac:dyDescent="0.45">
      <c r="A3" t="s">
        <v>51</v>
      </c>
      <c r="B3" t="s">
        <v>41</v>
      </c>
      <c r="C3" t="s">
        <v>42</v>
      </c>
      <c r="D3" t="s">
        <v>43</v>
      </c>
      <c r="E3" t="s">
        <v>44</v>
      </c>
      <c r="F3" t="s">
        <v>52</v>
      </c>
      <c r="G3" t="s">
        <v>46</v>
      </c>
      <c r="H3">
        <v>2</v>
      </c>
      <c r="I3">
        <v>0.1</v>
      </c>
      <c r="J3">
        <v>1.173</v>
      </c>
      <c r="K3">
        <v>1.1759999999999999</v>
      </c>
      <c r="L3">
        <v>99.957999999999998</v>
      </c>
      <c r="M3">
        <v>99.957999999999998</v>
      </c>
      <c r="N3" t="s">
        <v>53</v>
      </c>
      <c r="O3" t="s">
        <v>54</v>
      </c>
      <c r="P3" t="s">
        <v>55</v>
      </c>
      <c r="Q3" s="59" t="s">
        <v>50</v>
      </c>
      <c r="R3" s="59" t="s">
        <v>52</v>
      </c>
      <c r="S3">
        <v>1.9164955509924708E-2</v>
      </c>
      <c r="T3">
        <v>99.957999999999998</v>
      </c>
      <c r="U3">
        <v>6</v>
      </c>
      <c r="V3">
        <v>0</v>
      </c>
      <c r="W3">
        <v>5</v>
      </c>
      <c r="X3">
        <v>9.5604395604395612E-2</v>
      </c>
      <c r="Y3">
        <v>99.862395604395601</v>
      </c>
      <c r="Z3">
        <v>1.1745000000000001</v>
      </c>
    </row>
    <row r="4" spans="1:26" x14ac:dyDescent="0.45">
      <c r="A4" t="s">
        <v>56</v>
      </c>
      <c r="B4" t="s">
        <v>57</v>
      </c>
      <c r="C4" t="s">
        <v>42</v>
      </c>
      <c r="D4" t="s">
        <v>43</v>
      </c>
      <c r="E4" t="s">
        <v>44</v>
      </c>
      <c r="F4" t="s">
        <v>58</v>
      </c>
      <c r="G4" t="s">
        <v>46</v>
      </c>
      <c r="H4">
        <v>2</v>
      </c>
      <c r="I4">
        <v>0.06</v>
      </c>
      <c r="J4">
        <v>1.099</v>
      </c>
      <c r="K4">
        <v>1.1000000000000001</v>
      </c>
      <c r="L4">
        <v>99.906000000000006</v>
      </c>
      <c r="M4">
        <v>99.906000000000006</v>
      </c>
      <c r="N4" t="s">
        <v>59</v>
      </c>
      <c r="O4" t="s">
        <v>60</v>
      </c>
      <c r="P4" t="s">
        <v>49</v>
      </c>
      <c r="Q4" s="59" t="s">
        <v>61</v>
      </c>
      <c r="R4" s="59" t="s">
        <v>58</v>
      </c>
      <c r="S4">
        <v>7.1184120465434639E-2</v>
      </c>
      <c r="T4">
        <v>99.906000000000006</v>
      </c>
      <c r="U4">
        <v>31</v>
      </c>
      <c r="V4">
        <v>0</v>
      </c>
      <c r="W4">
        <v>5</v>
      </c>
      <c r="X4">
        <v>5.1428571428571421E-2</v>
      </c>
      <c r="Y4">
        <v>99.854571428571433</v>
      </c>
      <c r="Z4">
        <v>1.0994999999999999</v>
      </c>
    </row>
    <row r="5" spans="1:26" x14ac:dyDescent="0.45">
      <c r="A5" t="s">
        <v>62</v>
      </c>
      <c r="B5" t="s">
        <v>41</v>
      </c>
      <c r="C5" t="s">
        <v>42</v>
      </c>
      <c r="D5" t="s">
        <v>43</v>
      </c>
      <c r="E5" t="s">
        <v>44</v>
      </c>
      <c r="F5" t="s">
        <v>63</v>
      </c>
      <c r="G5" t="s">
        <v>46</v>
      </c>
      <c r="H5">
        <v>2</v>
      </c>
      <c r="I5">
        <v>0.09</v>
      </c>
      <c r="J5">
        <v>0.86399999999999999</v>
      </c>
      <c r="K5">
        <v>1.1339999999999999</v>
      </c>
      <c r="L5">
        <v>99.825999999999993</v>
      </c>
      <c r="M5">
        <v>99.766000000000005</v>
      </c>
      <c r="N5" t="s">
        <v>64</v>
      </c>
      <c r="O5" t="s">
        <v>65</v>
      </c>
      <c r="P5" t="s">
        <v>49</v>
      </c>
      <c r="Q5" s="59" t="s">
        <v>66</v>
      </c>
      <c r="R5" s="59" t="s">
        <v>63</v>
      </c>
      <c r="S5">
        <v>0.20533880903490759</v>
      </c>
      <c r="T5">
        <v>99.795999999999992</v>
      </c>
      <c r="U5">
        <v>3</v>
      </c>
      <c r="V5">
        <v>0</v>
      </c>
      <c r="W5">
        <v>10</v>
      </c>
      <c r="X5">
        <v>5.2912087912087909E-2</v>
      </c>
      <c r="Y5">
        <v>99.743087912087901</v>
      </c>
      <c r="Z5">
        <v>0.99899999999999989</v>
      </c>
    </row>
    <row r="6" spans="1:26" x14ac:dyDescent="0.45">
      <c r="A6" t="s">
        <v>67</v>
      </c>
      <c r="B6" t="s">
        <v>57</v>
      </c>
      <c r="C6" t="s">
        <v>42</v>
      </c>
      <c r="D6" t="s">
        <v>43</v>
      </c>
      <c r="E6" t="s">
        <v>44</v>
      </c>
      <c r="F6" t="s">
        <v>68</v>
      </c>
      <c r="G6" t="s">
        <v>46</v>
      </c>
      <c r="H6">
        <v>2</v>
      </c>
      <c r="I6">
        <v>0.37</v>
      </c>
      <c r="J6">
        <v>1.163</v>
      </c>
      <c r="K6">
        <v>1.163</v>
      </c>
      <c r="L6">
        <v>99.537999999999997</v>
      </c>
      <c r="M6">
        <v>99.537999999999997</v>
      </c>
      <c r="N6" t="s">
        <v>69</v>
      </c>
      <c r="O6" t="s">
        <v>70</v>
      </c>
      <c r="P6" t="s">
        <v>49</v>
      </c>
      <c r="Q6" s="59" t="s">
        <v>71</v>
      </c>
      <c r="R6" s="59" t="s">
        <v>72</v>
      </c>
      <c r="S6">
        <v>0.56673511293634493</v>
      </c>
      <c r="T6">
        <v>99.537999999999997</v>
      </c>
      <c r="U6">
        <v>2</v>
      </c>
      <c r="V6">
        <v>0.5</v>
      </c>
      <c r="W6">
        <v>3</v>
      </c>
      <c r="X6">
        <v>0.3212087912087912</v>
      </c>
      <c r="Y6">
        <v>99.216791208791207</v>
      </c>
      <c r="Z6">
        <v>1.163</v>
      </c>
    </row>
    <row r="7" spans="1:26" x14ac:dyDescent="0.45">
      <c r="A7" t="s">
        <v>73</v>
      </c>
      <c r="B7" t="s">
        <v>57</v>
      </c>
      <c r="C7" t="s">
        <v>42</v>
      </c>
      <c r="D7" t="s">
        <v>43</v>
      </c>
      <c r="E7" t="s">
        <v>44</v>
      </c>
      <c r="F7" t="s">
        <v>74</v>
      </c>
      <c r="G7" t="s">
        <v>46</v>
      </c>
      <c r="H7">
        <v>2</v>
      </c>
      <c r="I7">
        <v>0.77300000000000002</v>
      </c>
      <c r="J7">
        <v>1.014</v>
      </c>
      <c r="K7">
        <v>1.214</v>
      </c>
      <c r="L7">
        <v>99.820999999999998</v>
      </c>
      <c r="M7">
        <v>99.673000000000002</v>
      </c>
      <c r="N7" t="s">
        <v>75</v>
      </c>
      <c r="O7" t="s">
        <v>76</v>
      </c>
      <c r="P7" t="s">
        <v>55</v>
      </c>
      <c r="Q7" s="59" t="s">
        <v>77</v>
      </c>
      <c r="R7" s="59" t="s">
        <v>78</v>
      </c>
      <c r="S7">
        <v>0.72826830937713893</v>
      </c>
      <c r="T7">
        <v>99.747</v>
      </c>
      <c r="U7">
        <v>18</v>
      </c>
      <c r="V7">
        <v>0.5</v>
      </c>
      <c r="W7">
        <v>2</v>
      </c>
      <c r="X7">
        <v>0.41623076923076924</v>
      </c>
      <c r="Y7">
        <v>99.330769230769235</v>
      </c>
      <c r="Z7">
        <v>1.1139999999999999</v>
      </c>
    </row>
    <row r="8" spans="1:26" x14ac:dyDescent="0.45">
      <c r="A8" t="s">
        <v>79</v>
      </c>
      <c r="B8" t="s">
        <v>57</v>
      </c>
      <c r="C8" t="s">
        <v>42</v>
      </c>
      <c r="D8" t="s">
        <v>43</v>
      </c>
      <c r="E8" t="s">
        <v>44</v>
      </c>
      <c r="F8" t="s">
        <v>80</v>
      </c>
      <c r="G8" t="s">
        <v>46</v>
      </c>
      <c r="H8">
        <v>2</v>
      </c>
      <c r="I8">
        <v>0.41399999999999998</v>
      </c>
      <c r="J8">
        <v>1.2589999999999999</v>
      </c>
      <c r="K8">
        <v>1.2809999999935633</v>
      </c>
      <c r="L8">
        <v>99.103999999999999</v>
      </c>
      <c r="M8">
        <v>99.081000000000003</v>
      </c>
      <c r="N8" t="s">
        <v>81</v>
      </c>
      <c r="O8" t="s">
        <v>82</v>
      </c>
      <c r="P8" t="s">
        <v>49</v>
      </c>
      <c r="Q8" s="59" t="s">
        <v>83</v>
      </c>
      <c r="R8" s="59" t="s">
        <v>84</v>
      </c>
      <c r="S8">
        <v>1.054072553045859</v>
      </c>
      <c r="T8">
        <v>99.092500000000001</v>
      </c>
      <c r="U8">
        <v>26</v>
      </c>
      <c r="V8">
        <v>1</v>
      </c>
      <c r="W8">
        <v>2</v>
      </c>
      <c r="X8">
        <v>0.36623076923076919</v>
      </c>
      <c r="Y8">
        <v>98.726269230769233</v>
      </c>
      <c r="Z8">
        <v>1.2699999999967817</v>
      </c>
    </row>
    <row r="9" spans="1:26" x14ac:dyDescent="0.45">
      <c r="A9" t="s">
        <v>85</v>
      </c>
      <c r="B9" t="s">
        <v>41</v>
      </c>
      <c r="C9" t="s">
        <v>42</v>
      </c>
      <c r="D9" t="s">
        <v>43</v>
      </c>
      <c r="E9" t="s">
        <v>44</v>
      </c>
      <c r="F9" t="s">
        <v>86</v>
      </c>
      <c r="G9" t="s">
        <v>46</v>
      </c>
      <c r="H9">
        <v>2</v>
      </c>
      <c r="I9">
        <v>0.22</v>
      </c>
      <c r="J9">
        <v>1.274</v>
      </c>
      <c r="K9">
        <v>1.292</v>
      </c>
      <c r="L9">
        <v>98.73</v>
      </c>
      <c r="M9">
        <v>98.709000000000003</v>
      </c>
      <c r="N9" t="s">
        <v>87</v>
      </c>
      <c r="O9" t="s">
        <v>88</v>
      </c>
      <c r="P9" t="s">
        <v>49</v>
      </c>
      <c r="Q9" s="59" t="s">
        <v>89</v>
      </c>
      <c r="R9" s="59" t="s">
        <v>90</v>
      </c>
      <c r="S9">
        <v>1.2019164955509924</v>
      </c>
      <c r="T9">
        <v>98.719500000000011</v>
      </c>
      <c r="U9">
        <v>15</v>
      </c>
      <c r="V9">
        <v>1</v>
      </c>
      <c r="W9">
        <v>9</v>
      </c>
      <c r="X9">
        <v>0.13054945054945055</v>
      </c>
      <c r="Y9">
        <v>98.588950549450558</v>
      </c>
      <c r="Z9">
        <v>1.2829999999999999</v>
      </c>
    </row>
    <row r="10" spans="1:26" x14ac:dyDescent="0.45">
      <c r="A10" t="s">
        <v>91</v>
      </c>
      <c r="B10" t="s">
        <v>41</v>
      </c>
      <c r="C10" t="s">
        <v>42</v>
      </c>
      <c r="D10" t="s">
        <v>43</v>
      </c>
      <c r="E10" t="s">
        <v>44</v>
      </c>
      <c r="F10" t="s">
        <v>86</v>
      </c>
      <c r="G10" t="s">
        <v>46</v>
      </c>
      <c r="H10">
        <v>2</v>
      </c>
      <c r="I10">
        <v>0.11</v>
      </c>
      <c r="J10">
        <v>1.2730000000000001</v>
      </c>
      <c r="K10">
        <v>1.2909999999999999</v>
      </c>
      <c r="L10">
        <v>98.599000000000004</v>
      </c>
      <c r="M10">
        <v>98.578000000000003</v>
      </c>
      <c r="N10" t="s">
        <v>92</v>
      </c>
      <c r="O10" t="s">
        <v>93</v>
      </c>
      <c r="P10" t="s">
        <v>49</v>
      </c>
      <c r="Q10" s="59" t="s">
        <v>94</v>
      </c>
      <c r="R10" s="59" t="s">
        <v>90</v>
      </c>
      <c r="S10">
        <v>1.2019164955509924</v>
      </c>
      <c r="T10">
        <v>98.58850000000001</v>
      </c>
      <c r="U10">
        <v>32</v>
      </c>
      <c r="V10">
        <v>1</v>
      </c>
      <c r="W10">
        <v>4</v>
      </c>
      <c r="X10">
        <v>6.5274725274725276E-2</v>
      </c>
      <c r="Y10">
        <v>98.523225274725291</v>
      </c>
      <c r="Z10">
        <v>1.282</v>
      </c>
    </row>
    <row r="11" spans="1:26" x14ac:dyDescent="0.45">
      <c r="A11" t="s">
        <v>95</v>
      </c>
      <c r="B11" t="s">
        <v>57</v>
      </c>
      <c r="C11" t="s">
        <v>42</v>
      </c>
      <c r="D11" t="s">
        <v>43</v>
      </c>
      <c r="E11" t="s">
        <v>44</v>
      </c>
      <c r="F11" t="s">
        <v>96</v>
      </c>
      <c r="G11" t="s">
        <v>46</v>
      </c>
      <c r="H11">
        <v>2</v>
      </c>
      <c r="I11">
        <v>0.96599999999999997</v>
      </c>
      <c r="J11">
        <v>1.34</v>
      </c>
      <c r="K11">
        <v>1.3540000000000001</v>
      </c>
      <c r="L11">
        <v>99.5</v>
      </c>
      <c r="M11">
        <v>99.481999999999999</v>
      </c>
      <c r="N11" t="s">
        <v>97</v>
      </c>
      <c r="O11" t="s">
        <v>98</v>
      </c>
      <c r="P11" t="s">
        <v>49</v>
      </c>
      <c r="Q11" s="59" t="s">
        <v>99</v>
      </c>
      <c r="R11" s="59" t="s">
        <v>100</v>
      </c>
      <c r="S11">
        <v>1.3388090349075976</v>
      </c>
      <c r="T11">
        <v>99.491</v>
      </c>
      <c r="U11">
        <v>11</v>
      </c>
      <c r="V11">
        <v>1</v>
      </c>
      <c r="W11">
        <v>1</v>
      </c>
      <c r="X11">
        <v>0.30253846153846153</v>
      </c>
      <c r="Y11">
        <v>99.188461538461539</v>
      </c>
      <c r="Z11">
        <v>1.347</v>
      </c>
    </row>
    <row r="12" spans="1:26" x14ac:dyDescent="0.45">
      <c r="A12" t="s">
        <v>101</v>
      </c>
      <c r="B12" t="s">
        <v>57</v>
      </c>
      <c r="C12" t="s">
        <v>42</v>
      </c>
      <c r="D12" t="s">
        <v>43</v>
      </c>
      <c r="E12" t="s">
        <v>44</v>
      </c>
      <c r="F12" t="s">
        <v>102</v>
      </c>
      <c r="G12" t="s">
        <v>46</v>
      </c>
      <c r="H12">
        <v>2</v>
      </c>
      <c r="I12">
        <v>0.26500000000000001</v>
      </c>
      <c r="J12">
        <v>1.3460000000000001</v>
      </c>
      <c r="K12">
        <v>1.3599999999999999</v>
      </c>
      <c r="L12">
        <v>98.552999999999997</v>
      </c>
      <c r="M12">
        <v>98.534000000000006</v>
      </c>
      <c r="N12" t="s">
        <v>103</v>
      </c>
      <c r="O12" t="s">
        <v>104</v>
      </c>
      <c r="P12" t="s">
        <v>49</v>
      </c>
      <c r="Q12" s="59" t="s">
        <v>105</v>
      </c>
      <c r="R12" s="59" t="s">
        <v>106</v>
      </c>
      <c r="S12">
        <v>1.3415468856947297</v>
      </c>
      <c r="T12">
        <v>98.543499999999995</v>
      </c>
      <c r="U12">
        <v>29</v>
      </c>
      <c r="V12">
        <v>1</v>
      </c>
      <c r="W12">
        <v>9</v>
      </c>
      <c r="X12">
        <v>8.0082417582417575E-2</v>
      </c>
      <c r="Y12">
        <v>98.463417582417577</v>
      </c>
      <c r="Z12">
        <v>1.353</v>
      </c>
    </row>
    <row r="13" spans="1:26" x14ac:dyDescent="0.45">
      <c r="A13" t="s">
        <v>107</v>
      </c>
      <c r="B13" t="s">
        <v>57</v>
      </c>
      <c r="C13" t="s">
        <v>42</v>
      </c>
      <c r="D13" t="s">
        <v>43</v>
      </c>
      <c r="E13" t="s">
        <v>44</v>
      </c>
      <c r="F13" t="s">
        <v>108</v>
      </c>
      <c r="G13" t="s">
        <v>46</v>
      </c>
      <c r="H13">
        <v>2</v>
      </c>
      <c r="I13">
        <v>0.57299999999999995</v>
      </c>
      <c r="J13">
        <v>1.4060000000000001</v>
      </c>
      <c r="K13">
        <v>1.421</v>
      </c>
      <c r="L13">
        <v>98.715999999999994</v>
      </c>
      <c r="M13">
        <v>98.694000000000003</v>
      </c>
      <c r="N13" t="s">
        <v>109</v>
      </c>
      <c r="O13" t="s">
        <v>110</v>
      </c>
      <c r="P13" t="s">
        <v>49</v>
      </c>
      <c r="Q13" s="59" t="s">
        <v>111</v>
      </c>
      <c r="R13" s="59" t="s">
        <v>84</v>
      </c>
      <c r="S13">
        <v>1.5523613963039014</v>
      </c>
      <c r="T13">
        <v>98.704999999999998</v>
      </c>
      <c r="U13">
        <v>24</v>
      </c>
      <c r="V13">
        <v>1.5</v>
      </c>
      <c r="W13">
        <v>2</v>
      </c>
      <c r="X13">
        <v>0.50688461538461538</v>
      </c>
      <c r="Y13">
        <v>98.198115384615377</v>
      </c>
      <c r="Z13">
        <v>1.4135</v>
      </c>
    </row>
    <row r="14" spans="1:26" x14ac:dyDescent="0.45">
      <c r="A14" t="s">
        <v>112</v>
      </c>
      <c r="B14" t="s">
        <v>57</v>
      </c>
      <c r="C14" t="s">
        <v>42</v>
      </c>
      <c r="D14" t="s">
        <v>43</v>
      </c>
      <c r="E14" t="s">
        <v>44</v>
      </c>
      <c r="F14" t="s">
        <v>113</v>
      </c>
      <c r="G14" t="s">
        <v>46</v>
      </c>
      <c r="H14">
        <v>2</v>
      </c>
      <c r="I14">
        <v>1.089</v>
      </c>
      <c r="J14">
        <v>1.3959999999999999</v>
      </c>
      <c r="K14">
        <v>1.411</v>
      </c>
      <c r="L14">
        <v>99.521000000000001</v>
      </c>
      <c r="M14">
        <v>99.498000000000005</v>
      </c>
      <c r="N14" t="s">
        <v>114</v>
      </c>
      <c r="O14" t="s">
        <v>115</v>
      </c>
      <c r="P14" t="s">
        <v>49</v>
      </c>
      <c r="Q14" s="59" t="s">
        <v>116</v>
      </c>
      <c r="R14" s="59" t="s">
        <v>117</v>
      </c>
      <c r="S14">
        <v>1.5715263518138261</v>
      </c>
      <c r="T14">
        <v>99.509500000000003</v>
      </c>
      <c r="U14">
        <v>37</v>
      </c>
      <c r="V14">
        <v>1.5</v>
      </c>
      <c r="W14">
        <v>1</v>
      </c>
      <c r="X14">
        <v>0.92146153846153844</v>
      </c>
      <c r="Y14">
        <v>98.58803846153846</v>
      </c>
      <c r="Z14">
        <v>1.4035</v>
      </c>
    </row>
    <row r="15" spans="1:26" x14ac:dyDescent="0.45">
      <c r="A15" t="s">
        <v>118</v>
      </c>
      <c r="B15" t="s">
        <v>57</v>
      </c>
      <c r="C15" t="s">
        <v>42</v>
      </c>
      <c r="D15" t="s">
        <v>43</v>
      </c>
      <c r="E15" t="s">
        <v>44</v>
      </c>
      <c r="F15" t="s">
        <v>119</v>
      </c>
      <c r="G15" t="s">
        <v>46</v>
      </c>
      <c r="H15">
        <v>2</v>
      </c>
      <c r="I15">
        <v>0.38500000000000001</v>
      </c>
      <c r="J15">
        <v>1.419</v>
      </c>
      <c r="K15">
        <v>1.4339999999999999</v>
      </c>
      <c r="L15">
        <v>98.373999999999995</v>
      </c>
      <c r="M15">
        <v>98.350999999999999</v>
      </c>
      <c r="N15" t="s">
        <v>120</v>
      </c>
      <c r="O15" t="s">
        <v>121</v>
      </c>
      <c r="P15" t="s">
        <v>49</v>
      </c>
      <c r="Q15" s="59" t="s">
        <v>122</v>
      </c>
      <c r="R15" s="59" t="s">
        <v>123</v>
      </c>
      <c r="S15">
        <v>1.5879534565366187</v>
      </c>
      <c r="T15">
        <v>98.362499999999997</v>
      </c>
      <c r="U15">
        <v>36</v>
      </c>
      <c r="V15">
        <v>1.5</v>
      </c>
      <c r="W15">
        <v>4</v>
      </c>
      <c r="X15">
        <v>0.31730769230769229</v>
      </c>
      <c r="Y15">
        <v>98.045192307692304</v>
      </c>
      <c r="Z15">
        <v>1.4264999999999999</v>
      </c>
    </row>
    <row r="16" spans="1:26" x14ac:dyDescent="0.45">
      <c r="A16" t="s">
        <v>124</v>
      </c>
      <c r="B16" t="s">
        <v>57</v>
      </c>
      <c r="C16" t="s">
        <v>42</v>
      </c>
      <c r="D16" t="s">
        <v>43</v>
      </c>
      <c r="E16" t="s">
        <v>44</v>
      </c>
      <c r="F16" t="s">
        <v>125</v>
      </c>
      <c r="G16" t="s">
        <v>46</v>
      </c>
      <c r="H16">
        <v>2</v>
      </c>
      <c r="I16">
        <v>0.26500000000000001</v>
      </c>
      <c r="J16">
        <v>1.4179999999999999</v>
      </c>
      <c r="K16">
        <v>1.4330000000000001</v>
      </c>
      <c r="L16">
        <v>98.183999999999997</v>
      </c>
      <c r="M16">
        <v>98.16</v>
      </c>
      <c r="N16" t="s">
        <v>126</v>
      </c>
      <c r="O16" t="s">
        <v>127</v>
      </c>
      <c r="P16" t="s">
        <v>49</v>
      </c>
      <c r="Q16" s="59" t="s">
        <v>128</v>
      </c>
      <c r="R16" s="59" t="s">
        <v>129</v>
      </c>
      <c r="S16">
        <v>1.5906913073237507</v>
      </c>
      <c r="T16">
        <v>98.171999999999997</v>
      </c>
      <c r="U16">
        <v>20</v>
      </c>
      <c r="V16">
        <v>1.5</v>
      </c>
      <c r="W16">
        <v>9</v>
      </c>
      <c r="X16">
        <v>0.21403846153846157</v>
      </c>
      <c r="Y16">
        <v>97.957961538461532</v>
      </c>
      <c r="Z16">
        <v>1.4255</v>
      </c>
    </row>
    <row r="17" spans="1:26" x14ac:dyDescent="0.45">
      <c r="A17" t="s">
        <v>130</v>
      </c>
      <c r="B17" t="s">
        <v>57</v>
      </c>
      <c r="C17" t="s">
        <v>42</v>
      </c>
      <c r="D17" t="s">
        <v>43</v>
      </c>
      <c r="E17" t="s">
        <v>44</v>
      </c>
      <c r="F17" t="s">
        <v>131</v>
      </c>
      <c r="G17" t="s">
        <v>46</v>
      </c>
      <c r="H17">
        <v>2</v>
      </c>
      <c r="I17">
        <v>0.9</v>
      </c>
      <c r="J17">
        <v>1.452</v>
      </c>
      <c r="K17">
        <v>1.464</v>
      </c>
      <c r="L17">
        <v>99</v>
      </c>
      <c r="M17">
        <v>98.977999999999994</v>
      </c>
      <c r="N17" t="s">
        <v>132</v>
      </c>
      <c r="O17" t="s">
        <v>133</v>
      </c>
      <c r="P17" t="s">
        <v>49</v>
      </c>
      <c r="Q17" s="59" t="s">
        <v>134</v>
      </c>
      <c r="R17" s="59" t="s">
        <v>135</v>
      </c>
      <c r="S17">
        <v>1.839835728952772</v>
      </c>
      <c r="T17">
        <v>98.989000000000004</v>
      </c>
      <c r="U17">
        <v>23</v>
      </c>
      <c r="V17">
        <v>1.5</v>
      </c>
      <c r="W17">
        <v>1</v>
      </c>
      <c r="X17">
        <v>0.27692307692307694</v>
      </c>
      <c r="Y17">
        <v>98.712076923076921</v>
      </c>
      <c r="Z17">
        <v>1.458</v>
      </c>
    </row>
    <row r="18" spans="1:26" x14ac:dyDescent="0.45">
      <c r="A18" t="s">
        <v>136</v>
      </c>
      <c r="B18" t="s">
        <v>41</v>
      </c>
      <c r="C18" t="s">
        <v>42</v>
      </c>
      <c r="D18" t="s">
        <v>43</v>
      </c>
      <c r="E18" t="s">
        <v>44</v>
      </c>
      <c r="F18" t="s">
        <v>137</v>
      </c>
      <c r="G18" t="s">
        <v>46</v>
      </c>
      <c r="H18">
        <v>2</v>
      </c>
      <c r="I18">
        <v>0.33</v>
      </c>
      <c r="J18">
        <v>1.4870000000000001</v>
      </c>
      <c r="K18">
        <v>1.4870000000000001</v>
      </c>
      <c r="L18">
        <v>97.513999999999996</v>
      </c>
      <c r="M18">
        <v>97.513999999999996</v>
      </c>
      <c r="N18" t="s">
        <v>138</v>
      </c>
      <c r="O18" t="s">
        <v>139</v>
      </c>
      <c r="P18" t="s">
        <v>49</v>
      </c>
      <c r="Q18" s="59" t="s">
        <v>140</v>
      </c>
      <c r="R18" s="59" t="s">
        <v>141</v>
      </c>
      <c r="S18">
        <v>2.2012320328542097</v>
      </c>
      <c r="T18">
        <v>97.513999999999996</v>
      </c>
      <c r="U18">
        <v>28</v>
      </c>
      <c r="V18">
        <v>2</v>
      </c>
      <c r="W18">
        <v>3</v>
      </c>
      <c r="X18">
        <v>0.19763736263736265</v>
      </c>
      <c r="Y18">
        <v>97.31636263736263</v>
      </c>
      <c r="Z18">
        <v>1.4870000000000001</v>
      </c>
    </row>
    <row r="19" spans="1:26" x14ac:dyDescent="0.45">
      <c r="A19" t="s">
        <v>142</v>
      </c>
      <c r="B19" t="s">
        <v>57</v>
      </c>
      <c r="C19" t="s">
        <v>42</v>
      </c>
      <c r="D19" t="s">
        <v>43</v>
      </c>
      <c r="E19" t="s">
        <v>44</v>
      </c>
      <c r="F19" t="s">
        <v>143</v>
      </c>
      <c r="G19" t="s">
        <v>46</v>
      </c>
      <c r="H19">
        <v>2</v>
      </c>
      <c r="I19">
        <v>1.0820000000000001</v>
      </c>
      <c r="J19">
        <v>1.468</v>
      </c>
      <c r="K19">
        <v>1.5209999999999999</v>
      </c>
      <c r="L19">
        <v>99.12</v>
      </c>
      <c r="M19">
        <v>98.998999999999995</v>
      </c>
      <c r="N19" t="s">
        <v>144</v>
      </c>
      <c r="O19" t="s">
        <v>145</v>
      </c>
      <c r="P19" t="s">
        <v>49</v>
      </c>
      <c r="Q19" s="59" t="s">
        <v>99</v>
      </c>
      <c r="R19" s="59" t="s">
        <v>100</v>
      </c>
      <c r="S19">
        <v>2.3381245722108144</v>
      </c>
      <c r="T19">
        <v>99.0595</v>
      </c>
      <c r="U19">
        <v>12</v>
      </c>
      <c r="V19">
        <v>2</v>
      </c>
      <c r="W19">
        <v>1</v>
      </c>
      <c r="X19">
        <v>0.33886813186813186</v>
      </c>
      <c r="Y19">
        <v>98.720631868131875</v>
      </c>
      <c r="Z19">
        <v>1.4944999999999999</v>
      </c>
    </row>
    <row r="20" spans="1:26" x14ac:dyDescent="0.45">
      <c r="A20" t="s">
        <v>146</v>
      </c>
      <c r="B20" t="s">
        <v>57</v>
      </c>
      <c r="C20" t="s">
        <v>42</v>
      </c>
      <c r="D20" t="s">
        <v>43</v>
      </c>
      <c r="E20" t="s">
        <v>44</v>
      </c>
      <c r="F20" t="s">
        <v>147</v>
      </c>
      <c r="G20" t="s">
        <v>46</v>
      </c>
      <c r="H20">
        <v>2</v>
      </c>
      <c r="I20">
        <v>0.59299999999999997</v>
      </c>
      <c r="J20">
        <v>1.58</v>
      </c>
      <c r="K20">
        <v>1.58</v>
      </c>
      <c r="L20">
        <v>97.546999999999997</v>
      </c>
      <c r="M20">
        <v>97.546999999999997</v>
      </c>
      <c r="N20" t="s">
        <v>148</v>
      </c>
      <c r="O20" t="s">
        <v>149</v>
      </c>
      <c r="P20" t="s">
        <v>49</v>
      </c>
      <c r="Q20" s="59" t="s">
        <v>71</v>
      </c>
      <c r="R20" s="59" t="s">
        <v>72</v>
      </c>
      <c r="S20">
        <v>2.5681040383299112</v>
      </c>
      <c r="T20">
        <v>97.546999999999997</v>
      </c>
      <c r="U20">
        <v>34</v>
      </c>
      <c r="V20">
        <v>2.5</v>
      </c>
      <c r="W20">
        <v>3</v>
      </c>
      <c r="X20">
        <v>0.51480219780219783</v>
      </c>
      <c r="Y20">
        <v>97.0321978021978</v>
      </c>
      <c r="Z20">
        <v>1.58</v>
      </c>
    </row>
    <row r="21" spans="1:26" x14ac:dyDescent="0.45">
      <c r="A21" t="s">
        <v>150</v>
      </c>
      <c r="B21" t="s">
        <v>57</v>
      </c>
      <c r="C21" t="s">
        <v>42</v>
      </c>
      <c r="D21" t="s">
        <v>43</v>
      </c>
      <c r="E21" t="s">
        <v>44</v>
      </c>
      <c r="F21" t="s">
        <v>151</v>
      </c>
      <c r="G21" t="s">
        <v>46</v>
      </c>
      <c r="H21">
        <v>2</v>
      </c>
      <c r="I21">
        <v>1.234</v>
      </c>
      <c r="J21">
        <v>1.542</v>
      </c>
      <c r="K21">
        <v>1.554</v>
      </c>
      <c r="L21">
        <v>99.23</v>
      </c>
      <c r="M21">
        <v>99.197999999999993</v>
      </c>
      <c r="N21" t="s">
        <v>152</v>
      </c>
      <c r="O21" t="s">
        <v>153</v>
      </c>
      <c r="P21" t="s">
        <v>49</v>
      </c>
      <c r="Q21" s="59" t="s">
        <v>116</v>
      </c>
      <c r="R21" s="59" t="s">
        <v>117</v>
      </c>
      <c r="S21">
        <v>2.5790554414784395</v>
      </c>
      <c r="T21">
        <v>99.213999999999999</v>
      </c>
      <c r="U21">
        <v>33</v>
      </c>
      <c r="V21">
        <v>2.5</v>
      </c>
      <c r="W21">
        <v>1</v>
      </c>
      <c r="X21">
        <v>1.0441538461538462</v>
      </c>
      <c r="Y21">
        <v>98.169846153846152</v>
      </c>
      <c r="Z21">
        <v>1.548</v>
      </c>
    </row>
    <row r="22" spans="1:26" x14ac:dyDescent="0.45">
      <c r="A22" t="s">
        <v>154</v>
      </c>
      <c r="B22" t="s">
        <v>57</v>
      </c>
      <c r="C22" t="s">
        <v>42</v>
      </c>
      <c r="D22" t="s">
        <v>43</v>
      </c>
      <c r="E22" t="s">
        <v>44</v>
      </c>
      <c r="F22" t="s">
        <v>155</v>
      </c>
      <c r="G22" t="s">
        <v>46</v>
      </c>
      <c r="H22">
        <v>2</v>
      </c>
      <c r="I22">
        <v>0.31900000000000001</v>
      </c>
      <c r="J22">
        <v>1.5649999999999999</v>
      </c>
      <c r="K22">
        <v>1.579</v>
      </c>
      <c r="L22">
        <v>96.870999999999995</v>
      </c>
      <c r="M22">
        <v>96.837000000000003</v>
      </c>
      <c r="N22" t="s">
        <v>156</v>
      </c>
      <c r="O22" t="s">
        <v>157</v>
      </c>
      <c r="P22" t="s">
        <v>49</v>
      </c>
      <c r="Q22" s="59" t="s">
        <v>158</v>
      </c>
      <c r="R22" s="59" t="s">
        <v>159</v>
      </c>
      <c r="S22">
        <v>2.5954825462012319</v>
      </c>
      <c r="T22">
        <v>96.853999999999999</v>
      </c>
      <c r="U22">
        <v>30</v>
      </c>
      <c r="V22">
        <v>2.5</v>
      </c>
      <c r="W22">
        <v>8</v>
      </c>
      <c r="X22">
        <v>0.25940659340659339</v>
      </c>
      <c r="Y22">
        <v>96.594593406593404</v>
      </c>
      <c r="Z22">
        <v>1.5720000000000001</v>
      </c>
    </row>
    <row r="23" spans="1:26" x14ac:dyDescent="0.45">
      <c r="A23" t="s">
        <v>160</v>
      </c>
      <c r="B23" t="s">
        <v>57</v>
      </c>
      <c r="C23" t="s">
        <v>42</v>
      </c>
      <c r="D23" t="s">
        <v>43</v>
      </c>
      <c r="E23" t="s">
        <v>44</v>
      </c>
      <c r="F23" t="s">
        <v>161</v>
      </c>
      <c r="G23" t="s">
        <v>46</v>
      </c>
      <c r="H23">
        <v>2</v>
      </c>
      <c r="I23">
        <v>1.35</v>
      </c>
      <c r="J23">
        <v>1.407</v>
      </c>
      <c r="K23">
        <v>1.607</v>
      </c>
      <c r="L23">
        <v>99.849000000000004</v>
      </c>
      <c r="M23">
        <v>99.328000000000003</v>
      </c>
      <c r="N23" t="s">
        <v>162</v>
      </c>
      <c r="O23" t="s">
        <v>163</v>
      </c>
      <c r="P23" t="s">
        <v>55</v>
      </c>
      <c r="Q23" s="59" t="s">
        <v>164</v>
      </c>
      <c r="R23" s="59" t="s">
        <v>63</v>
      </c>
      <c r="S23">
        <v>2.7022587268993838</v>
      </c>
      <c r="T23">
        <v>99.58850000000001</v>
      </c>
      <c r="U23">
        <v>8</v>
      </c>
      <c r="V23">
        <v>2.5</v>
      </c>
      <c r="W23">
        <v>1</v>
      </c>
      <c r="X23">
        <v>0.79368131868131875</v>
      </c>
      <c r="Y23">
        <v>98.794818681318688</v>
      </c>
      <c r="Z23">
        <v>1.5070000000000001</v>
      </c>
    </row>
    <row r="24" spans="1:26" x14ac:dyDescent="0.45">
      <c r="A24" t="s">
        <v>165</v>
      </c>
      <c r="B24" t="s">
        <v>57</v>
      </c>
      <c r="C24" t="s">
        <v>42</v>
      </c>
      <c r="D24" t="s">
        <v>43</v>
      </c>
      <c r="E24" t="s">
        <v>44</v>
      </c>
      <c r="F24" t="s">
        <v>166</v>
      </c>
      <c r="G24" t="s">
        <v>46</v>
      </c>
      <c r="H24">
        <v>2</v>
      </c>
      <c r="I24">
        <v>0.61699999999999999</v>
      </c>
      <c r="J24">
        <v>1.651</v>
      </c>
      <c r="K24">
        <v>1.663</v>
      </c>
      <c r="L24">
        <v>96.968999999999994</v>
      </c>
      <c r="M24">
        <v>96.935000000000002</v>
      </c>
      <c r="N24" t="s">
        <v>167</v>
      </c>
      <c r="O24" t="s">
        <v>168</v>
      </c>
      <c r="P24" t="s">
        <v>49</v>
      </c>
      <c r="Q24" s="59" t="s">
        <v>83</v>
      </c>
      <c r="R24" s="59" t="s">
        <v>84</v>
      </c>
      <c r="S24">
        <v>3.0609171800136892</v>
      </c>
      <c r="T24">
        <v>96.951999999999998</v>
      </c>
      <c r="U24">
        <v>14</v>
      </c>
      <c r="V24">
        <v>3</v>
      </c>
      <c r="W24">
        <v>2</v>
      </c>
      <c r="X24">
        <v>0.54580769230769233</v>
      </c>
      <c r="Y24">
        <v>96.406192307692308</v>
      </c>
      <c r="Z24">
        <v>1.657</v>
      </c>
    </row>
    <row r="25" spans="1:26" x14ac:dyDescent="0.45">
      <c r="A25" t="s">
        <v>169</v>
      </c>
      <c r="B25" t="s">
        <v>41</v>
      </c>
      <c r="C25" t="s">
        <v>42</v>
      </c>
      <c r="D25" t="s">
        <v>43</v>
      </c>
      <c r="E25" t="s">
        <v>44</v>
      </c>
      <c r="F25" t="s">
        <v>170</v>
      </c>
      <c r="G25" t="s">
        <v>46</v>
      </c>
      <c r="H25">
        <v>2</v>
      </c>
      <c r="I25">
        <v>0.15</v>
      </c>
      <c r="J25">
        <v>1.653</v>
      </c>
      <c r="K25">
        <v>1.665</v>
      </c>
      <c r="L25">
        <v>95.435000000000002</v>
      </c>
      <c r="M25">
        <v>95.4</v>
      </c>
      <c r="N25" t="s">
        <v>171</v>
      </c>
      <c r="O25" t="s">
        <v>172</v>
      </c>
      <c r="P25" t="s">
        <v>49</v>
      </c>
      <c r="Q25" s="59" t="s">
        <v>173</v>
      </c>
      <c r="R25" s="59" t="s">
        <v>174</v>
      </c>
      <c r="S25">
        <v>3.1786447638603694</v>
      </c>
      <c r="T25">
        <v>95.417500000000004</v>
      </c>
      <c r="U25">
        <v>35</v>
      </c>
      <c r="V25">
        <v>3</v>
      </c>
      <c r="W25">
        <v>7</v>
      </c>
      <c r="X25">
        <v>9.7252747252747254E-2</v>
      </c>
      <c r="Y25">
        <v>95.320247252747251</v>
      </c>
      <c r="Z25">
        <v>1.659</v>
      </c>
    </row>
    <row r="26" spans="1:26" x14ac:dyDescent="0.45">
      <c r="A26" t="s">
        <v>175</v>
      </c>
      <c r="B26" t="s">
        <v>57</v>
      </c>
      <c r="C26" t="s">
        <v>42</v>
      </c>
      <c r="D26" t="s">
        <v>43</v>
      </c>
      <c r="E26" t="s">
        <v>44</v>
      </c>
      <c r="F26" t="s">
        <v>176</v>
      </c>
      <c r="G26" t="s">
        <v>46</v>
      </c>
      <c r="H26">
        <v>2</v>
      </c>
      <c r="I26">
        <v>0.71</v>
      </c>
      <c r="J26">
        <v>1.77</v>
      </c>
      <c r="K26">
        <v>1.77</v>
      </c>
      <c r="L26">
        <v>96.433000000000007</v>
      </c>
      <c r="M26">
        <v>96.433000000000007</v>
      </c>
      <c r="N26" t="s">
        <v>177</v>
      </c>
      <c r="O26" t="s">
        <v>178</v>
      </c>
      <c r="P26" t="s">
        <v>49</v>
      </c>
      <c r="Q26" s="59" t="s">
        <v>111</v>
      </c>
      <c r="R26" s="59" t="s">
        <v>84</v>
      </c>
      <c r="S26">
        <v>3.5592060232717317</v>
      </c>
      <c r="T26">
        <v>96.433000000000007</v>
      </c>
      <c r="U26">
        <v>25</v>
      </c>
      <c r="V26">
        <v>3.5</v>
      </c>
      <c r="W26">
        <v>2</v>
      </c>
      <c r="X26">
        <v>0.62807692307692298</v>
      </c>
      <c r="Y26">
        <v>95.804923076923089</v>
      </c>
      <c r="Z26">
        <v>1.77</v>
      </c>
    </row>
    <row r="27" spans="1:26" x14ac:dyDescent="0.45">
      <c r="A27" t="s">
        <v>179</v>
      </c>
      <c r="B27" t="s">
        <v>57</v>
      </c>
      <c r="C27" t="s">
        <v>42</v>
      </c>
      <c r="D27" t="s">
        <v>43</v>
      </c>
      <c r="E27" t="s">
        <v>44</v>
      </c>
      <c r="F27" t="s">
        <v>180</v>
      </c>
      <c r="G27" t="s">
        <v>46</v>
      </c>
      <c r="H27">
        <v>2</v>
      </c>
      <c r="I27">
        <v>1.0509999999999999</v>
      </c>
      <c r="J27">
        <v>1.8090000000000002</v>
      </c>
      <c r="K27">
        <v>1.8090000000000002</v>
      </c>
      <c r="L27">
        <v>97.260999999999996</v>
      </c>
      <c r="M27">
        <v>97.260999999999996</v>
      </c>
      <c r="N27" t="s">
        <v>181</v>
      </c>
      <c r="O27" t="s">
        <v>182</v>
      </c>
      <c r="P27" t="s">
        <v>49</v>
      </c>
      <c r="Q27" s="59" t="s">
        <v>134</v>
      </c>
      <c r="R27" s="59" t="s">
        <v>135</v>
      </c>
      <c r="S27">
        <v>3.8466803559206024</v>
      </c>
      <c r="T27">
        <v>97.260999999999996</v>
      </c>
      <c r="U27">
        <v>19</v>
      </c>
      <c r="V27">
        <v>3.5</v>
      </c>
      <c r="W27">
        <v>1</v>
      </c>
      <c r="X27">
        <v>0.32338461538461538</v>
      </c>
      <c r="Y27">
        <v>96.937615384615384</v>
      </c>
      <c r="Z27">
        <v>1.8090000000000002</v>
      </c>
    </row>
    <row r="28" spans="1:26" x14ac:dyDescent="0.45">
      <c r="A28" t="s">
        <v>183</v>
      </c>
      <c r="B28" t="s">
        <v>57</v>
      </c>
      <c r="C28" t="s">
        <v>42</v>
      </c>
      <c r="D28" t="s">
        <v>43</v>
      </c>
      <c r="E28" t="s">
        <v>44</v>
      </c>
      <c r="F28" t="s">
        <v>184</v>
      </c>
      <c r="G28" t="s">
        <v>46</v>
      </c>
      <c r="H28">
        <v>2</v>
      </c>
      <c r="I28">
        <v>1.3260000000000001</v>
      </c>
      <c r="J28">
        <v>1.821</v>
      </c>
      <c r="K28">
        <v>1.85</v>
      </c>
      <c r="L28">
        <v>98.001000000000005</v>
      </c>
      <c r="M28">
        <v>97.885999999999996</v>
      </c>
      <c r="N28" t="s">
        <v>185</v>
      </c>
      <c r="O28" t="s">
        <v>186</v>
      </c>
      <c r="P28" t="s">
        <v>49</v>
      </c>
      <c r="Q28" s="59" t="s">
        <v>99</v>
      </c>
      <c r="R28" s="59" t="s">
        <v>100</v>
      </c>
      <c r="S28">
        <v>4.3394934976043809</v>
      </c>
      <c r="T28">
        <v>97.9435</v>
      </c>
      <c r="U28">
        <v>13</v>
      </c>
      <c r="V28">
        <v>4</v>
      </c>
      <c r="W28">
        <v>1</v>
      </c>
      <c r="X28">
        <v>0.41528571428571431</v>
      </c>
      <c r="Y28">
        <v>97.528214285714284</v>
      </c>
      <c r="Z28">
        <v>1.8355000000000001</v>
      </c>
    </row>
    <row r="29" spans="1:26" x14ac:dyDescent="0.45">
      <c r="A29" t="s">
        <v>187</v>
      </c>
      <c r="B29" t="s">
        <v>41</v>
      </c>
      <c r="C29" t="s">
        <v>42</v>
      </c>
      <c r="D29" t="s">
        <v>43</v>
      </c>
      <c r="E29" t="s">
        <v>44</v>
      </c>
      <c r="F29" t="s">
        <v>188</v>
      </c>
      <c r="G29" t="s">
        <v>46</v>
      </c>
      <c r="H29">
        <v>2</v>
      </c>
      <c r="I29">
        <v>1.296</v>
      </c>
      <c r="J29">
        <v>1.8380000000000001</v>
      </c>
      <c r="K29">
        <v>1.8380000000000001</v>
      </c>
      <c r="L29">
        <v>97.756</v>
      </c>
      <c r="M29">
        <v>97.756</v>
      </c>
      <c r="N29" t="s">
        <v>189</v>
      </c>
      <c r="O29" t="s">
        <v>190</v>
      </c>
      <c r="P29" t="s">
        <v>49</v>
      </c>
      <c r="Q29" s="59" t="s">
        <v>191</v>
      </c>
      <c r="R29" s="59" t="s">
        <v>192</v>
      </c>
      <c r="S29">
        <v>4.4599589322381927</v>
      </c>
      <c r="T29">
        <v>97.756</v>
      </c>
      <c r="U29">
        <v>9</v>
      </c>
      <c r="V29">
        <v>4</v>
      </c>
      <c r="W29">
        <v>1</v>
      </c>
      <c r="X29">
        <v>0.11393406593406595</v>
      </c>
      <c r="Y29">
        <v>97.64206593406594</v>
      </c>
      <c r="Z29">
        <v>1.8380000000000001</v>
      </c>
    </row>
    <row r="30" spans="1:26" x14ac:dyDescent="0.45">
      <c r="A30" t="s">
        <v>193</v>
      </c>
      <c r="B30" t="s">
        <v>57</v>
      </c>
      <c r="C30" t="s">
        <v>42</v>
      </c>
      <c r="D30" t="s">
        <v>43</v>
      </c>
      <c r="E30" t="s">
        <v>44</v>
      </c>
      <c r="F30" t="s">
        <v>194</v>
      </c>
      <c r="G30" t="s">
        <v>46</v>
      </c>
      <c r="H30">
        <v>2</v>
      </c>
      <c r="I30">
        <v>1.4930000000000001</v>
      </c>
      <c r="J30">
        <v>1.8879999999999999</v>
      </c>
      <c r="K30">
        <v>1.8879999999999999</v>
      </c>
      <c r="L30">
        <v>98.328999999999994</v>
      </c>
      <c r="M30">
        <v>98.328999999999994</v>
      </c>
      <c r="N30" t="s">
        <v>195</v>
      </c>
      <c r="O30" t="s">
        <v>196</v>
      </c>
      <c r="P30" t="s">
        <v>49</v>
      </c>
      <c r="Q30" s="59" t="s">
        <v>116</v>
      </c>
      <c r="R30" s="59" t="s">
        <v>117</v>
      </c>
      <c r="S30">
        <v>4.5776865160848734</v>
      </c>
      <c r="T30">
        <v>98.328999999999994</v>
      </c>
      <c r="U30">
        <v>10</v>
      </c>
      <c r="V30">
        <v>4.5</v>
      </c>
      <c r="W30">
        <v>1</v>
      </c>
      <c r="X30">
        <v>1.2633076923076925</v>
      </c>
      <c r="Y30">
        <v>97.065692307692302</v>
      </c>
      <c r="Z30">
        <v>1.8879999999999999</v>
      </c>
    </row>
    <row r="31" spans="1:26" x14ac:dyDescent="0.45">
      <c r="A31" t="s">
        <v>197</v>
      </c>
      <c r="B31" t="s">
        <v>41</v>
      </c>
      <c r="C31" t="s">
        <v>42</v>
      </c>
      <c r="D31" t="s">
        <v>43</v>
      </c>
      <c r="E31" t="s">
        <v>44</v>
      </c>
      <c r="F31" t="s">
        <v>198</v>
      </c>
      <c r="G31" t="s">
        <v>46</v>
      </c>
      <c r="H31">
        <v>2</v>
      </c>
      <c r="I31">
        <v>0.219</v>
      </c>
      <c r="J31">
        <v>1.982</v>
      </c>
      <c r="K31">
        <v>1.982</v>
      </c>
      <c r="L31">
        <v>91.959000000000003</v>
      </c>
      <c r="M31">
        <v>91.959000000000003</v>
      </c>
      <c r="N31" t="s">
        <v>199</v>
      </c>
      <c r="O31" t="s">
        <v>200</v>
      </c>
      <c r="P31" t="s">
        <v>49</v>
      </c>
      <c r="Q31" s="59" t="s">
        <v>50</v>
      </c>
      <c r="R31" s="59" t="s">
        <v>45</v>
      </c>
      <c r="S31">
        <v>4.9938398357289531</v>
      </c>
      <c r="T31">
        <v>91.959000000000003</v>
      </c>
      <c r="U31">
        <v>5</v>
      </c>
      <c r="V31">
        <v>4.5</v>
      </c>
      <c r="W31">
        <v>5</v>
      </c>
      <c r="X31">
        <v>0.22020329670329669</v>
      </c>
      <c r="Y31">
        <v>91.7387967032967</v>
      </c>
      <c r="Z31">
        <v>1.982</v>
      </c>
    </row>
    <row r="32" spans="1:26" x14ac:dyDescent="0.45">
      <c r="A32" t="s">
        <v>201</v>
      </c>
      <c r="B32" t="s">
        <v>57</v>
      </c>
      <c r="C32" t="s">
        <v>42</v>
      </c>
      <c r="D32" t="s">
        <v>43</v>
      </c>
      <c r="E32" t="s">
        <v>44</v>
      </c>
      <c r="F32" t="s">
        <v>202</v>
      </c>
      <c r="G32" t="s">
        <v>46</v>
      </c>
      <c r="H32">
        <v>2</v>
      </c>
      <c r="I32">
        <v>1.18</v>
      </c>
      <c r="J32">
        <v>2.0880000000000001</v>
      </c>
      <c r="K32">
        <v>2.0880000000000001</v>
      </c>
      <c r="L32">
        <v>95.254999999999995</v>
      </c>
      <c r="M32">
        <v>95.254999999999995</v>
      </c>
      <c r="N32" t="s">
        <v>203</v>
      </c>
      <c r="O32" t="s">
        <v>204</v>
      </c>
      <c r="P32" t="s">
        <v>49</v>
      </c>
      <c r="Q32" s="59" t="s">
        <v>134</v>
      </c>
      <c r="R32" s="59" t="s">
        <v>135</v>
      </c>
      <c r="S32">
        <v>5.8453114305270359</v>
      </c>
      <c r="T32">
        <v>95.254999999999995</v>
      </c>
      <c r="U32">
        <v>16</v>
      </c>
      <c r="V32">
        <v>5.5</v>
      </c>
      <c r="W32">
        <v>1</v>
      </c>
      <c r="X32">
        <v>0.36307692307692307</v>
      </c>
      <c r="Y32">
        <v>94.891923076923078</v>
      </c>
      <c r="Z32">
        <v>2.0880000000000001</v>
      </c>
    </row>
    <row r="33" spans="1:26" x14ac:dyDescent="0.45">
      <c r="A33" t="s">
        <v>205</v>
      </c>
      <c r="B33" t="s">
        <v>41</v>
      </c>
      <c r="C33" t="s">
        <v>42</v>
      </c>
      <c r="D33" t="s">
        <v>43</v>
      </c>
      <c r="E33" t="s">
        <v>44</v>
      </c>
      <c r="F33" t="s">
        <v>206</v>
      </c>
      <c r="G33" t="s">
        <v>46</v>
      </c>
      <c r="H33">
        <v>2</v>
      </c>
      <c r="I33">
        <v>0.32400000000000001</v>
      </c>
      <c r="J33">
        <v>2.1549999999999998</v>
      </c>
      <c r="K33">
        <v>2.1549999999999998</v>
      </c>
      <c r="L33">
        <v>89.953999999999994</v>
      </c>
      <c r="M33">
        <v>89.953999999999994</v>
      </c>
      <c r="N33" t="s">
        <v>207</v>
      </c>
      <c r="O33" t="s">
        <v>208</v>
      </c>
      <c r="P33" t="s">
        <v>49</v>
      </c>
      <c r="Q33" s="59" t="s">
        <v>94</v>
      </c>
      <c r="R33" s="59" t="s">
        <v>90</v>
      </c>
      <c r="S33">
        <v>6.2039698836413413</v>
      </c>
      <c r="T33">
        <v>89.953999999999994</v>
      </c>
      <c r="U33">
        <v>17</v>
      </c>
      <c r="V33">
        <v>6</v>
      </c>
      <c r="W33">
        <v>4</v>
      </c>
      <c r="X33">
        <v>0.19226373626373627</v>
      </c>
      <c r="Y33">
        <v>89.761736263736253</v>
      </c>
      <c r="Z33">
        <v>2.1549999999999998</v>
      </c>
    </row>
    <row r="34" spans="1:26" x14ac:dyDescent="0.45">
      <c r="A34" t="s">
        <v>209</v>
      </c>
      <c r="B34" t="s">
        <v>57</v>
      </c>
      <c r="C34" t="s">
        <v>42</v>
      </c>
      <c r="D34" t="s">
        <v>43</v>
      </c>
      <c r="E34" t="s">
        <v>44</v>
      </c>
      <c r="F34" t="s">
        <v>210</v>
      </c>
      <c r="G34" t="s">
        <v>46</v>
      </c>
      <c r="H34">
        <v>2</v>
      </c>
      <c r="I34">
        <v>1.708</v>
      </c>
      <c r="J34">
        <v>2.1469999999999998</v>
      </c>
      <c r="K34">
        <v>2.1469999999999998</v>
      </c>
      <c r="L34">
        <v>97.463999999999999</v>
      </c>
      <c r="M34">
        <v>97.463999999999999</v>
      </c>
      <c r="N34" t="s">
        <v>211</v>
      </c>
      <c r="O34" t="s">
        <v>212</v>
      </c>
      <c r="P34" t="s">
        <v>49</v>
      </c>
      <c r="Q34" s="59" t="s">
        <v>116</v>
      </c>
      <c r="R34" s="59" t="s">
        <v>117</v>
      </c>
      <c r="S34">
        <v>6.5735797399041749</v>
      </c>
      <c r="T34">
        <v>97.463999999999999</v>
      </c>
      <c r="U34">
        <v>22</v>
      </c>
      <c r="V34">
        <v>6.5</v>
      </c>
      <c r="W34">
        <v>1</v>
      </c>
      <c r="X34">
        <v>1.4452307692307691</v>
      </c>
      <c r="Y34">
        <v>96.018769230769223</v>
      </c>
      <c r="Z34">
        <v>2.1469999999999998</v>
      </c>
    </row>
    <row r="35" spans="1:26" x14ac:dyDescent="0.45">
      <c r="A35" t="s">
        <v>213</v>
      </c>
      <c r="B35" t="s">
        <v>41</v>
      </c>
      <c r="C35" t="s">
        <v>42</v>
      </c>
      <c r="D35" t="s">
        <v>43</v>
      </c>
      <c r="E35" t="s">
        <v>44</v>
      </c>
      <c r="F35" t="s">
        <v>214</v>
      </c>
      <c r="G35" t="s">
        <v>46</v>
      </c>
      <c r="H35">
        <v>2</v>
      </c>
      <c r="I35">
        <v>0.73499999999999999</v>
      </c>
      <c r="J35">
        <v>2.2589999999964094</v>
      </c>
      <c r="K35">
        <v>2.2589999999964094</v>
      </c>
      <c r="L35">
        <v>90.54</v>
      </c>
      <c r="M35">
        <v>90.54</v>
      </c>
      <c r="N35" t="s">
        <v>215</v>
      </c>
      <c r="O35" t="s">
        <v>216</v>
      </c>
      <c r="P35" t="s">
        <v>49</v>
      </c>
      <c r="Q35" s="59" t="s">
        <v>140</v>
      </c>
      <c r="R35" s="59" t="s">
        <v>141</v>
      </c>
      <c r="S35">
        <v>7.2005475701574264</v>
      </c>
      <c r="T35">
        <v>90.54</v>
      </c>
      <c r="U35">
        <v>27</v>
      </c>
      <c r="V35">
        <v>7</v>
      </c>
      <c r="W35">
        <v>3</v>
      </c>
      <c r="X35">
        <v>0.44019230769230766</v>
      </c>
      <c r="Y35">
        <v>90.099807692307692</v>
      </c>
      <c r="Z35">
        <v>2.2589999999964094</v>
      </c>
    </row>
    <row r="36" spans="1:26" x14ac:dyDescent="0.45">
      <c r="A36" t="s">
        <v>217</v>
      </c>
      <c r="B36" t="s">
        <v>41</v>
      </c>
      <c r="C36" t="s">
        <v>42</v>
      </c>
      <c r="D36" t="s">
        <v>43</v>
      </c>
      <c r="E36" t="s">
        <v>44</v>
      </c>
      <c r="F36" t="s">
        <v>218</v>
      </c>
      <c r="G36" t="s">
        <v>46</v>
      </c>
      <c r="H36">
        <v>2</v>
      </c>
      <c r="I36">
        <v>1.7929999999999999</v>
      </c>
      <c r="J36">
        <v>2.5070000000000001</v>
      </c>
      <c r="K36">
        <v>2.5070000000000001</v>
      </c>
      <c r="L36">
        <v>94.531000000000006</v>
      </c>
      <c r="M36">
        <v>94.531000000000006</v>
      </c>
      <c r="N36" t="s">
        <v>219</v>
      </c>
      <c r="O36" t="s">
        <v>220</v>
      </c>
      <c r="P36" t="s">
        <v>49</v>
      </c>
      <c r="Q36" s="59" t="s">
        <v>191</v>
      </c>
      <c r="R36" s="59" t="s">
        <v>192</v>
      </c>
      <c r="S36">
        <v>9.4592744695414108</v>
      </c>
      <c r="T36">
        <v>94.531000000000006</v>
      </c>
      <c r="U36">
        <v>1</v>
      </c>
      <c r="V36">
        <v>9</v>
      </c>
      <c r="W36">
        <v>1</v>
      </c>
      <c r="X36">
        <v>0.15762637362637363</v>
      </c>
      <c r="Y36">
        <v>94.373373626373635</v>
      </c>
      <c r="Z36">
        <v>2.5070000000000001</v>
      </c>
    </row>
    <row r="37" spans="1:26" x14ac:dyDescent="0.45">
      <c r="A37" t="s">
        <v>221</v>
      </c>
      <c r="B37" t="s">
        <v>41</v>
      </c>
      <c r="C37" t="s">
        <v>42</v>
      </c>
      <c r="D37" t="s">
        <v>43</v>
      </c>
      <c r="E37" t="s">
        <v>44</v>
      </c>
      <c r="F37" t="s">
        <v>222</v>
      </c>
      <c r="G37" t="s">
        <v>46</v>
      </c>
      <c r="H37">
        <v>2</v>
      </c>
      <c r="I37">
        <v>0.34300000000000003</v>
      </c>
      <c r="J37">
        <v>2.839</v>
      </c>
      <c r="K37">
        <v>2.839</v>
      </c>
      <c r="L37">
        <v>80.22</v>
      </c>
      <c r="M37">
        <v>80.22</v>
      </c>
      <c r="N37" t="s">
        <v>223</v>
      </c>
      <c r="O37" t="s">
        <v>224</v>
      </c>
      <c r="P37" t="s">
        <v>49</v>
      </c>
      <c r="Q37" s="59" t="s">
        <v>66</v>
      </c>
      <c r="R37" s="59" t="s">
        <v>63</v>
      </c>
      <c r="S37">
        <v>10.206707734428473</v>
      </c>
      <c r="T37">
        <v>80.22</v>
      </c>
      <c r="U37">
        <v>21</v>
      </c>
      <c r="V37">
        <v>10</v>
      </c>
      <c r="W37">
        <v>10</v>
      </c>
      <c r="X37">
        <v>0.20165384615384618</v>
      </c>
      <c r="Y37">
        <v>80.018346153846153</v>
      </c>
      <c r="Z37">
        <v>2.839</v>
      </c>
    </row>
    <row r="38" spans="1:26" x14ac:dyDescent="0.45">
      <c r="A38" t="s">
        <v>225</v>
      </c>
      <c r="B38" t="s">
        <v>41</v>
      </c>
      <c r="C38" t="s">
        <v>42</v>
      </c>
      <c r="D38" t="s">
        <v>43</v>
      </c>
      <c r="E38" t="s">
        <v>44</v>
      </c>
      <c r="F38" t="s">
        <v>226</v>
      </c>
      <c r="G38" t="s">
        <v>46</v>
      </c>
      <c r="H38">
        <v>2</v>
      </c>
      <c r="I38">
        <v>0.65100000000000002</v>
      </c>
      <c r="J38">
        <v>2.9619999999999997</v>
      </c>
      <c r="K38">
        <v>2.9619999999999997</v>
      </c>
      <c r="L38">
        <v>80.534999999999997</v>
      </c>
      <c r="M38">
        <v>80.534999999999997</v>
      </c>
      <c r="N38" t="s">
        <v>227</v>
      </c>
      <c r="O38" t="s">
        <v>228</v>
      </c>
      <c r="P38" t="s">
        <v>49</v>
      </c>
      <c r="Q38" s="59" t="s">
        <v>89</v>
      </c>
      <c r="R38" s="59" t="s">
        <v>90</v>
      </c>
      <c r="S38">
        <v>11.203285420944558</v>
      </c>
      <c r="T38">
        <v>80.534999999999997</v>
      </c>
      <c r="U38">
        <v>4</v>
      </c>
      <c r="V38">
        <v>11</v>
      </c>
      <c r="W38">
        <v>9</v>
      </c>
      <c r="X38">
        <v>0.3863076923076923</v>
      </c>
      <c r="Y38">
        <v>80.148692307692301</v>
      </c>
      <c r="Z38">
        <v>2.9619999999999997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3C47-CAC0-45D2-AF35-C277538C24D6}">
  <sheetPr>
    <tabColor theme="6"/>
  </sheetPr>
  <dimension ref="A1:CV503"/>
  <sheetViews>
    <sheetView topLeftCell="AA1" zoomScale="96" zoomScaleNormal="88" workbookViewId="0">
      <pane ySplit="1" topLeftCell="A67" activePane="bottomLeft" state="frozen"/>
      <selection activeCell="BM1" sqref="BM1"/>
      <selection pane="bottomLeft" activeCell="AY99" sqref="AY99"/>
    </sheetView>
  </sheetViews>
  <sheetFormatPr defaultColWidth="5.73046875" defaultRowHeight="14.25" x14ac:dyDescent="0.45"/>
  <cols>
    <col min="1" max="1" width="7.265625" style="25" bestFit="1" customWidth="1"/>
    <col min="2" max="2" width="15.3984375" style="3" bestFit="1" customWidth="1"/>
    <col min="3" max="3" width="16.265625" style="2" bestFit="1" customWidth="1"/>
    <col min="4" max="4" width="16.1328125" style="3" bestFit="1" customWidth="1"/>
    <col min="5" max="5" width="17" style="3" bestFit="1" customWidth="1"/>
    <col min="6" max="6" width="9.265625" style="19" bestFit="1" customWidth="1"/>
    <col min="7" max="7" width="10" style="2" bestFit="1" customWidth="1"/>
    <col min="8" max="8" width="10.59765625" style="2" bestFit="1" customWidth="1"/>
    <col min="9" max="9" width="11" style="2" bestFit="1" customWidth="1"/>
    <col min="10" max="10" width="9.265625" style="2" bestFit="1" customWidth="1"/>
    <col min="11" max="11" width="7.86328125" style="2" bestFit="1" customWidth="1"/>
    <col min="12" max="12" width="13.06640625" style="2" customWidth="1"/>
    <col min="13" max="20" width="6.73046875" style="2" customWidth="1"/>
    <col min="21" max="31" width="9.265625" style="2" bestFit="1" customWidth="1"/>
    <col min="32" max="42" width="6.86328125" style="2" bestFit="1" customWidth="1"/>
    <col min="43" max="43" width="7.73046875" style="2" bestFit="1" customWidth="1"/>
    <col min="44" max="90" width="7.59765625" style="2" customWidth="1"/>
    <col min="91" max="91" width="5.73046875" style="2"/>
    <col min="92" max="92" width="16.3984375" style="2" bestFit="1" customWidth="1"/>
    <col min="93" max="93" width="13.265625" style="14" bestFit="1" customWidth="1"/>
    <col min="94" max="94" width="10.59765625" style="14" bestFit="1" customWidth="1"/>
    <col min="95" max="95" width="9.73046875" style="14" bestFit="1" customWidth="1"/>
    <col min="96" max="96" width="12.1328125" style="14" bestFit="1" customWidth="1"/>
    <col min="97" max="97" width="10.59765625" style="14" bestFit="1" customWidth="1"/>
    <col min="98" max="16384" width="5.73046875" style="2"/>
  </cols>
  <sheetData>
    <row r="1" spans="1:97" s="57" customFormat="1" ht="14.65" thickBot="1" x14ac:dyDescent="0.5">
      <c r="A1" s="5" t="s">
        <v>3</v>
      </c>
      <c r="B1" s="6" t="s">
        <v>4</v>
      </c>
      <c r="C1" s="7" t="s">
        <v>1401</v>
      </c>
      <c r="D1" s="8" t="s">
        <v>1402</v>
      </c>
      <c r="E1" s="1" t="s">
        <v>5</v>
      </c>
      <c r="F1" s="56" t="s">
        <v>6</v>
      </c>
      <c r="G1" s="57" t="s">
        <v>7</v>
      </c>
      <c r="H1" s="57" t="s">
        <v>8</v>
      </c>
      <c r="I1" s="57" t="s">
        <v>9</v>
      </c>
      <c r="J1" s="58" t="s">
        <v>10</v>
      </c>
      <c r="K1" s="64" t="s">
        <v>0</v>
      </c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1"/>
      <c r="CN1" s="61" t="s">
        <v>1</v>
      </c>
      <c r="CO1" s="61"/>
      <c r="CP1" s="61"/>
      <c r="CQ1" s="61"/>
      <c r="CR1" s="61"/>
      <c r="CS1" s="61"/>
    </row>
    <row r="2" spans="1:97" x14ac:dyDescent="0.45">
      <c r="K2" s="11" cm="1">
        <f t="array" ref="K2:CK2">_xlfn.SEQUENCE(1,79,0,0.5)</f>
        <v>0</v>
      </c>
      <c r="L2" s="12">
        <v>0.5</v>
      </c>
      <c r="M2" s="12">
        <v>1</v>
      </c>
      <c r="N2" s="12">
        <v>1.5</v>
      </c>
      <c r="O2" s="12">
        <v>2</v>
      </c>
      <c r="P2" s="12">
        <v>2.5</v>
      </c>
      <c r="Q2" s="12">
        <v>3</v>
      </c>
      <c r="R2" s="12">
        <v>3.5</v>
      </c>
      <c r="S2" s="12">
        <v>4</v>
      </c>
      <c r="T2" s="12">
        <v>4.5</v>
      </c>
      <c r="U2" s="12">
        <v>5</v>
      </c>
      <c r="V2" s="12">
        <v>5.5</v>
      </c>
      <c r="W2" s="12">
        <v>6</v>
      </c>
      <c r="X2" s="12">
        <v>6.5</v>
      </c>
      <c r="Y2" s="12">
        <v>7</v>
      </c>
      <c r="Z2" s="12">
        <v>7.5</v>
      </c>
      <c r="AA2" s="12">
        <v>8</v>
      </c>
      <c r="AB2" s="12">
        <v>8.5</v>
      </c>
      <c r="AC2" s="12">
        <v>9</v>
      </c>
      <c r="AD2" s="12">
        <v>9.5</v>
      </c>
      <c r="AE2" s="12">
        <v>10</v>
      </c>
      <c r="AF2" s="12">
        <v>10.5</v>
      </c>
      <c r="AG2" s="12">
        <v>11</v>
      </c>
      <c r="AH2" s="12">
        <v>11.5</v>
      </c>
      <c r="AI2" s="12">
        <v>12</v>
      </c>
      <c r="AJ2" s="12">
        <v>12.5</v>
      </c>
      <c r="AK2" s="12">
        <v>13</v>
      </c>
      <c r="AL2" s="12">
        <v>13.5</v>
      </c>
      <c r="AM2" s="12">
        <v>14</v>
      </c>
      <c r="AN2" s="12">
        <v>14.5</v>
      </c>
      <c r="AO2" s="12">
        <v>15</v>
      </c>
      <c r="AP2" s="12">
        <v>15.5</v>
      </c>
      <c r="AQ2" s="12">
        <v>16</v>
      </c>
      <c r="AR2" s="12">
        <v>16.5</v>
      </c>
      <c r="AS2" s="12">
        <v>17</v>
      </c>
      <c r="AT2" s="12">
        <v>17.5</v>
      </c>
      <c r="AU2" s="12">
        <v>18</v>
      </c>
      <c r="AV2" s="12">
        <v>18.5</v>
      </c>
      <c r="AW2" s="12">
        <v>19</v>
      </c>
      <c r="AX2" s="12">
        <v>19.5</v>
      </c>
      <c r="AY2" s="12">
        <v>20</v>
      </c>
      <c r="AZ2" s="12">
        <v>20.5</v>
      </c>
      <c r="BA2" s="12">
        <v>21</v>
      </c>
      <c r="BB2" s="12">
        <v>21.5</v>
      </c>
      <c r="BC2" s="12">
        <v>22</v>
      </c>
      <c r="BD2" s="12">
        <v>22.5</v>
      </c>
      <c r="BE2" s="12">
        <v>23</v>
      </c>
      <c r="BF2" s="12">
        <v>23.5</v>
      </c>
      <c r="BG2" s="12">
        <v>24</v>
      </c>
      <c r="BH2" s="12">
        <v>24.5</v>
      </c>
      <c r="BI2" s="12">
        <v>25</v>
      </c>
      <c r="BJ2" s="12">
        <v>25.5</v>
      </c>
      <c r="BK2" s="12">
        <v>26</v>
      </c>
      <c r="BL2" s="12">
        <v>26.5</v>
      </c>
      <c r="BM2" s="12">
        <v>27</v>
      </c>
      <c r="BN2" s="12">
        <v>27.5</v>
      </c>
      <c r="BO2" s="12">
        <v>28</v>
      </c>
      <c r="BP2" s="12">
        <v>28.5</v>
      </c>
      <c r="BQ2" s="12">
        <v>29</v>
      </c>
      <c r="BR2" s="12">
        <v>29.5</v>
      </c>
      <c r="BS2" s="12">
        <v>30</v>
      </c>
      <c r="BT2" s="12">
        <v>30.5</v>
      </c>
      <c r="BU2" s="12">
        <v>31</v>
      </c>
      <c r="BV2" s="12">
        <v>31.5</v>
      </c>
      <c r="BW2" s="12">
        <v>32</v>
      </c>
      <c r="BX2" s="12">
        <v>32.5</v>
      </c>
      <c r="BY2" s="12">
        <v>33</v>
      </c>
      <c r="BZ2" s="12">
        <v>33.5</v>
      </c>
      <c r="CA2" s="12">
        <v>34</v>
      </c>
      <c r="CB2" s="12">
        <v>34.5</v>
      </c>
      <c r="CC2" s="12">
        <v>35</v>
      </c>
      <c r="CD2" s="12">
        <v>35.5</v>
      </c>
      <c r="CE2" s="12">
        <v>36</v>
      </c>
      <c r="CF2" s="12">
        <v>36.5</v>
      </c>
      <c r="CG2" s="12">
        <v>37</v>
      </c>
      <c r="CH2" s="12">
        <v>37.5</v>
      </c>
      <c r="CI2" s="12">
        <v>38</v>
      </c>
      <c r="CJ2" s="12">
        <v>38.5</v>
      </c>
      <c r="CK2" s="13">
        <v>39</v>
      </c>
      <c r="CN2" s="2" t="s">
        <v>11</v>
      </c>
      <c r="CO2" s="14" t="s">
        <v>12</v>
      </c>
      <c r="CP2" s="14" t="s">
        <v>13</v>
      </c>
      <c r="CQ2" s="14" t="s">
        <v>14</v>
      </c>
      <c r="CR2" s="14" t="s">
        <v>15</v>
      </c>
      <c r="CS2" s="14" t="s">
        <v>16</v>
      </c>
    </row>
    <row r="3" spans="1:97" x14ac:dyDescent="0.45">
      <c r="A3" s="15">
        <v>0.5</v>
      </c>
      <c r="B3" s="17">
        <v>3.7000000000000002E-3</v>
      </c>
      <c r="C3" s="18">
        <v>99.537999999999997</v>
      </c>
      <c r="D3" s="19">
        <f t="shared" ref="D3:D34" si="0">SUMPRODUCT(L3:CK3,$L$79:$CK$79)</f>
        <v>99.537994007267216</v>
      </c>
      <c r="E3" s="19">
        <f>+D3-C3</f>
        <v>-5.9927327811237774E-6</v>
      </c>
      <c r="F3" s="19">
        <f t="shared" ref="F3:F66" si="1">ABS(C3-D3)</f>
        <v>5.9927327811237774E-6</v>
      </c>
      <c r="G3" s="20">
        <f>+IFERROR(IRR(K3:CK3,0),0)</f>
        <v>8.3586168096605462E-3</v>
      </c>
      <c r="H3" s="20">
        <f>IFERROR(IRR((J3,L3:CK3),0),0)</f>
        <v>8.3586775183759343E-3</v>
      </c>
      <c r="I3" s="21">
        <f t="shared" ref="I3:I66" si="2">IFERROR(H3-G3,0)</f>
        <v>6.0708715388102519E-8</v>
      </c>
      <c r="J3" s="19">
        <f>-D3</f>
        <v>-99.537994007267216</v>
      </c>
      <c r="K3" s="22">
        <f t="shared" ref="K3:K66" si="3">-C3</f>
        <v>-99.537999999999997</v>
      </c>
      <c r="L3" s="2">
        <f>$B3*100*(L$2&lt;$A3)+100*(1+$B3)*(L$2=$A3)</f>
        <v>100.37</v>
      </c>
      <c r="M3" s="2">
        <f t="shared" ref="M3:AB18" si="4">$B3*100*(M$2&lt;$A3)+100*(1+$B3)*(M$2=$A3)</f>
        <v>0</v>
      </c>
      <c r="N3" s="2">
        <f t="shared" si="4"/>
        <v>0</v>
      </c>
      <c r="O3" s="2">
        <f t="shared" si="4"/>
        <v>0</v>
      </c>
      <c r="P3" s="2">
        <f t="shared" si="4"/>
        <v>0</v>
      </c>
      <c r="Q3" s="2">
        <f t="shared" si="4"/>
        <v>0</v>
      </c>
      <c r="R3" s="2">
        <f t="shared" si="4"/>
        <v>0</v>
      </c>
      <c r="S3" s="2">
        <f t="shared" si="4"/>
        <v>0</v>
      </c>
      <c r="T3" s="2">
        <f t="shared" si="4"/>
        <v>0</v>
      </c>
      <c r="U3" s="2">
        <f t="shared" si="4"/>
        <v>0</v>
      </c>
      <c r="V3" s="2">
        <f t="shared" si="4"/>
        <v>0</v>
      </c>
      <c r="W3" s="2">
        <f t="shared" si="4"/>
        <v>0</v>
      </c>
      <c r="X3" s="2">
        <f t="shared" si="4"/>
        <v>0</v>
      </c>
      <c r="Y3" s="2">
        <f t="shared" si="4"/>
        <v>0</v>
      </c>
      <c r="Z3" s="2">
        <f t="shared" si="4"/>
        <v>0</v>
      </c>
      <c r="AA3" s="2">
        <f t="shared" si="4"/>
        <v>0</v>
      </c>
      <c r="AB3" s="2">
        <f t="shared" si="4"/>
        <v>0</v>
      </c>
      <c r="AC3" s="2">
        <f t="shared" ref="AC3:AR18" si="5">$B3*100*(AC$2&lt;$A3)+100*(1+$B3)*(AC$2=$A3)</f>
        <v>0</v>
      </c>
      <c r="AD3" s="2">
        <f t="shared" si="5"/>
        <v>0</v>
      </c>
      <c r="AE3" s="2">
        <f t="shared" si="5"/>
        <v>0</v>
      </c>
      <c r="AF3" s="2">
        <f t="shared" si="5"/>
        <v>0</v>
      </c>
      <c r="AG3" s="2">
        <f t="shared" si="5"/>
        <v>0</v>
      </c>
      <c r="AH3" s="2">
        <f t="shared" si="5"/>
        <v>0</v>
      </c>
      <c r="AI3" s="2">
        <f t="shared" si="5"/>
        <v>0</v>
      </c>
      <c r="AJ3" s="2">
        <f t="shared" si="5"/>
        <v>0</v>
      </c>
      <c r="AK3" s="2">
        <f t="shared" si="5"/>
        <v>0</v>
      </c>
      <c r="AL3" s="2">
        <f t="shared" si="5"/>
        <v>0</v>
      </c>
      <c r="AM3" s="2">
        <f t="shared" si="5"/>
        <v>0</v>
      </c>
      <c r="AN3" s="2">
        <f t="shared" si="5"/>
        <v>0</v>
      </c>
      <c r="AO3" s="2">
        <f t="shared" si="5"/>
        <v>0</v>
      </c>
      <c r="AP3" s="2">
        <f t="shared" si="5"/>
        <v>0</v>
      </c>
      <c r="AQ3" s="2">
        <f t="shared" si="5"/>
        <v>0</v>
      </c>
      <c r="AR3" s="2">
        <f t="shared" si="5"/>
        <v>0</v>
      </c>
      <c r="AS3" s="2">
        <f t="shared" ref="AS3:BH18" si="6">$B3*100*(AS$2&lt;$A3)+100*(1+$B3)*(AS$2=$A3)</f>
        <v>0</v>
      </c>
      <c r="AT3" s="2">
        <f t="shared" si="6"/>
        <v>0</v>
      </c>
      <c r="AU3" s="2">
        <f t="shared" si="6"/>
        <v>0</v>
      </c>
      <c r="AV3" s="2">
        <f t="shared" si="6"/>
        <v>0</v>
      </c>
      <c r="AW3" s="2">
        <f t="shared" si="6"/>
        <v>0</v>
      </c>
      <c r="AX3" s="2">
        <f t="shared" si="6"/>
        <v>0</v>
      </c>
      <c r="AY3" s="2">
        <f t="shared" si="6"/>
        <v>0</v>
      </c>
      <c r="AZ3" s="2">
        <f t="shared" si="6"/>
        <v>0</v>
      </c>
      <c r="BA3" s="2">
        <f t="shared" si="6"/>
        <v>0</v>
      </c>
      <c r="BB3" s="2">
        <f t="shared" si="6"/>
        <v>0</v>
      </c>
      <c r="BC3" s="2">
        <f t="shared" si="6"/>
        <v>0</v>
      </c>
      <c r="BD3" s="2">
        <f t="shared" si="6"/>
        <v>0</v>
      </c>
      <c r="BE3" s="2">
        <f t="shared" si="6"/>
        <v>0</v>
      </c>
      <c r="BF3" s="2">
        <f t="shared" si="6"/>
        <v>0</v>
      </c>
      <c r="BG3" s="2">
        <f t="shared" si="6"/>
        <v>0</v>
      </c>
      <c r="BH3" s="2">
        <f t="shared" si="6"/>
        <v>0</v>
      </c>
      <c r="BI3" s="2">
        <f t="shared" ref="BI3:BX18" si="7">$B3*100*(BI$2&lt;$A3)+100*(1+$B3)*(BI$2=$A3)</f>
        <v>0</v>
      </c>
      <c r="BJ3" s="2">
        <f t="shared" si="7"/>
        <v>0</v>
      </c>
      <c r="BK3" s="2">
        <f t="shared" si="7"/>
        <v>0</v>
      </c>
      <c r="BL3" s="2">
        <f t="shared" si="7"/>
        <v>0</v>
      </c>
      <c r="BM3" s="2">
        <f t="shared" si="7"/>
        <v>0</v>
      </c>
      <c r="BN3" s="2">
        <f t="shared" si="7"/>
        <v>0</v>
      </c>
      <c r="BO3" s="2">
        <f t="shared" si="7"/>
        <v>0</v>
      </c>
      <c r="BP3" s="2">
        <f t="shared" si="7"/>
        <v>0</v>
      </c>
      <c r="BQ3" s="2">
        <f t="shared" si="7"/>
        <v>0</v>
      </c>
      <c r="BR3" s="2">
        <f t="shared" si="7"/>
        <v>0</v>
      </c>
      <c r="BS3" s="2">
        <f t="shared" si="7"/>
        <v>0</v>
      </c>
      <c r="BT3" s="2">
        <f t="shared" si="7"/>
        <v>0</v>
      </c>
      <c r="BU3" s="2">
        <f t="shared" si="7"/>
        <v>0</v>
      </c>
      <c r="BV3" s="2">
        <f t="shared" si="7"/>
        <v>0</v>
      </c>
      <c r="BW3" s="2">
        <f t="shared" si="7"/>
        <v>0</v>
      </c>
      <c r="BX3" s="2">
        <f t="shared" si="7"/>
        <v>0</v>
      </c>
      <c r="BY3" s="2">
        <f t="shared" ref="BY3:CK18" si="8">$B3*100*(BY$2&lt;$A3)+100*(1+$B3)*(BY$2=$A3)</f>
        <v>0</v>
      </c>
      <c r="BZ3" s="2">
        <f t="shared" si="8"/>
        <v>0</v>
      </c>
      <c r="CA3" s="2">
        <f t="shared" si="8"/>
        <v>0</v>
      </c>
      <c r="CB3" s="2">
        <f t="shared" si="8"/>
        <v>0</v>
      </c>
      <c r="CC3" s="2">
        <f t="shared" si="8"/>
        <v>0</v>
      </c>
      <c r="CD3" s="2">
        <f t="shared" si="8"/>
        <v>0</v>
      </c>
      <c r="CE3" s="2">
        <f t="shared" si="8"/>
        <v>0</v>
      </c>
      <c r="CF3" s="2">
        <f t="shared" si="8"/>
        <v>0</v>
      </c>
      <c r="CG3" s="2">
        <f t="shared" si="8"/>
        <v>0</v>
      </c>
      <c r="CH3" s="2">
        <f t="shared" si="8"/>
        <v>0</v>
      </c>
      <c r="CI3" s="2">
        <f t="shared" si="8"/>
        <v>0</v>
      </c>
      <c r="CJ3" s="2">
        <f t="shared" si="8"/>
        <v>0</v>
      </c>
      <c r="CK3" s="23">
        <f t="shared" si="8"/>
        <v>0</v>
      </c>
      <c r="CN3" s="24">
        <v>9.9999999999999995E-7</v>
      </c>
      <c r="CO3" s="14">
        <f>b0_c</f>
        <v>3.6780012704100286E-2</v>
      </c>
      <c r="CP3" s="14">
        <f>b1_c*(1-EXP(-CN3/tau1_c))/(CN3/tau1_c)</f>
        <v>-2.1912016713116267E-2</v>
      </c>
      <c r="CQ3" s="14">
        <f>b2_c*((1-EXP(-CN3/tau1_c))/(CN3/tau1_c)-EXP(-CN3/tau1_c))</f>
        <v>1.4819519269788485E-9</v>
      </c>
      <c r="CR3" s="14">
        <f>+b3_c*((1-EXP(-CN3/tau2_c))/(CN3/tau2_c)-EXP(-CN3/tau2_c))</f>
        <v>2.0944027355237646E-9</v>
      </c>
      <c r="CS3" s="14">
        <f>SUM(CO3:CR3)</f>
        <v>1.4867999567338683E-2</v>
      </c>
    </row>
    <row r="4" spans="1:97" x14ac:dyDescent="0.45">
      <c r="A4" s="16">
        <v>1</v>
      </c>
      <c r="B4" s="17">
        <v>4.1399999999999996E-3</v>
      </c>
      <c r="C4" s="19">
        <v>99.092500000000001</v>
      </c>
      <c r="D4" s="19">
        <f t="shared" si="0"/>
        <v>99.155931520123531</v>
      </c>
      <c r="E4" s="19">
        <f t="shared" ref="E4:E66" si="9">+D4-C4</f>
        <v>6.3431520123529594E-2</v>
      </c>
      <c r="F4" s="19">
        <f t="shared" si="1"/>
        <v>6.3431520123529594E-2</v>
      </c>
      <c r="G4" s="20">
        <f t="shared" ref="G4:G66" si="10">+IFERROR(IRR(K4:CK4,0),0)</f>
        <v>8.7370527826133859E-3</v>
      </c>
      <c r="H4" s="20">
        <f>IFERROR(IRR((J4,L4:CK4),0),0)</f>
        <v>8.4136796897016364E-3</v>
      </c>
      <c r="I4" s="21">
        <f t="shared" si="2"/>
        <v>-3.2337309291174954E-4</v>
      </c>
      <c r="J4" s="19">
        <f>-D4</f>
        <v>-99.155931520123531</v>
      </c>
      <c r="K4" s="22">
        <f t="shared" si="3"/>
        <v>-99.092500000000001</v>
      </c>
      <c r="L4" s="2">
        <f t="shared" ref="L4:AA19" si="11">$B4*100*(L$2&lt;$A4)+100*(1+$B4)*(L$2=$A4)</f>
        <v>0.41399999999999998</v>
      </c>
      <c r="M4" s="2">
        <f t="shared" si="11"/>
        <v>100.414</v>
      </c>
      <c r="N4" s="2">
        <f t="shared" si="11"/>
        <v>0</v>
      </c>
      <c r="O4" s="2">
        <f t="shared" si="11"/>
        <v>0</v>
      </c>
      <c r="P4" s="2">
        <f t="shared" si="11"/>
        <v>0</v>
      </c>
      <c r="Q4" s="2">
        <f t="shared" si="11"/>
        <v>0</v>
      </c>
      <c r="R4" s="2">
        <f t="shared" si="11"/>
        <v>0</v>
      </c>
      <c r="S4" s="2">
        <f t="shared" si="11"/>
        <v>0</v>
      </c>
      <c r="T4" s="2">
        <f t="shared" si="11"/>
        <v>0</v>
      </c>
      <c r="U4" s="2">
        <f t="shared" si="11"/>
        <v>0</v>
      </c>
      <c r="V4" s="2">
        <f t="shared" si="4"/>
        <v>0</v>
      </c>
      <c r="W4" s="2">
        <f t="shared" si="4"/>
        <v>0</v>
      </c>
      <c r="X4" s="2">
        <f t="shared" si="4"/>
        <v>0</v>
      </c>
      <c r="Y4" s="2">
        <f t="shared" si="4"/>
        <v>0</v>
      </c>
      <c r="Z4" s="2">
        <f t="shared" si="4"/>
        <v>0</v>
      </c>
      <c r="AA4" s="2">
        <f t="shared" si="4"/>
        <v>0</v>
      </c>
      <c r="AB4" s="2">
        <f t="shared" si="4"/>
        <v>0</v>
      </c>
      <c r="AC4" s="2">
        <f t="shared" si="5"/>
        <v>0</v>
      </c>
      <c r="AD4" s="2">
        <f t="shared" si="5"/>
        <v>0</v>
      </c>
      <c r="AE4" s="2">
        <f t="shared" si="5"/>
        <v>0</v>
      </c>
      <c r="AF4" s="2">
        <f t="shared" si="5"/>
        <v>0</v>
      </c>
      <c r="AG4" s="2">
        <f t="shared" si="5"/>
        <v>0</v>
      </c>
      <c r="AH4" s="2">
        <f t="shared" si="5"/>
        <v>0</v>
      </c>
      <c r="AI4" s="2">
        <f t="shared" si="5"/>
        <v>0</v>
      </c>
      <c r="AJ4" s="2">
        <f t="shared" si="5"/>
        <v>0</v>
      </c>
      <c r="AK4" s="2">
        <f t="shared" si="5"/>
        <v>0</v>
      </c>
      <c r="AL4" s="2">
        <f t="shared" si="5"/>
        <v>0</v>
      </c>
      <c r="AM4" s="2">
        <f t="shared" si="5"/>
        <v>0</v>
      </c>
      <c r="AN4" s="2">
        <f t="shared" si="5"/>
        <v>0</v>
      </c>
      <c r="AO4" s="2">
        <f t="shared" si="5"/>
        <v>0</v>
      </c>
      <c r="AP4" s="2">
        <f t="shared" si="5"/>
        <v>0</v>
      </c>
      <c r="AQ4" s="2">
        <f t="shared" si="5"/>
        <v>0</v>
      </c>
      <c r="AR4" s="2">
        <f t="shared" si="5"/>
        <v>0</v>
      </c>
      <c r="AS4" s="2">
        <f t="shared" si="6"/>
        <v>0</v>
      </c>
      <c r="AT4" s="2">
        <f t="shared" si="6"/>
        <v>0</v>
      </c>
      <c r="AU4" s="2">
        <f t="shared" si="6"/>
        <v>0</v>
      </c>
      <c r="AV4" s="2">
        <f t="shared" si="6"/>
        <v>0</v>
      </c>
      <c r="AW4" s="2">
        <f t="shared" si="6"/>
        <v>0</v>
      </c>
      <c r="AX4" s="2">
        <f t="shared" si="6"/>
        <v>0</v>
      </c>
      <c r="AY4" s="2">
        <f t="shared" si="6"/>
        <v>0</v>
      </c>
      <c r="AZ4" s="2">
        <f t="shared" si="6"/>
        <v>0</v>
      </c>
      <c r="BA4" s="2">
        <f t="shared" si="6"/>
        <v>0</v>
      </c>
      <c r="BB4" s="2">
        <f t="shared" si="6"/>
        <v>0</v>
      </c>
      <c r="BC4" s="2">
        <f t="shared" si="6"/>
        <v>0</v>
      </c>
      <c r="BD4" s="2">
        <f t="shared" si="6"/>
        <v>0</v>
      </c>
      <c r="BE4" s="2">
        <f t="shared" si="6"/>
        <v>0</v>
      </c>
      <c r="BF4" s="2">
        <f t="shared" si="6"/>
        <v>0</v>
      </c>
      <c r="BG4" s="2">
        <f t="shared" si="6"/>
        <v>0</v>
      </c>
      <c r="BH4" s="2">
        <f t="shared" si="6"/>
        <v>0</v>
      </c>
      <c r="BI4" s="2">
        <f t="shared" si="7"/>
        <v>0</v>
      </c>
      <c r="BJ4" s="2">
        <f t="shared" si="7"/>
        <v>0</v>
      </c>
      <c r="BK4" s="2">
        <f t="shared" si="7"/>
        <v>0</v>
      </c>
      <c r="BL4" s="2">
        <f t="shared" si="7"/>
        <v>0</v>
      </c>
      <c r="BM4" s="2">
        <f t="shared" si="7"/>
        <v>0</v>
      </c>
      <c r="BN4" s="2">
        <f t="shared" si="7"/>
        <v>0</v>
      </c>
      <c r="BO4" s="2">
        <f t="shared" si="7"/>
        <v>0</v>
      </c>
      <c r="BP4" s="2">
        <f t="shared" si="7"/>
        <v>0</v>
      </c>
      <c r="BQ4" s="2">
        <f t="shared" si="7"/>
        <v>0</v>
      </c>
      <c r="BR4" s="2">
        <f t="shared" si="7"/>
        <v>0</v>
      </c>
      <c r="BS4" s="2">
        <f t="shared" si="7"/>
        <v>0</v>
      </c>
      <c r="BT4" s="2">
        <f t="shared" si="7"/>
        <v>0</v>
      </c>
      <c r="BU4" s="2">
        <f t="shared" si="7"/>
        <v>0</v>
      </c>
      <c r="BV4" s="2">
        <f t="shared" si="7"/>
        <v>0</v>
      </c>
      <c r="BW4" s="2">
        <f t="shared" si="7"/>
        <v>0</v>
      </c>
      <c r="BX4" s="2">
        <f t="shared" si="7"/>
        <v>0</v>
      </c>
      <c r="BY4" s="2">
        <f t="shared" si="8"/>
        <v>0</v>
      </c>
      <c r="BZ4" s="2">
        <f t="shared" si="8"/>
        <v>0</v>
      </c>
      <c r="CA4" s="2">
        <f t="shared" si="8"/>
        <v>0</v>
      </c>
      <c r="CB4" s="2">
        <f t="shared" si="8"/>
        <v>0</v>
      </c>
      <c r="CC4" s="2">
        <f t="shared" si="8"/>
        <v>0</v>
      </c>
      <c r="CD4" s="2">
        <f t="shared" si="8"/>
        <v>0</v>
      </c>
      <c r="CE4" s="2">
        <f t="shared" si="8"/>
        <v>0</v>
      </c>
      <c r="CF4" s="2">
        <f t="shared" si="8"/>
        <v>0</v>
      </c>
      <c r="CG4" s="2">
        <f t="shared" si="8"/>
        <v>0</v>
      </c>
      <c r="CH4" s="2">
        <f t="shared" si="8"/>
        <v>0</v>
      </c>
      <c r="CI4" s="2">
        <f t="shared" si="8"/>
        <v>0</v>
      </c>
      <c r="CJ4" s="2">
        <f t="shared" si="8"/>
        <v>0</v>
      </c>
      <c r="CK4" s="23">
        <f t="shared" si="8"/>
        <v>0</v>
      </c>
      <c r="CN4" s="2" cm="1">
        <f t="array" ref="CN4:CN503">_xlfn.SEQUENCE(500,,0.5,0.5)</f>
        <v>0.5</v>
      </c>
      <c r="CO4" s="14" cm="1">
        <f t="array" ref="CO4:CO503">_xlfn.ANCHORARRAY(CN4)-_xlfn.ANCHORARRAY(CN4)+CO3</f>
        <v>3.6780012704100286E-2</v>
      </c>
      <c r="CP4" s="14" cm="1">
        <f t="array" ref="CP4:CP503">b1_c*(1-EXP(-_xlfn.ANCHORARRAY(CN4)/tau1_c))/(_xlfn.ANCHORARRAY(CN4)/tau1_c)</f>
        <v>-2.1606522310573962E-2</v>
      </c>
      <c r="CQ4" s="14" cm="1">
        <f t="array" ref="CQ4:CQ503">b2_c*((1-EXP(-_xlfn.ANCHORARRAY(CN4)/tau1_c))/(_xlfn.ANCHORARRAY(CN4)/tau1_c)-EXP(-_xlfn.ANCHORARRAY(CN4)/tau1_c))</f>
        <v>7.2597819972507638E-4</v>
      </c>
      <c r="CR4" s="14" cm="1">
        <f t="array" ref="CR4:CR503">+b3_c*((1-EXP(-_xlfn.ANCHORARRAY(CN4)/tau2_c))/(_xlfn.ANCHORARRAY(CN4)/tau2_c)-EXP(-_xlfn.ANCHORARRAY(CN4)/tau2_c))</f>
        <v>8.8775393335670553E-4</v>
      </c>
      <c r="CS4" s="14">
        <f t="shared" ref="CS4:CS5" si="12">SUM(CO4:CR4)</f>
        <v>1.6787222526608105E-2</v>
      </c>
    </row>
    <row r="5" spans="1:97" x14ac:dyDescent="0.45">
      <c r="A5" s="16">
        <v>1</v>
      </c>
      <c r="B5" s="17">
        <v>2.2000000000000001E-3</v>
      </c>
      <c r="C5" s="19">
        <v>98.719500000000011</v>
      </c>
      <c r="D5" s="19">
        <f t="shared" si="0"/>
        <v>98.7727634702035</v>
      </c>
      <c r="E5" s="19">
        <f t="shared" si="9"/>
        <v>5.326347020348976E-2</v>
      </c>
      <c r="F5" s="19">
        <f t="shared" si="1"/>
        <v>5.326347020348976E-2</v>
      </c>
      <c r="G5" s="20">
        <f t="shared" si="10"/>
        <v>8.6860387855658416E-3</v>
      </c>
      <c r="H5" s="20">
        <f>IFERROR(IRR((J5,L5:CK5),0),0)</f>
        <v>8.4137330950724287E-3</v>
      </c>
      <c r="I5" s="21">
        <f t="shared" si="2"/>
        <v>-2.7230569049341291E-4</v>
      </c>
      <c r="J5" s="19">
        <f t="shared" ref="J5:J66" si="13">-D5</f>
        <v>-98.7727634702035</v>
      </c>
      <c r="K5" s="22">
        <f t="shared" si="3"/>
        <v>-98.719500000000011</v>
      </c>
      <c r="L5" s="2">
        <f t="shared" si="11"/>
        <v>0.22</v>
      </c>
      <c r="M5" s="2">
        <f t="shared" si="11"/>
        <v>100.22</v>
      </c>
      <c r="N5" s="2">
        <f t="shared" si="11"/>
        <v>0</v>
      </c>
      <c r="O5" s="2">
        <f t="shared" si="11"/>
        <v>0</v>
      </c>
      <c r="P5" s="2">
        <f t="shared" si="11"/>
        <v>0</v>
      </c>
      <c r="Q5" s="2">
        <f t="shared" si="11"/>
        <v>0</v>
      </c>
      <c r="R5" s="2">
        <f t="shared" si="11"/>
        <v>0</v>
      </c>
      <c r="S5" s="2">
        <f t="shared" si="11"/>
        <v>0</v>
      </c>
      <c r="T5" s="2">
        <f t="shared" si="11"/>
        <v>0</v>
      </c>
      <c r="U5" s="2">
        <f t="shared" si="11"/>
        <v>0</v>
      </c>
      <c r="V5" s="2">
        <f t="shared" si="4"/>
        <v>0</v>
      </c>
      <c r="W5" s="2">
        <f t="shared" si="4"/>
        <v>0</v>
      </c>
      <c r="X5" s="2">
        <f t="shared" si="4"/>
        <v>0</v>
      </c>
      <c r="Y5" s="2">
        <f t="shared" si="4"/>
        <v>0</v>
      </c>
      <c r="Z5" s="2">
        <f t="shared" si="4"/>
        <v>0</v>
      </c>
      <c r="AA5" s="2">
        <f t="shared" si="4"/>
        <v>0</v>
      </c>
      <c r="AB5" s="2">
        <f t="shared" si="4"/>
        <v>0</v>
      </c>
      <c r="AC5" s="2">
        <f t="shared" si="5"/>
        <v>0</v>
      </c>
      <c r="AD5" s="2">
        <f t="shared" si="5"/>
        <v>0</v>
      </c>
      <c r="AE5" s="2">
        <f t="shared" si="5"/>
        <v>0</v>
      </c>
      <c r="AF5" s="2">
        <f t="shared" si="5"/>
        <v>0</v>
      </c>
      <c r="AG5" s="2">
        <f t="shared" si="5"/>
        <v>0</v>
      </c>
      <c r="AH5" s="2">
        <f t="shared" si="5"/>
        <v>0</v>
      </c>
      <c r="AI5" s="2">
        <f t="shared" si="5"/>
        <v>0</v>
      </c>
      <c r="AJ5" s="2">
        <f t="shared" si="5"/>
        <v>0</v>
      </c>
      <c r="AK5" s="2">
        <f t="shared" si="5"/>
        <v>0</v>
      </c>
      <c r="AL5" s="2">
        <f t="shared" si="5"/>
        <v>0</v>
      </c>
      <c r="AM5" s="2">
        <f t="shared" si="5"/>
        <v>0</v>
      </c>
      <c r="AN5" s="2">
        <f t="shared" si="5"/>
        <v>0</v>
      </c>
      <c r="AO5" s="2">
        <f t="shared" si="5"/>
        <v>0</v>
      </c>
      <c r="AP5" s="2">
        <f t="shared" si="5"/>
        <v>0</v>
      </c>
      <c r="AQ5" s="2">
        <f t="shared" si="5"/>
        <v>0</v>
      </c>
      <c r="AR5" s="2">
        <f t="shared" si="5"/>
        <v>0</v>
      </c>
      <c r="AS5" s="2">
        <f t="shared" si="6"/>
        <v>0</v>
      </c>
      <c r="AT5" s="2">
        <f t="shared" si="6"/>
        <v>0</v>
      </c>
      <c r="AU5" s="2">
        <f t="shared" si="6"/>
        <v>0</v>
      </c>
      <c r="AV5" s="2">
        <f t="shared" si="6"/>
        <v>0</v>
      </c>
      <c r="AW5" s="2">
        <f t="shared" si="6"/>
        <v>0</v>
      </c>
      <c r="AX5" s="2">
        <f t="shared" si="6"/>
        <v>0</v>
      </c>
      <c r="AY5" s="2">
        <f t="shared" si="6"/>
        <v>0</v>
      </c>
      <c r="AZ5" s="2">
        <f t="shared" si="6"/>
        <v>0</v>
      </c>
      <c r="BA5" s="2">
        <f t="shared" si="6"/>
        <v>0</v>
      </c>
      <c r="BB5" s="2">
        <f t="shared" si="6"/>
        <v>0</v>
      </c>
      <c r="BC5" s="2">
        <f t="shared" si="6"/>
        <v>0</v>
      </c>
      <c r="BD5" s="2">
        <f t="shared" si="6"/>
        <v>0</v>
      </c>
      <c r="BE5" s="2">
        <f t="shared" si="6"/>
        <v>0</v>
      </c>
      <c r="BF5" s="2">
        <f t="shared" si="6"/>
        <v>0</v>
      </c>
      <c r="BG5" s="2">
        <f t="shared" si="6"/>
        <v>0</v>
      </c>
      <c r="BH5" s="2">
        <f t="shared" si="6"/>
        <v>0</v>
      </c>
      <c r="BI5" s="2">
        <f t="shared" si="7"/>
        <v>0</v>
      </c>
      <c r="BJ5" s="2">
        <f t="shared" si="7"/>
        <v>0</v>
      </c>
      <c r="BK5" s="2">
        <f t="shared" si="7"/>
        <v>0</v>
      </c>
      <c r="BL5" s="2">
        <f t="shared" si="7"/>
        <v>0</v>
      </c>
      <c r="BM5" s="2">
        <f t="shared" si="7"/>
        <v>0</v>
      </c>
      <c r="BN5" s="2">
        <f t="shared" si="7"/>
        <v>0</v>
      </c>
      <c r="BO5" s="2">
        <f t="shared" si="7"/>
        <v>0</v>
      </c>
      <c r="BP5" s="2">
        <f t="shared" si="7"/>
        <v>0</v>
      </c>
      <c r="BQ5" s="2">
        <f t="shared" si="7"/>
        <v>0</v>
      </c>
      <c r="BR5" s="2">
        <f t="shared" si="7"/>
        <v>0</v>
      </c>
      <c r="BS5" s="2">
        <f t="shared" si="7"/>
        <v>0</v>
      </c>
      <c r="BT5" s="2">
        <f t="shared" si="7"/>
        <v>0</v>
      </c>
      <c r="BU5" s="2">
        <f t="shared" si="7"/>
        <v>0</v>
      </c>
      <c r="BV5" s="2">
        <f t="shared" si="7"/>
        <v>0</v>
      </c>
      <c r="BW5" s="2">
        <f t="shared" si="7"/>
        <v>0</v>
      </c>
      <c r="BX5" s="2">
        <f t="shared" si="7"/>
        <v>0</v>
      </c>
      <c r="BY5" s="2">
        <f t="shared" si="8"/>
        <v>0</v>
      </c>
      <c r="BZ5" s="2">
        <f t="shared" si="8"/>
        <v>0</v>
      </c>
      <c r="CA5" s="2">
        <f t="shared" si="8"/>
        <v>0</v>
      </c>
      <c r="CB5" s="2">
        <f t="shared" si="8"/>
        <v>0</v>
      </c>
      <c r="CC5" s="2">
        <f t="shared" si="8"/>
        <v>0</v>
      </c>
      <c r="CD5" s="2">
        <f t="shared" si="8"/>
        <v>0</v>
      </c>
      <c r="CE5" s="2">
        <f t="shared" si="8"/>
        <v>0</v>
      </c>
      <c r="CF5" s="2">
        <f t="shared" si="8"/>
        <v>0</v>
      </c>
      <c r="CG5" s="2">
        <f t="shared" si="8"/>
        <v>0</v>
      </c>
      <c r="CH5" s="2">
        <f t="shared" si="8"/>
        <v>0</v>
      </c>
      <c r="CI5" s="2">
        <f t="shared" si="8"/>
        <v>0</v>
      </c>
      <c r="CJ5" s="2">
        <f t="shared" si="8"/>
        <v>0</v>
      </c>
      <c r="CK5" s="23">
        <f t="shared" si="8"/>
        <v>0</v>
      </c>
      <c r="CN5" s="2">
        <v>1</v>
      </c>
      <c r="CO5" s="14">
        <v>3.6780012704100286E-2</v>
      </c>
      <c r="CP5" s="14">
        <v>-2.1306692952680933E-2</v>
      </c>
      <c r="CQ5" s="14">
        <v>1.4250602486923776E-3</v>
      </c>
      <c r="CR5" s="14">
        <v>1.7609213717264024E-3</v>
      </c>
      <c r="CS5" s="14">
        <f t="shared" si="12"/>
        <v>1.8659301371838133E-2</v>
      </c>
    </row>
    <row r="6" spans="1:97" x14ac:dyDescent="0.45">
      <c r="A6" s="16">
        <v>1</v>
      </c>
      <c r="B6" s="17">
        <v>1.1000000000000001E-3</v>
      </c>
      <c r="C6" s="19">
        <v>98.58850000000001</v>
      </c>
      <c r="D6" s="19">
        <f t="shared" si="0"/>
        <v>98.555503235712777</v>
      </c>
      <c r="E6" s="19">
        <f t="shared" si="9"/>
        <v>-3.2996764287233304E-2</v>
      </c>
      <c r="F6" s="19">
        <f t="shared" si="1"/>
        <v>3.2996764287233304E-2</v>
      </c>
      <c r="G6" s="20">
        <f t="shared" si="10"/>
        <v>8.2449020412260765E-3</v>
      </c>
      <c r="H6" s="20">
        <f>IFERROR(IRR((J6,L6:CK6),0),0)</f>
        <v>8.4137635147136791E-3</v>
      </c>
      <c r="I6" s="21">
        <f t="shared" si="2"/>
        <v>1.6886147348760261E-4</v>
      </c>
      <c r="J6" s="19">
        <f t="shared" si="13"/>
        <v>-98.555503235712777</v>
      </c>
      <c r="K6" s="22">
        <f t="shared" si="3"/>
        <v>-98.58850000000001</v>
      </c>
      <c r="L6" s="2">
        <f t="shared" si="11"/>
        <v>0.11</v>
      </c>
      <c r="M6" s="2">
        <f t="shared" si="11"/>
        <v>100.11000000000001</v>
      </c>
      <c r="N6" s="2">
        <f t="shared" si="11"/>
        <v>0</v>
      </c>
      <c r="O6" s="2">
        <f t="shared" si="11"/>
        <v>0</v>
      </c>
      <c r="P6" s="2">
        <f t="shared" si="11"/>
        <v>0</v>
      </c>
      <c r="Q6" s="2">
        <f t="shared" si="11"/>
        <v>0</v>
      </c>
      <c r="R6" s="2">
        <f t="shared" si="11"/>
        <v>0</v>
      </c>
      <c r="S6" s="2">
        <f t="shared" si="11"/>
        <v>0</v>
      </c>
      <c r="T6" s="2">
        <f t="shared" si="11"/>
        <v>0</v>
      </c>
      <c r="U6" s="2">
        <f t="shared" si="11"/>
        <v>0</v>
      </c>
      <c r="V6" s="2">
        <f t="shared" si="4"/>
        <v>0</v>
      </c>
      <c r="W6" s="2">
        <f t="shared" si="4"/>
        <v>0</v>
      </c>
      <c r="X6" s="2">
        <f t="shared" si="4"/>
        <v>0</v>
      </c>
      <c r="Y6" s="2">
        <f t="shared" si="4"/>
        <v>0</v>
      </c>
      <c r="Z6" s="2">
        <f t="shared" si="4"/>
        <v>0</v>
      </c>
      <c r="AA6" s="2">
        <f t="shared" si="4"/>
        <v>0</v>
      </c>
      <c r="AB6" s="2">
        <f t="shared" si="4"/>
        <v>0</v>
      </c>
      <c r="AC6" s="2">
        <f t="shared" si="5"/>
        <v>0</v>
      </c>
      <c r="AD6" s="2">
        <f t="shared" si="5"/>
        <v>0</v>
      </c>
      <c r="AE6" s="2">
        <f t="shared" si="5"/>
        <v>0</v>
      </c>
      <c r="AF6" s="2">
        <f t="shared" si="5"/>
        <v>0</v>
      </c>
      <c r="AG6" s="2">
        <f t="shared" si="5"/>
        <v>0</v>
      </c>
      <c r="AH6" s="2">
        <f t="shared" si="5"/>
        <v>0</v>
      </c>
      <c r="AI6" s="2">
        <f t="shared" si="5"/>
        <v>0</v>
      </c>
      <c r="AJ6" s="2">
        <f t="shared" si="5"/>
        <v>0</v>
      </c>
      <c r="AK6" s="2">
        <f t="shared" si="5"/>
        <v>0</v>
      </c>
      <c r="AL6" s="2">
        <f t="shared" si="5"/>
        <v>0</v>
      </c>
      <c r="AM6" s="2">
        <f t="shared" si="5"/>
        <v>0</v>
      </c>
      <c r="AN6" s="2">
        <f t="shared" si="5"/>
        <v>0</v>
      </c>
      <c r="AO6" s="2">
        <f t="shared" si="5"/>
        <v>0</v>
      </c>
      <c r="AP6" s="2">
        <f t="shared" si="5"/>
        <v>0</v>
      </c>
      <c r="AQ6" s="2">
        <f t="shared" si="5"/>
        <v>0</v>
      </c>
      <c r="AR6" s="2">
        <f t="shared" si="5"/>
        <v>0</v>
      </c>
      <c r="AS6" s="2">
        <f t="shared" si="6"/>
        <v>0</v>
      </c>
      <c r="AT6" s="2">
        <f t="shared" si="6"/>
        <v>0</v>
      </c>
      <c r="AU6" s="2">
        <f t="shared" si="6"/>
        <v>0</v>
      </c>
      <c r="AV6" s="2">
        <f t="shared" si="6"/>
        <v>0</v>
      </c>
      <c r="AW6" s="2">
        <f t="shared" si="6"/>
        <v>0</v>
      </c>
      <c r="AX6" s="2">
        <f t="shared" si="6"/>
        <v>0</v>
      </c>
      <c r="AY6" s="2">
        <f t="shared" si="6"/>
        <v>0</v>
      </c>
      <c r="AZ6" s="2">
        <f t="shared" si="6"/>
        <v>0</v>
      </c>
      <c r="BA6" s="2">
        <f t="shared" si="6"/>
        <v>0</v>
      </c>
      <c r="BB6" s="2">
        <f t="shared" si="6"/>
        <v>0</v>
      </c>
      <c r="BC6" s="2">
        <f t="shared" si="6"/>
        <v>0</v>
      </c>
      <c r="BD6" s="2">
        <f t="shared" si="6"/>
        <v>0</v>
      </c>
      <c r="BE6" s="2">
        <f t="shared" si="6"/>
        <v>0</v>
      </c>
      <c r="BF6" s="2">
        <f t="shared" si="6"/>
        <v>0</v>
      </c>
      <c r="BG6" s="2">
        <f t="shared" si="6"/>
        <v>0</v>
      </c>
      <c r="BH6" s="2">
        <f t="shared" si="6"/>
        <v>0</v>
      </c>
      <c r="BI6" s="2">
        <f t="shared" si="7"/>
        <v>0</v>
      </c>
      <c r="BJ6" s="2">
        <f t="shared" si="7"/>
        <v>0</v>
      </c>
      <c r="BK6" s="2">
        <f t="shared" si="7"/>
        <v>0</v>
      </c>
      <c r="BL6" s="2">
        <f t="shared" si="7"/>
        <v>0</v>
      </c>
      <c r="BM6" s="2">
        <f t="shared" si="7"/>
        <v>0</v>
      </c>
      <c r="BN6" s="2">
        <f t="shared" si="7"/>
        <v>0</v>
      </c>
      <c r="BO6" s="2">
        <f t="shared" si="7"/>
        <v>0</v>
      </c>
      <c r="BP6" s="2">
        <f t="shared" si="7"/>
        <v>0</v>
      </c>
      <c r="BQ6" s="2">
        <f t="shared" si="7"/>
        <v>0</v>
      </c>
      <c r="BR6" s="2">
        <f t="shared" si="7"/>
        <v>0</v>
      </c>
      <c r="BS6" s="2">
        <f t="shared" si="7"/>
        <v>0</v>
      </c>
      <c r="BT6" s="2">
        <f t="shared" si="7"/>
        <v>0</v>
      </c>
      <c r="BU6" s="2">
        <f t="shared" si="7"/>
        <v>0</v>
      </c>
      <c r="BV6" s="2">
        <f t="shared" si="7"/>
        <v>0</v>
      </c>
      <c r="BW6" s="2">
        <f t="shared" si="7"/>
        <v>0</v>
      </c>
      <c r="BX6" s="2">
        <f t="shared" si="7"/>
        <v>0</v>
      </c>
      <c r="BY6" s="2">
        <f t="shared" si="8"/>
        <v>0</v>
      </c>
      <c r="BZ6" s="2">
        <f t="shared" si="8"/>
        <v>0</v>
      </c>
      <c r="CA6" s="2">
        <f t="shared" si="8"/>
        <v>0</v>
      </c>
      <c r="CB6" s="2">
        <f t="shared" si="8"/>
        <v>0</v>
      </c>
      <c r="CC6" s="2">
        <f t="shared" si="8"/>
        <v>0</v>
      </c>
      <c r="CD6" s="2">
        <f t="shared" si="8"/>
        <v>0</v>
      </c>
      <c r="CE6" s="2">
        <f t="shared" si="8"/>
        <v>0</v>
      </c>
      <c r="CF6" s="2">
        <f t="shared" si="8"/>
        <v>0</v>
      </c>
      <c r="CG6" s="2">
        <f t="shared" si="8"/>
        <v>0</v>
      </c>
      <c r="CH6" s="2">
        <f t="shared" si="8"/>
        <v>0</v>
      </c>
      <c r="CI6" s="2">
        <f t="shared" si="8"/>
        <v>0</v>
      </c>
      <c r="CJ6" s="2">
        <f t="shared" si="8"/>
        <v>0</v>
      </c>
      <c r="CK6" s="23">
        <f t="shared" si="8"/>
        <v>0</v>
      </c>
      <c r="CN6" s="2">
        <v>1.5</v>
      </c>
      <c r="CO6" s="14">
        <v>3.6780012704100286E-2</v>
      </c>
      <c r="CP6" s="14">
        <v>-2.1012411156927521E-2</v>
      </c>
      <c r="CQ6" s="14">
        <v>2.0980865110766262E-3</v>
      </c>
      <c r="CR6" s="14">
        <v>2.6197044929360527E-3</v>
      </c>
      <c r="CS6" s="14">
        <f t="shared" ref="CS6:CS69" si="14">SUM(CO6:CR6)</f>
        <v>2.0485392551185443E-2</v>
      </c>
    </row>
    <row r="7" spans="1:97" x14ac:dyDescent="0.45">
      <c r="A7" s="16">
        <v>1</v>
      </c>
      <c r="B7" s="17">
        <v>2.65E-3</v>
      </c>
      <c r="C7" s="19">
        <v>98.543499999999995</v>
      </c>
      <c r="D7" s="19">
        <f t="shared" si="0"/>
        <v>98.861642657040619</v>
      </c>
      <c r="E7" s="19">
        <f t="shared" si="9"/>
        <v>0.3181426570406245</v>
      </c>
      <c r="F7" s="19">
        <f t="shared" si="1"/>
        <v>0.3181426570406245</v>
      </c>
      <c r="G7" s="20">
        <f t="shared" si="10"/>
        <v>1.0042383174924785E-2</v>
      </c>
      <c r="H7" s="20">
        <f>IFERROR(IRR((J7,L7:CK7),0),0)</f>
        <v>8.4137206795735775E-3</v>
      </c>
      <c r="I7" s="21">
        <f t="shared" si="2"/>
        <v>-1.6286624953512074E-3</v>
      </c>
      <c r="J7" s="19">
        <f t="shared" si="13"/>
        <v>-98.861642657040619</v>
      </c>
      <c r="K7" s="22">
        <f t="shared" si="3"/>
        <v>-98.543499999999995</v>
      </c>
      <c r="L7" s="2">
        <f t="shared" si="11"/>
        <v>0.26500000000000001</v>
      </c>
      <c r="M7" s="2">
        <f t="shared" si="11"/>
        <v>100.265</v>
      </c>
      <c r="N7" s="2">
        <f t="shared" si="11"/>
        <v>0</v>
      </c>
      <c r="O7" s="2">
        <f t="shared" si="11"/>
        <v>0</v>
      </c>
      <c r="P7" s="2">
        <f t="shared" si="11"/>
        <v>0</v>
      </c>
      <c r="Q7" s="2">
        <f t="shared" si="11"/>
        <v>0</v>
      </c>
      <c r="R7" s="2">
        <f t="shared" si="11"/>
        <v>0</v>
      </c>
      <c r="S7" s="2">
        <f t="shared" si="11"/>
        <v>0</v>
      </c>
      <c r="T7" s="2">
        <f t="shared" si="11"/>
        <v>0</v>
      </c>
      <c r="U7" s="2">
        <f t="shared" si="11"/>
        <v>0</v>
      </c>
      <c r="V7" s="2">
        <f t="shared" si="4"/>
        <v>0</v>
      </c>
      <c r="W7" s="2">
        <f t="shared" si="4"/>
        <v>0</v>
      </c>
      <c r="X7" s="2">
        <f t="shared" si="4"/>
        <v>0</v>
      </c>
      <c r="Y7" s="2">
        <f t="shared" si="4"/>
        <v>0</v>
      </c>
      <c r="Z7" s="2">
        <f t="shared" si="4"/>
        <v>0</v>
      </c>
      <c r="AA7" s="2">
        <f t="shared" si="4"/>
        <v>0</v>
      </c>
      <c r="AB7" s="2">
        <f t="shared" si="4"/>
        <v>0</v>
      </c>
      <c r="AC7" s="2">
        <f t="shared" si="5"/>
        <v>0</v>
      </c>
      <c r="AD7" s="2">
        <f t="shared" si="5"/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2">
        <f t="shared" si="5"/>
        <v>0</v>
      </c>
      <c r="AI7" s="2">
        <f t="shared" si="5"/>
        <v>0</v>
      </c>
      <c r="AJ7" s="2">
        <f t="shared" si="5"/>
        <v>0</v>
      </c>
      <c r="AK7" s="2">
        <f t="shared" si="5"/>
        <v>0</v>
      </c>
      <c r="AL7" s="2">
        <f t="shared" si="5"/>
        <v>0</v>
      </c>
      <c r="AM7" s="2">
        <f t="shared" si="5"/>
        <v>0</v>
      </c>
      <c r="AN7" s="2">
        <f t="shared" si="5"/>
        <v>0</v>
      </c>
      <c r="AO7" s="2">
        <f t="shared" si="5"/>
        <v>0</v>
      </c>
      <c r="AP7" s="2">
        <f t="shared" si="5"/>
        <v>0</v>
      </c>
      <c r="AQ7" s="2">
        <f t="shared" si="5"/>
        <v>0</v>
      </c>
      <c r="AR7" s="2">
        <f t="shared" si="5"/>
        <v>0</v>
      </c>
      <c r="AS7" s="2">
        <f t="shared" si="6"/>
        <v>0</v>
      </c>
      <c r="AT7" s="2">
        <f t="shared" si="6"/>
        <v>0</v>
      </c>
      <c r="AU7" s="2">
        <f t="shared" si="6"/>
        <v>0</v>
      </c>
      <c r="AV7" s="2">
        <f t="shared" si="6"/>
        <v>0</v>
      </c>
      <c r="AW7" s="2">
        <f t="shared" si="6"/>
        <v>0</v>
      </c>
      <c r="AX7" s="2">
        <f t="shared" si="6"/>
        <v>0</v>
      </c>
      <c r="AY7" s="2">
        <f t="shared" si="6"/>
        <v>0</v>
      </c>
      <c r="AZ7" s="2">
        <f t="shared" si="6"/>
        <v>0</v>
      </c>
      <c r="BA7" s="2">
        <f t="shared" si="6"/>
        <v>0</v>
      </c>
      <c r="BB7" s="2">
        <f t="shared" si="6"/>
        <v>0</v>
      </c>
      <c r="BC7" s="2">
        <f t="shared" si="6"/>
        <v>0</v>
      </c>
      <c r="BD7" s="2">
        <f t="shared" si="6"/>
        <v>0</v>
      </c>
      <c r="BE7" s="2">
        <f t="shared" si="6"/>
        <v>0</v>
      </c>
      <c r="BF7" s="2">
        <f t="shared" si="6"/>
        <v>0</v>
      </c>
      <c r="BG7" s="2">
        <f t="shared" si="6"/>
        <v>0</v>
      </c>
      <c r="BH7" s="2">
        <f t="shared" si="6"/>
        <v>0</v>
      </c>
      <c r="BI7" s="2">
        <f t="shared" si="7"/>
        <v>0</v>
      </c>
      <c r="BJ7" s="2">
        <f t="shared" si="7"/>
        <v>0</v>
      </c>
      <c r="BK7" s="2">
        <f t="shared" si="7"/>
        <v>0</v>
      </c>
      <c r="BL7" s="2">
        <f t="shared" si="7"/>
        <v>0</v>
      </c>
      <c r="BM7" s="2">
        <f t="shared" si="7"/>
        <v>0</v>
      </c>
      <c r="BN7" s="2">
        <f t="shared" si="7"/>
        <v>0</v>
      </c>
      <c r="BO7" s="2">
        <f t="shared" si="7"/>
        <v>0</v>
      </c>
      <c r="BP7" s="2">
        <f t="shared" si="7"/>
        <v>0</v>
      </c>
      <c r="BQ7" s="2">
        <f t="shared" si="7"/>
        <v>0</v>
      </c>
      <c r="BR7" s="2">
        <f t="shared" si="7"/>
        <v>0</v>
      </c>
      <c r="BS7" s="2">
        <f t="shared" si="7"/>
        <v>0</v>
      </c>
      <c r="BT7" s="2">
        <f t="shared" si="7"/>
        <v>0</v>
      </c>
      <c r="BU7" s="2">
        <f t="shared" si="7"/>
        <v>0</v>
      </c>
      <c r="BV7" s="2">
        <f t="shared" si="7"/>
        <v>0</v>
      </c>
      <c r="BW7" s="2">
        <f t="shared" si="7"/>
        <v>0</v>
      </c>
      <c r="BX7" s="2">
        <f t="shared" si="7"/>
        <v>0</v>
      </c>
      <c r="BY7" s="2">
        <f t="shared" si="8"/>
        <v>0</v>
      </c>
      <c r="BZ7" s="2">
        <f t="shared" si="8"/>
        <v>0</v>
      </c>
      <c r="CA7" s="2">
        <f t="shared" si="8"/>
        <v>0</v>
      </c>
      <c r="CB7" s="2">
        <f t="shared" si="8"/>
        <v>0</v>
      </c>
      <c r="CC7" s="2">
        <f t="shared" si="8"/>
        <v>0</v>
      </c>
      <c r="CD7" s="2">
        <f t="shared" si="8"/>
        <v>0</v>
      </c>
      <c r="CE7" s="2">
        <f t="shared" si="8"/>
        <v>0</v>
      </c>
      <c r="CF7" s="2">
        <f t="shared" si="8"/>
        <v>0</v>
      </c>
      <c r="CG7" s="2">
        <f t="shared" si="8"/>
        <v>0</v>
      </c>
      <c r="CH7" s="2">
        <f t="shared" si="8"/>
        <v>0</v>
      </c>
      <c r="CI7" s="2">
        <f t="shared" si="8"/>
        <v>0</v>
      </c>
      <c r="CJ7" s="2">
        <f t="shared" si="8"/>
        <v>0</v>
      </c>
      <c r="CK7" s="23">
        <f t="shared" si="8"/>
        <v>0</v>
      </c>
      <c r="CN7" s="2">
        <v>2</v>
      </c>
      <c r="CO7" s="14">
        <v>3.6780012704100286E-2</v>
      </c>
      <c r="CP7" s="14">
        <v>-2.0723561449710215E-2</v>
      </c>
      <c r="CQ7" s="14">
        <v>2.7458724613613566E-3</v>
      </c>
      <c r="CR7" s="14">
        <v>3.4643028180811105E-3</v>
      </c>
      <c r="CS7" s="14">
        <f t="shared" si="14"/>
        <v>2.2266626533832538E-2</v>
      </c>
    </row>
    <row r="8" spans="1:97" x14ac:dyDescent="0.45">
      <c r="A8" s="16">
        <v>1.5</v>
      </c>
      <c r="B8" s="17">
        <v>3.8500000000000001E-3</v>
      </c>
      <c r="C8" s="19">
        <v>98.362499999999997</v>
      </c>
      <c r="D8" s="19">
        <f t="shared" si="0"/>
        <v>98.514089839826696</v>
      </c>
      <c r="E8" s="19">
        <f t="shared" si="9"/>
        <v>0.15158983982669838</v>
      </c>
      <c r="F8" s="19">
        <f t="shared" si="1"/>
        <v>0.15158983982669838</v>
      </c>
      <c r="G8" s="20">
        <f t="shared" si="10"/>
        <v>9.4113951978835875E-3</v>
      </c>
      <c r="H8" s="20">
        <f>IFERROR(IRR((J8,L8:CK8),0),0)</f>
        <v>8.8913722926895478E-3</v>
      </c>
      <c r="I8" s="21">
        <f t="shared" si="2"/>
        <v>-5.2002290519403971E-4</v>
      </c>
      <c r="J8" s="19">
        <f t="shared" si="13"/>
        <v>-98.514089839826696</v>
      </c>
      <c r="K8" s="22">
        <f t="shared" si="3"/>
        <v>-98.362499999999997</v>
      </c>
      <c r="L8" s="2">
        <f t="shared" si="11"/>
        <v>0.38500000000000001</v>
      </c>
      <c r="M8" s="2">
        <f t="shared" si="11"/>
        <v>0.38500000000000001</v>
      </c>
      <c r="N8" s="2">
        <f t="shared" si="11"/>
        <v>100.38499999999999</v>
      </c>
      <c r="O8" s="2">
        <f t="shared" si="11"/>
        <v>0</v>
      </c>
      <c r="P8" s="2">
        <f t="shared" si="11"/>
        <v>0</v>
      </c>
      <c r="Q8" s="2">
        <f t="shared" si="11"/>
        <v>0</v>
      </c>
      <c r="R8" s="2">
        <f t="shared" si="11"/>
        <v>0</v>
      </c>
      <c r="S8" s="2">
        <f t="shared" si="11"/>
        <v>0</v>
      </c>
      <c r="T8" s="2">
        <f t="shared" si="11"/>
        <v>0</v>
      </c>
      <c r="U8" s="2">
        <f t="shared" si="11"/>
        <v>0</v>
      </c>
      <c r="V8" s="2">
        <f t="shared" si="4"/>
        <v>0</v>
      </c>
      <c r="W8" s="2">
        <f t="shared" si="4"/>
        <v>0</v>
      </c>
      <c r="X8" s="2">
        <f t="shared" si="4"/>
        <v>0</v>
      </c>
      <c r="Y8" s="2">
        <f t="shared" si="4"/>
        <v>0</v>
      </c>
      <c r="Z8" s="2">
        <f t="shared" si="4"/>
        <v>0</v>
      </c>
      <c r="AA8" s="2">
        <f t="shared" si="4"/>
        <v>0</v>
      </c>
      <c r="AB8" s="2">
        <f t="shared" si="4"/>
        <v>0</v>
      </c>
      <c r="AC8" s="2">
        <f t="shared" si="5"/>
        <v>0</v>
      </c>
      <c r="AD8" s="2">
        <f t="shared" si="5"/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2">
        <f t="shared" si="5"/>
        <v>0</v>
      </c>
      <c r="AI8" s="2">
        <f t="shared" si="5"/>
        <v>0</v>
      </c>
      <c r="AJ8" s="2">
        <f t="shared" si="5"/>
        <v>0</v>
      </c>
      <c r="AK8" s="2">
        <f t="shared" si="5"/>
        <v>0</v>
      </c>
      <c r="AL8" s="2">
        <f t="shared" si="5"/>
        <v>0</v>
      </c>
      <c r="AM8" s="2">
        <f t="shared" si="5"/>
        <v>0</v>
      </c>
      <c r="AN8" s="2">
        <f t="shared" si="5"/>
        <v>0</v>
      </c>
      <c r="AO8" s="2">
        <f t="shared" si="5"/>
        <v>0</v>
      </c>
      <c r="AP8" s="2">
        <f t="shared" si="5"/>
        <v>0</v>
      </c>
      <c r="AQ8" s="2">
        <f t="shared" si="5"/>
        <v>0</v>
      </c>
      <c r="AR8" s="2">
        <f t="shared" si="5"/>
        <v>0</v>
      </c>
      <c r="AS8" s="2">
        <f t="shared" si="6"/>
        <v>0</v>
      </c>
      <c r="AT8" s="2">
        <f t="shared" si="6"/>
        <v>0</v>
      </c>
      <c r="AU8" s="2">
        <f t="shared" si="6"/>
        <v>0</v>
      </c>
      <c r="AV8" s="2">
        <f t="shared" si="6"/>
        <v>0</v>
      </c>
      <c r="AW8" s="2">
        <f t="shared" si="6"/>
        <v>0</v>
      </c>
      <c r="AX8" s="2">
        <f t="shared" si="6"/>
        <v>0</v>
      </c>
      <c r="AY8" s="2">
        <f t="shared" si="6"/>
        <v>0</v>
      </c>
      <c r="AZ8" s="2">
        <f t="shared" si="6"/>
        <v>0</v>
      </c>
      <c r="BA8" s="2">
        <f t="shared" si="6"/>
        <v>0</v>
      </c>
      <c r="BB8" s="2">
        <f t="shared" si="6"/>
        <v>0</v>
      </c>
      <c r="BC8" s="2">
        <f t="shared" si="6"/>
        <v>0</v>
      </c>
      <c r="BD8" s="2">
        <f t="shared" si="6"/>
        <v>0</v>
      </c>
      <c r="BE8" s="2">
        <f t="shared" si="6"/>
        <v>0</v>
      </c>
      <c r="BF8" s="2">
        <f t="shared" si="6"/>
        <v>0</v>
      </c>
      <c r="BG8" s="2">
        <f t="shared" si="6"/>
        <v>0</v>
      </c>
      <c r="BH8" s="2">
        <f t="shared" si="6"/>
        <v>0</v>
      </c>
      <c r="BI8" s="2">
        <f t="shared" si="7"/>
        <v>0</v>
      </c>
      <c r="BJ8" s="2">
        <f t="shared" si="7"/>
        <v>0</v>
      </c>
      <c r="BK8" s="2">
        <f t="shared" si="7"/>
        <v>0</v>
      </c>
      <c r="BL8" s="2">
        <f t="shared" si="7"/>
        <v>0</v>
      </c>
      <c r="BM8" s="2">
        <f t="shared" si="7"/>
        <v>0</v>
      </c>
      <c r="BN8" s="2">
        <f t="shared" si="7"/>
        <v>0</v>
      </c>
      <c r="BO8" s="2">
        <f t="shared" si="7"/>
        <v>0</v>
      </c>
      <c r="BP8" s="2">
        <f t="shared" si="7"/>
        <v>0</v>
      </c>
      <c r="BQ8" s="2">
        <f t="shared" si="7"/>
        <v>0</v>
      </c>
      <c r="BR8" s="2">
        <f t="shared" si="7"/>
        <v>0</v>
      </c>
      <c r="BS8" s="2">
        <f t="shared" si="7"/>
        <v>0</v>
      </c>
      <c r="BT8" s="2">
        <f t="shared" si="7"/>
        <v>0</v>
      </c>
      <c r="BU8" s="2">
        <f t="shared" si="7"/>
        <v>0</v>
      </c>
      <c r="BV8" s="2">
        <f t="shared" si="7"/>
        <v>0</v>
      </c>
      <c r="BW8" s="2">
        <f t="shared" si="7"/>
        <v>0</v>
      </c>
      <c r="BX8" s="2">
        <f t="shared" si="7"/>
        <v>0</v>
      </c>
      <c r="BY8" s="2">
        <f t="shared" si="8"/>
        <v>0</v>
      </c>
      <c r="BZ8" s="2">
        <f t="shared" si="8"/>
        <v>0</v>
      </c>
      <c r="CA8" s="2">
        <f t="shared" si="8"/>
        <v>0</v>
      </c>
      <c r="CB8" s="2">
        <f t="shared" si="8"/>
        <v>0</v>
      </c>
      <c r="CC8" s="2">
        <f t="shared" si="8"/>
        <v>0</v>
      </c>
      <c r="CD8" s="2">
        <f t="shared" si="8"/>
        <v>0</v>
      </c>
      <c r="CE8" s="2">
        <f t="shared" si="8"/>
        <v>0</v>
      </c>
      <c r="CF8" s="2">
        <f t="shared" si="8"/>
        <v>0</v>
      </c>
      <c r="CG8" s="2">
        <f t="shared" si="8"/>
        <v>0</v>
      </c>
      <c r="CH8" s="2">
        <f t="shared" si="8"/>
        <v>0</v>
      </c>
      <c r="CI8" s="2">
        <f t="shared" si="8"/>
        <v>0</v>
      </c>
      <c r="CJ8" s="2">
        <f t="shared" si="8"/>
        <v>0</v>
      </c>
      <c r="CK8" s="23">
        <f t="shared" si="8"/>
        <v>0</v>
      </c>
      <c r="CN8" s="2">
        <v>2.5</v>
      </c>
      <c r="CO8" s="14">
        <v>3.6780012704100286E-2</v>
      </c>
      <c r="CP8" s="14">
        <v>-2.0440030921271765E-2</v>
      </c>
      <c r="CQ8" s="14">
        <v>3.3692094041413469E-3</v>
      </c>
      <c r="CR8" s="14">
        <v>4.2949132456181595E-3</v>
      </c>
      <c r="CS8" s="14">
        <f t="shared" si="14"/>
        <v>2.4004104432588026E-2</v>
      </c>
    </row>
    <row r="9" spans="1:97" x14ac:dyDescent="0.45">
      <c r="A9" s="16">
        <v>1.5</v>
      </c>
      <c r="B9" s="17">
        <v>2.65E-3</v>
      </c>
      <c r="C9" s="19">
        <v>98.171999999999997</v>
      </c>
      <c r="D9" s="19">
        <f t="shared" si="0"/>
        <v>98.160224150025655</v>
      </c>
      <c r="E9" s="19">
        <f t="shared" si="9"/>
        <v>-1.1775849974341668E-2</v>
      </c>
      <c r="F9" s="19">
        <f t="shared" si="1"/>
        <v>1.1775849974341668E-2</v>
      </c>
      <c r="G9" s="20">
        <f t="shared" si="10"/>
        <v>8.8515207343249358E-3</v>
      </c>
      <c r="H9" s="20">
        <f>IFERROR(IRR((J9,L9:CK9),0),0)</f>
        <v>8.8919695295983647E-3</v>
      </c>
      <c r="I9" s="21">
        <f t="shared" si="2"/>
        <v>4.0448795273428928E-5</v>
      </c>
      <c r="J9" s="19">
        <f t="shared" si="13"/>
        <v>-98.160224150025655</v>
      </c>
      <c r="K9" s="22">
        <f t="shared" si="3"/>
        <v>-98.171999999999997</v>
      </c>
      <c r="L9" s="2">
        <f t="shared" si="11"/>
        <v>0.26500000000000001</v>
      </c>
      <c r="M9" s="2">
        <f t="shared" si="11"/>
        <v>0.26500000000000001</v>
      </c>
      <c r="N9" s="2">
        <f t="shared" si="11"/>
        <v>100.265</v>
      </c>
      <c r="O9" s="2">
        <f t="shared" si="11"/>
        <v>0</v>
      </c>
      <c r="P9" s="2">
        <f t="shared" si="11"/>
        <v>0</v>
      </c>
      <c r="Q9" s="2">
        <f t="shared" si="11"/>
        <v>0</v>
      </c>
      <c r="R9" s="2">
        <f t="shared" si="11"/>
        <v>0</v>
      </c>
      <c r="S9" s="2">
        <f t="shared" si="11"/>
        <v>0</v>
      </c>
      <c r="T9" s="2">
        <f t="shared" si="11"/>
        <v>0</v>
      </c>
      <c r="U9" s="2">
        <f t="shared" si="11"/>
        <v>0</v>
      </c>
      <c r="V9" s="2">
        <f t="shared" si="4"/>
        <v>0</v>
      </c>
      <c r="W9" s="2">
        <f t="shared" si="4"/>
        <v>0</v>
      </c>
      <c r="X9" s="2">
        <f t="shared" si="4"/>
        <v>0</v>
      </c>
      <c r="Y9" s="2">
        <f t="shared" si="4"/>
        <v>0</v>
      </c>
      <c r="Z9" s="2">
        <f t="shared" si="4"/>
        <v>0</v>
      </c>
      <c r="AA9" s="2">
        <f t="shared" si="4"/>
        <v>0</v>
      </c>
      <c r="AB9" s="2">
        <f t="shared" si="4"/>
        <v>0</v>
      </c>
      <c r="AC9" s="2">
        <f t="shared" si="5"/>
        <v>0</v>
      </c>
      <c r="AD9" s="2">
        <f t="shared" si="5"/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2">
        <f t="shared" si="5"/>
        <v>0</v>
      </c>
      <c r="AI9" s="2">
        <f t="shared" si="5"/>
        <v>0</v>
      </c>
      <c r="AJ9" s="2">
        <f t="shared" si="5"/>
        <v>0</v>
      </c>
      <c r="AK9" s="2">
        <f t="shared" si="5"/>
        <v>0</v>
      </c>
      <c r="AL9" s="2">
        <f t="shared" si="5"/>
        <v>0</v>
      </c>
      <c r="AM9" s="2">
        <f t="shared" si="5"/>
        <v>0</v>
      </c>
      <c r="AN9" s="2">
        <f t="shared" si="5"/>
        <v>0</v>
      </c>
      <c r="AO9" s="2">
        <f t="shared" si="5"/>
        <v>0</v>
      </c>
      <c r="AP9" s="2">
        <f t="shared" si="5"/>
        <v>0</v>
      </c>
      <c r="AQ9" s="2">
        <f t="shared" si="5"/>
        <v>0</v>
      </c>
      <c r="AR9" s="2">
        <f t="shared" si="5"/>
        <v>0</v>
      </c>
      <c r="AS9" s="2">
        <f t="shared" si="6"/>
        <v>0</v>
      </c>
      <c r="AT9" s="2">
        <f t="shared" si="6"/>
        <v>0</v>
      </c>
      <c r="AU9" s="2">
        <f t="shared" si="6"/>
        <v>0</v>
      </c>
      <c r="AV9" s="2">
        <f t="shared" si="6"/>
        <v>0</v>
      </c>
      <c r="AW9" s="2">
        <f t="shared" si="6"/>
        <v>0</v>
      </c>
      <c r="AX9" s="2">
        <f t="shared" si="6"/>
        <v>0</v>
      </c>
      <c r="AY9" s="2">
        <f t="shared" si="6"/>
        <v>0</v>
      </c>
      <c r="AZ9" s="2">
        <f t="shared" si="6"/>
        <v>0</v>
      </c>
      <c r="BA9" s="2">
        <f t="shared" si="6"/>
        <v>0</v>
      </c>
      <c r="BB9" s="2">
        <f t="shared" si="6"/>
        <v>0</v>
      </c>
      <c r="BC9" s="2">
        <f t="shared" si="6"/>
        <v>0</v>
      </c>
      <c r="BD9" s="2">
        <f t="shared" si="6"/>
        <v>0</v>
      </c>
      <c r="BE9" s="2">
        <f t="shared" si="6"/>
        <v>0</v>
      </c>
      <c r="BF9" s="2">
        <f t="shared" si="6"/>
        <v>0</v>
      </c>
      <c r="BG9" s="2">
        <f t="shared" si="6"/>
        <v>0</v>
      </c>
      <c r="BH9" s="2">
        <f t="shared" si="6"/>
        <v>0</v>
      </c>
      <c r="BI9" s="2">
        <f t="shared" si="7"/>
        <v>0</v>
      </c>
      <c r="BJ9" s="2">
        <f t="shared" si="7"/>
        <v>0</v>
      </c>
      <c r="BK9" s="2">
        <f t="shared" si="7"/>
        <v>0</v>
      </c>
      <c r="BL9" s="2">
        <f t="shared" si="7"/>
        <v>0</v>
      </c>
      <c r="BM9" s="2">
        <f t="shared" si="7"/>
        <v>0</v>
      </c>
      <c r="BN9" s="2">
        <f t="shared" si="7"/>
        <v>0</v>
      </c>
      <c r="BO9" s="2">
        <f t="shared" si="7"/>
        <v>0</v>
      </c>
      <c r="BP9" s="2">
        <f t="shared" si="7"/>
        <v>0</v>
      </c>
      <c r="BQ9" s="2">
        <f t="shared" si="7"/>
        <v>0</v>
      </c>
      <c r="BR9" s="2">
        <f t="shared" si="7"/>
        <v>0</v>
      </c>
      <c r="BS9" s="2">
        <f t="shared" si="7"/>
        <v>0</v>
      </c>
      <c r="BT9" s="2">
        <f t="shared" si="7"/>
        <v>0</v>
      </c>
      <c r="BU9" s="2">
        <f t="shared" si="7"/>
        <v>0</v>
      </c>
      <c r="BV9" s="2">
        <f t="shared" si="7"/>
        <v>0</v>
      </c>
      <c r="BW9" s="2">
        <f t="shared" si="7"/>
        <v>0</v>
      </c>
      <c r="BX9" s="2">
        <f t="shared" si="7"/>
        <v>0</v>
      </c>
      <c r="BY9" s="2">
        <f t="shared" si="8"/>
        <v>0</v>
      </c>
      <c r="BZ9" s="2">
        <f t="shared" si="8"/>
        <v>0</v>
      </c>
      <c r="CA9" s="2">
        <f t="shared" si="8"/>
        <v>0</v>
      </c>
      <c r="CB9" s="2">
        <f t="shared" si="8"/>
        <v>0</v>
      </c>
      <c r="CC9" s="2">
        <f t="shared" si="8"/>
        <v>0</v>
      </c>
      <c r="CD9" s="2">
        <f t="shared" si="8"/>
        <v>0</v>
      </c>
      <c r="CE9" s="2">
        <f t="shared" si="8"/>
        <v>0</v>
      </c>
      <c r="CF9" s="2">
        <f t="shared" si="8"/>
        <v>0</v>
      </c>
      <c r="CG9" s="2">
        <f t="shared" si="8"/>
        <v>0</v>
      </c>
      <c r="CH9" s="2">
        <f t="shared" si="8"/>
        <v>0</v>
      </c>
      <c r="CI9" s="2">
        <f t="shared" si="8"/>
        <v>0</v>
      </c>
      <c r="CJ9" s="2">
        <f t="shared" si="8"/>
        <v>0</v>
      </c>
      <c r="CK9" s="23">
        <f t="shared" si="8"/>
        <v>0</v>
      </c>
      <c r="CN9" s="2">
        <v>3</v>
      </c>
      <c r="CO9" s="14">
        <v>3.6780012704100286E-2</v>
      </c>
      <c r="CP9" s="14">
        <v>-2.0161709166404588E-2</v>
      </c>
      <c r="CQ9" s="14">
        <v>3.9688651733721832E-3</v>
      </c>
      <c r="CR9" s="14">
        <v>5.111730085021679E-3</v>
      </c>
      <c r="CS9" s="14">
        <f t="shared" si="14"/>
        <v>2.569889879608956E-2</v>
      </c>
    </row>
    <row r="10" spans="1:97" x14ac:dyDescent="0.45">
      <c r="A10" s="16">
        <v>2</v>
      </c>
      <c r="B10" s="17">
        <v>3.3E-3</v>
      </c>
      <c r="C10" s="19">
        <v>97.513999999999996</v>
      </c>
      <c r="D10" s="19">
        <f t="shared" si="0"/>
        <v>97.634058259473946</v>
      </c>
      <c r="E10" s="19">
        <f t="shared" si="9"/>
        <v>0.1200582594739501</v>
      </c>
      <c r="F10" s="19">
        <f t="shared" si="1"/>
        <v>0.1200582594739501</v>
      </c>
      <c r="G10" s="20">
        <f t="shared" si="10"/>
        <v>9.6659063478032881E-3</v>
      </c>
      <c r="H10" s="20">
        <f>IFERROR(IRR((J10,L10:CK10),0),0)</f>
        <v>9.3538143441411759E-3</v>
      </c>
      <c r="I10" s="21">
        <f t="shared" si="2"/>
        <v>-3.1209200366211221E-4</v>
      </c>
      <c r="J10" s="19">
        <f t="shared" si="13"/>
        <v>-97.634058259473946</v>
      </c>
      <c r="K10" s="22">
        <f t="shared" si="3"/>
        <v>-97.513999999999996</v>
      </c>
      <c r="L10" s="2">
        <f t="shared" si="11"/>
        <v>0.33</v>
      </c>
      <c r="M10" s="2">
        <f t="shared" si="11"/>
        <v>0.33</v>
      </c>
      <c r="N10" s="2">
        <f t="shared" si="11"/>
        <v>0.33</v>
      </c>
      <c r="O10" s="2">
        <f t="shared" si="11"/>
        <v>100.33000000000001</v>
      </c>
      <c r="P10" s="2">
        <f t="shared" si="11"/>
        <v>0</v>
      </c>
      <c r="Q10" s="2">
        <f t="shared" si="11"/>
        <v>0</v>
      </c>
      <c r="R10" s="2">
        <f t="shared" si="11"/>
        <v>0</v>
      </c>
      <c r="S10" s="2">
        <f t="shared" si="11"/>
        <v>0</v>
      </c>
      <c r="T10" s="2">
        <f t="shared" si="11"/>
        <v>0</v>
      </c>
      <c r="U10" s="2">
        <f t="shared" si="11"/>
        <v>0</v>
      </c>
      <c r="V10" s="2">
        <f t="shared" si="4"/>
        <v>0</v>
      </c>
      <c r="W10" s="2">
        <f t="shared" si="4"/>
        <v>0</v>
      </c>
      <c r="X10" s="2">
        <f t="shared" si="4"/>
        <v>0</v>
      </c>
      <c r="Y10" s="2">
        <f t="shared" si="4"/>
        <v>0</v>
      </c>
      <c r="Z10" s="2">
        <f t="shared" si="4"/>
        <v>0</v>
      </c>
      <c r="AA10" s="2">
        <f t="shared" si="4"/>
        <v>0</v>
      </c>
      <c r="AB10" s="2">
        <f t="shared" si="4"/>
        <v>0</v>
      </c>
      <c r="AC10" s="2">
        <f t="shared" si="5"/>
        <v>0</v>
      </c>
      <c r="AD10" s="2">
        <f t="shared" si="5"/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2">
        <f t="shared" si="5"/>
        <v>0</v>
      </c>
      <c r="AI10" s="2">
        <f t="shared" si="5"/>
        <v>0</v>
      </c>
      <c r="AJ10" s="2">
        <f t="shared" si="5"/>
        <v>0</v>
      </c>
      <c r="AK10" s="2">
        <f t="shared" si="5"/>
        <v>0</v>
      </c>
      <c r="AL10" s="2">
        <f t="shared" si="5"/>
        <v>0</v>
      </c>
      <c r="AM10" s="2">
        <f t="shared" si="5"/>
        <v>0</v>
      </c>
      <c r="AN10" s="2">
        <f t="shared" si="5"/>
        <v>0</v>
      </c>
      <c r="AO10" s="2">
        <f t="shared" si="5"/>
        <v>0</v>
      </c>
      <c r="AP10" s="2">
        <f t="shared" si="5"/>
        <v>0</v>
      </c>
      <c r="AQ10" s="2">
        <f t="shared" si="5"/>
        <v>0</v>
      </c>
      <c r="AR10" s="2">
        <f t="shared" si="5"/>
        <v>0</v>
      </c>
      <c r="AS10" s="2">
        <f t="shared" si="6"/>
        <v>0</v>
      </c>
      <c r="AT10" s="2">
        <f t="shared" si="6"/>
        <v>0</v>
      </c>
      <c r="AU10" s="2">
        <f t="shared" si="6"/>
        <v>0</v>
      </c>
      <c r="AV10" s="2">
        <f t="shared" si="6"/>
        <v>0</v>
      </c>
      <c r="AW10" s="2">
        <f t="shared" si="6"/>
        <v>0</v>
      </c>
      <c r="AX10" s="2">
        <f t="shared" si="6"/>
        <v>0</v>
      </c>
      <c r="AY10" s="2">
        <f t="shared" si="6"/>
        <v>0</v>
      </c>
      <c r="AZ10" s="2">
        <f t="shared" si="6"/>
        <v>0</v>
      </c>
      <c r="BA10" s="2">
        <f t="shared" si="6"/>
        <v>0</v>
      </c>
      <c r="BB10" s="2">
        <f t="shared" si="6"/>
        <v>0</v>
      </c>
      <c r="BC10" s="2">
        <f t="shared" si="6"/>
        <v>0</v>
      </c>
      <c r="BD10" s="2">
        <f t="shared" si="6"/>
        <v>0</v>
      </c>
      <c r="BE10" s="2">
        <f t="shared" si="6"/>
        <v>0</v>
      </c>
      <c r="BF10" s="2">
        <f t="shared" si="6"/>
        <v>0</v>
      </c>
      <c r="BG10" s="2">
        <f t="shared" si="6"/>
        <v>0</v>
      </c>
      <c r="BH10" s="2">
        <f t="shared" si="6"/>
        <v>0</v>
      </c>
      <c r="BI10" s="2">
        <f t="shared" si="7"/>
        <v>0</v>
      </c>
      <c r="BJ10" s="2">
        <f t="shared" si="7"/>
        <v>0</v>
      </c>
      <c r="BK10" s="2">
        <f t="shared" si="7"/>
        <v>0</v>
      </c>
      <c r="BL10" s="2">
        <f t="shared" si="7"/>
        <v>0</v>
      </c>
      <c r="BM10" s="2">
        <f t="shared" si="7"/>
        <v>0</v>
      </c>
      <c r="BN10" s="2">
        <f t="shared" si="7"/>
        <v>0</v>
      </c>
      <c r="BO10" s="2">
        <f t="shared" si="7"/>
        <v>0</v>
      </c>
      <c r="BP10" s="2">
        <f t="shared" si="7"/>
        <v>0</v>
      </c>
      <c r="BQ10" s="2">
        <f t="shared" si="7"/>
        <v>0</v>
      </c>
      <c r="BR10" s="2">
        <f t="shared" si="7"/>
        <v>0</v>
      </c>
      <c r="BS10" s="2">
        <f t="shared" si="7"/>
        <v>0</v>
      </c>
      <c r="BT10" s="2">
        <f t="shared" si="7"/>
        <v>0</v>
      </c>
      <c r="BU10" s="2">
        <f t="shared" si="7"/>
        <v>0</v>
      </c>
      <c r="BV10" s="2">
        <f t="shared" si="7"/>
        <v>0</v>
      </c>
      <c r="BW10" s="2">
        <f t="shared" si="7"/>
        <v>0</v>
      </c>
      <c r="BX10" s="2">
        <f t="shared" si="7"/>
        <v>0</v>
      </c>
      <c r="BY10" s="2">
        <f t="shared" si="8"/>
        <v>0</v>
      </c>
      <c r="BZ10" s="2">
        <f t="shared" si="8"/>
        <v>0</v>
      </c>
      <c r="CA10" s="2">
        <f t="shared" si="8"/>
        <v>0</v>
      </c>
      <c r="CB10" s="2">
        <f t="shared" si="8"/>
        <v>0</v>
      </c>
      <c r="CC10" s="2">
        <f t="shared" si="8"/>
        <v>0</v>
      </c>
      <c r="CD10" s="2">
        <f t="shared" si="8"/>
        <v>0</v>
      </c>
      <c r="CE10" s="2">
        <f t="shared" si="8"/>
        <v>0</v>
      </c>
      <c r="CF10" s="2">
        <f t="shared" si="8"/>
        <v>0</v>
      </c>
      <c r="CG10" s="2">
        <f t="shared" si="8"/>
        <v>0</v>
      </c>
      <c r="CH10" s="2">
        <f t="shared" si="8"/>
        <v>0</v>
      </c>
      <c r="CI10" s="2">
        <f t="shared" si="8"/>
        <v>0</v>
      </c>
      <c r="CJ10" s="2">
        <f t="shared" si="8"/>
        <v>0</v>
      </c>
      <c r="CK10" s="23">
        <f t="shared" si="8"/>
        <v>0</v>
      </c>
      <c r="CN10" s="2">
        <v>3.5</v>
      </c>
      <c r="CO10" s="14">
        <v>3.6780012704100286E-2</v>
      </c>
      <c r="CP10" s="14">
        <v>-1.9888488226564704E-2</v>
      </c>
      <c r="CQ10" s="14">
        <v>4.545584811649071E-3</v>
      </c>
      <c r="CR10" s="14">
        <v>5.9149450900181991E-3</v>
      </c>
      <c r="CS10" s="14">
        <f t="shared" si="14"/>
        <v>2.735205437920285E-2</v>
      </c>
    </row>
    <row r="11" spans="1:97" x14ac:dyDescent="0.45">
      <c r="A11" s="16">
        <v>2.5</v>
      </c>
      <c r="B11" s="17">
        <v>3.1900000000000001E-3</v>
      </c>
      <c r="C11" s="19">
        <v>96.853999999999999</v>
      </c>
      <c r="D11" s="19">
        <f t="shared" si="0"/>
        <v>96.789594065700271</v>
      </c>
      <c r="E11" s="19">
        <f t="shared" si="9"/>
        <v>-6.4405934299728074E-2</v>
      </c>
      <c r="F11" s="19">
        <f t="shared" si="1"/>
        <v>6.4405934299728074E-2</v>
      </c>
      <c r="G11" s="20">
        <f t="shared" si="10"/>
        <v>9.665618166047496E-3</v>
      </c>
      <c r="H11" s="20">
        <f>IFERROR(IRR((J11,L11:CK11),0),0)</f>
        <v>9.8008271316949447E-3</v>
      </c>
      <c r="I11" s="21">
        <f t="shared" si="2"/>
        <v>1.3520896564744866E-4</v>
      </c>
      <c r="J11" s="19">
        <f t="shared" si="13"/>
        <v>-96.789594065700271</v>
      </c>
      <c r="K11" s="22">
        <f t="shared" si="3"/>
        <v>-96.853999999999999</v>
      </c>
      <c r="L11" s="2">
        <f t="shared" si="11"/>
        <v>0.31900000000000001</v>
      </c>
      <c r="M11" s="2">
        <f t="shared" si="11"/>
        <v>0.31900000000000001</v>
      </c>
      <c r="N11" s="2">
        <f t="shared" si="11"/>
        <v>0.31900000000000001</v>
      </c>
      <c r="O11" s="2">
        <f t="shared" si="11"/>
        <v>0.31900000000000001</v>
      </c>
      <c r="P11" s="2">
        <f t="shared" si="11"/>
        <v>100.319</v>
      </c>
      <c r="Q11" s="2">
        <f t="shared" si="11"/>
        <v>0</v>
      </c>
      <c r="R11" s="2">
        <f t="shared" si="11"/>
        <v>0</v>
      </c>
      <c r="S11" s="2">
        <f t="shared" si="11"/>
        <v>0</v>
      </c>
      <c r="T11" s="2">
        <f t="shared" si="11"/>
        <v>0</v>
      </c>
      <c r="U11" s="2">
        <f t="shared" si="11"/>
        <v>0</v>
      </c>
      <c r="V11" s="2">
        <f t="shared" si="4"/>
        <v>0</v>
      </c>
      <c r="W11" s="2">
        <f t="shared" si="4"/>
        <v>0</v>
      </c>
      <c r="X11" s="2">
        <f t="shared" si="4"/>
        <v>0</v>
      </c>
      <c r="Y11" s="2">
        <f t="shared" si="4"/>
        <v>0</v>
      </c>
      <c r="Z11" s="2">
        <f t="shared" si="4"/>
        <v>0</v>
      </c>
      <c r="AA11" s="2">
        <f t="shared" si="4"/>
        <v>0</v>
      </c>
      <c r="AB11" s="2">
        <f t="shared" si="4"/>
        <v>0</v>
      </c>
      <c r="AC11" s="2">
        <f t="shared" si="5"/>
        <v>0</v>
      </c>
      <c r="AD11" s="2">
        <f t="shared" si="5"/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2">
        <f t="shared" si="5"/>
        <v>0</v>
      </c>
      <c r="AI11" s="2">
        <f t="shared" si="5"/>
        <v>0</v>
      </c>
      <c r="AJ11" s="2">
        <f t="shared" si="5"/>
        <v>0</v>
      </c>
      <c r="AK11" s="2">
        <f t="shared" si="5"/>
        <v>0</v>
      </c>
      <c r="AL11" s="2">
        <f t="shared" si="5"/>
        <v>0</v>
      </c>
      <c r="AM11" s="2">
        <f t="shared" si="5"/>
        <v>0</v>
      </c>
      <c r="AN11" s="2">
        <f t="shared" si="5"/>
        <v>0</v>
      </c>
      <c r="AO11" s="2">
        <f t="shared" si="5"/>
        <v>0</v>
      </c>
      <c r="AP11" s="2">
        <f t="shared" si="5"/>
        <v>0</v>
      </c>
      <c r="AQ11" s="2">
        <f t="shared" si="5"/>
        <v>0</v>
      </c>
      <c r="AR11" s="2">
        <f t="shared" si="5"/>
        <v>0</v>
      </c>
      <c r="AS11" s="2">
        <f t="shared" si="6"/>
        <v>0</v>
      </c>
      <c r="AT11" s="2">
        <f t="shared" si="6"/>
        <v>0</v>
      </c>
      <c r="AU11" s="2">
        <f t="shared" si="6"/>
        <v>0</v>
      </c>
      <c r="AV11" s="2">
        <f t="shared" si="6"/>
        <v>0</v>
      </c>
      <c r="AW11" s="2">
        <f t="shared" si="6"/>
        <v>0</v>
      </c>
      <c r="AX11" s="2">
        <f t="shared" si="6"/>
        <v>0</v>
      </c>
      <c r="AY11" s="2">
        <f t="shared" si="6"/>
        <v>0</v>
      </c>
      <c r="AZ11" s="2">
        <f t="shared" si="6"/>
        <v>0</v>
      </c>
      <c r="BA11" s="2">
        <f t="shared" si="6"/>
        <v>0</v>
      </c>
      <c r="BB11" s="2">
        <f t="shared" si="6"/>
        <v>0</v>
      </c>
      <c r="BC11" s="2">
        <f t="shared" si="6"/>
        <v>0</v>
      </c>
      <c r="BD11" s="2">
        <f t="shared" si="6"/>
        <v>0</v>
      </c>
      <c r="BE11" s="2">
        <f t="shared" si="6"/>
        <v>0</v>
      </c>
      <c r="BF11" s="2">
        <f t="shared" si="6"/>
        <v>0</v>
      </c>
      <c r="BG11" s="2">
        <f t="shared" si="6"/>
        <v>0</v>
      </c>
      <c r="BH11" s="2">
        <f t="shared" si="6"/>
        <v>0</v>
      </c>
      <c r="BI11" s="2">
        <f t="shared" si="7"/>
        <v>0</v>
      </c>
      <c r="BJ11" s="2">
        <f t="shared" si="7"/>
        <v>0</v>
      </c>
      <c r="BK11" s="2">
        <f t="shared" si="7"/>
        <v>0</v>
      </c>
      <c r="BL11" s="2">
        <f t="shared" si="7"/>
        <v>0</v>
      </c>
      <c r="BM11" s="2">
        <f t="shared" si="7"/>
        <v>0</v>
      </c>
      <c r="BN11" s="2">
        <f t="shared" si="7"/>
        <v>0</v>
      </c>
      <c r="BO11" s="2">
        <f t="shared" si="7"/>
        <v>0</v>
      </c>
      <c r="BP11" s="2">
        <f t="shared" si="7"/>
        <v>0</v>
      </c>
      <c r="BQ11" s="2">
        <f t="shared" si="7"/>
        <v>0</v>
      </c>
      <c r="BR11" s="2">
        <f t="shared" si="7"/>
        <v>0</v>
      </c>
      <c r="BS11" s="2">
        <f t="shared" si="7"/>
        <v>0</v>
      </c>
      <c r="BT11" s="2">
        <f t="shared" si="7"/>
        <v>0</v>
      </c>
      <c r="BU11" s="2">
        <f t="shared" si="7"/>
        <v>0</v>
      </c>
      <c r="BV11" s="2">
        <f t="shared" si="7"/>
        <v>0</v>
      </c>
      <c r="BW11" s="2">
        <f t="shared" si="7"/>
        <v>0</v>
      </c>
      <c r="BX11" s="2">
        <f t="shared" si="7"/>
        <v>0</v>
      </c>
      <c r="BY11" s="2">
        <f t="shared" si="8"/>
        <v>0</v>
      </c>
      <c r="BZ11" s="2">
        <f t="shared" si="8"/>
        <v>0</v>
      </c>
      <c r="CA11" s="2">
        <f t="shared" si="8"/>
        <v>0</v>
      </c>
      <c r="CB11" s="2">
        <f t="shared" si="8"/>
        <v>0</v>
      </c>
      <c r="CC11" s="2">
        <f t="shared" si="8"/>
        <v>0</v>
      </c>
      <c r="CD11" s="2">
        <f t="shared" si="8"/>
        <v>0</v>
      </c>
      <c r="CE11" s="2">
        <f t="shared" si="8"/>
        <v>0</v>
      </c>
      <c r="CF11" s="2">
        <f t="shared" si="8"/>
        <v>0</v>
      </c>
      <c r="CG11" s="2">
        <f t="shared" si="8"/>
        <v>0</v>
      </c>
      <c r="CH11" s="2">
        <f t="shared" si="8"/>
        <v>0</v>
      </c>
      <c r="CI11" s="2">
        <f t="shared" si="8"/>
        <v>0</v>
      </c>
      <c r="CJ11" s="2">
        <f t="shared" si="8"/>
        <v>0</v>
      </c>
      <c r="CK11" s="23">
        <f t="shared" si="8"/>
        <v>0</v>
      </c>
      <c r="CN11" s="2">
        <v>4</v>
      </c>
      <c r="CO11" s="14">
        <v>3.6780012704100286E-2</v>
      </c>
      <c r="CP11" s="14">
        <v>-1.9620262533362142E-2</v>
      </c>
      <c r="CQ11" s="14">
        <v>5.1000912300812494E-3</v>
      </c>
      <c r="CR11" s="14">
        <v>6.704747491396274E-3</v>
      </c>
      <c r="CS11" s="14">
        <f t="shared" si="14"/>
        <v>2.8964588892215669E-2</v>
      </c>
    </row>
    <row r="12" spans="1:97" x14ac:dyDescent="0.45">
      <c r="A12" s="16">
        <v>3</v>
      </c>
      <c r="B12" s="17">
        <v>1.5E-3</v>
      </c>
      <c r="C12" s="19">
        <v>95.417500000000004</v>
      </c>
      <c r="D12" s="19">
        <f t="shared" si="0"/>
        <v>94.940492467039533</v>
      </c>
      <c r="E12" s="19">
        <f t="shared" si="9"/>
        <v>-0.47700753296047083</v>
      </c>
      <c r="F12" s="19">
        <f t="shared" si="1"/>
        <v>0.47700753296047083</v>
      </c>
      <c r="G12" s="20">
        <f t="shared" si="10"/>
        <v>9.3904741652677259E-3</v>
      </c>
      <c r="H12" s="20">
        <f>IFERROR(IRR((J12,L12:CK12),0),0)</f>
        <v>1.0237215920397613E-2</v>
      </c>
      <c r="I12" s="21">
        <f t="shared" si="2"/>
        <v>8.4674175512988725E-4</v>
      </c>
      <c r="J12" s="19">
        <f t="shared" si="13"/>
        <v>-94.940492467039533</v>
      </c>
      <c r="K12" s="22">
        <f t="shared" si="3"/>
        <v>-95.417500000000004</v>
      </c>
      <c r="L12" s="2">
        <f t="shared" si="11"/>
        <v>0.15</v>
      </c>
      <c r="M12" s="2">
        <f t="shared" si="11"/>
        <v>0.15</v>
      </c>
      <c r="N12" s="2">
        <f t="shared" si="11"/>
        <v>0.15</v>
      </c>
      <c r="O12" s="2">
        <f t="shared" si="11"/>
        <v>0.15</v>
      </c>
      <c r="P12" s="2">
        <f t="shared" si="11"/>
        <v>0.15</v>
      </c>
      <c r="Q12" s="2">
        <f t="shared" si="11"/>
        <v>100.15</v>
      </c>
      <c r="R12" s="2">
        <f t="shared" si="11"/>
        <v>0</v>
      </c>
      <c r="S12" s="2">
        <f t="shared" si="11"/>
        <v>0</v>
      </c>
      <c r="T12" s="2">
        <f t="shared" si="11"/>
        <v>0</v>
      </c>
      <c r="U12" s="2">
        <f t="shared" si="11"/>
        <v>0</v>
      </c>
      <c r="V12" s="2">
        <f t="shared" si="4"/>
        <v>0</v>
      </c>
      <c r="W12" s="2">
        <f t="shared" si="4"/>
        <v>0</v>
      </c>
      <c r="X12" s="2">
        <f t="shared" si="4"/>
        <v>0</v>
      </c>
      <c r="Y12" s="2">
        <f t="shared" si="4"/>
        <v>0</v>
      </c>
      <c r="Z12" s="2">
        <f t="shared" si="4"/>
        <v>0</v>
      </c>
      <c r="AA12" s="2">
        <f t="shared" si="4"/>
        <v>0</v>
      </c>
      <c r="AB12" s="2">
        <f t="shared" si="4"/>
        <v>0</v>
      </c>
      <c r="AC12" s="2">
        <f t="shared" si="5"/>
        <v>0</v>
      </c>
      <c r="AD12" s="2">
        <f t="shared" si="5"/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2">
        <f t="shared" si="5"/>
        <v>0</v>
      </c>
      <c r="AI12" s="2">
        <f t="shared" si="5"/>
        <v>0</v>
      </c>
      <c r="AJ12" s="2">
        <f t="shared" si="5"/>
        <v>0</v>
      </c>
      <c r="AK12" s="2">
        <f t="shared" si="5"/>
        <v>0</v>
      </c>
      <c r="AL12" s="2">
        <f t="shared" si="5"/>
        <v>0</v>
      </c>
      <c r="AM12" s="2">
        <f t="shared" si="5"/>
        <v>0</v>
      </c>
      <c r="AN12" s="2">
        <f t="shared" si="5"/>
        <v>0</v>
      </c>
      <c r="AO12" s="2">
        <f t="shared" si="5"/>
        <v>0</v>
      </c>
      <c r="AP12" s="2">
        <f t="shared" si="5"/>
        <v>0</v>
      </c>
      <c r="AQ12" s="2">
        <f t="shared" si="5"/>
        <v>0</v>
      </c>
      <c r="AR12" s="2">
        <f t="shared" si="5"/>
        <v>0</v>
      </c>
      <c r="AS12" s="2">
        <f t="shared" si="6"/>
        <v>0</v>
      </c>
      <c r="AT12" s="2">
        <f t="shared" si="6"/>
        <v>0</v>
      </c>
      <c r="AU12" s="2">
        <f t="shared" si="6"/>
        <v>0</v>
      </c>
      <c r="AV12" s="2">
        <f t="shared" si="6"/>
        <v>0</v>
      </c>
      <c r="AW12" s="2">
        <f t="shared" si="6"/>
        <v>0</v>
      </c>
      <c r="AX12" s="2">
        <f t="shared" si="6"/>
        <v>0</v>
      </c>
      <c r="AY12" s="2">
        <f t="shared" si="6"/>
        <v>0</v>
      </c>
      <c r="AZ12" s="2">
        <f t="shared" si="6"/>
        <v>0</v>
      </c>
      <c r="BA12" s="2">
        <f t="shared" si="6"/>
        <v>0</v>
      </c>
      <c r="BB12" s="2">
        <f t="shared" si="6"/>
        <v>0</v>
      </c>
      <c r="BC12" s="2">
        <f t="shared" si="6"/>
        <v>0</v>
      </c>
      <c r="BD12" s="2">
        <f t="shared" si="6"/>
        <v>0</v>
      </c>
      <c r="BE12" s="2">
        <f t="shared" si="6"/>
        <v>0</v>
      </c>
      <c r="BF12" s="2">
        <f t="shared" si="6"/>
        <v>0</v>
      </c>
      <c r="BG12" s="2">
        <f t="shared" si="6"/>
        <v>0</v>
      </c>
      <c r="BH12" s="2">
        <f t="shared" si="6"/>
        <v>0</v>
      </c>
      <c r="BI12" s="2">
        <f t="shared" si="7"/>
        <v>0</v>
      </c>
      <c r="BJ12" s="2">
        <f t="shared" si="7"/>
        <v>0</v>
      </c>
      <c r="BK12" s="2">
        <f t="shared" si="7"/>
        <v>0</v>
      </c>
      <c r="BL12" s="2">
        <f t="shared" si="7"/>
        <v>0</v>
      </c>
      <c r="BM12" s="2">
        <f t="shared" si="7"/>
        <v>0</v>
      </c>
      <c r="BN12" s="2">
        <f t="shared" si="7"/>
        <v>0</v>
      </c>
      <c r="BO12" s="2">
        <f t="shared" si="7"/>
        <v>0</v>
      </c>
      <c r="BP12" s="2">
        <f t="shared" si="7"/>
        <v>0</v>
      </c>
      <c r="BQ12" s="2">
        <f t="shared" si="7"/>
        <v>0</v>
      </c>
      <c r="BR12" s="2">
        <f t="shared" si="7"/>
        <v>0</v>
      </c>
      <c r="BS12" s="2">
        <f t="shared" si="7"/>
        <v>0</v>
      </c>
      <c r="BT12" s="2">
        <f t="shared" si="7"/>
        <v>0</v>
      </c>
      <c r="BU12" s="2">
        <f t="shared" si="7"/>
        <v>0</v>
      </c>
      <c r="BV12" s="2">
        <f t="shared" si="7"/>
        <v>0</v>
      </c>
      <c r="BW12" s="2">
        <f t="shared" si="7"/>
        <v>0</v>
      </c>
      <c r="BX12" s="2">
        <f t="shared" si="7"/>
        <v>0</v>
      </c>
      <c r="BY12" s="2">
        <f t="shared" si="8"/>
        <v>0</v>
      </c>
      <c r="BZ12" s="2">
        <f t="shared" si="8"/>
        <v>0</v>
      </c>
      <c r="CA12" s="2">
        <f t="shared" si="8"/>
        <v>0</v>
      </c>
      <c r="CB12" s="2">
        <f t="shared" si="8"/>
        <v>0</v>
      </c>
      <c r="CC12" s="2">
        <f t="shared" si="8"/>
        <v>0</v>
      </c>
      <c r="CD12" s="2">
        <f t="shared" si="8"/>
        <v>0</v>
      </c>
      <c r="CE12" s="2">
        <f t="shared" si="8"/>
        <v>0</v>
      </c>
      <c r="CF12" s="2">
        <f t="shared" si="8"/>
        <v>0</v>
      </c>
      <c r="CG12" s="2">
        <f t="shared" si="8"/>
        <v>0</v>
      </c>
      <c r="CH12" s="2">
        <f t="shared" si="8"/>
        <v>0</v>
      </c>
      <c r="CI12" s="2">
        <f t="shared" si="8"/>
        <v>0</v>
      </c>
      <c r="CJ12" s="2">
        <f t="shared" si="8"/>
        <v>0</v>
      </c>
      <c r="CK12" s="23">
        <f t="shared" si="8"/>
        <v>0</v>
      </c>
      <c r="CN12" s="2">
        <v>4.5</v>
      </c>
      <c r="CO12" s="14">
        <v>3.6780012704100286E-2</v>
      </c>
      <c r="CP12" s="14">
        <v>-1.9356928853394031E-2</v>
      </c>
      <c r="CQ12" s="14">
        <v>5.6330858493112588E-3</v>
      </c>
      <c r="CR12" s="14">
        <v>7.4813240294024363E-3</v>
      </c>
      <c r="CS12" s="14">
        <f t="shared" si="14"/>
        <v>3.053749372941995E-2</v>
      </c>
    </row>
    <row r="13" spans="1:97" x14ac:dyDescent="0.45">
      <c r="A13" s="16">
        <v>4.5</v>
      </c>
      <c r="B13" s="17">
        <v>2.1900000000000001E-3</v>
      </c>
      <c r="C13" s="19">
        <v>91.959000000000003</v>
      </c>
      <c r="D13" s="19">
        <f t="shared" si="0"/>
        <v>92.123966191716605</v>
      </c>
      <c r="E13" s="19">
        <f t="shared" si="9"/>
        <v>0.16496619171660143</v>
      </c>
      <c r="F13" s="19">
        <f t="shared" si="1"/>
        <v>0.16496619171660143</v>
      </c>
      <c r="G13" s="20">
        <f t="shared" si="10"/>
        <v>1.165305220783619E-2</v>
      </c>
      <c r="H13" s="20">
        <f>IFERROR(IRR((J13,L13:CK13),0),0)</f>
        <v>1.1449744248193783E-2</v>
      </c>
      <c r="I13" s="21">
        <f t="shared" si="2"/>
        <v>-2.03307959642407E-4</v>
      </c>
      <c r="J13" s="19">
        <f t="shared" si="13"/>
        <v>-92.123966191716605</v>
      </c>
      <c r="K13" s="22">
        <f t="shared" si="3"/>
        <v>-91.959000000000003</v>
      </c>
      <c r="L13" s="2">
        <f t="shared" si="11"/>
        <v>0.219</v>
      </c>
      <c r="M13" s="2">
        <f t="shared" si="11"/>
        <v>0.219</v>
      </c>
      <c r="N13" s="2">
        <f t="shared" si="11"/>
        <v>0.219</v>
      </c>
      <c r="O13" s="2">
        <f t="shared" si="11"/>
        <v>0.219</v>
      </c>
      <c r="P13" s="2">
        <f t="shared" si="11"/>
        <v>0.219</v>
      </c>
      <c r="Q13" s="2">
        <f t="shared" si="11"/>
        <v>0.219</v>
      </c>
      <c r="R13" s="2">
        <f t="shared" si="11"/>
        <v>0.219</v>
      </c>
      <c r="S13" s="2">
        <f t="shared" si="11"/>
        <v>0.219</v>
      </c>
      <c r="T13" s="2">
        <f t="shared" si="11"/>
        <v>100.21899999999999</v>
      </c>
      <c r="U13" s="2">
        <f t="shared" si="11"/>
        <v>0</v>
      </c>
      <c r="V13" s="2">
        <f t="shared" si="4"/>
        <v>0</v>
      </c>
      <c r="W13" s="2">
        <f t="shared" si="4"/>
        <v>0</v>
      </c>
      <c r="X13" s="2">
        <f t="shared" si="4"/>
        <v>0</v>
      </c>
      <c r="Y13" s="2">
        <f t="shared" si="4"/>
        <v>0</v>
      </c>
      <c r="Z13" s="2">
        <f t="shared" si="4"/>
        <v>0</v>
      </c>
      <c r="AA13" s="2">
        <f t="shared" si="4"/>
        <v>0</v>
      </c>
      <c r="AB13" s="2">
        <f t="shared" si="4"/>
        <v>0</v>
      </c>
      <c r="AC13" s="2">
        <f t="shared" si="5"/>
        <v>0</v>
      </c>
      <c r="AD13" s="2">
        <f t="shared" si="5"/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2">
        <f t="shared" si="5"/>
        <v>0</v>
      </c>
      <c r="AI13" s="2">
        <f t="shared" si="5"/>
        <v>0</v>
      </c>
      <c r="AJ13" s="2">
        <f t="shared" si="5"/>
        <v>0</v>
      </c>
      <c r="AK13" s="2">
        <f t="shared" si="5"/>
        <v>0</v>
      </c>
      <c r="AL13" s="2">
        <f t="shared" si="5"/>
        <v>0</v>
      </c>
      <c r="AM13" s="2">
        <f t="shared" si="5"/>
        <v>0</v>
      </c>
      <c r="AN13" s="2">
        <f t="shared" si="5"/>
        <v>0</v>
      </c>
      <c r="AO13" s="2">
        <f t="shared" si="5"/>
        <v>0</v>
      </c>
      <c r="AP13" s="2">
        <f t="shared" si="5"/>
        <v>0</v>
      </c>
      <c r="AQ13" s="2">
        <f t="shared" si="5"/>
        <v>0</v>
      </c>
      <c r="AR13" s="2">
        <f t="shared" si="5"/>
        <v>0</v>
      </c>
      <c r="AS13" s="2">
        <f t="shared" si="6"/>
        <v>0</v>
      </c>
      <c r="AT13" s="2">
        <f t="shared" si="6"/>
        <v>0</v>
      </c>
      <c r="AU13" s="2">
        <f t="shared" si="6"/>
        <v>0</v>
      </c>
      <c r="AV13" s="2">
        <f t="shared" si="6"/>
        <v>0</v>
      </c>
      <c r="AW13" s="2">
        <f t="shared" si="6"/>
        <v>0</v>
      </c>
      <c r="AX13" s="2">
        <f t="shared" si="6"/>
        <v>0</v>
      </c>
      <c r="AY13" s="2">
        <f t="shared" si="6"/>
        <v>0</v>
      </c>
      <c r="AZ13" s="2">
        <f t="shared" si="6"/>
        <v>0</v>
      </c>
      <c r="BA13" s="2">
        <f t="shared" si="6"/>
        <v>0</v>
      </c>
      <c r="BB13" s="2">
        <f t="shared" si="6"/>
        <v>0</v>
      </c>
      <c r="BC13" s="2">
        <f t="shared" si="6"/>
        <v>0</v>
      </c>
      <c r="BD13" s="2">
        <f t="shared" si="6"/>
        <v>0</v>
      </c>
      <c r="BE13" s="2">
        <f t="shared" si="6"/>
        <v>0</v>
      </c>
      <c r="BF13" s="2">
        <f t="shared" si="6"/>
        <v>0</v>
      </c>
      <c r="BG13" s="2">
        <f t="shared" si="6"/>
        <v>0</v>
      </c>
      <c r="BH13" s="2">
        <f t="shared" si="6"/>
        <v>0</v>
      </c>
      <c r="BI13" s="2">
        <f t="shared" si="7"/>
        <v>0</v>
      </c>
      <c r="BJ13" s="2">
        <f t="shared" si="7"/>
        <v>0</v>
      </c>
      <c r="BK13" s="2">
        <f t="shared" si="7"/>
        <v>0</v>
      </c>
      <c r="BL13" s="2">
        <f t="shared" si="7"/>
        <v>0</v>
      </c>
      <c r="BM13" s="2">
        <f t="shared" si="7"/>
        <v>0</v>
      </c>
      <c r="BN13" s="2">
        <f t="shared" si="7"/>
        <v>0</v>
      </c>
      <c r="BO13" s="2">
        <f t="shared" si="7"/>
        <v>0</v>
      </c>
      <c r="BP13" s="2">
        <f t="shared" si="7"/>
        <v>0</v>
      </c>
      <c r="BQ13" s="2">
        <f t="shared" si="7"/>
        <v>0</v>
      </c>
      <c r="BR13" s="2">
        <f t="shared" si="7"/>
        <v>0</v>
      </c>
      <c r="BS13" s="2">
        <f t="shared" si="7"/>
        <v>0</v>
      </c>
      <c r="BT13" s="2">
        <f t="shared" si="7"/>
        <v>0</v>
      </c>
      <c r="BU13" s="2">
        <f t="shared" si="7"/>
        <v>0</v>
      </c>
      <c r="BV13" s="2">
        <f t="shared" si="7"/>
        <v>0</v>
      </c>
      <c r="BW13" s="2">
        <f t="shared" si="7"/>
        <v>0</v>
      </c>
      <c r="BX13" s="2">
        <f t="shared" si="7"/>
        <v>0</v>
      </c>
      <c r="BY13" s="2">
        <f t="shared" si="8"/>
        <v>0</v>
      </c>
      <c r="BZ13" s="2">
        <f t="shared" si="8"/>
        <v>0</v>
      </c>
      <c r="CA13" s="2">
        <f t="shared" si="8"/>
        <v>0</v>
      </c>
      <c r="CB13" s="2">
        <f t="shared" si="8"/>
        <v>0</v>
      </c>
      <c r="CC13" s="2">
        <f t="shared" si="8"/>
        <v>0</v>
      </c>
      <c r="CD13" s="2">
        <f t="shared" si="8"/>
        <v>0</v>
      </c>
      <c r="CE13" s="2">
        <f t="shared" si="8"/>
        <v>0</v>
      </c>
      <c r="CF13" s="2">
        <f t="shared" si="8"/>
        <v>0</v>
      </c>
      <c r="CG13" s="2">
        <f t="shared" si="8"/>
        <v>0</v>
      </c>
      <c r="CH13" s="2">
        <f t="shared" si="8"/>
        <v>0</v>
      </c>
      <c r="CI13" s="2">
        <f t="shared" si="8"/>
        <v>0</v>
      </c>
      <c r="CJ13" s="2">
        <f t="shared" si="8"/>
        <v>0</v>
      </c>
      <c r="CK13" s="23">
        <f t="shared" si="8"/>
        <v>0</v>
      </c>
      <c r="CN13" s="2">
        <v>5</v>
      </c>
      <c r="CO13" s="14">
        <v>3.6780012704100286E-2</v>
      </c>
      <c r="CP13" s="14">
        <v>-1.9098386234388299E-2</v>
      </c>
      <c r="CQ13" s="14">
        <v>6.145249222214752E-3</v>
      </c>
      <c r="CR13" s="14">
        <v>8.2448589857253562E-3</v>
      </c>
      <c r="CS13" s="14">
        <f t="shared" si="14"/>
        <v>3.2071734677652092E-2</v>
      </c>
    </row>
    <row r="14" spans="1:97" x14ac:dyDescent="0.45">
      <c r="A14" s="16">
        <v>6</v>
      </c>
      <c r="B14" s="17">
        <v>3.2400000000000003E-3</v>
      </c>
      <c r="C14" s="19">
        <v>89.953999999999994</v>
      </c>
      <c r="D14" s="19">
        <f t="shared" si="0"/>
        <v>89.702502276574961</v>
      </c>
      <c r="E14" s="19">
        <f t="shared" si="9"/>
        <v>-0.2514977234250324</v>
      </c>
      <c r="F14" s="19">
        <f t="shared" si="1"/>
        <v>0.2514977234250324</v>
      </c>
      <c r="G14" s="20">
        <f t="shared" si="10"/>
        <v>1.2295734507354217E-2</v>
      </c>
      <c r="H14" s="20">
        <f>IFERROR(IRR((J14,L14:CK14),0),0)</f>
        <v>1.2536474589796232E-2</v>
      </c>
      <c r="I14" s="21">
        <f t="shared" si="2"/>
        <v>2.4074008244201472E-4</v>
      </c>
      <c r="J14" s="19">
        <f t="shared" si="13"/>
        <v>-89.702502276574961</v>
      </c>
      <c r="K14" s="22">
        <f t="shared" si="3"/>
        <v>-89.953999999999994</v>
      </c>
      <c r="L14" s="2">
        <f t="shared" si="11"/>
        <v>0.32400000000000001</v>
      </c>
      <c r="M14" s="2">
        <f t="shared" si="11"/>
        <v>0.32400000000000001</v>
      </c>
      <c r="N14" s="2">
        <f t="shared" si="11"/>
        <v>0.32400000000000001</v>
      </c>
      <c r="O14" s="2">
        <f t="shared" si="11"/>
        <v>0.32400000000000001</v>
      </c>
      <c r="P14" s="2">
        <f t="shared" si="11"/>
        <v>0.32400000000000001</v>
      </c>
      <c r="Q14" s="2">
        <f t="shared" si="11"/>
        <v>0.32400000000000001</v>
      </c>
      <c r="R14" s="2">
        <f t="shared" si="11"/>
        <v>0.32400000000000001</v>
      </c>
      <c r="S14" s="2">
        <f t="shared" si="11"/>
        <v>0.32400000000000001</v>
      </c>
      <c r="T14" s="2">
        <f t="shared" si="11"/>
        <v>0.32400000000000001</v>
      </c>
      <c r="U14" s="2">
        <f t="shared" si="11"/>
        <v>0.32400000000000001</v>
      </c>
      <c r="V14" s="2">
        <f t="shared" si="4"/>
        <v>0.32400000000000001</v>
      </c>
      <c r="W14" s="2">
        <f t="shared" si="4"/>
        <v>100.32399999999998</v>
      </c>
      <c r="X14" s="2">
        <f t="shared" si="4"/>
        <v>0</v>
      </c>
      <c r="Y14" s="2">
        <f t="shared" si="4"/>
        <v>0</v>
      </c>
      <c r="Z14" s="2">
        <f t="shared" si="4"/>
        <v>0</v>
      </c>
      <c r="AA14" s="2">
        <f t="shared" si="4"/>
        <v>0</v>
      </c>
      <c r="AB14" s="2">
        <f t="shared" si="4"/>
        <v>0</v>
      </c>
      <c r="AC14" s="2">
        <f t="shared" si="5"/>
        <v>0</v>
      </c>
      <c r="AD14" s="2">
        <f t="shared" si="5"/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2">
        <f t="shared" si="5"/>
        <v>0</v>
      </c>
      <c r="AI14" s="2">
        <f t="shared" si="5"/>
        <v>0</v>
      </c>
      <c r="AJ14" s="2">
        <f t="shared" si="5"/>
        <v>0</v>
      </c>
      <c r="AK14" s="2">
        <f t="shared" si="5"/>
        <v>0</v>
      </c>
      <c r="AL14" s="2">
        <f t="shared" si="5"/>
        <v>0</v>
      </c>
      <c r="AM14" s="2">
        <f t="shared" si="5"/>
        <v>0</v>
      </c>
      <c r="AN14" s="2">
        <f t="shared" si="5"/>
        <v>0</v>
      </c>
      <c r="AO14" s="2">
        <f t="shared" si="5"/>
        <v>0</v>
      </c>
      <c r="AP14" s="2">
        <f t="shared" si="5"/>
        <v>0</v>
      </c>
      <c r="AQ14" s="2">
        <f t="shared" si="5"/>
        <v>0</v>
      </c>
      <c r="AR14" s="2">
        <f t="shared" si="5"/>
        <v>0</v>
      </c>
      <c r="AS14" s="2">
        <f t="shared" si="6"/>
        <v>0</v>
      </c>
      <c r="AT14" s="2">
        <f t="shared" si="6"/>
        <v>0</v>
      </c>
      <c r="AU14" s="2">
        <f t="shared" si="6"/>
        <v>0</v>
      </c>
      <c r="AV14" s="2">
        <f t="shared" si="6"/>
        <v>0</v>
      </c>
      <c r="AW14" s="2">
        <f t="shared" si="6"/>
        <v>0</v>
      </c>
      <c r="AX14" s="2">
        <f t="shared" si="6"/>
        <v>0</v>
      </c>
      <c r="AY14" s="2">
        <f t="shared" si="6"/>
        <v>0</v>
      </c>
      <c r="AZ14" s="2">
        <f t="shared" si="6"/>
        <v>0</v>
      </c>
      <c r="BA14" s="2">
        <f t="shared" si="6"/>
        <v>0</v>
      </c>
      <c r="BB14" s="2">
        <f t="shared" si="6"/>
        <v>0</v>
      </c>
      <c r="BC14" s="2">
        <f t="shared" si="6"/>
        <v>0</v>
      </c>
      <c r="BD14" s="2">
        <f t="shared" si="6"/>
        <v>0</v>
      </c>
      <c r="BE14" s="2">
        <f t="shared" si="6"/>
        <v>0</v>
      </c>
      <c r="BF14" s="2">
        <f t="shared" si="6"/>
        <v>0</v>
      </c>
      <c r="BG14" s="2">
        <f t="shared" si="6"/>
        <v>0</v>
      </c>
      <c r="BH14" s="2">
        <f t="shared" si="6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si="7"/>
        <v>0</v>
      </c>
      <c r="BW14" s="2">
        <f t="shared" si="7"/>
        <v>0</v>
      </c>
      <c r="BX14" s="2">
        <f t="shared" si="7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3">
        <f t="shared" si="8"/>
        <v>0</v>
      </c>
      <c r="CN14" s="2">
        <v>5.5</v>
      </c>
      <c r="CO14" s="14">
        <v>3.6780012704100286E-2</v>
      </c>
      <c r="CP14" s="14">
        <v>-1.8844535952625724E-2</v>
      </c>
      <c r="CQ14" s="14">
        <v>6.6372416387990973E-3</v>
      </c>
      <c r="CR14" s="14">
        <v>8.9955342150755888E-3</v>
      </c>
      <c r="CS14" s="14">
        <f t="shared" si="14"/>
        <v>3.356825260534925E-2</v>
      </c>
    </row>
    <row r="15" spans="1:97" x14ac:dyDescent="0.45">
      <c r="A15" s="16">
        <v>10</v>
      </c>
      <c r="B15" s="17">
        <v>3.4300000000000003E-3</v>
      </c>
      <c r="C15" s="19">
        <v>80.22</v>
      </c>
      <c r="D15" s="19">
        <f t="shared" si="0"/>
        <v>80.220009259997155</v>
      </c>
      <c r="E15" s="19">
        <f t="shared" si="9"/>
        <v>9.2599971566187378E-6</v>
      </c>
      <c r="F15" s="19">
        <f t="shared" si="1"/>
        <v>9.2599971566187378E-6</v>
      </c>
      <c r="G15" s="20">
        <f t="shared" si="10"/>
        <v>1.4944730457183253E-2</v>
      </c>
      <c r="H15" s="20">
        <f>IFERROR(IRR((J15,L15:CK15),0),0)</f>
        <v>1.4944724376146912E-2</v>
      </c>
      <c r="I15" s="21">
        <f t="shared" si="2"/>
        <v>-6.0810363411434309E-9</v>
      </c>
      <c r="J15" s="19">
        <f t="shared" si="13"/>
        <v>-80.220009259997155</v>
      </c>
      <c r="K15" s="22">
        <f t="shared" si="3"/>
        <v>-80.22</v>
      </c>
      <c r="L15" s="2">
        <f t="shared" si="11"/>
        <v>0.34300000000000003</v>
      </c>
      <c r="M15" s="2">
        <f t="shared" si="11"/>
        <v>0.34300000000000003</v>
      </c>
      <c r="N15" s="2">
        <f t="shared" si="11"/>
        <v>0.34300000000000003</v>
      </c>
      <c r="O15" s="2">
        <f t="shared" si="11"/>
        <v>0.34300000000000003</v>
      </c>
      <c r="P15" s="2">
        <f t="shared" si="11"/>
        <v>0.34300000000000003</v>
      </c>
      <c r="Q15" s="2">
        <f t="shared" si="11"/>
        <v>0.34300000000000003</v>
      </c>
      <c r="R15" s="2">
        <f t="shared" si="11"/>
        <v>0.34300000000000003</v>
      </c>
      <c r="S15" s="2">
        <f t="shared" si="11"/>
        <v>0.34300000000000003</v>
      </c>
      <c r="T15" s="2">
        <f t="shared" si="11"/>
        <v>0.34300000000000003</v>
      </c>
      <c r="U15" s="2">
        <f t="shared" si="11"/>
        <v>0.34300000000000003</v>
      </c>
      <c r="V15" s="2">
        <f t="shared" si="4"/>
        <v>0.34300000000000003</v>
      </c>
      <c r="W15" s="2">
        <f t="shared" si="4"/>
        <v>0.34300000000000003</v>
      </c>
      <c r="X15" s="2">
        <f t="shared" si="4"/>
        <v>0.34300000000000003</v>
      </c>
      <c r="Y15" s="2">
        <f t="shared" si="4"/>
        <v>0.34300000000000003</v>
      </c>
      <c r="Z15" s="2">
        <f t="shared" si="4"/>
        <v>0.34300000000000003</v>
      </c>
      <c r="AA15" s="2">
        <f t="shared" si="4"/>
        <v>0.34300000000000003</v>
      </c>
      <c r="AB15" s="2">
        <f t="shared" si="4"/>
        <v>0.34300000000000003</v>
      </c>
      <c r="AC15" s="2">
        <f t="shared" si="5"/>
        <v>0.34300000000000003</v>
      </c>
      <c r="AD15" s="2">
        <f t="shared" si="5"/>
        <v>0.34300000000000003</v>
      </c>
      <c r="AE15" s="2">
        <f t="shared" si="5"/>
        <v>100.343</v>
      </c>
      <c r="AF15" s="2">
        <f t="shared" si="5"/>
        <v>0</v>
      </c>
      <c r="AG15" s="2">
        <f t="shared" si="5"/>
        <v>0</v>
      </c>
      <c r="AH15" s="2">
        <f t="shared" si="5"/>
        <v>0</v>
      </c>
      <c r="AI15" s="2">
        <f t="shared" si="5"/>
        <v>0</v>
      </c>
      <c r="AJ15" s="2">
        <f t="shared" si="5"/>
        <v>0</v>
      </c>
      <c r="AK15" s="2">
        <f t="shared" si="5"/>
        <v>0</v>
      </c>
      <c r="AL15" s="2">
        <f t="shared" si="5"/>
        <v>0</v>
      </c>
      <c r="AM15" s="2">
        <f t="shared" si="5"/>
        <v>0</v>
      </c>
      <c r="AN15" s="2">
        <f t="shared" si="5"/>
        <v>0</v>
      </c>
      <c r="AO15" s="2">
        <f t="shared" si="5"/>
        <v>0</v>
      </c>
      <c r="AP15" s="2">
        <f t="shared" si="5"/>
        <v>0</v>
      </c>
      <c r="AQ15" s="2">
        <f t="shared" si="5"/>
        <v>0</v>
      </c>
      <c r="AR15" s="2">
        <f t="shared" si="5"/>
        <v>0</v>
      </c>
      <c r="AS15" s="2">
        <f t="shared" si="6"/>
        <v>0</v>
      </c>
      <c r="AT15" s="2">
        <f t="shared" si="6"/>
        <v>0</v>
      </c>
      <c r="AU15" s="2">
        <f t="shared" si="6"/>
        <v>0</v>
      </c>
      <c r="AV15" s="2">
        <f t="shared" si="6"/>
        <v>0</v>
      </c>
      <c r="AW15" s="2">
        <f t="shared" si="6"/>
        <v>0</v>
      </c>
      <c r="AX15" s="2">
        <f t="shared" si="6"/>
        <v>0</v>
      </c>
      <c r="AY15" s="2">
        <f t="shared" si="6"/>
        <v>0</v>
      </c>
      <c r="AZ15" s="2">
        <f t="shared" si="6"/>
        <v>0</v>
      </c>
      <c r="BA15" s="2">
        <f t="shared" si="6"/>
        <v>0</v>
      </c>
      <c r="BB15" s="2">
        <f t="shared" si="6"/>
        <v>0</v>
      </c>
      <c r="BC15" s="2">
        <f t="shared" si="6"/>
        <v>0</v>
      </c>
      <c r="BD15" s="2">
        <f t="shared" si="6"/>
        <v>0</v>
      </c>
      <c r="BE15" s="2">
        <f t="shared" si="6"/>
        <v>0</v>
      </c>
      <c r="BF15" s="2">
        <f t="shared" si="6"/>
        <v>0</v>
      </c>
      <c r="BG15" s="2">
        <f t="shared" si="6"/>
        <v>0</v>
      </c>
      <c r="BH15" s="2">
        <f t="shared" si="6"/>
        <v>0</v>
      </c>
      <c r="BI15" s="2">
        <f t="shared" si="7"/>
        <v>0</v>
      </c>
      <c r="BJ15" s="2">
        <f t="shared" si="7"/>
        <v>0</v>
      </c>
      <c r="BK15" s="2">
        <f t="shared" si="7"/>
        <v>0</v>
      </c>
      <c r="BL15" s="2">
        <f t="shared" si="7"/>
        <v>0</v>
      </c>
      <c r="BM15" s="2">
        <f t="shared" si="7"/>
        <v>0</v>
      </c>
      <c r="BN15" s="2">
        <f t="shared" si="7"/>
        <v>0</v>
      </c>
      <c r="BO15" s="2">
        <f t="shared" si="7"/>
        <v>0</v>
      </c>
      <c r="BP15" s="2">
        <f t="shared" si="7"/>
        <v>0</v>
      </c>
      <c r="BQ15" s="2">
        <f t="shared" si="7"/>
        <v>0</v>
      </c>
      <c r="BR15" s="2">
        <f t="shared" si="7"/>
        <v>0</v>
      </c>
      <c r="BS15" s="2">
        <f t="shared" si="7"/>
        <v>0</v>
      </c>
      <c r="BT15" s="2">
        <f t="shared" si="7"/>
        <v>0</v>
      </c>
      <c r="BU15" s="2">
        <f t="shared" si="7"/>
        <v>0</v>
      </c>
      <c r="BV15" s="2">
        <f t="shared" si="7"/>
        <v>0</v>
      </c>
      <c r="BW15" s="2">
        <f t="shared" si="7"/>
        <v>0</v>
      </c>
      <c r="BX15" s="2">
        <f t="shared" si="7"/>
        <v>0</v>
      </c>
      <c r="BY15" s="2">
        <f t="shared" si="8"/>
        <v>0</v>
      </c>
      <c r="BZ15" s="2">
        <f t="shared" si="8"/>
        <v>0</v>
      </c>
      <c r="CA15" s="2">
        <f t="shared" si="8"/>
        <v>0</v>
      </c>
      <c r="CB15" s="2">
        <f t="shared" si="8"/>
        <v>0</v>
      </c>
      <c r="CC15" s="2">
        <f t="shared" si="8"/>
        <v>0</v>
      </c>
      <c r="CD15" s="2">
        <f t="shared" si="8"/>
        <v>0</v>
      </c>
      <c r="CE15" s="2">
        <f t="shared" si="8"/>
        <v>0</v>
      </c>
      <c r="CF15" s="2">
        <f t="shared" si="8"/>
        <v>0</v>
      </c>
      <c r="CG15" s="2">
        <f t="shared" si="8"/>
        <v>0</v>
      </c>
      <c r="CH15" s="2">
        <f t="shared" si="8"/>
        <v>0</v>
      </c>
      <c r="CI15" s="2">
        <f t="shared" si="8"/>
        <v>0</v>
      </c>
      <c r="CJ15" s="2">
        <f t="shared" si="8"/>
        <v>0</v>
      </c>
      <c r="CK15" s="23">
        <f t="shared" si="8"/>
        <v>0</v>
      </c>
      <c r="CN15" s="2">
        <v>6</v>
      </c>
      <c r="CO15" s="14">
        <v>3.6780012704100286E-2</v>
      </c>
      <c r="CP15" s="14">
        <v>-1.859528146160969E-2</v>
      </c>
      <c r="CQ15" s="14">
        <v>7.1097037138065236E-3</v>
      </c>
      <c r="CR15" s="14">
        <v>9.7335291763639246E-3</v>
      </c>
      <c r="CS15" s="14">
        <f t="shared" si="14"/>
        <v>3.5027964132661044E-2</v>
      </c>
    </row>
    <row r="16" spans="1:97" x14ac:dyDescent="0.45">
      <c r="A16" s="16"/>
      <c r="B16" s="17"/>
      <c r="C16" s="19"/>
      <c r="D16" s="19">
        <f t="shared" si="0"/>
        <v>0</v>
      </c>
      <c r="E16" s="19">
        <f t="shared" si="9"/>
        <v>0</v>
      </c>
      <c r="F16" s="19">
        <f t="shared" si="1"/>
        <v>0</v>
      </c>
      <c r="G16" s="20">
        <f t="shared" si="10"/>
        <v>0</v>
      </c>
      <c r="H16" s="20">
        <f>IFERROR(IRR((J16,L16:CK16),0),0)</f>
        <v>0</v>
      </c>
      <c r="I16" s="21">
        <f t="shared" si="2"/>
        <v>0</v>
      </c>
      <c r="J16" s="19">
        <f t="shared" si="13"/>
        <v>0</v>
      </c>
      <c r="K16" s="22">
        <f t="shared" si="3"/>
        <v>0</v>
      </c>
      <c r="L16" s="2">
        <f t="shared" si="11"/>
        <v>0</v>
      </c>
      <c r="M16" s="2">
        <f t="shared" si="11"/>
        <v>0</v>
      </c>
      <c r="N16" s="2">
        <f t="shared" si="11"/>
        <v>0</v>
      </c>
      <c r="O16" s="2">
        <f t="shared" si="11"/>
        <v>0</v>
      </c>
      <c r="P16" s="2">
        <f t="shared" si="11"/>
        <v>0</v>
      </c>
      <c r="Q16" s="2">
        <f t="shared" si="11"/>
        <v>0</v>
      </c>
      <c r="R16" s="2">
        <f t="shared" si="11"/>
        <v>0</v>
      </c>
      <c r="S16" s="2">
        <f t="shared" si="11"/>
        <v>0</v>
      </c>
      <c r="T16" s="2">
        <f t="shared" si="11"/>
        <v>0</v>
      </c>
      <c r="U16" s="2">
        <f t="shared" si="11"/>
        <v>0</v>
      </c>
      <c r="V16" s="2">
        <f t="shared" si="4"/>
        <v>0</v>
      </c>
      <c r="W16" s="2">
        <f t="shared" si="4"/>
        <v>0</v>
      </c>
      <c r="X16" s="2">
        <f t="shared" si="4"/>
        <v>0</v>
      </c>
      <c r="Y16" s="2">
        <f t="shared" si="4"/>
        <v>0</v>
      </c>
      <c r="Z16" s="2">
        <f t="shared" si="4"/>
        <v>0</v>
      </c>
      <c r="AA16" s="2">
        <f t="shared" si="4"/>
        <v>0</v>
      </c>
      <c r="AB16" s="2">
        <f t="shared" si="4"/>
        <v>0</v>
      </c>
      <c r="AC16" s="2">
        <f t="shared" si="5"/>
        <v>0</v>
      </c>
      <c r="AD16" s="2">
        <f t="shared" si="5"/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2">
        <f t="shared" si="5"/>
        <v>0</v>
      </c>
      <c r="AI16" s="2">
        <f t="shared" si="5"/>
        <v>0</v>
      </c>
      <c r="AJ16" s="2">
        <f t="shared" si="5"/>
        <v>0</v>
      </c>
      <c r="AK16" s="2">
        <f t="shared" si="5"/>
        <v>0</v>
      </c>
      <c r="AL16" s="2">
        <f t="shared" si="5"/>
        <v>0</v>
      </c>
      <c r="AM16" s="2">
        <f t="shared" si="5"/>
        <v>0</v>
      </c>
      <c r="AN16" s="2">
        <f t="shared" si="5"/>
        <v>0</v>
      </c>
      <c r="AO16" s="2">
        <f t="shared" si="5"/>
        <v>0</v>
      </c>
      <c r="AP16" s="2">
        <f t="shared" si="5"/>
        <v>0</v>
      </c>
      <c r="AQ16" s="2">
        <f t="shared" si="5"/>
        <v>0</v>
      </c>
      <c r="AR16" s="2">
        <f t="shared" si="5"/>
        <v>0</v>
      </c>
      <c r="AS16" s="2">
        <f t="shared" si="6"/>
        <v>0</v>
      </c>
      <c r="AT16" s="2">
        <f t="shared" si="6"/>
        <v>0</v>
      </c>
      <c r="AU16" s="2">
        <f t="shared" si="6"/>
        <v>0</v>
      </c>
      <c r="AV16" s="2">
        <f t="shared" si="6"/>
        <v>0</v>
      </c>
      <c r="AW16" s="2">
        <f t="shared" si="6"/>
        <v>0</v>
      </c>
      <c r="AX16" s="2">
        <f t="shared" si="6"/>
        <v>0</v>
      </c>
      <c r="AY16" s="2">
        <f t="shared" si="6"/>
        <v>0</v>
      </c>
      <c r="AZ16" s="2">
        <f t="shared" si="6"/>
        <v>0</v>
      </c>
      <c r="BA16" s="2">
        <f t="shared" si="6"/>
        <v>0</v>
      </c>
      <c r="BB16" s="2">
        <f t="shared" si="6"/>
        <v>0</v>
      </c>
      <c r="BC16" s="2">
        <f t="shared" si="6"/>
        <v>0</v>
      </c>
      <c r="BD16" s="2">
        <f t="shared" si="6"/>
        <v>0</v>
      </c>
      <c r="BE16" s="2">
        <f t="shared" si="6"/>
        <v>0</v>
      </c>
      <c r="BF16" s="2">
        <f t="shared" si="6"/>
        <v>0</v>
      </c>
      <c r="BG16" s="2">
        <f t="shared" si="6"/>
        <v>0</v>
      </c>
      <c r="BH16" s="2">
        <f t="shared" si="6"/>
        <v>0</v>
      </c>
      <c r="BI16" s="2">
        <f t="shared" si="7"/>
        <v>0</v>
      </c>
      <c r="BJ16" s="2">
        <f t="shared" si="7"/>
        <v>0</v>
      </c>
      <c r="BK16" s="2">
        <f t="shared" si="7"/>
        <v>0</v>
      </c>
      <c r="BL16" s="2">
        <f t="shared" si="7"/>
        <v>0</v>
      </c>
      <c r="BM16" s="2">
        <f t="shared" si="7"/>
        <v>0</v>
      </c>
      <c r="BN16" s="2">
        <f t="shared" si="7"/>
        <v>0</v>
      </c>
      <c r="BO16" s="2">
        <f t="shared" si="7"/>
        <v>0</v>
      </c>
      <c r="BP16" s="2">
        <f t="shared" si="7"/>
        <v>0</v>
      </c>
      <c r="BQ16" s="2">
        <f t="shared" si="7"/>
        <v>0</v>
      </c>
      <c r="BR16" s="2">
        <f t="shared" si="7"/>
        <v>0</v>
      </c>
      <c r="BS16" s="2">
        <f t="shared" si="7"/>
        <v>0</v>
      </c>
      <c r="BT16" s="2">
        <f t="shared" si="7"/>
        <v>0</v>
      </c>
      <c r="BU16" s="2">
        <f t="shared" si="7"/>
        <v>0</v>
      </c>
      <c r="BV16" s="2">
        <f t="shared" si="7"/>
        <v>0</v>
      </c>
      <c r="BW16" s="2">
        <f t="shared" si="7"/>
        <v>0</v>
      </c>
      <c r="BX16" s="2">
        <f t="shared" si="7"/>
        <v>0</v>
      </c>
      <c r="BY16" s="2">
        <f t="shared" si="8"/>
        <v>0</v>
      </c>
      <c r="BZ16" s="2">
        <f t="shared" si="8"/>
        <v>0</v>
      </c>
      <c r="CA16" s="2">
        <f t="shared" si="8"/>
        <v>0</v>
      </c>
      <c r="CB16" s="2">
        <f t="shared" si="8"/>
        <v>0</v>
      </c>
      <c r="CC16" s="2">
        <f t="shared" si="8"/>
        <v>0</v>
      </c>
      <c r="CD16" s="2">
        <f t="shared" si="8"/>
        <v>0</v>
      </c>
      <c r="CE16" s="2">
        <f t="shared" si="8"/>
        <v>0</v>
      </c>
      <c r="CF16" s="2">
        <f t="shared" si="8"/>
        <v>0</v>
      </c>
      <c r="CG16" s="2">
        <f t="shared" si="8"/>
        <v>0</v>
      </c>
      <c r="CH16" s="2">
        <f t="shared" si="8"/>
        <v>0</v>
      </c>
      <c r="CI16" s="2">
        <f t="shared" si="8"/>
        <v>0</v>
      </c>
      <c r="CJ16" s="2">
        <f t="shared" si="8"/>
        <v>0</v>
      </c>
      <c r="CK16" s="23">
        <f t="shared" si="8"/>
        <v>0</v>
      </c>
      <c r="CN16" s="2">
        <v>6.5</v>
      </c>
      <c r="CO16" s="14">
        <v>3.6780012704100286E-2</v>
      </c>
      <c r="CP16" s="14">
        <v>-1.8350528341953182E-2</v>
      </c>
      <c r="CQ16" s="14">
        <v>7.5632569575117574E-3</v>
      </c>
      <c r="CR16" s="14">
        <v>1.0459020963485556E-2</v>
      </c>
      <c r="CS16" s="14">
        <f t="shared" si="14"/>
        <v>3.6451762283144416E-2</v>
      </c>
    </row>
    <row r="17" spans="1:97" x14ac:dyDescent="0.45">
      <c r="A17" s="16"/>
      <c r="B17" s="17"/>
      <c r="C17" s="19"/>
      <c r="D17" s="19">
        <f t="shared" si="0"/>
        <v>0</v>
      </c>
      <c r="E17" s="19">
        <f t="shared" si="9"/>
        <v>0</v>
      </c>
      <c r="F17" s="19">
        <f t="shared" si="1"/>
        <v>0</v>
      </c>
      <c r="G17" s="20">
        <f t="shared" si="10"/>
        <v>0</v>
      </c>
      <c r="H17" s="20">
        <f>IFERROR(IRR((J17,L17:CK17),0),0)</f>
        <v>0</v>
      </c>
      <c r="I17" s="21">
        <f t="shared" si="2"/>
        <v>0</v>
      </c>
      <c r="J17" s="19">
        <f t="shared" si="13"/>
        <v>0</v>
      </c>
      <c r="K17" s="22">
        <f t="shared" si="3"/>
        <v>0</v>
      </c>
      <c r="L17" s="2">
        <f t="shared" si="11"/>
        <v>0</v>
      </c>
      <c r="M17" s="2">
        <f t="shared" si="11"/>
        <v>0</v>
      </c>
      <c r="N17" s="2">
        <f t="shared" si="11"/>
        <v>0</v>
      </c>
      <c r="O17" s="2">
        <f t="shared" si="11"/>
        <v>0</v>
      </c>
      <c r="P17" s="2">
        <f t="shared" si="11"/>
        <v>0</v>
      </c>
      <c r="Q17" s="2">
        <f t="shared" si="11"/>
        <v>0</v>
      </c>
      <c r="R17" s="2">
        <f t="shared" si="11"/>
        <v>0</v>
      </c>
      <c r="S17" s="2">
        <f t="shared" si="11"/>
        <v>0</v>
      </c>
      <c r="T17" s="2">
        <f t="shared" si="11"/>
        <v>0</v>
      </c>
      <c r="U17" s="2">
        <f t="shared" si="11"/>
        <v>0</v>
      </c>
      <c r="V17" s="2">
        <f t="shared" si="4"/>
        <v>0</v>
      </c>
      <c r="W17" s="2">
        <f t="shared" si="4"/>
        <v>0</v>
      </c>
      <c r="X17" s="2">
        <f t="shared" si="4"/>
        <v>0</v>
      </c>
      <c r="Y17" s="2">
        <f t="shared" si="4"/>
        <v>0</v>
      </c>
      <c r="Z17" s="2">
        <f t="shared" si="4"/>
        <v>0</v>
      </c>
      <c r="AA17" s="2">
        <f t="shared" si="4"/>
        <v>0</v>
      </c>
      <c r="AB17" s="2">
        <f t="shared" si="4"/>
        <v>0</v>
      </c>
      <c r="AC17" s="2">
        <f t="shared" si="5"/>
        <v>0</v>
      </c>
      <c r="AD17" s="2">
        <f t="shared" si="5"/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2">
        <f t="shared" si="5"/>
        <v>0</v>
      </c>
      <c r="AI17" s="2">
        <f t="shared" si="5"/>
        <v>0</v>
      </c>
      <c r="AJ17" s="2">
        <f t="shared" si="5"/>
        <v>0</v>
      </c>
      <c r="AK17" s="2">
        <f t="shared" si="5"/>
        <v>0</v>
      </c>
      <c r="AL17" s="2">
        <f t="shared" si="5"/>
        <v>0</v>
      </c>
      <c r="AM17" s="2">
        <f t="shared" si="5"/>
        <v>0</v>
      </c>
      <c r="AN17" s="2">
        <f t="shared" si="5"/>
        <v>0</v>
      </c>
      <c r="AO17" s="2">
        <f t="shared" si="5"/>
        <v>0</v>
      </c>
      <c r="AP17" s="2">
        <f t="shared" si="5"/>
        <v>0</v>
      </c>
      <c r="AQ17" s="2">
        <f t="shared" si="5"/>
        <v>0</v>
      </c>
      <c r="AR17" s="2">
        <f t="shared" si="5"/>
        <v>0</v>
      </c>
      <c r="AS17" s="2">
        <f t="shared" si="6"/>
        <v>0</v>
      </c>
      <c r="AT17" s="2">
        <f t="shared" si="6"/>
        <v>0</v>
      </c>
      <c r="AU17" s="2">
        <f t="shared" si="6"/>
        <v>0</v>
      </c>
      <c r="AV17" s="2">
        <f t="shared" si="6"/>
        <v>0</v>
      </c>
      <c r="AW17" s="2">
        <f t="shared" si="6"/>
        <v>0</v>
      </c>
      <c r="AX17" s="2">
        <f t="shared" si="6"/>
        <v>0</v>
      </c>
      <c r="AY17" s="2">
        <f t="shared" si="6"/>
        <v>0</v>
      </c>
      <c r="AZ17" s="2">
        <f t="shared" si="6"/>
        <v>0</v>
      </c>
      <c r="BA17" s="2">
        <f t="shared" si="6"/>
        <v>0</v>
      </c>
      <c r="BB17" s="2">
        <f t="shared" si="6"/>
        <v>0</v>
      </c>
      <c r="BC17" s="2">
        <f t="shared" si="6"/>
        <v>0</v>
      </c>
      <c r="BD17" s="2">
        <f t="shared" si="6"/>
        <v>0</v>
      </c>
      <c r="BE17" s="2">
        <f t="shared" si="6"/>
        <v>0</v>
      </c>
      <c r="BF17" s="2">
        <f t="shared" si="6"/>
        <v>0</v>
      </c>
      <c r="BG17" s="2">
        <f t="shared" si="6"/>
        <v>0</v>
      </c>
      <c r="BH17" s="2">
        <f t="shared" si="6"/>
        <v>0</v>
      </c>
      <c r="BI17" s="2">
        <f t="shared" si="7"/>
        <v>0</v>
      </c>
      <c r="BJ17" s="2">
        <f t="shared" si="7"/>
        <v>0</v>
      </c>
      <c r="BK17" s="2">
        <f t="shared" si="7"/>
        <v>0</v>
      </c>
      <c r="BL17" s="2">
        <f t="shared" si="7"/>
        <v>0</v>
      </c>
      <c r="BM17" s="2">
        <f t="shared" si="7"/>
        <v>0</v>
      </c>
      <c r="BN17" s="2">
        <f t="shared" si="7"/>
        <v>0</v>
      </c>
      <c r="BO17" s="2">
        <f t="shared" si="7"/>
        <v>0</v>
      </c>
      <c r="BP17" s="2">
        <f t="shared" si="7"/>
        <v>0</v>
      </c>
      <c r="BQ17" s="2">
        <f t="shared" si="7"/>
        <v>0</v>
      </c>
      <c r="BR17" s="2">
        <f t="shared" si="7"/>
        <v>0</v>
      </c>
      <c r="BS17" s="2">
        <f t="shared" si="7"/>
        <v>0</v>
      </c>
      <c r="BT17" s="2">
        <f t="shared" si="7"/>
        <v>0</v>
      </c>
      <c r="BU17" s="2">
        <f t="shared" si="7"/>
        <v>0</v>
      </c>
      <c r="BV17" s="2">
        <f t="shared" si="7"/>
        <v>0</v>
      </c>
      <c r="BW17" s="2">
        <f t="shared" si="7"/>
        <v>0</v>
      </c>
      <c r="BX17" s="2">
        <f t="shared" si="7"/>
        <v>0</v>
      </c>
      <c r="BY17" s="2">
        <f t="shared" si="8"/>
        <v>0</v>
      </c>
      <c r="BZ17" s="2">
        <f t="shared" si="8"/>
        <v>0</v>
      </c>
      <c r="CA17" s="2">
        <f t="shared" si="8"/>
        <v>0</v>
      </c>
      <c r="CB17" s="2">
        <f t="shared" si="8"/>
        <v>0</v>
      </c>
      <c r="CC17" s="2">
        <f t="shared" si="8"/>
        <v>0</v>
      </c>
      <c r="CD17" s="2">
        <f t="shared" si="8"/>
        <v>0</v>
      </c>
      <c r="CE17" s="2">
        <f t="shared" si="8"/>
        <v>0</v>
      </c>
      <c r="CF17" s="2">
        <f t="shared" si="8"/>
        <v>0</v>
      </c>
      <c r="CG17" s="2">
        <f t="shared" si="8"/>
        <v>0</v>
      </c>
      <c r="CH17" s="2">
        <f t="shared" si="8"/>
        <v>0</v>
      </c>
      <c r="CI17" s="2">
        <f t="shared" si="8"/>
        <v>0</v>
      </c>
      <c r="CJ17" s="2">
        <f t="shared" si="8"/>
        <v>0</v>
      </c>
      <c r="CK17" s="23">
        <f t="shared" si="8"/>
        <v>0</v>
      </c>
      <c r="CN17" s="2">
        <v>7</v>
      </c>
      <c r="CO17" s="14">
        <v>3.6780012704100286E-2</v>
      </c>
      <c r="CP17" s="14">
        <v>-1.8110184252453646E-2</v>
      </c>
      <c r="CQ17" s="14">
        <v>7.998504330191036E-3</v>
      </c>
      <c r="CR17" s="14">
        <v>1.1172184335712725E-2</v>
      </c>
      <c r="CS17" s="14">
        <f t="shared" si="14"/>
        <v>3.7840517117550397E-2</v>
      </c>
    </row>
    <row r="18" spans="1:97" x14ac:dyDescent="0.45">
      <c r="A18" s="16"/>
      <c r="B18" s="17"/>
      <c r="C18" s="19"/>
      <c r="D18" s="19">
        <f t="shared" si="0"/>
        <v>0</v>
      </c>
      <c r="E18" s="19">
        <f t="shared" si="9"/>
        <v>0</v>
      </c>
      <c r="F18" s="19">
        <f t="shared" si="1"/>
        <v>0</v>
      </c>
      <c r="G18" s="20">
        <f t="shared" si="10"/>
        <v>0</v>
      </c>
      <c r="H18" s="20">
        <f>IFERROR(IRR((J18,L18:CK18),0),0)</f>
        <v>0</v>
      </c>
      <c r="I18" s="21">
        <f t="shared" si="2"/>
        <v>0</v>
      </c>
      <c r="J18" s="19">
        <f t="shared" si="13"/>
        <v>0</v>
      </c>
      <c r="K18" s="22">
        <f t="shared" si="3"/>
        <v>0</v>
      </c>
      <c r="L18" s="2">
        <f t="shared" si="11"/>
        <v>0</v>
      </c>
      <c r="M18" s="2">
        <f t="shared" si="11"/>
        <v>0</v>
      </c>
      <c r="N18" s="2">
        <f t="shared" si="11"/>
        <v>0</v>
      </c>
      <c r="O18" s="2">
        <f t="shared" si="11"/>
        <v>0</v>
      </c>
      <c r="P18" s="2">
        <f t="shared" si="11"/>
        <v>0</v>
      </c>
      <c r="Q18" s="2">
        <f t="shared" si="11"/>
        <v>0</v>
      </c>
      <c r="R18" s="2">
        <f t="shared" si="11"/>
        <v>0</v>
      </c>
      <c r="S18" s="2">
        <f t="shared" si="11"/>
        <v>0</v>
      </c>
      <c r="T18" s="2">
        <f t="shared" si="11"/>
        <v>0</v>
      </c>
      <c r="U18" s="2">
        <f t="shared" si="11"/>
        <v>0</v>
      </c>
      <c r="V18" s="2">
        <f t="shared" si="4"/>
        <v>0</v>
      </c>
      <c r="W18" s="2">
        <f t="shared" si="4"/>
        <v>0</v>
      </c>
      <c r="X18" s="2">
        <f t="shared" si="4"/>
        <v>0</v>
      </c>
      <c r="Y18" s="2">
        <f t="shared" si="4"/>
        <v>0</v>
      </c>
      <c r="Z18" s="2">
        <f t="shared" si="4"/>
        <v>0</v>
      </c>
      <c r="AA18" s="2">
        <f t="shared" si="4"/>
        <v>0</v>
      </c>
      <c r="AB18" s="2">
        <f t="shared" si="4"/>
        <v>0</v>
      </c>
      <c r="AC18" s="2">
        <f t="shared" si="5"/>
        <v>0</v>
      </c>
      <c r="AD18" s="2">
        <f t="shared" si="5"/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2">
        <f t="shared" si="5"/>
        <v>0</v>
      </c>
      <c r="AI18" s="2">
        <f t="shared" si="5"/>
        <v>0</v>
      </c>
      <c r="AJ18" s="2">
        <f t="shared" si="5"/>
        <v>0</v>
      </c>
      <c r="AK18" s="2">
        <f t="shared" si="5"/>
        <v>0</v>
      </c>
      <c r="AL18" s="2">
        <f t="shared" si="5"/>
        <v>0</v>
      </c>
      <c r="AM18" s="2">
        <f t="shared" si="5"/>
        <v>0</v>
      </c>
      <c r="AN18" s="2">
        <f t="shared" si="5"/>
        <v>0</v>
      </c>
      <c r="AO18" s="2">
        <f t="shared" si="5"/>
        <v>0</v>
      </c>
      <c r="AP18" s="2">
        <f t="shared" si="5"/>
        <v>0</v>
      </c>
      <c r="AQ18" s="2">
        <f t="shared" si="5"/>
        <v>0</v>
      </c>
      <c r="AR18" s="2">
        <f t="shared" ref="AR18:BG33" si="15">$B18*100*(AR$2&lt;$A18)+100*(1+$B18)*(AR$2=$A18)</f>
        <v>0</v>
      </c>
      <c r="AS18" s="2">
        <f t="shared" si="15"/>
        <v>0</v>
      </c>
      <c r="AT18" s="2">
        <f t="shared" si="15"/>
        <v>0</v>
      </c>
      <c r="AU18" s="2">
        <f t="shared" si="15"/>
        <v>0</v>
      </c>
      <c r="AV18" s="2">
        <f t="shared" si="15"/>
        <v>0</v>
      </c>
      <c r="AW18" s="2">
        <f t="shared" si="15"/>
        <v>0</v>
      </c>
      <c r="AX18" s="2">
        <f t="shared" si="15"/>
        <v>0</v>
      </c>
      <c r="AY18" s="2">
        <f t="shared" si="15"/>
        <v>0</v>
      </c>
      <c r="AZ18" s="2">
        <f t="shared" si="6"/>
        <v>0</v>
      </c>
      <c r="BA18" s="2">
        <f t="shared" si="6"/>
        <v>0</v>
      </c>
      <c r="BB18" s="2">
        <f t="shared" si="6"/>
        <v>0</v>
      </c>
      <c r="BC18" s="2">
        <f t="shared" si="6"/>
        <v>0</v>
      </c>
      <c r="BD18" s="2">
        <f t="shared" si="6"/>
        <v>0</v>
      </c>
      <c r="BE18" s="2">
        <f t="shared" si="6"/>
        <v>0</v>
      </c>
      <c r="BF18" s="2">
        <f t="shared" si="6"/>
        <v>0</v>
      </c>
      <c r="BG18" s="2">
        <f t="shared" si="6"/>
        <v>0</v>
      </c>
      <c r="BH18" s="2">
        <f t="shared" si="6"/>
        <v>0</v>
      </c>
      <c r="BI18" s="2">
        <f t="shared" si="7"/>
        <v>0</v>
      </c>
      <c r="BJ18" s="2">
        <f t="shared" si="7"/>
        <v>0</v>
      </c>
      <c r="BK18" s="2">
        <f t="shared" si="7"/>
        <v>0</v>
      </c>
      <c r="BL18" s="2">
        <f t="shared" si="7"/>
        <v>0</v>
      </c>
      <c r="BM18" s="2">
        <f t="shared" si="7"/>
        <v>0</v>
      </c>
      <c r="BN18" s="2">
        <f t="shared" si="7"/>
        <v>0</v>
      </c>
      <c r="BO18" s="2">
        <f t="shared" si="7"/>
        <v>0</v>
      </c>
      <c r="BP18" s="2">
        <f t="shared" si="7"/>
        <v>0</v>
      </c>
      <c r="BQ18" s="2">
        <f t="shared" si="7"/>
        <v>0</v>
      </c>
      <c r="BR18" s="2">
        <f t="shared" si="7"/>
        <v>0</v>
      </c>
      <c r="BS18" s="2">
        <f t="shared" si="7"/>
        <v>0</v>
      </c>
      <c r="BT18" s="2">
        <f t="shared" si="7"/>
        <v>0</v>
      </c>
      <c r="BU18" s="2">
        <f t="shared" si="7"/>
        <v>0</v>
      </c>
      <c r="BV18" s="2">
        <f t="shared" si="7"/>
        <v>0</v>
      </c>
      <c r="BW18" s="2">
        <f t="shared" si="7"/>
        <v>0</v>
      </c>
      <c r="BX18" s="2">
        <f t="shared" ref="BX18:CK33" si="16">$B18*100*(BX$2&lt;$A18)+100*(1+$B18)*(BX$2=$A18)</f>
        <v>0</v>
      </c>
      <c r="BY18" s="2">
        <f t="shared" si="16"/>
        <v>0</v>
      </c>
      <c r="BZ18" s="2">
        <f t="shared" si="16"/>
        <v>0</v>
      </c>
      <c r="CA18" s="2">
        <f t="shared" si="16"/>
        <v>0</v>
      </c>
      <c r="CB18" s="2">
        <f t="shared" si="16"/>
        <v>0</v>
      </c>
      <c r="CC18" s="2">
        <f t="shared" si="16"/>
        <v>0</v>
      </c>
      <c r="CD18" s="2">
        <f t="shared" si="8"/>
        <v>0</v>
      </c>
      <c r="CE18" s="2">
        <f t="shared" si="8"/>
        <v>0</v>
      </c>
      <c r="CF18" s="2">
        <f t="shared" si="8"/>
        <v>0</v>
      </c>
      <c r="CG18" s="2">
        <f t="shared" si="8"/>
        <v>0</v>
      </c>
      <c r="CH18" s="2">
        <f t="shared" si="8"/>
        <v>0</v>
      </c>
      <c r="CI18" s="2">
        <f t="shared" si="8"/>
        <v>0</v>
      </c>
      <c r="CJ18" s="2">
        <f t="shared" si="8"/>
        <v>0</v>
      </c>
      <c r="CK18" s="23">
        <f t="shared" si="8"/>
        <v>0</v>
      </c>
      <c r="CN18" s="2">
        <v>7.5</v>
      </c>
      <c r="CO18" s="14">
        <v>3.6780012704100286E-2</v>
      </c>
      <c r="CP18" s="14">
        <v>-1.7874158882326921E-2</v>
      </c>
      <c r="CQ18" s="14">
        <v>8.4160307807259731E-3</v>
      </c>
      <c r="CR18" s="14">
        <v>1.1873191747703002E-2</v>
      </c>
      <c r="CS18" s="14">
        <f t="shared" si="14"/>
        <v>3.9195076350202342E-2</v>
      </c>
    </row>
    <row r="19" spans="1:97" x14ac:dyDescent="0.45">
      <c r="A19" s="16"/>
      <c r="B19" s="17"/>
      <c r="C19" s="19"/>
      <c r="D19" s="19">
        <f t="shared" si="0"/>
        <v>0</v>
      </c>
      <c r="E19" s="19">
        <f t="shared" si="9"/>
        <v>0</v>
      </c>
      <c r="F19" s="19">
        <f t="shared" si="1"/>
        <v>0</v>
      </c>
      <c r="G19" s="20">
        <f t="shared" si="10"/>
        <v>0</v>
      </c>
      <c r="H19" s="20">
        <f>IFERROR(IRR((J19,L19:CK19),0),0)</f>
        <v>0</v>
      </c>
      <c r="I19" s="21">
        <f t="shared" si="2"/>
        <v>0</v>
      </c>
      <c r="J19" s="19">
        <f t="shared" si="13"/>
        <v>0</v>
      </c>
      <c r="K19" s="22">
        <f t="shared" si="3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ref="AB19:AQ34" si="17">$B19*100*(AB$2&lt;$A19)+100*(1+$B19)*(AB$2=$A19)</f>
        <v>0</v>
      </c>
      <c r="AC19" s="2">
        <f t="shared" si="17"/>
        <v>0</v>
      </c>
      <c r="AD19" s="2">
        <f t="shared" si="17"/>
        <v>0</v>
      </c>
      <c r="AE19" s="2">
        <f t="shared" si="17"/>
        <v>0</v>
      </c>
      <c r="AF19" s="2">
        <f t="shared" si="17"/>
        <v>0</v>
      </c>
      <c r="AG19" s="2">
        <f t="shared" si="17"/>
        <v>0</v>
      </c>
      <c r="AH19" s="2">
        <f t="shared" si="17"/>
        <v>0</v>
      </c>
      <c r="AI19" s="2">
        <f t="shared" si="17"/>
        <v>0</v>
      </c>
      <c r="AJ19" s="2">
        <f t="shared" si="17"/>
        <v>0</v>
      </c>
      <c r="AK19" s="2">
        <f t="shared" si="17"/>
        <v>0</v>
      </c>
      <c r="AL19" s="2">
        <f t="shared" si="17"/>
        <v>0</v>
      </c>
      <c r="AM19" s="2">
        <f t="shared" si="17"/>
        <v>0</v>
      </c>
      <c r="AN19" s="2">
        <f t="shared" si="17"/>
        <v>0</v>
      </c>
      <c r="AO19" s="2">
        <f t="shared" si="17"/>
        <v>0</v>
      </c>
      <c r="AP19" s="2">
        <f t="shared" si="17"/>
        <v>0</v>
      </c>
      <c r="AQ19" s="2">
        <f t="shared" si="17"/>
        <v>0</v>
      </c>
      <c r="AR19" s="2">
        <f t="shared" si="15"/>
        <v>0</v>
      </c>
      <c r="AS19" s="2">
        <f t="shared" si="15"/>
        <v>0</v>
      </c>
      <c r="AT19" s="2">
        <f t="shared" si="15"/>
        <v>0</v>
      </c>
      <c r="AU19" s="2">
        <f t="shared" si="15"/>
        <v>0</v>
      </c>
      <c r="AV19" s="2">
        <f t="shared" si="15"/>
        <v>0</v>
      </c>
      <c r="AW19" s="2">
        <f t="shared" si="15"/>
        <v>0</v>
      </c>
      <c r="AX19" s="2">
        <f t="shared" si="15"/>
        <v>0</v>
      </c>
      <c r="AY19" s="2">
        <f t="shared" si="15"/>
        <v>0</v>
      </c>
      <c r="AZ19" s="2">
        <f t="shared" si="15"/>
        <v>0</v>
      </c>
      <c r="BA19" s="2">
        <f t="shared" si="15"/>
        <v>0</v>
      </c>
      <c r="BB19" s="2">
        <f t="shared" si="15"/>
        <v>0</v>
      </c>
      <c r="BC19" s="2">
        <f t="shared" si="15"/>
        <v>0</v>
      </c>
      <c r="BD19" s="2">
        <f t="shared" si="15"/>
        <v>0</v>
      </c>
      <c r="BE19" s="2">
        <f t="shared" si="15"/>
        <v>0</v>
      </c>
      <c r="BF19" s="2">
        <f t="shared" si="15"/>
        <v>0</v>
      </c>
      <c r="BG19" s="2">
        <f t="shared" si="15"/>
        <v>0</v>
      </c>
      <c r="BH19" s="2">
        <f t="shared" ref="BH19:BW34" si="18">$B19*100*(BH$2&lt;$A19)+100*(1+$B19)*(BH$2=$A19)</f>
        <v>0</v>
      </c>
      <c r="BI19" s="2">
        <f t="shared" si="18"/>
        <v>0</v>
      </c>
      <c r="BJ19" s="2">
        <f t="shared" si="18"/>
        <v>0</v>
      </c>
      <c r="BK19" s="2">
        <f t="shared" si="18"/>
        <v>0</v>
      </c>
      <c r="BL19" s="2">
        <f t="shared" si="18"/>
        <v>0</v>
      </c>
      <c r="BM19" s="2">
        <f t="shared" si="18"/>
        <v>0</v>
      </c>
      <c r="BN19" s="2">
        <f t="shared" si="18"/>
        <v>0</v>
      </c>
      <c r="BO19" s="2">
        <f t="shared" si="18"/>
        <v>0</v>
      </c>
      <c r="BP19" s="2">
        <f t="shared" si="18"/>
        <v>0</v>
      </c>
      <c r="BQ19" s="2">
        <f t="shared" si="18"/>
        <v>0</v>
      </c>
      <c r="BR19" s="2">
        <f t="shared" si="18"/>
        <v>0</v>
      </c>
      <c r="BS19" s="2">
        <f t="shared" si="18"/>
        <v>0</v>
      </c>
      <c r="BT19" s="2">
        <f t="shared" si="18"/>
        <v>0</v>
      </c>
      <c r="BU19" s="2">
        <f t="shared" si="18"/>
        <v>0</v>
      </c>
      <c r="BV19" s="2">
        <f t="shared" si="18"/>
        <v>0</v>
      </c>
      <c r="BW19" s="2">
        <f t="shared" si="18"/>
        <v>0</v>
      </c>
      <c r="BX19" s="2">
        <f t="shared" si="16"/>
        <v>0</v>
      </c>
      <c r="BY19" s="2">
        <f t="shared" si="16"/>
        <v>0</v>
      </c>
      <c r="BZ19" s="2">
        <f t="shared" si="16"/>
        <v>0</v>
      </c>
      <c r="CA19" s="2">
        <f t="shared" si="16"/>
        <v>0</v>
      </c>
      <c r="CB19" s="2">
        <f t="shared" si="16"/>
        <v>0</v>
      </c>
      <c r="CC19" s="2">
        <f t="shared" si="16"/>
        <v>0</v>
      </c>
      <c r="CD19" s="2">
        <f t="shared" si="16"/>
        <v>0</v>
      </c>
      <c r="CE19" s="2">
        <f t="shared" si="16"/>
        <v>0</v>
      </c>
      <c r="CF19" s="2">
        <f t="shared" si="16"/>
        <v>0</v>
      </c>
      <c r="CG19" s="2">
        <f t="shared" si="16"/>
        <v>0</v>
      </c>
      <c r="CH19" s="2">
        <f t="shared" si="16"/>
        <v>0</v>
      </c>
      <c r="CI19" s="2">
        <f t="shared" si="16"/>
        <v>0</v>
      </c>
      <c r="CJ19" s="2">
        <f t="shared" si="16"/>
        <v>0</v>
      </c>
      <c r="CK19" s="23">
        <f t="shared" si="16"/>
        <v>0</v>
      </c>
      <c r="CN19" s="2">
        <v>8</v>
      </c>
      <c r="CO19" s="14">
        <v>3.6780012704100286E-2</v>
      </c>
      <c r="CP19" s="14">
        <v>-1.7642363904572168E-2</v>
      </c>
      <c r="CQ19" s="14">
        <v>8.8164037697920066E-3</v>
      </c>
      <c r="CR19" s="14">
        <v>1.2562213379126363E-2</v>
      </c>
      <c r="CS19" s="14">
        <f t="shared" si="14"/>
        <v>4.0516265948446491E-2</v>
      </c>
    </row>
    <row r="20" spans="1:97" x14ac:dyDescent="0.45">
      <c r="A20" s="16"/>
      <c r="B20" s="17"/>
      <c r="C20" s="19"/>
      <c r="D20" s="19">
        <f t="shared" si="0"/>
        <v>0</v>
      </c>
      <c r="E20" s="19">
        <f t="shared" si="9"/>
        <v>0</v>
      </c>
      <c r="F20" s="19">
        <f t="shared" si="1"/>
        <v>0</v>
      </c>
      <c r="G20" s="20">
        <f t="shared" si="10"/>
        <v>0</v>
      </c>
      <c r="H20" s="20">
        <f>IFERROR(IRR((J20,L20:CK20),0),0)</f>
        <v>0</v>
      </c>
      <c r="I20" s="21">
        <f t="shared" si="2"/>
        <v>0</v>
      </c>
      <c r="J20" s="19">
        <f t="shared" si="13"/>
        <v>0</v>
      </c>
      <c r="K20" s="22">
        <f t="shared" si="3"/>
        <v>0</v>
      </c>
      <c r="L20" s="2">
        <f t="shared" ref="L20:AA35" si="19">$B20*100*(L$2&lt;$A20)+100*(1+$B20)*(L$2=$A20)</f>
        <v>0</v>
      </c>
      <c r="M20" s="2">
        <f t="shared" si="19"/>
        <v>0</v>
      </c>
      <c r="N20" s="2">
        <f t="shared" si="19"/>
        <v>0</v>
      </c>
      <c r="O20" s="2">
        <f t="shared" si="19"/>
        <v>0</v>
      </c>
      <c r="P20" s="2">
        <f t="shared" si="19"/>
        <v>0</v>
      </c>
      <c r="Q20" s="2">
        <f t="shared" si="19"/>
        <v>0</v>
      </c>
      <c r="R20" s="2">
        <f t="shared" si="19"/>
        <v>0</v>
      </c>
      <c r="S20" s="2">
        <f t="shared" si="19"/>
        <v>0</v>
      </c>
      <c r="T20" s="2">
        <f t="shared" si="19"/>
        <v>0</v>
      </c>
      <c r="U20" s="2">
        <f t="shared" si="19"/>
        <v>0</v>
      </c>
      <c r="V20" s="2">
        <f t="shared" si="19"/>
        <v>0</v>
      </c>
      <c r="W20" s="2">
        <f t="shared" si="19"/>
        <v>0</v>
      </c>
      <c r="X20" s="2">
        <f t="shared" si="19"/>
        <v>0</v>
      </c>
      <c r="Y20" s="2">
        <f t="shared" si="19"/>
        <v>0</v>
      </c>
      <c r="Z20" s="2">
        <f t="shared" si="19"/>
        <v>0</v>
      </c>
      <c r="AA20" s="2">
        <f t="shared" si="19"/>
        <v>0</v>
      </c>
      <c r="AB20" s="2">
        <f t="shared" si="17"/>
        <v>0</v>
      </c>
      <c r="AC20" s="2">
        <f t="shared" si="17"/>
        <v>0</v>
      </c>
      <c r="AD20" s="2">
        <f t="shared" si="17"/>
        <v>0</v>
      </c>
      <c r="AE20" s="2">
        <f t="shared" si="17"/>
        <v>0</v>
      </c>
      <c r="AF20" s="2">
        <f t="shared" si="17"/>
        <v>0</v>
      </c>
      <c r="AG20" s="2">
        <f t="shared" si="17"/>
        <v>0</v>
      </c>
      <c r="AH20" s="2">
        <f t="shared" si="17"/>
        <v>0</v>
      </c>
      <c r="AI20" s="2">
        <f t="shared" si="17"/>
        <v>0</v>
      </c>
      <c r="AJ20" s="2">
        <f t="shared" si="17"/>
        <v>0</v>
      </c>
      <c r="AK20" s="2">
        <f t="shared" si="17"/>
        <v>0</v>
      </c>
      <c r="AL20" s="2">
        <f t="shared" si="17"/>
        <v>0</v>
      </c>
      <c r="AM20" s="2">
        <f t="shared" si="17"/>
        <v>0</v>
      </c>
      <c r="AN20" s="2">
        <f t="shared" si="17"/>
        <v>0</v>
      </c>
      <c r="AO20" s="2">
        <f t="shared" si="17"/>
        <v>0</v>
      </c>
      <c r="AP20" s="2">
        <f t="shared" si="17"/>
        <v>0</v>
      </c>
      <c r="AQ20" s="2">
        <f t="shared" si="17"/>
        <v>0</v>
      </c>
      <c r="AR20" s="2">
        <f t="shared" si="15"/>
        <v>0</v>
      </c>
      <c r="AS20" s="2">
        <f t="shared" si="15"/>
        <v>0</v>
      </c>
      <c r="AT20" s="2">
        <f t="shared" si="15"/>
        <v>0</v>
      </c>
      <c r="AU20" s="2">
        <f t="shared" si="15"/>
        <v>0</v>
      </c>
      <c r="AV20" s="2">
        <f t="shared" si="15"/>
        <v>0</v>
      </c>
      <c r="AW20" s="2">
        <f t="shared" si="15"/>
        <v>0</v>
      </c>
      <c r="AX20" s="2">
        <f t="shared" si="15"/>
        <v>0</v>
      </c>
      <c r="AY20" s="2">
        <f t="shared" si="15"/>
        <v>0</v>
      </c>
      <c r="AZ20" s="2">
        <f t="shared" si="15"/>
        <v>0</v>
      </c>
      <c r="BA20" s="2">
        <f t="shared" si="15"/>
        <v>0</v>
      </c>
      <c r="BB20" s="2">
        <f t="shared" si="15"/>
        <v>0</v>
      </c>
      <c r="BC20" s="2">
        <f t="shared" si="15"/>
        <v>0</v>
      </c>
      <c r="BD20" s="2">
        <f t="shared" si="15"/>
        <v>0</v>
      </c>
      <c r="BE20" s="2">
        <f t="shared" si="15"/>
        <v>0</v>
      </c>
      <c r="BF20" s="2">
        <f t="shared" si="15"/>
        <v>0</v>
      </c>
      <c r="BG20" s="2">
        <f t="shared" si="15"/>
        <v>0</v>
      </c>
      <c r="BH20" s="2">
        <f t="shared" si="18"/>
        <v>0</v>
      </c>
      <c r="BI20" s="2">
        <f t="shared" si="18"/>
        <v>0</v>
      </c>
      <c r="BJ20" s="2">
        <f t="shared" si="18"/>
        <v>0</v>
      </c>
      <c r="BK20" s="2">
        <f t="shared" si="18"/>
        <v>0</v>
      </c>
      <c r="BL20" s="2">
        <f t="shared" si="18"/>
        <v>0</v>
      </c>
      <c r="BM20" s="2">
        <f t="shared" si="18"/>
        <v>0</v>
      </c>
      <c r="BN20" s="2">
        <f t="shared" si="18"/>
        <v>0</v>
      </c>
      <c r="BO20" s="2">
        <f t="shared" si="18"/>
        <v>0</v>
      </c>
      <c r="BP20" s="2">
        <f t="shared" si="18"/>
        <v>0</v>
      </c>
      <c r="BQ20" s="2">
        <f t="shared" si="18"/>
        <v>0</v>
      </c>
      <c r="BR20" s="2">
        <f t="shared" si="18"/>
        <v>0</v>
      </c>
      <c r="BS20" s="2">
        <f t="shared" si="18"/>
        <v>0</v>
      </c>
      <c r="BT20" s="2">
        <f t="shared" si="18"/>
        <v>0</v>
      </c>
      <c r="BU20" s="2">
        <f t="shared" si="18"/>
        <v>0</v>
      </c>
      <c r="BV20" s="2">
        <f t="shared" si="18"/>
        <v>0</v>
      </c>
      <c r="BW20" s="2">
        <f t="shared" si="18"/>
        <v>0</v>
      </c>
      <c r="BX20" s="2">
        <f t="shared" si="16"/>
        <v>0</v>
      </c>
      <c r="BY20" s="2">
        <f t="shared" si="16"/>
        <v>0</v>
      </c>
      <c r="BZ20" s="2">
        <f t="shared" si="16"/>
        <v>0</v>
      </c>
      <c r="CA20" s="2">
        <f t="shared" si="16"/>
        <v>0</v>
      </c>
      <c r="CB20" s="2">
        <f t="shared" si="16"/>
        <v>0</v>
      </c>
      <c r="CC20" s="2">
        <f t="shared" si="16"/>
        <v>0</v>
      </c>
      <c r="CD20" s="2">
        <f t="shared" si="16"/>
        <v>0</v>
      </c>
      <c r="CE20" s="2">
        <f t="shared" si="16"/>
        <v>0</v>
      </c>
      <c r="CF20" s="2">
        <f t="shared" si="16"/>
        <v>0</v>
      </c>
      <c r="CG20" s="2">
        <f t="shared" si="16"/>
        <v>0</v>
      </c>
      <c r="CH20" s="2">
        <f t="shared" si="16"/>
        <v>0</v>
      </c>
      <c r="CI20" s="2">
        <f t="shared" si="16"/>
        <v>0</v>
      </c>
      <c r="CJ20" s="2">
        <f t="shared" si="16"/>
        <v>0</v>
      </c>
      <c r="CK20" s="23">
        <f t="shared" si="16"/>
        <v>0</v>
      </c>
      <c r="CN20" s="2">
        <v>8.5</v>
      </c>
      <c r="CO20" s="14">
        <v>3.6780012704100286E-2</v>
      </c>
      <c r="CP20" s="14">
        <v>-1.741471293044046E-2</v>
      </c>
      <c r="CQ20" s="14">
        <v>9.2001737780693389E-3</v>
      </c>
      <c r="CR20" s="14">
        <v>1.3239417163916564E-2</v>
      </c>
      <c r="CS20" s="14">
        <f t="shared" si="14"/>
        <v>4.1804890715645728E-2</v>
      </c>
    </row>
    <row r="21" spans="1:97" x14ac:dyDescent="0.45">
      <c r="A21" s="16"/>
      <c r="B21" s="17"/>
      <c r="C21" s="19"/>
      <c r="D21" s="19">
        <f t="shared" si="0"/>
        <v>0</v>
      </c>
      <c r="E21" s="19">
        <f t="shared" si="9"/>
        <v>0</v>
      </c>
      <c r="F21" s="19">
        <f t="shared" si="1"/>
        <v>0</v>
      </c>
      <c r="G21" s="20">
        <f t="shared" si="10"/>
        <v>0</v>
      </c>
      <c r="H21" s="20">
        <f>IFERROR(IRR((J21,L21:CK21),0),0)</f>
        <v>0</v>
      </c>
      <c r="I21" s="21">
        <f t="shared" si="2"/>
        <v>0</v>
      </c>
      <c r="J21" s="19">
        <f t="shared" si="13"/>
        <v>0</v>
      </c>
      <c r="K21" s="22">
        <f t="shared" si="3"/>
        <v>0</v>
      </c>
      <c r="L21" s="2">
        <f t="shared" si="19"/>
        <v>0</v>
      </c>
      <c r="M21" s="2">
        <f t="shared" si="19"/>
        <v>0</v>
      </c>
      <c r="N21" s="2">
        <f t="shared" si="19"/>
        <v>0</v>
      </c>
      <c r="O21" s="2">
        <f t="shared" si="19"/>
        <v>0</v>
      </c>
      <c r="P21" s="2">
        <f t="shared" si="19"/>
        <v>0</v>
      </c>
      <c r="Q21" s="2">
        <f t="shared" si="19"/>
        <v>0</v>
      </c>
      <c r="R21" s="2">
        <f t="shared" si="19"/>
        <v>0</v>
      </c>
      <c r="S21" s="2">
        <f t="shared" si="19"/>
        <v>0</v>
      </c>
      <c r="T21" s="2">
        <f t="shared" si="19"/>
        <v>0</v>
      </c>
      <c r="U21" s="2">
        <f t="shared" si="19"/>
        <v>0</v>
      </c>
      <c r="V21" s="2">
        <f t="shared" si="19"/>
        <v>0</v>
      </c>
      <c r="W21" s="2">
        <f t="shared" si="19"/>
        <v>0</v>
      </c>
      <c r="X21" s="2">
        <f t="shared" si="19"/>
        <v>0</v>
      </c>
      <c r="Y21" s="2">
        <f t="shared" si="19"/>
        <v>0</v>
      </c>
      <c r="Z21" s="2">
        <f t="shared" si="19"/>
        <v>0</v>
      </c>
      <c r="AA21" s="2">
        <f t="shared" si="19"/>
        <v>0</v>
      </c>
      <c r="AB21" s="2">
        <f t="shared" si="17"/>
        <v>0</v>
      </c>
      <c r="AC21" s="2">
        <f t="shared" si="17"/>
        <v>0</v>
      </c>
      <c r="AD21" s="2">
        <f t="shared" si="17"/>
        <v>0</v>
      </c>
      <c r="AE21" s="2">
        <f t="shared" si="17"/>
        <v>0</v>
      </c>
      <c r="AF21" s="2">
        <f t="shared" si="17"/>
        <v>0</v>
      </c>
      <c r="AG21" s="2">
        <f t="shared" si="17"/>
        <v>0</v>
      </c>
      <c r="AH21" s="2">
        <f t="shared" si="17"/>
        <v>0</v>
      </c>
      <c r="AI21" s="2">
        <f t="shared" si="17"/>
        <v>0</v>
      </c>
      <c r="AJ21" s="2">
        <f t="shared" si="17"/>
        <v>0</v>
      </c>
      <c r="AK21" s="2">
        <f t="shared" si="17"/>
        <v>0</v>
      </c>
      <c r="AL21" s="2">
        <f t="shared" si="17"/>
        <v>0</v>
      </c>
      <c r="AM21" s="2">
        <f t="shared" si="17"/>
        <v>0</v>
      </c>
      <c r="AN21" s="2">
        <f t="shared" si="17"/>
        <v>0</v>
      </c>
      <c r="AO21" s="2">
        <f t="shared" si="17"/>
        <v>0</v>
      </c>
      <c r="AP21" s="2">
        <f t="shared" si="17"/>
        <v>0</v>
      </c>
      <c r="AQ21" s="2">
        <f t="shared" si="17"/>
        <v>0</v>
      </c>
      <c r="AR21" s="2">
        <f t="shared" si="15"/>
        <v>0</v>
      </c>
      <c r="AS21" s="2">
        <f t="shared" si="15"/>
        <v>0</v>
      </c>
      <c r="AT21" s="2">
        <f t="shared" si="15"/>
        <v>0</v>
      </c>
      <c r="AU21" s="2">
        <f t="shared" si="15"/>
        <v>0</v>
      </c>
      <c r="AV21" s="2">
        <f t="shared" si="15"/>
        <v>0</v>
      </c>
      <c r="AW21" s="2">
        <f t="shared" si="15"/>
        <v>0</v>
      </c>
      <c r="AX21" s="2">
        <f t="shared" si="15"/>
        <v>0</v>
      </c>
      <c r="AY21" s="2">
        <f t="shared" si="15"/>
        <v>0</v>
      </c>
      <c r="AZ21" s="2">
        <f t="shared" si="15"/>
        <v>0</v>
      </c>
      <c r="BA21" s="2">
        <f t="shared" si="15"/>
        <v>0</v>
      </c>
      <c r="BB21" s="2">
        <f t="shared" si="15"/>
        <v>0</v>
      </c>
      <c r="BC21" s="2">
        <f t="shared" si="15"/>
        <v>0</v>
      </c>
      <c r="BD21" s="2">
        <f t="shared" si="15"/>
        <v>0</v>
      </c>
      <c r="BE21" s="2">
        <f t="shared" si="15"/>
        <v>0</v>
      </c>
      <c r="BF21" s="2">
        <f t="shared" si="15"/>
        <v>0</v>
      </c>
      <c r="BG21" s="2">
        <f t="shared" si="15"/>
        <v>0</v>
      </c>
      <c r="BH21" s="2">
        <f t="shared" si="18"/>
        <v>0</v>
      </c>
      <c r="BI21" s="2">
        <f t="shared" si="18"/>
        <v>0</v>
      </c>
      <c r="BJ21" s="2">
        <f t="shared" si="18"/>
        <v>0</v>
      </c>
      <c r="BK21" s="2">
        <f t="shared" si="18"/>
        <v>0</v>
      </c>
      <c r="BL21" s="2">
        <f t="shared" si="18"/>
        <v>0</v>
      </c>
      <c r="BM21" s="2">
        <f t="shared" si="18"/>
        <v>0</v>
      </c>
      <c r="BN21" s="2">
        <f t="shared" si="18"/>
        <v>0</v>
      </c>
      <c r="BO21" s="2">
        <f t="shared" si="18"/>
        <v>0</v>
      </c>
      <c r="BP21" s="2">
        <f t="shared" si="18"/>
        <v>0</v>
      </c>
      <c r="BQ21" s="2">
        <f t="shared" si="18"/>
        <v>0</v>
      </c>
      <c r="BR21" s="2">
        <f t="shared" si="18"/>
        <v>0</v>
      </c>
      <c r="BS21" s="2">
        <f t="shared" si="18"/>
        <v>0</v>
      </c>
      <c r="BT21" s="2">
        <f t="shared" si="18"/>
        <v>0</v>
      </c>
      <c r="BU21" s="2">
        <f t="shared" si="18"/>
        <v>0</v>
      </c>
      <c r="BV21" s="2">
        <f t="shared" si="18"/>
        <v>0</v>
      </c>
      <c r="BW21" s="2">
        <f t="shared" si="18"/>
        <v>0</v>
      </c>
      <c r="BX21" s="2">
        <f t="shared" si="16"/>
        <v>0</v>
      </c>
      <c r="BY21" s="2">
        <f t="shared" si="16"/>
        <v>0</v>
      </c>
      <c r="BZ21" s="2">
        <f t="shared" si="16"/>
        <v>0</v>
      </c>
      <c r="CA21" s="2">
        <f t="shared" si="16"/>
        <v>0</v>
      </c>
      <c r="CB21" s="2">
        <f t="shared" si="16"/>
        <v>0</v>
      </c>
      <c r="CC21" s="2">
        <f t="shared" si="16"/>
        <v>0</v>
      </c>
      <c r="CD21" s="2">
        <f t="shared" si="16"/>
        <v>0</v>
      </c>
      <c r="CE21" s="2">
        <f t="shared" si="16"/>
        <v>0</v>
      </c>
      <c r="CF21" s="2">
        <f t="shared" si="16"/>
        <v>0</v>
      </c>
      <c r="CG21" s="2">
        <f t="shared" si="16"/>
        <v>0</v>
      </c>
      <c r="CH21" s="2">
        <f t="shared" si="16"/>
        <v>0</v>
      </c>
      <c r="CI21" s="2">
        <f t="shared" si="16"/>
        <v>0</v>
      </c>
      <c r="CJ21" s="2">
        <f t="shared" si="16"/>
        <v>0</v>
      </c>
      <c r="CK21" s="23">
        <f t="shared" si="16"/>
        <v>0</v>
      </c>
      <c r="CN21" s="2">
        <v>9</v>
      </c>
      <c r="CO21" s="14">
        <v>3.6780012704100286E-2</v>
      </c>
      <c r="CP21" s="14">
        <v>-1.7191121464980308E-2</v>
      </c>
      <c r="CQ21" s="14">
        <v>9.5678747999012846E-3</v>
      </c>
      <c r="CR21" s="14">
        <v>1.3904968819151623E-2</v>
      </c>
      <c r="CS21" s="14">
        <f t="shared" si="14"/>
        <v>4.3061734858172884E-2</v>
      </c>
    </row>
    <row r="22" spans="1:97" x14ac:dyDescent="0.45">
      <c r="A22" s="16"/>
      <c r="B22" s="17"/>
      <c r="C22" s="19"/>
      <c r="D22" s="19">
        <f t="shared" si="0"/>
        <v>0</v>
      </c>
      <c r="E22" s="19">
        <f t="shared" si="9"/>
        <v>0</v>
      </c>
      <c r="F22" s="19">
        <f t="shared" si="1"/>
        <v>0</v>
      </c>
      <c r="G22" s="20">
        <f t="shared" si="10"/>
        <v>0</v>
      </c>
      <c r="H22" s="20">
        <f>IFERROR(IRR((J22,L22:CK22),0),0)</f>
        <v>0</v>
      </c>
      <c r="I22" s="21">
        <f t="shared" si="2"/>
        <v>0</v>
      </c>
      <c r="J22" s="19">
        <f t="shared" si="13"/>
        <v>0</v>
      </c>
      <c r="K22" s="22">
        <f t="shared" si="3"/>
        <v>0</v>
      </c>
      <c r="L22" s="2">
        <f t="shared" si="19"/>
        <v>0</v>
      </c>
      <c r="M22" s="2">
        <f t="shared" si="19"/>
        <v>0</v>
      </c>
      <c r="N22" s="2">
        <f t="shared" si="19"/>
        <v>0</v>
      </c>
      <c r="O22" s="2">
        <f t="shared" si="19"/>
        <v>0</v>
      </c>
      <c r="P22" s="2">
        <f t="shared" si="19"/>
        <v>0</v>
      </c>
      <c r="Q22" s="2">
        <f t="shared" si="19"/>
        <v>0</v>
      </c>
      <c r="R22" s="2">
        <f t="shared" si="19"/>
        <v>0</v>
      </c>
      <c r="S22" s="2">
        <f t="shared" si="19"/>
        <v>0</v>
      </c>
      <c r="T22" s="2">
        <f t="shared" si="19"/>
        <v>0</v>
      </c>
      <c r="U22" s="2">
        <f t="shared" si="19"/>
        <v>0</v>
      </c>
      <c r="V22" s="2">
        <f t="shared" si="19"/>
        <v>0</v>
      </c>
      <c r="W22" s="2">
        <f t="shared" si="19"/>
        <v>0</v>
      </c>
      <c r="X22" s="2">
        <f t="shared" si="19"/>
        <v>0</v>
      </c>
      <c r="Y22" s="2">
        <f t="shared" si="19"/>
        <v>0</v>
      </c>
      <c r="Z22" s="2">
        <f t="shared" si="19"/>
        <v>0</v>
      </c>
      <c r="AA22" s="2">
        <f t="shared" si="19"/>
        <v>0</v>
      </c>
      <c r="AB22" s="2">
        <f t="shared" si="17"/>
        <v>0</v>
      </c>
      <c r="AC22" s="2">
        <f t="shared" si="17"/>
        <v>0</v>
      </c>
      <c r="AD22" s="2">
        <f t="shared" si="17"/>
        <v>0</v>
      </c>
      <c r="AE22" s="2">
        <f t="shared" si="17"/>
        <v>0</v>
      </c>
      <c r="AF22" s="2">
        <f t="shared" si="17"/>
        <v>0</v>
      </c>
      <c r="AG22" s="2">
        <f t="shared" si="17"/>
        <v>0</v>
      </c>
      <c r="AH22" s="2">
        <f t="shared" si="17"/>
        <v>0</v>
      </c>
      <c r="AI22" s="2">
        <f t="shared" si="17"/>
        <v>0</v>
      </c>
      <c r="AJ22" s="2">
        <f t="shared" si="17"/>
        <v>0</v>
      </c>
      <c r="AK22" s="2">
        <f t="shared" si="17"/>
        <v>0</v>
      </c>
      <c r="AL22" s="2">
        <f t="shared" si="17"/>
        <v>0</v>
      </c>
      <c r="AM22" s="2">
        <f t="shared" si="17"/>
        <v>0</v>
      </c>
      <c r="AN22" s="2">
        <f t="shared" si="17"/>
        <v>0</v>
      </c>
      <c r="AO22" s="2">
        <f t="shared" si="17"/>
        <v>0</v>
      </c>
      <c r="AP22" s="2">
        <f t="shared" si="17"/>
        <v>0</v>
      </c>
      <c r="AQ22" s="2">
        <f t="shared" si="17"/>
        <v>0</v>
      </c>
      <c r="AR22" s="2">
        <f t="shared" si="15"/>
        <v>0</v>
      </c>
      <c r="AS22" s="2">
        <f t="shared" si="15"/>
        <v>0</v>
      </c>
      <c r="AT22" s="2">
        <f t="shared" si="15"/>
        <v>0</v>
      </c>
      <c r="AU22" s="2">
        <f t="shared" si="15"/>
        <v>0</v>
      </c>
      <c r="AV22" s="2">
        <f t="shared" si="15"/>
        <v>0</v>
      </c>
      <c r="AW22" s="2">
        <f t="shared" si="15"/>
        <v>0</v>
      </c>
      <c r="AX22" s="2">
        <f t="shared" si="15"/>
        <v>0</v>
      </c>
      <c r="AY22" s="2">
        <f t="shared" si="15"/>
        <v>0</v>
      </c>
      <c r="AZ22" s="2">
        <f t="shared" si="15"/>
        <v>0</v>
      </c>
      <c r="BA22" s="2">
        <f t="shared" si="15"/>
        <v>0</v>
      </c>
      <c r="BB22" s="2">
        <f t="shared" si="15"/>
        <v>0</v>
      </c>
      <c r="BC22" s="2">
        <f t="shared" si="15"/>
        <v>0</v>
      </c>
      <c r="BD22" s="2">
        <f t="shared" si="15"/>
        <v>0</v>
      </c>
      <c r="BE22" s="2">
        <f t="shared" si="15"/>
        <v>0</v>
      </c>
      <c r="BF22" s="2">
        <f t="shared" si="15"/>
        <v>0</v>
      </c>
      <c r="BG22" s="2">
        <f t="shared" si="15"/>
        <v>0</v>
      </c>
      <c r="BH22" s="2">
        <f t="shared" si="18"/>
        <v>0</v>
      </c>
      <c r="BI22" s="2">
        <f t="shared" si="18"/>
        <v>0</v>
      </c>
      <c r="BJ22" s="2">
        <f t="shared" si="18"/>
        <v>0</v>
      </c>
      <c r="BK22" s="2">
        <f t="shared" si="18"/>
        <v>0</v>
      </c>
      <c r="BL22" s="2">
        <f t="shared" si="18"/>
        <v>0</v>
      </c>
      <c r="BM22" s="2">
        <f t="shared" si="18"/>
        <v>0</v>
      </c>
      <c r="BN22" s="2">
        <f t="shared" si="18"/>
        <v>0</v>
      </c>
      <c r="BO22" s="2">
        <f t="shared" si="18"/>
        <v>0</v>
      </c>
      <c r="BP22" s="2">
        <f t="shared" si="18"/>
        <v>0</v>
      </c>
      <c r="BQ22" s="2">
        <f t="shared" si="18"/>
        <v>0</v>
      </c>
      <c r="BR22" s="2">
        <f t="shared" si="18"/>
        <v>0</v>
      </c>
      <c r="BS22" s="2">
        <f t="shared" si="18"/>
        <v>0</v>
      </c>
      <c r="BT22" s="2">
        <f t="shared" si="18"/>
        <v>0</v>
      </c>
      <c r="BU22" s="2">
        <f t="shared" si="18"/>
        <v>0</v>
      </c>
      <c r="BV22" s="2">
        <f t="shared" si="18"/>
        <v>0</v>
      </c>
      <c r="BW22" s="2">
        <f t="shared" si="18"/>
        <v>0</v>
      </c>
      <c r="BX22" s="2">
        <f t="shared" si="16"/>
        <v>0</v>
      </c>
      <c r="BY22" s="2">
        <f t="shared" si="16"/>
        <v>0</v>
      </c>
      <c r="BZ22" s="2">
        <f t="shared" si="16"/>
        <v>0</v>
      </c>
      <c r="CA22" s="2">
        <f t="shared" si="16"/>
        <v>0</v>
      </c>
      <c r="CB22" s="2">
        <f t="shared" si="16"/>
        <v>0</v>
      </c>
      <c r="CC22" s="2">
        <f t="shared" si="16"/>
        <v>0</v>
      </c>
      <c r="CD22" s="2">
        <f t="shared" si="16"/>
        <v>0</v>
      </c>
      <c r="CE22" s="2">
        <f t="shared" si="16"/>
        <v>0</v>
      </c>
      <c r="CF22" s="2">
        <f t="shared" si="16"/>
        <v>0</v>
      </c>
      <c r="CG22" s="2">
        <f t="shared" si="16"/>
        <v>0</v>
      </c>
      <c r="CH22" s="2">
        <f t="shared" si="16"/>
        <v>0</v>
      </c>
      <c r="CI22" s="2">
        <f t="shared" si="16"/>
        <v>0</v>
      </c>
      <c r="CJ22" s="2">
        <f t="shared" si="16"/>
        <v>0</v>
      </c>
      <c r="CK22" s="23">
        <f t="shared" si="16"/>
        <v>0</v>
      </c>
      <c r="CN22" s="2">
        <v>9.5</v>
      </c>
      <c r="CO22" s="14">
        <v>3.6780012704100286E-2</v>
      </c>
      <c r="CP22" s="14">
        <v>-1.6971506863634106E-2</v>
      </c>
      <c r="CQ22" s="14">
        <v>9.9200248228130897E-3</v>
      </c>
      <c r="CR22" s="14">
        <v>1.4559031873567897E-2</v>
      </c>
      <c r="CS22" s="14">
        <f t="shared" si="14"/>
        <v>4.4287562536847166E-2</v>
      </c>
    </row>
    <row r="23" spans="1:97" x14ac:dyDescent="0.45">
      <c r="A23" s="16"/>
      <c r="B23" s="17"/>
      <c r="C23" s="19"/>
      <c r="D23" s="19">
        <f t="shared" si="0"/>
        <v>0</v>
      </c>
      <c r="E23" s="19">
        <f t="shared" si="9"/>
        <v>0</v>
      </c>
      <c r="F23" s="19">
        <f t="shared" si="1"/>
        <v>0</v>
      </c>
      <c r="G23" s="20">
        <f t="shared" si="10"/>
        <v>0</v>
      </c>
      <c r="H23" s="20">
        <f>IFERROR(IRR((J23,L23:CK23),0),0)</f>
        <v>0</v>
      </c>
      <c r="I23" s="21">
        <f t="shared" si="2"/>
        <v>0</v>
      </c>
      <c r="J23" s="19">
        <f t="shared" si="13"/>
        <v>0</v>
      </c>
      <c r="K23" s="22">
        <f t="shared" si="3"/>
        <v>0</v>
      </c>
      <c r="L23" s="2">
        <f t="shared" si="19"/>
        <v>0</v>
      </c>
      <c r="M23" s="2">
        <f t="shared" si="19"/>
        <v>0</v>
      </c>
      <c r="N23" s="2">
        <f t="shared" si="19"/>
        <v>0</v>
      </c>
      <c r="O23" s="2">
        <f t="shared" si="19"/>
        <v>0</v>
      </c>
      <c r="P23" s="2">
        <f t="shared" si="19"/>
        <v>0</v>
      </c>
      <c r="Q23" s="2">
        <f t="shared" si="19"/>
        <v>0</v>
      </c>
      <c r="R23" s="2">
        <f t="shared" si="19"/>
        <v>0</v>
      </c>
      <c r="S23" s="2">
        <f t="shared" si="19"/>
        <v>0</v>
      </c>
      <c r="T23" s="2">
        <f t="shared" si="19"/>
        <v>0</v>
      </c>
      <c r="U23" s="2">
        <f t="shared" si="19"/>
        <v>0</v>
      </c>
      <c r="V23" s="2">
        <f t="shared" si="19"/>
        <v>0</v>
      </c>
      <c r="W23" s="2">
        <f t="shared" si="19"/>
        <v>0</v>
      </c>
      <c r="X23" s="2">
        <f t="shared" si="19"/>
        <v>0</v>
      </c>
      <c r="Y23" s="2">
        <f t="shared" si="19"/>
        <v>0</v>
      </c>
      <c r="Z23" s="2">
        <f t="shared" si="19"/>
        <v>0</v>
      </c>
      <c r="AA23" s="2">
        <f t="shared" si="19"/>
        <v>0</v>
      </c>
      <c r="AB23" s="2">
        <f t="shared" si="17"/>
        <v>0</v>
      </c>
      <c r="AC23" s="2">
        <f t="shared" si="17"/>
        <v>0</v>
      </c>
      <c r="AD23" s="2">
        <f t="shared" si="17"/>
        <v>0</v>
      </c>
      <c r="AE23" s="2">
        <f t="shared" si="17"/>
        <v>0</v>
      </c>
      <c r="AF23" s="2">
        <f t="shared" si="17"/>
        <v>0</v>
      </c>
      <c r="AG23" s="2">
        <f t="shared" si="17"/>
        <v>0</v>
      </c>
      <c r="AH23" s="2">
        <f t="shared" si="17"/>
        <v>0</v>
      </c>
      <c r="AI23" s="2">
        <f t="shared" si="17"/>
        <v>0</v>
      </c>
      <c r="AJ23" s="2">
        <f t="shared" si="17"/>
        <v>0</v>
      </c>
      <c r="AK23" s="2">
        <f t="shared" si="17"/>
        <v>0</v>
      </c>
      <c r="AL23" s="2">
        <f t="shared" si="17"/>
        <v>0</v>
      </c>
      <c r="AM23" s="2">
        <f t="shared" si="17"/>
        <v>0</v>
      </c>
      <c r="AN23" s="2">
        <f t="shared" si="17"/>
        <v>0</v>
      </c>
      <c r="AO23" s="2">
        <f t="shared" si="17"/>
        <v>0</v>
      </c>
      <c r="AP23" s="2">
        <f t="shared" si="17"/>
        <v>0</v>
      </c>
      <c r="AQ23" s="2">
        <f t="shared" si="17"/>
        <v>0</v>
      </c>
      <c r="AR23" s="2">
        <f t="shared" si="15"/>
        <v>0</v>
      </c>
      <c r="AS23" s="2">
        <f t="shared" si="15"/>
        <v>0</v>
      </c>
      <c r="AT23" s="2">
        <f t="shared" si="15"/>
        <v>0</v>
      </c>
      <c r="AU23" s="2">
        <f t="shared" si="15"/>
        <v>0</v>
      </c>
      <c r="AV23" s="2">
        <f t="shared" si="15"/>
        <v>0</v>
      </c>
      <c r="AW23" s="2">
        <f t="shared" si="15"/>
        <v>0</v>
      </c>
      <c r="AX23" s="2">
        <f t="shared" si="15"/>
        <v>0</v>
      </c>
      <c r="AY23" s="2">
        <f t="shared" si="15"/>
        <v>0</v>
      </c>
      <c r="AZ23" s="2">
        <f t="shared" si="15"/>
        <v>0</v>
      </c>
      <c r="BA23" s="2">
        <f t="shared" si="15"/>
        <v>0</v>
      </c>
      <c r="BB23" s="2">
        <f t="shared" si="15"/>
        <v>0</v>
      </c>
      <c r="BC23" s="2">
        <f t="shared" si="15"/>
        <v>0</v>
      </c>
      <c r="BD23" s="2">
        <f t="shared" si="15"/>
        <v>0</v>
      </c>
      <c r="BE23" s="2">
        <f t="shared" si="15"/>
        <v>0</v>
      </c>
      <c r="BF23" s="2">
        <f t="shared" si="15"/>
        <v>0</v>
      </c>
      <c r="BG23" s="2">
        <f t="shared" si="15"/>
        <v>0</v>
      </c>
      <c r="BH23" s="2">
        <f t="shared" si="18"/>
        <v>0</v>
      </c>
      <c r="BI23" s="2">
        <f t="shared" si="18"/>
        <v>0</v>
      </c>
      <c r="BJ23" s="2">
        <f t="shared" si="18"/>
        <v>0</v>
      </c>
      <c r="BK23" s="2">
        <f t="shared" si="18"/>
        <v>0</v>
      </c>
      <c r="BL23" s="2">
        <f t="shared" si="18"/>
        <v>0</v>
      </c>
      <c r="BM23" s="2">
        <f t="shared" si="18"/>
        <v>0</v>
      </c>
      <c r="BN23" s="2">
        <f t="shared" si="18"/>
        <v>0</v>
      </c>
      <c r="BO23" s="2">
        <f t="shared" si="18"/>
        <v>0</v>
      </c>
      <c r="BP23" s="2">
        <f t="shared" si="18"/>
        <v>0</v>
      </c>
      <c r="BQ23" s="2">
        <f t="shared" si="18"/>
        <v>0</v>
      </c>
      <c r="BR23" s="2">
        <f t="shared" si="18"/>
        <v>0</v>
      </c>
      <c r="BS23" s="2">
        <f t="shared" si="18"/>
        <v>0</v>
      </c>
      <c r="BT23" s="2">
        <f t="shared" si="18"/>
        <v>0</v>
      </c>
      <c r="BU23" s="2">
        <f t="shared" si="18"/>
        <v>0</v>
      </c>
      <c r="BV23" s="2">
        <f t="shared" si="18"/>
        <v>0</v>
      </c>
      <c r="BW23" s="2">
        <f t="shared" si="18"/>
        <v>0</v>
      </c>
      <c r="BX23" s="2">
        <f t="shared" si="16"/>
        <v>0</v>
      </c>
      <c r="BY23" s="2">
        <f t="shared" si="16"/>
        <v>0</v>
      </c>
      <c r="BZ23" s="2">
        <f t="shared" si="16"/>
        <v>0</v>
      </c>
      <c r="CA23" s="2">
        <f t="shared" si="16"/>
        <v>0</v>
      </c>
      <c r="CB23" s="2">
        <f t="shared" si="16"/>
        <v>0</v>
      </c>
      <c r="CC23" s="2">
        <f t="shared" si="16"/>
        <v>0</v>
      </c>
      <c r="CD23" s="2">
        <f t="shared" si="16"/>
        <v>0</v>
      </c>
      <c r="CE23" s="2">
        <f t="shared" si="16"/>
        <v>0</v>
      </c>
      <c r="CF23" s="2">
        <f t="shared" si="16"/>
        <v>0</v>
      </c>
      <c r="CG23" s="2">
        <f t="shared" si="16"/>
        <v>0</v>
      </c>
      <c r="CH23" s="2">
        <f t="shared" si="16"/>
        <v>0</v>
      </c>
      <c r="CI23" s="2">
        <f t="shared" si="16"/>
        <v>0</v>
      </c>
      <c r="CJ23" s="2">
        <f t="shared" si="16"/>
        <v>0</v>
      </c>
      <c r="CK23" s="23">
        <f t="shared" si="16"/>
        <v>0</v>
      </c>
      <c r="CN23" s="2">
        <v>10</v>
      </c>
      <c r="CO23" s="14">
        <v>3.6780012704100286E-2</v>
      </c>
      <c r="CP23" s="14">
        <v>-1.6755788289860112E-2</v>
      </c>
      <c r="CQ23" s="14">
        <v>1.0257126293292944E-2</v>
      </c>
      <c r="CR23" s="14">
        <v>1.5201767695712128E-2</v>
      </c>
      <c r="CS23" s="14">
        <f t="shared" si="14"/>
        <v>4.5483118403245246E-2</v>
      </c>
    </row>
    <row r="24" spans="1:97" x14ac:dyDescent="0.45">
      <c r="A24" s="16"/>
      <c r="B24" s="17"/>
      <c r="C24" s="19"/>
      <c r="D24" s="19">
        <f t="shared" si="0"/>
        <v>0</v>
      </c>
      <c r="E24" s="19">
        <f t="shared" si="9"/>
        <v>0</v>
      </c>
      <c r="F24" s="19">
        <f t="shared" si="1"/>
        <v>0</v>
      </c>
      <c r="G24" s="20">
        <f t="shared" si="10"/>
        <v>0</v>
      </c>
      <c r="H24" s="20">
        <f>IFERROR(IRR((J24,L24:CK24),0),0)</f>
        <v>0</v>
      </c>
      <c r="I24" s="21">
        <f t="shared" si="2"/>
        <v>0</v>
      </c>
      <c r="J24" s="19">
        <f t="shared" si="13"/>
        <v>0</v>
      </c>
      <c r="K24" s="22">
        <f t="shared" si="3"/>
        <v>0</v>
      </c>
      <c r="L24" s="2">
        <f t="shared" si="19"/>
        <v>0</v>
      </c>
      <c r="M24" s="2">
        <f t="shared" si="19"/>
        <v>0</v>
      </c>
      <c r="N24" s="2">
        <f t="shared" si="19"/>
        <v>0</v>
      </c>
      <c r="O24" s="2">
        <f t="shared" si="19"/>
        <v>0</v>
      </c>
      <c r="P24" s="2">
        <f t="shared" si="19"/>
        <v>0</v>
      </c>
      <c r="Q24" s="2">
        <f t="shared" si="19"/>
        <v>0</v>
      </c>
      <c r="R24" s="2">
        <f t="shared" si="19"/>
        <v>0</v>
      </c>
      <c r="S24" s="2">
        <f t="shared" si="19"/>
        <v>0</v>
      </c>
      <c r="T24" s="2">
        <f t="shared" si="19"/>
        <v>0</v>
      </c>
      <c r="U24" s="2">
        <f t="shared" si="19"/>
        <v>0</v>
      </c>
      <c r="V24" s="2">
        <f t="shared" si="19"/>
        <v>0</v>
      </c>
      <c r="W24" s="2">
        <f t="shared" si="19"/>
        <v>0</v>
      </c>
      <c r="X24" s="2">
        <f t="shared" si="19"/>
        <v>0</v>
      </c>
      <c r="Y24" s="2">
        <f t="shared" si="19"/>
        <v>0</v>
      </c>
      <c r="Z24" s="2">
        <f t="shared" si="19"/>
        <v>0</v>
      </c>
      <c r="AA24" s="2">
        <f t="shared" si="19"/>
        <v>0</v>
      </c>
      <c r="AB24" s="2">
        <f t="shared" si="17"/>
        <v>0</v>
      </c>
      <c r="AC24" s="2">
        <f t="shared" si="17"/>
        <v>0</v>
      </c>
      <c r="AD24" s="2">
        <f t="shared" si="17"/>
        <v>0</v>
      </c>
      <c r="AE24" s="2">
        <f t="shared" si="17"/>
        <v>0</v>
      </c>
      <c r="AF24" s="2">
        <f t="shared" si="17"/>
        <v>0</v>
      </c>
      <c r="AG24" s="2">
        <f t="shared" si="17"/>
        <v>0</v>
      </c>
      <c r="AH24" s="2">
        <f t="shared" si="17"/>
        <v>0</v>
      </c>
      <c r="AI24" s="2">
        <f t="shared" si="17"/>
        <v>0</v>
      </c>
      <c r="AJ24" s="2">
        <f t="shared" si="17"/>
        <v>0</v>
      </c>
      <c r="AK24" s="2">
        <f t="shared" si="17"/>
        <v>0</v>
      </c>
      <c r="AL24" s="2">
        <f t="shared" si="17"/>
        <v>0</v>
      </c>
      <c r="AM24" s="2">
        <f t="shared" si="17"/>
        <v>0</v>
      </c>
      <c r="AN24" s="2">
        <f t="shared" si="17"/>
        <v>0</v>
      </c>
      <c r="AO24" s="2">
        <f t="shared" si="17"/>
        <v>0</v>
      </c>
      <c r="AP24" s="2">
        <f t="shared" si="17"/>
        <v>0</v>
      </c>
      <c r="AQ24" s="2">
        <f t="shared" si="17"/>
        <v>0</v>
      </c>
      <c r="AR24" s="2">
        <f t="shared" si="15"/>
        <v>0</v>
      </c>
      <c r="AS24" s="2">
        <f t="shared" si="15"/>
        <v>0</v>
      </c>
      <c r="AT24" s="2">
        <f t="shared" si="15"/>
        <v>0</v>
      </c>
      <c r="AU24" s="2">
        <f t="shared" si="15"/>
        <v>0</v>
      </c>
      <c r="AV24" s="2">
        <f t="shared" si="15"/>
        <v>0</v>
      </c>
      <c r="AW24" s="2">
        <f t="shared" si="15"/>
        <v>0</v>
      </c>
      <c r="AX24" s="2">
        <f t="shared" si="15"/>
        <v>0</v>
      </c>
      <c r="AY24" s="2">
        <f t="shared" si="15"/>
        <v>0</v>
      </c>
      <c r="AZ24" s="2">
        <f t="shared" si="15"/>
        <v>0</v>
      </c>
      <c r="BA24" s="2">
        <f t="shared" si="15"/>
        <v>0</v>
      </c>
      <c r="BB24" s="2">
        <f t="shared" si="15"/>
        <v>0</v>
      </c>
      <c r="BC24" s="2">
        <f t="shared" si="15"/>
        <v>0</v>
      </c>
      <c r="BD24" s="2">
        <f t="shared" si="15"/>
        <v>0</v>
      </c>
      <c r="BE24" s="2">
        <f t="shared" si="15"/>
        <v>0</v>
      </c>
      <c r="BF24" s="2">
        <f t="shared" si="15"/>
        <v>0</v>
      </c>
      <c r="BG24" s="2">
        <f t="shared" si="15"/>
        <v>0</v>
      </c>
      <c r="BH24" s="2">
        <f t="shared" si="18"/>
        <v>0</v>
      </c>
      <c r="BI24" s="2">
        <f t="shared" si="18"/>
        <v>0</v>
      </c>
      <c r="BJ24" s="2">
        <f t="shared" si="18"/>
        <v>0</v>
      </c>
      <c r="BK24" s="2">
        <f t="shared" si="18"/>
        <v>0</v>
      </c>
      <c r="BL24" s="2">
        <f t="shared" si="18"/>
        <v>0</v>
      </c>
      <c r="BM24" s="2">
        <f t="shared" si="18"/>
        <v>0</v>
      </c>
      <c r="BN24" s="2">
        <f t="shared" si="18"/>
        <v>0</v>
      </c>
      <c r="BO24" s="2">
        <f t="shared" si="18"/>
        <v>0</v>
      </c>
      <c r="BP24" s="2">
        <f t="shared" si="18"/>
        <v>0</v>
      </c>
      <c r="BQ24" s="2">
        <f t="shared" si="18"/>
        <v>0</v>
      </c>
      <c r="BR24" s="2">
        <f t="shared" si="18"/>
        <v>0</v>
      </c>
      <c r="BS24" s="2">
        <f t="shared" si="18"/>
        <v>0</v>
      </c>
      <c r="BT24" s="2">
        <f t="shared" si="18"/>
        <v>0</v>
      </c>
      <c r="BU24" s="2">
        <f t="shared" si="18"/>
        <v>0</v>
      </c>
      <c r="BV24" s="2">
        <f t="shared" si="18"/>
        <v>0</v>
      </c>
      <c r="BW24" s="2">
        <f t="shared" si="18"/>
        <v>0</v>
      </c>
      <c r="BX24" s="2">
        <f t="shared" si="16"/>
        <v>0</v>
      </c>
      <c r="BY24" s="2">
        <f t="shared" si="16"/>
        <v>0</v>
      </c>
      <c r="BZ24" s="2">
        <f t="shared" si="16"/>
        <v>0</v>
      </c>
      <c r="CA24" s="2">
        <f t="shared" si="16"/>
        <v>0</v>
      </c>
      <c r="CB24" s="2">
        <f t="shared" si="16"/>
        <v>0</v>
      </c>
      <c r="CC24" s="2">
        <f t="shared" si="16"/>
        <v>0</v>
      </c>
      <c r="CD24" s="2">
        <f t="shared" si="16"/>
        <v>0</v>
      </c>
      <c r="CE24" s="2">
        <f t="shared" si="16"/>
        <v>0</v>
      </c>
      <c r="CF24" s="2">
        <f t="shared" si="16"/>
        <v>0</v>
      </c>
      <c r="CG24" s="2">
        <f t="shared" si="16"/>
        <v>0</v>
      </c>
      <c r="CH24" s="2">
        <f t="shared" si="16"/>
        <v>0</v>
      </c>
      <c r="CI24" s="2">
        <f t="shared" si="16"/>
        <v>0</v>
      </c>
      <c r="CJ24" s="2">
        <f t="shared" si="16"/>
        <v>0</v>
      </c>
      <c r="CK24" s="23">
        <f t="shared" si="16"/>
        <v>0</v>
      </c>
      <c r="CN24" s="2">
        <v>10.5</v>
      </c>
      <c r="CO24" s="14">
        <v>3.6780012704100286E-2</v>
      </c>
      <c r="CP24" s="14">
        <v>-1.6543886673755129E-2</v>
      </c>
      <c r="CQ24" s="14">
        <v>1.0579666569225004E-2</v>
      </c>
      <c r="CR24" s="14">
        <v>1.5833335521736592E-2</v>
      </c>
      <c r="CS24" s="14">
        <f t="shared" si="14"/>
        <v>4.6649128121306754E-2</v>
      </c>
    </row>
    <row r="25" spans="1:97" x14ac:dyDescent="0.45">
      <c r="A25" s="16"/>
      <c r="B25" s="17"/>
      <c r="C25" s="19"/>
      <c r="D25" s="19">
        <f t="shared" si="0"/>
        <v>0</v>
      </c>
      <c r="E25" s="19">
        <f t="shared" si="9"/>
        <v>0</v>
      </c>
      <c r="F25" s="19">
        <f t="shared" si="1"/>
        <v>0</v>
      </c>
      <c r="G25" s="20">
        <f t="shared" si="10"/>
        <v>0</v>
      </c>
      <c r="H25" s="20">
        <f>IFERROR(IRR((J25,L25:CK25),0),0)</f>
        <v>0</v>
      </c>
      <c r="I25" s="21">
        <f t="shared" si="2"/>
        <v>0</v>
      </c>
      <c r="J25" s="19">
        <f t="shared" si="13"/>
        <v>0</v>
      </c>
      <c r="K25" s="22">
        <f t="shared" si="3"/>
        <v>0</v>
      </c>
      <c r="L25" s="2">
        <f t="shared" si="19"/>
        <v>0</v>
      </c>
      <c r="M25" s="2">
        <f t="shared" si="19"/>
        <v>0</v>
      </c>
      <c r="N25" s="2">
        <f t="shared" si="19"/>
        <v>0</v>
      </c>
      <c r="O25" s="2">
        <f t="shared" si="19"/>
        <v>0</v>
      </c>
      <c r="P25" s="2">
        <f t="shared" si="19"/>
        <v>0</v>
      </c>
      <c r="Q25" s="2">
        <f t="shared" si="19"/>
        <v>0</v>
      </c>
      <c r="R25" s="2">
        <f t="shared" si="19"/>
        <v>0</v>
      </c>
      <c r="S25" s="2">
        <f t="shared" si="19"/>
        <v>0</v>
      </c>
      <c r="T25" s="2">
        <f t="shared" si="19"/>
        <v>0</v>
      </c>
      <c r="U25" s="2">
        <f t="shared" si="19"/>
        <v>0</v>
      </c>
      <c r="V25" s="2">
        <f t="shared" si="19"/>
        <v>0</v>
      </c>
      <c r="W25" s="2">
        <f t="shared" si="19"/>
        <v>0</v>
      </c>
      <c r="X25" s="2">
        <f t="shared" si="19"/>
        <v>0</v>
      </c>
      <c r="Y25" s="2">
        <f t="shared" si="19"/>
        <v>0</v>
      </c>
      <c r="Z25" s="2">
        <f t="shared" si="19"/>
        <v>0</v>
      </c>
      <c r="AA25" s="2">
        <f t="shared" si="19"/>
        <v>0</v>
      </c>
      <c r="AB25" s="2">
        <f t="shared" si="17"/>
        <v>0</v>
      </c>
      <c r="AC25" s="2">
        <f t="shared" si="17"/>
        <v>0</v>
      </c>
      <c r="AD25" s="2">
        <f t="shared" si="17"/>
        <v>0</v>
      </c>
      <c r="AE25" s="2">
        <f t="shared" si="17"/>
        <v>0</v>
      </c>
      <c r="AF25" s="2">
        <f t="shared" si="17"/>
        <v>0</v>
      </c>
      <c r="AG25" s="2">
        <f t="shared" si="17"/>
        <v>0</v>
      </c>
      <c r="AH25" s="2">
        <f t="shared" si="17"/>
        <v>0</v>
      </c>
      <c r="AI25" s="2">
        <f t="shared" si="17"/>
        <v>0</v>
      </c>
      <c r="AJ25" s="2">
        <f t="shared" si="17"/>
        <v>0</v>
      </c>
      <c r="AK25" s="2">
        <f t="shared" si="17"/>
        <v>0</v>
      </c>
      <c r="AL25" s="2">
        <f t="shared" si="17"/>
        <v>0</v>
      </c>
      <c r="AM25" s="2">
        <f t="shared" si="17"/>
        <v>0</v>
      </c>
      <c r="AN25" s="2">
        <f t="shared" si="17"/>
        <v>0</v>
      </c>
      <c r="AO25" s="2">
        <f t="shared" si="17"/>
        <v>0</v>
      </c>
      <c r="AP25" s="2">
        <f t="shared" si="17"/>
        <v>0</v>
      </c>
      <c r="AQ25" s="2">
        <f t="shared" si="17"/>
        <v>0</v>
      </c>
      <c r="AR25" s="2">
        <f t="shared" si="15"/>
        <v>0</v>
      </c>
      <c r="AS25" s="2">
        <f t="shared" si="15"/>
        <v>0</v>
      </c>
      <c r="AT25" s="2">
        <f t="shared" si="15"/>
        <v>0</v>
      </c>
      <c r="AU25" s="2">
        <f t="shared" si="15"/>
        <v>0</v>
      </c>
      <c r="AV25" s="2">
        <f t="shared" si="15"/>
        <v>0</v>
      </c>
      <c r="AW25" s="2">
        <f t="shared" si="15"/>
        <v>0</v>
      </c>
      <c r="AX25" s="2">
        <f t="shared" si="15"/>
        <v>0</v>
      </c>
      <c r="AY25" s="2">
        <f t="shared" si="15"/>
        <v>0</v>
      </c>
      <c r="AZ25" s="2">
        <f t="shared" si="15"/>
        <v>0</v>
      </c>
      <c r="BA25" s="2">
        <f t="shared" si="15"/>
        <v>0</v>
      </c>
      <c r="BB25" s="2">
        <f t="shared" si="15"/>
        <v>0</v>
      </c>
      <c r="BC25" s="2">
        <f t="shared" si="15"/>
        <v>0</v>
      </c>
      <c r="BD25" s="2">
        <f t="shared" si="15"/>
        <v>0</v>
      </c>
      <c r="BE25" s="2">
        <f t="shared" si="15"/>
        <v>0</v>
      </c>
      <c r="BF25" s="2">
        <f t="shared" si="15"/>
        <v>0</v>
      </c>
      <c r="BG25" s="2">
        <f t="shared" si="15"/>
        <v>0</v>
      </c>
      <c r="BH25" s="2">
        <f t="shared" si="18"/>
        <v>0</v>
      </c>
      <c r="BI25" s="2">
        <f t="shared" si="18"/>
        <v>0</v>
      </c>
      <c r="BJ25" s="2">
        <f t="shared" si="18"/>
        <v>0</v>
      </c>
      <c r="BK25" s="2">
        <f t="shared" si="18"/>
        <v>0</v>
      </c>
      <c r="BL25" s="2">
        <f t="shared" si="18"/>
        <v>0</v>
      </c>
      <c r="BM25" s="2">
        <f t="shared" si="18"/>
        <v>0</v>
      </c>
      <c r="BN25" s="2">
        <f t="shared" si="18"/>
        <v>0</v>
      </c>
      <c r="BO25" s="2">
        <f t="shared" si="18"/>
        <v>0</v>
      </c>
      <c r="BP25" s="2">
        <f t="shared" si="18"/>
        <v>0</v>
      </c>
      <c r="BQ25" s="2">
        <f t="shared" si="18"/>
        <v>0</v>
      </c>
      <c r="BR25" s="2">
        <f t="shared" si="18"/>
        <v>0</v>
      </c>
      <c r="BS25" s="2">
        <f t="shared" si="18"/>
        <v>0</v>
      </c>
      <c r="BT25" s="2">
        <f t="shared" si="18"/>
        <v>0</v>
      </c>
      <c r="BU25" s="2">
        <f t="shared" si="18"/>
        <v>0</v>
      </c>
      <c r="BV25" s="2">
        <f t="shared" si="18"/>
        <v>0</v>
      </c>
      <c r="BW25" s="2">
        <f t="shared" si="18"/>
        <v>0</v>
      </c>
      <c r="BX25" s="2">
        <f t="shared" si="16"/>
        <v>0</v>
      </c>
      <c r="BY25" s="2">
        <f t="shared" si="16"/>
        <v>0</v>
      </c>
      <c r="BZ25" s="2">
        <f t="shared" si="16"/>
        <v>0</v>
      </c>
      <c r="CA25" s="2">
        <f t="shared" si="16"/>
        <v>0</v>
      </c>
      <c r="CB25" s="2">
        <f t="shared" si="16"/>
        <v>0</v>
      </c>
      <c r="CC25" s="2">
        <f t="shared" si="16"/>
        <v>0</v>
      </c>
      <c r="CD25" s="2">
        <f t="shared" si="16"/>
        <v>0</v>
      </c>
      <c r="CE25" s="2">
        <f t="shared" si="16"/>
        <v>0</v>
      </c>
      <c r="CF25" s="2">
        <f t="shared" si="16"/>
        <v>0</v>
      </c>
      <c r="CG25" s="2">
        <f t="shared" si="16"/>
        <v>0</v>
      </c>
      <c r="CH25" s="2">
        <f t="shared" si="16"/>
        <v>0</v>
      </c>
      <c r="CI25" s="2">
        <f t="shared" si="16"/>
        <v>0</v>
      </c>
      <c r="CJ25" s="2">
        <f t="shared" si="16"/>
        <v>0</v>
      </c>
      <c r="CK25" s="23">
        <f t="shared" si="16"/>
        <v>0</v>
      </c>
      <c r="CN25" s="2">
        <v>11</v>
      </c>
      <c r="CO25" s="14">
        <v>3.6780012704100286E-2</v>
      </c>
      <c r="CP25" s="14">
        <v>-1.6335724671653822E-2</v>
      </c>
      <c r="CQ25" s="14">
        <v>1.0888118359353766E-2</v>
      </c>
      <c r="CR25" s="14">
        <v>1.6453892482841358E-2</v>
      </c>
      <c r="CS25" s="14">
        <f t="shared" si="14"/>
        <v>4.7786298874641586E-2</v>
      </c>
    </row>
    <row r="26" spans="1:97" x14ac:dyDescent="0.45">
      <c r="A26" s="16"/>
      <c r="B26" s="17"/>
      <c r="C26" s="19"/>
      <c r="D26" s="19">
        <f t="shared" si="0"/>
        <v>0</v>
      </c>
      <c r="E26" s="19">
        <f t="shared" si="9"/>
        <v>0</v>
      </c>
      <c r="F26" s="19">
        <f t="shared" si="1"/>
        <v>0</v>
      </c>
      <c r="G26" s="20">
        <f t="shared" si="10"/>
        <v>0</v>
      </c>
      <c r="H26" s="20">
        <f>IFERROR(IRR((J26,L26:CK26),0),0)</f>
        <v>0</v>
      </c>
      <c r="I26" s="21">
        <f t="shared" si="2"/>
        <v>0</v>
      </c>
      <c r="J26" s="19">
        <f t="shared" si="13"/>
        <v>0</v>
      </c>
      <c r="K26" s="22">
        <f t="shared" si="3"/>
        <v>0</v>
      </c>
      <c r="L26" s="2">
        <f t="shared" si="19"/>
        <v>0</v>
      </c>
      <c r="M26" s="2">
        <f t="shared" si="19"/>
        <v>0</v>
      </c>
      <c r="N26" s="2">
        <f t="shared" si="19"/>
        <v>0</v>
      </c>
      <c r="O26" s="2">
        <f t="shared" si="19"/>
        <v>0</v>
      </c>
      <c r="P26" s="2">
        <f t="shared" si="19"/>
        <v>0</v>
      </c>
      <c r="Q26" s="2">
        <f t="shared" si="19"/>
        <v>0</v>
      </c>
      <c r="R26" s="2">
        <f t="shared" si="19"/>
        <v>0</v>
      </c>
      <c r="S26" s="2">
        <f t="shared" si="19"/>
        <v>0</v>
      </c>
      <c r="T26" s="2">
        <f t="shared" si="19"/>
        <v>0</v>
      </c>
      <c r="U26" s="2">
        <f t="shared" si="19"/>
        <v>0</v>
      </c>
      <c r="V26" s="2">
        <f t="shared" si="19"/>
        <v>0</v>
      </c>
      <c r="W26" s="2">
        <f t="shared" si="19"/>
        <v>0</v>
      </c>
      <c r="X26" s="2">
        <f t="shared" si="19"/>
        <v>0</v>
      </c>
      <c r="Y26" s="2">
        <f t="shared" si="19"/>
        <v>0</v>
      </c>
      <c r="Z26" s="2">
        <f t="shared" si="19"/>
        <v>0</v>
      </c>
      <c r="AA26" s="2">
        <f t="shared" si="19"/>
        <v>0</v>
      </c>
      <c r="AB26" s="2">
        <f t="shared" si="17"/>
        <v>0</v>
      </c>
      <c r="AC26" s="2">
        <f t="shared" si="17"/>
        <v>0</v>
      </c>
      <c r="AD26" s="2">
        <f t="shared" si="17"/>
        <v>0</v>
      </c>
      <c r="AE26" s="2">
        <f t="shared" si="17"/>
        <v>0</v>
      </c>
      <c r="AF26" s="2">
        <f t="shared" si="17"/>
        <v>0</v>
      </c>
      <c r="AG26" s="2">
        <f t="shared" si="17"/>
        <v>0</v>
      </c>
      <c r="AH26" s="2">
        <f t="shared" si="17"/>
        <v>0</v>
      </c>
      <c r="AI26" s="2">
        <f t="shared" si="17"/>
        <v>0</v>
      </c>
      <c r="AJ26" s="2">
        <f t="shared" si="17"/>
        <v>0</v>
      </c>
      <c r="AK26" s="2">
        <f t="shared" si="17"/>
        <v>0</v>
      </c>
      <c r="AL26" s="2">
        <f t="shared" si="17"/>
        <v>0</v>
      </c>
      <c r="AM26" s="2">
        <f t="shared" si="17"/>
        <v>0</v>
      </c>
      <c r="AN26" s="2">
        <f t="shared" si="17"/>
        <v>0</v>
      </c>
      <c r="AO26" s="2">
        <f t="shared" si="17"/>
        <v>0</v>
      </c>
      <c r="AP26" s="2">
        <f t="shared" si="17"/>
        <v>0</v>
      </c>
      <c r="AQ26" s="2">
        <f t="shared" si="17"/>
        <v>0</v>
      </c>
      <c r="AR26" s="2">
        <f t="shared" si="15"/>
        <v>0</v>
      </c>
      <c r="AS26" s="2">
        <f t="shared" si="15"/>
        <v>0</v>
      </c>
      <c r="AT26" s="2">
        <f t="shared" si="15"/>
        <v>0</v>
      </c>
      <c r="AU26" s="2">
        <f t="shared" si="15"/>
        <v>0</v>
      </c>
      <c r="AV26" s="2">
        <f t="shared" si="15"/>
        <v>0</v>
      </c>
      <c r="AW26" s="2">
        <f t="shared" si="15"/>
        <v>0</v>
      </c>
      <c r="AX26" s="2">
        <f t="shared" si="15"/>
        <v>0</v>
      </c>
      <c r="AY26" s="2">
        <f t="shared" si="15"/>
        <v>0</v>
      </c>
      <c r="AZ26" s="2">
        <f t="shared" si="15"/>
        <v>0</v>
      </c>
      <c r="BA26" s="2">
        <f t="shared" si="15"/>
        <v>0</v>
      </c>
      <c r="BB26" s="2">
        <f t="shared" si="15"/>
        <v>0</v>
      </c>
      <c r="BC26" s="2">
        <f t="shared" si="15"/>
        <v>0</v>
      </c>
      <c r="BD26" s="2">
        <f t="shared" si="15"/>
        <v>0</v>
      </c>
      <c r="BE26" s="2">
        <f t="shared" si="15"/>
        <v>0</v>
      </c>
      <c r="BF26" s="2">
        <f t="shared" si="15"/>
        <v>0</v>
      </c>
      <c r="BG26" s="2">
        <f t="shared" si="15"/>
        <v>0</v>
      </c>
      <c r="BH26" s="2">
        <f t="shared" si="18"/>
        <v>0</v>
      </c>
      <c r="BI26" s="2">
        <f t="shared" si="18"/>
        <v>0</v>
      </c>
      <c r="BJ26" s="2">
        <f t="shared" si="18"/>
        <v>0</v>
      </c>
      <c r="BK26" s="2">
        <f t="shared" si="18"/>
        <v>0</v>
      </c>
      <c r="BL26" s="2">
        <f t="shared" si="18"/>
        <v>0</v>
      </c>
      <c r="BM26" s="2">
        <f t="shared" si="18"/>
        <v>0</v>
      </c>
      <c r="BN26" s="2">
        <f t="shared" si="18"/>
        <v>0</v>
      </c>
      <c r="BO26" s="2">
        <f t="shared" si="18"/>
        <v>0</v>
      </c>
      <c r="BP26" s="2">
        <f t="shared" si="18"/>
        <v>0</v>
      </c>
      <c r="BQ26" s="2">
        <f t="shared" si="18"/>
        <v>0</v>
      </c>
      <c r="BR26" s="2">
        <f t="shared" si="18"/>
        <v>0</v>
      </c>
      <c r="BS26" s="2">
        <f t="shared" si="18"/>
        <v>0</v>
      </c>
      <c r="BT26" s="2">
        <f t="shared" si="18"/>
        <v>0</v>
      </c>
      <c r="BU26" s="2">
        <f t="shared" si="18"/>
        <v>0</v>
      </c>
      <c r="BV26" s="2">
        <f t="shared" si="18"/>
        <v>0</v>
      </c>
      <c r="BW26" s="2">
        <f t="shared" si="18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si="16"/>
        <v>0</v>
      </c>
      <c r="CB26" s="2">
        <f t="shared" si="16"/>
        <v>0</v>
      </c>
      <c r="CC26" s="2">
        <f t="shared" si="16"/>
        <v>0</v>
      </c>
      <c r="CD26" s="2">
        <f t="shared" si="16"/>
        <v>0</v>
      </c>
      <c r="CE26" s="2">
        <f t="shared" si="16"/>
        <v>0</v>
      </c>
      <c r="CF26" s="2">
        <f t="shared" si="16"/>
        <v>0</v>
      </c>
      <c r="CG26" s="2">
        <f t="shared" si="16"/>
        <v>0</v>
      </c>
      <c r="CH26" s="2">
        <f t="shared" si="16"/>
        <v>0</v>
      </c>
      <c r="CI26" s="2">
        <f t="shared" si="16"/>
        <v>0</v>
      </c>
      <c r="CJ26" s="2">
        <f t="shared" si="16"/>
        <v>0</v>
      </c>
      <c r="CK26" s="23">
        <f t="shared" si="16"/>
        <v>0</v>
      </c>
      <c r="CN26" s="2">
        <v>11.5</v>
      </c>
      <c r="CO26" s="14">
        <v>3.6780012704100286E-2</v>
      </c>
      <c r="CP26" s="14">
        <v>-1.6131226626681004E-2</v>
      </c>
      <c r="CQ26" s="14">
        <v>1.1182940150148131E-2</v>
      </c>
      <c r="CR26" s="14">
        <v>1.7063593632368101E-2</v>
      </c>
      <c r="CS26" s="14">
        <f t="shared" si="14"/>
        <v>4.8895319859935518E-2</v>
      </c>
    </row>
    <row r="27" spans="1:97" x14ac:dyDescent="0.45">
      <c r="A27" s="16"/>
      <c r="B27" s="17"/>
      <c r="C27" s="19"/>
      <c r="D27" s="19">
        <f t="shared" si="0"/>
        <v>0</v>
      </c>
      <c r="E27" s="19">
        <f t="shared" si="9"/>
        <v>0</v>
      </c>
      <c r="F27" s="19">
        <f t="shared" si="1"/>
        <v>0</v>
      </c>
      <c r="G27" s="20">
        <f t="shared" si="10"/>
        <v>0</v>
      </c>
      <c r="H27" s="20">
        <f>IFERROR(IRR((J27,L27:CK27),0),0)</f>
        <v>0</v>
      </c>
      <c r="I27" s="21">
        <f t="shared" si="2"/>
        <v>0</v>
      </c>
      <c r="J27" s="19">
        <f t="shared" si="13"/>
        <v>0</v>
      </c>
      <c r="K27" s="22">
        <f t="shared" si="3"/>
        <v>0</v>
      </c>
      <c r="L27" s="2">
        <f t="shared" si="19"/>
        <v>0</v>
      </c>
      <c r="M27" s="2">
        <f t="shared" si="19"/>
        <v>0</v>
      </c>
      <c r="N27" s="2">
        <f t="shared" si="19"/>
        <v>0</v>
      </c>
      <c r="O27" s="2">
        <f t="shared" si="19"/>
        <v>0</v>
      </c>
      <c r="P27" s="2">
        <f t="shared" si="19"/>
        <v>0</v>
      </c>
      <c r="Q27" s="2">
        <f t="shared" si="19"/>
        <v>0</v>
      </c>
      <c r="R27" s="2">
        <f t="shared" si="19"/>
        <v>0</v>
      </c>
      <c r="S27" s="2">
        <f t="shared" si="19"/>
        <v>0</v>
      </c>
      <c r="T27" s="2">
        <f t="shared" si="19"/>
        <v>0</v>
      </c>
      <c r="U27" s="2">
        <f t="shared" si="19"/>
        <v>0</v>
      </c>
      <c r="V27" s="2">
        <f t="shared" si="19"/>
        <v>0</v>
      </c>
      <c r="W27" s="2">
        <f t="shared" si="19"/>
        <v>0</v>
      </c>
      <c r="X27" s="2">
        <f t="shared" si="19"/>
        <v>0</v>
      </c>
      <c r="Y27" s="2">
        <f t="shared" si="19"/>
        <v>0</v>
      </c>
      <c r="Z27" s="2">
        <f t="shared" si="19"/>
        <v>0</v>
      </c>
      <c r="AA27" s="2">
        <f t="shared" si="19"/>
        <v>0</v>
      </c>
      <c r="AB27" s="2">
        <f t="shared" si="17"/>
        <v>0</v>
      </c>
      <c r="AC27" s="2">
        <f t="shared" si="17"/>
        <v>0</v>
      </c>
      <c r="AD27" s="2">
        <f t="shared" si="17"/>
        <v>0</v>
      </c>
      <c r="AE27" s="2">
        <f t="shared" si="17"/>
        <v>0</v>
      </c>
      <c r="AF27" s="2">
        <f t="shared" si="17"/>
        <v>0</v>
      </c>
      <c r="AG27" s="2">
        <f t="shared" si="17"/>
        <v>0</v>
      </c>
      <c r="AH27" s="2">
        <f t="shared" si="17"/>
        <v>0</v>
      </c>
      <c r="AI27" s="2">
        <f t="shared" si="17"/>
        <v>0</v>
      </c>
      <c r="AJ27" s="2">
        <f t="shared" si="17"/>
        <v>0</v>
      </c>
      <c r="AK27" s="2">
        <f t="shared" si="17"/>
        <v>0</v>
      </c>
      <c r="AL27" s="2">
        <f t="shared" si="17"/>
        <v>0</v>
      </c>
      <c r="AM27" s="2">
        <f t="shared" si="17"/>
        <v>0</v>
      </c>
      <c r="AN27" s="2">
        <f t="shared" si="17"/>
        <v>0</v>
      </c>
      <c r="AO27" s="2">
        <f t="shared" si="17"/>
        <v>0</v>
      </c>
      <c r="AP27" s="2">
        <f t="shared" si="17"/>
        <v>0</v>
      </c>
      <c r="AQ27" s="2">
        <f t="shared" si="17"/>
        <v>0</v>
      </c>
      <c r="AR27" s="2">
        <f t="shared" si="15"/>
        <v>0</v>
      </c>
      <c r="AS27" s="2">
        <f t="shared" si="15"/>
        <v>0</v>
      </c>
      <c r="AT27" s="2">
        <f t="shared" si="15"/>
        <v>0</v>
      </c>
      <c r="AU27" s="2">
        <f t="shared" si="15"/>
        <v>0</v>
      </c>
      <c r="AV27" s="2">
        <f t="shared" si="15"/>
        <v>0</v>
      </c>
      <c r="AW27" s="2">
        <f t="shared" si="15"/>
        <v>0</v>
      </c>
      <c r="AX27" s="2">
        <f t="shared" si="15"/>
        <v>0</v>
      </c>
      <c r="AY27" s="2">
        <f t="shared" si="15"/>
        <v>0</v>
      </c>
      <c r="AZ27" s="2">
        <f t="shared" si="15"/>
        <v>0</v>
      </c>
      <c r="BA27" s="2">
        <f t="shared" si="15"/>
        <v>0</v>
      </c>
      <c r="BB27" s="2">
        <f t="shared" si="15"/>
        <v>0</v>
      </c>
      <c r="BC27" s="2">
        <f t="shared" si="15"/>
        <v>0</v>
      </c>
      <c r="BD27" s="2">
        <f t="shared" si="15"/>
        <v>0</v>
      </c>
      <c r="BE27" s="2">
        <f t="shared" si="15"/>
        <v>0</v>
      </c>
      <c r="BF27" s="2">
        <f t="shared" si="15"/>
        <v>0</v>
      </c>
      <c r="BG27" s="2">
        <f t="shared" si="15"/>
        <v>0</v>
      </c>
      <c r="BH27" s="2">
        <f t="shared" si="18"/>
        <v>0</v>
      </c>
      <c r="BI27" s="2">
        <f t="shared" si="18"/>
        <v>0</v>
      </c>
      <c r="BJ27" s="2">
        <f t="shared" si="18"/>
        <v>0</v>
      </c>
      <c r="BK27" s="2">
        <f t="shared" si="18"/>
        <v>0</v>
      </c>
      <c r="BL27" s="2">
        <f t="shared" si="18"/>
        <v>0</v>
      </c>
      <c r="BM27" s="2">
        <f t="shared" si="18"/>
        <v>0</v>
      </c>
      <c r="BN27" s="2">
        <f t="shared" si="18"/>
        <v>0</v>
      </c>
      <c r="BO27" s="2">
        <f t="shared" si="18"/>
        <v>0</v>
      </c>
      <c r="BP27" s="2">
        <f t="shared" si="18"/>
        <v>0</v>
      </c>
      <c r="BQ27" s="2">
        <f t="shared" si="18"/>
        <v>0</v>
      </c>
      <c r="BR27" s="2">
        <f t="shared" si="18"/>
        <v>0</v>
      </c>
      <c r="BS27" s="2">
        <f t="shared" si="18"/>
        <v>0</v>
      </c>
      <c r="BT27" s="2">
        <f t="shared" si="18"/>
        <v>0</v>
      </c>
      <c r="BU27" s="2">
        <f t="shared" si="18"/>
        <v>0</v>
      </c>
      <c r="BV27" s="2">
        <f t="shared" si="18"/>
        <v>0</v>
      </c>
      <c r="BW27" s="2">
        <f t="shared" si="18"/>
        <v>0</v>
      </c>
      <c r="BX27" s="2">
        <f t="shared" si="16"/>
        <v>0</v>
      </c>
      <c r="BY27" s="2">
        <f t="shared" si="16"/>
        <v>0</v>
      </c>
      <c r="BZ27" s="2">
        <f t="shared" si="16"/>
        <v>0</v>
      </c>
      <c r="CA27" s="2">
        <f t="shared" si="16"/>
        <v>0</v>
      </c>
      <c r="CB27" s="2">
        <f t="shared" si="16"/>
        <v>0</v>
      </c>
      <c r="CC27" s="2">
        <f t="shared" si="16"/>
        <v>0</v>
      </c>
      <c r="CD27" s="2">
        <f t="shared" si="16"/>
        <v>0</v>
      </c>
      <c r="CE27" s="2">
        <f t="shared" si="16"/>
        <v>0</v>
      </c>
      <c r="CF27" s="2">
        <f t="shared" si="16"/>
        <v>0</v>
      </c>
      <c r="CG27" s="2">
        <f t="shared" si="16"/>
        <v>0</v>
      </c>
      <c r="CH27" s="2">
        <f t="shared" si="16"/>
        <v>0</v>
      </c>
      <c r="CI27" s="2">
        <f t="shared" si="16"/>
        <v>0</v>
      </c>
      <c r="CJ27" s="2">
        <f t="shared" si="16"/>
        <v>0</v>
      </c>
      <c r="CK27" s="23">
        <f t="shared" si="16"/>
        <v>0</v>
      </c>
      <c r="CN27" s="2">
        <v>12</v>
      </c>
      <c r="CO27" s="14">
        <v>3.6780012704100286E-2</v>
      </c>
      <c r="CP27" s="14">
        <v>-1.5930318530233953E-2</v>
      </c>
      <c r="CQ27" s="14">
        <v>1.1464576620423009E-2</v>
      </c>
      <c r="CR27" s="14">
        <v>1.7662591972550518E-2</v>
      </c>
      <c r="CS27" s="14">
        <f t="shared" si="14"/>
        <v>4.9976862766839859E-2</v>
      </c>
    </row>
    <row r="28" spans="1:97" x14ac:dyDescent="0.45">
      <c r="A28" s="16"/>
      <c r="B28" s="17"/>
      <c r="C28" s="19"/>
      <c r="D28" s="19">
        <f t="shared" si="0"/>
        <v>0</v>
      </c>
      <c r="E28" s="19">
        <f t="shared" si="9"/>
        <v>0</v>
      </c>
      <c r="F28" s="19">
        <f t="shared" si="1"/>
        <v>0</v>
      </c>
      <c r="G28" s="20">
        <f t="shared" si="10"/>
        <v>0</v>
      </c>
      <c r="H28" s="20">
        <f>IFERROR(IRR((J28,L28:CK28),0),0)</f>
        <v>0</v>
      </c>
      <c r="I28" s="21">
        <f t="shared" si="2"/>
        <v>0</v>
      </c>
      <c r="J28" s="19">
        <f t="shared" si="13"/>
        <v>0</v>
      </c>
      <c r="K28" s="22">
        <f t="shared" si="3"/>
        <v>0</v>
      </c>
      <c r="L28" s="2">
        <f t="shared" si="19"/>
        <v>0</v>
      </c>
      <c r="M28" s="2">
        <f t="shared" si="19"/>
        <v>0</v>
      </c>
      <c r="N28" s="2">
        <f t="shared" si="19"/>
        <v>0</v>
      </c>
      <c r="O28" s="2">
        <f t="shared" si="19"/>
        <v>0</v>
      </c>
      <c r="P28" s="2">
        <f t="shared" si="19"/>
        <v>0</v>
      </c>
      <c r="Q28" s="2">
        <f t="shared" si="19"/>
        <v>0</v>
      </c>
      <c r="R28" s="2">
        <f t="shared" si="19"/>
        <v>0</v>
      </c>
      <c r="S28" s="2">
        <f t="shared" si="19"/>
        <v>0</v>
      </c>
      <c r="T28" s="2">
        <f t="shared" si="19"/>
        <v>0</v>
      </c>
      <c r="U28" s="2">
        <f t="shared" si="19"/>
        <v>0</v>
      </c>
      <c r="V28" s="2">
        <f t="shared" si="19"/>
        <v>0</v>
      </c>
      <c r="W28" s="2">
        <f t="shared" si="19"/>
        <v>0</v>
      </c>
      <c r="X28" s="2">
        <f t="shared" si="19"/>
        <v>0</v>
      </c>
      <c r="Y28" s="2">
        <f t="shared" si="19"/>
        <v>0</v>
      </c>
      <c r="Z28" s="2">
        <f t="shared" si="19"/>
        <v>0</v>
      </c>
      <c r="AA28" s="2">
        <f t="shared" si="19"/>
        <v>0</v>
      </c>
      <c r="AB28" s="2">
        <f t="shared" si="17"/>
        <v>0</v>
      </c>
      <c r="AC28" s="2">
        <f t="shared" si="17"/>
        <v>0</v>
      </c>
      <c r="AD28" s="2">
        <f t="shared" si="17"/>
        <v>0</v>
      </c>
      <c r="AE28" s="2">
        <f t="shared" si="17"/>
        <v>0</v>
      </c>
      <c r="AF28" s="2">
        <f t="shared" si="17"/>
        <v>0</v>
      </c>
      <c r="AG28" s="2">
        <f t="shared" si="17"/>
        <v>0</v>
      </c>
      <c r="AH28" s="2">
        <f t="shared" si="17"/>
        <v>0</v>
      </c>
      <c r="AI28" s="2">
        <f t="shared" si="17"/>
        <v>0</v>
      </c>
      <c r="AJ28" s="2">
        <f t="shared" si="17"/>
        <v>0</v>
      </c>
      <c r="AK28" s="2">
        <f t="shared" si="17"/>
        <v>0</v>
      </c>
      <c r="AL28" s="2">
        <f t="shared" si="17"/>
        <v>0</v>
      </c>
      <c r="AM28" s="2">
        <f t="shared" si="17"/>
        <v>0</v>
      </c>
      <c r="AN28" s="2">
        <f t="shared" si="17"/>
        <v>0</v>
      </c>
      <c r="AO28" s="2">
        <f t="shared" si="17"/>
        <v>0</v>
      </c>
      <c r="AP28" s="2">
        <f t="shared" si="17"/>
        <v>0</v>
      </c>
      <c r="AQ28" s="2">
        <f t="shared" si="17"/>
        <v>0</v>
      </c>
      <c r="AR28" s="2">
        <f t="shared" si="15"/>
        <v>0</v>
      </c>
      <c r="AS28" s="2">
        <f t="shared" si="15"/>
        <v>0</v>
      </c>
      <c r="AT28" s="2">
        <f t="shared" si="15"/>
        <v>0</v>
      </c>
      <c r="AU28" s="2">
        <f t="shared" si="15"/>
        <v>0</v>
      </c>
      <c r="AV28" s="2">
        <f t="shared" si="15"/>
        <v>0</v>
      </c>
      <c r="AW28" s="2">
        <f t="shared" si="15"/>
        <v>0</v>
      </c>
      <c r="AX28" s="2">
        <f t="shared" si="15"/>
        <v>0</v>
      </c>
      <c r="AY28" s="2">
        <f t="shared" si="15"/>
        <v>0</v>
      </c>
      <c r="AZ28" s="2">
        <f t="shared" si="15"/>
        <v>0</v>
      </c>
      <c r="BA28" s="2">
        <f t="shared" si="15"/>
        <v>0</v>
      </c>
      <c r="BB28" s="2">
        <f t="shared" si="15"/>
        <v>0</v>
      </c>
      <c r="BC28" s="2">
        <f t="shared" si="15"/>
        <v>0</v>
      </c>
      <c r="BD28" s="2">
        <f t="shared" si="15"/>
        <v>0</v>
      </c>
      <c r="BE28" s="2">
        <f t="shared" si="15"/>
        <v>0</v>
      </c>
      <c r="BF28" s="2">
        <f t="shared" si="15"/>
        <v>0</v>
      </c>
      <c r="BG28" s="2">
        <f t="shared" si="15"/>
        <v>0</v>
      </c>
      <c r="BH28" s="2">
        <f t="shared" si="18"/>
        <v>0</v>
      </c>
      <c r="BI28" s="2">
        <f t="shared" si="18"/>
        <v>0</v>
      </c>
      <c r="BJ28" s="2">
        <f t="shared" si="18"/>
        <v>0</v>
      </c>
      <c r="BK28" s="2">
        <f t="shared" si="18"/>
        <v>0</v>
      </c>
      <c r="BL28" s="2">
        <f t="shared" si="18"/>
        <v>0</v>
      </c>
      <c r="BM28" s="2">
        <f t="shared" si="18"/>
        <v>0</v>
      </c>
      <c r="BN28" s="2">
        <f t="shared" si="18"/>
        <v>0</v>
      </c>
      <c r="BO28" s="2">
        <f t="shared" si="18"/>
        <v>0</v>
      </c>
      <c r="BP28" s="2">
        <f t="shared" si="18"/>
        <v>0</v>
      </c>
      <c r="BQ28" s="2">
        <f t="shared" si="18"/>
        <v>0</v>
      </c>
      <c r="BR28" s="2">
        <f t="shared" si="18"/>
        <v>0</v>
      </c>
      <c r="BS28" s="2">
        <f t="shared" si="18"/>
        <v>0</v>
      </c>
      <c r="BT28" s="2">
        <f t="shared" si="18"/>
        <v>0</v>
      </c>
      <c r="BU28" s="2">
        <f t="shared" si="18"/>
        <v>0</v>
      </c>
      <c r="BV28" s="2">
        <f t="shared" si="18"/>
        <v>0</v>
      </c>
      <c r="BW28" s="2">
        <f t="shared" si="18"/>
        <v>0</v>
      </c>
      <c r="BX28" s="2">
        <f t="shared" si="16"/>
        <v>0</v>
      </c>
      <c r="BY28" s="2">
        <f t="shared" si="16"/>
        <v>0</v>
      </c>
      <c r="BZ28" s="2">
        <f t="shared" si="16"/>
        <v>0</v>
      </c>
      <c r="CA28" s="2">
        <f t="shared" si="16"/>
        <v>0</v>
      </c>
      <c r="CB28" s="2">
        <f t="shared" si="16"/>
        <v>0</v>
      </c>
      <c r="CC28" s="2">
        <f t="shared" si="16"/>
        <v>0</v>
      </c>
      <c r="CD28" s="2">
        <f t="shared" si="16"/>
        <v>0</v>
      </c>
      <c r="CE28" s="2">
        <f t="shared" si="16"/>
        <v>0</v>
      </c>
      <c r="CF28" s="2">
        <f t="shared" si="16"/>
        <v>0</v>
      </c>
      <c r="CG28" s="2">
        <f t="shared" si="16"/>
        <v>0</v>
      </c>
      <c r="CH28" s="2">
        <f t="shared" si="16"/>
        <v>0</v>
      </c>
      <c r="CI28" s="2">
        <f t="shared" si="16"/>
        <v>0</v>
      </c>
      <c r="CJ28" s="2">
        <f t="shared" si="16"/>
        <v>0</v>
      </c>
      <c r="CK28" s="23">
        <f t="shared" si="16"/>
        <v>0</v>
      </c>
      <c r="CN28" s="2">
        <v>12.5</v>
      </c>
      <c r="CO28" s="14">
        <v>3.6780012704100286E-2</v>
      </c>
      <c r="CP28" s="14">
        <v>-1.5732927984372324E-2</v>
      </c>
      <c r="CQ28" s="14">
        <v>1.1733459044066662E-2</v>
      </c>
      <c r="CR28" s="14">
        <v>1.8251038480924364E-2</v>
      </c>
      <c r="CS28" s="14">
        <f t="shared" si="14"/>
        <v>5.1031582244718987E-2</v>
      </c>
    </row>
    <row r="29" spans="1:97" x14ac:dyDescent="0.45">
      <c r="A29" s="16"/>
      <c r="B29" s="17"/>
      <c r="C29" s="19"/>
      <c r="D29" s="19">
        <f t="shared" si="0"/>
        <v>0</v>
      </c>
      <c r="E29" s="19">
        <f t="shared" si="9"/>
        <v>0</v>
      </c>
      <c r="F29" s="19">
        <f t="shared" si="1"/>
        <v>0</v>
      </c>
      <c r="G29" s="20">
        <f t="shared" si="10"/>
        <v>0</v>
      </c>
      <c r="H29" s="20">
        <f>IFERROR(IRR((J29,L29:CK29),0),0)</f>
        <v>0</v>
      </c>
      <c r="I29" s="21">
        <f t="shared" si="2"/>
        <v>0</v>
      </c>
      <c r="J29" s="19">
        <f t="shared" si="13"/>
        <v>0</v>
      </c>
      <c r="K29" s="22">
        <f t="shared" si="3"/>
        <v>0</v>
      </c>
      <c r="L29" s="2">
        <f t="shared" si="19"/>
        <v>0</v>
      </c>
      <c r="M29" s="2">
        <f t="shared" si="19"/>
        <v>0</v>
      </c>
      <c r="N29" s="2">
        <f t="shared" si="19"/>
        <v>0</v>
      </c>
      <c r="O29" s="2">
        <f t="shared" si="19"/>
        <v>0</v>
      </c>
      <c r="P29" s="2">
        <f t="shared" si="19"/>
        <v>0</v>
      </c>
      <c r="Q29" s="2">
        <f t="shared" si="19"/>
        <v>0</v>
      </c>
      <c r="R29" s="2">
        <f t="shared" si="19"/>
        <v>0</v>
      </c>
      <c r="S29" s="2">
        <f t="shared" si="19"/>
        <v>0</v>
      </c>
      <c r="T29" s="2">
        <f t="shared" si="19"/>
        <v>0</v>
      </c>
      <c r="U29" s="2">
        <f t="shared" si="19"/>
        <v>0</v>
      </c>
      <c r="V29" s="2">
        <f t="shared" si="19"/>
        <v>0</v>
      </c>
      <c r="W29" s="2">
        <f t="shared" si="19"/>
        <v>0</v>
      </c>
      <c r="X29" s="2">
        <f t="shared" si="19"/>
        <v>0</v>
      </c>
      <c r="Y29" s="2">
        <f t="shared" si="19"/>
        <v>0</v>
      </c>
      <c r="Z29" s="2">
        <f t="shared" si="19"/>
        <v>0</v>
      </c>
      <c r="AA29" s="2">
        <f t="shared" si="19"/>
        <v>0</v>
      </c>
      <c r="AB29" s="2">
        <f t="shared" si="17"/>
        <v>0</v>
      </c>
      <c r="AC29" s="2">
        <f t="shared" si="17"/>
        <v>0</v>
      </c>
      <c r="AD29" s="2">
        <f t="shared" si="17"/>
        <v>0</v>
      </c>
      <c r="AE29" s="2">
        <f t="shared" si="17"/>
        <v>0</v>
      </c>
      <c r="AF29" s="2">
        <f t="shared" si="17"/>
        <v>0</v>
      </c>
      <c r="AG29" s="2">
        <f t="shared" si="17"/>
        <v>0</v>
      </c>
      <c r="AH29" s="2">
        <f t="shared" si="17"/>
        <v>0</v>
      </c>
      <c r="AI29" s="2">
        <f t="shared" si="17"/>
        <v>0</v>
      </c>
      <c r="AJ29" s="2">
        <f t="shared" si="17"/>
        <v>0</v>
      </c>
      <c r="AK29" s="2">
        <f t="shared" si="17"/>
        <v>0</v>
      </c>
      <c r="AL29" s="2">
        <f t="shared" si="17"/>
        <v>0</v>
      </c>
      <c r="AM29" s="2">
        <f t="shared" si="17"/>
        <v>0</v>
      </c>
      <c r="AN29" s="2">
        <f t="shared" si="17"/>
        <v>0</v>
      </c>
      <c r="AO29" s="2">
        <f t="shared" si="17"/>
        <v>0</v>
      </c>
      <c r="AP29" s="2">
        <f t="shared" si="17"/>
        <v>0</v>
      </c>
      <c r="AQ29" s="2">
        <f t="shared" si="17"/>
        <v>0</v>
      </c>
      <c r="AR29" s="2">
        <f t="shared" si="15"/>
        <v>0</v>
      </c>
      <c r="AS29" s="2">
        <f t="shared" si="15"/>
        <v>0</v>
      </c>
      <c r="AT29" s="2">
        <f t="shared" si="15"/>
        <v>0</v>
      </c>
      <c r="AU29" s="2">
        <f t="shared" si="15"/>
        <v>0</v>
      </c>
      <c r="AV29" s="2">
        <f t="shared" si="15"/>
        <v>0</v>
      </c>
      <c r="AW29" s="2">
        <f t="shared" si="15"/>
        <v>0</v>
      </c>
      <c r="AX29" s="2">
        <f t="shared" si="15"/>
        <v>0</v>
      </c>
      <c r="AY29" s="2">
        <f t="shared" si="15"/>
        <v>0</v>
      </c>
      <c r="AZ29" s="2">
        <f t="shared" si="15"/>
        <v>0</v>
      </c>
      <c r="BA29" s="2">
        <f t="shared" si="15"/>
        <v>0</v>
      </c>
      <c r="BB29" s="2">
        <f t="shared" si="15"/>
        <v>0</v>
      </c>
      <c r="BC29" s="2">
        <f t="shared" si="15"/>
        <v>0</v>
      </c>
      <c r="BD29" s="2">
        <f t="shared" si="15"/>
        <v>0</v>
      </c>
      <c r="BE29" s="2">
        <f t="shared" si="15"/>
        <v>0</v>
      </c>
      <c r="BF29" s="2">
        <f t="shared" si="15"/>
        <v>0</v>
      </c>
      <c r="BG29" s="2">
        <f t="shared" si="15"/>
        <v>0</v>
      </c>
      <c r="BH29" s="2">
        <f t="shared" si="18"/>
        <v>0</v>
      </c>
      <c r="BI29" s="2">
        <f t="shared" si="18"/>
        <v>0</v>
      </c>
      <c r="BJ29" s="2">
        <f t="shared" si="18"/>
        <v>0</v>
      </c>
      <c r="BK29" s="2">
        <f t="shared" si="18"/>
        <v>0</v>
      </c>
      <c r="BL29" s="2">
        <f t="shared" si="18"/>
        <v>0</v>
      </c>
      <c r="BM29" s="2">
        <f t="shared" si="18"/>
        <v>0</v>
      </c>
      <c r="BN29" s="2">
        <f t="shared" si="18"/>
        <v>0</v>
      </c>
      <c r="BO29" s="2">
        <f t="shared" si="18"/>
        <v>0</v>
      </c>
      <c r="BP29" s="2">
        <f t="shared" si="18"/>
        <v>0</v>
      </c>
      <c r="BQ29" s="2">
        <f t="shared" si="18"/>
        <v>0</v>
      </c>
      <c r="BR29" s="2">
        <f t="shared" si="18"/>
        <v>0</v>
      </c>
      <c r="BS29" s="2">
        <f t="shared" si="18"/>
        <v>0</v>
      </c>
      <c r="BT29" s="2">
        <f t="shared" si="18"/>
        <v>0</v>
      </c>
      <c r="BU29" s="2">
        <f t="shared" si="18"/>
        <v>0</v>
      </c>
      <c r="BV29" s="2">
        <f t="shared" si="18"/>
        <v>0</v>
      </c>
      <c r="BW29" s="2">
        <f t="shared" si="18"/>
        <v>0</v>
      </c>
      <c r="BX29" s="2">
        <f t="shared" si="16"/>
        <v>0</v>
      </c>
      <c r="BY29" s="2">
        <f t="shared" si="16"/>
        <v>0</v>
      </c>
      <c r="BZ29" s="2">
        <f t="shared" si="16"/>
        <v>0</v>
      </c>
      <c r="CA29" s="2">
        <f t="shared" si="16"/>
        <v>0</v>
      </c>
      <c r="CB29" s="2">
        <f t="shared" si="16"/>
        <v>0</v>
      </c>
      <c r="CC29" s="2">
        <f t="shared" si="16"/>
        <v>0</v>
      </c>
      <c r="CD29" s="2">
        <f t="shared" si="16"/>
        <v>0</v>
      </c>
      <c r="CE29" s="2">
        <f t="shared" si="16"/>
        <v>0</v>
      </c>
      <c r="CF29" s="2">
        <f t="shared" si="16"/>
        <v>0</v>
      </c>
      <c r="CG29" s="2">
        <f t="shared" si="16"/>
        <v>0</v>
      </c>
      <c r="CH29" s="2">
        <f t="shared" si="16"/>
        <v>0</v>
      </c>
      <c r="CI29" s="2">
        <f t="shared" si="16"/>
        <v>0</v>
      </c>
      <c r="CJ29" s="2">
        <f t="shared" si="16"/>
        <v>0</v>
      </c>
      <c r="CK29" s="23">
        <f t="shared" si="16"/>
        <v>0</v>
      </c>
      <c r="CN29" s="2">
        <v>13</v>
      </c>
      <c r="CO29" s="14">
        <v>3.6780012704100286E-2</v>
      </c>
      <c r="CP29" s="14">
        <v>-1.553898416509376E-2</v>
      </c>
      <c r="CQ29" s="14">
        <v>1.1990005681211521E-2</v>
      </c>
      <c r="CR29" s="14">
        <v>1.8829082136403046E-2</v>
      </c>
      <c r="CS29" s="14">
        <f t="shared" si="14"/>
        <v>5.206011635662109E-2</v>
      </c>
    </row>
    <row r="30" spans="1:97" x14ac:dyDescent="0.45">
      <c r="A30" s="16"/>
      <c r="B30" s="17"/>
      <c r="C30" s="19"/>
      <c r="D30" s="19">
        <f t="shared" si="0"/>
        <v>0</v>
      </c>
      <c r="E30" s="19">
        <f t="shared" si="9"/>
        <v>0</v>
      </c>
      <c r="F30" s="19">
        <f t="shared" si="1"/>
        <v>0</v>
      </c>
      <c r="G30" s="20">
        <f t="shared" si="10"/>
        <v>0</v>
      </c>
      <c r="H30" s="20">
        <f>IFERROR(IRR((J30,L30:CK30),0),0)</f>
        <v>0</v>
      </c>
      <c r="I30" s="21">
        <f t="shared" si="2"/>
        <v>0</v>
      </c>
      <c r="J30" s="19">
        <f t="shared" si="13"/>
        <v>0</v>
      </c>
      <c r="K30" s="22">
        <f t="shared" si="3"/>
        <v>0</v>
      </c>
      <c r="L30" s="2">
        <f t="shared" si="19"/>
        <v>0</v>
      </c>
      <c r="M30" s="2">
        <f t="shared" si="19"/>
        <v>0</v>
      </c>
      <c r="N30" s="2">
        <f t="shared" si="19"/>
        <v>0</v>
      </c>
      <c r="O30" s="2">
        <f t="shared" si="19"/>
        <v>0</v>
      </c>
      <c r="P30" s="2">
        <f t="shared" si="19"/>
        <v>0</v>
      </c>
      <c r="Q30" s="2">
        <f t="shared" si="19"/>
        <v>0</v>
      </c>
      <c r="R30" s="2">
        <f t="shared" si="19"/>
        <v>0</v>
      </c>
      <c r="S30" s="2">
        <f t="shared" si="19"/>
        <v>0</v>
      </c>
      <c r="T30" s="2">
        <f t="shared" si="19"/>
        <v>0</v>
      </c>
      <c r="U30" s="2">
        <f t="shared" si="19"/>
        <v>0</v>
      </c>
      <c r="V30" s="2">
        <f t="shared" si="19"/>
        <v>0</v>
      </c>
      <c r="W30" s="2">
        <f t="shared" si="19"/>
        <v>0</v>
      </c>
      <c r="X30" s="2">
        <f t="shared" si="19"/>
        <v>0</v>
      </c>
      <c r="Y30" s="2">
        <f t="shared" si="19"/>
        <v>0</v>
      </c>
      <c r="Z30" s="2">
        <f t="shared" si="19"/>
        <v>0</v>
      </c>
      <c r="AA30" s="2">
        <f t="shared" si="19"/>
        <v>0</v>
      </c>
      <c r="AB30" s="2">
        <f t="shared" si="17"/>
        <v>0</v>
      </c>
      <c r="AC30" s="2">
        <f t="shared" si="17"/>
        <v>0</v>
      </c>
      <c r="AD30" s="2">
        <f t="shared" si="17"/>
        <v>0</v>
      </c>
      <c r="AE30" s="2">
        <f t="shared" si="17"/>
        <v>0</v>
      </c>
      <c r="AF30" s="2">
        <f t="shared" si="17"/>
        <v>0</v>
      </c>
      <c r="AG30" s="2">
        <f t="shared" si="17"/>
        <v>0</v>
      </c>
      <c r="AH30" s="2">
        <f t="shared" si="17"/>
        <v>0</v>
      </c>
      <c r="AI30" s="2">
        <f t="shared" si="17"/>
        <v>0</v>
      </c>
      <c r="AJ30" s="2">
        <f t="shared" si="17"/>
        <v>0</v>
      </c>
      <c r="AK30" s="2">
        <f t="shared" si="17"/>
        <v>0</v>
      </c>
      <c r="AL30" s="2">
        <f t="shared" si="17"/>
        <v>0</v>
      </c>
      <c r="AM30" s="2">
        <f t="shared" si="17"/>
        <v>0</v>
      </c>
      <c r="AN30" s="2">
        <f t="shared" si="17"/>
        <v>0</v>
      </c>
      <c r="AO30" s="2">
        <f t="shared" si="17"/>
        <v>0</v>
      </c>
      <c r="AP30" s="2">
        <f t="shared" si="17"/>
        <v>0</v>
      </c>
      <c r="AQ30" s="2">
        <f t="shared" si="17"/>
        <v>0</v>
      </c>
      <c r="AR30" s="2">
        <f t="shared" si="15"/>
        <v>0</v>
      </c>
      <c r="AS30" s="2">
        <f t="shared" si="15"/>
        <v>0</v>
      </c>
      <c r="AT30" s="2">
        <f t="shared" si="15"/>
        <v>0</v>
      </c>
      <c r="AU30" s="2">
        <f t="shared" si="15"/>
        <v>0</v>
      </c>
      <c r="AV30" s="2">
        <f t="shared" si="15"/>
        <v>0</v>
      </c>
      <c r="AW30" s="2">
        <f t="shared" si="15"/>
        <v>0</v>
      </c>
      <c r="AX30" s="2">
        <f t="shared" si="15"/>
        <v>0</v>
      </c>
      <c r="AY30" s="2">
        <f t="shared" si="15"/>
        <v>0</v>
      </c>
      <c r="AZ30" s="2">
        <f t="shared" si="15"/>
        <v>0</v>
      </c>
      <c r="BA30" s="2">
        <f t="shared" si="15"/>
        <v>0</v>
      </c>
      <c r="BB30" s="2">
        <f t="shared" si="15"/>
        <v>0</v>
      </c>
      <c r="BC30" s="2">
        <f t="shared" si="15"/>
        <v>0</v>
      </c>
      <c r="BD30" s="2">
        <f t="shared" si="15"/>
        <v>0</v>
      </c>
      <c r="BE30" s="2">
        <f t="shared" si="15"/>
        <v>0</v>
      </c>
      <c r="BF30" s="2">
        <f t="shared" si="15"/>
        <v>0</v>
      </c>
      <c r="BG30" s="2">
        <f t="shared" si="15"/>
        <v>0</v>
      </c>
      <c r="BH30" s="2">
        <f t="shared" si="18"/>
        <v>0</v>
      </c>
      <c r="BI30" s="2">
        <f t="shared" si="18"/>
        <v>0</v>
      </c>
      <c r="BJ30" s="2">
        <f t="shared" si="18"/>
        <v>0</v>
      </c>
      <c r="BK30" s="2">
        <f t="shared" si="18"/>
        <v>0</v>
      </c>
      <c r="BL30" s="2">
        <f t="shared" si="18"/>
        <v>0</v>
      </c>
      <c r="BM30" s="2">
        <f t="shared" si="18"/>
        <v>0</v>
      </c>
      <c r="BN30" s="2">
        <f t="shared" si="18"/>
        <v>0</v>
      </c>
      <c r="BO30" s="2">
        <f t="shared" si="18"/>
        <v>0</v>
      </c>
      <c r="BP30" s="2">
        <f t="shared" si="18"/>
        <v>0</v>
      </c>
      <c r="BQ30" s="2">
        <f t="shared" si="18"/>
        <v>0</v>
      </c>
      <c r="BR30" s="2">
        <f t="shared" si="18"/>
        <v>0</v>
      </c>
      <c r="BS30" s="2">
        <f t="shared" si="18"/>
        <v>0</v>
      </c>
      <c r="BT30" s="2">
        <f t="shared" si="18"/>
        <v>0</v>
      </c>
      <c r="BU30" s="2">
        <f t="shared" si="18"/>
        <v>0</v>
      </c>
      <c r="BV30" s="2">
        <f t="shared" si="18"/>
        <v>0</v>
      </c>
      <c r="BW30" s="2">
        <f t="shared" si="18"/>
        <v>0</v>
      </c>
      <c r="BX30" s="2">
        <f t="shared" si="16"/>
        <v>0</v>
      </c>
      <c r="BY30" s="2">
        <f t="shared" si="16"/>
        <v>0</v>
      </c>
      <c r="BZ30" s="2">
        <f t="shared" si="16"/>
        <v>0</v>
      </c>
      <c r="CA30" s="2">
        <f t="shared" si="16"/>
        <v>0</v>
      </c>
      <c r="CB30" s="2">
        <f t="shared" si="16"/>
        <v>0</v>
      </c>
      <c r="CC30" s="2">
        <f t="shared" si="16"/>
        <v>0</v>
      </c>
      <c r="CD30" s="2">
        <f t="shared" si="16"/>
        <v>0</v>
      </c>
      <c r="CE30" s="2">
        <f t="shared" si="16"/>
        <v>0</v>
      </c>
      <c r="CF30" s="2">
        <f t="shared" si="16"/>
        <v>0</v>
      </c>
      <c r="CG30" s="2">
        <f t="shared" si="16"/>
        <v>0</v>
      </c>
      <c r="CH30" s="2">
        <f t="shared" si="16"/>
        <v>0</v>
      </c>
      <c r="CI30" s="2">
        <f t="shared" si="16"/>
        <v>0</v>
      </c>
      <c r="CJ30" s="2">
        <f t="shared" si="16"/>
        <v>0</v>
      </c>
      <c r="CK30" s="23">
        <f t="shared" si="16"/>
        <v>0</v>
      </c>
      <c r="CN30" s="2">
        <v>13.5</v>
      </c>
      <c r="CO30" s="14">
        <v>3.6780012704100286E-2</v>
      </c>
      <c r="CP30" s="14">
        <v>-1.5348417786473879E-2</v>
      </c>
      <c r="CQ30" s="14">
        <v>1.2234622158177137E-2</v>
      </c>
      <c r="CR30" s="14">
        <v>1.9396869945021655E-2</v>
      </c>
      <c r="CS30" s="14">
        <f t="shared" si="14"/>
        <v>5.3063087020825198E-2</v>
      </c>
    </row>
    <row r="31" spans="1:97" x14ac:dyDescent="0.45">
      <c r="A31" s="16"/>
      <c r="B31" s="17"/>
      <c r="C31" s="19"/>
      <c r="D31" s="19">
        <f t="shared" si="0"/>
        <v>0</v>
      </c>
      <c r="E31" s="19">
        <f t="shared" si="9"/>
        <v>0</v>
      </c>
      <c r="F31" s="19">
        <f t="shared" si="1"/>
        <v>0</v>
      </c>
      <c r="G31" s="20">
        <f t="shared" si="10"/>
        <v>0</v>
      </c>
      <c r="H31" s="20">
        <f>IFERROR(IRR((J31,L31:CK31),0),0)</f>
        <v>0</v>
      </c>
      <c r="I31" s="21">
        <f t="shared" si="2"/>
        <v>0</v>
      </c>
      <c r="J31" s="19">
        <f t="shared" si="13"/>
        <v>0</v>
      </c>
      <c r="K31" s="22">
        <f t="shared" si="3"/>
        <v>0</v>
      </c>
      <c r="L31" s="2">
        <f t="shared" si="19"/>
        <v>0</v>
      </c>
      <c r="M31" s="2">
        <f t="shared" si="19"/>
        <v>0</v>
      </c>
      <c r="N31" s="2">
        <f t="shared" si="19"/>
        <v>0</v>
      </c>
      <c r="O31" s="2">
        <f t="shared" si="19"/>
        <v>0</v>
      </c>
      <c r="P31" s="2">
        <f t="shared" si="19"/>
        <v>0</v>
      </c>
      <c r="Q31" s="2">
        <f t="shared" si="19"/>
        <v>0</v>
      </c>
      <c r="R31" s="2">
        <f t="shared" si="19"/>
        <v>0</v>
      </c>
      <c r="S31" s="2">
        <f t="shared" si="19"/>
        <v>0</v>
      </c>
      <c r="T31" s="2">
        <f t="shared" si="19"/>
        <v>0</v>
      </c>
      <c r="U31" s="2">
        <f t="shared" si="19"/>
        <v>0</v>
      </c>
      <c r="V31" s="2">
        <f t="shared" si="19"/>
        <v>0</v>
      </c>
      <c r="W31" s="2">
        <f t="shared" si="19"/>
        <v>0</v>
      </c>
      <c r="X31" s="2">
        <f t="shared" si="19"/>
        <v>0</v>
      </c>
      <c r="Y31" s="2">
        <f t="shared" si="19"/>
        <v>0</v>
      </c>
      <c r="Z31" s="2">
        <f t="shared" si="19"/>
        <v>0</v>
      </c>
      <c r="AA31" s="2">
        <f t="shared" si="19"/>
        <v>0</v>
      </c>
      <c r="AB31" s="2">
        <f t="shared" si="17"/>
        <v>0</v>
      </c>
      <c r="AC31" s="2">
        <f t="shared" si="17"/>
        <v>0</v>
      </c>
      <c r="AD31" s="2">
        <f t="shared" si="17"/>
        <v>0</v>
      </c>
      <c r="AE31" s="2">
        <f t="shared" si="17"/>
        <v>0</v>
      </c>
      <c r="AF31" s="2">
        <f t="shared" si="17"/>
        <v>0</v>
      </c>
      <c r="AG31" s="2">
        <f t="shared" si="17"/>
        <v>0</v>
      </c>
      <c r="AH31" s="2">
        <f t="shared" si="17"/>
        <v>0</v>
      </c>
      <c r="AI31" s="2">
        <f t="shared" si="17"/>
        <v>0</v>
      </c>
      <c r="AJ31" s="2">
        <f t="shared" si="17"/>
        <v>0</v>
      </c>
      <c r="AK31" s="2">
        <f t="shared" si="17"/>
        <v>0</v>
      </c>
      <c r="AL31" s="2">
        <f t="shared" si="17"/>
        <v>0</v>
      </c>
      <c r="AM31" s="2">
        <f t="shared" si="17"/>
        <v>0</v>
      </c>
      <c r="AN31" s="2">
        <f t="shared" si="17"/>
        <v>0</v>
      </c>
      <c r="AO31" s="2">
        <f t="shared" si="17"/>
        <v>0</v>
      </c>
      <c r="AP31" s="2">
        <f t="shared" si="17"/>
        <v>0</v>
      </c>
      <c r="AQ31" s="2">
        <f t="shared" si="17"/>
        <v>0</v>
      </c>
      <c r="AR31" s="2">
        <f t="shared" si="15"/>
        <v>0</v>
      </c>
      <c r="AS31" s="2">
        <f t="shared" si="15"/>
        <v>0</v>
      </c>
      <c r="AT31" s="2">
        <f t="shared" si="15"/>
        <v>0</v>
      </c>
      <c r="AU31" s="2">
        <f t="shared" si="15"/>
        <v>0</v>
      </c>
      <c r="AV31" s="2">
        <f t="shared" si="15"/>
        <v>0</v>
      </c>
      <c r="AW31" s="2">
        <f t="shared" si="15"/>
        <v>0</v>
      </c>
      <c r="AX31" s="2">
        <f t="shared" si="15"/>
        <v>0</v>
      </c>
      <c r="AY31" s="2">
        <f t="shared" si="15"/>
        <v>0</v>
      </c>
      <c r="AZ31" s="2">
        <f t="shared" si="15"/>
        <v>0</v>
      </c>
      <c r="BA31" s="2">
        <f t="shared" si="15"/>
        <v>0</v>
      </c>
      <c r="BB31" s="2">
        <f t="shared" si="15"/>
        <v>0</v>
      </c>
      <c r="BC31" s="2">
        <f t="shared" si="15"/>
        <v>0</v>
      </c>
      <c r="BD31" s="2">
        <f t="shared" si="15"/>
        <v>0</v>
      </c>
      <c r="BE31" s="2">
        <f t="shared" si="15"/>
        <v>0</v>
      </c>
      <c r="BF31" s="2">
        <f t="shared" si="15"/>
        <v>0</v>
      </c>
      <c r="BG31" s="2">
        <f t="shared" si="15"/>
        <v>0</v>
      </c>
      <c r="BH31" s="2">
        <f t="shared" si="18"/>
        <v>0</v>
      </c>
      <c r="BI31" s="2">
        <f t="shared" si="18"/>
        <v>0</v>
      </c>
      <c r="BJ31" s="2">
        <f t="shared" si="18"/>
        <v>0</v>
      </c>
      <c r="BK31" s="2">
        <f t="shared" si="18"/>
        <v>0</v>
      </c>
      <c r="BL31" s="2">
        <f t="shared" si="18"/>
        <v>0</v>
      </c>
      <c r="BM31" s="2">
        <f t="shared" si="18"/>
        <v>0</v>
      </c>
      <c r="BN31" s="2">
        <f t="shared" si="18"/>
        <v>0</v>
      </c>
      <c r="BO31" s="2">
        <f t="shared" si="18"/>
        <v>0</v>
      </c>
      <c r="BP31" s="2">
        <f t="shared" si="18"/>
        <v>0</v>
      </c>
      <c r="BQ31" s="2">
        <f t="shared" si="18"/>
        <v>0</v>
      </c>
      <c r="BR31" s="2">
        <f t="shared" si="18"/>
        <v>0</v>
      </c>
      <c r="BS31" s="2">
        <f t="shared" si="18"/>
        <v>0</v>
      </c>
      <c r="BT31" s="2">
        <f t="shared" si="18"/>
        <v>0</v>
      </c>
      <c r="BU31" s="2">
        <f t="shared" si="18"/>
        <v>0</v>
      </c>
      <c r="BV31" s="2">
        <f t="shared" si="18"/>
        <v>0</v>
      </c>
      <c r="BW31" s="2">
        <f t="shared" si="18"/>
        <v>0</v>
      </c>
      <c r="BX31" s="2">
        <f t="shared" si="16"/>
        <v>0</v>
      </c>
      <c r="BY31" s="2">
        <f t="shared" si="16"/>
        <v>0</v>
      </c>
      <c r="BZ31" s="2">
        <f t="shared" si="16"/>
        <v>0</v>
      </c>
      <c r="CA31" s="2">
        <f t="shared" si="16"/>
        <v>0</v>
      </c>
      <c r="CB31" s="2">
        <f t="shared" si="16"/>
        <v>0</v>
      </c>
      <c r="CC31" s="2">
        <f t="shared" si="16"/>
        <v>0</v>
      </c>
      <c r="CD31" s="2">
        <f t="shared" si="16"/>
        <v>0</v>
      </c>
      <c r="CE31" s="2">
        <f t="shared" si="16"/>
        <v>0</v>
      </c>
      <c r="CF31" s="2">
        <f t="shared" si="16"/>
        <v>0</v>
      </c>
      <c r="CG31" s="2">
        <f t="shared" si="16"/>
        <v>0</v>
      </c>
      <c r="CH31" s="2">
        <f t="shared" si="16"/>
        <v>0</v>
      </c>
      <c r="CI31" s="2">
        <f t="shared" si="16"/>
        <v>0</v>
      </c>
      <c r="CJ31" s="2">
        <f t="shared" si="16"/>
        <v>0</v>
      </c>
      <c r="CK31" s="23">
        <f t="shared" si="16"/>
        <v>0</v>
      </c>
      <c r="CN31" s="2">
        <v>14</v>
      </c>
      <c r="CO31" s="14">
        <v>3.6780012704100286E-2</v>
      </c>
      <c r="CP31" s="14">
        <v>-1.5161161065649822E-2</v>
      </c>
      <c r="CQ31" s="14">
        <v>1.2467701836504546E-2</v>
      </c>
      <c r="CR31" s="14">
        <v>1.9954546965353974E-2</v>
      </c>
      <c r="CS31" s="14">
        <f t="shared" si="14"/>
        <v>5.4041100440308985E-2</v>
      </c>
    </row>
    <row r="32" spans="1:97" x14ac:dyDescent="0.45">
      <c r="A32" s="16"/>
      <c r="B32" s="17"/>
      <c r="C32" s="19"/>
      <c r="D32" s="19">
        <f t="shared" si="0"/>
        <v>0</v>
      </c>
      <c r="E32" s="19">
        <f t="shared" si="9"/>
        <v>0</v>
      </c>
      <c r="F32" s="19">
        <f t="shared" si="1"/>
        <v>0</v>
      </c>
      <c r="G32" s="20">
        <f t="shared" si="10"/>
        <v>0</v>
      </c>
      <c r="H32" s="20">
        <f>IFERROR(IRR((J32,L32:CK32),0),0)</f>
        <v>0</v>
      </c>
      <c r="I32" s="21">
        <f t="shared" si="2"/>
        <v>0</v>
      </c>
      <c r="J32" s="19">
        <f t="shared" si="13"/>
        <v>0</v>
      </c>
      <c r="K32" s="22">
        <f t="shared" si="3"/>
        <v>0</v>
      </c>
      <c r="L32" s="2">
        <f t="shared" si="19"/>
        <v>0</v>
      </c>
      <c r="M32" s="2">
        <f t="shared" si="19"/>
        <v>0</v>
      </c>
      <c r="N32" s="2">
        <f t="shared" si="19"/>
        <v>0</v>
      </c>
      <c r="O32" s="2">
        <f t="shared" si="19"/>
        <v>0</v>
      </c>
      <c r="P32" s="2">
        <f t="shared" si="19"/>
        <v>0</v>
      </c>
      <c r="Q32" s="2">
        <f t="shared" si="19"/>
        <v>0</v>
      </c>
      <c r="R32" s="2">
        <f t="shared" si="19"/>
        <v>0</v>
      </c>
      <c r="S32" s="2">
        <f t="shared" si="19"/>
        <v>0</v>
      </c>
      <c r="T32" s="2">
        <f t="shared" si="19"/>
        <v>0</v>
      </c>
      <c r="U32" s="2">
        <f t="shared" si="19"/>
        <v>0</v>
      </c>
      <c r="V32" s="2">
        <f t="shared" si="19"/>
        <v>0</v>
      </c>
      <c r="W32" s="2">
        <f t="shared" si="19"/>
        <v>0</v>
      </c>
      <c r="X32" s="2">
        <f t="shared" si="19"/>
        <v>0</v>
      </c>
      <c r="Y32" s="2">
        <f t="shared" si="19"/>
        <v>0</v>
      </c>
      <c r="Z32" s="2">
        <f t="shared" si="19"/>
        <v>0</v>
      </c>
      <c r="AA32" s="2">
        <f t="shared" si="19"/>
        <v>0</v>
      </c>
      <c r="AB32" s="2">
        <f t="shared" si="17"/>
        <v>0</v>
      </c>
      <c r="AC32" s="2">
        <f t="shared" si="17"/>
        <v>0</v>
      </c>
      <c r="AD32" s="2">
        <f t="shared" si="17"/>
        <v>0</v>
      </c>
      <c r="AE32" s="2">
        <f t="shared" si="17"/>
        <v>0</v>
      </c>
      <c r="AF32" s="2">
        <f t="shared" si="17"/>
        <v>0</v>
      </c>
      <c r="AG32" s="2">
        <f t="shared" si="17"/>
        <v>0</v>
      </c>
      <c r="AH32" s="2">
        <f t="shared" si="17"/>
        <v>0</v>
      </c>
      <c r="AI32" s="2">
        <f t="shared" si="17"/>
        <v>0</v>
      </c>
      <c r="AJ32" s="2">
        <f t="shared" si="17"/>
        <v>0</v>
      </c>
      <c r="AK32" s="2">
        <f t="shared" si="17"/>
        <v>0</v>
      </c>
      <c r="AL32" s="2">
        <f t="shared" si="17"/>
        <v>0</v>
      </c>
      <c r="AM32" s="2">
        <f t="shared" si="17"/>
        <v>0</v>
      </c>
      <c r="AN32" s="2">
        <f t="shared" si="17"/>
        <v>0</v>
      </c>
      <c r="AO32" s="2">
        <f t="shared" si="17"/>
        <v>0</v>
      </c>
      <c r="AP32" s="2">
        <f t="shared" si="17"/>
        <v>0</v>
      </c>
      <c r="AQ32" s="2">
        <f t="shared" si="17"/>
        <v>0</v>
      </c>
      <c r="AR32" s="2">
        <f t="shared" si="15"/>
        <v>0</v>
      </c>
      <c r="AS32" s="2">
        <f t="shared" si="15"/>
        <v>0</v>
      </c>
      <c r="AT32" s="2">
        <f t="shared" si="15"/>
        <v>0</v>
      </c>
      <c r="AU32" s="2">
        <f t="shared" si="15"/>
        <v>0</v>
      </c>
      <c r="AV32" s="2">
        <f t="shared" si="15"/>
        <v>0</v>
      </c>
      <c r="AW32" s="2">
        <f t="shared" si="15"/>
        <v>0</v>
      </c>
      <c r="AX32" s="2">
        <f t="shared" si="15"/>
        <v>0</v>
      </c>
      <c r="AY32" s="2">
        <f t="shared" si="15"/>
        <v>0</v>
      </c>
      <c r="AZ32" s="2">
        <f t="shared" si="15"/>
        <v>0</v>
      </c>
      <c r="BA32" s="2">
        <f t="shared" si="15"/>
        <v>0</v>
      </c>
      <c r="BB32" s="2">
        <f t="shared" si="15"/>
        <v>0</v>
      </c>
      <c r="BC32" s="2">
        <f t="shared" si="15"/>
        <v>0</v>
      </c>
      <c r="BD32" s="2">
        <f t="shared" si="15"/>
        <v>0</v>
      </c>
      <c r="BE32" s="2">
        <f t="shared" si="15"/>
        <v>0</v>
      </c>
      <c r="BF32" s="2">
        <f t="shared" si="15"/>
        <v>0</v>
      </c>
      <c r="BG32" s="2">
        <f t="shared" si="15"/>
        <v>0</v>
      </c>
      <c r="BH32" s="2">
        <f t="shared" si="18"/>
        <v>0</v>
      </c>
      <c r="BI32" s="2">
        <f t="shared" si="18"/>
        <v>0</v>
      </c>
      <c r="BJ32" s="2">
        <f t="shared" si="18"/>
        <v>0</v>
      </c>
      <c r="BK32" s="2">
        <f t="shared" si="18"/>
        <v>0</v>
      </c>
      <c r="BL32" s="2">
        <f t="shared" si="18"/>
        <v>0</v>
      </c>
      <c r="BM32" s="2">
        <f t="shared" si="18"/>
        <v>0</v>
      </c>
      <c r="BN32" s="2">
        <f t="shared" si="18"/>
        <v>0</v>
      </c>
      <c r="BO32" s="2">
        <f t="shared" si="18"/>
        <v>0</v>
      </c>
      <c r="BP32" s="2">
        <f t="shared" si="18"/>
        <v>0</v>
      </c>
      <c r="BQ32" s="2">
        <f t="shared" si="18"/>
        <v>0</v>
      </c>
      <c r="BR32" s="2">
        <f t="shared" si="18"/>
        <v>0</v>
      </c>
      <c r="BS32" s="2">
        <f t="shared" si="18"/>
        <v>0</v>
      </c>
      <c r="BT32" s="2">
        <f t="shared" si="18"/>
        <v>0</v>
      </c>
      <c r="BU32" s="2">
        <f t="shared" si="18"/>
        <v>0</v>
      </c>
      <c r="BV32" s="2">
        <f t="shared" si="18"/>
        <v>0</v>
      </c>
      <c r="BW32" s="2">
        <f t="shared" si="18"/>
        <v>0</v>
      </c>
      <c r="BX32" s="2">
        <f t="shared" si="16"/>
        <v>0</v>
      </c>
      <c r="BY32" s="2">
        <f t="shared" si="16"/>
        <v>0</v>
      </c>
      <c r="BZ32" s="2">
        <f t="shared" si="16"/>
        <v>0</v>
      </c>
      <c r="CA32" s="2">
        <f t="shared" si="16"/>
        <v>0</v>
      </c>
      <c r="CB32" s="2">
        <f t="shared" si="16"/>
        <v>0</v>
      </c>
      <c r="CC32" s="2">
        <f t="shared" si="16"/>
        <v>0</v>
      </c>
      <c r="CD32" s="2">
        <f t="shared" si="16"/>
        <v>0</v>
      </c>
      <c r="CE32" s="2">
        <f t="shared" si="16"/>
        <v>0</v>
      </c>
      <c r="CF32" s="2">
        <f t="shared" si="16"/>
        <v>0</v>
      </c>
      <c r="CG32" s="2">
        <f t="shared" si="16"/>
        <v>0</v>
      </c>
      <c r="CH32" s="2">
        <f t="shared" si="16"/>
        <v>0</v>
      </c>
      <c r="CI32" s="2">
        <f t="shared" si="16"/>
        <v>0</v>
      </c>
      <c r="CJ32" s="2">
        <f t="shared" si="16"/>
        <v>0</v>
      </c>
      <c r="CK32" s="23">
        <f t="shared" si="16"/>
        <v>0</v>
      </c>
      <c r="CN32" s="2">
        <v>14.5</v>
      </c>
      <c r="CO32" s="14">
        <v>3.6780012704100286E-2</v>
      </c>
      <c r="CP32" s="14">
        <v>-1.4977147688627021E-2</v>
      </c>
      <c r="CQ32" s="14">
        <v>1.2689626171392077E-2</v>
      </c>
      <c r="CR32" s="14">
        <v>2.0502256333607159E-2</v>
      </c>
      <c r="CS32" s="14">
        <f t="shared" si="14"/>
        <v>5.4994747520472502E-2</v>
      </c>
    </row>
    <row r="33" spans="1:97" x14ac:dyDescent="0.45">
      <c r="A33" s="16"/>
      <c r="B33" s="17"/>
      <c r="C33" s="19"/>
      <c r="D33" s="19">
        <f t="shared" si="0"/>
        <v>0</v>
      </c>
      <c r="E33" s="19">
        <f t="shared" si="9"/>
        <v>0</v>
      </c>
      <c r="F33" s="19">
        <f t="shared" si="1"/>
        <v>0</v>
      </c>
      <c r="G33" s="20">
        <f t="shared" si="10"/>
        <v>0</v>
      </c>
      <c r="H33" s="20">
        <f>IFERROR(IRR((J33,L33:CK33),0),0)</f>
        <v>0</v>
      </c>
      <c r="I33" s="21">
        <f t="shared" si="2"/>
        <v>0</v>
      </c>
      <c r="J33" s="19">
        <f t="shared" si="13"/>
        <v>0</v>
      </c>
      <c r="K33" s="22">
        <f t="shared" si="3"/>
        <v>0</v>
      </c>
      <c r="L33" s="2">
        <f t="shared" si="19"/>
        <v>0</v>
      </c>
      <c r="M33" s="2">
        <f t="shared" si="19"/>
        <v>0</v>
      </c>
      <c r="N33" s="2">
        <f t="shared" si="19"/>
        <v>0</v>
      </c>
      <c r="O33" s="2">
        <f t="shared" si="19"/>
        <v>0</v>
      </c>
      <c r="P33" s="2">
        <f t="shared" si="19"/>
        <v>0</v>
      </c>
      <c r="Q33" s="2">
        <f t="shared" si="19"/>
        <v>0</v>
      </c>
      <c r="R33" s="2">
        <f t="shared" si="19"/>
        <v>0</v>
      </c>
      <c r="S33" s="2">
        <f t="shared" si="19"/>
        <v>0</v>
      </c>
      <c r="T33" s="2">
        <f t="shared" si="19"/>
        <v>0</v>
      </c>
      <c r="U33" s="2">
        <f t="shared" si="19"/>
        <v>0</v>
      </c>
      <c r="V33" s="2">
        <f t="shared" si="19"/>
        <v>0</v>
      </c>
      <c r="W33" s="2">
        <f t="shared" si="19"/>
        <v>0</v>
      </c>
      <c r="X33" s="2">
        <f t="shared" si="19"/>
        <v>0</v>
      </c>
      <c r="Y33" s="2">
        <f t="shared" si="19"/>
        <v>0</v>
      </c>
      <c r="Z33" s="2">
        <f t="shared" si="19"/>
        <v>0</v>
      </c>
      <c r="AA33" s="2">
        <f t="shared" si="19"/>
        <v>0</v>
      </c>
      <c r="AB33" s="2">
        <f t="shared" si="17"/>
        <v>0</v>
      </c>
      <c r="AC33" s="2">
        <f t="shared" si="17"/>
        <v>0</v>
      </c>
      <c r="AD33" s="2">
        <f t="shared" si="17"/>
        <v>0</v>
      </c>
      <c r="AE33" s="2">
        <f t="shared" si="17"/>
        <v>0</v>
      </c>
      <c r="AF33" s="2">
        <f t="shared" si="17"/>
        <v>0</v>
      </c>
      <c r="AG33" s="2">
        <f t="shared" si="17"/>
        <v>0</v>
      </c>
      <c r="AH33" s="2">
        <f t="shared" si="17"/>
        <v>0</v>
      </c>
      <c r="AI33" s="2">
        <f t="shared" si="17"/>
        <v>0</v>
      </c>
      <c r="AJ33" s="2">
        <f t="shared" si="17"/>
        <v>0</v>
      </c>
      <c r="AK33" s="2">
        <f t="shared" si="17"/>
        <v>0</v>
      </c>
      <c r="AL33" s="2">
        <f t="shared" si="17"/>
        <v>0</v>
      </c>
      <c r="AM33" s="2">
        <f t="shared" si="17"/>
        <v>0</v>
      </c>
      <c r="AN33" s="2">
        <f t="shared" si="17"/>
        <v>0</v>
      </c>
      <c r="AO33" s="2">
        <f t="shared" si="17"/>
        <v>0</v>
      </c>
      <c r="AP33" s="2">
        <f t="shared" si="17"/>
        <v>0</v>
      </c>
      <c r="AQ33" s="2">
        <f t="shared" si="17"/>
        <v>0</v>
      </c>
      <c r="AR33" s="2">
        <f t="shared" si="15"/>
        <v>0</v>
      </c>
      <c r="AS33" s="2">
        <f t="shared" si="15"/>
        <v>0</v>
      </c>
      <c r="AT33" s="2">
        <f t="shared" si="15"/>
        <v>0</v>
      </c>
      <c r="AU33" s="2">
        <f t="shared" si="15"/>
        <v>0</v>
      </c>
      <c r="AV33" s="2">
        <f t="shared" si="15"/>
        <v>0</v>
      </c>
      <c r="AW33" s="2">
        <f t="shared" si="15"/>
        <v>0</v>
      </c>
      <c r="AX33" s="2">
        <f t="shared" si="15"/>
        <v>0</v>
      </c>
      <c r="AY33" s="2">
        <f t="shared" si="15"/>
        <v>0</v>
      </c>
      <c r="AZ33" s="2">
        <f t="shared" si="15"/>
        <v>0</v>
      </c>
      <c r="BA33" s="2">
        <f t="shared" si="15"/>
        <v>0</v>
      </c>
      <c r="BB33" s="2">
        <f t="shared" si="15"/>
        <v>0</v>
      </c>
      <c r="BC33" s="2">
        <f t="shared" si="15"/>
        <v>0</v>
      </c>
      <c r="BD33" s="2">
        <f t="shared" si="15"/>
        <v>0</v>
      </c>
      <c r="BE33" s="2">
        <f t="shared" si="15"/>
        <v>0</v>
      </c>
      <c r="BF33" s="2">
        <f t="shared" si="15"/>
        <v>0</v>
      </c>
      <c r="BG33" s="2">
        <f t="shared" si="15"/>
        <v>0</v>
      </c>
      <c r="BH33" s="2">
        <f t="shared" si="18"/>
        <v>0</v>
      </c>
      <c r="BI33" s="2">
        <f t="shared" si="18"/>
        <v>0</v>
      </c>
      <c r="BJ33" s="2">
        <f t="shared" si="18"/>
        <v>0</v>
      </c>
      <c r="BK33" s="2">
        <f t="shared" si="18"/>
        <v>0</v>
      </c>
      <c r="BL33" s="2">
        <f t="shared" si="18"/>
        <v>0</v>
      </c>
      <c r="BM33" s="2">
        <f t="shared" si="18"/>
        <v>0</v>
      </c>
      <c r="BN33" s="2">
        <f t="shared" si="18"/>
        <v>0</v>
      </c>
      <c r="BO33" s="2">
        <f t="shared" si="18"/>
        <v>0</v>
      </c>
      <c r="BP33" s="2">
        <f t="shared" si="18"/>
        <v>0</v>
      </c>
      <c r="BQ33" s="2">
        <f t="shared" si="18"/>
        <v>0</v>
      </c>
      <c r="BR33" s="2">
        <f t="shared" si="18"/>
        <v>0</v>
      </c>
      <c r="BS33" s="2">
        <f t="shared" si="18"/>
        <v>0</v>
      </c>
      <c r="BT33" s="2">
        <f t="shared" si="18"/>
        <v>0</v>
      </c>
      <c r="BU33" s="2">
        <f t="shared" si="18"/>
        <v>0</v>
      </c>
      <c r="BV33" s="2">
        <f t="shared" si="18"/>
        <v>0</v>
      </c>
      <c r="BW33" s="2">
        <f t="shared" si="18"/>
        <v>0</v>
      </c>
      <c r="BX33" s="2">
        <f t="shared" si="16"/>
        <v>0</v>
      </c>
      <c r="BY33" s="2">
        <f t="shared" si="16"/>
        <v>0</v>
      </c>
      <c r="BZ33" s="2">
        <f t="shared" si="16"/>
        <v>0</v>
      </c>
      <c r="CA33" s="2">
        <f t="shared" si="16"/>
        <v>0</v>
      </c>
      <c r="CB33" s="2">
        <f t="shared" si="16"/>
        <v>0</v>
      </c>
      <c r="CC33" s="2">
        <f t="shared" si="16"/>
        <v>0</v>
      </c>
      <c r="CD33" s="2">
        <f t="shared" si="16"/>
        <v>0</v>
      </c>
      <c r="CE33" s="2">
        <f t="shared" si="16"/>
        <v>0</v>
      </c>
      <c r="CF33" s="2">
        <f t="shared" si="16"/>
        <v>0</v>
      </c>
      <c r="CG33" s="2">
        <f t="shared" si="16"/>
        <v>0</v>
      </c>
      <c r="CH33" s="2">
        <f t="shared" si="16"/>
        <v>0</v>
      </c>
      <c r="CI33" s="2">
        <f t="shared" si="16"/>
        <v>0</v>
      </c>
      <c r="CJ33" s="2">
        <f t="shared" si="16"/>
        <v>0</v>
      </c>
      <c r="CK33" s="23">
        <f t="shared" si="16"/>
        <v>0</v>
      </c>
      <c r="CN33" s="2">
        <v>15</v>
      </c>
      <c r="CO33" s="14">
        <v>3.6780012704100286E-2</v>
      </c>
      <c r="CP33" s="14">
        <v>-1.4796312776889446E-2</v>
      </c>
      <c r="CQ33" s="14">
        <v>1.2900765059834207E-2</v>
      </c>
      <c r="CR33" s="14">
        <v>2.1040139288397194E-2</v>
      </c>
      <c r="CS33" s="14">
        <f t="shared" si="14"/>
        <v>5.5924604275442241E-2</v>
      </c>
    </row>
    <row r="34" spans="1:97" x14ac:dyDescent="0.45">
      <c r="A34" s="16"/>
      <c r="B34" s="17"/>
      <c r="C34" s="19"/>
      <c r="D34" s="19">
        <f t="shared" si="0"/>
        <v>0</v>
      </c>
      <c r="E34" s="19">
        <f t="shared" si="9"/>
        <v>0</v>
      </c>
      <c r="F34" s="19">
        <f t="shared" si="1"/>
        <v>0</v>
      </c>
      <c r="G34" s="20">
        <f t="shared" si="10"/>
        <v>0</v>
      </c>
      <c r="H34" s="20">
        <f>IFERROR(IRR((J34,L34:CK34),0),0)</f>
        <v>0</v>
      </c>
      <c r="I34" s="21">
        <f t="shared" si="2"/>
        <v>0</v>
      </c>
      <c r="J34" s="19">
        <f t="shared" si="13"/>
        <v>0</v>
      </c>
      <c r="K34" s="22">
        <f t="shared" si="3"/>
        <v>0</v>
      </c>
      <c r="L34" s="2">
        <f t="shared" si="19"/>
        <v>0</v>
      </c>
      <c r="M34" s="2">
        <f t="shared" si="19"/>
        <v>0</v>
      </c>
      <c r="N34" s="2">
        <f t="shared" si="19"/>
        <v>0</v>
      </c>
      <c r="O34" s="2">
        <f t="shared" si="19"/>
        <v>0</v>
      </c>
      <c r="P34" s="2">
        <f t="shared" si="19"/>
        <v>0</v>
      </c>
      <c r="Q34" s="2">
        <f t="shared" si="19"/>
        <v>0</v>
      </c>
      <c r="R34" s="2">
        <f t="shared" si="19"/>
        <v>0</v>
      </c>
      <c r="S34" s="2">
        <f t="shared" si="19"/>
        <v>0</v>
      </c>
      <c r="T34" s="2">
        <f t="shared" si="19"/>
        <v>0</v>
      </c>
      <c r="U34" s="2">
        <f t="shared" si="19"/>
        <v>0</v>
      </c>
      <c r="V34" s="2">
        <f t="shared" si="19"/>
        <v>0</v>
      </c>
      <c r="W34" s="2">
        <f t="shared" si="19"/>
        <v>0</v>
      </c>
      <c r="X34" s="2">
        <f t="shared" si="19"/>
        <v>0</v>
      </c>
      <c r="Y34" s="2">
        <f t="shared" si="19"/>
        <v>0</v>
      </c>
      <c r="Z34" s="2">
        <f t="shared" si="19"/>
        <v>0</v>
      </c>
      <c r="AA34" s="2">
        <f t="shared" si="19"/>
        <v>0</v>
      </c>
      <c r="AB34" s="2">
        <f t="shared" si="17"/>
        <v>0</v>
      </c>
      <c r="AC34" s="2">
        <f t="shared" si="17"/>
        <v>0</v>
      </c>
      <c r="AD34" s="2">
        <f t="shared" si="17"/>
        <v>0</v>
      </c>
      <c r="AE34" s="2">
        <f t="shared" si="17"/>
        <v>0</v>
      </c>
      <c r="AF34" s="2">
        <f t="shared" si="17"/>
        <v>0</v>
      </c>
      <c r="AG34" s="2">
        <f t="shared" si="17"/>
        <v>0</v>
      </c>
      <c r="AH34" s="2">
        <f t="shared" si="17"/>
        <v>0</v>
      </c>
      <c r="AI34" s="2">
        <f t="shared" si="17"/>
        <v>0</v>
      </c>
      <c r="AJ34" s="2">
        <f t="shared" si="17"/>
        <v>0</v>
      </c>
      <c r="AK34" s="2">
        <f t="shared" si="17"/>
        <v>0</v>
      </c>
      <c r="AL34" s="2">
        <f t="shared" si="17"/>
        <v>0</v>
      </c>
      <c r="AM34" s="2">
        <f t="shared" si="17"/>
        <v>0</v>
      </c>
      <c r="AN34" s="2">
        <f t="shared" si="17"/>
        <v>0</v>
      </c>
      <c r="AO34" s="2">
        <f t="shared" si="17"/>
        <v>0</v>
      </c>
      <c r="AP34" s="2">
        <f t="shared" si="17"/>
        <v>0</v>
      </c>
      <c r="AQ34" s="2">
        <f t="shared" ref="AQ34:BF49" si="20">$B34*100*(AQ$2&lt;$A34)+100*(1+$B34)*(AQ$2=$A34)</f>
        <v>0</v>
      </c>
      <c r="AR34" s="2">
        <f t="shared" si="20"/>
        <v>0</v>
      </c>
      <c r="AS34" s="2">
        <f t="shared" si="20"/>
        <v>0</v>
      </c>
      <c r="AT34" s="2">
        <f t="shared" si="20"/>
        <v>0</v>
      </c>
      <c r="AU34" s="2">
        <f t="shared" si="20"/>
        <v>0</v>
      </c>
      <c r="AV34" s="2">
        <f t="shared" si="20"/>
        <v>0</v>
      </c>
      <c r="AW34" s="2">
        <f t="shared" si="20"/>
        <v>0</v>
      </c>
      <c r="AX34" s="2">
        <f t="shared" si="20"/>
        <v>0</v>
      </c>
      <c r="AY34" s="2">
        <f t="shared" si="20"/>
        <v>0</v>
      </c>
      <c r="AZ34" s="2">
        <f t="shared" si="20"/>
        <v>0</v>
      </c>
      <c r="BA34" s="2">
        <f t="shared" si="20"/>
        <v>0</v>
      </c>
      <c r="BB34" s="2">
        <f t="shared" si="20"/>
        <v>0</v>
      </c>
      <c r="BC34" s="2">
        <f t="shared" si="20"/>
        <v>0</v>
      </c>
      <c r="BD34" s="2">
        <f t="shared" si="20"/>
        <v>0</v>
      </c>
      <c r="BE34" s="2">
        <f t="shared" si="20"/>
        <v>0</v>
      </c>
      <c r="BF34" s="2">
        <f t="shared" si="20"/>
        <v>0</v>
      </c>
      <c r="BG34" s="2">
        <f t="shared" ref="BG34:BV49" si="21">$B34*100*(BG$2&lt;$A34)+100*(1+$B34)*(BG$2=$A34)</f>
        <v>0</v>
      </c>
      <c r="BH34" s="2">
        <f t="shared" si="18"/>
        <v>0</v>
      </c>
      <c r="BI34" s="2">
        <f t="shared" si="18"/>
        <v>0</v>
      </c>
      <c r="BJ34" s="2">
        <f t="shared" si="18"/>
        <v>0</v>
      </c>
      <c r="BK34" s="2">
        <f t="shared" si="18"/>
        <v>0</v>
      </c>
      <c r="BL34" s="2">
        <f t="shared" si="18"/>
        <v>0</v>
      </c>
      <c r="BM34" s="2">
        <f t="shared" si="18"/>
        <v>0</v>
      </c>
      <c r="BN34" s="2">
        <f t="shared" si="18"/>
        <v>0</v>
      </c>
      <c r="BO34" s="2">
        <f t="shared" si="18"/>
        <v>0</v>
      </c>
      <c r="BP34" s="2">
        <f t="shared" si="18"/>
        <v>0</v>
      </c>
      <c r="BQ34" s="2">
        <f t="shared" si="18"/>
        <v>0</v>
      </c>
      <c r="BR34" s="2">
        <f t="shared" si="18"/>
        <v>0</v>
      </c>
      <c r="BS34" s="2">
        <f t="shared" si="18"/>
        <v>0</v>
      </c>
      <c r="BT34" s="2">
        <f t="shared" si="18"/>
        <v>0</v>
      </c>
      <c r="BU34" s="2">
        <f t="shared" si="18"/>
        <v>0</v>
      </c>
      <c r="BV34" s="2">
        <f t="shared" si="18"/>
        <v>0</v>
      </c>
      <c r="BW34" s="2">
        <f t="shared" ref="BW34:CK49" si="22">$B34*100*(BW$2&lt;$A34)+100*(1+$B34)*(BW$2=$A34)</f>
        <v>0</v>
      </c>
      <c r="BX34" s="2">
        <f t="shared" si="22"/>
        <v>0</v>
      </c>
      <c r="BY34" s="2">
        <f t="shared" si="22"/>
        <v>0</v>
      </c>
      <c r="BZ34" s="2">
        <f t="shared" si="22"/>
        <v>0</v>
      </c>
      <c r="CA34" s="2">
        <f t="shared" si="22"/>
        <v>0</v>
      </c>
      <c r="CB34" s="2">
        <f t="shared" si="22"/>
        <v>0</v>
      </c>
      <c r="CC34" s="2">
        <f t="shared" si="22"/>
        <v>0</v>
      </c>
      <c r="CD34" s="2">
        <f t="shared" si="22"/>
        <v>0</v>
      </c>
      <c r="CE34" s="2">
        <f t="shared" si="22"/>
        <v>0</v>
      </c>
      <c r="CF34" s="2">
        <f t="shared" si="22"/>
        <v>0</v>
      </c>
      <c r="CG34" s="2">
        <f t="shared" si="22"/>
        <v>0</v>
      </c>
      <c r="CH34" s="2">
        <f t="shared" si="22"/>
        <v>0</v>
      </c>
      <c r="CI34" s="2">
        <f t="shared" si="22"/>
        <v>0</v>
      </c>
      <c r="CJ34" s="2">
        <f t="shared" si="22"/>
        <v>0</v>
      </c>
      <c r="CK34" s="23">
        <f t="shared" si="22"/>
        <v>0</v>
      </c>
      <c r="CN34" s="2">
        <v>15.5</v>
      </c>
      <c r="CO34" s="14">
        <v>3.6780012704100286E-2</v>
      </c>
      <c r="CP34" s="14">
        <v>-1.4618592854793904E-2</v>
      </c>
      <c r="CQ34" s="14">
        <v>1.3101477178756231E-2</v>
      </c>
      <c r="CR34" s="14">
        <v>2.1568335195210092E-2</v>
      </c>
      <c r="CS34" s="14">
        <f t="shared" si="14"/>
        <v>5.6831232223272708E-2</v>
      </c>
    </row>
    <row r="35" spans="1:97" x14ac:dyDescent="0.45">
      <c r="A35" s="16"/>
      <c r="B35" s="17"/>
      <c r="C35" s="19"/>
      <c r="D35" s="19">
        <f t="shared" ref="D35:D66" si="23">SUMPRODUCT(L35:CK35,$L$79:$CK$79)</f>
        <v>0</v>
      </c>
      <c r="E35" s="19">
        <f t="shared" si="9"/>
        <v>0</v>
      </c>
      <c r="F35" s="19">
        <f t="shared" si="1"/>
        <v>0</v>
      </c>
      <c r="G35" s="20">
        <f t="shared" si="10"/>
        <v>0</v>
      </c>
      <c r="H35" s="20">
        <f>IFERROR(IRR((J35,L35:CK35),0),0)</f>
        <v>0</v>
      </c>
      <c r="I35" s="21">
        <f t="shared" si="2"/>
        <v>0</v>
      </c>
      <c r="J35" s="19">
        <f t="shared" si="13"/>
        <v>0</v>
      </c>
      <c r="K35" s="22">
        <f t="shared" si="3"/>
        <v>0</v>
      </c>
      <c r="L35" s="2">
        <f t="shared" si="19"/>
        <v>0</v>
      </c>
      <c r="M35" s="2">
        <f t="shared" si="19"/>
        <v>0</v>
      </c>
      <c r="N35" s="2">
        <f t="shared" si="19"/>
        <v>0</v>
      </c>
      <c r="O35" s="2">
        <f t="shared" si="19"/>
        <v>0</v>
      </c>
      <c r="P35" s="2">
        <f t="shared" si="19"/>
        <v>0</v>
      </c>
      <c r="Q35" s="2">
        <f t="shared" si="19"/>
        <v>0</v>
      </c>
      <c r="R35" s="2">
        <f t="shared" si="19"/>
        <v>0</v>
      </c>
      <c r="S35" s="2">
        <f t="shared" si="19"/>
        <v>0</v>
      </c>
      <c r="T35" s="2">
        <f t="shared" si="19"/>
        <v>0</v>
      </c>
      <c r="U35" s="2">
        <f t="shared" si="19"/>
        <v>0</v>
      </c>
      <c r="V35" s="2">
        <f t="shared" si="19"/>
        <v>0</v>
      </c>
      <c r="W35" s="2">
        <f t="shared" si="19"/>
        <v>0</v>
      </c>
      <c r="X35" s="2">
        <f t="shared" si="19"/>
        <v>0</v>
      </c>
      <c r="Y35" s="2">
        <f t="shared" si="19"/>
        <v>0</v>
      </c>
      <c r="Z35" s="2">
        <f t="shared" si="19"/>
        <v>0</v>
      </c>
      <c r="AA35" s="2">
        <f t="shared" ref="AA35:AP50" si="24">$B35*100*(AA$2&lt;$A35)+100*(1+$B35)*(AA$2=$A35)</f>
        <v>0</v>
      </c>
      <c r="AB35" s="2">
        <f t="shared" si="24"/>
        <v>0</v>
      </c>
      <c r="AC35" s="2">
        <f t="shared" si="24"/>
        <v>0</v>
      </c>
      <c r="AD35" s="2">
        <f t="shared" si="24"/>
        <v>0</v>
      </c>
      <c r="AE35" s="2">
        <f t="shared" si="24"/>
        <v>0</v>
      </c>
      <c r="AF35" s="2">
        <f t="shared" si="24"/>
        <v>0</v>
      </c>
      <c r="AG35" s="2">
        <f t="shared" si="24"/>
        <v>0</v>
      </c>
      <c r="AH35" s="2">
        <f t="shared" si="24"/>
        <v>0</v>
      </c>
      <c r="AI35" s="2">
        <f t="shared" si="24"/>
        <v>0</v>
      </c>
      <c r="AJ35" s="2">
        <f t="shared" si="24"/>
        <v>0</v>
      </c>
      <c r="AK35" s="2">
        <f t="shared" si="24"/>
        <v>0</v>
      </c>
      <c r="AL35" s="2">
        <f t="shared" si="24"/>
        <v>0</v>
      </c>
      <c r="AM35" s="2">
        <f t="shared" si="24"/>
        <v>0</v>
      </c>
      <c r="AN35" s="2">
        <f t="shared" si="24"/>
        <v>0</v>
      </c>
      <c r="AO35" s="2">
        <f t="shared" si="24"/>
        <v>0</v>
      </c>
      <c r="AP35" s="2">
        <f t="shared" si="24"/>
        <v>0</v>
      </c>
      <c r="AQ35" s="2">
        <f t="shared" si="20"/>
        <v>0</v>
      </c>
      <c r="AR35" s="2">
        <f t="shared" si="20"/>
        <v>0</v>
      </c>
      <c r="AS35" s="2">
        <f t="shared" si="20"/>
        <v>0</v>
      </c>
      <c r="AT35" s="2">
        <f t="shared" si="20"/>
        <v>0</v>
      </c>
      <c r="AU35" s="2">
        <f t="shared" si="20"/>
        <v>0</v>
      </c>
      <c r="AV35" s="2">
        <f t="shared" si="20"/>
        <v>0</v>
      </c>
      <c r="AW35" s="2">
        <f t="shared" si="20"/>
        <v>0</v>
      </c>
      <c r="AX35" s="2">
        <f t="shared" si="20"/>
        <v>0</v>
      </c>
      <c r="AY35" s="2">
        <f t="shared" si="20"/>
        <v>0</v>
      </c>
      <c r="AZ35" s="2">
        <f t="shared" si="20"/>
        <v>0</v>
      </c>
      <c r="BA35" s="2">
        <f t="shared" si="20"/>
        <v>0</v>
      </c>
      <c r="BB35" s="2">
        <f t="shared" si="20"/>
        <v>0</v>
      </c>
      <c r="BC35" s="2">
        <f t="shared" si="20"/>
        <v>0</v>
      </c>
      <c r="BD35" s="2">
        <f t="shared" si="20"/>
        <v>0</v>
      </c>
      <c r="BE35" s="2">
        <f t="shared" si="20"/>
        <v>0</v>
      </c>
      <c r="BF35" s="2">
        <f t="shared" si="20"/>
        <v>0</v>
      </c>
      <c r="BG35" s="2">
        <f t="shared" si="21"/>
        <v>0</v>
      </c>
      <c r="BH35" s="2">
        <f t="shared" si="21"/>
        <v>0</v>
      </c>
      <c r="BI35" s="2">
        <f t="shared" si="21"/>
        <v>0</v>
      </c>
      <c r="BJ35" s="2">
        <f t="shared" si="21"/>
        <v>0</v>
      </c>
      <c r="BK35" s="2">
        <f t="shared" si="21"/>
        <v>0</v>
      </c>
      <c r="BL35" s="2">
        <f t="shared" si="21"/>
        <v>0</v>
      </c>
      <c r="BM35" s="2">
        <f t="shared" si="21"/>
        <v>0</v>
      </c>
      <c r="BN35" s="2">
        <f t="shared" si="21"/>
        <v>0</v>
      </c>
      <c r="BO35" s="2">
        <f t="shared" si="21"/>
        <v>0</v>
      </c>
      <c r="BP35" s="2">
        <f t="shared" si="21"/>
        <v>0</v>
      </c>
      <c r="BQ35" s="2">
        <f t="shared" si="21"/>
        <v>0</v>
      </c>
      <c r="BR35" s="2">
        <f t="shared" si="21"/>
        <v>0</v>
      </c>
      <c r="BS35" s="2">
        <f t="shared" si="21"/>
        <v>0</v>
      </c>
      <c r="BT35" s="2">
        <f t="shared" si="21"/>
        <v>0</v>
      </c>
      <c r="BU35" s="2">
        <f t="shared" si="21"/>
        <v>0</v>
      </c>
      <c r="BV35" s="2">
        <f t="shared" si="21"/>
        <v>0</v>
      </c>
      <c r="BW35" s="2">
        <f t="shared" si="22"/>
        <v>0</v>
      </c>
      <c r="BX35" s="2">
        <f t="shared" si="22"/>
        <v>0</v>
      </c>
      <c r="BY35" s="2">
        <f t="shared" si="22"/>
        <v>0</v>
      </c>
      <c r="BZ35" s="2">
        <f t="shared" si="22"/>
        <v>0</v>
      </c>
      <c r="CA35" s="2">
        <f t="shared" si="22"/>
        <v>0</v>
      </c>
      <c r="CB35" s="2">
        <f t="shared" si="22"/>
        <v>0</v>
      </c>
      <c r="CC35" s="2">
        <f t="shared" si="22"/>
        <v>0</v>
      </c>
      <c r="CD35" s="2">
        <f t="shared" si="22"/>
        <v>0</v>
      </c>
      <c r="CE35" s="2">
        <f t="shared" si="22"/>
        <v>0</v>
      </c>
      <c r="CF35" s="2">
        <f t="shared" si="22"/>
        <v>0</v>
      </c>
      <c r="CG35" s="2">
        <f t="shared" si="22"/>
        <v>0</v>
      </c>
      <c r="CH35" s="2">
        <f t="shared" si="22"/>
        <v>0</v>
      </c>
      <c r="CI35" s="2">
        <f t="shared" si="22"/>
        <v>0</v>
      </c>
      <c r="CJ35" s="2">
        <f t="shared" si="22"/>
        <v>0</v>
      </c>
      <c r="CK35" s="23">
        <f t="shared" si="22"/>
        <v>0</v>
      </c>
      <c r="CN35" s="2">
        <v>16</v>
      </c>
      <c r="CO35" s="14">
        <v>3.6780012704100286E-2</v>
      </c>
      <c r="CP35" s="14">
        <v>-1.4443925817729644E-2</v>
      </c>
      <c r="CQ35" s="14">
        <v>1.3292110313429495E-2</v>
      </c>
      <c r="CR35" s="14">
        <v>2.2086981570551875E-2</v>
      </c>
      <c r="CS35" s="14">
        <f t="shared" si="14"/>
        <v>5.771517877035201E-2</v>
      </c>
    </row>
    <row r="36" spans="1:97" x14ac:dyDescent="0.45">
      <c r="A36" s="16"/>
      <c r="B36" s="17"/>
      <c r="C36" s="19"/>
      <c r="D36" s="19">
        <f t="shared" si="23"/>
        <v>0</v>
      </c>
      <c r="E36" s="19">
        <f t="shared" si="9"/>
        <v>0</v>
      </c>
      <c r="F36" s="19">
        <f t="shared" si="1"/>
        <v>0</v>
      </c>
      <c r="G36" s="20">
        <f t="shared" si="10"/>
        <v>0</v>
      </c>
      <c r="H36" s="20">
        <f>IFERROR(IRR((J36,L36:CK36),0),0)</f>
        <v>0</v>
      </c>
      <c r="I36" s="21">
        <f t="shared" si="2"/>
        <v>0</v>
      </c>
      <c r="J36" s="19">
        <f t="shared" si="13"/>
        <v>0</v>
      </c>
      <c r="K36" s="22">
        <f t="shared" si="3"/>
        <v>0</v>
      </c>
      <c r="L36" s="2">
        <f t="shared" ref="L36:AA51" si="25">$B36*100*(L$2&lt;$A36)+100*(1+$B36)*(L$2=$A36)</f>
        <v>0</v>
      </c>
      <c r="M36" s="2">
        <f t="shared" si="25"/>
        <v>0</v>
      </c>
      <c r="N36" s="2">
        <f t="shared" si="25"/>
        <v>0</v>
      </c>
      <c r="O36" s="2">
        <f t="shared" si="25"/>
        <v>0</v>
      </c>
      <c r="P36" s="2">
        <f t="shared" si="25"/>
        <v>0</v>
      </c>
      <c r="Q36" s="2">
        <f t="shared" si="25"/>
        <v>0</v>
      </c>
      <c r="R36" s="2">
        <f t="shared" si="25"/>
        <v>0</v>
      </c>
      <c r="S36" s="2">
        <f t="shared" si="25"/>
        <v>0</v>
      </c>
      <c r="T36" s="2">
        <f t="shared" si="25"/>
        <v>0</v>
      </c>
      <c r="U36" s="2">
        <f t="shared" si="25"/>
        <v>0</v>
      </c>
      <c r="V36" s="2">
        <f t="shared" si="25"/>
        <v>0</v>
      </c>
      <c r="W36" s="2">
        <f t="shared" si="25"/>
        <v>0</v>
      </c>
      <c r="X36" s="2">
        <f t="shared" si="25"/>
        <v>0</v>
      </c>
      <c r="Y36" s="2">
        <f t="shared" si="25"/>
        <v>0</v>
      </c>
      <c r="Z36" s="2">
        <f t="shared" si="25"/>
        <v>0</v>
      </c>
      <c r="AA36" s="2">
        <f t="shared" si="25"/>
        <v>0</v>
      </c>
      <c r="AB36" s="2">
        <f t="shared" si="24"/>
        <v>0</v>
      </c>
      <c r="AC36" s="2">
        <f t="shared" si="24"/>
        <v>0</v>
      </c>
      <c r="AD36" s="2">
        <f t="shared" si="24"/>
        <v>0</v>
      </c>
      <c r="AE36" s="2">
        <f t="shared" si="24"/>
        <v>0</v>
      </c>
      <c r="AF36" s="2">
        <f t="shared" si="24"/>
        <v>0</v>
      </c>
      <c r="AG36" s="2">
        <f t="shared" si="24"/>
        <v>0</v>
      </c>
      <c r="AH36" s="2">
        <f t="shared" si="24"/>
        <v>0</v>
      </c>
      <c r="AI36" s="2">
        <f t="shared" si="24"/>
        <v>0</v>
      </c>
      <c r="AJ36" s="2">
        <f t="shared" si="24"/>
        <v>0</v>
      </c>
      <c r="AK36" s="2">
        <f t="shared" si="24"/>
        <v>0</v>
      </c>
      <c r="AL36" s="2">
        <f t="shared" si="24"/>
        <v>0</v>
      </c>
      <c r="AM36" s="2">
        <f t="shared" si="24"/>
        <v>0</v>
      </c>
      <c r="AN36" s="2">
        <f t="shared" si="24"/>
        <v>0</v>
      </c>
      <c r="AO36" s="2">
        <f t="shared" si="24"/>
        <v>0</v>
      </c>
      <c r="AP36" s="2">
        <f t="shared" si="24"/>
        <v>0</v>
      </c>
      <c r="AQ36" s="2">
        <f t="shared" si="20"/>
        <v>0</v>
      </c>
      <c r="AR36" s="2">
        <f t="shared" si="20"/>
        <v>0</v>
      </c>
      <c r="AS36" s="2">
        <f t="shared" si="20"/>
        <v>0</v>
      </c>
      <c r="AT36" s="2">
        <f t="shared" si="20"/>
        <v>0</v>
      </c>
      <c r="AU36" s="2">
        <f t="shared" si="20"/>
        <v>0</v>
      </c>
      <c r="AV36" s="2">
        <f t="shared" si="20"/>
        <v>0</v>
      </c>
      <c r="AW36" s="2">
        <f t="shared" si="20"/>
        <v>0</v>
      </c>
      <c r="AX36" s="2">
        <f t="shared" si="20"/>
        <v>0</v>
      </c>
      <c r="AY36" s="2">
        <f t="shared" si="20"/>
        <v>0</v>
      </c>
      <c r="AZ36" s="2">
        <f t="shared" si="20"/>
        <v>0</v>
      </c>
      <c r="BA36" s="2">
        <f t="shared" si="20"/>
        <v>0</v>
      </c>
      <c r="BB36" s="2">
        <f t="shared" si="20"/>
        <v>0</v>
      </c>
      <c r="BC36" s="2">
        <f t="shared" si="20"/>
        <v>0</v>
      </c>
      <c r="BD36" s="2">
        <f t="shared" si="20"/>
        <v>0</v>
      </c>
      <c r="BE36" s="2">
        <f t="shared" si="20"/>
        <v>0</v>
      </c>
      <c r="BF36" s="2">
        <f t="shared" si="20"/>
        <v>0</v>
      </c>
      <c r="BG36" s="2">
        <f t="shared" si="21"/>
        <v>0</v>
      </c>
      <c r="BH36" s="2">
        <f t="shared" si="21"/>
        <v>0</v>
      </c>
      <c r="BI36" s="2">
        <f t="shared" si="21"/>
        <v>0</v>
      </c>
      <c r="BJ36" s="2">
        <f t="shared" si="21"/>
        <v>0</v>
      </c>
      <c r="BK36" s="2">
        <f t="shared" si="21"/>
        <v>0</v>
      </c>
      <c r="BL36" s="2">
        <f t="shared" si="21"/>
        <v>0</v>
      </c>
      <c r="BM36" s="2">
        <f t="shared" si="21"/>
        <v>0</v>
      </c>
      <c r="BN36" s="2">
        <f t="shared" si="21"/>
        <v>0</v>
      </c>
      <c r="BO36" s="2">
        <f t="shared" si="21"/>
        <v>0</v>
      </c>
      <c r="BP36" s="2">
        <f t="shared" si="21"/>
        <v>0</v>
      </c>
      <c r="BQ36" s="2">
        <f t="shared" si="21"/>
        <v>0</v>
      </c>
      <c r="BR36" s="2">
        <f t="shared" si="21"/>
        <v>0</v>
      </c>
      <c r="BS36" s="2">
        <f t="shared" si="21"/>
        <v>0</v>
      </c>
      <c r="BT36" s="2">
        <f t="shared" si="21"/>
        <v>0</v>
      </c>
      <c r="BU36" s="2">
        <f t="shared" si="21"/>
        <v>0</v>
      </c>
      <c r="BV36" s="2">
        <f t="shared" si="21"/>
        <v>0</v>
      </c>
      <c r="BW36" s="2">
        <f t="shared" si="22"/>
        <v>0</v>
      </c>
      <c r="BX36" s="2">
        <f t="shared" si="22"/>
        <v>0</v>
      </c>
      <c r="BY36" s="2">
        <f t="shared" si="22"/>
        <v>0</v>
      </c>
      <c r="BZ36" s="2">
        <f t="shared" si="22"/>
        <v>0</v>
      </c>
      <c r="CA36" s="2">
        <f t="shared" si="22"/>
        <v>0</v>
      </c>
      <c r="CB36" s="2">
        <f t="shared" si="22"/>
        <v>0</v>
      </c>
      <c r="CC36" s="2">
        <f t="shared" si="22"/>
        <v>0</v>
      </c>
      <c r="CD36" s="2">
        <f t="shared" si="22"/>
        <v>0</v>
      </c>
      <c r="CE36" s="2">
        <f t="shared" si="22"/>
        <v>0</v>
      </c>
      <c r="CF36" s="2">
        <f t="shared" si="22"/>
        <v>0</v>
      </c>
      <c r="CG36" s="2">
        <f t="shared" si="22"/>
        <v>0</v>
      </c>
      <c r="CH36" s="2">
        <f t="shared" si="22"/>
        <v>0</v>
      </c>
      <c r="CI36" s="2">
        <f t="shared" si="22"/>
        <v>0</v>
      </c>
      <c r="CJ36" s="2">
        <f t="shared" si="22"/>
        <v>0</v>
      </c>
      <c r="CK36" s="23">
        <f t="shared" si="22"/>
        <v>0</v>
      </c>
      <c r="CN36" s="2">
        <v>16.5</v>
      </c>
      <c r="CO36" s="14">
        <v>3.6780012704100286E-2</v>
      </c>
      <c r="CP36" s="14">
        <v>-1.4272250901024793E-2</v>
      </c>
      <c r="CQ36" s="14">
        <v>1.3473001676443667E-2</v>
      </c>
      <c r="CR36" s="14">
        <v>2.2596214105792215E-2</v>
      </c>
      <c r="CS36" s="14">
        <f t="shared" si="14"/>
        <v>5.8576977585311371E-2</v>
      </c>
    </row>
    <row r="37" spans="1:97" x14ac:dyDescent="0.45">
      <c r="A37" s="16"/>
      <c r="B37" s="17"/>
      <c r="C37" s="19"/>
      <c r="D37" s="19">
        <f t="shared" si="23"/>
        <v>0</v>
      </c>
      <c r="E37" s="19">
        <f t="shared" si="9"/>
        <v>0</v>
      </c>
      <c r="F37" s="19">
        <f t="shared" si="1"/>
        <v>0</v>
      </c>
      <c r="G37" s="20">
        <f t="shared" si="10"/>
        <v>0</v>
      </c>
      <c r="H37" s="20">
        <f>IFERROR(IRR((J37,L37:CK37),0),0)</f>
        <v>0</v>
      </c>
      <c r="I37" s="21">
        <f t="shared" si="2"/>
        <v>0</v>
      </c>
      <c r="J37" s="19">
        <f t="shared" si="13"/>
        <v>0</v>
      </c>
      <c r="K37" s="22">
        <f t="shared" si="3"/>
        <v>0</v>
      </c>
      <c r="L37" s="2">
        <f t="shared" si="25"/>
        <v>0</v>
      </c>
      <c r="M37" s="2">
        <f t="shared" si="25"/>
        <v>0</v>
      </c>
      <c r="N37" s="2">
        <f t="shared" si="25"/>
        <v>0</v>
      </c>
      <c r="O37" s="2">
        <f t="shared" si="25"/>
        <v>0</v>
      </c>
      <c r="P37" s="2">
        <f t="shared" si="25"/>
        <v>0</v>
      </c>
      <c r="Q37" s="2">
        <f t="shared" si="25"/>
        <v>0</v>
      </c>
      <c r="R37" s="2">
        <f t="shared" si="25"/>
        <v>0</v>
      </c>
      <c r="S37" s="2">
        <f t="shared" si="25"/>
        <v>0</v>
      </c>
      <c r="T37" s="2">
        <f t="shared" si="25"/>
        <v>0</v>
      </c>
      <c r="U37" s="2">
        <f t="shared" si="25"/>
        <v>0</v>
      </c>
      <c r="V37" s="2">
        <f t="shared" si="25"/>
        <v>0</v>
      </c>
      <c r="W37" s="2">
        <f t="shared" si="25"/>
        <v>0</v>
      </c>
      <c r="X37" s="2">
        <f t="shared" si="25"/>
        <v>0</v>
      </c>
      <c r="Y37" s="2">
        <f t="shared" si="25"/>
        <v>0</v>
      </c>
      <c r="Z37" s="2">
        <f t="shared" si="25"/>
        <v>0</v>
      </c>
      <c r="AA37" s="2">
        <f t="shared" si="25"/>
        <v>0</v>
      </c>
      <c r="AB37" s="2">
        <f t="shared" si="24"/>
        <v>0</v>
      </c>
      <c r="AC37" s="2">
        <f t="shared" si="24"/>
        <v>0</v>
      </c>
      <c r="AD37" s="2">
        <f t="shared" si="24"/>
        <v>0</v>
      </c>
      <c r="AE37" s="2">
        <f t="shared" si="24"/>
        <v>0</v>
      </c>
      <c r="AF37" s="2">
        <f t="shared" si="24"/>
        <v>0</v>
      </c>
      <c r="AG37" s="2">
        <f t="shared" si="24"/>
        <v>0</v>
      </c>
      <c r="AH37" s="2">
        <f t="shared" si="24"/>
        <v>0</v>
      </c>
      <c r="AI37" s="2">
        <f t="shared" si="24"/>
        <v>0</v>
      </c>
      <c r="AJ37" s="2">
        <f t="shared" si="24"/>
        <v>0</v>
      </c>
      <c r="AK37" s="2">
        <f t="shared" si="24"/>
        <v>0</v>
      </c>
      <c r="AL37" s="2">
        <f t="shared" si="24"/>
        <v>0</v>
      </c>
      <c r="AM37" s="2">
        <f t="shared" si="24"/>
        <v>0</v>
      </c>
      <c r="AN37" s="2">
        <f t="shared" si="24"/>
        <v>0</v>
      </c>
      <c r="AO37" s="2">
        <f t="shared" si="24"/>
        <v>0</v>
      </c>
      <c r="AP37" s="2">
        <f t="shared" si="24"/>
        <v>0</v>
      </c>
      <c r="AQ37" s="2">
        <f t="shared" si="20"/>
        <v>0</v>
      </c>
      <c r="AR37" s="2">
        <f t="shared" si="20"/>
        <v>0</v>
      </c>
      <c r="AS37" s="2">
        <f t="shared" si="20"/>
        <v>0</v>
      </c>
      <c r="AT37" s="2">
        <f t="shared" si="20"/>
        <v>0</v>
      </c>
      <c r="AU37" s="2">
        <f t="shared" si="20"/>
        <v>0</v>
      </c>
      <c r="AV37" s="2">
        <f t="shared" si="20"/>
        <v>0</v>
      </c>
      <c r="AW37" s="2">
        <f t="shared" si="20"/>
        <v>0</v>
      </c>
      <c r="AX37" s="2">
        <f t="shared" si="20"/>
        <v>0</v>
      </c>
      <c r="AY37" s="2">
        <f t="shared" si="20"/>
        <v>0</v>
      </c>
      <c r="AZ37" s="2">
        <f t="shared" si="20"/>
        <v>0</v>
      </c>
      <c r="BA37" s="2">
        <f t="shared" si="20"/>
        <v>0</v>
      </c>
      <c r="BB37" s="2">
        <f t="shared" si="20"/>
        <v>0</v>
      </c>
      <c r="BC37" s="2">
        <f t="shared" si="20"/>
        <v>0</v>
      </c>
      <c r="BD37" s="2">
        <f t="shared" si="20"/>
        <v>0</v>
      </c>
      <c r="BE37" s="2">
        <f t="shared" si="20"/>
        <v>0</v>
      </c>
      <c r="BF37" s="2">
        <f t="shared" si="20"/>
        <v>0</v>
      </c>
      <c r="BG37" s="2">
        <f t="shared" si="21"/>
        <v>0</v>
      </c>
      <c r="BH37" s="2">
        <f t="shared" si="21"/>
        <v>0</v>
      </c>
      <c r="BI37" s="2">
        <f t="shared" si="21"/>
        <v>0</v>
      </c>
      <c r="BJ37" s="2">
        <f t="shared" si="21"/>
        <v>0</v>
      </c>
      <c r="BK37" s="2">
        <f t="shared" si="21"/>
        <v>0</v>
      </c>
      <c r="BL37" s="2">
        <f t="shared" si="21"/>
        <v>0</v>
      </c>
      <c r="BM37" s="2">
        <f t="shared" si="21"/>
        <v>0</v>
      </c>
      <c r="BN37" s="2">
        <f t="shared" si="21"/>
        <v>0</v>
      </c>
      <c r="BO37" s="2">
        <f t="shared" si="21"/>
        <v>0</v>
      </c>
      <c r="BP37" s="2">
        <f t="shared" si="21"/>
        <v>0</v>
      </c>
      <c r="BQ37" s="2">
        <f t="shared" si="21"/>
        <v>0</v>
      </c>
      <c r="BR37" s="2">
        <f t="shared" si="21"/>
        <v>0</v>
      </c>
      <c r="BS37" s="2">
        <f t="shared" si="21"/>
        <v>0</v>
      </c>
      <c r="BT37" s="2">
        <f t="shared" si="21"/>
        <v>0</v>
      </c>
      <c r="BU37" s="2">
        <f t="shared" si="21"/>
        <v>0</v>
      </c>
      <c r="BV37" s="2">
        <f t="shared" si="21"/>
        <v>0</v>
      </c>
      <c r="BW37" s="2">
        <f t="shared" si="22"/>
        <v>0</v>
      </c>
      <c r="BX37" s="2">
        <f t="shared" si="22"/>
        <v>0</v>
      </c>
      <c r="BY37" s="2">
        <f t="shared" si="22"/>
        <v>0</v>
      </c>
      <c r="BZ37" s="2">
        <f t="shared" si="22"/>
        <v>0</v>
      </c>
      <c r="CA37" s="2">
        <f t="shared" si="22"/>
        <v>0</v>
      </c>
      <c r="CB37" s="2">
        <f t="shared" si="22"/>
        <v>0</v>
      </c>
      <c r="CC37" s="2">
        <f t="shared" si="22"/>
        <v>0</v>
      </c>
      <c r="CD37" s="2">
        <f t="shared" si="22"/>
        <v>0</v>
      </c>
      <c r="CE37" s="2">
        <f t="shared" si="22"/>
        <v>0</v>
      </c>
      <c r="CF37" s="2">
        <f t="shared" si="22"/>
        <v>0</v>
      </c>
      <c r="CG37" s="2">
        <f t="shared" si="22"/>
        <v>0</v>
      </c>
      <c r="CH37" s="2">
        <f t="shared" si="22"/>
        <v>0</v>
      </c>
      <c r="CI37" s="2">
        <f t="shared" si="22"/>
        <v>0</v>
      </c>
      <c r="CJ37" s="2">
        <f t="shared" si="22"/>
        <v>0</v>
      </c>
      <c r="CK37" s="23">
        <f t="shared" si="22"/>
        <v>0</v>
      </c>
      <c r="CN37" s="2">
        <v>17</v>
      </c>
      <c r="CO37" s="14">
        <v>3.6780012704100286E-2</v>
      </c>
      <c r="CP37" s="14">
        <v>-1.4103508649581759E-2</v>
      </c>
      <c r="CQ37" s="14">
        <v>1.3644478217504951E-2</v>
      </c>
      <c r="CR37" s="14">
        <v>2.3096166690704658E-2</v>
      </c>
      <c r="CS37" s="14">
        <f t="shared" si="14"/>
        <v>5.9417148962728136E-2</v>
      </c>
    </row>
    <row r="38" spans="1:97" x14ac:dyDescent="0.45">
      <c r="A38" s="16"/>
      <c r="B38" s="17"/>
      <c r="C38" s="19"/>
      <c r="D38" s="19">
        <f t="shared" si="23"/>
        <v>0</v>
      </c>
      <c r="E38" s="19">
        <f t="shared" si="9"/>
        <v>0</v>
      </c>
      <c r="F38" s="19">
        <f t="shared" si="1"/>
        <v>0</v>
      </c>
      <c r="G38" s="20">
        <f t="shared" si="10"/>
        <v>0</v>
      </c>
      <c r="H38" s="20">
        <f>IFERROR(IRR((J38,L38:CK38),0),0)</f>
        <v>0</v>
      </c>
      <c r="I38" s="21">
        <f t="shared" si="2"/>
        <v>0</v>
      </c>
      <c r="J38" s="19">
        <f t="shared" si="13"/>
        <v>0</v>
      </c>
      <c r="K38" s="22">
        <f t="shared" si="3"/>
        <v>0</v>
      </c>
      <c r="L38" s="2">
        <f t="shared" si="25"/>
        <v>0</v>
      </c>
      <c r="M38" s="2">
        <f t="shared" si="25"/>
        <v>0</v>
      </c>
      <c r="N38" s="2">
        <f t="shared" si="25"/>
        <v>0</v>
      </c>
      <c r="O38" s="2">
        <f t="shared" si="25"/>
        <v>0</v>
      </c>
      <c r="P38" s="2">
        <f t="shared" si="25"/>
        <v>0</v>
      </c>
      <c r="Q38" s="2">
        <f t="shared" si="25"/>
        <v>0</v>
      </c>
      <c r="R38" s="2">
        <f t="shared" si="25"/>
        <v>0</v>
      </c>
      <c r="S38" s="2">
        <f t="shared" si="25"/>
        <v>0</v>
      </c>
      <c r="T38" s="2">
        <f t="shared" si="25"/>
        <v>0</v>
      </c>
      <c r="U38" s="2">
        <f t="shared" si="25"/>
        <v>0</v>
      </c>
      <c r="V38" s="2">
        <f t="shared" si="25"/>
        <v>0</v>
      </c>
      <c r="W38" s="2">
        <f t="shared" si="25"/>
        <v>0</v>
      </c>
      <c r="X38" s="2">
        <f t="shared" si="25"/>
        <v>0</v>
      </c>
      <c r="Y38" s="2">
        <f t="shared" si="25"/>
        <v>0</v>
      </c>
      <c r="Z38" s="2">
        <f t="shared" si="25"/>
        <v>0</v>
      </c>
      <c r="AA38" s="2">
        <f t="shared" si="25"/>
        <v>0</v>
      </c>
      <c r="AB38" s="2">
        <f t="shared" si="24"/>
        <v>0</v>
      </c>
      <c r="AC38" s="2">
        <f t="shared" si="24"/>
        <v>0</v>
      </c>
      <c r="AD38" s="2">
        <f t="shared" si="24"/>
        <v>0</v>
      </c>
      <c r="AE38" s="2">
        <f t="shared" si="24"/>
        <v>0</v>
      </c>
      <c r="AF38" s="2">
        <f t="shared" si="24"/>
        <v>0</v>
      </c>
      <c r="AG38" s="2">
        <f t="shared" si="24"/>
        <v>0</v>
      </c>
      <c r="AH38" s="2">
        <f t="shared" si="24"/>
        <v>0</v>
      </c>
      <c r="AI38" s="2">
        <f t="shared" si="24"/>
        <v>0</v>
      </c>
      <c r="AJ38" s="2">
        <f t="shared" si="24"/>
        <v>0</v>
      </c>
      <c r="AK38" s="2">
        <f t="shared" si="24"/>
        <v>0</v>
      </c>
      <c r="AL38" s="2">
        <f t="shared" si="24"/>
        <v>0</v>
      </c>
      <c r="AM38" s="2">
        <f t="shared" si="24"/>
        <v>0</v>
      </c>
      <c r="AN38" s="2">
        <f t="shared" si="24"/>
        <v>0</v>
      </c>
      <c r="AO38" s="2">
        <f t="shared" si="24"/>
        <v>0</v>
      </c>
      <c r="AP38" s="2">
        <f t="shared" si="24"/>
        <v>0</v>
      </c>
      <c r="AQ38" s="2">
        <f t="shared" si="20"/>
        <v>0</v>
      </c>
      <c r="AR38" s="2">
        <f t="shared" si="20"/>
        <v>0</v>
      </c>
      <c r="AS38" s="2">
        <f t="shared" si="20"/>
        <v>0</v>
      </c>
      <c r="AT38" s="2">
        <f t="shared" si="20"/>
        <v>0</v>
      </c>
      <c r="AU38" s="2">
        <f t="shared" si="20"/>
        <v>0</v>
      </c>
      <c r="AV38" s="2">
        <f t="shared" si="20"/>
        <v>0</v>
      </c>
      <c r="AW38" s="2">
        <f t="shared" si="20"/>
        <v>0</v>
      </c>
      <c r="AX38" s="2">
        <f t="shared" si="20"/>
        <v>0</v>
      </c>
      <c r="AY38" s="2">
        <f t="shared" si="20"/>
        <v>0</v>
      </c>
      <c r="AZ38" s="2">
        <f t="shared" si="20"/>
        <v>0</v>
      </c>
      <c r="BA38" s="2">
        <f t="shared" si="20"/>
        <v>0</v>
      </c>
      <c r="BB38" s="2">
        <f t="shared" si="20"/>
        <v>0</v>
      </c>
      <c r="BC38" s="2">
        <f t="shared" si="20"/>
        <v>0</v>
      </c>
      <c r="BD38" s="2">
        <f t="shared" si="20"/>
        <v>0</v>
      </c>
      <c r="BE38" s="2">
        <f t="shared" si="20"/>
        <v>0</v>
      </c>
      <c r="BF38" s="2">
        <f t="shared" si="20"/>
        <v>0</v>
      </c>
      <c r="BG38" s="2">
        <f t="shared" si="21"/>
        <v>0</v>
      </c>
      <c r="BH38" s="2">
        <f t="shared" si="21"/>
        <v>0</v>
      </c>
      <c r="BI38" s="2">
        <f t="shared" si="21"/>
        <v>0</v>
      </c>
      <c r="BJ38" s="2">
        <f t="shared" si="21"/>
        <v>0</v>
      </c>
      <c r="BK38" s="2">
        <f t="shared" si="21"/>
        <v>0</v>
      </c>
      <c r="BL38" s="2">
        <f t="shared" si="21"/>
        <v>0</v>
      </c>
      <c r="BM38" s="2">
        <f t="shared" si="21"/>
        <v>0</v>
      </c>
      <c r="BN38" s="2">
        <f t="shared" si="21"/>
        <v>0</v>
      </c>
      <c r="BO38" s="2">
        <f t="shared" si="21"/>
        <v>0</v>
      </c>
      <c r="BP38" s="2">
        <f t="shared" si="21"/>
        <v>0</v>
      </c>
      <c r="BQ38" s="2">
        <f t="shared" si="21"/>
        <v>0</v>
      </c>
      <c r="BR38" s="2">
        <f t="shared" si="21"/>
        <v>0</v>
      </c>
      <c r="BS38" s="2">
        <f t="shared" si="21"/>
        <v>0</v>
      </c>
      <c r="BT38" s="2">
        <f t="shared" si="21"/>
        <v>0</v>
      </c>
      <c r="BU38" s="2">
        <f t="shared" si="21"/>
        <v>0</v>
      </c>
      <c r="BV38" s="2">
        <f t="shared" si="21"/>
        <v>0</v>
      </c>
      <c r="BW38" s="2">
        <f t="shared" si="22"/>
        <v>0</v>
      </c>
      <c r="BX38" s="2">
        <f t="shared" si="22"/>
        <v>0</v>
      </c>
      <c r="BY38" s="2">
        <f t="shared" si="22"/>
        <v>0</v>
      </c>
      <c r="BZ38" s="2">
        <f t="shared" si="22"/>
        <v>0</v>
      </c>
      <c r="CA38" s="2">
        <f t="shared" si="22"/>
        <v>0</v>
      </c>
      <c r="CB38" s="2">
        <f t="shared" si="22"/>
        <v>0</v>
      </c>
      <c r="CC38" s="2">
        <f t="shared" si="22"/>
        <v>0</v>
      </c>
      <c r="CD38" s="2">
        <f t="shared" si="22"/>
        <v>0</v>
      </c>
      <c r="CE38" s="2">
        <f t="shared" si="22"/>
        <v>0</v>
      </c>
      <c r="CF38" s="2">
        <f t="shared" si="22"/>
        <v>0</v>
      </c>
      <c r="CG38" s="2">
        <f t="shared" si="22"/>
        <v>0</v>
      </c>
      <c r="CH38" s="2">
        <f t="shared" si="22"/>
        <v>0</v>
      </c>
      <c r="CI38" s="2">
        <f t="shared" si="22"/>
        <v>0</v>
      </c>
      <c r="CJ38" s="2">
        <f t="shared" si="22"/>
        <v>0</v>
      </c>
      <c r="CK38" s="23">
        <f t="shared" si="22"/>
        <v>0</v>
      </c>
      <c r="CN38" s="2">
        <v>17.5</v>
      </c>
      <c r="CO38" s="14">
        <v>3.6780012704100286E-2</v>
      </c>
      <c r="CP38" s="14">
        <v>-1.3937640888224001E-2</v>
      </c>
      <c r="CQ38" s="14">
        <v>1.3806856924321228E-2</v>
      </c>
      <c r="CR38" s="14">
        <v>2.3586971436707887E-2</v>
      </c>
      <c r="CS38" s="14">
        <f t="shared" si="14"/>
        <v>6.0236200176905397E-2</v>
      </c>
    </row>
    <row r="39" spans="1:97" x14ac:dyDescent="0.45">
      <c r="A39" s="16"/>
      <c r="B39" s="17"/>
      <c r="C39" s="19"/>
      <c r="D39" s="19">
        <f t="shared" si="23"/>
        <v>0</v>
      </c>
      <c r="E39" s="19">
        <f t="shared" si="9"/>
        <v>0</v>
      </c>
      <c r="F39" s="19">
        <f t="shared" si="1"/>
        <v>0</v>
      </c>
      <c r="G39" s="20">
        <f t="shared" si="10"/>
        <v>0</v>
      </c>
      <c r="H39" s="20">
        <f>IFERROR(IRR((J39,L39:CK39),0),0)</f>
        <v>0</v>
      </c>
      <c r="I39" s="21">
        <f t="shared" si="2"/>
        <v>0</v>
      </c>
      <c r="J39" s="19">
        <f t="shared" si="13"/>
        <v>0</v>
      </c>
      <c r="K39" s="22">
        <f t="shared" si="3"/>
        <v>0</v>
      </c>
      <c r="L39" s="2">
        <f t="shared" si="25"/>
        <v>0</v>
      </c>
      <c r="M39" s="2">
        <f t="shared" si="25"/>
        <v>0</v>
      </c>
      <c r="N39" s="2">
        <f t="shared" si="25"/>
        <v>0</v>
      </c>
      <c r="O39" s="2">
        <f t="shared" si="25"/>
        <v>0</v>
      </c>
      <c r="P39" s="2">
        <f t="shared" si="25"/>
        <v>0</v>
      </c>
      <c r="Q39" s="2">
        <f t="shared" si="25"/>
        <v>0</v>
      </c>
      <c r="R39" s="2">
        <f t="shared" si="25"/>
        <v>0</v>
      </c>
      <c r="S39" s="2">
        <f t="shared" si="25"/>
        <v>0</v>
      </c>
      <c r="T39" s="2">
        <f t="shared" si="25"/>
        <v>0</v>
      </c>
      <c r="U39" s="2">
        <f t="shared" si="25"/>
        <v>0</v>
      </c>
      <c r="V39" s="2">
        <f t="shared" si="25"/>
        <v>0</v>
      </c>
      <c r="W39" s="2">
        <f t="shared" si="25"/>
        <v>0</v>
      </c>
      <c r="X39" s="2">
        <f t="shared" si="25"/>
        <v>0</v>
      </c>
      <c r="Y39" s="2">
        <f t="shared" si="25"/>
        <v>0</v>
      </c>
      <c r="Z39" s="2">
        <f t="shared" si="25"/>
        <v>0</v>
      </c>
      <c r="AA39" s="2">
        <f t="shared" si="25"/>
        <v>0</v>
      </c>
      <c r="AB39" s="2">
        <f t="shared" si="24"/>
        <v>0</v>
      </c>
      <c r="AC39" s="2">
        <f t="shared" si="24"/>
        <v>0</v>
      </c>
      <c r="AD39" s="2">
        <f t="shared" si="24"/>
        <v>0</v>
      </c>
      <c r="AE39" s="2">
        <f t="shared" si="24"/>
        <v>0</v>
      </c>
      <c r="AF39" s="2">
        <f t="shared" si="24"/>
        <v>0</v>
      </c>
      <c r="AG39" s="2">
        <f t="shared" si="24"/>
        <v>0</v>
      </c>
      <c r="AH39" s="2">
        <f t="shared" si="24"/>
        <v>0</v>
      </c>
      <c r="AI39" s="2">
        <f t="shared" si="24"/>
        <v>0</v>
      </c>
      <c r="AJ39" s="2">
        <f t="shared" si="24"/>
        <v>0</v>
      </c>
      <c r="AK39" s="2">
        <f t="shared" si="24"/>
        <v>0</v>
      </c>
      <c r="AL39" s="2">
        <f t="shared" si="24"/>
        <v>0</v>
      </c>
      <c r="AM39" s="2">
        <f t="shared" si="24"/>
        <v>0</v>
      </c>
      <c r="AN39" s="2">
        <f t="shared" si="24"/>
        <v>0</v>
      </c>
      <c r="AO39" s="2">
        <f t="shared" si="24"/>
        <v>0</v>
      </c>
      <c r="AP39" s="2">
        <f t="shared" si="24"/>
        <v>0</v>
      </c>
      <c r="AQ39" s="2">
        <f t="shared" si="20"/>
        <v>0</v>
      </c>
      <c r="AR39" s="2">
        <f t="shared" si="20"/>
        <v>0</v>
      </c>
      <c r="AS39" s="2">
        <f t="shared" si="20"/>
        <v>0</v>
      </c>
      <c r="AT39" s="2">
        <f t="shared" si="20"/>
        <v>0</v>
      </c>
      <c r="AU39" s="2">
        <f t="shared" si="20"/>
        <v>0</v>
      </c>
      <c r="AV39" s="2">
        <f t="shared" si="20"/>
        <v>0</v>
      </c>
      <c r="AW39" s="2">
        <f t="shared" si="20"/>
        <v>0</v>
      </c>
      <c r="AX39" s="2">
        <f t="shared" si="20"/>
        <v>0</v>
      </c>
      <c r="AY39" s="2">
        <f t="shared" si="20"/>
        <v>0</v>
      </c>
      <c r="AZ39" s="2">
        <f t="shared" si="20"/>
        <v>0</v>
      </c>
      <c r="BA39" s="2">
        <f t="shared" si="20"/>
        <v>0</v>
      </c>
      <c r="BB39" s="2">
        <f t="shared" si="20"/>
        <v>0</v>
      </c>
      <c r="BC39" s="2">
        <f t="shared" si="20"/>
        <v>0</v>
      </c>
      <c r="BD39" s="2">
        <f t="shared" si="20"/>
        <v>0</v>
      </c>
      <c r="BE39" s="2">
        <f t="shared" si="20"/>
        <v>0</v>
      </c>
      <c r="BF39" s="2">
        <f t="shared" si="20"/>
        <v>0</v>
      </c>
      <c r="BG39" s="2">
        <f t="shared" si="21"/>
        <v>0</v>
      </c>
      <c r="BH39" s="2">
        <f t="shared" si="21"/>
        <v>0</v>
      </c>
      <c r="BI39" s="2">
        <f t="shared" si="21"/>
        <v>0</v>
      </c>
      <c r="BJ39" s="2">
        <f t="shared" si="21"/>
        <v>0</v>
      </c>
      <c r="BK39" s="2">
        <f t="shared" si="21"/>
        <v>0</v>
      </c>
      <c r="BL39" s="2">
        <f t="shared" si="21"/>
        <v>0</v>
      </c>
      <c r="BM39" s="2">
        <f t="shared" si="21"/>
        <v>0</v>
      </c>
      <c r="BN39" s="2">
        <f t="shared" si="21"/>
        <v>0</v>
      </c>
      <c r="BO39" s="2">
        <f t="shared" si="21"/>
        <v>0</v>
      </c>
      <c r="BP39" s="2">
        <f t="shared" si="21"/>
        <v>0</v>
      </c>
      <c r="BQ39" s="2">
        <f t="shared" si="21"/>
        <v>0</v>
      </c>
      <c r="BR39" s="2">
        <f t="shared" si="21"/>
        <v>0</v>
      </c>
      <c r="BS39" s="2">
        <f t="shared" si="21"/>
        <v>0</v>
      </c>
      <c r="BT39" s="2">
        <f t="shared" si="21"/>
        <v>0</v>
      </c>
      <c r="BU39" s="2">
        <f t="shared" si="21"/>
        <v>0</v>
      </c>
      <c r="BV39" s="2">
        <f t="shared" si="21"/>
        <v>0</v>
      </c>
      <c r="BW39" s="2">
        <f t="shared" si="22"/>
        <v>0</v>
      </c>
      <c r="BX39" s="2">
        <f t="shared" si="22"/>
        <v>0</v>
      </c>
      <c r="BY39" s="2">
        <f t="shared" si="22"/>
        <v>0</v>
      </c>
      <c r="BZ39" s="2">
        <f t="shared" si="22"/>
        <v>0</v>
      </c>
      <c r="CA39" s="2">
        <f t="shared" si="22"/>
        <v>0</v>
      </c>
      <c r="CB39" s="2">
        <f t="shared" si="22"/>
        <v>0</v>
      </c>
      <c r="CC39" s="2">
        <f t="shared" si="22"/>
        <v>0</v>
      </c>
      <c r="CD39" s="2">
        <f t="shared" si="22"/>
        <v>0</v>
      </c>
      <c r="CE39" s="2">
        <f t="shared" si="22"/>
        <v>0</v>
      </c>
      <c r="CF39" s="2">
        <f t="shared" si="22"/>
        <v>0</v>
      </c>
      <c r="CG39" s="2">
        <f t="shared" si="22"/>
        <v>0</v>
      </c>
      <c r="CH39" s="2">
        <f t="shared" si="22"/>
        <v>0</v>
      </c>
      <c r="CI39" s="2">
        <f t="shared" si="22"/>
        <v>0</v>
      </c>
      <c r="CJ39" s="2">
        <f t="shared" si="22"/>
        <v>0</v>
      </c>
      <c r="CK39" s="23">
        <f t="shared" si="22"/>
        <v>0</v>
      </c>
      <c r="CN39" s="2">
        <v>18</v>
      </c>
      <c r="CO39" s="14">
        <v>3.6780012704100286E-2</v>
      </c>
      <c r="CP39" s="14">
        <v>-1.3774590692737206E-2</v>
      </c>
      <c r="CQ39" s="14">
        <v>1.3960445114828031E-2</v>
      </c>
      <c r="CR39" s="14">
        <v>2.4068758699811663E-2</v>
      </c>
      <c r="CS39" s="14">
        <f t="shared" si="14"/>
        <v>6.1034625826002775E-2</v>
      </c>
    </row>
    <row r="40" spans="1:97" x14ac:dyDescent="0.45">
      <c r="A40" s="16"/>
      <c r="B40" s="17"/>
      <c r="C40" s="19"/>
      <c r="D40" s="19">
        <f t="shared" si="23"/>
        <v>0</v>
      </c>
      <c r="E40" s="19">
        <f t="shared" si="9"/>
        <v>0</v>
      </c>
      <c r="F40" s="19">
        <f t="shared" si="1"/>
        <v>0</v>
      </c>
      <c r="G40" s="20">
        <f t="shared" si="10"/>
        <v>0</v>
      </c>
      <c r="H40" s="20">
        <f>IFERROR(IRR((J40,L40:CK40),0),0)</f>
        <v>0</v>
      </c>
      <c r="I40" s="21">
        <f t="shared" si="2"/>
        <v>0</v>
      </c>
      <c r="J40" s="19">
        <f t="shared" si="13"/>
        <v>0</v>
      </c>
      <c r="K40" s="22">
        <f t="shared" si="3"/>
        <v>0</v>
      </c>
      <c r="L40" s="2">
        <f t="shared" si="25"/>
        <v>0</v>
      </c>
      <c r="M40" s="2">
        <f t="shared" si="25"/>
        <v>0</v>
      </c>
      <c r="N40" s="2">
        <f t="shared" si="25"/>
        <v>0</v>
      </c>
      <c r="O40" s="2">
        <f t="shared" si="25"/>
        <v>0</v>
      </c>
      <c r="P40" s="2">
        <f t="shared" si="25"/>
        <v>0</v>
      </c>
      <c r="Q40" s="2">
        <f t="shared" si="25"/>
        <v>0</v>
      </c>
      <c r="R40" s="2">
        <f t="shared" si="25"/>
        <v>0</v>
      </c>
      <c r="S40" s="2">
        <f t="shared" si="25"/>
        <v>0</v>
      </c>
      <c r="T40" s="2">
        <f t="shared" si="25"/>
        <v>0</v>
      </c>
      <c r="U40" s="2">
        <f t="shared" si="25"/>
        <v>0</v>
      </c>
      <c r="V40" s="2">
        <f t="shared" si="25"/>
        <v>0</v>
      </c>
      <c r="W40" s="2">
        <f t="shared" si="25"/>
        <v>0</v>
      </c>
      <c r="X40" s="2">
        <f t="shared" si="25"/>
        <v>0</v>
      </c>
      <c r="Y40" s="2">
        <f t="shared" si="25"/>
        <v>0</v>
      </c>
      <c r="Z40" s="2">
        <f t="shared" si="25"/>
        <v>0</v>
      </c>
      <c r="AA40" s="2">
        <f t="shared" si="25"/>
        <v>0</v>
      </c>
      <c r="AB40" s="2">
        <f t="shared" si="24"/>
        <v>0</v>
      </c>
      <c r="AC40" s="2">
        <f t="shared" si="24"/>
        <v>0</v>
      </c>
      <c r="AD40" s="2">
        <f t="shared" si="24"/>
        <v>0</v>
      </c>
      <c r="AE40" s="2">
        <f t="shared" si="24"/>
        <v>0</v>
      </c>
      <c r="AF40" s="2">
        <f t="shared" si="24"/>
        <v>0</v>
      </c>
      <c r="AG40" s="2">
        <f t="shared" si="24"/>
        <v>0</v>
      </c>
      <c r="AH40" s="2">
        <f t="shared" si="24"/>
        <v>0</v>
      </c>
      <c r="AI40" s="2">
        <f t="shared" si="24"/>
        <v>0</v>
      </c>
      <c r="AJ40" s="2">
        <f t="shared" si="24"/>
        <v>0</v>
      </c>
      <c r="AK40" s="2">
        <f t="shared" si="24"/>
        <v>0</v>
      </c>
      <c r="AL40" s="2">
        <f t="shared" si="24"/>
        <v>0</v>
      </c>
      <c r="AM40" s="2">
        <f t="shared" si="24"/>
        <v>0</v>
      </c>
      <c r="AN40" s="2">
        <f t="shared" si="24"/>
        <v>0</v>
      </c>
      <c r="AO40" s="2">
        <f t="shared" si="24"/>
        <v>0</v>
      </c>
      <c r="AP40" s="2">
        <f t="shared" si="24"/>
        <v>0</v>
      </c>
      <c r="AQ40" s="2">
        <f t="shared" si="20"/>
        <v>0</v>
      </c>
      <c r="AR40" s="2">
        <f t="shared" si="20"/>
        <v>0</v>
      </c>
      <c r="AS40" s="2">
        <f t="shared" si="20"/>
        <v>0</v>
      </c>
      <c r="AT40" s="2">
        <f t="shared" si="20"/>
        <v>0</v>
      </c>
      <c r="AU40" s="2">
        <f t="shared" si="20"/>
        <v>0</v>
      </c>
      <c r="AV40" s="2">
        <f t="shared" si="20"/>
        <v>0</v>
      </c>
      <c r="AW40" s="2">
        <f t="shared" si="20"/>
        <v>0</v>
      </c>
      <c r="AX40" s="2">
        <f t="shared" si="20"/>
        <v>0</v>
      </c>
      <c r="AY40" s="2">
        <f t="shared" si="20"/>
        <v>0</v>
      </c>
      <c r="AZ40" s="2">
        <f t="shared" si="20"/>
        <v>0</v>
      </c>
      <c r="BA40" s="2">
        <f t="shared" si="20"/>
        <v>0</v>
      </c>
      <c r="BB40" s="2">
        <f t="shared" si="20"/>
        <v>0</v>
      </c>
      <c r="BC40" s="2">
        <f t="shared" si="20"/>
        <v>0</v>
      </c>
      <c r="BD40" s="2">
        <f t="shared" si="20"/>
        <v>0</v>
      </c>
      <c r="BE40" s="2">
        <f t="shared" si="20"/>
        <v>0</v>
      </c>
      <c r="BF40" s="2">
        <f t="shared" si="20"/>
        <v>0</v>
      </c>
      <c r="BG40" s="2">
        <f t="shared" si="21"/>
        <v>0</v>
      </c>
      <c r="BH40" s="2">
        <f t="shared" si="21"/>
        <v>0</v>
      </c>
      <c r="BI40" s="2">
        <f t="shared" si="21"/>
        <v>0</v>
      </c>
      <c r="BJ40" s="2">
        <f t="shared" si="21"/>
        <v>0</v>
      </c>
      <c r="BK40" s="2">
        <f t="shared" si="21"/>
        <v>0</v>
      </c>
      <c r="BL40" s="2">
        <f t="shared" si="21"/>
        <v>0</v>
      </c>
      <c r="BM40" s="2">
        <f t="shared" si="21"/>
        <v>0</v>
      </c>
      <c r="BN40" s="2">
        <f t="shared" si="21"/>
        <v>0</v>
      </c>
      <c r="BO40" s="2">
        <f t="shared" si="21"/>
        <v>0</v>
      </c>
      <c r="BP40" s="2">
        <f t="shared" si="21"/>
        <v>0</v>
      </c>
      <c r="BQ40" s="2">
        <f t="shared" si="21"/>
        <v>0</v>
      </c>
      <c r="BR40" s="2">
        <f t="shared" si="21"/>
        <v>0</v>
      </c>
      <c r="BS40" s="2">
        <f t="shared" si="21"/>
        <v>0</v>
      </c>
      <c r="BT40" s="2">
        <f t="shared" si="21"/>
        <v>0</v>
      </c>
      <c r="BU40" s="2">
        <f t="shared" si="21"/>
        <v>0</v>
      </c>
      <c r="BV40" s="2">
        <f t="shared" si="21"/>
        <v>0</v>
      </c>
      <c r="BW40" s="2">
        <f t="shared" si="22"/>
        <v>0</v>
      </c>
      <c r="BX40" s="2">
        <f t="shared" si="22"/>
        <v>0</v>
      </c>
      <c r="BY40" s="2">
        <f t="shared" si="22"/>
        <v>0</v>
      </c>
      <c r="BZ40" s="2">
        <f t="shared" si="22"/>
        <v>0</v>
      </c>
      <c r="CA40" s="2">
        <f t="shared" si="22"/>
        <v>0</v>
      </c>
      <c r="CB40" s="2">
        <f t="shared" si="22"/>
        <v>0</v>
      </c>
      <c r="CC40" s="2">
        <f t="shared" si="22"/>
        <v>0</v>
      </c>
      <c r="CD40" s="2">
        <f t="shared" si="22"/>
        <v>0</v>
      </c>
      <c r="CE40" s="2">
        <f t="shared" si="22"/>
        <v>0</v>
      </c>
      <c r="CF40" s="2">
        <f t="shared" si="22"/>
        <v>0</v>
      </c>
      <c r="CG40" s="2">
        <f t="shared" si="22"/>
        <v>0</v>
      </c>
      <c r="CH40" s="2">
        <f t="shared" si="22"/>
        <v>0</v>
      </c>
      <c r="CI40" s="2">
        <f t="shared" si="22"/>
        <v>0</v>
      </c>
      <c r="CJ40" s="2">
        <f t="shared" si="22"/>
        <v>0</v>
      </c>
      <c r="CK40" s="23">
        <f t="shared" si="22"/>
        <v>0</v>
      </c>
      <c r="CN40" s="2">
        <v>18.5</v>
      </c>
      <c r="CO40" s="14">
        <v>3.6780012704100286E-2</v>
      </c>
      <c r="CP40" s="14">
        <v>-1.3614302361588131E-2</v>
      </c>
      <c r="CQ40" s="14">
        <v>1.4105540721001916E-2</v>
      </c>
      <c r="CR40" s="14">
        <v>2.4541657103271056E-2</v>
      </c>
      <c r="CS40" s="14">
        <f t="shared" si="14"/>
        <v>6.1812908166785127E-2</v>
      </c>
    </row>
    <row r="41" spans="1:97" x14ac:dyDescent="0.45">
      <c r="A41" s="16"/>
      <c r="B41" s="17"/>
      <c r="C41" s="19"/>
      <c r="D41" s="19">
        <f t="shared" si="23"/>
        <v>0</v>
      </c>
      <c r="E41" s="19">
        <f t="shared" si="9"/>
        <v>0</v>
      </c>
      <c r="F41" s="19">
        <f t="shared" si="1"/>
        <v>0</v>
      </c>
      <c r="G41" s="20">
        <f t="shared" si="10"/>
        <v>0</v>
      </c>
      <c r="H41" s="20">
        <f>IFERROR(IRR((J41,L41:CK41),0),0)</f>
        <v>0</v>
      </c>
      <c r="I41" s="21">
        <f t="shared" si="2"/>
        <v>0</v>
      </c>
      <c r="J41" s="19">
        <f t="shared" si="13"/>
        <v>0</v>
      </c>
      <c r="K41" s="22">
        <f t="shared" si="3"/>
        <v>0</v>
      </c>
      <c r="L41" s="2">
        <f t="shared" si="25"/>
        <v>0</v>
      </c>
      <c r="M41" s="2">
        <f t="shared" si="25"/>
        <v>0</v>
      </c>
      <c r="N41" s="2">
        <f t="shared" si="25"/>
        <v>0</v>
      </c>
      <c r="O41" s="2">
        <f t="shared" si="25"/>
        <v>0</v>
      </c>
      <c r="P41" s="2">
        <f t="shared" si="25"/>
        <v>0</v>
      </c>
      <c r="Q41" s="2">
        <f t="shared" si="25"/>
        <v>0</v>
      </c>
      <c r="R41" s="2">
        <f t="shared" si="25"/>
        <v>0</v>
      </c>
      <c r="S41" s="2">
        <f t="shared" si="25"/>
        <v>0</v>
      </c>
      <c r="T41" s="2">
        <f t="shared" si="25"/>
        <v>0</v>
      </c>
      <c r="U41" s="2">
        <f t="shared" si="25"/>
        <v>0</v>
      </c>
      <c r="V41" s="2">
        <f t="shared" si="25"/>
        <v>0</v>
      </c>
      <c r="W41" s="2">
        <f t="shared" si="25"/>
        <v>0</v>
      </c>
      <c r="X41" s="2">
        <f t="shared" si="25"/>
        <v>0</v>
      </c>
      <c r="Y41" s="2">
        <f t="shared" si="25"/>
        <v>0</v>
      </c>
      <c r="Z41" s="2">
        <f t="shared" si="25"/>
        <v>0</v>
      </c>
      <c r="AA41" s="2">
        <f t="shared" si="25"/>
        <v>0</v>
      </c>
      <c r="AB41" s="2">
        <f t="shared" si="24"/>
        <v>0</v>
      </c>
      <c r="AC41" s="2">
        <f t="shared" si="24"/>
        <v>0</v>
      </c>
      <c r="AD41" s="2">
        <f t="shared" si="24"/>
        <v>0</v>
      </c>
      <c r="AE41" s="2">
        <f t="shared" si="24"/>
        <v>0</v>
      </c>
      <c r="AF41" s="2">
        <f t="shared" si="24"/>
        <v>0</v>
      </c>
      <c r="AG41" s="2">
        <f t="shared" si="24"/>
        <v>0</v>
      </c>
      <c r="AH41" s="2">
        <f t="shared" si="24"/>
        <v>0</v>
      </c>
      <c r="AI41" s="2">
        <f t="shared" si="24"/>
        <v>0</v>
      </c>
      <c r="AJ41" s="2">
        <f t="shared" si="24"/>
        <v>0</v>
      </c>
      <c r="AK41" s="2">
        <f t="shared" si="24"/>
        <v>0</v>
      </c>
      <c r="AL41" s="2">
        <f t="shared" si="24"/>
        <v>0</v>
      </c>
      <c r="AM41" s="2">
        <f t="shared" si="24"/>
        <v>0</v>
      </c>
      <c r="AN41" s="2">
        <f t="shared" si="24"/>
        <v>0</v>
      </c>
      <c r="AO41" s="2">
        <f t="shared" si="24"/>
        <v>0</v>
      </c>
      <c r="AP41" s="2">
        <f t="shared" si="24"/>
        <v>0</v>
      </c>
      <c r="AQ41" s="2">
        <f t="shared" si="20"/>
        <v>0</v>
      </c>
      <c r="AR41" s="2">
        <f t="shared" si="20"/>
        <v>0</v>
      </c>
      <c r="AS41" s="2">
        <f t="shared" si="20"/>
        <v>0</v>
      </c>
      <c r="AT41" s="2">
        <f t="shared" si="20"/>
        <v>0</v>
      </c>
      <c r="AU41" s="2">
        <f t="shared" si="20"/>
        <v>0</v>
      </c>
      <c r="AV41" s="2">
        <f t="shared" si="20"/>
        <v>0</v>
      </c>
      <c r="AW41" s="2">
        <f t="shared" si="20"/>
        <v>0</v>
      </c>
      <c r="AX41" s="2">
        <f t="shared" si="20"/>
        <v>0</v>
      </c>
      <c r="AY41" s="2">
        <f t="shared" si="20"/>
        <v>0</v>
      </c>
      <c r="AZ41" s="2">
        <f t="shared" si="20"/>
        <v>0</v>
      </c>
      <c r="BA41" s="2">
        <f t="shared" si="20"/>
        <v>0</v>
      </c>
      <c r="BB41" s="2">
        <f t="shared" si="20"/>
        <v>0</v>
      </c>
      <c r="BC41" s="2">
        <f t="shared" si="20"/>
        <v>0</v>
      </c>
      <c r="BD41" s="2">
        <f t="shared" si="20"/>
        <v>0</v>
      </c>
      <c r="BE41" s="2">
        <f t="shared" si="20"/>
        <v>0</v>
      </c>
      <c r="BF41" s="2">
        <f t="shared" si="20"/>
        <v>0</v>
      </c>
      <c r="BG41" s="2">
        <f t="shared" si="21"/>
        <v>0</v>
      </c>
      <c r="BH41" s="2">
        <f t="shared" si="21"/>
        <v>0</v>
      </c>
      <c r="BI41" s="2">
        <f t="shared" si="21"/>
        <v>0</v>
      </c>
      <c r="BJ41" s="2">
        <f t="shared" si="21"/>
        <v>0</v>
      </c>
      <c r="BK41" s="2">
        <f t="shared" si="21"/>
        <v>0</v>
      </c>
      <c r="BL41" s="2">
        <f t="shared" si="21"/>
        <v>0</v>
      </c>
      <c r="BM41" s="2">
        <f t="shared" si="21"/>
        <v>0</v>
      </c>
      <c r="BN41" s="2">
        <f t="shared" si="21"/>
        <v>0</v>
      </c>
      <c r="BO41" s="2">
        <f t="shared" si="21"/>
        <v>0</v>
      </c>
      <c r="BP41" s="2">
        <f t="shared" si="21"/>
        <v>0</v>
      </c>
      <c r="BQ41" s="2">
        <f t="shared" si="21"/>
        <v>0</v>
      </c>
      <c r="BR41" s="2">
        <f t="shared" si="21"/>
        <v>0</v>
      </c>
      <c r="BS41" s="2">
        <f t="shared" si="21"/>
        <v>0</v>
      </c>
      <c r="BT41" s="2">
        <f t="shared" si="21"/>
        <v>0</v>
      </c>
      <c r="BU41" s="2">
        <f t="shared" si="21"/>
        <v>0</v>
      </c>
      <c r="BV41" s="2">
        <f t="shared" si="21"/>
        <v>0</v>
      </c>
      <c r="BW41" s="2">
        <f t="shared" si="22"/>
        <v>0</v>
      </c>
      <c r="BX41" s="2">
        <f t="shared" si="22"/>
        <v>0</v>
      </c>
      <c r="BY41" s="2">
        <f t="shared" si="22"/>
        <v>0</v>
      </c>
      <c r="BZ41" s="2">
        <f t="shared" si="22"/>
        <v>0</v>
      </c>
      <c r="CA41" s="2">
        <f t="shared" si="22"/>
        <v>0</v>
      </c>
      <c r="CB41" s="2">
        <f t="shared" si="22"/>
        <v>0</v>
      </c>
      <c r="CC41" s="2">
        <f t="shared" si="22"/>
        <v>0</v>
      </c>
      <c r="CD41" s="2">
        <f t="shared" si="22"/>
        <v>0</v>
      </c>
      <c r="CE41" s="2">
        <f t="shared" si="22"/>
        <v>0</v>
      </c>
      <c r="CF41" s="2">
        <f t="shared" si="22"/>
        <v>0</v>
      </c>
      <c r="CG41" s="2">
        <f t="shared" si="22"/>
        <v>0</v>
      </c>
      <c r="CH41" s="2">
        <f t="shared" si="22"/>
        <v>0</v>
      </c>
      <c r="CI41" s="2">
        <f t="shared" si="22"/>
        <v>0</v>
      </c>
      <c r="CJ41" s="2">
        <f t="shared" si="22"/>
        <v>0</v>
      </c>
      <c r="CK41" s="23">
        <f t="shared" si="22"/>
        <v>0</v>
      </c>
      <c r="CN41" s="2">
        <v>19</v>
      </c>
      <c r="CO41" s="14">
        <v>3.6780012704100286E-2</v>
      </c>
      <c r="CP41" s="14">
        <v>-1.3456721388304879E-2</v>
      </c>
      <c r="CQ41" s="14">
        <v>1.4242432564500786E-2</v>
      </c>
      <c r="CR41" s="14">
        <v>2.500579355995269E-2</v>
      </c>
      <c r="CS41" s="14">
        <f t="shared" si="14"/>
        <v>6.2571517440248886E-2</v>
      </c>
    </row>
    <row r="42" spans="1:97" x14ac:dyDescent="0.45">
      <c r="A42" s="16"/>
      <c r="B42" s="17"/>
      <c r="C42" s="19"/>
      <c r="D42" s="19">
        <f t="shared" si="23"/>
        <v>0</v>
      </c>
      <c r="E42" s="19">
        <f t="shared" si="9"/>
        <v>0</v>
      </c>
      <c r="F42" s="19">
        <f t="shared" si="1"/>
        <v>0</v>
      </c>
      <c r="G42" s="20">
        <f t="shared" si="10"/>
        <v>0</v>
      </c>
      <c r="H42" s="20">
        <f>IFERROR(IRR((J42,L42:CK42),0),0)</f>
        <v>0</v>
      </c>
      <c r="I42" s="21">
        <f t="shared" si="2"/>
        <v>0</v>
      </c>
      <c r="J42" s="19">
        <f t="shared" si="13"/>
        <v>0</v>
      </c>
      <c r="K42" s="22">
        <f t="shared" si="3"/>
        <v>0</v>
      </c>
      <c r="L42" s="2">
        <f t="shared" si="25"/>
        <v>0</v>
      </c>
      <c r="M42" s="2">
        <f t="shared" si="25"/>
        <v>0</v>
      </c>
      <c r="N42" s="2">
        <f t="shared" si="25"/>
        <v>0</v>
      </c>
      <c r="O42" s="2">
        <f t="shared" si="25"/>
        <v>0</v>
      </c>
      <c r="P42" s="2">
        <f t="shared" si="25"/>
        <v>0</v>
      </c>
      <c r="Q42" s="2">
        <f t="shared" si="25"/>
        <v>0</v>
      </c>
      <c r="R42" s="2">
        <f t="shared" si="25"/>
        <v>0</v>
      </c>
      <c r="S42" s="2">
        <f t="shared" si="25"/>
        <v>0</v>
      </c>
      <c r="T42" s="2">
        <f t="shared" si="25"/>
        <v>0</v>
      </c>
      <c r="U42" s="2">
        <f t="shared" si="25"/>
        <v>0</v>
      </c>
      <c r="V42" s="2">
        <f t="shared" si="25"/>
        <v>0</v>
      </c>
      <c r="W42" s="2">
        <f t="shared" si="25"/>
        <v>0</v>
      </c>
      <c r="X42" s="2">
        <f t="shared" si="25"/>
        <v>0</v>
      </c>
      <c r="Y42" s="2">
        <f t="shared" si="25"/>
        <v>0</v>
      </c>
      <c r="Z42" s="2">
        <f t="shared" si="25"/>
        <v>0</v>
      </c>
      <c r="AA42" s="2">
        <f t="shared" si="25"/>
        <v>0</v>
      </c>
      <c r="AB42" s="2">
        <f t="shared" si="24"/>
        <v>0</v>
      </c>
      <c r="AC42" s="2">
        <f t="shared" si="24"/>
        <v>0</v>
      </c>
      <c r="AD42" s="2">
        <f t="shared" si="24"/>
        <v>0</v>
      </c>
      <c r="AE42" s="2">
        <f t="shared" si="24"/>
        <v>0</v>
      </c>
      <c r="AF42" s="2">
        <f t="shared" si="24"/>
        <v>0</v>
      </c>
      <c r="AG42" s="2">
        <f t="shared" si="24"/>
        <v>0</v>
      </c>
      <c r="AH42" s="2">
        <f t="shared" si="24"/>
        <v>0</v>
      </c>
      <c r="AI42" s="2">
        <f t="shared" si="24"/>
        <v>0</v>
      </c>
      <c r="AJ42" s="2">
        <f t="shared" si="24"/>
        <v>0</v>
      </c>
      <c r="AK42" s="2">
        <f t="shared" si="24"/>
        <v>0</v>
      </c>
      <c r="AL42" s="2">
        <f t="shared" si="24"/>
        <v>0</v>
      </c>
      <c r="AM42" s="2">
        <f t="shared" si="24"/>
        <v>0</v>
      </c>
      <c r="AN42" s="2">
        <f t="shared" si="24"/>
        <v>0</v>
      </c>
      <c r="AO42" s="2">
        <f t="shared" si="24"/>
        <v>0</v>
      </c>
      <c r="AP42" s="2">
        <f t="shared" si="24"/>
        <v>0</v>
      </c>
      <c r="AQ42" s="2">
        <f t="shared" si="20"/>
        <v>0</v>
      </c>
      <c r="AR42" s="2">
        <f t="shared" si="20"/>
        <v>0</v>
      </c>
      <c r="AS42" s="2">
        <f t="shared" si="20"/>
        <v>0</v>
      </c>
      <c r="AT42" s="2">
        <f t="shared" si="20"/>
        <v>0</v>
      </c>
      <c r="AU42" s="2">
        <f t="shared" si="20"/>
        <v>0</v>
      </c>
      <c r="AV42" s="2">
        <f t="shared" si="20"/>
        <v>0</v>
      </c>
      <c r="AW42" s="2">
        <f t="shared" si="20"/>
        <v>0</v>
      </c>
      <c r="AX42" s="2">
        <f t="shared" si="20"/>
        <v>0</v>
      </c>
      <c r="AY42" s="2">
        <f t="shared" si="20"/>
        <v>0</v>
      </c>
      <c r="AZ42" s="2">
        <f t="shared" si="20"/>
        <v>0</v>
      </c>
      <c r="BA42" s="2">
        <f t="shared" si="20"/>
        <v>0</v>
      </c>
      <c r="BB42" s="2">
        <f t="shared" si="20"/>
        <v>0</v>
      </c>
      <c r="BC42" s="2">
        <f t="shared" si="20"/>
        <v>0</v>
      </c>
      <c r="BD42" s="2">
        <f t="shared" si="20"/>
        <v>0</v>
      </c>
      <c r="BE42" s="2">
        <f t="shared" si="20"/>
        <v>0</v>
      </c>
      <c r="BF42" s="2">
        <f t="shared" si="20"/>
        <v>0</v>
      </c>
      <c r="BG42" s="2">
        <f t="shared" si="21"/>
        <v>0</v>
      </c>
      <c r="BH42" s="2">
        <f t="shared" si="21"/>
        <v>0</v>
      </c>
      <c r="BI42" s="2">
        <f t="shared" si="21"/>
        <v>0</v>
      </c>
      <c r="BJ42" s="2">
        <f t="shared" si="21"/>
        <v>0</v>
      </c>
      <c r="BK42" s="2">
        <f t="shared" si="21"/>
        <v>0</v>
      </c>
      <c r="BL42" s="2">
        <f t="shared" si="21"/>
        <v>0</v>
      </c>
      <c r="BM42" s="2">
        <f t="shared" si="21"/>
        <v>0</v>
      </c>
      <c r="BN42" s="2">
        <f t="shared" si="21"/>
        <v>0</v>
      </c>
      <c r="BO42" s="2">
        <f t="shared" si="21"/>
        <v>0</v>
      </c>
      <c r="BP42" s="2">
        <f t="shared" si="21"/>
        <v>0</v>
      </c>
      <c r="BQ42" s="2">
        <f t="shared" si="21"/>
        <v>0</v>
      </c>
      <c r="BR42" s="2">
        <f t="shared" si="21"/>
        <v>0</v>
      </c>
      <c r="BS42" s="2">
        <f t="shared" si="21"/>
        <v>0</v>
      </c>
      <c r="BT42" s="2">
        <f t="shared" si="21"/>
        <v>0</v>
      </c>
      <c r="BU42" s="2">
        <f t="shared" si="21"/>
        <v>0</v>
      </c>
      <c r="BV42" s="2">
        <f t="shared" si="21"/>
        <v>0</v>
      </c>
      <c r="BW42" s="2">
        <f t="shared" si="22"/>
        <v>0</v>
      </c>
      <c r="BX42" s="2">
        <f t="shared" si="22"/>
        <v>0</v>
      </c>
      <c r="BY42" s="2">
        <f t="shared" si="22"/>
        <v>0</v>
      </c>
      <c r="BZ42" s="2">
        <f t="shared" si="22"/>
        <v>0</v>
      </c>
      <c r="CA42" s="2">
        <f t="shared" si="22"/>
        <v>0</v>
      </c>
      <c r="CB42" s="2">
        <f t="shared" si="22"/>
        <v>0</v>
      </c>
      <c r="CC42" s="2">
        <f t="shared" si="22"/>
        <v>0</v>
      </c>
      <c r="CD42" s="2">
        <f t="shared" si="22"/>
        <v>0</v>
      </c>
      <c r="CE42" s="2">
        <f t="shared" si="22"/>
        <v>0</v>
      </c>
      <c r="CF42" s="2">
        <f t="shared" si="22"/>
        <v>0</v>
      </c>
      <c r="CG42" s="2">
        <f t="shared" si="22"/>
        <v>0</v>
      </c>
      <c r="CH42" s="2">
        <f t="shared" si="22"/>
        <v>0</v>
      </c>
      <c r="CI42" s="2">
        <f t="shared" si="22"/>
        <v>0</v>
      </c>
      <c r="CJ42" s="2">
        <f t="shared" si="22"/>
        <v>0</v>
      </c>
      <c r="CK42" s="23">
        <f t="shared" si="22"/>
        <v>0</v>
      </c>
      <c r="CN42" s="2">
        <v>19.5</v>
      </c>
      <c r="CO42" s="14">
        <v>3.6780012704100286E-2</v>
      </c>
      <c r="CP42" s="14">
        <v>-1.3301794434502801E-2</v>
      </c>
      <c r="CQ42" s="14">
        <v>1.4371400624364114E-2</v>
      </c>
      <c r="CR42" s="14">
        <v>2.5461293294416359E-2</v>
      </c>
      <c r="CS42" s="14">
        <f t="shared" si="14"/>
        <v>6.3310912188377963E-2</v>
      </c>
    </row>
    <row r="43" spans="1:97" x14ac:dyDescent="0.45">
      <c r="A43" s="16"/>
      <c r="B43" s="17"/>
      <c r="C43" s="19"/>
      <c r="D43" s="19">
        <f t="shared" si="23"/>
        <v>0</v>
      </c>
      <c r="E43" s="19">
        <f t="shared" si="9"/>
        <v>0</v>
      </c>
      <c r="F43" s="19">
        <f t="shared" si="1"/>
        <v>0</v>
      </c>
      <c r="G43" s="20">
        <f t="shared" si="10"/>
        <v>0</v>
      </c>
      <c r="H43" s="20">
        <f>IFERROR(IRR((J43,L43:CK43),0),0)</f>
        <v>0</v>
      </c>
      <c r="I43" s="21">
        <f t="shared" si="2"/>
        <v>0</v>
      </c>
      <c r="J43" s="19">
        <f t="shared" si="13"/>
        <v>0</v>
      </c>
      <c r="K43" s="22">
        <f t="shared" si="3"/>
        <v>0</v>
      </c>
      <c r="L43" s="2">
        <f t="shared" si="25"/>
        <v>0</v>
      </c>
      <c r="M43" s="2">
        <f t="shared" si="25"/>
        <v>0</v>
      </c>
      <c r="N43" s="2">
        <f t="shared" si="25"/>
        <v>0</v>
      </c>
      <c r="O43" s="2">
        <f t="shared" si="25"/>
        <v>0</v>
      </c>
      <c r="P43" s="2">
        <f t="shared" si="25"/>
        <v>0</v>
      </c>
      <c r="Q43" s="2">
        <f t="shared" si="25"/>
        <v>0</v>
      </c>
      <c r="R43" s="2">
        <f t="shared" si="25"/>
        <v>0</v>
      </c>
      <c r="S43" s="2">
        <f t="shared" si="25"/>
        <v>0</v>
      </c>
      <c r="T43" s="2">
        <f t="shared" si="25"/>
        <v>0</v>
      </c>
      <c r="U43" s="2">
        <f t="shared" si="25"/>
        <v>0</v>
      </c>
      <c r="V43" s="2">
        <f t="shared" si="25"/>
        <v>0</v>
      </c>
      <c r="W43" s="2">
        <f t="shared" si="25"/>
        <v>0</v>
      </c>
      <c r="X43" s="2">
        <f t="shared" si="25"/>
        <v>0</v>
      </c>
      <c r="Y43" s="2">
        <f t="shared" si="25"/>
        <v>0</v>
      </c>
      <c r="Z43" s="2">
        <f t="shared" si="25"/>
        <v>0</v>
      </c>
      <c r="AA43" s="2">
        <f t="shared" si="25"/>
        <v>0</v>
      </c>
      <c r="AB43" s="2">
        <f t="shared" si="24"/>
        <v>0</v>
      </c>
      <c r="AC43" s="2">
        <f t="shared" si="24"/>
        <v>0</v>
      </c>
      <c r="AD43" s="2">
        <f t="shared" si="24"/>
        <v>0</v>
      </c>
      <c r="AE43" s="2">
        <f t="shared" si="24"/>
        <v>0</v>
      </c>
      <c r="AF43" s="2">
        <f t="shared" si="24"/>
        <v>0</v>
      </c>
      <c r="AG43" s="2">
        <f t="shared" si="24"/>
        <v>0</v>
      </c>
      <c r="AH43" s="2">
        <f t="shared" si="24"/>
        <v>0</v>
      </c>
      <c r="AI43" s="2">
        <f t="shared" si="24"/>
        <v>0</v>
      </c>
      <c r="AJ43" s="2">
        <f t="shared" si="24"/>
        <v>0</v>
      </c>
      <c r="AK43" s="2">
        <f t="shared" si="24"/>
        <v>0</v>
      </c>
      <c r="AL43" s="2">
        <f t="shared" si="24"/>
        <v>0</v>
      </c>
      <c r="AM43" s="2">
        <f t="shared" si="24"/>
        <v>0</v>
      </c>
      <c r="AN43" s="2">
        <f t="shared" si="24"/>
        <v>0</v>
      </c>
      <c r="AO43" s="2">
        <f t="shared" si="24"/>
        <v>0</v>
      </c>
      <c r="AP43" s="2">
        <f t="shared" si="24"/>
        <v>0</v>
      </c>
      <c r="AQ43" s="2">
        <f t="shared" si="20"/>
        <v>0</v>
      </c>
      <c r="AR43" s="2">
        <f t="shared" si="20"/>
        <v>0</v>
      </c>
      <c r="AS43" s="2">
        <f t="shared" si="20"/>
        <v>0</v>
      </c>
      <c r="AT43" s="2">
        <f t="shared" si="20"/>
        <v>0</v>
      </c>
      <c r="AU43" s="2">
        <f t="shared" si="20"/>
        <v>0</v>
      </c>
      <c r="AV43" s="2">
        <f t="shared" si="20"/>
        <v>0</v>
      </c>
      <c r="AW43" s="2">
        <f t="shared" si="20"/>
        <v>0</v>
      </c>
      <c r="AX43" s="2">
        <f t="shared" si="20"/>
        <v>0</v>
      </c>
      <c r="AY43" s="2">
        <f t="shared" si="20"/>
        <v>0</v>
      </c>
      <c r="AZ43" s="2">
        <f t="shared" si="20"/>
        <v>0</v>
      </c>
      <c r="BA43" s="2">
        <f t="shared" si="20"/>
        <v>0</v>
      </c>
      <c r="BB43" s="2">
        <f t="shared" si="20"/>
        <v>0</v>
      </c>
      <c r="BC43" s="2">
        <f t="shared" si="20"/>
        <v>0</v>
      </c>
      <c r="BD43" s="2">
        <f t="shared" si="20"/>
        <v>0</v>
      </c>
      <c r="BE43" s="2">
        <f t="shared" si="20"/>
        <v>0</v>
      </c>
      <c r="BF43" s="2">
        <f t="shared" si="20"/>
        <v>0</v>
      </c>
      <c r="BG43" s="2">
        <f t="shared" si="21"/>
        <v>0</v>
      </c>
      <c r="BH43" s="2">
        <f t="shared" si="21"/>
        <v>0</v>
      </c>
      <c r="BI43" s="2">
        <f t="shared" si="21"/>
        <v>0</v>
      </c>
      <c r="BJ43" s="2">
        <f t="shared" si="21"/>
        <v>0</v>
      </c>
      <c r="BK43" s="2">
        <f t="shared" si="21"/>
        <v>0</v>
      </c>
      <c r="BL43" s="2">
        <f t="shared" si="21"/>
        <v>0</v>
      </c>
      <c r="BM43" s="2">
        <f t="shared" si="21"/>
        <v>0</v>
      </c>
      <c r="BN43" s="2">
        <f t="shared" si="21"/>
        <v>0</v>
      </c>
      <c r="BO43" s="2">
        <f t="shared" si="21"/>
        <v>0</v>
      </c>
      <c r="BP43" s="2">
        <f t="shared" si="21"/>
        <v>0</v>
      </c>
      <c r="BQ43" s="2">
        <f t="shared" si="21"/>
        <v>0</v>
      </c>
      <c r="BR43" s="2">
        <f t="shared" si="21"/>
        <v>0</v>
      </c>
      <c r="BS43" s="2">
        <f t="shared" si="21"/>
        <v>0</v>
      </c>
      <c r="BT43" s="2">
        <f t="shared" si="21"/>
        <v>0</v>
      </c>
      <c r="BU43" s="2">
        <f t="shared" si="21"/>
        <v>0</v>
      </c>
      <c r="BV43" s="2">
        <f t="shared" si="21"/>
        <v>0</v>
      </c>
      <c r="BW43" s="2">
        <f t="shared" si="22"/>
        <v>0</v>
      </c>
      <c r="BX43" s="2">
        <f t="shared" si="22"/>
        <v>0</v>
      </c>
      <c r="BY43" s="2">
        <f t="shared" si="22"/>
        <v>0</v>
      </c>
      <c r="BZ43" s="2">
        <f t="shared" si="22"/>
        <v>0</v>
      </c>
      <c r="CA43" s="2">
        <f t="shared" si="22"/>
        <v>0</v>
      </c>
      <c r="CB43" s="2">
        <f t="shared" si="22"/>
        <v>0</v>
      </c>
      <c r="CC43" s="2">
        <f t="shared" si="22"/>
        <v>0</v>
      </c>
      <c r="CD43" s="2">
        <f t="shared" si="22"/>
        <v>0</v>
      </c>
      <c r="CE43" s="2">
        <f t="shared" si="22"/>
        <v>0</v>
      </c>
      <c r="CF43" s="2">
        <f t="shared" si="22"/>
        <v>0</v>
      </c>
      <c r="CG43" s="2">
        <f t="shared" si="22"/>
        <v>0</v>
      </c>
      <c r="CH43" s="2">
        <f t="shared" si="22"/>
        <v>0</v>
      </c>
      <c r="CI43" s="2">
        <f t="shared" si="22"/>
        <v>0</v>
      </c>
      <c r="CJ43" s="2">
        <f t="shared" si="22"/>
        <v>0</v>
      </c>
      <c r="CK43" s="23">
        <f t="shared" si="22"/>
        <v>0</v>
      </c>
      <c r="CN43" s="2">
        <v>20</v>
      </c>
      <c r="CO43" s="14">
        <v>3.6780012704100286E-2</v>
      </c>
      <c r="CP43" s="14">
        <v>-1.3149469303540473E-2</v>
      </c>
      <c r="CQ43" s="14">
        <v>1.4492716296999188E-2</v>
      </c>
      <c r="CR43" s="14">
        <v>2.5908279864716405E-2</v>
      </c>
      <c r="CS43" s="14">
        <f t="shared" si="14"/>
        <v>6.4031539562275405E-2</v>
      </c>
    </row>
    <row r="44" spans="1:97" x14ac:dyDescent="0.45">
      <c r="A44" s="16"/>
      <c r="B44" s="17"/>
      <c r="C44" s="19"/>
      <c r="D44" s="19">
        <f t="shared" si="23"/>
        <v>0</v>
      </c>
      <c r="E44" s="19">
        <f t="shared" si="9"/>
        <v>0</v>
      </c>
      <c r="F44" s="19">
        <f t="shared" si="1"/>
        <v>0</v>
      </c>
      <c r="G44" s="20">
        <f t="shared" si="10"/>
        <v>0</v>
      </c>
      <c r="H44" s="20">
        <f>IFERROR(IRR((J44,L44:CK44),0),0)</f>
        <v>0</v>
      </c>
      <c r="I44" s="21">
        <f t="shared" si="2"/>
        <v>0</v>
      </c>
      <c r="J44" s="19">
        <f t="shared" si="13"/>
        <v>0</v>
      </c>
      <c r="K44" s="22">
        <f t="shared" si="3"/>
        <v>0</v>
      </c>
      <c r="L44" s="2">
        <f t="shared" si="25"/>
        <v>0</v>
      </c>
      <c r="M44" s="2">
        <f t="shared" si="25"/>
        <v>0</v>
      </c>
      <c r="N44" s="2">
        <f t="shared" si="25"/>
        <v>0</v>
      </c>
      <c r="O44" s="2">
        <f t="shared" si="25"/>
        <v>0</v>
      </c>
      <c r="P44" s="2">
        <f t="shared" si="25"/>
        <v>0</v>
      </c>
      <c r="Q44" s="2">
        <f t="shared" si="25"/>
        <v>0</v>
      </c>
      <c r="R44" s="2">
        <f t="shared" si="25"/>
        <v>0</v>
      </c>
      <c r="S44" s="2">
        <f t="shared" si="25"/>
        <v>0</v>
      </c>
      <c r="T44" s="2">
        <f t="shared" si="25"/>
        <v>0</v>
      </c>
      <c r="U44" s="2">
        <f t="shared" si="25"/>
        <v>0</v>
      </c>
      <c r="V44" s="2">
        <f t="shared" si="25"/>
        <v>0</v>
      </c>
      <c r="W44" s="2">
        <f t="shared" si="25"/>
        <v>0</v>
      </c>
      <c r="X44" s="2">
        <f t="shared" si="25"/>
        <v>0</v>
      </c>
      <c r="Y44" s="2">
        <f t="shared" si="25"/>
        <v>0</v>
      </c>
      <c r="Z44" s="2">
        <f t="shared" si="25"/>
        <v>0</v>
      </c>
      <c r="AA44" s="2">
        <f t="shared" si="25"/>
        <v>0</v>
      </c>
      <c r="AB44" s="2">
        <f t="shared" si="24"/>
        <v>0</v>
      </c>
      <c r="AC44" s="2">
        <f t="shared" si="24"/>
        <v>0</v>
      </c>
      <c r="AD44" s="2">
        <f t="shared" si="24"/>
        <v>0</v>
      </c>
      <c r="AE44" s="2">
        <f t="shared" si="24"/>
        <v>0</v>
      </c>
      <c r="AF44" s="2">
        <f t="shared" si="24"/>
        <v>0</v>
      </c>
      <c r="AG44" s="2">
        <f t="shared" si="24"/>
        <v>0</v>
      </c>
      <c r="AH44" s="2">
        <f t="shared" si="24"/>
        <v>0</v>
      </c>
      <c r="AI44" s="2">
        <f t="shared" si="24"/>
        <v>0</v>
      </c>
      <c r="AJ44" s="2">
        <f t="shared" si="24"/>
        <v>0</v>
      </c>
      <c r="AK44" s="2">
        <f t="shared" si="24"/>
        <v>0</v>
      </c>
      <c r="AL44" s="2">
        <f t="shared" si="24"/>
        <v>0</v>
      </c>
      <c r="AM44" s="2">
        <f t="shared" si="24"/>
        <v>0</v>
      </c>
      <c r="AN44" s="2">
        <f t="shared" si="24"/>
        <v>0</v>
      </c>
      <c r="AO44" s="2">
        <f t="shared" si="24"/>
        <v>0</v>
      </c>
      <c r="AP44" s="2">
        <f t="shared" si="24"/>
        <v>0</v>
      </c>
      <c r="AQ44" s="2">
        <f t="shared" si="20"/>
        <v>0</v>
      </c>
      <c r="AR44" s="2">
        <f t="shared" si="20"/>
        <v>0</v>
      </c>
      <c r="AS44" s="2">
        <f t="shared" si="20"/>
        <v>0</v>
      </c>
      <c r="AT44" s="2">
        <f t="shared" si="20"/>
        <v>0</v>
      </c>
      <c r="AU44" s="2">
        <f t="shared" si="20"/>
        <v>0</v>
      </c>
      <c r="AV44" s="2">
        <f t="shared" si="20"/>
        <v>0</v>
      </c>
      <c r="AW44" s="2">
        <f t="shared" si="20"/>
        <v>0</v>
      </c>
      <c r="AX44" s="2">
        <f t="shared" si="20"/>
        <v>0</v>
      </c>
      <c r="AY44" s="2">
        <f t="shared" si="20"/>
        <v>0</v>
      </c>
      <c r="AZ44" s="2">
        <f t="shared" si="20"/>
        <v>0</v>
      </c>
      <c r="BA44" s="2">
        <f t="shared" si="20"/>
        <v>0</v>
      </c>
      <c r="BB44" s="2">
        <f t="shared" si="20"/>
        <v>0</v>
      </c>
      <c r="BC44" s="2">
        <f t="shared" si="20"/>
        <v>0</v>
      </c>
      <c r="BD44" s="2">
        <f t="shared" si="20"/>
        <v>0</v>
      </c>
      <c r="BE44" s="2">
        <f t="shared" si="20"/>
        <v>0</v>
      </c>
      <c r="BF44" s="2">
        <f t="shared" si="20"/>
        <v>0</v>
      </c>
      <c r="BG44" s="2">
        <f t="shared" si="21"/>
        <v>0</v>
      </c>
      <c r="BH44" s="2">
        <f t="shared" si="21"/>
        <v>0</v>
      </c>
      <c r="BI44" s="2">
        <f t="shared" si="21"/>
        <v>0</v>
      </c>
      <c r="BJ44" s="2">
        <f t="shared" si="21"/>
        <v>0</v>
      </c>
      <c r="BK44" s="2">
        <f t="shared" si="21"/>
        <v>0</v>
      </c>
      <c r="BL44" s="2">
        <f t="shared" si="21"/>
        <v>0</v>
      </c>
      <c r="BM44" s="2">
        <f t="shared" si="21"/>
        <v>0</v>
      </c>
      <c r="BN44" s="2">
        <f t="shared" si="21"/>
        <v>0</v>
      </c>
      <c r="BO44" s="2">
        <f t="shared" si="21"/>
        <v>0</v>
      </c>
      <c r="BP44" s="2">
        <f t="shared" si="21"/>
        <v>0</v>
      </c>
      <c r="BQ44" s="2">
        <f t="shared" si="21"/>
        <v>0</v>
      </c>
      <c r="BR44" s="2">
        <f t="shared" si="21"/>
        <v>0</v>
      </c>
      <c r="BS44" s="2">
        <f t="shared" si="21"/>
        <v>0</v>
      </c>
      <c r="BT44" s="2">
        <f t="shared" si="21"/>
        <v>0</v>
      </c>
      <c r="BU44" s="2">
        <f t="shared" si="21"/>
        <v>0</v>
      </c>
      <c r="BV44" s="2">
        <f t="shared" si="21"/>
        <v>0</v>
      </c>
      <c r="BW44" s="2">
        <f t="shared" si="22"/>
        <v>0</v>
      </c>
      <c r="BX44" s="2">
        <f t="shared" si="22"/>
        <v>0</v>
      </c>
      <c r="BY44" s="2">
        <f t="shared" si="22"/>
        <v>0</v>
      </c>
      <c r="BZ44" s="2">
        <f t="shared" si="22"/>
        <v>0</v>
      </c>
      <c r="CA44" s="2">
        <f t="shared" si="22"/>
        <v>0</v>
      </c>
      <c r="CB44" s="2">
        <f t="shared" si="22"/>
        <v>0</v>
      </c>
      <c r="CC44" s="2">
        <f t="shared" si="22"/>
        <v>0</v>
      </c>
      <c r="CD44" s="2">
        <f t="shared" si="22"/>
        <v>0</v>
      </c>
      <c r="CE44" s="2">
        <f t="shared" si="22"/>
        <v>0</v>
      </c>
      <c r="CF44" s="2">
        <f t="shared" si="22"/>
        <v>0</v>
      </c>
      <c r="CG44" s="2">
        <f t="shared" si="22"/>
        <v>0</v>
      </c>
      <c r="CH44" s="2">
        <f t="shared" si="22"/>
        <v>0</v>
      </c>
      <c r="CI44" s="2">
        <f t="shared" si="22"/>
        <v>0</v>
      </c>
      <c r="CJ44" s="2">
        <f t="shared" si="22"/>
        <v>0</v>
      </c>
      <c r="CK44" s="23">
        <f t="shared" si="22"/>
        <v>0</v>
      </c>
      <c r="CN44" s="2">
        <v>20.5</v>
      </c>
      <c r="CO44" s="14">
        <v>3.6780012704100286E-2</v>
      </c>
      <c r="CP44" s="14">
        <v>-1.2999694914790768E-2</v>
      </c>
      <c r="CQ44" s="14">
        <v>1.4606642648673408E-2</v>
      </c>
      <c r="CR44" s="14">
        <v>2.6346875183925495E-2</v>
      </c>
      <c r="CS44" s="14">
        <f t="shared" si="14"/>
        <v>6.4733835621908417E-2</v>
      </c>
    </row>
    <row r="45" spans="1:97" x14ac:dyDescent="0.45">
      <c r="A45" s="16"/>
      <c r="B45" s="17"/>
      <c r="C45" s="19"/>
      <c r="D45" s="19">
        <f t="shared" si="23"/>
        <v>0</v>
      </c>
      <c r="E45" s="19">
        <f t="shared" si="9"/>
        <v>0</v>
      </c>
      <c r="F45" s="19">
        <f t="shared" si="1"/>
        <v>0</v>
      </c>
      <c r="G45" s="20">
        <f t="shared" si="10"/>
        <v>0</v>
      </c>
      <c r="H45" s="20">
        <f>IFERROR(IRR((J45,L45:CK45),0),0)</f>
        <v>0</v>
      </c>
      <c r="I45" s="21">
        <f t="shared" si="2"/>
        <v>0</v>
      </c>
      <c r="J45" s="19">
        <f t="shared" si="13"/>
        <v>0</v>
      </c>
      <c r="K45" s="22">
        <f t="shared" si="3"/>
        <v>0</v>
      </c>
      <c r="L45" s="2">
        <f t="shared" si="25"/>
        <v>0</v>
      </c>
      <c r="M45" s="2">
        <f t="shared" si="25"/>
        <v>0</v>
      </c>
      <c r="N45" s="2">
        <f t="shared" si="25"/>
        <v>0</v>
      </c>
      <c r="O45" s="2">
        <f t="shared" si="25"/>
        <v>0</v>
      </c>
      <c r="P45" s="2">
        <f t="shared" si="25"/>
        <v>0</v>
      </c>
      <c r="Q45" s="2">
        <f t="shared" si="25"/>
        <v>0</v>
      </c>
      <c r="R45" s="2">
        <f t="shared" si="25"/>
        <v>0</v>
      </c>
      <c r="S45" s="2">
        <f t="shared" si="25"/>
        <v>0</v>
      </c>
      <c r="T45" s="2">
        <f t="shared" si="25"/>
        <v>0</v>
      </c>
      <c r="U45" s="2">
        <f t="shared" si="25"/>
        <v>0</v>
      </c>
      <c r="V45" s="2">
        <f t="shared" si="25"/>
        <v>0</v>
      </c>
      <c r="W45" s="2">
        <f t="shared" si="25"/>
        <v>0</v>
      </c>
      <c r="X45" s="2">
        <f t="shared" si="25"/>
        <v>0</v>
      </c>
      <c r="Y45" s="2">
        <f t="shared" si="25"/>
        <v>0</v>
      </c>
      <c r="Z45" s="2">
        <f t="shared" si="25"/>
        <v>0</v>
      </c>
      <c r="AA45" s="2">
        <f t="shared" si="25"/>
        <v>0</v>
      </c>
      <c r="AB45" s="2">
        <f t="shared" si="24"/>
        <v>0</v>
      </c>
      <c r="AC45" s="2">
        <f t="shared" si="24"/>
        <v>0</v>
      </c>
      <c r="AD45" s="2">
        <f t="shared" si="24"/>
        <v>0</v>
      </c>
      <c r="AE45" s="2">
        <f t="shared" si="24"/>
        <v>0</v>
      </c>
      <c r="AF45" s="2">
        <f t="shared" si="24"/>
        <v>0</v>
      </c>
      <c r="AG45" s="2">
        <f t="shared" si="24"/>
        <v>0</v>
      </c>
      <c r="AH45" s="2">
        <f t="shared" si="24"/>
        <v>0</v>
      </c>
      <c r="AI45" s="2">
        <f t="shared" si="24"/>
        <v>0</v>
      </c>
      <c r="AJ45" s="2">
        <f t="shared" si="24"/>
        <v>0</v>
      </c>
      <c r="AK45" s="2">
        <f t="shared" si="24"/>
        <v>0</v>
      </c>
      <c r="AL45" s="2">
        <f t="shared" si="24"/>
        <v>0</v>
      </c>
      <c r="AM45" s="2">
        <f t="shared" si="24"/>
        <v>0</v>
      </c>
      <c r="AN45" s="2">
        <f t="shared" si="24"/>
        <v>0</v>
      </c>
      <c r="AO45" s="2">
        <f t="shared" si="24"/>
        <v>0</v>
      </c>
      <c r="AP45" s="2">
        <f t="shared" si="24"/>
        <v>0</v>
      </c>
      <c r="AQ45" s="2">
        <f t="shared" si="20"/>
        <v>0</v>
      </c>
      <c r="AR45" s="2">
        <f t="shared" si="20"/>
        <v>0</v>
      </c>
      <c r="AS45" s="2">
        <f t="shared" si="20"/>
        <v>0</v>
      </c>
      <c r="AT45" s="2">
        <f t="shared" si="20"/>
        <v>0</v>
      </c>
      <c r="AU45" s="2">
        <f t="shared" si="20"/>
        <v>0</v>
      </c>
      <c r="AV45" s="2">
        <f t="shared" si="20"/>
        <v>0</v>
      </c>
      <c r="AW45" s="2">
        <f t="shared" si="20"/>
        <v>0</v>
      </c>
      <c r="AX45" s="2">
        <f t="shared" si="20"/>
        <v>0</v>
      </c>
      <c r="AY45" s="2">
        <f t="shared" si="20"/>
        <v>0</v>
      </c>
      <c r="AZ45" s="2">
        <f t="shared" si="20"/>
        <v>0</v>
      </c>
      <c r="BA45" s="2">
        <f t="shared" si="20"/>
        <v>0</v>
      </c>
      <c r="BB45" s="2">
        <f t="shared" si="20"/>
        <v>0</v>
      </c>
      <c r="BC45" s="2">
        <f t="shared" si="20"/>
        <v>0</v>
      </c>
      <c r="BD45" s="2">
        <f t="shared" si="20"/>
        <v>0</v>
      </c>
      <c r="BE45" s="2">
        <f t="shared" si="20"/>
        <v>0</v>
      </c>
      <c r="BF45" s="2">
        <f t="shared" si="20"/>
        <v>0</v>
      </c>
      <c r="BG45" s="2">
        <f t="shared" si="21"/>
        <v>0</v>
      </c>
      <c r="BH45" s="2">
        <f t="shared" si="21"/>
        <v>0</v>
      </c>
      <c r="BI45" s="2">
        <f t="shared" si="21"/>
        <v>0</v>
      </c>
      <c r="BJ45" s="2">
        <f t="shared" si="21"/>
        <v>0</v>
      </c>
      <c r="BK45" s="2">
        <f t="shared" si="21"/>
        <v>0</v>
      </c>
      <c r="BL45" s="2">
        <f t="shared" si="21"/>
        <v>0</v>
      </c>
      <c r="BM45" s="2">
        <f t="shared" si="21"/>
        <v>0</v>
      </c>
      <c r="BN45" s="2">
        <f t="shared" si="21"/>
        <v>0</v>
      </c>
      <c r="BO45" s="2">
        <f t="shared" si="21"/>
        <v>0</v>
      </c>
      <c r="BP45" s="2">
        <f t="shared" si="21"/>
        <v>0</v>
      </c>
      <c r="BQ45" s="2">
        <f t="shared" si="21"/>
        <v>0</v>
      </c>
      <c r="BR45" s="2">
        <f t="shared" si="21"/>
        <v>0</v>
      </c>
      <c r="BS45" s="2">
        <f t="shared" si="21"/>
        <v>0</v>
      </c>
      <c r="BT45" s="2">
        <f t="shared" si="21"/>
        <v>0</v>
      </c>
      <c r="BU45" s="2">
        <f t="shared" si="21"/>
        <v>0</v>
      </c>
      <c r="BV45" s="2">
        <f t="shared" si="21"/>
        <v>0</v>
      </c>
      <c r="BW45" s="2">
        <f t="shared" si="22"/>
        <v>0</v>
      </c>
      <c r="BX45" s="2">
        <f t="shared" si="22"/>
        <v>0</v>
      </c>
      <c r="BY45" s="2">
        <f t="shared" si="22"/>
        <v>0</v>
      </c>
      <c r="BZ45" s="2">
        <f t="shared" si="22"/>
        <v>0</v>
      </c>
      <c r="CA45" s="2">
        <f t="shared" si="22"/>
        <v>0</v>
      </c>
      <c r="CB45" s="2">
        <f t="shared" si="22"/>
        <v>0</v>
      </c>
      <c r="CC45" s="2">
        <f t="shared" si="22"/>
        <v>0</v>
      </c>
      <c r="CD45" s="2">
        <f t="shared" si="22"/>
        <v>0</v>
      </c>
      <c r="CE45" s="2">
        <f t="shared" si="22"/>
        <v>0</v>
      </c>
      <c r="CF45" s="2">
        <f t="shared" si="22"/>
        <v>0</v>
      </c>
      <c r="CG45" s="2">
        <f t="shared" si="22"/>
        <v>0</v>
      </c>
      <c r="CH45" s="2">
        <f t="shared" si="22"/>
        <v>0</v>
      </c>
      <c r="CI45" s="2">
        <f t="shared" si="22"/>
        <v>0</v>
      </c>
      <c r="CJ45" s="2">
        <f t="shared" si="22"/>
        <v>0</v>
      </c>
      <c r="CK45" s="23">
        <f t="shared" si="22"/>
        <v>0</v>
      </c>
      <c r="CN45" s="2">
        <v>21</v>
      </c>
      <c r="CO45" s="14">
        <v>3.6780012704100286E-2</v>
      </c>
      <c r="CP45" s="14">
        <v>-1.2852421278512187E-2</v>
      </c>
      <c r="CQ45" s="14">
        <v>1.4713434660725958E-2</v>
      </c>
      <c r="CR45" s="14">
        <v>2.6777199541384463E-2</v>
      </c>
      <c r="CS45" s="14">
        <f t="shared" si="14"/>
        <v>6.5418225627698515E-2</v>
      </c>
    </row>
    <row r="46" spans="1:97" x14ac:dyDescent="0.45">
      <c r="A46" s="16"/>
      <c r="B46" s="17"/>
      <c r="C46" s="19"/>
      <c r="D46" s="19">
        <f t="shared" si="23"/>
        <v>0</v>
      </c>
      <c r="E46" s="19">
        <f t="shared" si="9"/>
        <v>0</v>
      </c>
      <c r="F46" s="19">
        <f t="shared" si="1"/>
        <v>0</v>
      </c>
      <c r="G46" s="20">
        <f t="shared" si="10"/>
        <v>0</v>
      </c>
      <c r="H46" s="20">
        <f>IFERROR(IRR((J46,L46:CK46),0),0)</f>
        <v>0</v>
      </c>
      <c r="I46" s="21">
        <f t="shared" si="2"/>
        <v>0</v>
      </c>
      <c r="J46" s="19">
        <f t="shared" si="13"/>
        <v>0</v>
      </c>
      <c r="K46" s="22">
        <f t="shared" si="3"/>
        <v>0</v>
      </c>
      <c r="L46" s="2">
        <f t="shared" si="25"/>
        <v>0</v>
      </c>
      <c r="M46" s="2">
        <f t="shared" si="25"/>
        <v>0</v>
      </c>
      <c r="N46" s="2">
        <f t="shared" si="25"/>
        <v>0</v>
      </c>
      <c r="O46" s="2">
        <f t="shared" si="25"/>
        <v>0</v>
      </c>
      <c r="P46" s="2">
        <f t="shared" si="25"/>
        <v>0</v>
      </c>
      <c r="Q46" s="2">
        <f t="shared" si="25"/>
        <v>0</v>
      </c>
      <c r="R46" s="2">
        <f t="shared" si="25"/>
        <v>0</v>
      </c>
      <c r="S46" s="2">
        <f t="shared" si="25"/>
        <v>0</v>
      </c>
      <c r="T46" s="2">
        <f t="shared" si="25"/>
        <v>0</v>
      </c>
      <c r="U46" s="2">
        <f t="shared" si="25"/>
        <v>0</v>
      </c>
      <c r="V46" s="2">
        <f t="shared" si="25"/>
        <v>0</v>
      </c>
      <c r="W46" s="2">
        <f t="shared" si="25"/>
        <v>0</v>
      </c>
      <c r="X46" s="2">
        <f t="shared" si="25"/>
        <v>0</v>
      </c>
      <c r="Y46" s="2">
        <f t="shared" si="25"/>
        <v>0</v>
      </c>
      <c r="Z46" s="2">
        <f t="shared" si="25"/>
        <v>0</v>
      </c>
      <c r="AA46" s="2">
        <f t="shared" si="25"/>
        <v>0</v>
      </c>
      <c r="AB46" s="2">
        <f t="shared" si="24"/>
        <v>0</v>
      </c>
      <c r="AC46" s="2">
        <f t="shared" si="24"/>
        <v>0</v>
      </c>
      <c r="AD46" s="2">
        <f t="shared" si="24"/>
        <v>0</v>
      </c>
      <c r="AE46" s="2">
        <f t="shared" si="24"/>
        <v>0</v>
      </c>
      <c r="AF46" s="2">
        <f t="shared" si="24"/>
        <v>0</v>
      </c>
      <c r="AG46" s="2">
        <f t="shared" si="24"/>
        <v>0</v>
      </c>
      <c r="AH46" s="2">
        <f t="shared" si="24"/>
        <v>0</v>
      </c>
      <c r="AI46" s="2">
        <f t="shared" si="24"/>
        <v>0</v>
      </c>
      <c r="AJ46" s="2">
        <f t="shared" si="24"/>
        <v>0</v>
      </c>
      <c r="AK46" s="2">
        <f t="shared" si="24"/>
        <v>0</v>
      </c>
      <c r="AL46" s="2">
        <f t="shared" si="24"/>
        <v>0</v>
      </c>
      <c r="AM46" s="2">
        <f t="shared" si="24"/>
        <v>0</v>
      </c>
      <c r="AN46" s="2">
        <f t="shared" si="24"/>
        <v>0</v>
      </c>
      <c r="AO46" s="2">
        <f t="shared" si="24"/>
        <v>0</v>
      </c>
      <c r="AP46" s="2">
        <f t="shared" si="24"/>
        <v>0</v>
      </c>
      <c r="AQ46" s="2">
        <f t="shared" si="20"/>
        <v>0</v>
      </c>
      <c r="AR46" s="2">
        <f t="shared" si="20"/>
        <v>0</v>
      </c>
      <c r="AS46" s="2">
        <f t="shared" si="20"/>
        <v>0</v>
      </c>
      <c r="AT46" s="2">
        <f t="shared" si="20"/>
        <v>0</v>
      </c>
      <c r="AU46" s="2">
        <f t="shared" si="20"/>
        <v>0</v>
      </c>
      <c r="AV46" s="2">
        <f t="shared" si="20"/>
        <v>0</v>
      </c>
      <c r="AW46" s="2">
        <f t="shared" si="20"/>
        <v>0</v>
      </c>
      <c r="AX46" s="2">
        <f t="shared" si="20"/>
        <v>0</v>
      </c>
      <c r="AY46" s="2">
        <f t="shared" si="20"/>
        <v>0</v>
      </c>
      <c r="AZ46" s="2">
        <f t="shared" si="20"/>
        <v>0</v>
      </c>
      <c r="BA46" s="2">
        <f t="shared" si="20"/>
        <v>0</v>
      </c>
      <c r="BB46" s="2">
        <f t="shared" si="20"/>
        <v>0</v>
      </c>
      <c r="BC46" s="2">
        <f t="shared" si="20"/>
        <v>0</v>
      </c>
      <c r="BD46" s="2">
        <f t="shared" si="20"/>
        <v>0</v>
      </c>
      <c r="BE46" s="2">
        <f t="shared" si="20"/>
        <v>0</v>
      </c>
      <c r="BF46" s="2">
        <f t="shared" si="20"/>
        <v>0</v>
      </c>
      <c r="BG46" s="2">
        <f t="shared" si="21"/>
        <v>0</v>
      </c>
      <c r="BH46" s="2">
        <f t="shared" si="21"/>
        <v>0</v>
      </c>
      <c r="BI46" s="2">
        <f t="shared" si="21"/>
        <v>0</v>
      </c>
      <c r="BJ46" s="2">
        <f t="shared" si="21"/>
        <v>0</v>
      </c>
      <c r="BK46" s="2">
        <f t="shared" si="21"/>
        <v>0</v>
      </c>
      <c r="BL46" s="2">
        <f t="shared" si="21"/>
        <v>0</v>
      </c>
      <c r="BM46" s="2">
        <f t="shared" si="21"/>
        <v>0</v>
      </c>
      <c r="BN46" s="2">
        <f t="shared" si="21"/>
        <v>0</v>
      </c>
      <c r="BO46" s="2">
        <f t="shared" si="21"/>
        <v>0</v>
      </c>
      <c r="BP46" s="2">
        <f t="shared" si="21"/>
        <v>0</v>
      </c>
      <c r="BQ46" s="2">
        <f t="shared" si="21"/>
        <v>0</v>
      </c>
      <c r="BR46" s="2">
        <f t="shared" si="21"/>
        <v>0</v>
      </c>
      <c r="BS46" s="2">
        <f t="shared" si="21"/>
        <v>0</v>
      </c>
      <c r="BT46" s="2">
        <f t="shared" si="21"/>
        <v>0</v>
      </c>
      <c r="BU46" s="2">
        <f t="shared" si="21"/>
        <v>0</v>
      </c>
      <c r="BV46" s="2">
        <f t="shared" si="21"/>
        <v>0</v>
      </c>
      <c r="BW46" s="2">
        <f t="shared" si="22"/>
        <v>0</v>
      </c>
      <c r="BX46" s="2">
        <f t="shared" si="22"/>
        <v>0</v>
      </c>
      <c r="BY46" s="2">
        <f t="shared" si="22"/>
        <v>0</v>
      </c>
      <c r="BZ46" s="2">
        <f t="shared" si="22"/>
        <v>0</v>
      </c>
      <c r="CA46" s="2">
        <f t="shared" si="22"/>
        <v>0</v>
      </c>
      <c r="CB46" s="2">
        <f t="shared" si="22"/>
        <v>0</v>
      </c>
      <c r="CC46" s="2">
        <f t="shared" si="22"/>
        <v>0</v>
      </c>
      <c r="CD46" s="2">
        <f t="shared" si="22"/>
        <v>0</v>
      </c>
      <c r="CE46" s="2">
        <f t="shared" si="22"/>
        <v>0</v>
      </c>
      <c r="CF46" s="2">
        <f t="shared" si="22"/>
        <v>0</v>
      </c>
      <c r="CG46" s="2">
        <f t="shared" si="22"/>
        <v>0</v>
      </c>
      <c r="CH46" s="2">
        <f t="shared" si="22"/>
        <v>0</v>
      </c>
      <c r="CI46" s="2">
        <f t="shared" si="22"/>
        <v>0</v>
      </c>
      <c r="CJ46" s="2">
        <f t="shared" si="22"/>
        <v>0</v>
      </c>
      <c r="CK46" s="23">
        <f t="shared" si="22"/>
        <v>0</v>
      </c>
      <c r="CN46" s="2">
        <v>21.5</v>
      </c>
      <c r="CO46" s="14">
        <v>3.6780012704100286E-2</v>
      </c>
      <c r="CP46" s="14">
        <v>-1.2707599471306182E-2</v>
      </c>
      <c r="CQ46" s="14">
        <v>1.4813339467706774E-2</v>
      </c>
      <c r="CR46" s="14">
        <v>2.7199371623682491E-2</v>
      </c>
      <c r="CS46" s="14">
        <f t="shared" si="14"/>
        <v>6.608512432418337E-2</v>
      </c>
    </row>
    <row r="47" spans="1:97" x14ac:dyDescent="0.45">
      <c r="A47" s="16"/>
      <c r="B47" s="17"/>
      <c r="C47" s="19"/>
      <c r="D47" s="19">
        <f t="shared" si="23"/>
        <v>0</v>
      </c>
      <c r="E47" s="19">
        <f t="shared" si="9"/>
        <v>0</v>
      </c>
      <c r="F47" s="19">
        <f t="shared" si="1"/>
        <v>0</v>
      </c>
      <c r="G47" s="20">
        <f t="shared" si="10"/>
        <v>0</v>
      </c>
      <c r="H47" s="20">
        <f>IFERROR(IRR((J47,L47:CK47),0),0)</f>
        <v>0</v>
      </c>
      <c r="I47" s="21">
        <f t="shared" si="2"/>
        <v>0</v>
      </c>
      <c r="J47" s="19">
        <f t="shared" si="13"/>
        <v>0</v>
      </c>
      <c r="K47" s="22">
        <f t="shared" si="3"/>
        <v>0</v>
      </c>
      <c r="L47" s="2">
        <f t="shared" si="25"/>
        <v>0</v>
      </c>
      <c r="M47" s="2">
        <f t="shared" si="25"/>
        <v>0</v>
      </c>
      <c r="N47" s="2">
        <f t="shared" si="25"/>
        <v>0</v>
      </c>
      <c r="O47" s="2">
        <f t="shared" si="25"/>
        <v>0</v>
      </c>
      <c r="P47" s="2">
        <f t="shared" si="25"/>
        <v>0</v>
      </c>
      <c r="Q47" s="2">
        <f t="shared" si="25"/>
        <v>0</v>
      </c>
      <c r="R47" s="2">
        <f t="shared" si="25"/>
        <v>0</v>
      </c>
      <c r="S47" s="2">
        <f t="shared" si="25"/>
        <v>0</v>
      </c>
      <c r="T47" s="2">
        <f t="shared" si="25"/>
        <v>0</v>
      </c>
      <c r="U47" s="2">
        <f t="shared" si="25"/>
        <v>0</v>
      </c>
      <c r="V47" s="2">
        <f t="shared" si="25"/>
        <v>0</v>
      </c>
      <c r="W47" s="2">
        <f t="shared" si="25"/>
        <v>0</v>
      </c>
      <c r="X47" s="2">
        <f t="shared" si="25"/>
        <v>0</v>
      </c>
      <c r="Y47" s="2">
        <f t="shared" si="25"/>
        <v>0</v>
      </c>
      <c r="Z47" s="2">
        <f t="shared" si="25"/>
        <v>0</v>
      </c>
      <c r="AA47" s="2">
        <f t="shared" si="25"/>
        <v>0</v>
      </c>
      <c r="AB47" s="2">
        <f t="shared" si="24"/>
        <v>0</v>
      </c>
      <c r="AC47" s="2">
        <f t="shared" si="24"/>
        <v>0</v>
      </c>
      <c r="AD47" s="2">
        <f t="shared" si="24"/>
        <v>0</v>
      </c>
      <c r="AE47" s="2">
        <f t="shared" si="24"/>
        <v>0</v>
      </c>
      <c r="AF47" s="2">
        <f t="shared" si="24"/>
        <v>0</v>
      </c>
      <c r="AG47" s="2">
        <f t="shared" si="24"/>
        <v>0</v>
      </c>
      <c r="AH47" s="2">
        <f t="shared" si="24"/>
        <v>0</v>
      </c>
      <c r="AI47" s="2">
        <f t="shared" si="24"/>
        <v>0</v>
      </c>
      <c r="AJ47" s="2">
        <f t="shared" si="24"/>
        <v>0</v>
      </c>
      <c r="AK47" s="2">
        <f t="shared" si="24"/>
        <v>0</v>
      </c>
      <c r="AL47" s="2">
        <f t="shared" si="24"/>
        <v>0</v>
      </c>
      <c r="AM47" s="2">
        <f t="shared" si="24"/>
        <v>0</v>
      </c>
      <c r="AN47" s="2">
        <f t="shared" si="24"/>
        <v>0</v>
      </c>
      <c r="AO47" s="2">
        <f t="shared" si="24"/>
        <v>0</v>
      </c>
      <c r="AP47" s="2">
        <f t="shared" si="24"/>
        <v>0</v>
      </c>
      <c r="AQ47" s="2">
        <f t="shared" si="20"/>
        <v>0</v>
      </c>
      <c r="AR47" s="2">
        <f t="shared" si="20"/>
        <v>0</v>
      </c>
      <c r="AS47" s="2">
        <f t="shared" si="20"/>
        <v>0</v>
      </c>
      <c r="AT47" s="2">
        <f t="shared" si="20"/>
        <v>0</v>
      </c>
      <c r="AU47" s="2">
        <f t="shared" si="20"/>
        <v>0</v>
      </c>
      <c r="AV47" s="2">
        <f t="shared" si="20"/>
        <v>0</v>
      </c>
      <c r="AW47" s="2">
        <f t="shared" si="20"/>
        <v>0</v>
      </c>
      <c r="AX47" s="2">
        <f t="shared" si="20"/>
        <v>0</v>
      </c>
      <c r="AY47" s="2">
        <f t="shared" si="20"/>
        <v>0</v>
      </c>
      <c r="AZ47" s="2">
        <f t="shared" si="20"/>
        <v>0</v>
      </c>
      <c r="BA47" s="2">
        <f t="shared" si="20"/>
        <v>0</v>
      </c>
      <c r="BB47" s="2">
        <f t="shared" si="20"/>
        <v>0</v>
      </c>
      <c r="BC47" s="2">
        <f t="shared" si="20"/>
        <v>0</v>
      </c>
      <c r="BD47" s="2">
        <f t="shared" si="20"/>
        <v>0</v>
      </c>
      <c r="BE47" s="2">
        <f t="shared" si="20"/>
        <v>0</v>
      </c>
      <c r="BF47" s="2">
        <f t="shared" si="20"/>
        <v>0</v>
      </c>
      <c r="BG47" s="2">
        <f t="shared" si="21"/>
        <v>0</v>
      </c>
      <c r="BH47" s="2">
        <f t="shared" si="21"/>
        <v>0</v>
      </c>
      <c r="BI47" s="2">
        <f t="shared" si="21"/>
        <v>0</v>
      </c>
      <c r="BJ47" s="2">
        <f t="shared" si="21"/>
        <v>0</v>
      </c>
      <c r="BK47" s="2">
        <f t="shared" si="21"/>
        <v>0</v>
      </c>
      <c r="BL47" s="2">
        <f t="shared" si="21"/>
        <v>0</v>
      </c>
      <c r="BM47" s="2">
        <f t="shared" si="21"/>
        <v>0</v>
      </c>
      <c r="BN47" s="2">
        <f t="shared" si="21"/>
        <v>0</v>
      </c>
      <c r="BO47" s="2">
        <f t="shared" si="21"/>
        <v>0</v>
      </c>
      <c r="BP47" s="2">
        <f t="shared" si="21"/>
        <v>0</v>
      </c>
      <c r="BQ47" s="2">
        <f t="shared" si="21"/>
        <v>0</v>
      </c>
      <c r="BR47" s="2">
        <f t="shared" si="21"/>
        <v>0</v>
      </c>
      <c r="BS47" s="2">
        <f t="shared" si="21"/>
        <v>0</v>
      </c>
      <c r="BT47" s="2">
        <f t="shared" si="21"/>
        <v>0</v>
      </c>
      <c r="BU47" s="2">
        <f t="shared" si="21"/>
        <v>0</v>
      </c>
      <c r="BV47" s="2">
        <f t="shared" si="21"/>
        <v>0</v>
      </c>
      <c r="BW47" s="2">
        <f t="shared" si="22"/>
        <v>0</v>
      </c>
      <c r="BX47" s="2">
        <f t="shared" si="22"/>
        <v>0</v>
      </c>
      <c r="BY47" s="2">
        <f t="shared" si="22"/>
        <v>0</v>
      </c>
      <c r="BZ47" s="2">
        <f t="shared" si="22"/>
        <v>0</v>
      </c>
      <c r="CA47" s="2">
        <f t="shared" si="22"/>
        <v>0</v>
      </c>
      <c r="CB47" s="2">
        <f t="shared" si="22"/>
        <v>0</v>
      </c>
      <c r="CC47" s="2">
        <f t="shared" si="22"/>
        <v>0</v>
      </c>
      <c r="CD47" s="2">
        <f t="shared" si="22"/>
        <v>0</v>
      </c>
      <c r="CE47" s="2">
        <f t="shared" si="22"/>
        <v>0</v>
      </c>
      <c r="CF47" s="2">
        <f t="shared" si="22"/>
        <v>0</v>
      </c>
      <c r="CG47" s="2">
        <f t="shared" si="22"/>
        <v>0</v>
      </c>
      <c r="CH47" s="2">
        <f t="shared" si="22"/>
        <v>0</v>
      </c>
      <c r="CI47" s="2">
        <f t="shared" si="22"/>
        <v>0</v>
      </c>
      <c r="CJ47" s="2">
        <f t="shared" si="22"/>
        <v>0</v>
      </c>
      <c r="CK47" s="23">
        <f t="shared" si="22"/>
        <v>0</v>
      </c>
      <c r="CN47" s="2">
        <v>22</v>
      </c>
      <c r="CO47" s="14">
        <v>3.6780012704100286E-2</v>
      </c>
      <c r="CP47" s="14">
        <v>-1.2565181612146413E-2</v>
      </c>
      <c r="CQ47" s="14">
        <v>1.4906596588644284E-2</v>
      </c>
      <c r="CR47" s="14">
        <v>2.7613508535369872E-2</v>
      </c>
      <c r="CS47" s="14">
        <f t="shared" si="14"/>
        <v>6.673493621596803E-2</v>
      </c>
    </row>
    <row r="48" spans="1:97" x14ac:dyDescent="0.45">
      <c r="A48" s="16"/>
      <c r="B48" s="17"/>
      <c r="C48" s="19"/>
      <c r="D48" s="19">
        <f t="shared" si="23"/>
        <v>0</v>
      </c>
      <c r="E48" s="19">
        <f t="shared" si="9"/>
        <v>0</v>
      </c>
      <c r="F48" s="19">
        <f t="shared" si="1"/>
        <v>0</v>
      </c>
      <c r="G48" s="20">
        <f t="shared" si="10"/>
        <v>0</v>
      </c>
      <c r="H48" s="20">
        <f>IFERROR(IRR((J48,L48:CK48),0),0)</f>
        <v>0</v>
      </c>
      <c r="I48" s="21">
        <f t="shared" si="2"/>
        <v>0</v>
      </c>
      <c r="J48" s="19">
        <f t="shared" si="13"/>
        <v>0</v>
      </c>
      <c r="K48" s="22">
        <f t="shared" si="3"/>
        <v>0</v>
      </c>
      <c r="L48" s="2">
        <f t="shared" si="25"/>
        <v>0</v>
      </c>
      <c r="M48" s="2">
        <f t="shared" si="25"/>
        <v>0</v>
      </c>
      <c r="N48" s="2">
        <f t="shared" si="25"/>
        <v>0</v>
      </c>
      <c r="O48" s="2">
        <f t="shared" si="25"/>
        <v>0</v>
      </c>
      <c r="P48" s="2">
        <f t="shared" si="25"/>
        <v>0</v>
      </c>
      <c r="Q48" s="2">
        <f t="shared" si="25"/>
        <v>0</v>
      </c>
      <c r="R48" s="2">
        <f t="shared" si="25"/>
        <v>0</v>
      </c>
      <c r="S48" s="2">
        <f t="shared" si="25"/>
        <v>0</v>
      </c>
      <c r="T48" s="2">
        <f t="shared" si="25"/>
        <v>0</v>
      </c>
      <c r="U48" s="2">
        <f t="shared" si="25"/>
        <v>0</v>
      </c>
      <c r="V48" s="2">
        <f t="shared" si="25"/>
        <v>0</v>
      </c>
      <c r="W48" s="2">
        <f t="shared" si="25"/>
        <v>0</v>
      </c>
      <c r="X48" s="2">
        <f t="shared" si="25"/>
        <v>0</v>
      </c>
      <c r="Y48" s="2">
        <f t="shared" si="25"/>
        <v>0</v>
      </c>
      <c r="Z48" s="2">
        <f t="shared" si="25"/>
        <v>0</v>
      </c>
      <c r="AA48" s="2">
        <f t="shared" si="25"/>
        <v>0</v>
      </c>
      <c r="AB48" s="2">
        <f t="shared" si="24"/>
        <v>0</v>
      </c>
      <c r="AC48" s="2">
        <f t="shared" si="24"/>
        <v>0</v>
      </c>
      <c r="AD48" s="2">
        <f t="shared" si="24"/>
        <v>0</v>
      </c>
      <c r="AE48" s="2">
        <f t="shared" si="24"/>
        <v>0</v>
      </c>
      <c r="AF48" s="2">
        <f t="shared" si="24"/>
        <v>0</v>
      </c>
      <c r="AG48" s="2">
        <f t="shared" si="24"/>
        <v>0</v>
      </c>
      <c r="AH48" s="2">
        <f t="shared" si="24"/>
        <v>0</v>
      </c>
      <c r="AI48" s="2">
        <f t="shared" si="24"/>
        <v>0</v>
      </c>
      <c r="AJ48" s="2">
        <f t="shared" si="24"/>
        <v>0</v>
      </c>
      <c r="AK48" s="2">
        <f t="shared" si="24"/>
        <v>0</v>
      </c>
      <c r="AL48" s="2">
        <f t="shared" si="24"/>
        <v>0</v>
      </c>
      <c r="AM48" s="2">
        <f t="shared" si="24"/>
        <v>0</v>
      </c>
      <c r="AN48" s="2">
        <f t="shared" si="24"/>
        <v>0</v>
      </c>
      <c r="AO48" s="2">
        <f t="shared" si="24"/>
        <v>0</v>
      </c>
      <c r="AP48" s="2">
        <f t="shared" si="24"/>
        <v>0</v>
      </c>
      <c r="AQ48" s="2">
        <f t="shared" si="20"/>
        <v>0</v>
      </c>
      <c r="AR48" s="2">
        <f t="shared" si="20"/>
        <v>0</v>
      </c>
      <c r="AS48" s="2">
        <f t="shared" si="20"/>
        <v>0</v>
      </c>
      <c r="AT48" s="2">
        <f t="shared" si="20"/>
        <v>0</v>
      </c>
      <c r="AU48" s="2">
        <f t="shared" si="20"/>
        <v>0</v>
      </c>
      <c r="AV48" s="2">
        <f t="shared" si="20"/>
        <v>0</v>
      </c>
      <c r="AW48" s="2">
        <f t="shared" si="20"/>
        <v>0</v>
      </c>
      <c r="AX48" s="2">
        <f t="shared" si="20"/>
        <v>0</v>
      </c>
      <c r="AY48" s="2">
        <f t="shared" si="20"/>
        <v>0</v>
      </c>
      <c r="AZ48" s="2">
        <f t="shared" si="20"/>
        <v>0</v>
      </c>
      <c r="BA48" s="2">
        <f t="shared" si="20"/>
        <v>0</v>
      </c>
      <c r="BB48" s="2">
        <f t="shared" si="20"/>
        <v>0</v>
      </c>
      <c r="BC48" s="2">
        <f t="shared" si="20"/>
        <v>0</v>
      </c>
      <c r="BD48" s="2">
        <f t="shared" si="20"/>
        <v>0</v>
      </c>
      <c r="BE48" s="2">
        <f t="shared" si="20"/>
        <v>0</v>
      </c>
      <c r="BF48" s="2">
        <f t="shared" si="20"/>
        <v>0</v>
      </c>
      <c r="BG48" s="2">
        <f t="shared" si="21"/>
        <v>0</v>
      </c>
      <c r="BH48" s="2">
        <f t="shared" si="21"/>
        <v>0</v>
      </c>
      <c r="BI48" s="2">
        <f t="shared" si="21"/>
        <v>0</v>
      </c>
      <c r="BJ48" s="2">
        <f t="shared" si="21"/>
        <v>0</v>
      </c>
      <c r="BK48" s="2">
        <f t="shared" si="21"/>
        <v>0</v>
      </c>
      <c r="BL48" s="2">
        <f t="shared" si="21"/>
        <v>0</v>
      </c>
      <c r="BM48" s="2">
        <f t="shared" si="21"/>
        <v>0</v>
      </c>
      <c r="BN48" s="2">
        <f t="shared" si="21"/>
        <v>0</v>
      </c>
      <c r="BO48" s="2">
        <f t="shared" si="21"/>
        <v>0</v>
      </c>
      <c r="BP48" s="2">
        <f t="shared" si="21"/>
        <v>0</v>
      </c>
      <c r="BQ48" s="2">
        <f t="shared" si="21"/>
        <v>0</v>
      </c>
      <c r="BR48" s="2">
        <f t="shared" si="21"/>
        <v>0</v>
      </c>
      <c r="BS48" s="2">
        <f t="shared" si="21"/>
        <v>0</v>
      </c>
      <c r="BT48" s="2">
        <f t="shared" si="21"/>
        <v>0</v>
      </c>
      <c r="BU48" s="2">
        <f t="shared" si="21"/>
        <v>0</v>
      </c>
      <c r="BV48" s="2">
        <f t="shared" si="21"/>
        <v>0</v>
      </c>
      <c r="BW48" s="2">
        <f t="shared" si="22"/>
        <v>0</v>
      </c>
      <c r="BX48" s="2">
        <f t="shared" si="22"/>
        <v>0</v>
      </c>
      <c r="BY48" s="2">
        <f t="shared" si="22"/>
        <v>0</v>
      </c>
      <c r="BZ48" s="2">
        <f t="shared" si="22"/>
        <v>0</v>
      </c>
      <c r="CA48" s="2">
        <f t="shared" si="22"/>
        <v>0</v>
      </c>
      <c r="CB48" s="2">
        <f t="shared" si="22"/>
        <v>0</v>
      </c>
      <c r="CC48" s="2">
        <f t="shared" si="22"/>
        <v>0</v>
      </c>
      <c r="CD48" s="2">
        <f t="shared" si="22"/>
        <v>0</v>
      </c>
      <c r="CE48" s="2">
        <f t="shared" si="22"/>
        <v>0</v>
      </c>
      <c r="CF48" s="2">
        <f t="shared" si="22"/>
        <v>0</v>
      </c>
      <c r="CG48" s="2">
        <f t="shared" si="22"/>
        <v>0</v>
      </c>
      <c r="CH48" s="2">
        <f t="shared" si="22"/>
        <v>0</v>
      </c>
      <c r="CI48" s="2">
        <f t="shared" si="22"/>
        <v>0</v>
      </c>
      <c r="CJ48" s="2">
        <f t="shared" si="22"/>
        <v>0</v>
      </c>
      <c r="CK48" s="23">
        <f t="shared" si="22"/>
        <v>0</v>
      </c>
      <c r="CN48" s="2">
        <v>22.5</v>
      </c>
      <c r="CO48" s="14">
        <v>3.6780012704100286E-2</v>
      </c>
      <c r="CP48" s="14">
        <v>-1.2425120838966262E-2</v>
      </c>
      <c r="CQ48" s="14">
        <v>1.49934381516379E-2</v>
      </c>
      <c r="CR48" s="14">
        <v>2.8019725819407277E-2</v>
      </c>
      <c r="CS48" s="14">
        <f t="shared" si="14"/>
        <v>6.7368055836179205E-2</v>
      </c>
    </row>
    <row r="49" spans="1:97" x14ac:dyDescent="0.45">
      <c r="A49" s="16"/>
      <c r="B49" s="17"/>
      <c r="C49" s="19"/>
      <c r="D49" s="19">
        <f t="shared" si="23"/>
        <v>0</v>
      </c>
      <c r="E49" s="19">
        <f t="shared" si="9"/>
        <v>0</v>
      </c>
      <c r="F49" s="19">
        <f t="shared" si="1"/>
        <v>0</v>
      </c>
      <c r="G49" s="20">
        <f t="shared" si="10"/>
        <v>0</v>
      </c>
      <c r="H49" s="20">
        <f>IFERROR(IRR((J49,L49:CK49),0),0)</f>
        <v>0</v>
      </c>
      <c r="I49" s="21">
        <f t="shared" si="2"/>
        <v>0</v>
      </c>
      <c r="J49" s="19">
        <f t="shared" si="13"/>
        <v>0</v>
      </c>
      <c r="K49" s="22">
        <f t="shared" si="3"/>
        <v>0</v>
      </c>
      <c r="L49" s="2">
        <f t="shared" si="25"/>
        <v>0</v>
      </c>
      <c r="M49" s="2">
        <f t="shared" si="25"/>
        <v>0</v>
      </c>
      <c r="N49" s="2">
        <f t="shared" si="25"/>
        <v>0</v>
      </c>
      <c r="O49" s="2">
        <f t="shared" si="25"/>
        <v>0</v>
      </c>
      <c r="P49" s="2">
        <f t="shared" si="25"/>
        <v>0</v>
      </c>
      <c r="Q49" s="2">
        <f t="shared" si="25"/>
        <v>0</v>
      </c>
      <c r="R49" s="2">
        <f t="shared" si="25"/>
        <v>0</v>
      </c>
      <c r="S49" s="2">
        <f t="shared" si="25"/>
        <v>0</v>
      </c>
      <c r="T49" s="2">
        <f t="shared" si="25"/>
        <v>0</v>
      </c>
      <c r="U49" s="2">
        <f t="shared" si="25"/>
        <v>0</v>
      </c>
      <c r="V49" s="2">
        <f t="shared" si="25"/>
        <v>0</v>
      </c>
      <c r="W49" s="2">
        <f t="shared" si="25"/>
        <v>0</v>
      </c>
      <c r="X49" s="2">
        <f t="shared" si="25"/>
        <v>0</v>
      </c>
      <c r="Y49" s="2">
        <f t="shared" si="25"/>
        <v>0</v>
      </c>
      <c r="Z49" s="2">
        <f t="shared" si="25"/>
        <v>0</v>
      </c>
      <c r="AA49" s="2">
        <f t="shared" si="25"/>
        <v>0</v>
      </c>
      <c r="AB49" s="2">
        <f t="shared" si="24"/>
        <v>0</v>
      </c>
      <c r="AC49" s="2">
        <f t="shared" si="24"/>
        <v>0</v>
      </c>
      <c r="AD49" s="2">
        <f t="shared" si="24"/>
        <v>0</v>
      </c>
      <c r="AE49" s="2">
        <f t="shared" si="24"/>
        <v>0</v>
      </c>
      <c r="AF49" s="2">
        <f t="shared" si="24"/>
        <v>0</v>
      </c>
      <c r="AG49" s="2">
        <f t="shared" si="24"/>
        <v>0</v>
      </c>
      <c r="AH49" s="2">
        <f t="shared" si="24"/>
        <v>0</v>
      </c>
      <c r="AI49" s="2">
        <f t="shared" si="24"/>
        <v>0</v>
      </c>
      <c r="AJ49" s="2">
        <f t="shared" si="24"/>
        <v>0</v>
      </c>
      <c r="AK49" s="2">
        <f t="shared" si="24"/>
        <v>0</v>
      </c>
      <c r="AL49" s="2">
        <f t="shared" si="24"/>
        <v>0</v>
      </c>
      <c r="AM49" s="2">
        <f t="shared" si="24"/>
        <v>0</v>
      </c>
      <c r="AN49" s="2">
        <f t="shared" si="24"/>
        <v>0</v>
      </c>
      <c r="AO49" s="2">
        <f t="shared" si="24"/>
        <v>0</v>
      </c>
      <c r="AP49" s="2">
        <f t="shared" si="24"/>
        <v>0</v>
      </c>
      <c r="AQ49" s="2">
        <f t="shared" si="20"/>
        <v>0</v>
      </c>
      <c r="AR49" s="2">
        <f t="shared" si="20"/>
        <v>0</v>
      </c>
      <c r="AS49" s="2">
        <f t="shared" si="20"/>
        <v>0</v>
      </c>
      <c r="AT49" s="2">
        <f t="shared" si="20"/>
        <v>0</v>
      </c>
      <c r="AU49" s="2">
        <f t="shared" si="20"/>
        <v>0</v>
      </c>
      <c r="AV49" s="2">
        <f t="shared" si="20"/>
        <v>0</v>
      </c>
      <c r="AW49" s="2">
        <f t="shared" si="20"/>
        <v>0</v>
      </c>
      <c r="AX49" s="2">
        <f t="shared" si="20"/>
        <v>0</v>
      </c>
      <c r="AY49" s="2">
        <f t="shared" si="20"/>
        <v>0</v>
      </c>
      <c r="AZ49" s="2">
        <f t="shared" si="20"/>
        <v>0</v>
      </c>
      <c r="BA49" s="2">
        <f t="shared" si="20"/>
        <v>0</v>
      </c>
      <c r="BB49" s="2">
        <f t="shared" si="20"/>
        <v>0</v>
      </c>
      <c r="BC49" s="2">
        <f t="shared" si="20"/>
        <v>0</v>
      </c>
      <c r="BD49" s="2">
        <f t="shared" si="20"/>
        <v>0</v>
      </c>
      <c r="BE49" s="2">
        <f t="shared" si="20"/>
        <v>0</v>
      </c>
      <c r="BF49" s="2">
        <f t="shared" ref="BF49:BU64" si="26">$B49*100*(BF$2&lt;$A49)+100*(1+$B49)*(BF$2=$A49)</f>
        <v>0</v>
      </c>
      <c r="BG49" s="2">
        <f t="shared" si="26"/>
        <v>0</v>
      </c>
      <c r="BH49" s="2">
        <f t="shared" si="21"/>
        <v>0</v>
      </c>
      <c r="BI49" s="2">
        <f t="shared" si="21"/>
        <v>0</v>
      </c>
      <c r="BJ49" s="2">
        <f t="shared" si="21"/>
        <v>0</v>
      </c>
      <c r="BK49" s="2">
        <f t="shared" si="21"/>
        <v>0</v>
      </c>
      <c r="BL49" s="2">
        <f t="shared" si="21"/>
        <v>0</v>
      </c>
      <c r="BM49" s="2">
        <f t="shared" si="21"/>
        <v>0</v>
      </c>
      <c r="BN49" s="2">
        <f t="shared" si="21"/>
        <v>0</v>
      </c>
      <c r="BO49" s="2">
        <f t="shared" si="21"/>
        <v>0</v>
      </c>
      <c r="BP49" s="2">
        <f t="shared" si="21"/>
        <v>0</v>
      </c>
      <c r="BQ49" s="2">
        <f t="shared" si="21"/>
        <v>0</v>
      </c>
      <c r="BR49" s="2">
        <f t="shared" si="21"/>
        <v>0</v>
      </c>
      <c r="BS49" s="2">
        <f t="shared" si="21"/>
        <v>0</v>
      </c>
      <c r="BT49" s="2">
        <f t="shared" si="21"/>
        <v>0</v>
      </c>
      <c r="BU49" s="2">
        <f t="shared" si="21"/>
        <v>0</v>
      </c>
      <c r="BV49" s="2">
        <f t="shared" si="21"/>
        <v>0</v>
      </c>
      <c r="BW49" s="2">
        <f t="shared" si="22"/>
        <v>0</v>
      </c>
      <c r="BX49" s="2">
        <f t="shared" si="22"/>
        <v>0</v>
      </c>
      <c r="BY49" s="2">
        <f t="shared" si="22"/>
        <v>0</v>
      </c>
      <c r="BZ49" s="2">
        <f t="shared" si="22"/>
        <v>0</v>
      </c>
      <c r="CA49" s="2">
        <f t="shared" si="22"/>
        <v>0</v>
      </c>
      <c r="CB49" s="2">
        <f t="shared" si="22"/>
        <v>0</v>
      </c>
      <c r="CC49" s="2">
        <f t="shared" si="22"/>
        <v>0</v>
      </c>
      <c r="CD49" s="2">
        <f t="shared" si="22"/>
        <v>0</v>
      </c>
      <c r="CE49" s="2">
        <f t="shared" si="22"/>
        <v>0</v>
      </c>
      <c r="CF49" s="2">
        <f t="shared" si="22"/>
        <v>0</v>
      </c>
      <c r="CG49" s="2">
        <f t="shared" si="22"/>
        <v>0</v>
      </c>
      <c r="CH49" s="2">
        <f t="shared" si="22"/>
        <v>0</v>
      </c>
      <c r="CI49" s="2">
        <f t="shared" si="22"/>
        <v>0</v>
      </c>
      <c r="CJ49" s="2">
        <f t="shared" si="22"/>
        <v>0</v>
      </c>
      <c r="CK49" s="23">
        <f t="shared" si="22"/>
        <v>0</v>
      </c>
      <c r="CN49" s="2">
        <v>23</v>
      </c>
      <c r="CO49" s="14">
        <v>3.6780012704100286E-2</v>
      </c>
      <c r="CP49" s="14">
        <v>-1.2287371285791313E-2</v>
      </c>
      <c r="CQ49" s="14">
        <v>1.5074089111965883E-2</v>
      </c>
      <c r="CR49" s="14">
        <v>2.8418137477355197E-2</v>
      </c>
      <c r="CS49" s="14">
        <f t="shared" si="14"/>
        <v>6.7984868007630053E-2</v>
      </c>
    </row>
    <row r="50" spans="1:97" x14ac:dyDescent="0.45">
      <c r="A50" s="16"/>
      <c r="B50" s="17"/>
      <c r="C50" s="19"/>
      <c r="D50" s="19">
        <f t="shared" si="23"/>
        <v>0</v>
      </c>
      <c r="E50" s="19">
        <f t="shared" si="9"/>
        <v>0</v>
      </c>
      <c r="F50" s="19">
        <f t="shared" si="1"/>
        <v>0</v>
      </c>
      <c r="G50" s="20">
        <f t="shared" si="10"/>
        <v>0</v>
      </c>
      <c r="H50" s="20">
        <f>IFERROR(IRR((J50,L50:CK50),0),0)</f>
        <v>0</v>
      </c>
      <c r="I50" s="21">
        <f t="shared" si="2"/>
        <v>0</v>
      </c>
      <c r="J50" s="19">
        <f t="shared" si="13"/>
        <v>0</v>
      </c>
      <c r="K50" s="22">
        <f t="shared" si="3"/>
        <v>0</v>
      </c>
      <c r="L50" s="2">
        <f t="shared" si="25"/>
        <v>0</v>
      </c>
      <c r="M50" s="2">
        <f t="shared" si="25"/>
        <v>0</v>
      </c>
      <c r="N50" s="2">
        <f t="shared" si="25"/>
        <v>0</v>
      </c>
      <c r="O50" s="2">
        <f t="shared" si="25"/>
        <v>0</v>
      </c>
      <c r="P50" s="2">
        <f t="shared" si="25"/>
        <v>0</v>
      </c>
      <c r="Q50" s="2">
        <f t="shared" si="25"/>
        <v>0</v>
      </c>
      <c r="R50" s="2">
        <f t="shared" si="25"/>
        <v>0</v>
      </c>
      <c r="S50" s="2">
        <f t="shared" si="25"/>
        <v>0</v>
      </c>
      <c r="T50" s="2">
        <f t="shared" si="25"/>
        <v>0</v>
      </c>
      <c r="U50" s="2">
        <f t="shared" si="25"/>
        <v>0</v>
      </c>
      <c r="V50" s="2">
        <f t="shared" si="25"/>
        <v>0</v>
      </c>
      <c r="W50" s="2">
        <f t="shared" si="25"/>
        <v>0</v>
      </c>
      <c r="X50" s="2">
        <f t="shared" si="25"/>
        <v>0</v>
      </c>
      <c r="Y50" s="2">
        <f t="shared" si="25"/>
        <v>0</v>
      </c>
      <c r="Z50" s="2">
        <f t="shared" si="25"/>
        <v>0</v>
      </c>
      <c r="AA50" s="2">
        <f t="shared" si="25"/>
        <v>0</v>
      </c>
      <c r="AB50" s="2">
        <f t="shared" si="24"/>
        <v>0</v>
      </c>
      <c r="AC50" s="2">
        <f t="shared" si="24"/>
        <v>0</v>
      </c>
      <c r="AD50" s="2">
        <f t="shared" si="24"/>
        <v>0</v>
      </c>
      <c r="AE50" s="2">
        <f t="shared" si="24"/>
        <v>0</v>
      </c>
      <c r="AF50" s="2">
        <f t="shared" si="24"/>
        <v>0</v>
      </c>
      <c r="AG50" s="2">
        <f t="shared" si="24"/>
        <v>0</v>
      </c>
      <c r="AH50" s="2">
        <f t="shared" si="24"/>
        <v>0</v>
      </c>
      <c r="AI50" s="2">
        <f t="shared" si="24"/>
        <v>0</v>
      </c>
      <c r="AJ50" s="2">
        <f t="shared" si="24"/>
        <v>0</v>
      </c>
      <c r="AK50" s="2">
        <f t="shared" si="24"/>
        <v>0</v>
      </c>
      <c r="AL50" s="2">
        <f t="shared" si="24"/>
        <v>0</v>
      </c>
      <c r="AM50" s="2">
        <f t="shared" si="24"/>
        <v>0</v>
      </c>
      <c r="AN50" s="2">
        <f t="shared" si="24"/>
        <v>0</v>
      </c>
      <c r="AO50" s="2">
        <f t="shared" si="24"/>
        <v>0</v>
      </c>
      <c r="AP50" s="2">
        <f t="shared" si="24"/>
        <v>0</v>
      </c>
      <c r="AQ50" s="2">
        <f t="shared" ref="AQ50:BF65" si="27">$B50*100*(AQ$2&lt;$A50)+100*(1+$B50)*(AQ$2=$A50)</f>
        <v>0</v>
      </c>
      <c r="AR50" s="2">
        <f t="shared" si="27"/>
        <v>0</v>
      </c>
      <c r="AS50" s="2">
        <f t="shared" si="27"/>
        <v>0</v>
      </c>
      <c r="AT50" s="2">
        <f t="shared" si="27"/>
        <v>0</v>
      </c>
      <c r="AU50" s="2">
        <f t="shared" si="27"/>
        <v>0</v>
      </c>
      <c r="AV50" s="2">
        <f t="shared" si="27"/>
        <v>0</v>
      </c>
      <c r="AW50" s="2">
        <f t="shared" si="27"/>
        <v>0</v>
      </c>
      <c r="AX50" s="2">
        <f t="shared" si="27"/>
        <v>0</v>
      </c>
      <c r="AY50" s="2">
        <f t="shared" si="27"/>
        <v>0</v>
      </c>
      <c r="AZ50" s="2">
        <f t="shared" si="27"/>
        <v>0</v>
      </c>
      <c r="BA50" s="2">
        <f t="shared" si="27"/>
        <v>0</v>
      </c>
      <c r="BB50" s="2">
        <f t="shared" si="27"/>
        <v>0</v>
      </c>
      <c r="BC50" s="2">
        <f t="shared" si="27"/>
        <v>0</v>
      </c>
      <c r="BD50" s="2">
        <f t="shared" si="27"/>
        <v>0</v>
      </c>
      <c r="BE50" s="2">
        <f t="shared" si="27"/>
        <v>0</v>
      </c>
      <c r="BF50" s="2">
        <f t="shared" si="26"/>
        <v>0</v>
      </c>
      <c r="BG50" s="2">
        <f t="shared" si="26"/>
        <v>0</v>
      </c>
      <c r="BH50" s="2">
        <f t="shared" si="26"/>
        <v>0</v>
      </c>
      <c r="BI50" s="2">
        <f t="shared" si="26"/>
        <v>0</v>
      </c>
      <c r="BJ50" s="2">
        <f t="shared" si="26"/>
        <v>0</v>
      </c>
      <c r="BK50" s="2">
        <f t="shared" si="26"/>
        <v>0</v>
      </c>
      <c r="BL50" s="2">
        <f t="shared" si="26"/>
        <v>0</v>
      </c>
      <c r="BM50" s="2">
        <f t="shared" si="26"/>
        <v>0</v>
      </c>
      <c r="BN50" s="2">
        <f t="shared" si="26"/>
        <v>0</v>
      </c>
      <c r="BO50" s="2">
        <f t="shared" si="26"/>
        <v>0</v>
      </c>
      <c r="BP50" s="2">
        <f t="shared" si="26"/>
        <v>0</v>
      </c>
      <c r="BQ50" s="2">
        <f t="shared" si="26"/>
        <v>0</v>
      </c>
      <c r="BR50" s="2">
        <f t="shared" si="26"/>
        <v>0</v>
      </c>
      <c r="BS50" s="2">
        <f t="shared" si="26"/>
        <v>0</v>
      </c>
      <c r="BT50" s="2">
        <f t="shared" si="26"/>
        <v>0</v>
      </c>
      <c r="BU50" s="2">
        <f t="shared" si="26"/>
        <v>0</v>
      </c>
      <c r="BV50" s="2">
        <f t="shared" ref="BV50:CK65" si="28">$B50*100*(BV$2&lt;$A50)+100*(1+$B50)*(BV$2=$A50)</f>
        <v>0</v>
      </c>
      <c r="BW50" s="2">
        <f t="shared" si="28"/>
        <v>0</v>
      </c>
      <c r="BX50" s="2">
        <f t="shared" si="28"/>
        <v>0</v>
      </c>
      <c r="BY50" s="2">
        <f t="shared" si="28"/>
        <v>0</v>
      </c>
      <c r="BZ50" s="2">
        <f t="shared" si="28"/>
        <v>0</v>
      </c>
      <c r="CA50" s="2">
        <f t="shared" si="28"/>
        <v>0</v>
      </c>
      <c r="CB50" s="2">
        <f t="shared" si="28"/>
        <v>0</v>
      </c>
      <c r="CC50" s="2">
        <f t="shared" si="28"/>
        <v>0</v>
      </c>
      <c r="CD50" s="2">
        <f t="shared" si="28"/>
        <v>0</v>
      </c>
      <c r="CE50" s="2">
        <f t="shared" si="28"/>
        <v>0</v>
      </c>
      <c r="CF50" s="2">
        <f t="shared" si="28"/>
        <v>0</v>
      </c>
      <c r="CG50" s="2">
        <f t="shared" si="28"/>
        <v>0</v>
      </c>
      <c r="CH50" s="2">
        <f t="shared" si="28"/>
        <v>0</v>
      </c>
      <c r="CI50" s="2">
        <f t="shared" si="28"/>
        <v>0</v>
      </c>
      <c r="CJ50" s="2">
        <f t="shared" si="28"/>
        <v>0</v>
      </c>
      <c r="CK50" s="23">
        <f t="shared" si="28"/>
        <v>0</v>
      </c>
      <c r="CN50" s="2">
        <v>23.5</v>
      </c>
      <c r="CO50" s="14">
        <v>3.6780012704100286E-2</v>
      </c>
      <c r="CP50" s="14">
        <v>-1.2151888060403723E-2</v>
      </c>
      <c r="CQ50" s="14">
        <v>1.5148767463893362E-2</v>
      </c>
      <c r="CR50" s="14">
        <v>2.8808855989305934E-2</v>
      </c>
      <c r="CS50" s="14">
        <f t="shared" si="14"/>
        <v>6.8585748096895854E-2</v>
      </c>
    </row>
    <row r="51" spans="1:97" x14ac:dyDescent="0.45">
      <c r="A51" s="16"/>
      <c r="B51" s="17"/>
      <c r="C51" s="19"/>
      <c r="D51" s="19">
        <f t="shared" si="23"/>
        <v>0</v>
      </c>
      <c r="E51" s="19">
        <f t="shared" si="9"/>
        <v>0</v>
      </c>
      <c r="F51" s="19">
        <f t="shared" si="1"/>
        <v>0</v>
      </c>
      <c r="G51" s="20">
        <f t="shared" si="10"/>
        <v>0</v>
      </c>
      <c r="H51" s="20">
        <f>IFERROR(IRR((J51,L51:CK51),0),0)</f>
        <v>0</v>
      </c>
      <c r="I51" s="21">
        <f t="shared" si="2"/>
        <v>0</v>
      </c>
      <c r="J51" s="19">
        <f t="shared" si="13"/>
        <v>0</v>
      </c>
      <c r="K51" s="22">
        <f t="shared" si="3"/>
        <v>0</v>
      </c>
      <c r="L51" s="2">
        <f t="shared" si="25"/>
        <v>0</v>
      </c>
      <c r="M51" s="2">
        <f t="shared" si="25"/>
        <v>0</v>
      </c>
      <c r="N51" s="2">
        <f t="shared" si="25"/>
        <v>0</v>
      </c>
      <c r="O51" s="2">
        <f t="shared" si="25"/>
        <v>0</v>
      </c>
      <c r="P51" s="2">
        <f t="shared" si="25"/>
        <v>0</v>
      </c>
      <c r="Q51" s="2">
        <f t="shared" si="25"/>
        <v>0</v>
      </c>
      <c r="R51" s="2">
        <f t="shared" si="25"/>
        <v>0</v>
      </c>
      <c r="S51" s="2">
        <f t="shared" si="25"/>
        <v>0</v>
      </c>
      <c r="T51" s="2">
        <f t="shared" si="25"/>
        <v>0</v>
      </c>
      <c r="U51" s="2">
        <f t="shared" si="25"/>
        <v>0</v>
      </c>
      <c r="V51" s="2">
        <f t="shared" si="25"/>
        <v>0</v>
      </c>
      <c r="W51" s="2">
        <f t="shared" si="25"/>
        <v>0</v>
      </c>
      <c r="X51" s="2">
        <f t="shared" si="25"/>
        <v>0</v>
      </c>
      <c r="Y51" s="2">
        <f t="shared" si="25"/>
        <v>0</v>
      </c>
      <c r="Z51" s="2">
        <f t="shared" si="25"/>
        <v>0</v>
      </c>
      <c r="AA51" s="2">
        <f t="shared" ref="AA51:AP66" si="29">$B51*100*(AA$2&lt;$A51)+100*(1+$B51)*(AA$2=$A51)</f>
        <v>0</v>
      </c>
      <c r="AB51" s="2">
        <f t="shared" si="29"/>
        <v>0</v>
      </c>
      <c r="AC51" s="2">
        <f t="shared" si="29"/>
        <v>0</v>
      </c>
      <c r="AD51" s="2">
        <f t="shared" si="29"/>
        <v>0</v>
      </c>
      <c r="AE51" s="2">
        <f t="shared" si="29"/>
        <v>0</v>
      </c>
      <c r="AF51" s="2">
        <f t="shared" si="29"/>
        <v>0</v>
      </c>
      <c r="AG51" s="2">
        <f t="shared" si="29"/>
        <v>0</v>
      </c>
      <c r="AH51" s="2">
        <f t="shared" si="29"/>
        <v>0</v>
      </c>
      <c r="AI51" s="2">
        <f t="shared" si="29"/>
        <v>0</v>
      </c>
      <c r="AJ51" s="2">
        <f t="shared" si="29"/>
        <v>0</v>
      </c>
      <c r="AK51" s="2">
        <f t="shared" si="29"/>
        <v>0</v>
      </c>
      <c r="AL51" s="2">
        <f t="shared" si="29"/>
        <v>0</v>
      </c>
      <c r="AM51" s="2">
        <f t="shared" si="29"/>
        <v>0</v>
      </c>
      <c r="AN51" s="2">
        <f t="shared" si="29"/>
        <v>0</v>
      </c>
      <c r="AO51" s="2">
        <f t="shared" si="29"/>
        <v>0</v>
      </c>
      <c r="AP51" s="2">
        <f t="shared" si="29"/>
        <v>0</v>
      </c>
      <c r="AQ51" s="2">
        <f t="shared" si="27"/>
        <v>0</v>
      </c>
      <c r="AR51" s="2">
        <f t="shared" si="27"/>
        <v>0</v>
      </c>
      <c r="AS51" s="2">
        <f t="shared" si="27"/>
        <v>0</v>
      </c>
      <c r="AT51" s="2">
        <f t="shared" si="27"/>
        <v>0</v>
      </c>
      <c r="AU51" s="2">
        <f t="shared" si="27"/>
        <v>0</v>
      </c>
      <c r="AV51" s="2">
        <f t="shared" si="27"/>
        <v>0</v>
      </c>
      <c r="AW51" s="2">
        <f t="shared" si="27"/>
        <v>0</v>
      </c>
      <c r="AX51" s="2">
        <f t="shared" si="27"/>
        <v>0</v>
      </c>
      <c r="AY51" s="2">
        <f t="shared" si="27"/>
        <v>0</v>
      </c>
      <c r="AZ51" s="2">
        <f t="shared" si="27"/>
        <v>0</v>
      </c>
      <c r="BA51" s="2">
        <f t="shared" si="27"/>
        <v>0</v>
      </c>
      <c r="BB51" s="2">
        <f t="shared" si="27"/>
        <v>0</v>
      </c>
      <c r="BC51" s="2">
        <f t="shared" si="27"/>
        <v>0</v>
      </c>
      <c r="BD51" s="2">
        <f t="shared" si="27"/>
        <v>0</v>
      </c>
      <c r="BE51" s="2">
        <f t="shared" si="27"/>
        <v>0</v>
      </c>
      <c r="BF51" s="2">
        <f t="shared" si="27"/>
        <v>0</v>
      </c>
      <c r="BG51" s="2">
        <f t="shared" si="26"/>
        <v>0</v>
      </c>
      <c r="BH51" s="2">
        <f t="shared" si="26"/>
        <v>0</v>
      </c>
      <c r="BI51" s="2">
        <f t="shared" si="26"/>
        <v>0</v>
      </c>
      <c r="BJ51" s="2">
        <f t="shared" si="26"/>
        <v>0</v>
      </c>
      <c r="BK51" s="2">
        <f t="shared" si="26"/>
        <v>0</v>
      </c>
      <c r="BL51" s="2">
        <f t="shared" si="26"/>
        <v>0</v>
      </c>
      <c r="BM51" s="2">
        <f t="shared" si="26"/>
        <v>0</v>
      </c>
      <c r="BN51" s="2">
        <f t="shared" si="26"/>
        <v>0</v>
      </c>
      <c r="BO51" s="2">
        <f t="shared" si="26"/>
        <v>0</v>
      </c>
      <c r="BP51" s="2">
        <f t="shared" si="26"/>
        <v>0</v>
      </c>
      <c r="BQ51" s="2">
        <f t="shared" si="26"/>
        <v>0</v>
      </c>
      <c r="BR51" s="2">
        <f t="shared" si="26"/>
        <v>0</v>
      </c>
      <c r="BS51" s="2">
        <f t="shared" si="26"/>
        <v>0</v>
      </c>
      <c r="BT51" s="2">
        <f t="shared" si="26"/>
        <v>0</v>
      </c>
      <c r="BU51" s="2">
        <f t="shared" si="26"/>
        <v>0</v>
      </c>
      <c r="BV51" s="2">
        <f t="shared" si="28"/>
        <v>0</v>
      </c>
      <c r="BW51" s="2">
        <f t="shared" si="28"/>
        <v>0</v>
      </c>
      <c r="BX51" s="2">
        <f t="shared" si="28"/>
        <v>0</v>
      </c>
      <c r="BY51" s="2">
        <f t="shared" si="28"/>
        <v>0</v>
      </c>
      <c r="BZ51" s="2">
        <f t="shared" si="28"/>
        <v>0</v>
      </c>
      <c r="CA51" s="2">
        <f t="shared" si="28"/>
        <v>0</v>
      </c>
      <c r="CB51" s="2">
        <f t="shared" si="28"/>
        <v>0</v>
      </c>
      <c r="CC51" s="2">
        <f t="shared" si="28"/>
        <v>0</v>
      </c>
      <c r="CD51" s="2">
        <f t="shared" si="28"/>
        <v>0</v>
      </c>
      <c r="CE51" s="2">
        <f t="shared" si="28"/>
        <v>0</v>
      </c>
      <c r="CF51" s="2">
        <f t="shared" si="28"/>
        <v>0</v>
      </c>
      <c r="CG51" s="2">
        <f t="shared" si="28"/>
        <v>0</v>
      </c>
      <c r="CH51" s="2">
        <f t="shared" si="28"/>
        <v>0</v>
      </c>
      <c r="CI51" s="2">
        <f t="shared" si="28"/>
        <v>0</v>
      </c>
      <c r="CJ51" s="2">
        <f t="shared" si="28"/>
        <v>0</v>
      </c>
      <c r="CK51" s="23">
        <f t="shared" si="28"/>
        <v>0</v>
      </c>
      <c r="CN51" s="2">
        <v>24</v>
      </c>
      <c r="CO51" s="14">
        <v>3.6780012704100286E-2</v>
      </c>
      <c r="CP51" s="14">
        <v>-1.2018627222525854E-2</v>
      </c>
      <c r="CQ51" s="14">
        <v>1.5217684446360558E-2</v>
      </c>
      <c r="CR51" s="14">
        <v>2.9191992333562577E-2</v>
      </c>
      <c r="CS51" s="14">
        <f t="shared" si="14"/>
        <v>6.9171062261497565E-2</v>
      </c>
    </row>
    <row r="52" spans="1:97" x14ac:dyDescent="0.45">
      <c r="A52" s="16"/>
      <c r="B52" s="17"/>
      <c r="C52" s="19"/>
      <c r="D52" s="19">
        <f t="shared" si="23"/>
        <v>0</v>
      </c>
      <c r="E52" s="19">
        <f t="shared" si="9"/>
        <v>0</v>
      </c>
      <c r="F52" s="19">
        <f t="shared" si="1"/>
        <v>0</v>
      </c>
      <c r="G52" s="20">
        <f t="shared" si="10"/>
        <v>0</v>
      </c>
      <c r="H52" s="20">
        <f>IFERROR(IRR((J52,L52:CK52),0),0)</f>
        <v>0</v>
      </c>
      <c r="I52" s="21">
        <f t="shared" si="2"/>
        <v>0</v>
      </c>
      <c r="J52" s="19">
        <f t="shared" si="13"/>
        <v>0</v>
      </c>
      <c r="K52" s="22">
        <f t="shared" si="3"/>
        <v>0</v>
      </c>
      <c r="L52" s="2">
        <f t="shared" ref="L52:AA66" si="30">$B52*100*(L$2&lt;$A52)+100*(1+$B52)*(L$2=$A52)</f>
        <v>0</v>
      </c>
      <c r="M52" s="2">
        <f t="shared" si="30"/>
        <v>0</v>
      </c>
      <c r="N52" s="2">
        <f t="shared" si="30"/>
        <v>0</v>
      </c>
      <c r="O52" s="2">
        <f t="shared" si="30"/>
        <v>0</v>
      </c>
      <c r="P52" s="2">
        <f t="shared" si="30"/>
        <v>0</v>
      </c>
      <c r="Q52" s="2">
        <f t="shared" si="30"/>
        <v>0</v>
      </c>
      <c r="R52" s="2">
        <f t="shared" si="30"/>
        <v>0</v>
      </c>
      <c r="S52" s="2">
        <f t="shared" si="30"/>
        <v>0</v>
      </c>
      <c r="T52" s="2">
        <f t="shared" si="30"/>
        <v>0</v>
      </c>
      <c r="U52" s="2">
        <f t="shared" si="30"/>
        <v>0</v>
      </c>
      <c r="V52" s="2">
        <f t="shared" si="30"/>
        <v>0</v>
      </c>
      <c r="W52" s="2">
        <f t="shared" si="30"/>
        <v>0</v>
      </c>
      <c r="X52" s="2">
        <f t="shared" si="30"/>
        <v>0</v>
      </c>
      <c r="Y52" s="2">
        <f t="shared" si="30"/>
        <v>0</v>
      </c>
      <c r="Z52" s="2">
        <f t="shared" si="30"/>
        <v>0</v>
      </c>
      <c r="AA52" s="2">
        <f t="shared" si="30"/>
        <v>0</v>
      </c>
      <c r="AB52" s="2">
        <f t="shared" si="29"/>
        <v>0</v>
      </c>
      <c r="AC52" s="2">
        <f t="shared" si="29"/>
        <v>0</v>
      </c>
      <c r="AD52" s="2">
        <f t="shared" si="29"/>
        <v>0</v>
      </c>
      <c r="AE52" s="2">
        <f t="shared" si="29"/>
        <v>0</v>
      </c>
      <c r="AF52" s="2">
        <f t="shared" si="29"/>
        <v>0</v>
      </c>
      <c r="AG52" s="2">
        <f t="shared" si="29"/>
        <v>0</v>
      </c>
      <c r="AH52" s="2">
        <f t="shared" si="29"/>
        <v>0</v>
      </c>
      <c r="AI52" s="2">
        <f t="shared" si="29"/>
        <v>0</v>
      </c>
      <c r="AJ52" s="2">
        <f t="shared" si="29"/>
        <v>0</v>
      </c>
      <c r="AK52" s="2">
        <f t="shared" si="29"/>
        <v>0</v>
      </c>
      <c r="AL52" s="2">
        <f t="shared" si="29"/>
        <v>0</v>
      </c>
      <c r="AM52" s="2">
        <f t="shared" si="29"/>
        <v>0</v>
      </c>
      <c r="AN52" s="2">
        <f t="shared" si="29"/>
        <v>0</v>
      </c>
      <c r="AO52" s="2">
        <f t="shared" si="29"/>
        <v>0</v>
      </c>
      <c r="AP52" s="2">
        <f t="shared" si="29"/>
        <v>0</v>
      </c>
      <c r="AQ52" s="2">
        <f t="shared" si="27"/>
        <v>0</v>
      </c>
      <c r="AR52" s="2">
        <f t="shared" si="27"/>
        <v>0</v>
      </c>
      <c r="AS52" s="2">
        <f t="shared" si="27"/>
        <v>0</v>
      </c>
      <c r="AT52" s="2">
        <f t="shared" si="27"/>
        <v>0</v>
      </c>
      <c r="AU52" s="2">
        <f t="shared" si="27"/>
        <v>0</v>
      </c>
      <c r="AV52" s="2">
        <f t="shared" si="27"/>
        <v>0</v>
      </c>
      <c r="AW52" s="2">
        <f t="shared" si="27"/>
        <v>0</v>
      </c>
      <c r="AX52" s="2">
        <f t="shared" si="27"/>
        <v>0</v>
      </c>
      <c r="AY52" s="2">
        <f t="shared" si="27"/>
        <v>0</v>
      </c>
      <c r="AZ52" s="2">
        <f t="shared" si="27"/>
        <v>0</v>
      </c>
      <c r="BA52" s="2">
        <f t="shared" si="27"/>
        <v>0</v>
      </c>
      <c r="BB52" s="2">
        <f t="shared" si="27"/>
        <v>0</v>
      </c>
      <c r="BC52" s="2">
        <f t="shared" si="27"/>
        <v>0</v>
      </c>
      <c r="BD52" s="2">
        <f t="shared" si="27"/>
        <v>0</v>
      </c>
      <c r="BE52" s="2">
        <f t="shared" si="27"/>
        <v>0</v>
      </c>
      <c r="BF52" s="2">
        <f t="shared" si="27"/>
        <v>0</v>
      </c>
      <c r="BG52" s="2">
        <f t="shared" si="26"/>
        <v>0</v>
      </c>
      <c r="BH52" s="2">
        <f t="shared" si="26"/>
        <v>0</v>
      </c>
      <c r="BI52" s="2">
        <f t="shared" si="26"/>
        <v>0</v>
      </c>
      <c r="BJ52" s="2">
        <f t="shared" si="26"/>
        <v>0</v>
      </c>
      <c r="BK52" s="2">
        <f t="shared" si="26"/>
        <v>0</v>
      </c>
      <c r="BL52" s="2">
        <f t="shared" si="26"/>
        <v>0</v>
      </c>
      <c r="BM52" s="2">
        <f t="shared" si="26"/>
        <v>0</v>
      </c>
      <c r="BN52" s="2">
        <f t="shared" si="26"/>
        <v>0</v>
      </c>
      <c r="BO52" s="2">
        <f t="shared" si="26"/>
        <v>0</v>
      </c>
      <c r="BP52" s="2">
        <f t="shared" si="26"/>
        <v>0</v>
      </c>
      <c r="BQ52" s="2">
        <f t="shared" si="26"/>
        <v>0</v>
      </c>
      <c r="BR52" s="2">
        <f t="shared" si="26"/>
        <v>0</v>
      </c>
      <c r="BS52" s="2">
        <f t="shared" si="26"/>
        <v>0</v>
      </c>
      <c r="BT52" s="2">
        <f t="shared" si="26"/>
        <v>0</v>
      </c>
      <c r="BU52" s="2">
        <f t="shared" si="26"/>
        <v>0</v>
      </c>
      <c r="BV52" s="2">
        <f t="shared" si="28"/>
        <v>0</v>
      </c>
      <c r="BW52" s="2">
        <f t="shared" si="28"/>
        <v>0</v>
      </c>
      <c r="BX52" s="2">
        <f t="shared" si="28"/>
        <v>0</v>
      </c>
      <c r="BY52" s="2">
        <f t="shared" si="28"/>
        <v>0</v>
      </c>
      <c r="BZ52" s="2">
        <f t="shared" si="28"/>
        <v>0</v>
      </c>
      <c r="CA52" s="2">
        <f t="shared" si="28"/>
        <v>0</v>
      </c>
      <c r="CB52" s="2">
        <f t="shared" si="28"/>
        <v>0</v>
      </c>
      <c r="CC52" s="2">
        <f t="shared" si="28"/>
        <v>0</v>
      </c>
      <c r="CD52" s="2">
        <f t="shared" si="28"/>
        <v>0</v>
      </c>
      <c r="CE52" s="2">
        <f t="shared" si="28"/>
        <v>0</v>
      </c>
      <c r="CF52" s="2">
        <f t="shared" si="28"/>
        <v>0</v>
      </c>
      <c r="CG52" s="2">
        <f t="shared" si="28"/>
        <v>0</v>
      </c>
      <c r="CH52" s="2">
        <f t="shared" si="28"/>
        <v>0</v>
      </c>
      <c r="CI52" s="2">
        <f t="shared" si="28"/>
        <v>0</v>
      </c>
      <c r="CJ52" s="2">
        <f t="shared" si="28"/>
        <v>0</v>
      </c>
      <c r="CK52" s="23">
        <f t="shared" si="28"/>
        <v>0</v>
      </c>
      <c r="CN52" s="2">
        <v>24.5</v>
      </c>
      <c r="CO52" s="14">
        <v>3.6780012704100286E-2</v>
      </c>
      <c r="CP52" s="14">
        <v>-1.1887545762510715E-2</v>
      </c>
      <c r="CQ52" s="14">
        <v>1.5281044742725722E-2</v>
      </c>
      <c r="CR52" s="14">
        <v>2.9567656006066756E-2</v>
      </c>
      <c r="CS52" s="14">
        <f t="shared" si="14"/>
        <v>6.974116769038205E-2</v>
      </c>
    </row>
    <row r="53" spans="1:97" x14ac:dyDescent="0.45">
      <c r="A53" s="16"/>
      <c r="B53" s="17"/>
      <c r="C53" s="19"/>
      <c r="D53" s="19">
        <f t="shared" si="23"/>
        <v>0</v>
      </c>
      <c r="E53" s="19">
        <f t="shared" si="9"/>
        <v>0</v>
      </c>
      <c r="F53" s="19">
        <f t="shared" si="1"/>
        <v>0</v>
      </c>
      <c r="G53" s="20">
        <f t="shared" si="10"/>
        <v>0</v>
      </c>
      <c r="H53" s="20">
        <f>IFERROR(IRR((J53,L53:CK53),0),0)</f>
        <v>0</v>
      </c>
      <c r="I53" s="21">
        <f t="shared" si="2"/>
        <v>0</v>
      </c>
      <c r="J53" s="19">
        <f t="shared" si="13"/>
        <v>0</v>
      </c>
      <c r="K53" s="22">
        <f t="shared" si="3"/>
        <v>0</v>
      </c>
      <c r="L53" s="2">
        <f t="shared" si="30"/>
        <v>0</v>
      </c>
      <c r="M53" s="2">
        <f t="shared" si="30"/>
        <v>0</v>
      </c>
      <c r="N53" s="2">
        <f t="shared" si="30"/>
        <v>0</v>
      </c>
      <c r="O53" s="2">
        <f t="shared" si="30"/>
        <v>0</v>
      </c>
      <c r="P53" s="2">
        <f t="shared" si="30"/>
        <v>0</v>
      </c>
      <c r="Q53" s="2">
        <f t="shared" si="30"/>
        <v>0</v>
      </c>
      <c r="R53" s="2">
        <f t="shared" si="30"/>
        <v>0</v>
      </c>
      <c r="S53" s="2">
        <f t="shared" si="30"/>
        <v>0</v>
      </c>
      <c r="T53" s="2">
        <f t="shared" si="30"/>
        <v>0</v>
      </c>
      <c r="U53" s="2">
        <f t="shared" si="30"/>
        <v>0</v>
      </c>
      <c r="V53" s="2">
        <f t="shared" si="30"/>
        <v>0</v>
      </c>
      <c r="W53" s="2">
        <f t="shared" si="30"/>
        <v>0</v>
      </c>
      <c r="X53" s="2">
        <f t="shared" si="30"/>
        <v>0</v>
      </c>
      <c r="Y53" s="2">
        <f t="shared" si="30"/>
        <v>0</v>
      </c>
      <c r="Z53" s="2">
        <f t="shared" si="30"/>
        <v>0</v>
      </c>
      <c r="AA53" s="2">
        <f t="shared" si="30"/>
        <v>0</v>
      </c>
      <c r="AB53" s="2">
        <f t="shared" si="29"/>
        <v>0</v>
      </c>
      <c r="AC53" s="2">
        <f t="shared" si="29"/>
        <v>0</v>
      </c>
      <c r="AD53" s="2">
        <f t="shared" si="29"/>
        <v>0</v>
      </c>
      <c r="AE53" s="2">
        <f t="shared" si="29"/>
        <v>0</v>
      </c>
      <c r="AF53" s="2">
        <f t="shared" si="29"/>
        <v>0</v>
      </c>
      <c r="AG53" s="2">
        <f t="shared" si="29"/>
        <v>0</v>
      </c>
      <c r="AH53" s="2">
        <f t="shared" si="29"/>
        <v>0</v>
      </c>
      <c r="AI53" s="2">
        <f t="shared" si="29"/>
        <v>0</v>
      </c>
      <c r="AJ53" s="2">
        <f t="shared" si="29"/>
        <v>0</v>
      </c>
      <c r="AK53" s="2">
        <f t="shared" si="29"/>
        <v>0</v>
      </c>
      <c r="AL53" s="2">
        <f t="shared" si="29"/>
        <v>0</v>
      </c>
      <c r="AM53" s="2">
        <f t="shared" si="29"/>
        <v>0</v>
      </c>
      <c r="AN53" s="2">
        <f t="shared" si="29"/>
        <v>0</v>
      </c>
      <c r="AO53" s="2">
        <f t="shared" si="29"/>
        <v>0</v>
      </c>
      <c r="AP53" s="2">
        <f t="shared" si="29"/>
        <v>0</v>
      </c>
      <c r="AQ53" s="2">
        <f t="shared" si="27"/>
        <v>0</v>
      </c>
      <c r="AR53" s="2">
        <f t="shared" si="27"/>
        <v>0</v>
      </c>
      <c r="AS53" s="2">
        <f t="shared" si="27"/>
        <v>0</v>
      </c>
      <c r="AT53" s="2">
        <f t="shared" si="27"/>
        <v>0</v>
      </c>
      <c r="AU53" s="2">
        <f t="shared" si="27"/>
        <v>0</v>
      </c>
      <c r="AV53" s="2">
        <f t="shared" si="27"/>
        <v>0</v>
      </c>
      <c r="AW53" s="2">
        <f t="shared" si="27"/>
        <v>0</v>
      </c>
      <c r="AX53" s="2">
        <f t="shared" si="27"/>
        <v>0</v>
      </c>
      <c r="AY53" s="2">
        <f t="shared" si="27"/>
        <v>0</v>
      </c>
      <c r="AZ53" s="2">
        <f t="shared" si="27"/>
        <v>0</v>
      </c>
      <c r="BA53" s="2">
        <f t="shared" si="27"/>
        <v>0</v>
      </c>
      <c r="BB53" s="2">
        <f t="shared" si="27"/>
        <v>0</v>
      </c>
      <c r="BC53" s="2">
        <f t="shared" si="27"/>
        <v>0</v>
      </c>
      <c r="BD53" s="2">
        <f t="shared" si="27"/>
        <v>0</v>
      </c>
      <c r="BE53" s="2">
        <f t="shared" si="27"/>
        <v>0</v>
      </c>
      <c r="BF53" s="2">
        <f t="shared" si="27"/>
        <v>0</v>
      </c>
      <c r="BG53" s="2">
        <f t="shared" si="26"/>
        <v>0</v>
      </c>
      <c r="BH53" s="2">
        <f t="shared" si="26"/>
        <v>0</v>
      </c>
      <c r="BI53" s="2">
        <f t="shared" si="26"/>
        <v>0</v>
      </c>
      <c r="BJ53" s="2">
        <f t="shared" si="26"/>
        <v>0</v>
      </c>
      <c r="BK53" s="2">
        <f t="shared" si="26"/>
        <v>0</v>
      </c>
      <c r="BL53" s="2">
        <f t="shared" si="26"/>
        <v>0</v>
      </c>
      <c r="BM53" s="2">
        <f t="shared" si="26"/>
        <v>0</v>
      </c>
      <c r="BN53" s="2">
        <f t="shared" si="26"/>
        <v>0</v>
      </c>
      <c r="BO53" s="2">
        <f t="shared" si="26"/>
        <v>0</v>
      </c>
      <c r="BP53" s="2">
        <f t="shared" si="26"/>
        <v>0</v>
      </c>
      <c r="BQ53" s="2">
        <f t="shared" si="26"/>
        <v>0</v>
      </c>
      <c r="BR53" s="2">
        <f t="shared" si="26"/>
        <v>0</v>
      </c>
      <c r="BS53" s="2">
        <f t="shared" si="26"/>
        <v>0</v>
      </c>
      <c r="BT53" s="2">
        <f t="shared" si="26"/>
        <v>0</v>
      </c>
      <c r="BU53" s="2">
        <f t="shared" si="26"/>
        <v>0</v>
      </c>
      <c r="BV53" s="2">
        <f t="shared" si="28"/>
        <v>0</v>
      </c>
      <c r="BW53" s="2">
        <f t="shared" si="28"/>
        <v>0</v>
      </c>
      <c r="BX53" s="2">
        <f t="shared" si="28"/>
        <v>0</v>
      </c>
      <c r="BY53" s="2">
        <f t="shared" si="28"/>
        <v>0</v>
      </c>
      <c r="BZ53" s="2">
        <f t="shared" si="28"/>
        <v>0</v>
      </c>
      <c r="CA53" s="2">
        <f t="shared" si="28"/>
        <v>0</v>
      </c>
      <c r="CB53" s="2">
        <f t="shared" si="28"/>
        <v>0</v>
      </c>
      <c r="CC53" s="2">
        <f t="shared" si="28"/>
        <v>0</v>
      </c>
      <c r="CD53" s="2">
        <f t="shared" si="28"/>
        <v>0</v>
      </c>
      <c r="CE53" s="2">
        <f t="shared" si="28"/>
        <v>0</v>
      </c>
      <c r="CF53" s="2">
        <f t="shared" si="28"/>
        <v>0</v>
      </c>
      <c r="CG53" s="2">
        <f t="shared" si="28"/>
        <v>0</v>
      </c>
      <c r="CH53" s="2">
        <f t="shared" si="28"/>
        <v>0</v>
      </c>
      <c r="CI53" s="2">
        <f t="shared" si="28"/>
        <v>0</v>
      </c>
      <c r="CJ53" s="2">
        <f t="shared" si="28"/>
        <v>0</v>
      </c>
      <c r="CK53" s="23">
        <f t="shared" si="28"/>
        <v>0</v>
      </c>
      <c r="CN53" s="2">
        <v>25</v>
      </c>
      <c r="CO53" s="14">
        <v>3.6780012704100286E-2</v>
      </c>
      <c r="CP53" s="14">
        <v>-1.1758601580527189E-2</v>
      </c>
      <c r="CQ53" s="14">
        <v>1.5339046674732664E-2</v>
      </c>
      <c r="CR53" s="14">
        <v>2.9935955039579683E-2</v>
      </c>
      <c r="CS53" s="14">
        <f t="shared" si="14"/>
        <v>7.0296412837885444E-2</v>
      </c>
    </row>
    <row r="54" spans="1:97" x14ac:dyDescent="0.45">
      <c r="A54" s="16"/>
      <c r="B54" s="17"/>
      <c r="C54" s="19"/>
      <c r="D54" s="19">
        <f t="shared" si="23"/>
        <v>0</v>
      </c>
      <c r="E54" s="19">
        <f t="shared" si="9"/>
        <v>0</v>
      </c>
      <c r="F54" s="19">
        <f t="shared" si="1"/>
        <v>0</v>
      </c>
      <c r="G54" s="20">
        <f t="shared" si="10"/>
        <v>0</v>
      </c>
      <c r="H54" s="20">
        <f>IFERROR(IRR((J54,L54:CK54),0),0)</f>
        <v>0</v>
      </c>
      <c r="I54" s="21">
        <f t="shared" si="2"/>
        <v>0</v>
      </c>
      <c r="J54" s="19">
        <f t="shared" si="13"/>
        <v>0</v>
      </c>
      <c r="K54" s="22">
        <f t="shared" si="3"/>
        <v>0</v>
      </c>
      <c r="L54" s="2">
        <f t="shared" si="30"/>
        <v>0</v>
      </c>
      <c r="M54" s="2">
        <f t="shared" si="30"/>
        <v>0</v>
      </c>
      <c r="N54" s="2">
        <f t="shared" si="30"/>
        <v>0</v>
      </c>
      <c r="O54" s="2">
        <f t="shared" si="30"/>
        <v>0</v>
      </c>
      <c r="P54" s="2">
        <f t="shared" si="30"/>
        <v>0</v>
      </c>
      <c r="Q54" s="2">
        <f t="shared" si="30"/>
        <v>0</v>
      </c>
      <c r="R54" s="2">
        <f t="shared" si="30"/>
        <v>0</v>
      </c>
      <c r="S54" s="2">
        <f t="shared" si="30"/>
        <v>0</v>
      </c>
      <c r="T54" s="2">
        <f t="shared" si="30"/>
        <v>0</v>
      </c>
      <c r="U54" s="2">
        <f t="shared" si="30"/>
        <v>0</v>
      </c>
      <c r="V54" s="2">
        <f t="shared" si="30"/>
        <v>0</v>
      </c>
      <c r="W54" s="2">
        <f t="shared" si="30"/>
        <v>0</v>
      </c>
      <c r="X54" s="2">
        <f t="shared" si="30"/>
        <v>0</v>
      </c>
      <c r="Y54" s="2">
        <f t="shared" si="30"/>
        <v>0</v>
      </c>
      <c r="Z54" s="2">
        <f t="shared" si="30"/>
        <v>0</v>
      </c>
      <c r="AA54" s="2">
        <f t="shared" si="30"/>
        <v>0</v>
      </c>
      <c r="AB54" s="2">
        <f t="shared" si="29"/>
        <v>0</v>
      </c>
      <c r="AC54" s="2">
        <f t="shared" si="29"/>
        <v>0</v>
      </c>
      <c r="AD54" s="2">
        <f t="shared" si="29"/>
        <v>0</v>
      </c>
      <c r="AE54" s="2">
        <f t="shared" si="29"/>
        <v>0</v>
      </c>
      <c r="AF54" s="2">
        <f t="shared" si="29"/>
        <v>0</v>
      </c>
      <c r="AG54" s="2">
        <f t="shared" si="29"/>
        <v>0</v>
      </c>
      <c r="AH54" s="2">
        <f t="shared" si="29"/>
        <v>0</v>
      </c>
      <c r="AI54" s="2">
        <f t="shared" si="29"/>
        <v>0</v>
      </c>
      <c r="AJ54" s="2">
        <f t="shared" si="29"/>
        <v>0</v>
      </c>
      <c r="AK54" s="2">
        <f t="shared" si="29"/>
        <v>0</v>
      </c>
      <c r="AL54" s="2">
        <f t="shared" si="29"/>
        <v>0</v>
      </c>
      <c r="AM54" s="2">
        <f t="shared" si="29"/>
        <v>0</v>
      </c>
      <c r="AN54" s="2">
        <f t="shared" si="29"/>
        <v>0</v>
      </c>
      <c r="AO54" s="2">
        <f t="shared" si="29"/>
        <v>0</v>
      </c>
      <c r="AP54" s="2">
        <f t="shared" si="29"/>
        <v>0</v>
      </c>
      <c r="AQ54" s="2">
        <f t="shared" si="27"/>
        <v>0</v>
      </c>
      <c r="AR54" s="2">
        <f t="shared" si="27"/>
        <v>0</v>
      </c>
      <c r="AS54" s="2">
        <f t="shared" si="27"/>
        <v>0</v>
      </c>
      <c r="AT54" s="2">
        <f t="shared" si="27"/>
        <v>0</v>
      </c>
      <c r="AU54" s="2">
        <f t="shared" si="27"/>
        <v>0</v>
      </c>
      <c r="AV54" s="2">
        <f t="shared" si="27"/>
        <v>0</v>
      </c>
      <c r="AW54" s="2">
        <f t="shared" si="27"/>
        <v>0</v>
      </c>
      <c r="AX54" s="2">
        <f t="shared" si="27"/>
        <v>0</v>
      </c>
      <c r="AY54" s="2">
        <f t="shared" si="27"/>
        <v>0</v>
      </c>
      <c r="AZ54" s="2">
        <f t="shared" si="27"/>
        <v>0</v>
      </c>
      <c r="BA54" s="2">
        <f t="shared" si="27"/>
        <v>0</v>
      </c>
      <c r="BB54" s="2">
        <f t="shared" si="27"/>
        <v>0</v>
      </c>
      <c r="BC54" s="2">
        <f t="shared" si="27"/>
        <v>0</v>
      </c>
      <c r="BD54" s="2">
        <f t="shared" si="27"/>
        <v>0</v>
      </c>
      <c r="BE54" s="2">
        <f t="shared" si="27"/>
        <v>0</v>
      </c>
      <c r="BF54" s="2">
        <f t="shared" si="27"/>
        <v>0</v>
      </c>
      <c r="BG54" s="2">
        <f t="shared" si="26"/>
        <v>0</v>
      </c>
      <c r="BH54" s="2">
        <f t="shared" si="26"/>
        <v>0</v>
      </c>
      <c r="BI54" s="2">
        <f t="shared" si="26"/>
        <v>0</v>
      </c>
      <c r="BJ54" s="2">
        <f t="shared" si="26"/>
        <v>0</v>
      </c>
      <c r="BK54" s="2">
        <f t="shared" si="26"/>
        <v>0</v>
      </c>
      <c r="BL54" s="2">
        <f t="shared" si="26"/>
        <v>0</v>
      </c>
      <c r="BM54" s="2">
        <f t="shared" si="26"/>
        <v>0</v>
      </c>
      <c r="BN54" s="2">
        <f t="shared" si="26"/>
        <v>0</v>
      </c>
      <c r="BO54" s="2">
        <f t="shared" si="26"/>
        <v>0</v>
      </c>
      <c r="BP54" s="2">
        <f t="shared" si="26"/>
        <v>0</v>
      </c>
      <c r="BQ54" s="2">
        <f t="shared" si="26"/>
        <v>0</v>
      </c>
      <c r="BR54" s="2">
        <f t="shared" si="26"/>
        <v>0</v>
      </c>
      <c r="BS54" s="2">
        <f t="shared" si="26"/>
        <v>0</v>
      </c>
      <c r="BT54" s="2">
        <f t="shared" si="26"/>
        <v>0</v>
      </c>
      <c r="BU54" s="2">
        <f t="shared" si="26"/>
        <v>0</v>
      </c>
      <c r="BV54" s="2">
        <f t="shared" si="28"/>
        <v>0</v>
      </c>
      <c r="BW54" s="2">
        <f t="shared" si="28"/>
        <v>0</v>
      </c>
      <c r="BX54" s="2">
        <f t="shared" si="28"/>
        <v>0</v>
      </c>
      <c r="BY54" s="2">
        <f t="shared" si="28"/>
        <v>0</v>
      </c>
      <c r="BZ54" s="2">
        <f t="shared" si="28"/>
        <v>0</v>
      </c>
      <c r="CA54" s="2">
        <f t="shared" si="28"/>
        <v>0</v>
      </c>
      <c r="CB54" s="2">
        <f t="shared" si="28"/>
        <v>0</v>
      </c>
      <c r="CC54" s="2">
        <f t="shared" si="28"/>
        <v>0</v>
      </c>
      <c r="CD54" s="2">
        <f t="shared" si="28"/>
        <v>0</v>
      </c>
      <c r="CE54" s="2">
        <f t="shared" si="28"/>
        <v>0</v>
      </c>
      <c r="CF54" s="2">
        <f t="shared" si="28"/>
        <v>0</v>
      </c>
      <c r="CG54" s="2">
        <f t="shared" si="28"/>
        <v>0</v>
      </c>
      <c r="CH54" s="2">
        <f t="shared" si="28"/>
        <v>0</v>
      </c>
      <c r="CI54" s="2">
        <f t="shared" si="28"/>
        <v>0</v>
      </c>
      <c r="CJ54" s="2">
        <f t="shared" si="28"/>
        <v>0</v>
      </c>
      <c r="CK54" s="23">
        <f t="shared" si="28"/>
        <v>0</v>
      </c>
      <c r="CN54" s="2">
        <v>25.5</v>
      </c>
      <c r="CO54" s="14">
        <v>3.6780012704100286E-2</v>
      </c>
      <c r="CP54" s="14">
        <v>-1.1631753466228198E-2</v>
      </c>
      <c r="CQ54" s="14">
        <v>1.5391882390867733E-2</v>
      </c>
      <c r="CR54" s="14">
        <v>3.0296996022618577E-2</v>
      </c>
      <c r="CS54" s="14">
        <f t="shared" si="14"/>
        <v>7.0837137651358406E-2</v>
      </c>
    </row>
    <row r="55" spans="1:97" x14ac:dyDescent="0.45">
      <c r="A55" s="16"/>
      <c r="B55" s="17"/>
      <c r="C55" s="19"/>
      <c r="D55" s="19">
        <f t="shared" si="23"/>
        <v>0</v>
      </c>
      <c r="E55" s="19">
        <f t="shared" si="9"/>
        <v>0</v>
      </c>
      <c r="F55" s="19">
        <f t="shared" si="1"/>
        <v>0</v>
      </c>
      <c r="G55" s="20">
        <f t="shared" si="10"/>
        <v>0</v>
      </c>
      <c r="H55" s="20">
        <f>IFERROR(IRR((J55,L55:CK55),0),0)</f>
        <v>0</v>
      </c>
      <c r="I55" s="21">
        <f t="shared" si="2"/>
        <v>0</v>
      </c>
      <c r="J55" s="19">
        <f t="shared" si="13"/>
        <v>0</v>
      </c>
      <c r="K55" s="22">
        <f t="shared" si="3"/>
        <v>0</v>
      </c>
      <c r="L55" s="2">
        <f t="shared" si="30"/>
        <v>0</v>
      </c>
      <c r="M55" s="2">
        <f t="shared" si="30"/>
        <v>0</v>
      </c>
      <c r="N55" s="2">
        <f t="shared" si="30"/>
        <v>0</v>
      </c>
      <c r="O55" s="2">
        <f t="shared" si="30"/>
        <v>0</v>
      </c>
      <c r="P55" s="2">
        <f t="shared" si="30"/>
        <v>0</v>
      </c>
      <c r="Q55" s="2">
        <f t="shared" si="30"/>
        <v>0</v>
      </c>
      <c r="R55" s="2">
        <f t="shared" si="30"/>
        <v>0</v>
      </c>
      <c r="S55" s="2">
        <f t="shared" si="30"/>
        <v>0</v>
      </c>
      <c r="T55" s="2">
        <f t="shared" si="30"/>
        <v>0</v>
      </c>
      <c r="U55" s="2">
        <f t="shared" si="30"/>
        <v>0</v>
      </c>
      <c r="V55" s="2">
        <f t="shared" si="30"/>
        <v>0</v>
      </c>
      <c r="W55" s="2">
        <f t="shared" si="30"/>
        <v>0</v>
      </c>
      <c r="X55" s="2">
        <f t="shared" si="30"/>
        <v>0</v>
      </c>
      <c r="Y55" s="2">
        <f t="shared" si="30"/>
        <v>0</v>
      </c>
      <c r="Z55" s="2">
        <f t="shared" si="30"/>
        <v>0</v>
      </c>
      <c r="AA55" s="2">
        <f t="shared" si="30"/>
        <v>0</v>
      </c>
      <c r="AB55" s="2">
        <f t="shared" si="29"/>
        <v>0</v>
      </c>
      <c r="AC55" s="2">
        <f t="shared" si="29"/>
        <v>0</v>
      </c>
      <c r="AD55" s="2">
        <f t="shared" si="29"/>
        <v>0</v>
      </c>
      <c r="AE55" s="2">
        <f t="shared" si="29"/>
        <v>0</v>
      </c>
      <c r="AF55" s="2">
        <f t="shared" si="29"/>
        <v>0</v>
      </c>
      <c r="AG55" s="2">
        <f t="shared" si="29"/>
        <v>0</v>
      </c>
      <c r="AH55" s="2">
        <f t="shared" si="29"/>
        <v>0</v>
      </c>
      <c r="AI55" s="2">
        <f t="shared" si="29"/>
        <v>0</v>
      </c>
      <c r="AJ55" s="2">
        <f t="shared" si="29"/>
        <v>0</v>
      </c>
      <c r="AK55" s="2">
        <f t="shared" si="29"/>
        <v>0</v>
      </c>
      <c r="AL55" s="2">
        <f t="shared" si="29"/>
        <v>0</v>
      </c>
      <c r="AM55" s="2">
        <f t="shared" si="29"/>
        <v>0</v>
      </c>
      <c r="AN55" s="2">
        <f t="shared" si="29"/>
        <v>0</v>
      </c>
      <c r="AO55" s="2">
        <f t="shared" si="29"/>
        <v>0</v>
      </c>
      <c r="AP55" s="2">
        <f t="shared" si="29"/>
        <v>0</v>
      </c>
      <c r="AQ55" s="2">
        <f t="shared" si="27"/>
        <v>0</v>
      </c>
      <c r="AR55" s="2">
        <f t="shared" si="27"/>
        <v>0</v>
      </c>
      <c r="AS55" s="2">
        <f t="shared" si="27"/>
        <v>0</v>
      </c>
      <c r="AT55" s="2">
        <f t="shared" si="27"/>
        <v>0</v>
      </c>
      <c r="AU55" s="2">
        <f t="shared" si="27"/>
        <v>0</v>
      </c>
      <c r="AV55" s="2">
        <f t="shared" si="27"/>
        <v>0</v>
      </c>
      <c r="AW55" s="2">
        <f t="shared" si="27"/>
        <v>0</v>
      </c>
      <c r="AX55" s="2">
        <f t="shared" si="27"/>
        <v>0</v>
      </c>
      <c r="AY55" s="2">
        <f t="shared" si="27"/>
        <v>0</v>
      </c>
      <c r="AZ55" s="2">
        <f t="shared" si="27"/>
        <v>0</v>
      </c>
      <c r="BA55" s="2">
        <f t="shared" si="27"/>
        <v>0</v>
      </c>
      <c r="BB55" s="2">
        <f t="shared" si="27"/>
        <v>0</v>
      </c>
      <c r="BC55" s="2">
        <f t="shared" si="27"/>
        <v>0</v>
      </c>
      <c r="BD55" s="2">
        <f t="shared" si="27"/>
        <v>0</v>
      </c>
      <c r="BE55" s="2">
        <f t="shared" si="27"/>
        <v>0</v>
      </c>
      <c r="BF55" s="2">
        <f t="shared" si="27"/>
        <v>0</v>
      </c>
      <c r="BG55" s="2">
        <f t="shared" si="26"/>
        <v>0</v>
      </c>
      <c r="BH55" s="2">
        <f t="shared" si="26"/>
        <v>0</v>
      </c>
      <c r="BI55" s="2">
        <f t="shared" si="26"/>
        <v>0</v>
      </c>
      <c r="BJ55" s="2">
        <f t="shared" si="26"/>
        <v>0</v>
      </c>
      <c r="BK55" s="2">
        <f t="shared" si="26"/>
        <v>0</v>
      </c>
      <c r="BL55" s="2">
        <f t="shared" si="26"/>
        <v>0</v>
      </c>
      <c r="BM55" s="2">
        <f t="shared" si="26"/>
        <v>0</v>
      </c>
      <c r="BN55" s="2">
        <f t="shared" si="26"/>
        <v>0</v>
      </c>
      <c r="BO55" s="2">
        <f t="shared" si="26"/>
        <v>0</v>
      </c>
      <c r="BP55" s="2">
        <f t="shared" si="26"/>
        <v>0</v>
      </c>
      <c r="BQ55" s="2">
        <f t="shared" si="26"/>
        <v>0</v>
      </c>
      <c r="BR55" s="2">
        <f t="shared" si="26"/>
        <v>0</v>
      </c>
      <c r="BS55" s="2">
        <f t="shared" si="26"/>
        <v>0</v>
      </c>
      <c r="BT55" s="2">
        <f t="shared" si="26"/>
        <v>0</v>
      </c>
      <c r="BU55" s="2">
        <f t="shared" si="26"/>
        <v>0</v>
      </c>
      <c r="BV55" s="2">
        <f t="shared" si="28"/>
        <v>0</v>
      </c>
      <c r="BW55" s="2">
        <f t="shared" si="28"/>
        <v>0</v>
      </c>
      <c r="BX55" s="2">
        <f t="shared" si="28"/>
        <v>0</v>
      </c>
      <c r="BY55" s="2">
        <f t="shared" si="28"/>
        <v>0</v>
      </c>
      <c r="BZ55" s="2">
        <f t="shared" si="28"/>
        <v>0</v>
      </c>
      <c r="CA55" s="2">
        <f t="shared" si="28"/>
        <v>0</v>
      </c>
      <c r="CB55" s="2">
        <f t="shared" si="28"/>
        <v>0</v>
      </c>
      <c r="CC55" s="2">
        <f t="shared" si="28"/>
        <v>0</v>
      </c>
      <c r="CD55" s="2">
        <f t="shared" si="28"/>
        <v>0</v>
      </c>
      <c r="CE55" s="2">
        <f t="shared" si="28"/>
        <v>0</v>
      </c>
      <c r="CF55" s="2">
        <f t="shared" si="28"/>
        <v>0</v>
      </c>
      <c r="CG55" s="2">
        <f t="shared" si="28"/>
        <v>0</v>
      </c>
      <c r="CH55" s="2">
        <f t="shared" si="28"/>
        <v>0</v>
      </c>
      <c r="CI55" s="2">
        <f t="shared" si="28"/>
        <v>0</v>
      </c>
      <c r="CJ55" s="2">
        <f t="shared" si="28"/>
        <v>0</v>
      </c>
      <c r="CK55" s="23">
        <f t="shared" si="28"/>
        <v>0</v>
      </c>
      <c r="CN55" s="2">
        <v>26</v>
      </c>
      <c r="CO55" s="14">
        <v>3.6780012704100286E-2</v>
      </c>
      <c r="CP55" s="14">
        <v>-1.1506961078890361E-2</v>
      </c>
      <c r="CQ55" s="14">
        <v>1.5439738049266606E-2</v>
      </c>
      <c r="CR55" s="14">
        <v>3.0650884118152338E-2</v>
      </c>
      <c r="CS55" s="14">
        <f t="shared" si="14"/>
        <v>7.1363673792628868E-2</v>
      </c>
    </row>
    <row r="56" spans="1:97" x14ac:dyDescent="0.45">
      <c r="A56" s="16"/>
      <c r="B56" s="17"/>
      <c r="C56" s="19"/>
      <c r="D56" s="19">
        <f t="shared" si="23"/>
        <v>0</v>
      </c>
      <c r="E56" s="19">
        <f t="shared" si="9"/>
        <v>0</v>
      </c>
      <c r="F56" s="19">
        <f t="shared" si="1"/>
        <v>0</v>
      </c>
      <c r="G56" s="20">
        <f t="shared" si="10"/>
        <v>0</v>
      </c>
      <c r="H56" s="20">
        <f>IFERROR(IRR((J56,L56:CK56),0),0)</f>
        <v>0</v>
      </c>
      <c r="I56" s="21">
        <f t="shared" si="2"/>
        <v>0</v>
      </c>
      <c r="J56" s="19">
        <f t="shared" si="13"/>
        <v>0</v>
      </c>
      <c r="K56" s="22">
        <f t="shared" si="3"/>
        <v>0</v>
      </c>
      <c r="L56" s="2">
        <f t="shared" si="30"/>
        <v>0</v>
      </c>
      <c r="M56" s="2">
        <f t="shared" si="30"/>
        <v>0</v>
      </c>
      <c r="N56" s="2">
        <f t="shared" si="30"/>
        <v>0</v>
      </c>
      <c r="O56" s="2">
        <f t="shared" si="30"/>
        <v>0</v>
      </c>
      <c r="P56" s="2">
        <f t="shared" si="30"/>
        <v>0</v>
      </c>
      <c r="Q56" s="2">
        <f t="shared" si="30"/>
        <v>0</v>
      </c>
      <c r="R56" s="2">
        <f t="shared" si="30"/>
        <v>0</v>
      </c>
      <c r="S56" s="2">
        <f t="shared" si="30"/>
        <v>0</v>
      </c>
      <c r="T56" s="2">
        <f t="shared" si="30"/>
        <v>0</v>
      </c>
      <c r="U56" s="2">
        <f t="shared" si="30"/>
        <v>0</v>
      </c>
      <c r="V56" s="2">
        <f t="shared" si="30"/>
        <v>0</v>
      </c>
      <c r="W56" s="2">
        <f t="shared" si="30"/>
        <v>0</v>
      </c>
      <c r="X56" s="2">
        <f t="shared" si="30"/>
        <v>0</v>
      </c>
      <c r="Y56" s="2">
        <f t="shared" si="30"/>
        <v>0</v>
      </c>
      <c r="Z56" s="2">
        <f t="shared" si="30"/>
        <v>0</v>
      </c>
      <c r="AA56" s="2">
        <f t="shared" si="30"/>
        <v>0</v>
      </c>
      <c r="AB56" s="2">
        <f t="shared" si="29"/>
        <v>0</v>
      </c>
      <c r="AC56" s="2">
        <f t="shared" si="29"/>
        <v>0</v>
      </c>
      <c r="AD56" s="2">
        <f t="shared" si="29"/>
        <v>0</v>
      </c>
      <c r="AE56" s="2">
        <f t="shared" si="29"/>
        <v>0</v>
      </c>
      <c r="AF56" s="2">
        <f t="shared" si="29"/>
        <v>0</v>
      </c>
      <c r="AG56" s="2">
        <f t="shared" si="29"/>
        <v>0</v>
      </c>
      <c r="AH56" s="2">
        <f t="shared" si="29"/>
        <v>0</v>
      </c>
      <c r="AI56" s="2">
        <f t="shared" si="29"/>
        <v>0</v>
      </c>
      <c r="AJ56" s="2">
        <f t="shared" si="29"/>
        <v>0</v>
      </c>
      <c r="AK56" s="2">
        <f t="shared" si="29"/>
        <v>0</v>
      </c>
      <c r="AL56" s="2">
        <f t="shared" si="29"/>
        <v>0</v>
      </c>
      <c r="AM56" s="2">
        <f t="shared" si="29"/>
        <v>0</v>
      </c>
      <c r="AN56" s="2">
        <f t="shared" si="29"/>
        <v>0</v>
      </c>
      <c r="AO56" s="2">
        <f t="shared" si="29"/>
        <v>0</v>
      </c>
      <c r="AP56" s="2">
        <f t="shared" si="29"/>
        <v>0</v>
      </c>
      <c r="AQ56" s="2">
        <f t="shared" si="27"/>
        <v>0</v>
      </c>
      <c r="AR56" s="2">
        <f t="shared" si="27"/>
        <v>0</v>
      </c>
      <c r="AS56" s="2">
        <f t="shared" si="27"/>
        <v>0</v>
      </c>
      <c r="AT56" s="2">
        <f t="shared" si="27"/>
        <v>0</v>
      </c>
      <c r="AU56" s="2">
        <f t="shared" si="27"/>
        <v>0</v>
      </c>
      <c r="AV56" s="2">
        <f t="shared" si="27"/>
        <v>0</v>
      </c>
      <c r="AW56" s="2">
        <f t="shared" si="27"/>
        <v>0</v>
      </c>
      <c r="AX56" s="2">
        <f t="shared" si="27"/>
        <v>0</v>
      </c>
      <c r="AY56" s="2">
        <f t="shared" si="27"/>
        <v>0</v>
      </c>
      <c r="AZ56" s="2">
        <f t="shared" si="27"/>
        <v>0</v>
      </c>
      <c r="BA56" s="2">
        <f t="shared" si="27"/>
        <v>0</v>
      </c>
      <c r="BB56" s="2">
        <f t="shared" si="27"/>
        <v>0</v>
      </c>
      <c r="BC56" s="2">
        <f t="shared" si="27"/>
        <v>0</v>
      </c>
      <c r="BD56" s="2">
        <f t="shared" si="27"/>
        <v>0</v>
      </c>
      <c r="BE56" s="2">
        <f t="shared" si="27"/>
        <v>0</v>
      </c>
      <c r="BF56" s="2">
        <f t="shared" si="27"/>
        <v>0</v>
      </c>
      <c r="BG56" s="2">
        <f t="shared" si="26"/>
        <v>0</v>
      </c>
      <c r="BH56" s="2">
        <f t="shared" si="26"/>
        <v>0</v>
      </c>
      <c r="BI56" s="2">
        <f t="shared" si="26"/>
        <v>0</v>
      </c>
      <c r="BJ56" s="2">
        <f t="shared" si="26"/>
        <v>0</v>
      </c>
      <c r="BK56" s="2">
        <f t="shared" si="26"/>
        <v>0</v>
      </c>
      <c r="BL56" s="2">
        <f t="shared" si="26"/>
        <v>0</v>
      </c>
      <c r="BM56" s="2">
        <f t="shared" si="26"/>
        <v>0</v>
      </c>
      <c r="BN56" s="2">
        <f t="shared" si="26"/>
        <v>0</v>
      </c>
      <c r="BO56" s="2">
        <f t="shared" si="26"/>
        <v>0</v>
      </c>
      <c r="BP56" s="2">
        <f t="shared" si="26"/>
        <v>0</v>
      </c>
      <c r="BQ56" s="2">
        <f t="shared" si="26"/>
        <v>0</v>
      </c>
      <c r="BR56" s="2">
        <f t="shared" si="26"/>
        <v>0</v>
      </c>
      <c r="BS56" s="2">
        <f t="shared" si="26"/>
        <v>0</v>
      </c>
      <c r="BT56" s="2">
        <f t="shared" si="26"/>
        <v>0</v>
      </c>
      <c r="BU56" s="2">
        <f t="shared" si="26"/>
        <v>0</v>
      </c>
      <c r="BV56" s="2">
        <f t="shared" si="28"/>
        <v>0</v>
      </c>
      <c r="BW56" s="2">
        <f t="shared" si="28"/>
        <v>0</v>
      </c>
      <c r="BX56" s="2">
        <f t="shared" si="28"/>
        <v>0</v>
      </c>
      <c r="BY56" s="2">
        <f t="shared" si="28"/>
        <v>0</v>
      </c>
      <c r="BZ56" s="2">
        <f t="shared" si="28"/>
        <v>0</v>
      </c>
      <c r="CA56" s="2">
        <f t="shared" si="28"/>
        <v>0</v>
      </c>
      <c r="CB56" s="2">
        <f t="shared" si="28"/>
        <v>0</v>
      </c>
      <c r="CC56" s="2">
        <f t="shared" si="28"/>
        <v>0</v>
      </c>
      <c r="CD56" s="2">
        <f t="shared" si="28"/>
        <v>0</v>
      </c>
      <c r="CE56" s="2">
        <f t="shared" si="28"/>
        <v>0</v>
      </c>
      <c r="CF56" s="2">
        <f t="shared" si="28"/>
        <v>0</v>
      </c>
      <c r="CG56" s="2">
        <f t="shared" si="28"/>
        <v>0</v>
      </c>
      <c r="CH56" s="2">
        <f t="shared" si="28"/>
        <v>0</v>
      </c>
      <c r="CI56" s="2">
        <f t="shared" si="28"/>
        <v>0</v>
      </c>
      <c r="CJ56" s="2">
        <f t="shared" si="28"/>
        <v>0</v>
      </c>
      <c r="CK56" s="23">
        <f t="shared" si="28"/>
        <v>0</v>
      </c>
      <c r="CN56" s="2">
        <v>26.5</v>
      </c>
      <c r="CO56" s="14">
        <v>3.6780012704100286E-2</v>
      </c>
      <c r="CP56" s="14">
        <v>-1.1384184928013859E-2</v>
      </c>
      <c r="CQ56" s="14">
        <v>1.5482793995326502E-2</v>
      </c>
      <c r="CR56" s="14">
        <v>3.0997723082058774E-2</v>
      </c>
      <c r="CS56" s="14">
        <f t="shared" si="14"/>
        <v>7.1876344853471705E-2</v>
      </c>
    </row>
    <row r="57" spans="1:97" x14ac:dyDescent="0.45">
      <c r="A57" s="16"/>
      <c r="B57" s="17"/>
      <c r="C57" s="19"/>
      <c r="D57" s="19">
        <f t="shared" si="23"/>
        <v>0</v>
      </c>
      <c r="E57" s="19">
        <f t="shared" si="9"/>
        <v>0</v>
      </c>
      <c r="F57" s="19">
        <f t="shared" si="1"/>
        <v>0</v>
      </c>
      <c r="G57" s="20">
        <f t="shared" si="10"/>
        <v>0</v>
      </c>
      <c r="H57" s="20">
        <f>IFERROR(IRR((J57,L57:CK57),0),0)</f>
        <v>0</v>
      </c>
      <c r="I57" s="21">
        <f t="shared" si="2"/>
        <v>0</v>
      </c>
      <c r="J57" s="19">
        <f t="shared" si="13"/>
        <v>0</v>
      </c>
      <c r="K57" s="22">
        <f t="shared" si="3"/>
        <v>0</v>
      </c>
      <c r="L57" s="2">
        <f t="shared" si="30"/>
        <v>0</v>
      </c>
      <c r="M57" s="2">
        <f t="shared" si="30"/>
        <v>0</v>
      </c>
      <c r="N57" s="2">
        <f t="shared" si="30"/>
        <v>0</v>
      </c>
      <c r="O57" s="2">
        <f t="shared" si="30"/>
        <v>0</v>
      </c>
      <c r="P57" s="2">
        <f t="shared" si="30"/>
        <v>0</v>
      </c>
      <c r="Q57" s="2">
        <f t="shared" si="30"/>
        <v>0</v>
      </c>
      <c r="R57" s="2">
        <f t="shared" si="30"/>
        <v>0</v>
      </c>
      <c r="S57" s="2">
        <f t="shared" si="30"/>
        <v>0</v>
      </c>
      <c r="T57" s="2">
        <f t="shared" si="30"/>
        <v>0</v>
      </c>
      <c r="U57" s="2">
        <f t="shared" si="30"/>
        <v>0</v>
      </c>
      <c r="V57" s="2">
        <f t="shared" si="30"/>
        <v>0</v>
      </c>
      <c r="W57" s="2">
        <f t="shared" si="30"/>
        <v>0</v>
      </c>
      <c r="X57" s="2">
        <f t="shared" si="30"/>
        <v>0</v>
      </c>
      <c r="Y57" s="2">
        <f t="shared" si="30"/>
        <v>0</v>
      </c>
      <c r="Z57" s="2">
        <f t="shared" si="30"/>
        <v>0</v>
      </c>
      <c r="AA57" s="2">
        <f t="shared" si="30"/>
        <v>0</v>
      </c>
      <c r="AB57" s="2">
        <f t="shared" si="29"/>
        <v>0</v>
      </c>
      <c r="AC57" s="2">
        <f t="shared" si="29"/>
        <v>0</v>
      </c>
      <c r="AD57" s="2">
        <f t="shared" si="29"/>
        <v>0</v>
      </c>
      <c r="AE57" s="2">
        <f t="shared" si="29"/>
        <v>0</v>
      </c>
      <c r="AF57" s="2">
        <f t="shared" si="29"/>
        <v>0</v>
      </c>
      <c r="AG57" s="2">
        <f t="shared" si="29"/>
        <v>0</v>
      </c>
      <c r="AH57" s="2">
        <f t="shared" si="29"/>
        <v>0</v>
      </c>
      <c r="AI57" s="2">
        <f t="shared" si="29"/>
        <v>0</v>
      </c>
      <c r="AJ57" s="2">
        <f t="shared" si="29"/>
        <v>0</v>
      </c>
      <c r="AK57" s="2">
        <f t="shared" si="29"/>
        <v>0</v>
      </c>
      <c r="AL57" s="2">
        <f t="shared" si="29"/>
        <v>0</v>
      </c>
      <c r="AM57" s="2">
        <f t="shared" si="29"/>
        <v>0</v>
      </c>
      <c r="AN57" s="2">
        <f t="shared" si="29"/>
        <v>0</v>
      </c>
      <c r="AO57" s="2">
        <f t="shared" si="29"/>
        <v>0</v>
      </c>
      <c r="AP57" s="2">
        <f t="shared" si="29"/>
        <v>0</v>
      </c>
      <c r="AQ57" s="2">
        <f t="shared" si="27"/>
        <v>0</v>
      </c>
      <c r="AR57" s="2">
        <f t="shared" si="27"/>
        <v>0</v>
      </c>
      <c r="AS57" s="2">
        <f t="shared" si="27"/>
        <v>0</v>
      </c>
      <c r="AT57" s="2">
        <f t="shared" si="27"/>
        <v>0</v>
      </c>
      <c r="AU57" s="2">
        <f t="shared" si="27"/>
        <v>0</v>
      </c>
      <c r="AV57" s="2">
        <f t="shared" si="27"/>
        <v>0</v>
      </c>
      <c r="AW57" s="2">
        <f t="shared" si="27"/>
        <v>0</v>
      </c>
      <c r="AX57" s="2">
        <f t="shared" si="27"/>
        <v>0</v>
      </c>
      <c r="AY57" s="2">
        <f t="shared" si="27"/>
        <v>0</v>
      </c>
      <c r="AZ57" s="2">
        <f t="shared" si="27"/>
        <v>0</v>
      </c>
      <c r="BA57" s="2">
        <f t="shared" si="27"/>
        <v>0</v>
      </c>
      <c r="BB57" s="2">
        <f t="shared" si="27"/>
        <v>0</v>
      </c>
      <c r="BC57" s="2">
        <f t="shared" si="27"/>
        <v>0</v>
      </c>
      <c r="BD57" s="2">
        <f t="shared" si="27"/>
        <v>0</v>
      </c>
      <c r="BE57" s="2">
        <f t="shared" si="27"/>
        <v>0</v>
      </c>
      <c r="BF57" s="2">
        <f t="shared" si="27"/>
        <v>0</v>
      </c>
      <c r="BG57" s="2">
        <f t="shared" si="26"/>
        <v>0</v>
      </c>
      <c r="BH57" s="2">
        <f t="shared" si="26"/>
        <v>0</v>
      </c>
      <c r="BI57" s="2">
        <f t="shared" si="26"/>
        <v>0</v>
      </c>
      <c r="BJ57" s="2">
        <f t="shared" si="26"/>
        <v>0</v>
      </c>
      <c r="BK57" s="2">
        <f t="shared" si="26"/>
        <v>0</v>
      </c>
      <c r="BL57" s="2">
        <f t="shared" si="26"/>
        <v>0</v>
      </c>
      <c r="BM57" s="2">
        <f t="shared" si="26"/>
        <v>0</v>
      </c>
      <c r="BN57" s="2">
        <f t="shared" si="26"/>
        <v>0</v>
      </c>
      <c r="BO57" s="2">
        <f t="shared" si="26"/>
        <v>0</v>
      </c>
      <c r="BP57" s="2">
        <f t="shared" si="26"/>
        <v>0</v>
      </c>
      <c r="BQ57" s="2">
        <f t="shared" si="26"/>
        <v>0</v>
      </c>
      <c r="BR57" s="2">
        <f t="shared" si="26"/>
        <v>0</v>
      </c>
      <c r="BS57" s="2">
        <f t="shared" si="26"/>
        <v>0</v>
      </c>
      <c r="BT57" s="2">
        <f t="shared" si="26"/>
        <v>0</v>
      </c>
      <c r="BU57" s="2">
        <f t="shared" si="26"/>
        <v>0</v>
      </c>
      <c r="BV57" s="2">
        <f t="shared" si="28"/>
        <v>0</v>
      </c>
      <c r="BW57" s="2">
        <f t="shared" si="28"/>
        <v>0</v>
      </c>
      <c r="BX57" s="2">
        <f t="shared" si="28"/>
        <v>0</v>
      </c>
      <c r="BY57" s="2">
        <f t="shared" si="28"/>
        <v>0</v>
      </c>
      <c r="BZ57" s="2">
        <f t="shared" si="28"/>
        <v>0</v>
      </c>
      <c r="CA57" s="2">
        <f t="shared" si="28"/>
        <v>0</v>
      </c>
      <c r="CB57" s="2">
        <f t="shared" si="28"/>
        <v>0</v>
      </c>
      <c r="CC57" s="2">
        <f t="shared" si="28"/>
        <v>0</v>
      </c>
      <c r="CD57" s="2">
        <f t="shared" si="28"/>
        <v>0</v>
      </c>
      <c r="CE57" s="2">
        <f t="shared" si="28"/>
        <v>0</v>
      </c>
      <c r="CF57" s="2">
        <f t="shared" si="28"/>
        <v>0</v>
      </c>
      <c r="CG57" s="2">
        <f t="shared" si="28"/>
        <v>0</v>
      </c>
      <c r="CH57" s="2">
        <f t="shared" si="28"/>
        <v>0</v>
      </c>
      <c r="CI57" s="2">
        <f t="shared" si="28"/>
        <v>0</v>
      </c>
      <c r="CJ57" s="2">
        <f t="shared" si="28"/>
        <v>0</v>
      </c>
      <c r="CK57" s="23">
        <f t="shared" si="28"/>
        <v>0</v>
      </c>
      <c r="CN57" s="2">
        <v>27</v>
      </c>
      <c r="CO57" s="14">
        <v>3.6780012704100286E-2</v>
      </c>
      <c r="CP57" s="14">
        <v>-1.1263386354371595E-2</v>
      </c>
      <c r="CQ57" s="14">
        <v>1.5521224934175258E-2</v>
      </c>
      <c r="CR57" s="14">
        <v>3.133761528134698E-2</v>
      </c>
      <c r="CS57" s="14">
        <f t="shared" si="14"/>
        <v>7.2375466565250929E-2</v>
      </c>
    </row>
    <row r="58" spans="1:97" x14ac:dyDescent="0.45">
      <c r="A58" s="16"/>
      <c r="B58" s="17"/>
      <c r="C58" s="19"/>
      <c r="D58" s="19">
        <f t="shared" si="23"/>
        <v>0</v>
      </c>
      <c r="E58" s="19">
        <f t="shared" si="9"/>
        <v>0</v>
      </c>
      <c r="F58" s="19">
        <f t="shared" si="1"/>
        <v>0</v>
      </c>
      <c r="G58" s="20">
        <f t="shared" si="10"/>
        <v>0</v>
      </c>
      <c r="H58" s="20">
        <f>IFERROR(IRR((J58,L58:CK58),0),0)</f>
        <v>0</v>
      </c>
      <c r="I58" s="21">
        <f t="shared" si="2"/>
        <v>0</v>
      </c>
      <c r="J58" s="19">
        <f t="shared" si="13"/>
        <v>0</v>
      </c>
      <c r="K58" s="22">
        <f t="shared" si="3"/>
        <v>0</v>
      </c>
      <c r="L58" s="2">
        <f t="shared" si="30"/>
        <v>0</v>
      </c>
      <c r="M58" s="2">
        <f t="shared" si="30"/>
        <v>0</v>
      </c>
      <c r="N58" s="2">
        <f t="shared" si="30"/>
        <v>0</v>
      </c>
      <c r="O58" s="2">
        <f t="shared" si="30"/>
        <v>0</v>
      </c>
      <c r="P58" s="2">
        <f t="shared" si="30"/>
        <v>0</v>
      </c>
      <c r="Q58" s="2">
        <f t="shared" si="30"/>
        <v>0</v>
      </c>
      <c r="R58" s="2">
        <f t="shared" si="30"/>
        <v>0</v>
      </c>
      <c r="S58" s="2">
        <f t="shared" si="30"/>
        <v>0</v>
      </c>
      <c r="T58" s="2">
        <f t="shared" si="30"/>
        <v>0</v>
      </c>
      <c r="U58" s="2">
        <f t="shared" si="30"/>
        <v>0</v>
      </c>
      <c r="V58" s="2">
        <f t="shared" si="30"/>
        <v>0</v>
      </c>
      <c r="W58" s="2">
        <f t="shared" si="30"/>
        <v>0</v>
      </c>
      <c r="X58" s="2">
        <f t="shared" si="30"/>
        <v>0</v>
      </c>
      <c r="Y58" s="2">
        <f t="shared" si="30"/>
        <v>0</v>
      </c>
      <c r="Z58" s="2">
        <f t="shared" si="30"/>
        <v>0</v>
      </c>
      <c r="AA58" s="2">
        <f t="shared" si="30"/>
        <v>0</v>
      </c>
      <c r="AB58" s="2">
        <f t="shared" si="29"/>
        <v>0</v>
      </c>
      <c r="AC58" s="2">
        <f t="shared" si="29"/>
        <v>0</v>
      </c>
      <c r="AD58" s="2">
        <f t="shared" si="29"/>
        <v>0</v>
      </c>
      <c r="AE58" s="2">
        <f t="shared" si="29"/>
        <v>0</v>
      </c>
      <c r="AF58" s="2">
        <f t="shared" si="29"/>
        <v>0</v>
      </c>
      <c r="AG58" s="2">
        <f t="shared" si="29"/>
        <v>0</v>
      </c>
      <c r="AH58" s="2">
        <f t="shared" si="29"/>
        <v>0</v>
      </c>
      <c r="AI58" s="2">
        <f t="shared" si="29"/>
        <v>0</v>
      </c>
      <c r="AJ58" s="2">
        <f t="shared" si="29"/>
        <v>0</v>
      </c>
      <c r="AK58" s="2">
        <f t="shared" si="29"/>
        <v>0</v>
      </c>
      <c r="AL58" s="2">
        <f t="shared" si="29"/>
        <v>0</v>
      </c>
      <c r="AM58" s="2">
        <f t="shared" si="29"/>
        <v>0</v>
      </c>
      <c r="AN58" s="2">
        <f t="shared" si="29"/>
        <v>0</v>
      </c>
      <c r="AO58" s="2">
        <f t="shared" si="29"/>
        <v>0</v>
      </c>
      <c r="AP58" s="2">
        <f t="shared" si="29"/>
        <v>0</v>
      </c>
      <c r="AQ58" s="2">
        <f t="shared" si="27"/>
        <v>0</v>
      </c>
      <c r="AR58" s="2">
        <f t="shared" si="27"/>
        <v>0</v>
      </c>
      <c r="AS58" s="2">
        <f t="shared" si="27"/>
        <v>0</v>
      </c>
      <c r="AT58" s="2">
        <f t="shared" si="27"/>
        <v>0</v>
      </c>
      <c r="AU58" s="2">
        <f t="shared" si="27"/>
        <v>0</v>
      </c>
      <c r="AV58" s="2">
        <f t="shared" si="27"/>
        <v>0</v>
      </c>
      <c r="AW58" s="2">
        <f t="shared" si="27"/>
        <v>0</v>
      </c>
      <c r="AX58" s="2">
        <f t="shared" si="27"/>
        <v>0</v>
      </c>
      <c r="AY58" s="2">
        <f t="shared" si="27"/>
        <v>0</v>
      </c>
      <c r="AZ58" s="2">
        <f t="shared" si="27"/>
        <v>0</v>
      </c>
      <c r="BA58" s="2">
        <f t="shared" si="27"/>
        <v>0</v>
      </c>
      <c r="BB58" s="2">
        <f t="shared" si="27"/>
        <v>0</v>
      </c>
      <c r="BC58" s="2">
        <f t="shared" si="27"/>
        <v>0</v>
      </c>
      <c r="BD58" s="2">
        <f t="shared" si="27"/>
        <v>0</v>
      </c>
      <c r="BE58" s="2">
        <f t="shared" si="27"/>
        <v>0</v>
      </c>
      <c r="BF58" s="2">
        <f t="shared" si="27"/>
        <v>0</v>
      </c>
      <c r="BG58" s="2">
        <f t="shared" si="26"/>
        <v>0</v>
      </c>
      <c r="BH58" s="2">
        <f t="shared" si="26"/>
        <v>0</v>
      </c>
      <c r="BI58" s="2">
        <f t="shared" si="26"/>
        <v>0</v>
      </c>
      <c r="BJ58" s="2">
        <f t="shared" si="26"/>
        <v>0</v>
      </c>
      <c r="BK58" s="2">
        <f t="shared" si="26"/>
        <v>0</v>
      </c>
      <c r="BL58" s="2">
        <f t="shared" si="26"/>
        <v>0</v>
      </c>
      <c r="BM58" s="2">
        <f t="shared" si="26"/>
        <v>0</v>
      </c>
      <c r="BN58" s="2">
        <f t="shared" si="26"/>
        <v>0</v>
      </c>
      <c r="BO58" s="2">
        <f t="shared" si="26"/>
        <v>0</v>
      </c>
      <c r="BP58" s="2">
        <f t="shared" si="26"/>
        <v>0</v>
      </c>
      <c r="BQ58" s="2">
        <f t="shared" si="26"/>
        <v>0</v>
      </c>
      <c r="BR58" s="2">
        <f t="shared" si="26"/>
        <v>0</v>
      </c>
      <c r="BS58" s="2">
        <f t="shared" si="26"/>
        <v>0</v>
      </c>
      <c r="BT58" s="2">
        <f t="shared" si="26"/>
        <v>0</v>
      </c>
      <c r="BU58" s="2">
        <f t="shared" si="26"/>
        <v>0</v>
      </c>
      <c r="BV58" s="2">
        <f t="shared" si="28"/>
        <v>0</v>
      </c>
      <c r="BW58" s="2">
        <f t="shared" si="28"/>
        <v>0</v>
      </c>
      <c r="BX58" s="2">
        <f t="shared" si="28"/>
        <v>0</v>
      </c>
      <c r="BY58" s="2">
        <f t="shared" si="28"/>
        <v>0</v>
      </c>
      <c r="BZ58" s="2">
        <f t="shared" si="28"/>
        <v>0</v>
      </c>
      <c r="CA58" s="2">
        <f t="shared" si="28"/>
        <v>0</v>
      </c>
      <c r="CB58" s="2">
        <f t="shared" si="28"/>
        <v>0</v>
      </c>
      <c r="CC58" s="2">
        <f t="shared" si="28"/>
        <v>0</v>
      </c>
      <c r="CD58" s="2">
        <f t="shared" si="28"/>
        <v>0</v>
      </c>
      <c r="CE58" s="2">
        <f t="shared" si="28"/>
        <v>0</v>
      </c>
      <c r="CF58" s="2">
        <f t="shared" si="28"/>
        <v>0</v>
      </c>
      <c r="CG58" s="2">
        <f t="shared" si="28"/>
        <v>0</v>
      </c>
      <c r="CH58" s="2">
        <f t="shared" si="28"/>
        <v>0</v>
      </c>
      <c r="CI58" s="2">
        <f t="shared" si="28"/>
        <v>0</v>
      </c>
      <c r="CJ58" s="2">
        <f t="shared" si="28"/>
        <v>0</v>
      </c>
      <c r="CK58" s="23">
        <f t="shared" si="28"/>
        <v>0</v>
      </c>
      <c r="CN58" s="2">
        <v>27.5</v>
      </c>
      <c r="CO58" s="14">
        <v>3.6780012704100286E-2</v>
      </c>
      <c r="CP58" s="14">
        <v>-1.1144527511496945E-2</v>
      </c>
      <c r="CQ58" s="14">
        <v>1.5555200098144102E-2</v>
      </c>
      <c r="CR58" s="14">
        <v>3.1670661712147503E-2</v>
      </c>
      <c r="CS58" s="14">
        <f t="shared" si="14"/>
        <v>7.2861347002894955E-2</v>
      </c>
    </row>
    <row r="59" spans="1:97" x14ac:dyDescent="0.45">
      <c r="A59" s="16"/>
      <c r="B59" s="17"/>
      <c r="C59" s="19"/>
      <c r="D59" s="19">
        <f t="shared" si="23"/>
        <v>0</v>
      </c>
      <c r="E59" s="19">
        <f t="shared" si="9"/>
        <v>0</v>
      </c>
      <c r="F59" s="19">
        <f t="shared" si="1"/>
        <v>0</v>
      </c>
      <c r="G59" s="20">
        <f t="shared" si="10"/>
        <v>0</v>
      </c>
      <c r="H59" s="20">
        <f>IFERROR(IRR((J59,L59:CK59),0),0)</f>
        <v>0</v>
      </c>
      <c r="I59" s="21">
        <f t="shared" si="2"/>
        <v>0</v>
      </c>
      <c r="J59" s="19">
        <f t="shared" si="13"/>
        <v>0</v>
      </c>
      <c r="K59" s="22">
        <f t="shared" si="3"/>
        <v>0</v>
      </c>
      <c r="L59" s="2">
        <f t="shared" si="30"/>
        <v>0</v>
      </c>
      <c r="M59" s="2">
        <f t="shared" si="30"/>
        <v>0</v>
      </c>
      <c r="N59" s="2">
        <f t="shared" si="30"/>
        <v>0</v>
      </c>
      <c r="O59" s="2">
        <f t="shared" si="30"/>
        <v>0</v>
      </c>
      <c r="P59" s="2">
        <f t="shared" si="30"/>
        <v>0</v>
      </c>
      <c r="Q59" s="2">
        <f t="shared" si="30"/>
        <v>0</v>
      </c>
      <c r="R59" s="2">
        <f t="shared" si="30"/>
        <v>0</v>
      </c>
      <c r="S59" s="2">
        <f t="shared" si="30"/>
        <v>0</v>
      </c>
      <c r="T59" s="2">
        <f t="shared" si="30"/>
        <v>0</v>
      </c>
      <c r="U59" s="2">
        <f t="shared" si="30"/>
        <v>0</v>
      </c>
      <c r="V59" s="2">
        <f t="shared" si="30"/>
        <v>0</v>
      </c>
      <c r="W59" s="2">
        <f t="shared" si="30"/>
        <v>0</v>
      </c>
      <c r="X59" s="2">
        <f t="shared" si="30"/>
        <v>0</v>
      </c>
      <c r="Y59" s="2">
        <f t="shared" si="30"/>
        <v>0</v>
      </c>
      <c r="Z59" s="2">
        <f t="shared" si="30"/>
        <v>0</v>
      </c>
      <c r="AA59" s="2">
        <f t="shared" si="30"/>
        <v>0</v>
      </c>
      <c r="AB59" s="2">
        <f t="shared" si="29"/>
        <v>0</v>
      </c>
      <c r="AC59" s="2">
        <f t="shared" si="29"/>
        <v>0</v>
      </c>
      <c r="AD59" s="2">
        <f t="shared" si="29"/>
        <v>0</v>
      </c>
      <c r="AE59" s="2">
        <f t="shared" si="29"/>
        <v>0</v>
      </c>
      <c r="AF59" s="2">
        <f t="shared" si="29"/>
        <v>0</v>
      </c>
      <c r="AG59" s="2">
        <f t="shared" si="29"/>
        <v>0</v>
      </c>
      <c r="AH59" s="2">
        <f t="shared" si="29"/>
        <v>0</v>
      </c>
      <c r="AI59" s="2">
        <f t="shared" si="29"/>
        <v>0</v>
      </c>
      <c r="AJ59" s="2">
        <f t="shared" si="29"/>
        <v>0</v>
      </c>
      <c r="AK59" s="2">
        <f t="shared" si="29"/>
        <v>0</v>
      </c>
      <c r="AL59" s="2">
        <f t="shared" si="29"/>
        <v>0</v>
      </c>
      <c r="AM59" s="2">
        <f t="shared" si="29"/>
        <v>0</v>
      </c>
      <c r="AN59" s="2">
        <f t="shared" si="29"/>
        <v>0</v>
      </c>
      <c r="AO59" s="2">
        <f t="shared" si="29"/>
        <v>0</v>
      </c>
      <c r="AP59" s="2">
        <f t="shared" si="29"/>
        <v>0</v>
      </c>
      <c r="AQ59" s="2">
        <f t="shared" si="27"/>
        <v>0</v>
      </c>
      <c r="AR59" s="2">
        <f t="shared" si="27"/>
        <v>0</v>
      </c>
      <c r="AS59" s="2">
        <f t="shared" si="27"/>
        <v>0</v>
      </c>
      <c r="AT59" s="2">
        <f t="shared" si="27"/>
        <v>0</v>
      </c>
      <c r="AU59" s="2">
        <f t="shared" si="27"/>
        <v>0</v>
      </c>
      <c r="AV59" s="2">
        <f t="shared" si="27"/>
        <v>0</v>
      </c>
      <c r="AW59" s="2">
        <f t="shared" si="27"/>
        <v>0</v>
      </c>
      <c r="AX59" s="2">
        <f t="shared" si="27"/>
        <v>0</v>
      </c>
      <c r="AY59" s="2">
        <f t="shared" si="27"/>
        <v>0</v>
      </c>
      <c r="AZ59" s="2">
        <f t="shared" si="27"/>
        <v>0</v>
      </c>
      <c r="BA59" s="2">
        <f t="shared" si="27"/>
        <v>0</v>
      </c>
      <c r="BB59" s="2">
        <f t="shared" si="27"/>
        <v>0</v>
      </c>
      <c r="BC59" s="2">
        <f t="shared" si="27"/>
        <v>0</v>
      </c>
      <c r="BD59" s="2">
        <f t="shared" si="27"/>
        <v>0</v>
      </c>
      <c r="BE59" s="2">
        <f t="shared" si="27"/>
        <v>0</v>
      </c>
      <c r="BF59" s="2">
        <f t="shared" si="27"/>
        <v>0</v>
      </c>
      <c r="BG59" s="2">
        <f t="shared" si="26"/>
        <v>0</v>
      </c>
      <c r="BH59" s="2">
        <f t="shared" si="26"/>
        <v>0</v>
      </c>
      <c r="BI59" s="2">
        <f t="shared" si="26"/>
        <v>0</v>
      </c>
      <c r="BJ59" s="2">
        <f t="shared" si="26"/>
        <v>0</v>
      </c>
      <c r="BK59" s="2">
        <f t="shared" si="26"/>
        <v>0</v>
      </c>
      <c r="BL59" s="2">
        <f t="shared" si="26"/>
        <v>0</v>
      </c>
      <c r="BM59" s="2">
        <f t="shared" si="26"/>
        <v>0</v>
      </c>
      <c r="BN59" s="2">
        <f t="shared" si="26"/>
        <v>0</v>
      </c>
      <c r="BO59" s="2">
        <f t="shared" si="26"/>
        <v>0</v>
      </c>
      <c r="BP59" s="2">
        <f t="shared" si="26"/>
        <v>0</v>
      </c>
      <c r="BQ59" s="2">
        <f t="shared" si="26"/>
        <v>0</v>
      </c>
      <c r="BR59" s="2">
        <f t="shared" si="26"/>
        <v>0</v>
      </c>
      <c r="BS59" s="2">
        <f t="shared" si="26"/>
        <v>0</v>
      </c>
      <c r="BT59" s="2">
        <f t="shared" si="26"/>
        <v>0</v>
      </c>
      <c r="BU59" s="2">
        <f t="shared" si="26"/>
        <v>0</v>
      </c>
      <c r="BV59" s="2">
        <f t="shared" si="28"/>
        <v>0</v>
      </c>
      <c r="BW59" s="2">
        <f t="shared" si="28"/>
        <v>0</v>
      </c>
      <c r="BX59" s="2">
        <f t="shared" si="28"/>
        <v>0</v>
      </c>
      <c r="BY59" s="2">
        <f t="shared" si="28"/>
        <v>0</v>
      </c>
      <c r="BZ59" s="2">
        <f t="shared" si="28"/>
        <v>0</v>
      </c>
      <c r="CA59" s="2">
        <f t="shared" si="28"/>
        <v>0</v>
      </c>
      <c r="CB59" s="2">
        <f t="shared" si="28"/>
        <v>0</v>
      </c>
      <c r="CC59" s="2">
        <f t="shared" si="28"/>
        <v>0</v>
      </c>
      <c r="CD59" s="2">
        <f t="shared" si="28"/>
        <v>0</v>
      </c>
      <c r="CE59" s="2">
        <f t="shared" si="28"/>
        <v>0</v>
      </c>
      <c r="CF59" s="2">
        <f t="shared" si="28"/>
        <v>0</v>
      </c>
      <c r="CG59" s="2">
        <f t="shared" si="28"/>
        <v>0</v>
      </c>
      <c r="CH59" s="2">
        <f t="shared" si="28"/>
        <v>0</v>
      </c>
      <c r="CI59" s="2">
        <f t="shared" si="28"/>
        <v>0</v>
      </c>
      <c r="CJ59" s="2">
        <f t="shared" si="28"/>
        <v>0</v>
      </c>
      <c r="CK59" s="23">
        <f t="shared" si="28"/>
        <v>0</v>
      </c>
      <c r="CN59" s="2">
        <v>28</v>
      </c>
      <c r="CO59" s="14">
        <v>3.6780012704100286E-2</v>
      </c>
      <c r="CP59" s="14">
        <v>-1.102757134759968E-2</v>
      </c>
      <c r="CQ59" s="14">
        <v>1.5584883409387223E-2</v>
      </c>
      <c r="CR59" s="14">
        <v>3.1996962017473554E-2</v>
      </c>
      <c r="CS59" s="14">
        <f t="shared" si="14"/>
        <v>7.3334286783361388E-2</v>
      </c>
    </row>
    <row r="60" spans="1:97" x14ac:dyDescent="0.45">
      <c r="A60" s="16"/>
      <c r="B60" s="17"/>
      <c r="C60" s="19"/>
      <c r="D60" s="19">
        <f t="shared" si="23"/>
        <v>0</v>
      </c>
      <c r="E60" s="19">
        <f t="shared" si="9"/>
        <v>0</v>
      </c>
      <c r="F60" s="19">
        <f t="shared" si="1"/>
        <v>0</v>
      </c>
      <c r="G60" s="20">
        <f t="shared" si="10"/>
        <v>0</v>
      </c>
      <c r="H60" s="20">
        <f>IFERROR(IRR((J60,L60:CK60),0),0)</f>
        <v>0</v>
      </c>
      <c r="I60" s="21">
        <f t="shared" si="2"/>
        <v>0</v>
      </c>
      <c r="J60" s="19">
        <f t="shared" si="13"/>
        <v>0</v>
      </c>
      <c r="K60" s="22">
        <f t="shared" si="3"/>
        <v>0</v>
      </c>
      <c r="L60" s="2">
        <f t="shared" si="30"/>
        <v>0</v>
      </c>
      <c r="M60" s="2">
        <f t="shared" si="30"/>
        <v>0</v>
      </c>
      <c r="N60" s="2">
        <f t="shared" si="30"/>
        <v>0</v>
      </c>
      <c r="O60" s="2">
        <f t="shared" si="30"/>
        <v>0</v>
      </c>
      <c r="P60" s="2">
        <f t="shared" si="30"/>
        <v>0</v>
      </c>
      <c r="Q60" s="2">
        <f t="shared" si="30"/>
        <v>0</v>
      </c>
      <c r="R60" s="2">
        <f t="shared" si="30"/>
        <v>0</v>
      </c>
      <c r="S60" s="2">
        <f t="shared" si="30"/>
        <v>0</v>
      </c>
      <c r="T60" s="2">
        <f t="shared" si="30"/>
        <v>0</v>
      </c>
      <c r="U60" s="2">
        <f t="shared" si="30"/>
        <v>0</v>
      </c>
      <c r="V60" s="2">
        <f t="shared" si="30"/>
        <v>0</v>
      </c>
      <c r="W60" s="2">
        <f t="shared" si="30"/>
        <v>0</v>
      </c>
      <c r="X60" s="2">
        <f t="shared" si="30"/>
        <v>0</v>
      </c>
      <c r="Y60" s="2">
        <f t="shared" si="30"/>
        <v>0</v>
      </c>
      <c r="Z60" s="2">
        <f t="shared" si="30"/>
        <v>0</v>
      </c>
      <c r="AA60" s="2">
        <f t="shared" si="30"/>
        <v>0</v>
      </c>
      <c r="AB60" s="2">
        <f t="shared" si="29"/>
        <v>0</v>
      </c>
      <c r="AC60" s="2">
        <f t="shared" si="29"/>
        <v>0</v>
      </c>
      <c r="AD60" s="2">
        <f t="shared" si="29"/>
        <v>0</v>
      </c>
      <c r="AE60" s="2">
        <f t="shared" si="29"/>
        <v>0</v>
      </c>
      <c r="AF60" s="2">
        <f t="shared" si="29"/>
        <v>0</v>
      </c>
      <c r="AG60" s="2">
        <f t="shared" si="29"/>
        <v>0</v>
      </c>
      <c r="AH60" s="2">
        <f t="shared" si="29"/>
        <v>0</v>
      </c>
      <c r="AI60" s="2">
        <f t="shared" si="29"/>
        <v>0</v>
      </c>
      <c r="AJ60" s="2">
        <f t="shared" si="29"/>
        <v>0</v>
      </c>
      <c r="AK60" s="2">
        <f t="shared" si="29"/>
        <v>0</v>
      </c>
      <c r="AL60" s="2">
        <f t="shared" si="29"/>
        <v>0</v>
      </c>
      <c r="AM60" s="2">
        <f t="shared" si="29"/>
        <v>0</v>
      </c>
      <c r="AN60" s="2">
        <f t="shared" si="29"/>
        <v>0</v>
      </c>
      <c r="AO60" s="2">
        <f t="shared" si="29"/>
        <v>0</v>
      </c>
      <c r="AP60" s="2">
        <f t="shared" si="29"/>
        <v>0</v>
      </c>
      <c r="AQ60" s="2">
        <f t="shared" si="27"/>
        <v>0</v>
      </c>
      <c r="AR60" s="2">
        <f t="shared" si="27"/>
        <v>0</v>
      </c>
      <c r="AS60" s="2">
        <f t="shared" si="27"/>
        <v>0</v>
      </c>
      <c r="AT60" s="2">
        <f t="shared" si="27"/>
        <v>0</v>
      </c>
      <c r="AU60" s="2">
        <f t="shared" si="27"/>
        <v>0</v>
      </c>
      <c r="AV60" s="2">
        <f t="shared" si="27"/>
        <v>0</v>
      </c>
      <c r="AW60" s="2">
        <f t="shared" si="27"/>
        <v>0</v>
      </c>
      <c r="AX60" s="2">
        <f t="shared" si="27"/>
        <v>0</v>
      </c>
      <c r="AY60" s="2">
        <f t="shared" si="27"/>
        <v>0</v>
      </c>
      <c r="AZ60" s="2">
        <f t="shared" si="27"/>
        <v>0</v>
      </c>
      <c r="BA60" s="2">
        <f t="shared" si="27"/>
        <v>0</v>
      </c>
      <c r="BB60" s="2">
        <f t="shared" si="27"/>
        <v>0</v>
      </c>
      <c r="BC60" s="2">
        <f t="shared" si="27"/>
        <v>0</v>
      </c>
      <c r="BD60" s="2">
        <f t="shared" si="27"/>
        <v>0</v>
      </c>
      <c r="BE60" s="2">
        <f t="shared" si="27"/>
        <v>0</v>
      </c>
      <c r="BF60" s="2">
        <f t="shared" si="27"/>
        <v>0</v>
      </c>
      <c r="BG60" s="2">
        <f t="shared" si="26"/>
        <v>0</v>
      </c>
      <c r="BH60" s="2">
        <f t="shared" si="26"/>
        <v>0</v>
      </c>
      <c r="BI60" s="2">
        <f t="shared" si="26"/>
        <v>0</v>
      </c>
      <c r="BJ60" s="2">
        <f t="shared" si="26"/>
        <v>0</v>
      </c>
      <c r="BK60" s="2">
        <f t="shared" si="26"/>
        <v>0</v>
      </c>
      <c r="BL60" s="2">
        <f t="shared" si="26"/>
        <v>0</v>
      </c>
      <c r="BM60" s="2">
        <f t="shared" si="26"/>
        <v>0</v>
      </c>
      <c r="BN60" s="2">
        <f t="shared" si="26"/>
        <v>0</v>
      </c>
      <c r="BO60" s="2">
        <f t="shared" si="26"/>
        <v>0</v>
      </c>
      <c r="BP60" s="2">
        <f t="shared" si="26"/>
        <v>0</v>
      </c>
      <c r="BQ60" s="2">
        <f t="shared" si="26"/>
        <v>0</v>
      </c>
      <c r="BR60" s="2">
        <f t="shared" si="26"/>
        <v>0</v>
      </c>
      <c r="BS60" s="2">
        <f t="shared" si="26"/>
        <v>0</v>
      </c>
      <c r="BT60" s="2">
        <f t="shared" si="26"/>
        <v>0</v>
      </c>
      <c r="BU60" s="2">
        <f t="shared" si="26"/>
        <v>0</v>
      </c>
      <c r="BV60" s="2">
        <f t="shared" si="28"/>
        <v>0</v>
      </c>
      <c r="BW60" s="2">
        <f t="shared" si="28"/>
        <v>0</v>
      </c>
      <c r="BX60" s="2">
        <f t="shared" si="28"/>
        <v>0</v>
      </c>
      <c r="BY60" s="2">
        <f t="shared" si="28"/>
        <v>0</v>
      </c>
      <c r="BZ60" s="2">
        <f t="shared" si="28"/>
        <v>0</v>
      </c>
      <c r="CA60" s="2">
        <f t="shared" si="28"/>
        <v>0</v>
      </c>
      <c r="CB60" s="2">
        <f t="shared" si="28"/>
        <v>0</v>
      </c>
      <c r="CC60" s="2">
        <f t="shared" si="28"/>
        <v>0</v>
      </c>
      <c r="CD60" s="2">
        <f t="shared" si="28"/>
        <v>0</v>
      </c>
      <c r="CE60" s="2">
        <f t="shared" si="28"/>
        <v>0</v>
      </c>
      <c r="CF60" s="2">
        <f t="shared" si="28"/>
        <v>0</v>
      </c>
      <c r="CG60" s="2">
        <f t="shared" si="28"/>
        <v>0</v>
      </c>
      <c r="CH60" s="2">
        <f t="shared" si="28"/>
        <v>0</v>
      </c>
      <c r="CI60" s="2">
        <f t="shared" si="28"/>
        <v>0</v>
      </c>
      <c r="CJ60" s="2">
        <f t="shared" si="28"/>
        <v>0</v>
      </c>
      <c r="CK60" s="23">
        <f t="shared" si="28"/>
        <v>0</v>
      </c>
      <c r="CN60" s="2">
        <v>28.5</v>
      </c>
      <c r="CO60" s="14">
        <v>3.6780012704100286E-2</v>
      </c>
      <c r="CP60" s="14">
        <v>-1.0912481587899888E-2</v>
      </c>
      <c r="CQ60" s="14">
        <v>1.5610433637786671E-2</v>
      </c>
      <c r="CR60" s="14">
        <v>3.2316614504755425E-2</v>
      </c>
      <c r="CS60" s="14">
        <f t="shared" si="14"/>
        <v>7.3794579258742499E-2</v>
      </c>
    </row>
    <row r="61" spans="1:97" x14ac:dyDescent="0.45">
      <c r="A61" s="16"/>
      <c r="B61" s="17"/>
      <c r="C61" s="19"/>
      <c r="D61" s="19">
        <f t="shared" si="23"/>
        <v>0</v>
      </c>
      <c r="E61" s="19">
        <f t="shared" si="9"/>
        <v>0</v>
      </c>
      <c r="F61" s="19">
        <f t="shared" si="1"/>
        <v>0</v>
      </c>
      <c r="G61" s="20">
        <f t="shared" si="10"/>
        <v>0</v>
      </c>
      <c r="H61" s="20">
        <f>IFERROR(IRR((J61,L61:CK61),0),0)</f>
        <v>0</v>
      </c>
      <c r="I61" s="21">
        <f t="shared" si="2"/>
        <v>0</v>
      </c>
      <c r="J61" s="19">
        <f t="shared" si="13"/>
        <v>0</v>
      </c>
      <c r="K61" s="22">
        <f t="shared" si="3"/>
        <v>0</v>
      </c>
      <c r="L61" s="2">
        <f t="shared" si="30"/>
        <v>0</v>
      </c>
      <c r="M61" s="2">
        <f t="shared" si="30"/>
        <v>0</v>
      </c>
      <c r="N61" s="2">
        <f t="shared" si="30"/>
        <v>0</v>
      </c>
      <c r="O61" s="2">
        <f t="shared" si="30"/>
        <v>0</v>
      </c>
      <c r="P61" s="2">
        <f t="shared" si="30"/>
        <v>0</v>
      </c>
      <c r="Q61" s="2">
        <f t="shared" si="30"/>
        <v>0</v>
      </c>
      <c r="R61" s="2">
        <f t="shared" si="30"/>
        <v>0</v>
      </c>
      <c r="S61" s="2">
        <f t="shared" si="30"/>
        <v>0</v>
      </c>
      <c r="T61" s="2">
        <f t="shared" si="30"/>
        <v>0</v>
      </c>
      <c r="U61" s="2">
        <f t="shared" si="30"/>
        <v>0</v>
      </c>
      <c r="V61" s="2">
        <f t="shared" si="30"/>
        <v>0</v>
      </c>
      <c r="W61" s="2">
        <f t="shared" si="30"/>
        <v>0</v>
      </c>
      <c r="X61" s="2">
        <f t="shared" si="30"/>
        <v>0</v>
      </c>
      <c r="Y61" s="2">
        <f t="shared" si="30"/>
        <v>0</v>
      </c>
      <c r="Z61" s="2">
        <f t="shared" si="30"/>
        <v>0</v>
      </c>
      <c r="AA61" s="2">
        <f t="shared" si="30"/>
        <v>0</v>
      </c>
      <c r="AB61" s="2">
        <f t="shared" si="29"/>
        <v>0</v>
      </c>
      <c r="AC61" s="2">
        <f t="shared" si="29"/>
        <v>0</v>
      </c>
      <c r="AD61" s="2">
        <f t="shared" si="29"/>
        <v>0</v>
      </c>
      <c r="AE61" s="2">
        <f t="shared" si="29"/>
        <v>0</v>
      </c>
      <c r="AF61" s="2">
        <f t="shared" si="29"/>
        <v>0</v>
      </c>
      <c r="AG61" s="2">
        <f t="shared" si="29"/>
        <v>0</v>
      </c>
      <c r="AH61" s="2">
        <f t="shared" si="29"/>
        <v>0</v>
      </c>
      <c r="AI61" s="2">
        <f t="shared" si="29"/>
        <v>0</v>
      </c>
      <c r="AJ61" s="2">
        <f t="shared" si="29"/>
        <v>0</v>
      </c>
      <c r="AK61" s="2">
        <f t="shared" si="29"/>
        <v>0</v>
      </c>
      <c r="AL61" s="2">
        <f t="shared" si="29"/>
        <v>0</v>
      </c>
      <c r="AM61" s="2">
        <f t="shared" si="29"/>
        <v>0</v>
      </c>
      <c r="AN61" s="2">
        <f t="shared" si="29"/>
        <v>0</v>
      </c>
      <c r="AO61" s="2">
        <f t="shared" si="29"/>
        <v>0</v>
      </c>
      <c r="AP61" s="2">
        <f t="shared" si="29"/>
        <v>0</v>
      </c>
      <c r="AQ61" s="2">
        <f t="shared" si="27"/>
        <v>0</v>
      </c>
      <c r="AR61" s="2">
        <f t="shared" si="27"/>
        <v>0</v>
      </c>
      <c r="AS61" s="2">
        <f t="shared" si="27"/>
        <v>0</v>
      </c>
      <c r="AT61" s="2">
        <f t="shared" si="27"/>
        <v>0</v>
      </c>
      <c r="AU61" s="2">
        <f t="shared" si="27"/>
        <v>0</v>
      </c>
      <c r="AV61" s="2">
        <f t="shared" si="27"/>
        <v>0</v>
      </c>
      <c r="AW61" s="2">
        <f t="shared" si="27"/>
        <v>0</v>
      </c>
      <c r="AX61" s="2">
        <f t="shared" si="27"/>
        <v>0</v>
      </c>
      <c r="AY61" s="2">
        <f t="shared" si="27"/>
        <v>0</v>
      </c>
      <c r="AZ61" s="2">
        <f t="shared" si="27"/>
        <v>0</v>
      </c>
      <c r="BA61" s="2">
        <f t="shared" si="27"/>
        <v>0</v>
      </c>
      <c r="BB61" s="2">
        <f t="shared" si="27"/>
        <v>0</v>
      </c>
      <c r="BC61" s="2">
        <f t="shared" si="27"/>
        <v>0</v>
      </c>
      <c r="BD61" s="2">
        <f t="shared" si="27"/>
        <v>0</v>
      </c>
      <c r="BE61" s="2">
        <f t="shared" si="27"/>
        <v>0</v>
      </c>
      <c r="BF61" s="2">
        <f t="shared" si="27"/>
        <v>0</v>
      </c>
      <c r="BG61" s="2">
        <f t="shared" si="26"/>
        <v>0</v>
      </c>
      <c r="BH61" s="2">
        <f t="shared" si="26"/>
        <v>0</v>
      </c>
      <c r="BI61" s="2">
        <f t="shared" si="26"/>
        <v>0</v>
      </c>
      <c r="BJ61" s="2">
        <f t="shared" si="26"/>
        <v>0</v>
      </c>
      <c r="BK61" s="2">
        <f t="shared" si="26"/>
        <v>0</v>
      </c>
      <c r="BL61" s="2">
        <f t="shared" si="26"/>
        <v>0</v>
      </c>
      <c r="BM61" s="2">
        <f t="shared" si="26"/>
        <v>0</v>
      </c>
      <c r="BN61" s="2">
        <f t="shared" si="26"/>
        <v>0</v>
      </c>
      <c r="BO61" s="2">
        <f t="shared" si="26"/>
        <v>0</v>
      </c>
      <c r="BP61" s="2">
        <f t="shared" si="26"/>
        <v>0</v>
      </c>
      <c r="BQ61" s="2">
        <f t="shared" si="26"/>
        <v>0</v>
      </c>
      <c r="BR61" s="2">
        <f t="shared" si="26"/>
        <v>0</v>
      </c>
      <c r="BS61" s="2">
        <f t="shared" si="26"/>
        <v>0</v>
      </c>
      <c r="BT61" s="2">
        <f t="shared" si="26"/>
        <v>0</v>
      </c>
      <c r="BU61" s="2">
        <f t="shared" si="26"/>
        <v>0</v>
      </c>
      <c r="BV61" s="2">
        <f t="shared" si="28"/>
        <v>0</v>
      </c>
      <c r="BW61" s="2">
        <f t="shared" si="28"/>
        <v>0</v>
      </c>
      <c r="BX61" s="2">
        <f t="shared" si="28"/>
        <v>0</v>
      </c>
      <c r="BY61" s="2">
        <f t="shared" si="28"/>
        <v>0</v>
      </c>
      <c r="BZ61" s="2">
        <f t="shared" si="28"/>
        <v>0</v>
      </c>
      <c r="CA61" s="2">
        <f t="shared" si="28"/>
        <v>0</v>
      </c>
      <c r="CB61" s="2">
        <f t="shared" si="28"/>
        <v>0</v>
      </c>
      <c r="CC61" s="2">
        <f t="shared" si="28"/>
        <v>0</v>
      </c>
      <c r="CD61" s="2">
        <f t="shared" si="28"/>
        <v>0</v>
      </c>
      <c r="CE61" s="2">
        <f t="shared" si="28"/>
        <v>0</v>
      </c>
      <c r="CF61" s="2">
        <f t="shared" si="28"/>
        <v>0</v>
      </c>
      <c r="CG61" s="2">
        <f t="shared" si="28"/>
        <v>0</v>
      </c>
      <c r="CH61" s="2">
        <f t="shared" si="28"/>
        <v>0</v>
      </c>
      <c r="CI61" s="2">
        <f t="shared" si="28"/>
        <v>0</v>
      </c>
      <c r="CJ61" s="2">
        <f t="shared" si="28"/>
        <v>0</v>
      </c>
      <c r="CK61" s="23">
        <f t="shared" si="28"/>
        <v>0</v>
      </c>
      <c r="CN61" s="2">
        <v>29</v>
      </c>
      <c r="CO61" s="14">
        <v>3.6780012704100286E-2</v>
      </c>
      <c r="CP61" s="14">
        <v>-1.0799222717369949E-2</v>
      </c>
      <c r="CQ61" s="14">
        <v>1.563200455427765E-2</v>
      </c>
      <c r="CR61" s="14">
        <v>3.2629716163152009E-2</v>
      </c>
      <c r="CS61" s="14">
        <f t="shared" si="14"/>
        <v>7.4242510704159992E-2</v>
      </c>
    </row>
    <row r="62" spans="1:97" x14ac:dyDescent="0.45">
      <c r="A62" s="16"/>
      <c r="B62" s="17"/>
      <c r="C62" s="19"/>
      <c r="D62" s="19">
        <f t="shared" si="23"/>
        <v>0</v>
      </c>
      <c r="E62" s="19">
        <f t="shared" si="9"/>
        <v>0</v>
      </c>
      <c r="F62" s="19">
        <f t="shared" si="1"/>
        <v>0</v>
      </c>
      <c r="G62" s="20">
        <f t="shared" si="10"/>
        <v>0</v>
      </c>
      <c r="H62" s="20">
        <f>IFERROR(IRR((J62,L62:CK62),0),0)</f>
        <v>0</v>
      </c>
      <c r="I62" s="21">
        <f t="shared" si="2"/>
        <v>0</v>
      </c>
      <c r="J62" s="19">
        <f t="shared" si="13"/>
        <v>0</v>
      </c>
      <c r="K62" s="22">
        <f t="shared" si="3"/>
        <v>0</v>
      </c>
      <c r="L62" s="2">
        <f t="shared" si="30"/>
        <v>0</v>
      </c>
      <c r="M62" s="2">
        <f t="shared" si="30"/>
        <v>0</v>
      </c>
      <c r="N62" s="2">
        <f t="shared" si="30"/>
        <v>0</v>
      </c>
      <c r="O62" s="2">
        <f t="shared" si="30"/>
        <v>0</v>
      </c>
      <c r="P62" s="2">
        <f t="shared" si="30"/>
        <v>0</v>
      </c>
      <c r="Q62" s="2">
        <f t="shared" si="30"/>
        <v>0</v>
      </c>
      <c r="R62" s="2">
        <f t="shared" si="30"/>
        <v>0</v>
      </c>
      <c r="S62" s="2">
        <f t="shared" si="30"/>
        <v>0</v>
      </c>
      <c r="T62" s="2">
        <f t="shared" si="30"/>
        <v>0</v>
      </c>
      <c r="U62" s="2">
        <f t="shared" si="30"/>
        <v>0</v>
      </c>
      <c r="V62" s="2">
        <f t="shared" si="30"/>
        <v>0</v>
      </c>
      <c r="W62" s="2">
        <f t="shared" si="30"/>
        <v>0</v>
      </c>
      <c r="X62" s="2">
        <f t="shared" si="30"/>
        <v>0</v>
      </c>
      <c r="Y62" s="2">
        <f t="shared" si="30"/>
        <v>0</v>
      </c>
      <c r="Z62" s="2">
        <f t="shared" si="30"/>
        <v>0</v>
      </c>
      <c r="AA62" s="2">
        <f t="shared" si="30"/>
        <v>0</v>
      </c>
      <c r="AB62" s="2">
        <f t="shared" si="29"/>
        <v>0</v>
      </c>
      <c r="AC62" s="2">
        <f t="shared" si="29"/>
        <v>0</v>
      </c>
      <c r="AD62" s="2">
        <f t="shared" si="29"/>
        <v>0</v>
      </c>
      <c r="AE62" s="2">
        <f t="shared" si="29"/>
        <v>0</v>
      </c>
      <c r="AF62" s="2">
        <f t="shared" si="29"/>
        <v>0</v>
      </c>
      <c r="AG62" s="2">
        <f t="shared" si="29"/>
        <v>0</v>
      </c>
      <c r="AH62" s="2">
        <f t="shared" si="29"/>
        <v>0</v>
      </c>
      <c r="AI62" s="2">
        <f t="shared" si="29"/>
        <v>0</v>
      </c>
      <c r="AJ62" s="2">
        <f t="shared" si="29"/>
        <v>0</v>
      </c>
      <c r="AK62" s="2">
        <f t="shared" si="29"/>
        <v>0</v>
      </c>
      <c r="AL62" s="2">
        <f t="shared" si="29"/>
        <v>0</v>
      </c>
      <c r="AM62" s="2">
        <f t="shared" si="29"/>
        <v>0</v>
      </c>
      <c r="AN62" s="2">
        <f t="shared" si="29"/>
        <v>0</v>
      </c>
      <c r="AO62" s="2">
        <f t="shared" si="29"/>
        <v>0</v>
      </c>
      <c r="AP62" s="2">
        <f t="shared" si="29"/>
        <v>0</v>
      </c>
      <c r="AQ62" s="2">
        <f t="shared" si="27"/>
        <v>0</v>
      </c>
      <c r="AR62" s="2">
        <f t="shared" si="27"/>
        <v>0</v>
      </c>
      <c r="AS62" s="2">
        <f t="shared" si="27"/>
        <v>0</v>
      </c>
      <c r="AT62" s="2">
        <f t="shared" si="27"/>
        <v>0</v>
      </c>
      <c r="AU62" s="2">
        <f t="shared" si="27"/>
        <v>0</v>
      </c>
      <c r="AV62" s="2">
        <f t="shared" si="27"/>
        <v>0</v>
      </c>
      <c r="AW62" s="2">
        <f t="shared" si="27"/>
        <v>0</v>
      </c>
      <c r="AX62" s="2">
        <f t="shared" si="27"/>
        <v>0</v>
      </c>
      <c r="AY62" s="2">
        <f t="shared" si="27"/>
        <v>0</v>
      </c>
      <c r="AZ62" s="2">
        <f t="shared" si="27"/>
        <v>0</v>
      </c>
      <c r="BA62" s="2">
        <f t="shared" si="27"/>
        <v>0</v>
      </c>
      <c r="BB62" s="2">
        <f t="shared" si="27"/>
        <v>0</v>
      </c>
      <c r="BC62" s="2">
        <f t="shared" si="27"/>
        <v>0</v>
      </c>
      <c r="BD62" s="2">
        <f t="shared" si="27"/>
        <v>0</v>
      </c>
      <c r="BE62" s="2">
        <f t="shared" si="27"/>
        <v>0</v>
      </c>
      <c r="BF62" s="2">
        <f t="shared" si="27"/>
        <v>0</v>
      </c>
      <c r="BG62" s="2">
        <f t="shared" si="26"/>
        <v>0</v>
      </c>
      <c r="BH62" s="2">
        <f t="shared" si="26"/>
        <v>0</v>
      </c>
      <c r="BI62" s="2">
        <f t="shared" si="26"/>
        <v>0</v>
      </c>
      <c r="BJ62" s="2">
        <f t="shared" si="26"/>
        <v>0</v>
      </c>
      <c r="BK62" s="2">
        <f t="shared" si="26"/>
        <v>0</v>
      </c>
      <c r="BL62" s="2">
        <f t="shared" si="26"/>
        <v>0</v>
      </c>
      <c r="BM62" s="2">
        <f t="shared" si="26"/>
        <v>0</v>
      </c>
      <c r="BN62" s="2">
        <f t="shared" si="26"/>
        <v>0</v>
      </c>
      <c r="BO62" s="2">
        <f t="shared" si="26"/>
        <v>0</v>
      </c>
      <c r="BP62" s="2">
        <f t="shared" si="26"/>
        <v>0</v>
      </c>
      <c r="BQ62" s="2">
        <f t="shared" si="26"/>
        <v>0</v>
      </c>
      <c r="BR62" s="2">
        <f t="shared" si="26"/>
        <v>0</v>
      </c>
      <c r="BS62" s="2">
        <f t="shared" si="26"/>
        <v>0</v>
      </c>
      <c r="BT62" s="2">
        <f t="shared" si="26"/>
        <v>0</v>
      </c>
      <c r="BU62" s="2">
        <f t="shared" si="26"/>
        <v>0</v>
      </c>
      <c r="BV62" s="2">
        <f t="shared" si="28"/>
        <v>0</v>
      </c>
      <c r="BW62" s="2">
        <f t="shared" si="28"/>
        <v>0</v>
      </c>
      <c r="BX62" s="2">
        <f t="shared" si="28"/>
        <v>0</v>
      </c>
      <c r="BY62" s="2">
        <f t="shared" si="28"/>
        <v>0</v>
      </c>
      <c r="BZ62" s="2">
        <f t="shared" si="28"/>
        <v>0</v>
      </c>
      <c r="CA62" s="2">
        <f t="shared" si="28"/>
        <v>0</v>
      </c>
      <c r="CB62" s="2">
        <f t="shared" si="28"/>
        <v>0</v>
      </c>
      <c r="CC62" s="2">
        <f t="shared" si="28"/>
        <v>0</v>
      </c>
      <c r="CD62" s="2">
        <f t="shared" si="28"/>
        <v>0</v>
      </c>
      <c r="CE62" s="2">
        <f t="shared" si="28"/>
        <v>0</v>
      </c>
      <c r="CF62" s="2">
        <f t="shared" si="28"/>
        <v>0</v>
      </c>
      <c r="CG62" s="2">
        <f t="shared" si="28"/>
        <v>0</v>
      </c>
      <c r="CH62" s="2">
        <f t="shared" si="28"/>
        <v>0</v>
      </c>
      <c r="CI62" s="2">
        <f t="shared" si="28"/>
        <v>0</v>
      </c>
      <c r="CJ62" s="2">
        <f t="shared" si="28"/>
        <v>0</v>
      </c>
      <c r="CK62" s="23">
        <f t="shared" si="28"/>
        <v>0</v>
      </c>
      <c r="CN62" s="2">
        <v>29.5</v>
      </c>
      <c r="CO62" s="14">
        <v>3.6780012704100286E-2</v>
      </c>
      <c r="CP62" s="14">
        <v>-1.0687759963874888E-2</v>
      </c>
      <c r="CQ62" s="14">
        <v>1.5649745079725101E-2</v>
      </c>
      <c r="CR62" s="14">
        <v>3.2936362680641484E-2</v>
      </c>
      <c r="CS62" s="14">
        <f t="shared" si="14"/>
        <v>7.4678360500591984E-2</v>
      </c>
    </row>
    <row r="63" spans="1:97" x14ac:dyDescent="0.45">
      <c r="A63" s="16"/>
      <c r="B63" s="17"/>
      <c r="C63" s="19"/>
      <c r="D63" s="19">
        <f t="shared" si="23"/>
        <v>0</v>
      </c>
      <c r="E63" s="19">
        <f t="shared" si="9"/>
        <v>0</v>
      </c>
      <c r="F63" s="19">
        <f t="shared" si="1"/>
        <v>0</v>
      </c>
      <c r="G63" s="20">
        <f t="shared" si="10"/>
        <v>0</v>
      </c>
      <c r="H63" s="20">
        <f>IFERROR(IRR((J63,L63:CK63),0),0)</f>
        <v>0</v>
      </c>
      <c r="I63" s="21">
        <f t="shared" si="2"/>
        <v>0</v>
      </c>
      <c r="J63" s="19">
        <f t="shared" si="13"/>
        <v>0</v>
      </c>
      <c r="K63" s="22">
        <f t="shared" si="3"/>
        <v>0</v>
      </c>
      <c r="L63" s="2">
        <f t="shared" si="30"/>
        <v>0</v>
      </c>
      <c r="M63" s="2">
        <f t="shared" si="30"/>
        <v>0</v>
      </c>
      <c r="N63" s="2">
        <f t="shared" si="30"/>
        <v>0</v>
      </c>
      <c r="O63" s="2">
        <f t="shared" si="30"/>
        <v>0</v>
      </c>
      <c r="P63" s="2">
        <f t="shared" si="30"/>
        <v>0</v>
      </c>
      <c r="Q63" s="2">
        <f t="shared" si="30"/>
        <v>0</v>
      </c>
      <c r="R63" s="2">
        <f t="shared" si="30"/>
        <v>0</v>
      </c>
      <c r="S63" s="2">
        <f t="shared" si="30"/>
        <v>0</v>
      </c>
      <c r="T63" s="2">
        <f t="shared" si="30"/>
        <v>0</v>
      </c>
      <c r="U63" s="2">
        <f t="shared" si="30"/>
        <v>0</v>
      </c>
      <c r="V63" s="2">
        <f t="shared" si="30"/>
        <v>0</v>
      </c>
      <c r="W63" s="2">
        <f t="shared" si="30"/>
        <v>0</v>
      </c>
      <c r="X63" s="2">
        <f t="shared" si="30"/>
        <v>0</v>
      </c>
      <c r="Y63" s="2">
        <f t="shared" si="30"/>
        <v>0</v>
      </c>
      <c r="Z63" s="2">
        <f t="shared" si="30"/>
        <v>0</v>
      </c>
      <c r="AA63" s="2">
        <f t="shared" si="30"/>
        <v>0</v>
      </c>
      <c r="AB63" s="2">
        <f t="shared" si="29"/>
        <v>0</v>
      </c>
      <c r="AC63" s="2">
        <f t="shared" si="29"/>
        <v>0</v>
      </c>
      <c r="AD63" s="2">
        <f t="shared" si="29"/>
        <v>0</v>
      </c>
      <c r="AE63" s="2">
        <f t="shared" si="29"/>
        <v>0</v>
      </c>
      <c r="AF63" s="2">
        <f t="shared" si="29"/>
        <v>0</v>
      </c>
      <c r="AG63" s="2">
        <f t="shared" si="29"/>
        <v>0</v>
      </c>
      <c r="AH63" s="2">
        <f t="shared" si="29"/>
        <v>0</v>
      </c>
      <c r="AI63" s="2">
        <f t="shared" si="29"/>
        <v>0</v>
      </c>
      <c r="AJ63" s="2">
        <f t="shared" si="29"/>
        <v>0</v>
      </c>
      <c r="AK63" s="2">
        <f t="shared" si="29"/>
        <v>0</v>
      </c>
      <c r="AL63" s="2">
        <f t="shared" si="29"/>
        <v>0</v>
      </c>
      <c r="AM63" s="2">
        <f t="shared" si="29"/>
        <v>0</v>
      </c>
      <c r="AN63" s="2">
        <f t="shared" si="29"/>
        <v>0</v>
      </c>
      <c r="AO63" s="2">
        <f t="shared" si="29"/>
        <v>0</v>
      </c>
      <c r="AP63" s="2">
        <f t="shared" si="29"/>
        <v>0</v>
      </c>
      <c r="AQ63" s="2">
        <f t="shared" si="27"/>
        <v>0</v>
      </c>
      <c r="AR63" s="2">
        <f t="shared" si="27"/>
        <v>0</v>
      </c>
      <c r="AS63" s="2">
        <f t="shared" si="27"/>
        <v>0</v>
      </c>
      <c r="AT63" s="2">
        <f t="shared" si="27"/>
        <v>0</v>
      </c>
      <c r="AU63" s="2">
        <f t="shared" si="27"/>
        <v>0</v>
      </c>
      <c r="AV63" s="2">
        <f t="shared" si="27"/>
        <v>0</v>
      </c>
      <c r="AW63" s="2">
        <f t="shared" si="27"/>
        <v>0</v>
      </c>
      <c r="AX63" s="2">
        <f t="shared" si="27"/>
        <v>0</v>
      </c>
      <c r="AY63" s="2">
        <f t="shared" si="27"/>
        <v>0</v>
      </c>
      <c r="AZ63" s="2">
        <f t="shared" si="27"/>
        <v>0</v>
      </c>
      <c r="BA63" s="2">
        <f t="shared" si="27"/>
        <v>0</v>
      </c>
      <c r="BB63" s="2">
        <f t="shared" si="27"/>
        <v>0</v>
      </c>
      <c r="BC63" s="2">
        <f t="shared" si="27"/>
        <v>0</v>
      </c>
      <c r="BD63" s="2">
        <f t="shared" si="27"/>
        <v>0</v>
      </c>
      <c r="BE63" s="2">
        <f t="shared" si="27"/>
        <v>0</v>
      </c>
      <c r="BF63" s="2">
        <f t="shared" si="27"/>
        <v>0</v>
      </c>
      <c r="BG63" s="2">
        <f t="shared" si="26"/>
        <v>0</v>
      </c>
      <c r="BH63" s="2">
        <f t="shared" si="26"/>
        <v>0</v>
      </c>
      <c r="BI63" s="2">
        <f t="shared" si="26"/>
        <v>0</v>
      </c>
      <c r="BJ63" s="2">
        <f t="shared" si="26"/>
        <v>0</v>
      </c>
      <c r="BK63" s="2">
        <f t="shared" si="26"/>
        <v>0</v>
      </c>
      <c r="BL63" s="2">
        <f t="shared" si="26"/>
        <v>0</v>
      </c>
      <c r="BM63" s="2">
        <f t="shared" si="26"/>
        <v>0</v>
      </c>
      <c r="BN63" s="2">
        <f t="shared" si="26"/>
        <v>0</v>
      </c>
      <c r="BO63" s="2">
        <f t="shared" si="26"/>
        <v>0</v>
      </c>
      <c r="BP63" s="2">
        <f t="shared" si="26"/>
        <v>0</v>
      </c>
      <c r="BQ63" s="2">
        <f t="shared" si="26"/>
        <v>0</v>
      </c>
      <c r="BR63" s="2">
        <f t="shared" si="26"/>
        <v>0</v>
      </c>
      <c r="BS63" s="2">
        <f t="shared" si="26"/>
        <v>0</v>
      </c>
      <c r="BT63" s="2">
        <f t="shared" si="26"/>
        <v>0</v>
      </c>
      <c r="BU63" s="2">
        <f t="shared" si="26"/>
        <v>0</v>
      </c>
      <c r="BV63" s="2">
        <f t="shared" si="28"/>
        <v>0</v>
      </c>
      <c r="BW63" s="2">
        <f t="shared" si="28"/>
        <v>0</v>
      </c>
      <c r="BX63" s="2">
        <f t="shared" si="28"/>
        <v>0</v>
      </c>
      <c r="BY63" s="2">
        <f t="shared" si="28"/>
        <v>0</v>
      </c>
      <c r="BZ63" s="2">
        <f t="shared" si="28"/>
        <v>0</v>
      </c>
      <c r="CA63" s="2">
        <f t="shared" si="28"/>
        <v>0</v>
      </c>
      <c r="CB63" s="2">
        <f t="shared" si="28"/>
        <v>0</v>
      </c>
      <c r="CC63" s="2">
        <f t="shared" si="28"/>
        <v>0</v>
      </c>
      <c r="CD63" s="2">
        <f t="shared" si="28"/>
        <v>0</v>
      </c>
      <c r="CE63" s="2">
        <f t="shared" si="28"/>
        <v>0</v>
      </c>
      <c r="CF63" s="2">
        <f t="shared" si="28"/>
        <v>0</v>
      </c>
      <c r="CG63" s="2">
        <f t="shared" si="28"/>
        <v>0</v>
      </c>
      <c r="CH63" s="2">
        <f t="shared" si="28"/>
        <v>0</v>
      </c>
      <c r="CI63" s="2">
        <f t="shared" si="28"/>
        <v>0</v>
      </c>
      <c r="CJ63" s="2">
        <f t="shared" si="28"/>
        <v>0</v>
      </c>
      <c r="CK63" s="23">
        <f t="shared" si="28"/>
        <v>0</v>
      </c>
      <c r="CN63" s="2">
        <v>30</v>
      </c>
      <c r="CO63" s="14">
        <v>3.6780012704100286E-2</v>
      </c>
      <c r="CP63" s="14">
        <v>-1.0578059281701677E-2</v>
      </c>
      <c r="CQ63" s="14">
        <v>1.566379942947901E-2</v>
      </c>
      <c r="CR63" s="14">
        <v>3.3236648460894039E-2</v>
      </c>
      <c r="CS63" s="14">
        <f t="shared" si="14"/>
        <v>7.5102401312771655E-2</v>
      </c>
    </row>
    <row r="64" spans="1:97" x14ac:dyDescent="0.45">
      <c r="A64" s="16"/>
      <c r="B64" s="17"/>
      <c r="C64" s="19"/>
      <c r="D64" s="19">
        <f t="shared" si="23"/>
        <v>0</v>
      </c>
      <c r="E64" s="19">
        <f t="shared" si="9"/>
        <v>0</v>
      </c>
      <c r="F64" s="19">
        <f t="shared" si="1"/>
        <v>0</v>
      </c>
      <c r="G64" s="20">
        <f t="shared" si="10"/>
        <v>0</v>
      </c>
      <c r="H64" s="20">
        <f>IFERROR(IRR((J64,L64:CK64),0),0)</f>
        <v>0</v>
      </c>
      <c r="I64" s="21">
        <f t="shared" si="2"/>
        <v>0</v>
      </c>
      <c r="J64" s="19">
        <f t="shared" si="13"/>
        <v>0</v>
      </c>
      <c r="K64" s="22">
        <f t="shared" si="3"/>
        <v>0</v>
      </c>
      <c r="L64" s="2">
        <f t="shared" si="30"/>
        <v>0</v>
      </c>
      <c r="M64" s="2">
        <f t="shared" si="30"/>
        <v>0</v>
      </c>
      <c r="N64" s="2">
        <f t="shared" si="30"/>
        <v>0</v>
      </c>
      <c r="O64" s="2">
        <f t="shared" si="30"/>
        <v>0</v>
      </c>
      <c r="P64" s="2">
        <f t="shared" si="30"/>
        <v>0</v>
      </c>
      <c r="Q64" s="2">
        <f t="shared" si="30"/>
        <v>0</v>
      </c>
      <c r="R64" s="2">
        <f t="shared" si="30"/>
        <v>0</v>
      </c>
      <c r="S64" s="2">
        <f t="shared" si="30"/>
        <v>0</v>
      </c>
      <c r="T64" s="2">
        <f t="shared" si="30"/>
        <v>0</v>
      </c>
      <c r="U64" s="2">
        <f t="shared" si="30"/>
        <v>0</v>
      </c>
      <c r="V64" s="2">
        <f t="shared" si="30"/>
        <v>0</v>
      </c>
      <c r="W64" s="2">
        <f t="shared" si="30"/>
        <v>0</v>
      </c>
      <c r="X64" s="2">
        <f t="shared" si="30"/>
        <v>0</v>
      </c>
      <c r="Y64" s="2">
        <f t="shared" si="30"/>
        <v>0</v>
      </c>
      <c r="Z64" s="2">
        <f t="shared" si="30"/>
        <v>0</v>
      </c>
      <c r="AA64" s="2">
        <f t="shared" si="30"/>
        <v>0</v>
      </c>
      <c r="AB64" s="2">
        <f t="shared" si="29"/>
        <v>0</v>
      </c>
      <c r="AC64" s="2">
        <f t="shared" si="29"/>
        <v>0</v>
      </c>
      <c r="AD64" s="2">
        <f t="shared" si="29"/>
        <v>0</v>
      </c>
      <c r="AE64" s="2">
        <f t="shared" si="29"/>
        <v>0</v>
      </c>
      <c r="AF64" s="2">
        <f t="shared" si="29"/>
        <v>0</v>
      </c>
      <c r="AG64" s="2">
        <f t="shared" si="29"/>
        <v>0</v>
      </c>
      <c r="AH64" s="2">
        <f t="shared" si="29"/>
        <v>0</v>
      </c>
      <c r="AI64" s="2">
        <f t="shared" si="29"/>
        <v>0</v>
      </c>
      <c r="AJ64" s="2">
        <f t="shared" si="29"/>
        <v>0</v>
      </c>
      <c r="AK64" s="2">
        <f t="shared" si="29"/>
        <v>0</v>
      </c>
      <c r="AL64" s="2">
        <f t="shared" si="29"/>
        <v>0</v>
      </c>
      <c r="AM64" s="2">
        <f t="shared" si="29"/>
        <v>0</v>
      </c>
      <c r="AN64" s="2">
        <f t="shared" si="29"/>
        <v>0</v>
      </c>
      <c r="AO64" s="2">
        <f t="shared" si="29"/>
        <v>0</v>
      </c>
      <c r="AP64" s="2">
        <f t="shared" si="29"/>
        <v>0</v>
      </c>
      <c r="AQ64" s="2">
        <f t="shared" si="27"/>
        <v>0</v>
      </c>
      <c r="AR64" s="2">
        <f t="shared" si="27"/>
        <v>0</v>
      </c>
      <c r="AS64" s="2">
        <f t="shared" si="27"/>
        <v>0</v>
      </c>
      <c r="AT64" s="2">
        <f t="shared" si="27"/>
        <v>0</v>
      </c>
      <c r="AU64" s="2">
        <f t="shared" si="27"/>
        <v>0</v>
      </c>
      <c r="AV64" s="2">
        <f t="shared" si="27"/>
        <v>0</v>
      </c>
      <c r="AW64" s="2">
        <f t="shared" si="27"/>
        <v>0</v>
      </c>
      <c r="AX64" s="2">
        <f t="shared" si="27"/>
        <v>0</v>
      </c>
      <c r="AY64" s="2">
        <f t="shared" si="27"/>
        <v>0</v>
      </c>
      <c r="AZ64" s="2">
        <f t="shared" si="27"/>
        <v>0</v>
      </c>
      <c r="BA64" s="2">
        <f t="shared" si="27"/>
        <v>0</v>
      </c>
      <c r="BB64" s="2">
        <f t="shared" si="27"/>
        <v>0</v>
      </c>
      <c r="BC64" s="2">
        <f t="shared" si="27"/>
        <v>0</v>
      </c>
      <c r="BD64" s="2">
        <f t="shared" si="27"/>
        <v>0</v>
      </c>
      <c r="BE64" s="2">
        <f t="shared" si="27"/>
        <v>0</v>
      </c>
      <c r="BF64" s="2">
        <f t="shared" si="27"/>
        <v>0</v>
      </c>
      <c r="BG64" s="2">
        <f t="shared" si="26"/>
        <v>0</v>
      </c>
      <c r="BH64" s="2">
        <f t="shared" si="26"/>
        <v>0</v>
      </c>
      <c r="BI64" s="2">
        <f t="shared" si="26"/>
        <v>0</v>
      </c>
      <c r="BJ64" s="2">
        <f t="shared" si="26"/>
        <v>0</v>
      </c>
      <c r="BK64" s="2">
        <f t="shared" si="26"/>
        <v>0</v>
      </c>
      <c r="BL64" s="2">
        <f t="shared" si="26"/>
        <v>0</v>
      </c>
      <c r="BM64" s="2">
        <f t="shared" si="26"/>
        <v>0</v>
      </c>
      <c r="BN64" s="2">
        <f t="shared" si="26"/>
        <v>0</v>
      </c>
      <c r="BO64" s="2">
        <f t="shared" si="26"/>
        <v>0</v>
      </c>
      <c r="BP64" s="2">
        <f t="shared" si="26"/>
        <v>0</v>
      </c>
      <c r="BQ64" s="2">
        <f t="shared" si="26"/>
        <v>0</v>
      </c>
      <c r="BR64" s="2">
        <f t="shared" si="26"/>
        <v>0</v>
      </c>
      <c r="BS64" s="2">
        <f t="shared" si="26"/>
        <v>0</v>
      </c>
      <c r="BT64" s="2">
        <f t="shared" si="26"/>
        <v>0</v>
      </c>
      <c r="BU64" s="2">
        <f t="shared" si="26"/>
        <v>0</v>
      </c>
      <c r="BV64" s="2">
        <f t="shared" si="28"/>
        <v>0</v>
      </c>
      <c r="BW64" s="2">
        <f t="shared" si="28"/>
        <v>0</v>
      </c>
      <c r="BX64" s="2">
        <f t="shared" si="28"/>
        <v>0</v>
      </c>
      <c r="BY64" s="2">
        <f t="shared" si="28"/>
        <v>0</v>
      </c>
      <c r="BZ64" s="2">
        <f t="shared" si="28"/>
        <v>0</v>
      </c>
      <c r="CA64" s="2">
        <f t="shared" si="28"/>
        <v>0</v>
      </c>
      <c r="CB64" s="2">
        <f t="shared" si="28"/>
        <v>0</v>
      </c>
      <c r="CC64" s="2">
        <f t="shared" si="28"/>
        <v>0</v>
      </c>
      <c r="CD64" s="2">
        <f t="shared" si="28"/>
        <v>0</v>
      </c>
      <c r="CE64" s="2">
        <f t="shared" si="28"/>
        <v>0</v>
      </c>
      <c r="CF64" s="2">
        <f t="shared" si="28"/>
        <v>0</v>
      </c>
      <c r="CG64" s="2">
        <f t="shared" si="28"/>
        <v>0</v>
      </c>
      <c r="CH64" s="2">
        <f t="shared" si="28"/>
        <v>0</v>
      </c>
      <c r="CI64" s="2">
        <f t="shared" si="28"/>
        <v>0</v>
      </c>
      <c r="CJ64" s="2">
        <f t="shared" si="28"/>
        <v>0</v>
      </c>
      <c r="CK64" s="23">
        <f t="shared" si="28"/>
        <v>0</v>
      </c>
      <c r="CN64" s="2">
        <v>30.5</v>
      </c>
      <c r="CO64" s="14">
        <v>3.6780012704100286E-2</v>
      </c>
      <c r="CP64" s="14">
        <v>-1.0470087335468213E-2</v>
      </c>
      <c r="CQ64" s="14">
        <v>1.5674307253732003E-2</v>
      </c>
      <c r="CR64" s="14">
        <v>3.3530666639929756E-2</v>
      </c>
      <c r="CS64" s="14">
        <f t="shared" si="14"/>
        <v>7.5514899262293822E-2</v>
      </c>
    </row>
    <row r="65" spans="1:100" x14ac:dyDescent="0.45">
      <c r="A65" s="16"/>
      <c r="B65" s="17"/>
      <c r="C65" s="19"/>
      <c r="D65" s="19">
        <f t="shared" si="23"/>
        <v>0</v>
      </c>
      <c r="E65" s="19">
        <f t="shared" si="9"/>
        <v>0</v>
      </c>
      <c r="F65" s="19">
        <f t="shared" si="1"/>
        <v>0</v>
      </c>
      <c r="G65" s="20">
        <f t="shared" si="10"/>
        <v>0</v>
      </c>
      <c r="H65" s="20">
        <f>IFERROR(IRR((J65,L65:CK65),0),0)</f>
        <v>0</v>
      </c>
      <c r="I65" s="21">
        <f t="shared" si="2"/>
        <v>0</v>
      </c>
      <c r="J65" s="19">
        <f t="shared" si="13"/>
        <v>0</v>
      </c>
      <c r="K65" s="22">
        <f t="shared" si="3"/>
        <v>0</v>
      </c>
      <c r="L65" s="2">
        <f t="shared" si="30"/>
        <v>0</v>
      </c>
      <c r="M65" s="2">
        <f t="shared" si="30"/>
        <v>0</v>
      </c>
      <c r="N65" s="2">
        <f t="shared" si="30"/>
        <v>0</v>
      </c>
      <c r="O65" s="2">
        <f t="shared" si="30"/>
        <v>0</v>
      </c>
      <c r="P65" s="2">
        <f t="shared" si="30"/>
        <v>0</v>
      </c>
      <c r="Q65" s="2">
        <f t="shared" si="30"/>
        <v>0</v>
      </c>
      <c r="R65" s="2">
        <f t="shared" si="30"/>
        <v>0</v>
      </c>
      <c r="S65" s="2">
        <f t="shared" si="30"/>
        <v>0</v>
      </c>
      <c r="T65" s="2">
        <f t="shared" si="30"/>
        <v>0</v>
      </c>
      <c r="U65" s="2">
        <f t="shared" si="30"/>
        <v>0</v>
      </c>
      <c r="V65" s="2">
        <f t="shared" si="30"/>
        <v>0</v>
      </c>
      <c r="W65" s="2">
        <f t="shared" si="30"/>
        <v>0</v>
      </c>
      <c r="X65" s="2">
        <f t="shared" si="30"/>
        <v>0</v>
      </c>
      <c r="Y65" s="2">
        <f t="shared" si="30"/>
        <v>0</v>
      </c>
      <c r="Z65" s="2">
        <f t="shared" si="30"/>
        <v>0</v>
      </c>
      <c r="AA65" s="2">
        <f t="shared" si="30"/>
        <v>0</v>
      </c>
      <c r="AB65" s="2">
        <f t="shared" si="29"/>
        <v>0</v>
      </c>
      <c r="AC65" s="2">
        <f t="shared" si="29"/>
        <v>0</v>
      </c>
      <c r="AD65" s="2">
        <f t="shared" si="29"/>
        <v>0</v>
      </c>
      <c r="AE65" s="2">
        <f t="shared" si="29"/>
        <v>0</v>
      </c>
      <c r="AF65" s="2">
        <f t="shared" si="29"/>
        <v>0</v>
      </c>
      <c r="AG65" s="2">
        <f t="shared" si="29"/>
        <v>0</v>
      </c>
      <c r="AH65" s="2">
        <f t="shared" si="29"/>
        <v>0</v>
      </c>
      <c r="AI65" s="2">
        <f t="shared" si="29"/>
        <v>0</v>
      </c>
      <c r="AJ65" s="2">
        <f t="shared" si="29"/>
        <v>0</v>
      </c>
      <c r="AK65" s="2">
        <f t="shared" si="29"/>
        <v>0</v>
      </c>
      <c r="AL65" s="2">
        <f t="shared" si="29"/>
        <v>0</v>
      </c>
      <c r="AM65" s="2">
        <f t="shared" si="29"/>
        <v>0</v>
      </c>
      <c r="AN65" s="2">
        <f t="shared" si="29"/>
        <v>0</v>
      </c>
      <c r="AO65" s="2">
        <f t="shared" si="29"/>
        <v>0</v>
      </c>
      <c r="AP65" s="2">
        <f t="shared" si="29"/>
        <v>0</v>
      </c>
      <c r="AQ65" s="2">
        <f t="shared" si="27"/>
        <v>0</v>
      </c>
      <c r="AR65" s="2">
        <f t="shared" si="27"/>
        <v>0</v>
      </c>
      <c r="AS65" s="2">
        <f t="shared" si="27"/>
        <v>0</v>
      </c>
      <c r="AT65" s="2">
        <f t="shared" si="27"/>
        <v>0</v>
      </c>
      <c r="AU65" s="2">
        <f t="shared" si="27"/>
        <v>0</v>
      </c>
      <c r="AV65" s="2">
        <f t="shared" si="27"/>
        <v>0</v>
      </c>
      <c r="AW65" s="2">
        <f t="shared" si="27"/>
        <v>0</v>
      </c>
      <c r="AX65" s="2">
        <f t="shared" si="27"/>
        <v>0</v>
      </c>
      <c r="AY65" s="2">
        <f t="shared" si="27"/>
        <v>0</v>
      </c>
      <c r="AZ65" s="2">
        <f t="shared" si="27"/>
        <v>0</v>
      </c>
      <c r="BA65" s="2">
        <f t="shared" si="27"/>
        <v>0</v>
      </c>
      <c r="BB65" s="2">
        <f t="shared" si="27"/>
        <v>0</v>
      </c>
      <c r="BC65" s="2">
        <f t="shared" si="27"/>
        <v>0</v>
      </c>
      <c r="BD65" s="2">
        <f t="shared" si="27"/>
        <v>0</v>
      </c>
      <c r="BE65" s="2">
        <f t="shared" si="27"/>
        <v>0</v>
      </c>
      <c r="BF65" s="2">
        <f t="shared" si="27"/>
        <v>0</v>
      </c>
      <c r="BG65" s="2">
        <f t="shared" ref="BG65:BV66" si="31">$B65*100*(BG$2&lt;$A65)+100*(1+$B65)*(BG$2=$A65)</f>
        <v>0</v>
      </c>
      <c r="BH65" s="2">
        <f t="shared" si="31"/>
        <v>0</v>
      </c>
      <c r="BI65" s="2">
        <f t="shared" si="31"/>
        <v>0</v>
      </c>
      <c r="BJ65" s="2">
        <f t="shared" si="31"/>
        <v>0</v>
      </c>
      <c r="BK65" s="2">
        <f t="shared" si="31"/>
        <v>0</v>
      </c>
      <c r="BL65" s="2">
        <f t="shared" si="31"/>
        <v>0</v>
      </c>
      <c r="BM65" s="2">
        <f t="shared" si="31"/>
        <v>0</v>
      </c>
      <c r="BN65" s="2">
        <f t="shared" si="31"/>
        <v>0</v>
      </c>
      <c r="BO65" s="2">
        <f t="shared" si="31"/>
        <v>0</v>
      </c>
      <c r="BP65" s="2">
        <f t="shared" si="31"/>
        <v>0</v>
      </c>
      <c r="BQ65" s="2">
        <f t="shared" si="31"/>
        <v>0</v>
      </c>
      <c r="BR65" s="2">
        <f t="shared" si="31"/>
        <v>0</v>
      </c>
      <c r="BS65" s="2">
        <f t="shared" si="31"/>
        <v>0</v>
      </c>
      <c r="BT65" s="2">
        <f t="shared" si="31"/>
        <v>0</v>
      </c>
      <c r="BU65" s="2">
        <f t="shared" si="31"/>
        <v>0</v>
      </c>
      <c r="BV65" s="2">
        <f t="shared" si="31"/>
        <v>0</v>
      </c>
      <c r="BW65" s="2">
        <f t="shared" si="28"/>
        <v>0</v>
      </c>
      <c r="BX65" s="2">
        <f t="shared" si="28"/>
        <v>0</v>
      </c>
      <c r="BY65" s="2">
        <f t="shared" si="28"/>
        <v>0</v>
      </c>
      <c r="BZ65" s="2">
        <f t="shared" si="28"/>
        <v>0</v>
      </c>
      <c r="CA65" s="2">
        <f t="shared" si="28"/>
        <v>0</v>
      </c>
      <c r="CB65" s="2">
        <f t="shared" si="28"/>
        <v>0</v>
      </c>
      <c r="CC65" s="2">
        <f t="shared" si="28"/>
        <v>0</v>
      </c>
      <c r="CD65" s="2">
        <f t="shared" si="28"/>
        <v>0</v>
      </c>
      <c r="CE65" s="2">
        <f t="shared" si="28"/>
        <v>0</v>
      </c>
      <c r="CF65" s="2">
        <f t="shared" si="28"/>
        <v>0</v>
      </c>
      <c r="CG65" s="2">
        <f t="shared" si="28"/>
        <v>0</v>
      </c>
      <c r="CH65" s="2">
        <f t="shared" si="28"/>
        <v>0</v>
      </c>
      <c r="CI65" s="2">
        <f t="shared" si="28"/>
        <v>0</v>
      </c>
      <c r="CJ65" s="2">
        <f t="shared" si="28"/>
        <v>0</v>
      </c>
      <c r="CK65" s="23">
        <f t="shared" si="28"/>
        <v>0</v>
      </c>
      <c r="CN65" s="2">
        <v>31</v>
      </c>
      <c r="CO65" s="14">
        <v>3.6780012704100286E-2</v>
      </c>
      <c r="CP65" s="14">
        <v>-1.0363811484403013E-2</v>
      </c>
      <c r="CQ65" s="14">
        <v>1.5681403773799521E-2</v>
      </c>
      <c r="CR65" s="14">
        <v>3.3818509102563933E-2</v>
      </c>
      <c r="CS65" s="14">
        <f t="shared" si="14"/>
        <v>7.5916114096060722E-2</v>
      </c>
    </row>
    <row r="66" spans="1:100" x14ac:dyDescent="0.45">
      <c r="A66" s="16"/>
      <c r="B66" s="17"/>
      <c r="C66" s="19"/>
      <c r="D66" s="19">
        <f t="shared" si="23"/>
        <v>0</v>
      </c>
      <c r="E66" s="19">
        <f t="shared" si="9"/>
        <v>0</v>
      </c>
      <c r="F66" s="19">
        <f t="shared" si="1"/>
        <v>0</v>
      </c>
      <c r="G66" s="20">
        <f t="shared" si="10"/>
        <v>0</v>
      </c>
      <c r="H66" s="20">
        <f>IFERROR(IRR((J66,L66:CK66),0),0)</f>
        <v>0</v>
      </c>
      <c r="I66" s="21">
        <f t="shared" si="2"/>
        <v>0</v>
      </c>
      <c r="J66" s="19">
        <f t="shared" si="13"/>
        <v>0</v>
      </c>
      <c r="K66" s="22">
        <f t="shared" si="3"/>
        <v>0</v>
      </c>
      <c r="L66" s="2">
        <f t="shared" si="30"/>
        <v>0</v>
      </c>
      <c r="M66" s="2">
        <f t="shared" si="30"/>
        <v>0</v>
      </c>
      <c r="N66" s="2">
        <f t="shared" si="30"/>
        <v>0</v>
      </c>
      <c r="O66" s="2">
        <f t="shared" si="30"/>
        <v>0</v>
      </c>
      <c r="P66" s="2">
        <f t="shared" si="30"/>
        <v>0</v>
      </c>
      <c r="Q66" s="2">
        <f t="shared" si="30"/>
        <v>0</v>
      </c>
      <c r="R66" s="2">
        <f t="shared" si="30"/>
        <v>0</v>
      </c>
      <c r="S66" s="2">
        <f t="shared" si="30"/>
        <v>0</v>
      </c>
      <c r="T66" s="2">
        <f t="shared" si="30"/>
        <v>0</v>
      </c>
      <c r="U66" s="2">
        <f t="shared" si="30"/>
        <v>0</v>
      </c>
      <c r="V66" s="2">
        <f t="shared" si="30"/>
        <v>0</v>
      </c>
      <c r="W66" s="2">
        <f t="shared" si="30"/>
        <v>0</v>
      </c>
      <c r="X66" s="2">
        <f t="shared" si="30"/>
        <v>0</v>
      </c>
      <c r="Y66" s="2">
        <f t="shared" si="30"/>
        <v>0</v>
      </c>
      <c r="Z66" s="2">
        <f t="shared" si="30"/>
        <v>0</v>
      </c>
      <c r="AA66" s="2">
        <f t="shared" si="30"/>
        <v>0</v>
      </c>
      <c r="AB66" s="2">
        <f t="shared" si="29"/>
        <v>0</v>
      </c>
      <c r="AC66" s="2">
        <f t="shared" si="29"/>
        <v>0</v>
      </c>
      <c r="AD66" s="2">
        <f t="shared" si="29"/>
        <v>0</v>
      </c>
      <c r="AE66" s="2">
        <f t="shared" si="29"/>
        <v>0</v>
      </c>
      <c r="AF66" s="2">
        <f t="shared" si="29"/>
        <v>0</v>
      </c>
      <c r="AG66" s="2">
        <f t="shared" si="29"/>
        <v>0</v>
      </c>
      <c r="AH66" s="2">
        <f t="shared" si="29"/>
        <v>0</v>
      </c>
      <c r="AI66" s="2">
        <f t="shared" si="29"/>
        <v>0</v>
      </c>
      <c r="AJ66" s="2">
        <f t="shared" si="29"/>
        <v>0</v>
      </c>
      <c r="AK66" s="2">
        <f t="shared" si="29"/>
        <v>0</v>
      </c>
      <c r="AL66" s="2">
        <f t="shared" si="29"/>
        <v>0</v>
      </c>
      <c r="AM66" s="2">
        <f t="shared" si="29"/>
        <v>0</v>
      </c>
      <c r="AN66" s="2">
        <f t="shared" si="29"/>
        <v>0</v>
      </c>
      <c r="AO66" s="2">
        <f t="shared" si="29"/>
        <v>0</v>
      </c>
      <c r="AP66" s="2">
        <f t="shared" si="29"/>
        <v>0</v>
      </c>
      <c r="AQ66" s="2">
        <f t="shared" ref="AQ66:BF66" si="32">$B66*100*(AQ$2&lt;$A66)+100*(1+$B66)*(AQ$2=$A66)</f>
        <v>0</v>
      </c>
      <c r="AR66" s="2">
        <f t="shared" si="32"/>
        <v>0</v>
      </c>
      <c r="AS66" s="2">
        <f t="shared" si="32"/>
        <v>0</v>
      </c>
      <c r="AT66" s="2">
        <f t="shared" si="32"/>
        <v>0</v>
      </c>
      <c r="AU66" s="2">
        <f t="shared" si="32"/>
        <v>0</v>
      </c>
      <c r="AV66" s="2">
        <f t="shared" si="32"/>
        <v>0</v>
      </c>
      <c r="AW66" s="2">
        <f t="shared" si="32"/>
        <v>0</v>
      </c>
      <c r="AX66" s="2">
        <f t="shared" si="32"/>
        <v>0</v>
      </c>
      <c r="AY66" s="2">
        <f t="shared" si="32"/>
        <v>0</v>
      </c>
      <c r="AZ66" s="2">
        <f t="shared" si="32"/>
        <v>0</v>
      </c>
      <c r="BA66" s="2">
        <f t="shared" si="32"/>
        <v>0</v>
      </c>
      <c r="BB66" s="2">
        <f t="shared" si="32"/>
        <v>0</v>
      </c>
      <c r="BC66" s="2">
        <f t="shared" si="32"/>
        <v>0</v>
      </c>
      <c r="BD66" s="2">
        <f t="shared" si="32"/>
        <v>0</v>
      </c>
      <c r="BE66" s="2">
        <f t="shared" si="32"/>
        <v>0</v>
      </c>
      <c r="BF66" s="2">
        <f t="shared" si="32"/>
        <v>0</v>
      </c>
      <c r="BG66" s="2">
        <f t="shared" si="31"/>
        <v>0</v>
      </c>
      <c r="BH66" s="2">
        <f t="shared" si="31"/>
        <v>0</v>
      </c>
      <c r="BI66" s="2">
        <f t="shared" si="31"/>
        <v>0</v>
      </c>
      <c r="BJ66" s="2">
        <f t="shared" si="31"/>
        <v>0</v>
      </c>
      <c r="BK66" s="2">
        <f t="shared" si="31"/>
        <v>0</v>
      </c>
      <c r="BL66" s="2">
        <f t="shared" si="31"/>
        <v>0</v>
      </c>
      <c r="BM66" s="2">
        <f t="shared" si="31"/>
        <v>0</v>
      </c>
      <c r="BN66" s="2">
        <f t="shared" si="31"/>
        <v>0</v>
      </c>
      <c r="BO66" s="2">
        <f t="shared" si="31"/>
        <v>0</v>
      </c>
      <c r="BP66" s="2">
        <f t="shared" si="31"/>
        <v>0</v>
      </c>
      <c r="BQ66" s="2">
        <f t="shared" si="31"/>
        <v>0</v>
      </c>
      <c r="BR66" s="2">
        <f t="shared" si="31"/>
        <v>0</v>
      </c>
      <c r="BS66" s="2">
        <f t="shared" si="31"/>
        <v>0</v>
      </c>
      <c r="BT66" s="2">
        <f t="shared" si="31"/>
        <v>0</v>
      </c>
      <c r="BU66" s="2">
        <f t="shared" si="31"/>
        <v>0</v>
      </c>
      <c r="BV66" s="2">
        <f t="shared" si="31"/>
        <v>0</v>
      </c>
      <c r="BW66" s="2">
        <f t="shared" ref="BW66:CK66" si="33">$B66*100*(BW$2&lt;$A66)+100*(1+$B66)*(BW$2=$A66)</f>
        <v>0</v>
      </c>
      <c r="BX66" s="2">
        <f t="shared" si="33"/>
        <v>0</v>
      </c>
      <c r="BY66" s="2">
        <f t="shared" si="33"/>
        <v>0</v>
      </c>
      <c r="BZ66" s="2">
        <f t="shared" si="33"/>
        <v>0</v>
      </c>
      <c r="CA66" s="2">
        <f t="shared" si="33"/>
        <v>0</v>
      </c>
      <c r="CB66" s="2">
        <f t="shared" si="33"/>
        <v>0</v>
      </c>
      <c r="CC66" s="2">
        <f t="shared" si="33"/>
        <v>0</v>
      </c>
      <c r="CD66" s="2">
        <f t="shared" si="33"/>
        <v>0</v>
      </c>
      <c r="CE66" s="2">
        <f t="shared" si="33"/>
        <v>0</v>
      </c>
      <c r="CF66" s="2">
        <f t="shared" si="33"/>
        <v>0</v>
      </c>
      <c r="CG66" s="2">
        <f t="shared" si="33"/>
        <v>0</v>
      </c>
      <c r="CH66" s="2">
        <f t="shared" si="33"/>
        <v>0</v>
      </c>
      <c r="CI66" s="2">
        <f t="shared" si="33"/>
        <v>0</v>
      </c>
      <c r="CJ66" s="2">
        <f t="shared" si="33"/>
        <v>0</v>
      </c>
      <c r="CK66" s="23">
        <f t="shared" si="33"/>
        <v>0</v>
      </c>
      <c r="CN66" s="2">
        <v>31.5</v>
      </c>
      <c r="CO66" s="14">
        <v>3.6780012704100286E-2</v>
      </c>
      <c r="CP66" s="14">
        <v>-1.0259199766986816E-2</v>
      </c>
      <c r="CQ66" s="14">
        <v>1.5685219914439323E-2</v>
      </c>
      <c r="CR66" s="14">
        <v>3.410026649864286E-2</v>
      </c>
      <c r="CS66" s="14">
        <f t="shared" si="14"/>
        <v>7.6306299350195644E-2</v>
      </c>
    </row>
    <row r="67" spans="1:100" x14ac:dyDescent="0.45">
      <c r="A67" s="16"/>
      <c r="B67" s="17"/>
      <c r="C67" s="19"/>
      <c r="D67" s="19"/>
      <c r="E67" s="19"/>
      <c r="G67" s="20"/>
      <c r="H67" s="20"/>
      <c r="I67" s="21"/>
      <c r="J67" s="19"/>
      <c r="K67" s="22"/>
      <c r="CK67" s="23"/>
      <c r="CN67" s="16">
        <v>32</v>
      </c>
      <c r="CO67" s="14">
        <v>3.6780012704100286E-2</v>
      </c>
      <c r="CP67" s="14">
        <v>-1.0156220885947554E-2</v>
      </c>
      <c r="CQ67" s="14">
        <v>1.5685882432323786E-2</v>
      </c>
      <c r="CR67" s="14">
        <v>3.4376028259072426E-2</v>
      </c>
      <c r="CS67" s="14">
        <f t="shared" si="14"/>
        <v>7.6685702509548953E-2</v>
      </c>
      <c r="CT67" s="20"/>
      <c r="CU67" s="20"/>
      <c r="CV67" s="27"/>
    </row>
    <row r="68" spans="1:100" x14ac:dyDescent="0.45">
      <c r="A68" s="16"/>
      <c r="B68" s="17"/>
      <c r="C68" s="19"/>
      <c r="D68" s="19"/>
      <c r="E68" s="19"/>
      <c r="G68" s="20"/>
      <c r="H68" s="20"/>
      <c r="I68" s="21"/>
      <c r="J68" s="19"/>
      <c r="K68" s="22"/>
      <c r="CK68" s="23"/>
      <c r="CN68" s="16">
        <v>32.5</v>
      </c>
      <c r="CO68" s="14">
        <v>3.6780012704100286E-2</v>
      </c>
      <c r="CP68" s="14">
        <v>-1.0054844193600301E-2</v>
      </c>
      <c r="CQ68" s="14">
        <v>1.5683514040775188E-2</v>
      </c>
      <c r="CR68" s="14">
        <v>3.4645882611642427E-2</v>
      </c>
      <c r="CS68" s="14">
        <f t="shared" si="14"/>
        <v>7.7054565162917588E-2</v>
      </c>
      <c r="CT68" s="20"/>
      <c r="CU68" s="20"/>
      <c r="CV68" s="27"/>
    </row>
    <row r="69" spans="1:100" x14ac:dyDescent="0.45">
      <c r="A69" s="16"/>
      <c r="B69" s="17"/>
      <c r="C69" s="19"/>
      <c r="D69" s="19"/>
      <c r="E69" s="19"/>
      <c r="G69" s="20"/>
      <c r="H69" s="20"/>
      <c r="I69" s="21"/>
      <c r="J69" s="19"/>
      <c r="K69" s="22"/>
      <c r="CK69" s="23"/>
      <c r="CN69" s="16">
        <v>33</v>
      </c>
      <c r="CO69" s="14">
        <v>3.6780012704100286E-2</v>
      </c>
      <c r="CP69" s="14">
        <v>-9.9550396775240409E-3</v>
      </c>
      <c r="CQ69" s="14">
        <v>1.5678233530871135E-2</v>
      </c>
      <c r="CR69" s="14">
        <v>3.4909916596649021E-2</v>
      </c>
      <c r="CS69" s="14">
        <f t="shared" si="14"/>
        <v>7.7413123154096403E-2</v>
      </c>
      <c r="CT69" s="20"/>
      <c r="CU69" s="20"/>
      <c r="CV69" s="27"/>
    </row>
    <row r="70" spans="1:100" x14ac:dyDescent="0.45">
      <c r="A70" s="16"/>
      <c r="B70" s="17"/>
      <c r="C70" s="19"/>
      <c r="D70" s="19"/>
      <c r="E70" s="19"/>
      <c r="G70" s="20"/>
      <c r="H70" s="20"/>
      <c r="I70" s="21"/>
      <c r="J70" s="19"/>
      <c r="K70" s="22"/>
      <c r="CK70" s="23"/>
      <c r="CN70" s="16">
        <v>33.5</v>
      </c>
      <c r="CO70" s="14">
        <v>3.6780012704100286E-2</v>
      </c>
      <c r="CP70" s="14">
        <v>-9.856777946567306E-3</v>
      </c>
      <c r="CQ70" s="14">
        <v>1.567015588902422E-2</v>
      </c>
      <c r="CR70" s="14">
        <v>3.516821608231762E-2</v>
      </c>
      <c r="CS70" s="14">
        <f t="shared" ref="CS70:CS133" si="34">SUM(CO70:CR70)</f>
        <v>7.7761606728874819E-2</v>
      </c>
      <c r="CT70" s="20"/>
      <c r="CU70" s="20"/>
      <c r="CV70" s="27"/>
    </row>
    <row r="71" spans="1:100" x14ac:dyDescent="0.45">
      <c r="A71" s="16"/>
      <c r="B71" s="17"/>
      <c r="C71" s="19"/>
      <c r="D71" s="19"/>
      <c r="E71" s="19"/>
      <c r="G71" s="20"/>
      <c r="H71" s="20"/>
      <c r="I71" s="21"/>
      <c r="J71" s="19"/>
      <c r="K71" s="22"/>
      <c r="CK71" s="23"/>
      <c r="CN71" s="16">
        <v>34</v>
      </c>
      <c r="CO71" s="14">
        <v>3.6780012704100286E-2</v>
      </c>
      <c r="CP71" s="14">
        <v>-9.7600302171749181E-3</v>
      </c>
      <c r="CQ71" s="14">
        <v>1.5659392411136917E-2</v>
      </c>
      <c r="CR71" s="14">
        <v>3.5420865780029537E-2</v>
      </c>
      <c r="CS71" s="14">
        <f t="shared" si="34"/>
        <v>7.810024067809182E-2</v>
      </c>
      <c r="CT71" s="20"/>
      <c r="CU71" s="20"/>
      <c r="CV71" s="27"/>
    </row>
    <row r="72" spans="1:100" x14ac:dyDescent="0.45">
      <c r="A72" s="16"/>
      <c r="B72" s="26"/>
      <c r="I72" s="20"/>
      <c r="J72" s="19"/>
      <c r="CN72" s="16">
        <v>34.5</v>
      </c>
      <c r="CO72" s="14">
        <v>3.6780012704100286E-2</v>
      </c>
      <c r="CP72" s="14">
        <v>-9.6647683000282113E-3</v>
      </c>
      <c r="CQ72" s="14">
        <v>1.5646050813430044E-2</v>
      </c>
      <c r="CR72" s="14">
        <v>3.5667949259353751E-2</v>
      </c>
      <c r="CS72" s="14">
        <f t="shared" si="34"/>
        <v>7.8429244476855869E-2</v>
      </c>
      <c r="CT72" s="20"/>
      <c r="CU72" s="20"/>
      <c r="CV72" s="27"/>
    </row>
    <row r="73" spans="1:100" x14ac:dyDescent="0.45">
      <c r="A73" s="16"/>
      <c r="B73" s="26"/>
      <c r="I73" s="20"/>
      <c r="J73" s="19"/>
      <c r="CN73" s="16">
        <v>35</v>
      </c>
      <c r="CO73" s="14">
        <v>3.6780012704100286E-2</v>
      </c>
      <c r="CP73" s="14">
        <v>-9.5709645869913977E-3</v>
      </c>
      <c r="CQ73" s="14">
        <v>1.5630235340040211E-2</v>
      </c>
      <c r="CR73" s="14">
        <v>3.5909548962887283E-2</v>
      </c>
      <c r="CS73" s="14">
        <f t="shared" si="34"/>
        <v>7.8748832420036385E-2</v>
      </c>
      <c r="CT73" s="20"/>
      <c r="CU73" s="20"/>
      <c r="CV73" s="27"/>
    </row>
    <row r="74" spans="1:100" x14ac:dyDescent="0.45">
      <c r="A74" s="16"/>
      <c r="B74" s="26"/>
      <c r="I74" s="20"/>
      <c r="J74" s="19"/>
      <c r="CN74" s="16">
        <v>35.5</v>
      </c>
      <c r="CO74" s="14">
        <v>3.6780012704100286E-2</v>
      </c>
      <c r="CP74" s="14">
        <v>-9.478592038356777E-3</v>
      </c>
      <c r="CQ74" s="14">
        <v>1.5612046867478928E-2</v>
      </c>
      <c r="CR74" s="14">
        <v>3.614574622090589E-2</v>
      </c>
      <c r="CS74" s="14">
        <f t="shared" si="34"/>
        <v>7.9059213754128332E-2</v>
      </c>
      <c r="CT74" s="20"/>
      <c r="CU74" s="20"/>
      <c r="CV74" s="27"/>
    </row>
    <row r="75" spans="1:100" x14ac:dyDescent="0.45">
      <c r="A75" s="16"/>
      <c r="B75" s="26"/>
      <c r="I75" s="20"/>
      <c r="J75" s="19"/>
      <c r="CN75" s="16">
        <v>36</v>
      </c>
      <c r="CO75" s="14">
        <v>3.6780012704100286E-2</v>
      </c>
      <c r="CP75" s="14">
        <v>-9.3876241703818378E-3</v>
      </c>
      <c r="CQ75" s="14">
        <v>1.5591583006043547E-2</v>
      </c>
      <c r="CR75" s="14">
        <v>3.6376621265827878E-2</v>
      </c>
      <c r="CS75" s="14">
        <f t="shared" si="34"/>
        <v>7.936059280558988E-2</v>
      </c>
      <c r="CT75" s="20"/>
      <c r="CU75" s="20"/>
      <c r="CV75" s="27"/>
    </row>
    <row r="76" spans="1:100" x14ac:dyDescent="0.45">
      <c r="B76" s="29"/>
      <c r="C76" s="30"/>
      <c r="D76" s="31"/>
      <c r="E76" s="32"/>
      <c r="CN76" s="16">
        <v>36.5</v>
      </c>
      <c r="CO76" s="14">
        <v>3.6780012704100286E-2</v>
      </c>
      <c r="CP76" s="14">
        <v>-9.2980350431112607E-3</v>
      </c>
      <c r="CQ76" s="14">
        <v>1.5568938198267497E-2</v>
      </c>
      <c r="CR76" s="14">
        <v>3.6602253246493202E-2</v>
      </c>
      <c r="CS76" s="14">
        <f t="shared" si="34"/>
        <v>7.9653169105749724E-2</v>
      </c>
      <c r="CT76" s="20"/>
      <c r="CU76" s="20"/>
      <c r="CV76" s="27"/>
    </row>
    <row r="77" spans="1:100" x14ac:dyDescent="0.45">
      <c r="B77" s="33" t="s">
        <v>17</v>
      </c>
      <c r="C77" s="34" t="s">
        <v>18</v>
      </c>
      <c r="D77" s="33" t="s">
        <v>19</v>
      </c>
      <c r="E77" s="35" t="s">
        <v>20</v>
      </c>
      <c r="CN77" s="16">
        <v>37</v>
      </c>
      <c r="CO77" s="14">
        <v>3.6780012704100286E-2</v>
      </c>
      <c r="CP77" s="14">
        <v>-9.2097992484772191E-3</v>
      </c>
      <c r="CQ77" s="14">
        <v>1.5544203814494896E-2</v>
      </c>
      <c r="CR77" s="14">
        <v>3.6822720242260173E-2</v>
      </c>
      <c r="CS77" s="14">
        <f t="shared" si="34"/>
        <v>7.9937137512378131E-2</v>
      </c>
      <c r="CT77" s="20"/>
      <c r="CU77" s="20"/>
      <c r="CV77" s="27"/>
    </row>
    <row r="78" spans="1:100" ht="15.75" x14ac:dyDescent="0.5">
      <c r="A78" s="36" t="s">
        <v>21</v>
      </c>
      <c r="B78" s="37">
        <v>0.05</v>
      </c>
      <c r="C78" s="38">
        <v>3.6780012704100286E-2</v>
      </c>
      <c r="D78" s="39" t="s">
        <v>22</v>
      </c>
      <c r="E78" s="40" t="s">
        <v>23</v>
      </c>
      <c r="I78" s="19" t="s">
        <v>24</v>
      </c>
      <c r="J78" s="19" t="s">
        <v>25</v>
      </c>
      <c r="K78" s="2" t="s">
        <v>26</v>
      </c>
      <c r="L78" s="28">
        <f>+b0_c+b1_c*((1-EXP(-L2/tau1_c))*tau1_c/L2)+b2_c*((1-EXP(-L2/tau1_c))*tau1_c/L2-EXP(-L2/tau1_c))+b3_c*((1-EXP(-L2/tau2_c))*tau2_c/L2-EXP(-L2/tau2_c))</f>
        <v>1.6787222526608105E-2</v>
      </c>
      <c r="M78" s="28">
        <f t="shared" ref="M78:AR78" si="35">+b0_c+b1_c*((1-EXP(-M2/tau1_c))*tau1_c/M2)+b2_c*((1-EXP(-M2/tau1_c))*tau1_c/M2-EXP(-M2/tau1_c))</f>
        <v>1.6898380000111735E-2</v>
      </c>
      <c r="N78" s="28">
        <f t="shared" si="35"/>
        <v>1.7865688058249389E-2</v>
      </c>
      <c r="O78" s="28">
        <f t="shared" si="35"/>
        <v>1.8802323715751423E-2</v>
      </c>
      <c r="P78" s="28">
        <f t="shared" si="35"/>
        <v>1.9709191186969871E-2</v>
      </c>
      <c r="Q78" s="28">
        <f t="shared" si="35"/>
        <v>2.0587168711067888E-2</v>
      </c>
      <c r="R78" s="28">
        <f t="shared" si="35"/>
        <v>2.1437109289184651E-2</v>
      </c>
      <c r="S78" s="28">
        <f t="shared" si="35"/>
        <v>2.2259841400819387E-2</v>
      </c>
      <c r="T78" s="28">
        <f t="shared" si="35"/>
        <v>2.3056169700017514E-2</v>
      </c>
      <c r="U78" s="28">
        <f t="shared" si="35"/>
        <v>2.3826875691926739E-2</v>
      </c>
      <c r="V78" s="28">
        <f t="shared" si="35"/>
        <v>2.4572718390273661E-2</v>
      </c>
      <c r="W78" s="28">
        <f t="shared" si="35"/>
        <v>2.5294434956297119E-2</v>
      </c>
      <c r="X78" s="28">
        <f t="shared" si="35"/>
        <v>2.5992741319658862E-2</v>
      </c>
      <c r="Y78" s="28">
        <f t="shared" si="35"/>
        <v>2.6668332781837681E-2</v>
      </c>
      <c r="Z78" s="28">
        <f t="shared" si="35"/>
        <v>2.732188460249934E-2</v>
      </c>
      <c r="AA78" s="28">
        <f t="shared" si="35"/>
        <v>2.7954052569320126E-2</v>
      </c>
      <c r="AB78" s="28">
        <f t="shared" si="35"/>
        <v>2.856547355172917E-2</v>
      </c>
      <c r="AC78" s="28">
        <f t="shared" si="35"/>
        <v>2.9156766039021259E-2</v>
      </c>
      <c r="AD78" s="28">
        <f t="shared" si="35"/>
        <v>2.9728530663279264E-2</v>
      </c>
      <c r="AE78" s="28">
        <f t="shared" si="35"/>
        <v>3.0281350707533117E-2</v>
      </c>
      <c r="AF78" s="28">
        <f t="shared" si="35"/>
        <v>3.0815792599570152E-2</v>
      </c>
      <c r="AG78" s="28">
        <f t="shared" si="35"/>
        <v>3.1332406391800238E-2</v>
      </c>
      <c r="AH78" s="28">
        <f t="shared" si="35"/>
        <v>3.1831726227567414E-2</v>
      </c>
      <c r="AI78" s="28">
        <f t="shared" si="35"/>
        <v>3.2314270794289342E-2</v>
      </c>
      <c r="AJ78" s="28">
        <f t="shared" si="35"/>
        <v>3.278054376379462E-2</v>
      </c>
      <c r="AK78" s="28">
        <f t="shared" si="35"/>
        <v>3.3231034220218045E-2</v>
      </c>
      <c r="AL78" s="28">
        <f t="shared" si="35"/>
        <v>3.3666217075803542E-2</v>
      </c>
      <c r="AM78" s="28">
        <f t="shared" si="35"/>
        <v>3.4086553474955011E-2</v>
      </c>
      <c r="AN78" s="28">
        <f t="shared" si="35"/>
        <v>3.4492491186865343E-2</v>
      </c>
      <c r="AO78" s="28">
        <f t="shared" si="35"/>
        <v>3.4884464987045047E-2</v>
      </c>
      <c r="AP78" s="28">
        <f t="shared" si="35"/>
        <v>3.5262897028062616E-2</v>
      </c>
      <c r="AQ78" s="28">
        <f t="shared" si="35"/>
        <v>3.5628197199800135E-2</v>
      </c>
      <c r="AR78" s="28">
        <f t="shared" si="35"/>
        <v>3.5980763479519159E-2</v>
      </c>
      <c r="AS78" s="28">
        <f t="shared" ref="AS78:BX78" si="36">+b0_c+b1_c*((1-EXP(-AS2/tau1_c))*tau1_c/AS2)+b2_c*((1-EXP(-AS2/tau1_c))*tau1_c/AS2-EXP(-AS2/tau1_c))</f>
        <v>3.6320982272023482E-2</v>
      </c>
      <c r="AT78" s="28">
        <f t="shared" si="36"/>
        <v>3.6649228740197506E-2</v>
      </c>
      <c r="AU78" s="28">
        <f t="shared" si="36"/>
        <v>3.6965867126191113E-2</v>
      </c>
      <c r="AV78" s="28">
        <f t="shared" si="36"/>
        <v>3.7271251063514074E-2</v>
      </c>
      <c r="AW78" s="28">
        <f t="shared" si="36"/>
        <v>3.7565723880296185E-2</v>
      </c>
      <c r="AX78" s="28">
        <f t="shared" si="36"/>
        <v>3.7849618893961601E-2</v>
      </c>
      <c r="AY78" s="28">
        <f t="shared" si="36"/>
        <v>3.8123259697559003E-2</v>
      </c>
      <c r="AZ78" s="28">
        <f t="shared" si="36"/>
        <v>3.8386960437982925E-2</v>
      </c>
      <c r="BA78" s="28">
        <f t="shared" si="36"/>
        <v>3.8641026086314055E-2</v>
      </c>
      <c r="BB78" s="28">
        <f t="shared" si="36"/>
        <v>3.8885752700500875E-2</v>
      </c>
      <c r="BC78" s="28">
        <f t="shared" si="36"/>
        <v>3.9121427680598161E-2</v>
      </c>
      <c r="BD78" s="28">
        <f t="shared" si="36"/>
        <v>3.9348330016771925E-2</v>
      </c>
      <c r="BE78" s="28">
        <f t="shared" si="36"/>
        <v>3.956673053027486E-2</v>
      </c>
      <c r="BF78" s="28">
        <f t="shared" si="36"/>
        <v>3.9776892107589917E-2</v>
      </c>
      <c r="BG78" s="28">
        <f t="shared" si="36"/>
        <v>3.9979069927934985E-2</v>
      </c>
      <c r="BH78" s="28">
        <f t="shared" si="36"/>
        <v>4.0173511684315294E-2</v>
      </c>
      <c r="BI78" s="28">
        <f t="shared" si="36"/>
        <v>4.0360457798305757E-2</v>
      </c>
      <c r="BJ78" s="28">
        <f t="shared" si="36"/>
        <v>4.0540141628739819E-2</v>
      </c>
      <c r="BK78" s="28">
        <f t="shared" si="36"/>
        <v>4.0712789674476536E-2</v>
      </c>
      <c r="BL78" s="28">
        <f t="shared" si="36"/>
        <v>4.0878621771412937E-2</v>
      </c>
      <c r="BM78" s="28">
        <f t="shared" si="36"/>
        <v>4.1037851283903949E-2</v>
      </c>
      <c r="BN78" s="28">
        <f t="shared" si="36"/>
        <v>4.1190685290747438E-2</v>
      </c>
      <c r="BO78" s="28">
        <f t="shared" si="36"/>
        <v>4.133732476588782E-2</v>
      </c>
      <c r="BP78" s="28">
        <f t="shared" si="36"/>
        <v>4.1477964753987066E-2</v>
      </c>
      <c r="BQ78" s="28">
        <f t="shared" si="36"/>
        <v>4.1612794541007983E-2</v>
      </c>
      <c r="BR78" s="28">
        <f t="shared" si="36"/>
        <v>4.1741997819950499E-2</v>
      </c>
      <c r="BS78" s="28">
        <f t="shared" si="36"/>
        <v>4.1865752851877616E-2</v>
      </c>
      <c r="BT78" s="28">
        <f t="shared" si="36"/>
        <v>4.1984232622364073E-2</v>
      </c>
      <c r="BU78" s="28">
        <f t="shared" si="36"/>
        <v>4.2097604993496796E-2</v>
      </c>
      <c r="BV78" s="28">
        <f t="shared" si="36"/>
        <v>4.2206032851552798E-2</v>
      </c>
      <c r="BW78" s="28">
        <f t="shared" si="36"/>
        <v>4.230967425047652E-2</v>
      </c>
      <c r="BX78" s="28">
        <f t="shared" si="36"/>
        <v>4.2408682551275168E-2</v>
      </c>
      <c r="BY78" s="28">
        <f t="shared" ref="BY78:CK78" si="37">+b0_c+b1_c*((1-EXP(-BY2/tau1_c))*tau1_c/BY2)+b2_c*((1-EXP(-BY2/tau1_c))*tau1_c/BY2-EXP(-BY2/tau1_c))</f>
        <v>4.2503206557447382E-2</v>
      </c>
      <c r="BZ78" s="28">
        <f t="shared" si="37"/>
        <v>4.2593390646557198E-2</v>
      </c>
      <c r="CA78" s="28">
        <f t="shared" si="37"/>
        <v>4.2679374898062283E-2</v>
      </c>
      <c r="CB78" s="28">
        <f t="shared" si="37"/>
        <v>4.2761295217502118E-2</v>
      </c>
      <c r="CC78" s="28">
        <f t="shared" si="37"/>
        <v>4.2839283457149102E-2</v>
      </c>
      <c r="CD78" s="28">
        <f t="shared" si="37"/>
        <v>4.2913467533222435E-2</v>
      </c>
      <c r="CE78" s="28">
        <f t="shared" si="37"/>
        <v>4.2983971539761995E-2</v>
      </c>
      <c r="CF78" s="28">
        <f t="shared" si="37"/>
        <v>4.3050915859256522E-2</v>
      </c>
      <c r="CG78" s="28">
        <f t="shared" si="37"/>
        <v>4.3114417270117965E-2</v>
      </c>
      <c r="CH78" s="28">
        <f t="shared" si="37"/>
        <v>4.3174589051091082E-2</v>
      </c>
      <c r="CI78" s="28">
        <f t="shared" si="37"/>
        <v>4.3231541082684996E-2</v>
      </c>
      <c r="CJ78" s="28">
        <f t="shared" si="37"/>
        <v>4.3285379945710939E-2</v>
      </c>
      <c r="CK78" s="28">
        <f t="shared" si="37"/>
        <v>4.3336209017007972E-2</v>
      </c>
      <c r="CN78" s="16">
        <v>37.5</v>
      </c>
      <c r="CO78" s="14">
        <v>3.6780012704100286E-2</v>
      </c>
      <c r="CP78" s="14">
        <v>-9.1228918986713467E-3</v>
      </c>
      <c r="CQ78" s="14">
        <v>1.5517468245662141E-2</v>
      </c>
      <c r="CR78" s="14">
        <v>3.7038099276922309E-2</v>
      </c>
      <c r="CS78" s="14">
        <f t="shared" si="34"/>
        <v>8.0212688328013398E-2</v>
      </c>
      <c r="CV78" s="20"/>
    </row>
    <row r="79" spans="1:100" ht="15.75" x14ac:dyDescent="0.5">
      <c r="A79" s="36" t="s">
        <v>27</v>
      </c>
      <c r="B79" s="37">
        <v>-0.04</v>
      </c>
      <c r="C79" s="38">
        <v>-2.1912017328798807E-2</v>
      </c>
      <c r="D79" s="41">
        <v>6.6983366234326303</v>
      </c>
      <c r="E79" s="40">
        <f>AVERAGE(F3:F71)</f>
        <v>2.670548431346309E-2</v>
      </c>
      <c r="I79" s="19" t="s">
        <v>28</v>
      </c>
      <c r="J79" s="63" t="s">
        <v>29</v>
      </c>
      <c r="K79" s="63"/>
      <c r="L79" s="42">
        <f t="shared" ref="L79:AQ79" si="38">+(1+L78)^(-L2)</f>
        <v>0.99171061081266532</v>
      </c>
      <c r="M79" s="10">
        <f t="shared" si="38"/>
        <v>0.98338243001222025</v>
      </c>
      <c r="N79" s="10">
        <f t="shared" si="38"/>
        <v>0.97378770751715016</v>
      </c>
      <c r="O79" s="10">
        <f t="shared" si="38"/>
        <v>0.96342995726623204</v>
      </c>
      <c r="P79" s="10">
        <f t="shared" si="38"/>
        <v>0.95237758500993053</v>
      </c>
      <c r="Q79" s="10">
        <f t="shared" si="38"/>
        <v>0.940696846964022</v>
      </c>
      <c r="R79" s="10">
        <f t="shared" si="38"/>
        <v>0.92845164119874168</v>
      </c>
      <c r="S79" s="10">
        <f t="shared" si="38"/>
        <v>0.91570334159730671</v>
      </c>
      <c r="T79" s="10">
        <f t="shared" si="38"/>
        <v>0.90251067068473811</v>
      </c>
      <c r="U79" s="10">
        <f t="shared" si="38"/>
        <v>0.88892960766349716</v>
      </c>
      <c r="V79" s="10">
        <f t="shared" si="38"/>
        <v>0.87501332807793342</v>
      </c>
      <c r="W79" s="10">
        <f t="shared" si="38"/>
        <v>0.860812171654742</v>
      </c>
      <c r="X79" s="10">
        <f t="shared" si="38"/>
        <v>0.8463736350224107</v>
      </c>
      <c r="Y79" s="10">
        <f t="shared" si="38"/>
        <v>0.83174238619117968</v>
      </c>
      <c r="Z79" s="10">
        <f t="shared" si="38"/>
        <v>0.81696029786923519</v>
      </c>
      <c r="AA79" s="10">
        <f t="shared" si="38"/>
        <v>0.80206649689492826</v>
      </c>
      <c r="AB79" s="10">
        <f t="shared" si="38"/>
        <v>0.78709742727371734</v>
      </c>
      <c r="AC79" s="10">
        <f t="shared" si="38"/>
        <v>0.77208692451804373</v>
      </c>
      <c r="AD79" s="10">
        <f t="shared" si="38"/>
        <v>0.75706629919515533</v>
      </c>
      <c r="AE79" s="10">
        <f t="shared" si="38"/>
        <v>0.74206442778925064</v>
      </c>
      <c r="AF79" s="10">
        <f t="shared" si="38"/>
        <v>0.72710784917808036</v>
      </c>
      <c r="AG79" s="10">
        <f t="shared" si="38"/>
        <v>0.7122208652087888</v>
      </c>
      <c r="AH79" s="10">
        <f t="shared" si="38"/>
        <v>0.69742564403202789</v>
      </c>
      <c r="AI79" s="10">
        <f t="shared" si="38"/>
        <v>0.68274232501675436</v>
      </c>
      <c r="AJ79" s="10">
        <f t="shared" si="38"/>
        <v>0.66818912421976751</v>
      </c>
      <c r="AK79" s="10">
        <f t="shared" si="38"/>
        <v>0.65378243952426152</v>
      </c>
      <c r="AL79" s="10">
        <f t="shared" si="38"/>
        <v>0.63953695469015215</v>
      </c>
      <c r="AM79" s="10">
        <f t="shared" si="38"/>
        <v>0.62546574167607594</v>
      </c>
      <c r="AN79" s="10">
        <f t="shared" si="38"/>
        <v>0.61158036069910526</v>
      </c>
      <c r="AO79" s="10">
        <f t="shared" si="38"/>
        <v>0.59789095759379063</v>
      </c>
      <c r="AP79" s="10">
        <f t="shared" si="38"/>
        <v>0.58440635811773123</v>
      </c>
      <c r="AQ79" s="10">
        <f t="shared" si="38"/>
        <v>0.57113415892702557</v>
      </c>
      <c r="AR79" s="10">
        <f t="shared" ref="AR79:BW79" si="39">+(1+AR78)^(-AR2)</f>
        <v>0.55808081501229068</v>
      </c>
      <c r="AS79" s="10">
        <f t="shared" si="39"/>
        <v>0.54525172344519257</v>
      </c>
      <c r="AT79" s="10">
        <f t="shared" si="39"/>
        <v>0.53265130333705268</v>
      </c>
      <c r="AU79" s="10">
        <f t="shared" si="39"/>
        <v>0.52028307195594625</v>
      </c>
      <c r="AV79" s="10">
        <f t="shared" si="39"/>
        <v>0.50814971698716305</v>
      </c>
      <c r="AW79" s="10">
        <f t="shared" si="39"/>
        <v>0.49625316495478783</v>
      </c>
      <c r="AX79" s="10">
        <f t="shared" si="39"/>
        <v>0.4845946458498287</v>
      </c>
      <c r="AY79" s="10">
        <f t="shared" si="39"/>
        <v>0.47317475403338666</v>
      </c>
      <c r="AZ79" s="10">
        <f t="shared" si="39"/>
        <v>0.46199350550241286</v>
      </c>
      <c r="BA79" s="10">
        <f t="shared" si="39"/>
        <v>0.45105039162093241</v>
      </c>
      <c r="BB79" s="10">
        <f t="shared" si="39"/>
        <v>0.44034442943169294</v>
      </c>
      <c r="BC79" s="10">
        <f t="shared" si="39"/>
        <v>0.42987420867257636</v>
      </c>
      <c r="BD79" s="10">
        <f t="shared" si="39"/>
        <v>0.41963793562894086</v>
      </c>
      <c r="BE79" s="10">
        <f t="shared" si="39"/>
        <v>0.40963347395767624</v>
      </c>
      <c r="BF79" s="10">
        <f t="shared" si="39"/>
        <v>0.3998583826217601</v>
      </c>
      <c r="BG79" s="10">
        <f t="shared" si="39"/>
        <v>0.3903099510752015</v>
      </c>
      <c r="BH79" s="10">
        <f t="shared" si="39"/>
        <v>0.38098523183835387</v>
      </c>
      <c r="BI79" s="10">
        <f t="shared" si="39"/>
        <v>0.37188107060226011</v>
      </c>
      <c r="BJ79" s="10">
        <f t="shared" si="39"/>
        <v>0.36299413399861646</v>
      </c>
      <c r="BK79" s="10">
        <f t="shared" si="39"/>
        <v>0.35432093516906271</v>
      </c>
      <c r="BL79" s="10">
        <f t="shared" si="39"/>
        <v>0.34585785726388862</v>
      </c>
      <c r="BM79" s="10">
        <f t="shared" si="39"/>
        <v>0.33760117499633252</v>
      </c>
      <c r="BN79" s="10">
        <f t="shared" si="39"/>
        <v>0.3295470743741778</v>
      </c>
      <c r="BO79" s="10">
        <f t="shared" si="39"/>
        <v>0.32169167072569271</v>
      </c>
      <c r="BP79" s="10">
        <f t="shared" si="39"/>
        <v>0.31403102513209419</v>
      </c>
      <c r="BQ79" s="10">
        <f t="shared" si="39"/>
        <v>0.30656115937369233</v>
      </c>
      <c r="BR79" s="10">
        <f t="shared" si="39"/>
        <v>0.29927806949182628</v>
      </c>
      <c r="BS79" s="10">
        <f t="shared" si="39"/>
        <v>0.29217773806361236</v>
      </c>
      <c r="BT79" s="10">
        <f t="shared" si="39"/>
        <v>0.28525614528150739</v>
      </c>
      <c r="BU79" s="10">
        <f t="shared" si="39"/>
        <v>0.27850927892469757</v>
      </c>
      <c r="BV79" s="10">
        <f t="shared" si="39"/>
        <v>0.27193314330445856</v>
      </c>
      <c r="BW79" s="10">
        <f t="shared" si="39"/>
        <v>0.2655237672609197</v>
      </c>
      <c r="BX79" s="10">
        <f t="shared" ref="BX79:CK79" si="40">+(1+BX78)^(-BX2)</f>
        <v>0.25927721128399855</v>
      </c>
      <c r="BY79" s="10">
        <f t="shared" si="40"/>
        <v>0.25318957382689311</v>
      </c>
      <c r="BZ79" s="10">
        <f t="shared" si="40"/>
        <v>0.24725699687621497</v>
      </c>
      <c r="CA79" s="10">
        <f t="shared" si="40"/>
        <v>0.2414756708387221</v>
      </c>
      <c r="CB79" s="10">
        <f t="shared" si="40"/>
        <v>0.23584183880074586</v>
      </c>
      <c r="CC79" s="10">
        <f t="shared" si="40"/>
        <v>0.2303518002126177</v>
      </c>
      <c r="CD79" s="10">
        <f t="shared" si="40"/>
        <v>0.22500191404689263</v>
      </c>
      <c r="CE79" s="10">
        <f t="shared" si="40"/>
        <v>0.21978860147574419</v>
      </c>
      <c r="CF79" s="10">
        <f t="shared" si="40"/>
        <v>0.21470834810979184</v>
      </c>
      <c r="CG79" s="10">
        <f t="shared" si="40"/>
        <v>0.20975770583751899</v>
      </c>
      <c r="CH79" s="10">
        <f t="shared" si="40"/>
        <v>0.20493329430167773</v>
      </c>
      <c r="CI79" s="10">
        <f t="shared" si="40"/>
        <v>0.20023180204636187</v>
      </c>
      <c r="CJ79" s="10">
        <f t="shared" si="40"/>
        <v>0.195649987365903</v>
      </c>
      <c r="CK79" s="10">
        <f t="shared" si="40"/>
        <v>0.19118467888445048</v>
      </c>
      <c r="CN79" s="16">
        <v>38</v>
      </c>
      <c r="CO79" s="14">
        <v>3.6780012704100286E-2</v>
      </c>
      <c r="CP79" s="14">
        <v>-9.0372886147820249E-3</v>
      </c>
      <c r="CQ79" s="14">
        <v>1.548881699336674E-2</v>
      </c>
      <c r="CR79" s="14">
        <v>3.7248466332447244E-2</v>
      </c>
      <c r="CS79" s="14">
        <f t="shared" si="34"/>
        <v>8.0480007415132254E-2</v>
      </c>
      <c r="CV79" s="20"/>
    </row>
    <row r="80" spans="1:100" ht="15.75" x14ac:dyDescent="0.5">
      <c r="A80" s="36" t="s">
        <v>30</v>
      </c>
      <c r="B80" s="37">
        <v>0.05</v>
      </c>
      <c r="C80" s="38">
        <v>5.2562539256541488E-2</v>
      </c>
      <c r="D80" s="41" t="s">
        <v>31</v>
      </c>
      <c r="E80" s="40" t="s">
        <v>31</v>
      </c>
      <c r="I80" s="19" t="s">
        <v>32</v>
      </c>
      <c r="J80" s="63" t="s">
        <v>33</v>
      </c>
      <c r="K80" s="63"/>
      <c r="L80" s="20"/>
      <c r="M80" s="20"/>
      <c r="N80" s="20">
        <f>L79/N79-1</f>
        <v>1.8405349705237883E-2</v>
      </c>
      <c r="O80" s="20">
        <f>M79/O79-1</f>
        <v>2.0709832194344635E-2</v>
      </c>
      <c r="P80" s="20">
        <f t="shared" ref="P80:CA80" si="41">N79/P79-1</f>
        <v>2.2480708118509884E-2</v>
      </c>
      <c r="Q80" s="20">
        <f t="shared" si="41"/>
        <v>2.4166244816891114E-2</v>
      </c>
      <c r="R80" s="20">
        <f t="shared" si="41"/>
        <v>2.5769725368030683E-2</v>
      </c>
      <c r="S80" s="20">
        <f t="shared" si="41"/>
        <v>2.7294325827311949E-2</v>
      </c>
      <c r="T80" s="20">
        <f t="shared" si="41"/>
        <v>2.8743117789756578E-2</v>
      </c>
      <c r="U80" s="20">
        <f t="shared" si="41"/>
        <v>3.0119070962416172E-2</v>
      </c>
      <c r="V80" s="20">
        <f t="shared" si="41"/>
        <v>3.142505573852894E-2</v>
      </c>
      <c r="W80" s="20">
        <f t="shared" si="41"/>
        <v>3.2663845766382371E-2</v>
      </c>
      <c r="X80" s="20">
        <f t="shared" si="41"/>
        <v>3.3838120506629821E-2</v>
      </c>
      <c r="Y80" s="20">
        <f t="shared" si="41"/>
        <v>3.4950467772458138E-2</v>
      </c>
      <c r="Z80" s="20">
        <f t="shared" si="41"/>
        <v>3.6003386247642988E-2</v>
      </c>
      <c r="AA80" s="20">
        <f t="shared" si="41"/>
        <v>3.6999287978162432E-2</v>
      </c>
      <c r="AB80" s="20">
        <f t="shared" si="41"/>
        <v>3.7940500833491875E-2</v>
      </c>
      <c r="AC80" s="20">
        <f t="shared" si="41"/>
        <v>3.8829270934226168E-2</v>
      </c>
      <c r="AD80" s="20">
        <f t="shared" si="41"/>
        <v>3.9667765043152059E-2</v>
      </c>
      <c r="AE80" s="20">
        <f t="shared" si="41"/>
        <v>4.0458072917247456E-2</v>
      </c>
      <c r="AF80" s="20">
        <f t="shared" si="41"/>
        <v>4.1202209618476759E-2</v>
      </c>
      <c r="AG80" s="20">
        <f t="shared" si="41"/>
        <v>4.1902117781557946E-2</v>
      </c>
      <c r="AH80" s="20">
        <f t="shared" si="41"/>
        <v>4.255966983727566E-2</v>
      </c>
      <c r="AI80" s="20">
        <f t="shared" si="41"/>
        <v>4.3176670190047339E-2</v>
      </c>
      <c r="AJ80" s="20">
        <f t="shared" si="41"/>
        <v>4.3754857348807352E-2</v>
      </c>
      <c r="AK80" s="20">
        <f t="shared" si="41"/>
        <v>4.4295906010516362E-2</v>
      </c>
      <c r="AL80" s="20">
        <f t="shared" si="41"/>
        <v>4.4801429095675971E-2</v>
      </c>
      <c r="AM80" s="20">
        <f t="shared" si="41"/>
        <v>4.5272979735556218E-2</v>
      </c>
      <c r="AN80" s="20">
        <f t="shared" si="41"/>
        <v>4.5712053210945625E-2</v>
      </c>
      <c r="AO80" s="20">
        <f t="shared" si="41"/>
        <v>4.6120088842386719E-2</v>
      </c>
      <c r="AP80" s="20">
        <f t="shared" si="41"/>
        <v>4.6498471831991406E-2</v>
      </c>
      <c r="AQ80" s="20">
        <f t="shared" si="41"/>
        <v>4.6848535057038676E-2</v>
      </c>
      <c r="AR80" s="20">
        <f t="shared" si="41"/>
        <v>4.7171560815723046E-2</v>
      </c>
      <c r="AS80" s="20">
        <f t="shared" si="41"/>
        <v>4.7468782525424968E-2</v>
      </c>
      <c r="AT80" s="20">
        <f t="shared" si="41"/>
        <v>4.7741386374017036E-2</v>
      </c>
      <c r="AU80" s="20">
        <f t="shared" si="41"/>
        <v>4.7990512924780404E-2</v>
      </c>
      <c r="AV80" s="20">
        <f t="shared" si="41"/>
        <v>4.8217258675573804E-2</v>
      </c>
      <c r="AW80" s="20">
        <f t="shared" si="41"/>
        <v>4.8422677572943496E-2</v>
      </c>
      <c r="AX80" s="20">
        <f t="shared" si="41"/>
        <v>4.8607782481843165E-2</v>
      </c>
      <c r="AY80" s="20">
        <f t="shared" si="41"/>
        <v>4.8773546611856622E-2</v>
      </c>
      <c r="AZ80" s="20">
        <f t="shared" si="41"/>
        <v>4.8920904900681128E-2</v>
      </c>
      <c r="BA80" s="20">
        <f t="shared" si="41"/>
        <v>4.9050755355618536E-2</v>
      </c>
      <c r="BB80" s="20">
        <f t="shared" si="41"/>
        <v>4.9163960354080327E-2</v>
      </c>
      <c r="BC80" s="20">
        <f t="shared" si="41"/>
        <v>4.9261347903952535E-2</v>
      </c>
      <c r="BD80" s="20">
        <f t="shared" si="41"/>
        <v>4.9343712864562184E-2</v>
      </c>
      <c r="BE80" s="20">
        <f t="shared" si="41"/>
        <v>4.9411818129373453E-2</v>
      </c>
      <c r="BF80" s="20">
        <f t="shared" si="41"/>
        <v>4.9466395771152083E-2</v>
      </c>
      <c r="BG80" s="20">
        <f t="shared" si="41"/>
        <v>4.9508148150575026E-2</v>
      </c>
      <c r="BH80" s="20">
        <f t="shared" si="41"/>
        <v>4.9537748989215036E-2</v>
      </c>
      <c r="BI80" s="20">
        <f t="shared" si="41"/>
        <v>4.955584440771843E-2</v>
      </c>
      <c r="BJ80" s="20">
        <f t="shared" si="41"/>
        <v>4.9563053930248735E-2</v>
      </c>
      <c r="BK80" s="20">
        <f t="shared" si="41"/>
        <v>4.9559971455874097E-2</v>
      </c>
      <c r="BL80" s="20">
        <f t="shared" si="41"/>
        <v>4.9547166197970505E-2</v>
      </c>
      <c r="BM80" s="20">
        <f t="shared" si="41"/>
        <v>4.9525183592479483E-2</v>
      </c>
      <c r="BN80" s="20">
        <f t="shared" si="41"/>
        <v>4.949454617579474E-2</v>
      </c>
      <c r="BO80" s="20">
        <f t="shared" si="41"/>
        <v>4.945575443327499E-2</v>
      </c>
      <c r="BP80" s="20">
        <f t="shared" si="41"/>
        <v>4.9409287619135434E-2</v>
      </c>
      <c r="BQ80" s="20">
        <f t="shared" si="41"/>
        <v>4.9355604548574128E-2</v>
      </c>
      <c r="BR80" s="20">
        <f t="shared" si="41"/>
        <v>4.929514436296123E-2</v>
      </c>
      <c r="BS80" s="20">
        <f t="shared" si="41"/>
        <v>4.9228327268891592E-2</v>
      </c>
      <c r="BT80" s="20">
        <f t="shared" si="41"/>
        <v>4.9155555251864103E-2</v>
      </c>
      <c r="BU80" s="20">
        <f t="shared" si="41"/>
        <v>4.9077212765361589E-2</v>
      </c>
      <c r="BV80" s="20">
        <f t="shared" si="41"/>
        <v>4.8993667396152185E-2</v>
      </c>
      <c r="BW80" s="20">
        <f t="shared" si="41"/>
        <v>4.890527050641591E-2</v>
      </c>
      <c r="BX80" s="20">
        <f t="shared" si="41"/>
        <v>4.8812357853530663E-2</v>
      </c>
      <c r="BY80" s="20">
        <f t="shared" si="41"/>
        <v>4.8715250188222647E-2</v>
      </c>
      <c r="BZ80" s="20">
        <f t="shared" si="41"/>
        <v>4.8614253831616772E-2</v>
      </c>
      <c r="CA80" s="20">
        <f t="shared" si="41"/>
        <v>4.8509661232060797E-2</v>
      </c>
      <c r="CB80" s="20">
        <f t="shared" ref="CB80:CK80" si="42">BZ79/CB79-1</f>
        <v>4.8401751502257229E-2</v>
      </c>
      <c r="CC80" s="20">
        <f t="shared" si="42"/>
        <v>4.8290790937326911E-2</v>
      </c>
      <c r="CD80" s="20">
        <f t="shared" si="42"/>
        <v>4.8177033514453127E-2</v>
      </c>
      <c r="CE80" s="20">
        <f t="shared" si="42"/>
        <v>4.8060721374758142E-2</v>
      </c>
      <c r="CF80" s="20">
        <f t="shared" si="42"/>
        <v>4.7942085287886238E-2</v>
      </c>
      <c r="CG80" s="20">
        <f t="shared" si="42"/>
        <v>4.7821345099928081E-2</v>
      </c>
      <c r="CH80" s="20">
        <f t="shared" si="42"/>
        <v>4.769871016529148E-2</v>
      </c>
      <c r="CI80" s="20">
        <f t="shared" si="42"/>
        <v>4.7574379762868491E-2</v>
      </c>
      <c r="CJ80" s="20">
        <f t="shared" si="42"/>
        <v>4.744854349728711E-2</v>
      </c>
      <c r="CK80" s="20">
        <f t="shared" si="42"/>
        <v>4.7321381685502928E-2</v>
      </c>
      <c r="CN80" s="16">
        <v>38.5</v>
      </c>
      <c r="CO80" s="14">
        <v>3.6780012704100286E-2</v>
      </c>
      <c r="CP80" s="14">
        <v>-8.9529655156907247E-3</v>
      </c>
      <c r="CQ80" s="14">
        <v>1.545833275730138E-2</v>
      </c>
      <c r="CR80" s="14">
        <v>3.7453896362540352E-2</v>
      </c>
      <c r="CS80" s="14">
        <f t="shared" si="34"/>
        <v>8.0739276308251284E-2</v>
      </c>
      <c r="CV80" s="20"/>
    </row>
    <row r="81" spans="1:100" ht="15.75" x14ac:dyDescent="0.5">
      <c r="A81" s="36" t="s">
        <v>34</v>
      </c>
      <c r="B81" s="37">
        <v>-0.05</v>
      </c>
      <c r="C81" s="38">
        <v>0.14445250682830943</v>
      </c>
      <c r="D81" s="41">
        <v>8.391483739848546</v>
      </c>
      <c r="E81" s="40">
        <f>SQRT(SUMSQ(E3:E71)/COUNT(E3:E71))</f>
        <v>8.5590365972533361E-2</v>
      </c>
      <c r="J81" s="63" t="s">
        <v>35</v>
      </c>
      <c r="K81" s="63"/>
      <c r="N81" s="14">
        <f>N80-'NSS Goverment'!N80</f>
        <v>3.8507625787416178E-3</v>
      </c>
      <c r="O81" s="14">
        <f>O80-'NSS Goverment'!O80</f>
        <v>5.0934518589456079E-3</v>
      </c>
      <c r="P81" s="14">
        <f>P80-'NSS Goverment'!P80</f>
        <v>5.8554488424598095E-3</v>
      </c>
      <c r="Q81" s="14">
        <f>Q80-'NSS Goverment'!Q80</f>
        <v>6.2720590476241789E-3</v>
      </c>
      <c r="R81" s="14">
        <f>R80-'NSS Goverment'!R80</f>
        <v>6.4152642156258821E-3</v>
      </c>
      <c r="S81" s="14">
        <f>S80-'NSS Goverment'!S80</f>
        <v>6.3450579214971992E-3</v>
      </c>
      <c r="T81" s="14">
        <f>T80-'NSS Goverment'!T80</f>
        <v>6.1112423475606636E-3</v>
      </c>
      <c r="U81" s="14">
        <f>U80-'NSS Goverment'!U80</f>
        <v>5.754962366810723E-3</v>
      </c>
      <c r="V81" s="14">
        <f>V80-'NSS Goverment'!V80</f>
        <v>5.3100180476521874E-3</v>
      </c>
      <c r="W81" s="14">
        <f>W80-'NSS Goverment'!W80</f>
        <v>4.8039891067399587E-3</v>
      </c>
      <c r="X81" s="14">
        <f>X80-'NSS Goverment'!X80</f>
        <v>4.2591989449864975E-3</v>
      </c>
      <c r="Y81" s="14">
        <f>Y80-'NSS Goverment'!Y80</f>
        <v>3.6935412750209728E-3</v>
      </c>
      <c r="Z81" s="14">
        <f>Z80-'NSS Goverment'!Z80</f>
        <v>3.1211886719215709E-3</v>
      </c>
      <c r="AA81" s="14">
        <f>AA80-'NSS Goverment'!AA80</f>
        <v>2.5531994212770748E-3</v>
      </c>
      <c r="AB81" s="14">
        <f>AB80-'NSS Goverment'!AB80</f>
        <v>1.9980366290166529E-3</v>
      </c>
      <c r="AC81" s="14">
        <f>AC80-'NSS Goverment'!AC80</f>
        <v>1.4620115704622183E-3</v>
      </c>
      <c r="AD81" s="14">
        <f>AD80-'NSS Goverment'!AD80</f>
        <v>9.4966159857734489E-4</v>
      </c>
      <c r="AE81" s="14">
        <f>AE80-'NSS Goverment'!AE80</f>
        <v>4.6407153423277947E-4</v>
      </c>
      <c r="AF81" s="14">
        <f>AF80-'NSS Goverment'!AF80</f>
        <v>7.1462729043236806E-6</v>
      </c>
      <c r="AG81" s="14">
        <f>AG80-'NSS Goverment'!AG80</f>
        <v>-4.2015867650269101E-4</v>
      </c>
      <c r="AH81" s="14">
        <f>AH80-'NSS Goverment'!AH80</f>
        <v>-8.1764288369390314E-4</v>
      </c>
      <c r="AI81" s="14">
        <f>AI80-'NSS Goverment'!AI80</f>
        <v>-1.185697844790834E-3</v>
      </c>
      <c r="AJ81" s="14">
        <f>AJ80-'NSS Goverment'!AJ80</f>
        <v>-1.5251705735164212E-3</v>
      </c>
      <c r="AK81" s="14">
        <f>AK80-'NSS Goverment'!AK80</f>
        <v>-1.8372501016157283E-3</v>
      </c>
      <c r="AL81" s="14">
        <f>AL80-'NSS Goverment'!AL80</f>
        <v>-2.1233735597716574E-3</v>
      </c>
      <c r="AM81" s="14">
        <f>AM80-'NSS Goverment'!AM80</f>
        <v>-2.3851489521868885E-3</v>
      </c>
      <c r="AN81" s="14">
        <f>AN80-'NSS Goverment'!AN80</f>
        <v>-2.6242921247694451E-3</v>
      </c>
      <c r="AO81" s="14">
        <f>AO80-'NSS Goverment'!AO80</f>
        <v>-2.8425757651204808E-3</v>
      </c>
      <c r="AP81" s="14">
        <f>AP80-'NSS Goverment'!AP80</f>
        <v>-3.0417885683711177E-3</v>
      </c>
      <c r="AQ81" s="14">
        <f>AQ80-'NSS Goverment'!AQ80</f>
        <v>-3.2237029612536272E-3</v>
      </c>
      <c r="AR81" s="14">
        <f>AR80-'NSS Goverment'!AR80</f>
        <v>-3.3900500020860314E-3</v>
      </c>
      <c r="AS81" s="14">
        <f>AS80-'NSS Goverment'!AS80</f>
        <v>-3.5425002708999731E-3</v>
      </c>
      <c r="AT81" s="14">
        <f>AT80-'NSS Goverment'!AT80</f>
        <v>-3.6826497346622578E-3</v>
      </c>
      <c r="AU81" s="14">
        <f>AU80-'NSS Goverment'!AU80</f>
        <v>-3.8120097209419779E-3</v>
      </c>
      <c r="AV81" s="14">
        <f>AV80-'NSS Goverment'!AV80</f>
        <v>-3.9320002620815142E-3</v>
      </c>
      <c r="AW81" s="14">
        <f>AW80-'NSS Goverment'!AW80</f>
        <v>-4.0439461832522117E-3</v>
      </c>
      <c r="AX81" s="14">
        <f>AX80-'NSS Goverment'!AX80</f>
        <v>-4.1490754039488209E-3</v>
      </c>
      <c r="AY81" s="14">
        <f>AY80-'NSS Goverment'!AY80</f>
        <v>-4.2485190052992117E-3</v>
      </c>
      <c r="AZ81" s="14">
        <f>AZ80-'NSS Goverment'!AZ80</f>
        <v>-4.3433126871381678E-3</v>
      </c>
      <c r="BA81" s="14">
        <f>BA80-'NSS Goverment'!BA80</f>
        <v>-4.4343992998259196E-3</v>
      </c>
      <c r="BB81" s="14">
        <f>BB80-'NSS Goverment'!BB80</f>
        <v>-4.5226321882785303E-3</v>
      </c>
      <c r="BC81" s="14">
        <f>BC80-'NSS Goverment'!BC80</f>
        <v>-4.6087791305691184E-3</v>
      </c>
      <c r="BD81" s="14">
        <f>BD80-'NSS Goverment'!BD80</f>
        <v>-4.693526691772032E-3</v>
      </c>
      <c r="BE81" s="14">
        <f>BE80-'NSS Goverment'!BE80</f>
        <v>-4.7774848458927988E-3</v>
      </c>
      <c r="BF81" s="14">
        <f>BF80-'NSS Goverment'!BF80</f>
        <v>-4.8611917466285792E-3</v>
      </c>
      <c r="BG81" s="14">
        <f>BG80-'NSS Goverment'!BG80</f>
        <v>-4.9451185508095907E-3</v>
      </c>
      <c r="BH81" s="14">
        <f>BH80-'NSS Goverment'!BH80</f>
        <v>-5.0296742179287701E-3</v>
      </c>
      <c r="BI81" s="14">
        <f>BI80-'NSS Goverment'!BI80</f>
        <v>-5.1152102259168775E-3</v>
      </c>
      <c r="BJ81" s="14">
        <f>BJ80-'NSS Goverment'!BJ80</f>
        <v>-5.2020251566471387E-3</v>
      </c>
      <c r="BK81" s="14">
        <f>BK80-'NSS Goverment'!BK80</f>
        <v>-5.2903691166057421E-3</v>
      </c>
      <c r="BL81" s="14">
        <f>BL80-'NSS Goverment'!BL80</f>
        <v>-5.3804479672798777E-3</v>
      </c>
      <c r="BM81" s="14">
        <f>BM80-'NSS Goverment'!BM80</f>
        <v>-5.4724273477513297E-3</v>
      </c>
      <c r="BN81" s="14">
        <f>BN80-'NSS Goverment'!BN80</f>
        <v>-5.5664364785130704E-3</v>
      </c>
      <c r="BO81" s="14">
        <f>BO80-'NSS Goverment'!BO80</f>
        <v>-5.6625717404570342E-3</v>
      </c>
      <c r="BP81" s="14">
        <f>BP80-'NSS Goverment'!BP80</f>
        <v>-5.7609000273932676E-3</v>
      </c>
      <c r="BQ81" s="14">
        <f>BQ80-'NSS Goverment'!BQ80</f>
        <v>-5.8614618736059221E-3</v>
      </c>
      <c r="BR81" s="14">
        <f>BR80-'NSS Goverment'!BR80</f>
        <v>-5.964274360620303E-3</v>
      </c>
      <c r="BS81" s="14">
        <f>BS80-'NSS Goverment'!BS80</f>
        <v>-6.0693338093653626E-3</v>
      </c>
      <c r="BT81" s="14">
        <f>BT80-'NSS Goverment'!BT80</f>
        <v>-6.1766182654243718E-3</v>
      </c>
      <c r="BU81" s="14">
        <f>BU80-'NSS Goverment'!BU80</f>
        <v>-6.2860897860139708E-3</v>
      </c>
      <c r="BV81" s="14">
        <f>BV80-'NSS Goverment'!BV80</f>
        <v>-6.3976965382415152E-3</v>
      </c>
      <c r="BW81" s="14">
        <f>BW80-'NSS Goverment'!BW80</f>
        <v>-6.5113747187171001E-3</v>
      </c>
      <c r="BX81" s="14">
        <f>BX80-'NSS Goverment'!BX80</f>
        <v>-6.627050304497395E-3</v>
      </c>
      <c r="BY81" s="14">
        <f>BY80-'NSS Goverment'!BY80</f>
        <v>-6.7446406457791763E-3</v>
      </c>
      <c r="BZ81" s="14">
        <f>BZ80-'NSS Goverment'!BZ80</f>
        <v>-6.8640559105892507E-3</v>
      </c>
      <c r="CA81" s="14">
        <f>CA80-'NSS Goverment'!CA80</f>
        <v>-6.9852003912682648E-3</v>
      </c>
      <c r="CB81" s="14">
        <f>CB80-'NSS Goverment'!CB80</f>
        <v>-7.1079736825923057E-3</v>
      </c>
      <c r="CC81" s="14">
        <f>CC80-'NSS Goverment'!CC80</f>
        <v>-7.2322717409518678E-3</v>
      </c>
      <c r="CD81" s="14">
        <f>CD80-'NSS Goverment'!CD80</f>
        <v>-7.3579878335017224E-3</v>
      </c>
      <c r="CE81" s="14">
        <f>CE80-'NSS Goverment'!CE80</f>
        <v>-7.4850133857202739E-3</v>
      </c>
      <c r="CF81" s="14">
        <f>CF80-'NSS Goverment'!CF80</f>
        <v>-7.6132387357283893E-3</v>
      </c>
      <c r="CG81" s="14">
        <f>CG80-'NSS Goverment'!CG80</f>
        <v>-7.7425538029802787E-3</v>
      </c>
      <c r="CH81" s="14">
        <f>CH80-'NSS Goverment'!CH80</f>
        <v>-7.872848678267097E-3</v>
      </c>
      <c r="CI81" s="14">
        <f>CI80-'NSS Goverment'!CI80</f>
        <v>-8.0040141421873212E-3</v>
      </c>
      <c r="CJ81" s="14">
        <f>CJ80-'NSS Goverment'!CJ80</f>
        <v>-8.1359421181441682E-3</v>
      </c>
      <c r="CK81" s="14">
        <f>CK80-'NSS Goverment'!CK80</f>
        <v>-8.2685260657184845E-3</v>
      </c>
      <c r="CN81" s="16">
        <v>39</v>
      </c>
      <c r="CO81" s="14">
        <v>3.6780012704100286E-2</v>
      </c>
      <c r="CP81" s="14">
        <v>-8.8698992072213326E-3</v>
      </c>
      <c r="CQ81" s="14">
        <v>1.5426095520129015E-2</v>
      </c>
      <c r="CR81" s="14">
        <v>3.7654463306034884E-2</v>
      </c>
      <c r="CS81" s="14">
        <f t="shared" si="34"/>
        <v>8.0990672323042856E-2</v>
      </c>
      <c r="CV81" s="20"/>
    </row>
    <row r="82" spans="1:100" ht="14.65" x14ac:dyDescent="0.45">
      <c r="A82" s="36" t="s">
        <v>36</v>
      </c>
      <c r="B82" s="43">
        <v>5</v>
      </c>
      <c r="C82" s="44">
        <v>17.764509970906747</v>
      </c>
      <c r="D82" s="41" t="s">
        <v>37</v>
      </c>
      <c r="E82" s="40" t="s">
        <v>37</v>
      </c>
      <c r="CN82" s="16">
        <v>39.5</v>
      </c>
      <c r="CO82" s="14">
        <v>3.6780012704100286E-2</v>
      </c>
      <c r="CP82" s="14">
        <v>-8.7880667715365124E-3</v>
      </c>
      <c r="CQ82" s="14">
        <v>1.5392182629872532E-2</v>
      </c>
      <c r="CR82" s="14">
        <v>3.7850240100110982E-2</v>
      </c>
      <c r="CS82" s="14">
        <f t="shared" si="34"/>
        <v>8.1234368662547296E-2</v>
      </c>
      <c r="CV82" s="20"/>
    </row>
    <row r="83" spans="1:100" ht="14.65" x14ac:dyDescent="0.45">
      <c r="A83" s="36" t="s">
        <v>38</v>
      </c>
      <c r="B83" s="43">
        <v>10</v>
      </c>
      <c r="C83" s="44">
        <v>40.344667267924514</v>
      </c>
      <c r="D83" s="41">
        <v>6334.9423232340532</v>
      </c>
      <c r="E83" s="40">
        <f>SQRT(SUMSQ(I3:I71)/COUNT(I3:I71))*1000000</f>
        <v>251.98526106278618</v>
      </c>
      <c r="CN83" s="16">
        <v>40</v>
      </c>
      <c r="CO83" s="14">
        <v>3.6780012704100286E-2</v>
      </c>
      <c r="CP83" s="14">
        <v>-8.707445756775286E-3</v>
      </c>
      <c r="CQ83" s="14">
        <v>1.5356668879890555E-2</v>
      </c>
      <c r="CR83" s="14">
        <v>3.8041298693346222E-2</v>
      </c>
      <c r="CS83" s="14">
        <f t="shared" si="34"/>
        <v>8.1470534520561771E-2</v>
      </c>
      <c r="CV83" s="20"/>
    </row>
    <row r="84" spans="1:100" x14ac:dyDescent="0.45">
      <c r="E84" s="40" t="s">
        <v>39</v>
      </c>
      <c r="CN84" s="16">
        <v>40.5</v>
      </c>
      <c r="CO84" s="14">
        <v>3.6780012704100286E-2</v>
      </c>
      <c r="CP84" s="14">
        <v>-8.6280141669262053E-3</v>
      </c>
      <c r="CQ84" s="14">
        <v>1.531962658650885E-2</v>
      </c>
      <c r="CR84" s="14">
        <v>3.8227710058598569E-2</v>
      </c>
      <c r="CS84" s="14">
        <f t="shared" si="34"/>
        <v>8.1699335182281507E-2</v>
      </c>
      <c r="CV84" s="20"/>
    </row>
    <row r="85" spans="1:100" x14ac:dyDescent="0.45">
      <c r="E85" s="40" cm="1">
        <f t="array" ref="E85">AVERAGE(ABS(G3:G15-H3:H15))*1000000</f>
        <v>360.91015453746462</v>
      </c>
      <c r="CN85" s="16">
        <v>41</v>
      </c>
      <c r="CO85" s="14">
        <v>3.6780012704100286E-2</v>
      </c>
      <c r="CP85" s="14">
        <v>-8.5497504519305642E-3</v>
      </c>
      <c r="CQ85" s="14">
        <v>1.5281125664374803E-2</v>
      </c>
      <c r="CR85" s="14">
        <v>3.8409544205725503E-2</v>
      </c>
      <c r="CS85" s="14">
        <f t="shared" si="34"/>
        <v>8.1920932122270029E-2</v>
      </c>
      <c r="CV85" s="20"/>
    </row>
    <row r="86" spans="1:100" x14ac:dyDescent="0.45">
      <c r="CN86" s="25">
        <v>41.5</v>
      </c>
      <c r="CO86" s="14">
        <v>3.6780012704100286E-2</v>
      </c>
      <c r="CP86" s="14">
        <v>-8.4726334980102565E-3</v>
      </c>
      <c r="CQ86" s="14">
        <v>1.5241233699600579E-2</v>
      </c>
      <c r="CR86" s="14">
        <v>3.8586870194139811E-2</v>
      </c>
      <c r="CS86" s="14">
        <f t="shared" si="34"/>
        <v>8.2135483099830417E-2</v>
      </c>
    </row>
    <row r="87" spans="1:100" x14ac:dyDescent="0.45">
      <c r="CN87" s="2">
        <v>42</v>
      </c>
      <c r="CO87" s="14">
        <v>3.6780012704100286E-2</v>
      </c>
      <c r="CP87" s="14">
        <v>-8.3966426182150548E-3</v>
      </c>
      <c r="CQ87" s="14">
        <v>1.520001602075864E-2</v>
      </c>
      <c r="CR87" s="14">
        <v>3.8759756145205354E-2</v>
      </c>
      <c r="CS87" s="14">
        <f t="shared" si="34"/>
        <v>8.2343142251849216E-2</v>
      </c>
    </row>
    <row r="88" spans="1:100" x14ac:dyDescent="0.45">
      <c r="CN88" s="2">
        <v>42.5</v>
      </c>
      <c r="CO88" s="14">
        <v>3.6780012704100286E-2</v>
      </c>
      <c r="CP88" s="14">
        <v>-8.3217575431841113E-3</v>
      </c>
      <c r="CQ88" s="14">
        <v>1.5157535767791538E-2</v>
      </c>
      <c r="CR88" s="14">
        <v>3.8928269254474027E-2</v>
      </c>
      <c r="CS88" s="14">
        <f t="shared" si="34"/>
        <v>8.2544060183181736E-2</v>
      </c>
    </row>
    <row r="89" spans="1:100" x14ac:dyDescent="0.45">
      <c r="CN89" s="2">
        <v>43</v>
      </c>
      <c r="CO89" s="14">
        <v>3.6780012704100286E-2</v>
      </c>
      <c r="CP89" s="14">
        <v>-8.2479584121167345E-3</v>
      </c>
      <c r="CQ89" s="14">
        <v>1.5113853958896079E-2</v>
      </c>
      <c r="CR89" s="14">
        <v>3.9092475803766319E-2</v>
      </c>
      <c r="CS89" s="14">
        <f t="shared" si="34"/>
        <v>8.2738384054645953E-2</v>
      </c>
    </row>
    <row r="90" spans="1:100" x14ac:dyDescent="0.45">
      <c r="CN90" s="2">
        <v>43.5</v>
      </c>
      <c r="CO90" s="14">
        <v>3.6780012704100286E-2</v>
      </c>
      <c r="CP90" s="14">
        <v>-8.1752257639474933E-3</v>
      </c>
      <c r="CQ90" s="14">
        <v>1.5069029555440277E-2</v>
      </c>
      <c r="CR90" s="14">
        <v>3.9252441173097348E-2</v>
      </c>
      <c r="CS90" s="14">
        <f t="shared" si="34"/>
        <v>8.2926257668690412E-2</v>
      </c>
    </row>
    <row r="91" spans="1:100" x14ac:dyDescent="0.45">
      <c r="CN91" s="2">
        <v>44</v>
      </c>
      <c r="CO91" s="14">
        <v>3.6780012704100286E-2</v>
      </c>
      <c r="CP91" s="14">
        <v>-8.1035405287209067E-3</v>
      </c>
      <c r="CQ91" s="14">
        <v>1.5023119524969854E-2</v>
      </c>
      <c r="CR91" s="14">
        <v>3.9408229852450176E-2</v>
      </c>
      <c r="CS91" s="14">
        <f t="shared" si="34"/>
        <v>8.3107821552799416E-2</v>
      </c>
    </row>
    <row r="92" spans="1:100" x14ac:dyDescent="0.45">
      <c r="CN92" s="2">
        <v>44.5</v>
      </c>
      <c r="CO92" s="14">
        <v>3.6780012704100286E-2</v>
      </c>
      <c r="CP92" s="14">
        <v>-8.0328840191610327E-3</v>
      </c>
      <c r="CQ92" s="14">
        <v>1.4976178902359428E-2</v>
      </c>
      <c r="CR92" s="14">
        <v>3.9559905453398755E-2</v>
      </c>
      <c r="CS92" s="14">
        <f t="shared" si="34"/>
        <v>8.328321304069744E-2</v>
      </c>
    </row>
    <row r="93" spans="1:100" x14ac:dyDescent="0.45">
      <c r="CN93" s="2">
        <v>45</v>
      </c>
      <c r="CO93" s="14">
        <v>3.6780012704100286E-2</v>
      </c>
      <c r="CP93" s="14">
        <v>-7.9632379224314452E-3</v>
      </c>
      <c r="CQ93" s="14">
        <v>1.4928260849161859E-2</v>
      </c>
      <c r="CR93" s="14">
        <v>3.9707530720581759E-2</v>
      </c>
      <c r="CS93" s="14">
        <f t="shared" si="34"/>
        <v>8.345256635141246E-2</v>
      </c>
    </row>
    <row r="94" spans="1:100" x14ac:dyDescent="0.45">
      <c r="CN94" s="2">
        <v>45.5</v>
      </c>
      <c r="CO94" s="14">
        <v>3.6780012704100286E-2</v>
      </c>
      <c r="CP94" s="14">
        <v>-7.8945842920811003E-3</v>
      </c>
      <c r="CQ94" s="14">
        <v>1.4879416711207905E-2</v>
      </c>
      <c r="CR94" s="14">
        <v>3.9851167543029996E-2</v>
      </c>
      <c r="CS94" s="14">
        <f t="shared" si="34"/>
        <v>8.3616012666257095E-2</v>
      </c>
    </row>
    <row r="95" spans="1:100" x14ac:dyDescent="0.45">
      <c r="CN95" s="2">
        <v>46</v>
      </c>
      <c r="CO95" s="14">
        <v>3.6780012704100286E-2</v>
      </c>
      <c r="CP95" s="14">
        <v>-7.8269055401718069E-3</v>
      </c>
      <c r="CQ95" s="14">
        <v>1.4829696074506623E-2</v>
      </c>
      <c r="CR95" s="14">
        <v>3.9990876965348386E-2</v>
      </c>
      <c r="CS95" s="14">
        <f t="shared" si="34"/>
        <v>8.3773680203783479E-2</v>
      </c>
    </row>
    <row r="96" spans="1:100" x14ac:dyDescent="0.45">
      <c r="CN96" s="2">
        <v>46.5</v>
      </c>
      <c r="CO96" s="14">
        <v>3.6780012704100286E-2</v>
      </c>
      <c r="CP96" s="14">
        <v>-7.7601844295830426E-3</v>
      </c>
      <c r="CQ96" s="14">
        <v>1.4779146819495659E-2</v>
      </c>
      <c r="CR96" s="14">
        <v>4.0126719198755115E-2</v>
      </c>
      <c r="CS96" s="14">
        <f t="shared" si="34"/>
        <v>8.3925694292768013E-2</v>
      </c>
    </row>
    <row r="97" spans="50:97" x14ac:dyDescent="0.45">
      <c r="AY97" s="2" t="s">
        <v>26</v>
      </c>
      <c r="AZ97" s="2" t="s">
        <v>33</v>
      </c>
      <c r="CN97" s="2">
        <v>47</v>
      </c>
      <c r="CO97" s="14">
        <v>3.6780012704100286E-2</v>
      </c>
      <c r="CP97" s="14">
        <v>-7.6944040664899968E-3</v>
      </c>
      <c r="CQ97" s="14">
        <v>1.4727815173689101E-2</v>
      </c>
      <c r="CR97" s="14">
        <v>4.0258753631979172E-2</v>
      </c>
      <c r="CS97" s="14">
        <f t="shared" si="34"/>
        <v>8.4072177443278565E-2</v>
      </c>
    </row>
    <row r="98" spans="50:97" x14ac:dyDescent="0.45">
      <c r="AX98" s="2">
        <f>M2</f>
        <v>1</v>
      </c>
      <c r="AY98" s="14">
        <f>M78</f>
        <v>1.6898380000111735E-2</v>
      </c>
      <c r="AZ98" s="14">
        <f>N80</f>
        <v>1.8405349705237883E-2</v>
      </c>
      <c r="CN98" s="2">
        <v>47.5</v>
      </c>
      <c r="CO98" s="14">
        <v>3.6780012704100286E-2</v>
      </c>
      <c r="CP98" s="14">
        <v>-7.6295478930107942E-3</v>
      </c>
      <c r="CQ98" s="14">
        <v>1.4675745762769279E-2</v>
      </c>
      <c r="CR98" s="14">
        <v>4.0387038842018531E-2</v>
      </c>
      <c r="CS98" s="14">
        <f t="shared" si="34"/>
        <v>8.4213249415877295E-2</v>
      </c>
    </row>
    <row r="99" spans="50:97" x14ac:dyDescent="0.45">
      <c r="AX99" s="2">
        <f>U2</f>
        <v>5</v>
      </c>
      <c r="AY99" s="14">
        <f>U78</f>
        <v>2.3826875691926739E-2</v>
      </c>
      <c r="AZ99" s="14">
        <f>U80</f>
        <v>3.0119070962416172E-2</v>
      </c>
      <c r="CN99" s="2">
        <v>48</v>
      </c>
      <c r="CO99" s="14">
        <v>3.6780012704100286E-2</v>
      </c>
      <c r="CP99" s="14">
        <v>-7.5655996800189935E-3</v>
      </c>
      <c r="CQ99" s="14">
        <v>1.4622981660167447E-2</v>
      </c>
      <c r="CR99" s="14">
        <v>4.0511632604760386E-2</v>
      </c>
      <c r="CS99" s="14">
        <f t="shared" si="34"/>
        <v>8.4349027289009129E-2</v>
      </c>
    </row>
    <row r="100" spans="50:97" x14ac:dyDescent="0.45">
      <c r="AX100" s="2">
        <f>AE2</f>
        <v>10</v>
      </c>
      <c r="AY100" s="14">
        <f>AD78</f>
        <v>2.9728530663279264E-2</v>
      </c>
      <c r="AZ100" s="14">
        <f>AD80</f>
        <v>3.9667765043152059E-2</v>
      </c>
      <c r="CN100" s="2">
        <v>48.5</v>
      </c>
      <c r="CO100" s="14">
        <v>3.6780012704100286E-2</v>
      </c>
      <c r="CP100" s="14">
        <v>-7.5025435201174686E-3</v>
      </c>
      <c r="CQ100" s="14">
        <v>1.4569564435177103E-2</v>
      </c>
      <c r="CR100" s="14">
        <v>4.0632591905465504E-2</v>
      </c>
      <c r="CS100" s="14">
        <f t="shared" si="34"/>
        <v>8.4479625524625429E-2</v>
      </c>
    </row>
    <row r="101" spans="50:97" x14ac:dyDescent="0.45">
      <c r="AX101" s="2">
        <f>AY2</f>
        <v>20</v>
      </c>
      <c r="AY101" s="14">
        <f>AY78</f>
        <v>3.8123259697559003E-2</v>
      </c>
      <c r="AZ101" s="14">
        <f>AY80</f>
        <v>4.8773546611856622E-2</v>
      </c>
      <c r="CN101" s="2">
        <v>49</v>
      </c>
      <c r="CO101" s="14">
        <v>3.6780012704100286E-2</v>
      </c>
      <c r="CP101" s="14">
        <v>-7.4403638207699791E-3</v>
      </c>
      <c r="CQ101" s="14">
        <v>1.4515534199642468E-2</v>
      </c>
      <c r="CR101" s="14">
        <v>4.074997294911796E-2</v>
      </c>
      <c r="CS101" s="14">
        <f t="shared" si="34"/>
        <v>8.4605156032090734E-2</v>
      </c>
    </row>
    <row r="102" spans="50:97" x14ac:dyDescent="0.45">
      <c r="AX102" s="2">
        <f>BS2</f>
        <v>30</v>
      </c>
      <c r="AY102" s="14">
        <f>BS78</f>
        <v>4.1865752851877616E-2</v>
      </c>
      <c r="AZ102" s="14">
        <f>BS80</f>
        <v>4.9228327268891592E-2</v>
      </c>
      <c r="CN102" s="2">
        <v>49.5</v>
      </c>
      <c r="CO102" s="14">
        <v>3.6780012704100286E-2</v>
      </c>
      <c r="CP102" s="14">
        <v>-7.3790452975867234E-3</v>
      </c>
      <c r="CQ102" s="14">
        <v>1.4460929653263293E-2</v>
      </c>
      <c r="CR102" s="14">
        <v>4.086383117064258E-2</v>
      </c>
      <c r="CS102" s="14">
        <f t="shared" si="34"/>
        <v>8.4725728230419434E-2</v>
      </c>
    </row>
    <row r="103" spans="50:97" x14ac:dyDescent="0.45">
      <c r="CN103" s="2">
        <v>50</v>
      </c>
      <c r="CO103" s="14">
        <v>3.6780012704100286E-2</v>
      </c>
      <c r="CP103" s="14">
        <v>-7.3185729677603291E-3</v>
      </c>
      <c r="CQ103" s="14">
        <v>1.4405788127556138E-2</v>
      </c>
      <c r="CR103" s="14">
        <v>4.0974221244991185E-2</v>
      </c>
      <c r="CS103" s="14">
        <f t="shared" si="34"/>
        <v>8.4841449108887274E-2</v>
      </c>
    </row>
    <row r="104" spans="50:97" x14ac:dyDescent="0.45">
      <c r="CN104" s="2">
        <v>50.5</v>
      </c>
      <c r="CO104" s="14">
        <v>3.6780012704100286E-2</v>
      </c>
      <c r="CP104" s="14">
        <v>-7.2589321436487744E-3</v>
      </c>
      <c r="CQ104" s="14">
        <v>1.4350145628511069E-2</v>
      </c>
      <c r="CR104" s="14">
        <v>4.1081197097099668E-2</v>
      </c>
      <c r="CS104" s="14">
        <f t="shared" si="34"/>
        <v>8.4952423286062256E-2</v>
      </c>
    </row>
    <row r="105" spans="50:97" x14ac:dyDescent="0.45">
      <c r="CN105" s="2">
        <v>51</v>
      </c>
      <c r="CO105" s="14">
        <v>3.6780012704100286E-2</v>
      </c>
      <c r="CP105" s="14">
        <v>-7.2001084265018445E-3</v>
      </c>
      <c r="CQ105" s="14">
        <v>1.4294036877981517E-2</v>
      </c>
      <c r="CR105" s="14">
        <v>4.1184811911717335E-2</v>
      </c>
      <c r="CS105" s="14">
        <f t="shared" si="34"/>
        <v>8.5058753067297294E-2</v>
      </c>
    </row>
    <row r="106" spans="50:97" x14ac:dyDescent="0.45">
      <c r="CN106" s="2">
        <v>51.5</v>
      </c>
      <c r="CO106" s="14">
        <v>3.6780012704100286E-2</v>
      </c>
      <c r="CP106" s="14">
        <v>-7.1420877003277958E-3</v>
      </c>
      <c r="CQ106" s="14">
        <v>1.4237495353844104E-2</v>
      </c>
      <c r="CR106" s="14">
        <v>4.1285118143110325E-2</v>
      </c>
      <c r="CS106" s="14">
        <f t="shared" si="34"/>
        <v>8.5160538500726912E-2</v>
      </c>
    </row>
    <row r="107" spans="50:97" x14ac:dyDescent="0.45">
      <c r="CN107" s="2">
        <v>52</v>
      </c>
      <c r="CO107" s="14">
        <v>3.6780012704100286E-2</v>
      </c>
      <c r="CP107" s="14">
        <v>-7.0848561258969791E-3</v>
      </c>
      <c r="CQ107" s="14">
        <v>1.4180553328964129E-2</v>
      </c>
      <c r="CR107" s="14">
        <v>4.1382167524640481E-2</v>
      </c>
      <c r="CS107" s="14">
        <f t="shared" si="34"/>
        <v>8.5257877431807919E-2</v>
      </c>
    </row>
    <row r="108" spans="50:97" x14ac:dyDescent="0.45">
      <c r="CN108" s="2">
        <v>52.5</v>
      </c>
      <c r="CO108" s="14">
        <v>3.6780012704100286E-2</v>
      </c>
      <c r="CP108" s="14">
        <v>-7.0284001348792577E-3</v>
      </c>
      <c r="CQ108" s="14">
        <v>1.4123241909001296E-2</v>
      </c>
      <c r="CR108" s="14">
        <v>4.1476011078221367E-2</v>
      </c>
      <c r="CS108" s="14">
        <f t="shared" si="34"/>
        <v>8.5350865556443695E-2</v>
      </c>
    </row>
    <row r="109" spans="50:97" x14ac:dyDescent="0.45">
      <c r="CN109" s="2">
        <v>53</v>
      </c>
      <c r="CO109" s="14">
        <v>3.6780012704100286E-2</v>
      </c>
      <c r="CP109" s="14">
        <v>-6.9727064241121225E-3</v>
      </c>
      <c r="CQ109" s="14">
        <v>1.4065591069089488E-2</v>
      </c>
      <c r="CR109" s="14">
        <v>4.1566699123653031E-2</v>
      </c>
      <c r="CS109" s="14">
        <f t="shared" si="34"/>
        <v>8.5439596472730681E-2</v>
      </c>
    </row>
    <row r="110" spans="50:97" x14ac:dyDescent="0.45">
      <c r="CN110" s="2">
        <v>53.5</v>
      </c>
      <c r="CO110" s="14">
        <v>3.6780012704100286E-2</v>
      </c>
      <c r="CP110" s="14">
        <v>-6.9177619499964874E-3</v>
      </c>
      <c r="CQ110" s="14">
        <v>1.400762968942313E-2</v>
      </c>
      <c r="CR110" s="14">
        <v>4.1654281287836992E-2</v>
      </c>
      <c r="CS110" s="14">
        <f t="shared" si="34"/>
        <v>8.5524161731363929E-2</v>
      </c>
    </row>
    <row r="111" spans="50:97" x14ac:dyDescent="0.45">
      <c r="CN111" s="2">
        <v>54</v>
      </c>
      <c r="CO111" s="14">
        <v>3.6780012704100286E-2</v>
      </c>
      <c r="CP111" s="14">
        <v>-6.8635539230172144E-3</v>
      </c>
      <c r="CQ111" s="14">
        <v>1.3949385589782112E-2</v>
      </c>
      <c r="CR111" s="14">
        <v>4.1738806513872941E-2</v>
      </c>
      <c r="CS111" s="14">
        <f t="shared" si="34"/>
        <v>8.560465088473812E-2</v>
      </c>
    </row>
    <row r="112" spans="50:97" x14ac:dyDescent="0.45">
      <c r="CN112" s="2">
        <v>54.5</v>
      </c>
      <c r="CO112" s="14">
        <v>3.6780012704100286E-2</v>
      </c>
      <c r="CP112" s="14">
        <v>-6.8100698023854898E-3</v>
      </c>
      <c r="CQ112" s="14">
        <v>1.3890885563025913E-2</v>
      </c>
      <c r="CR112" s="14">
        <v>4.1820323070038704E-2</v>
      </c>
      <c r="CS112" s="14">
        <f t="shared" si="34"/>
        <v>8.5681151534779412E-2</v>
      </c>
    </row>
    <row r="113" spans="92:97" x14ac:dyDescent="0.45">
      <c r="CN113" s="2">
        <v>55</v>
      </c>
      <c r="CO113" s="14">
        <v>3.6780012704100286E-2</v>
      </c>
      <c r="CP113" s="14">
        <v>-6.7572972908002456E-3</v>
      </c>
      <c r="CQ113" s="14">
        <v>1.383215540758709E-2</v>
      </c>
      <c r="CR113" s="14">
        <v>4.1898878558654887E-2</v>
      </c>
      <c r="CS113" s="14">
        <f t="shared" si="34"/>
        <v>8.5753749379542013E-2</v>
      </c>
    </row>
    <row r="114" spans="92:97" x14ac:dyDescent="0.45">
      <c r="CN114" s="2">
        <v>55.5</v>
      </c>
      <c r="CO114" s="14">
        <v>3.6780012704100286E-2</v>
      </c>
      <c r="CP114" s="14">
        <v>-6.7052243293258748E-3</v>
      </c>
      <c r="CQ114" s="14">
        <v>1.3773219958993138E-2</v>
      </c>
      <c r="CR114" s="14">
        <v>4.1974519924835807E-2</v>
      </c>
      <c r="CS114" s="14">
        <f t="shared" si="34"/>
        <v>8.5822528258603356E-2</v>
      </c>
    </row>
    <row r="115" spans="92:97" x14ac:dyDescent="0.45">
      <c r="CN115" s="2">
        <v>56</v>
      </c>
      <c r="CO115" s="14">
        <v>3.6780012704100286E-2</v>
      </c>
      <c r="CP115" s="14">
        <v>-6.6538390923835686E-3</v>
      </c>
      <c r="CQ115" s="14">
        <v>1.3714103120445041E-2</v>
      </c>
      <c r="CR115" s="14">
        <v>4.2047293465128067E-2</v>
      </c>
      <c r="CS115" s="14">
        <f t="shared" si="34"/>
        <v>8.588757019728982E-2</v>
      </c>
    </row>
    <row r="116" spans="92:97" x14ac:dyDescent="0.45">
      <c r="CN116" s="2">
        <v>56.5</v>
      </c>
      <c r="CO116" s="14">
        <v>3.6780012704100286E-2</v>
      </c>
      <c r="CP116" s="14">
        <v>-6.6031299828536553E-3</v>
      </c>
      <c r="CQ116" s="14">
        <v>1.3654827892480008E-2</v>
      </c>
      <c r="CR116" s="14">
        <v>4.2117244836037938E-2</v>
      </c>
      <c r="CS116" s="14">
        <f t="shared" si="34"/>
        <v>8.594895544976458E-2</v>
      </c>
    </row>
    <row r="117" spans="92:97" x14ac:dyDescent="0.45">
      <c r="CN117" s="2">
        <v>57</v>
      </c>
      <c r="CO117" s="14">
        <v>3.6780012704100286E-2</v>
      </c>
      <c r="CP117" s="14">
        <v>-6.553085627286394E-3</v>
      </c>
      <c r="CQ117" s="14">
        <v>1.3595416401744997E-2</v>
      </c>
      <c r="CR117" s="14">
        <v>4.2184419062449512E-2</v>
      </c>
      <c r="CS117" s="14">
        <f t="shared" si="34"/>
        <v>8.6006762541008391E-2</v>
      </c>
    </row>
    <row r="118" spans="92:97" x14ac:dyDescent="0.45">
      <c r="CN118" s="2">
        <v>57.5</v>
      </c>
      <c r="CO118" s="14">
        <v>3.6780012704100286E-2</v>
      </c>
      <c r="CP118" s="14">
        <v>-6.5036948712187161E-3</v>
      </c>
      <c r="CQ118" s="14">
        <v>1.353588992890704E-2</v>
      </c>
      <c r="CR118" s="14">
        <v>4.2248860545934581E-2</v>
      </c>
      <c r="CS118" s="14">
        <f t="shared" si="34"/>
        <v>8.6061068307723199E-2</v>
      </c>
    </row>
    <row r="119" spans="92:97" x14ac:dyDescent="0.45">
      <c r="CN119" s="2">
        <v>58</v>
      </c>
      <c r="CO119" s="14">
        <v>3.6780012704100286E-2</v>
      </c>
      <c r="CP119" s="14">
        <v>-6.4549467745945036E-3</v>
      </c>
      <c r="CQ119" s="14">
        <v>1.3476268935725476E-2</v>
      </c>
      <c r="CR119" s="14">
        <v>4.2310613072955715E-2</v>
      </c>
      <c r="CS119" s="14">
        <f t="shared" si="34"/>
        <v>8.6111947938186967E-2</v>
      </c>
    </row>
    <row r="120" spans="92:97" x14ac:dyDescent="0.45">
      <c r="CN120" s="2">
        <v>58.5</v>
      </c>
      <c r="CO120" s="14">
        <v>3.6780012704100286E-2</v>
      </c>
      <c r="CP120" s="14">
        <v>-6.4068306072859963E-3</v>
      </c>
      <c r="CQ120" s="14">
        <v>1.3416573091310578E-2</v>
      </c>
      <c r="CR120" s="14">
        <v>4.2369719822963871E-2</v>
      </c>
      <c r="CS120" s="14">
        <f t="shared" si="34"/>
        <v>8.615947501108874E-2</v>
      </c>
    </row>
    <row r="121" spans="92:97" x14ac:dyDescent="0.45">
      <c r="CN121" s="2">
        <v>59</v>
      </c>
      <c r="CO121" s="14">
        <v>3.6780012704100286E-2</v>
      </c>
      <c r="CP121" s="14">
        <v>-6.3593358447140433E-3</v>
      </c>
      <c r="CQ121" s="14">
        <v>1.3356821297592303E-2</v>
      </c>
      <c r="CR121" s="14">
        <v>4.2426223376392153E-2</v>
      </c>
      <c r="CS121" s="14">
        <f t="shared" si="34"/>
        <v>8.6203721533370692E-2</v>
      </c>
    </row>
    <row r="122" spans="92:97" x14ac:dyDescent="0.45">
      <c r="CN122" s="2">
        <v>59.5</v>
      </c>
      <c r="CO122" s="14">
        <v>3.6780012704100286E-2</v>
      </c>
      <c r="CP122" s="14">
        <v>-6.3124521635648991E-3</v>
      </c>
      <c r="CQ122" s="14">
        <v>1.3297031714022229E-2</v>
      </c>
      <c r="CR122" s="14">
        <v>4.2480165722546454E-2</v>
      </c>
      <c r="CS122" s="14">
        <f t="shared" si="34"/>
        <v>8.624475797710407E-2</v>
      </c>
    </row>
    <row r="123" spans="92:97" x14ac:dyDescent="0.45">
      <c r="CN123" s="2">
        <v>60</v>
      </c>
      <c r="CO123" s="14">
        <v>3.6780012704100286E-2</v>
      </c>
      <c r="CP123" s="14">
        <v>-6.2661694376013738E-3</v>
      </c>
      <c r="CQ123" s="14">
        <v>1.3237221781531097E-2</v>
      </c>
      <c r="CR123" s="14">
        <v>4.2531588267394969E-2</v>
      </c>
      <c r="CS123" s="14">
        <f t="shared" si="34"/>
        <v>8.6282653315424979E-2</v>
      </c>
    </row>
    <row r="124" spans="92:97" x14ac:dyDescent="0.45">
      <c r="CN124" s="2">
        <v>60.5</v>
      </c>
      <c r="CO124" s="14">
        <v>3.6780012704100286E-2</v>
      </c>
      <c r="CP124" s="14">
        <v>-6.2204777335661656E-3</v>
      </c>
      <c r="CQ124" s="14">
        <v>1.3177408245763703E-2</v>
      </c>
      <c r="CR124" s="14">
        <v>4.2580531841257319E-2</v>
      </c>
      <c r="CS124" s="14">
        <f t="shared" si="34"/>
        <v>8.6317475057555146E-2</v>
      </c>
    </row>
    <row r="125" spans="92:97" x14ac:dyDescent="0.45">
      <c r="CN125" s="2">
        <v>61</v>
      </c>
      <c r="CO125" s="14">
        <v>3.6780012704100286E-2</v>
      </c>
      <c r="CP125" s="14">
        <v>-6.1753673071752785E-3</v>
      </c>
      <c r="CQ125" s="14">
        <v>1.3117607179612288E-2</v>
      </c>
      <c r="CR125" s="14">
        <v>4.2627036706394811E-2</v>
      </c>
      <c r="CS125" s="14">
        <f t="shared" si="34"/>
        <v>8.6349289282932104E-2</v>
      </c>
    </row>
    <row r="126" spans="92:97" x14ac:dyDescent="0.45">
      <c r="CN126" s="2">
        <v>61.5</v>
      </c>
      <c r="CO126" s="14">
        <v>3.6780012704100286E-2</v>
      </c>
      <c r="CP126" s="14">
        <v>-6.1308285991994527E-3</v>
      </c>
      <c r="CQ126" s="14">
        <v>1.305783400506893E-2</v>
      </c>
      <c r="CR126" s="14">
        <v>4.2671142564503182E-2</v>
      </c>
      <c r="CS126" s="14">
        <f t="shared" si="34"/>
        <v>8.6378160674472945E-2</v>
      </c>
    </row>
    <row r="127" spans="92:97" x14ac:dyDescent="0.45">
      <c r="CN127" s="2">
        <v>62</v>
      </c>
      <c r="CO127" s="14">
        <v>3.6780012704100286E-2</v>
      </c>
      <c r="CP127" s="14">
        <v>-6.0868522316315926E-3</v>
      </c>
      <c r="CQ127" s="14">
        <v>1.2998103514416895E-2</v>
      </c>
      <c r="CR127" s="14">
        <v>4.2712888564108806E-2</v>
      </c>
      <c r="CS127" s="14">
        <f t="shared" si="34"/>
        <v>8.6404152550994401E-2</v>
      </c>
    </row>
    <row r="128" spans="92:97" x14ac:dyDescent="0.45">
      <c r="CN128" s="2">
        <v>62.5</v>
      </c>
      <c r="CO128" s="14">
        <v>3.6780012704100286E-2</v>
      </c>
      <c r="CP128" s="14">
        <v>-6.0434290039382572E-3</v>
      </c>
      <c r="CQ128" s="14">
        <v>1.2938429890780282E-2</v>
      </c>
      <c r="CR128" s="14">
        <v>4.2752313307869681E-2</v>
      </c>
      <c r="CS128" s="14">
        <f t="shared" si="34"/>
        <v>8.6427326898811996E-2</v>
      </c>
    </row>
    <row r="129" spans="92:97" x14ac:dyDescent="0.45">
      <c r="CN129" s="2">
        <v>63</v>
      </c>
      <c r="CO129" s="14">
        <v>3.6780012704100286E-2</v>
      </c>
      <c r="CP129" s="14">
        <v>-6.0005498893932517E-3</v>
      </c>
      <c r="CQ129" s="14">
        <v>1.2878826728050819E-2</v>
      </c>
      <c r="CR129" s="14">
        <v>4.2789454859782569E-2</v>
      </c>
      <c r="CS129" s="14">
        <f t="shared" si="34"/>
        <v>8.6447744402540425E-2</v>
      </c>
    </row>
    <row r="130" spans="92:97" x14ac:dyDescent="0.45">
      <c r="CN130" s="2">
        <v>63.5</v>
      </c>
      <c r="CO130" s="14">
        <v>3.6780012704100286E-2</v>
      </c>
      <c r="CP130" s="14">
        <v>-5.9582060314914932E-3</v>
      </c>
      <c r="CQ130" s="14">
        <v>1.2819307050209975E-2</v>
      </c>
      <c r="CR130" s="14">
        <v>4.2824350752297319E-2</v>
      </c>
      <c r="CS130" s="14">
        <f t="shared" si="34"/>
        <v>8.6465464475116077E-2</v>
      </c>
    </row>
    <row r="131" spans="92:97" x14ac:dyDescent="0.45">
      <c r="CN131" s="2">
        <v>64</v>
      </c>
      <c r="CO131" s="14">
        <v>3.6780012704100286E-2</v>
      </c>
      <c r="CP131" s="14">
        <v>-5.9163887404412741E-3</v>
      </c>
      <c r="CQ131" s="14">
        <v>1.275988333006425E-2</v>
      </c>
      <c r="CR131" s="14">
        <v>4.2857037993339536E-2</v>
      </c>
      <c r="CS131" s="14">
        <f t="shared" si="34"/>
        <v>8.6480545287062796E-2</v>
      </c>
    </row>
    <row r="132" spans="92:97" x14ac:dyDescent="0.45">
      <c r="CN132" s="2">
        <v>64.5</v>
      </c>
      <c r="CO132" s="14">
        <v>3.6780012704100286E-2</v>
      </c>
      <c r="CP132" s="14">
        <v>-5.8750894897331915E-3</v>
      </c>
      <c r="CQ132" s="14">
        <v>1.2700567507410752E-2</v>
      </c>
      <c r="CR132" s="14">
        <v>4.2887553073242768E-2</v>
      </c>
      <c r="CS132" s="14">
        <f t="shared" si="34"/>
        <v>8.649304379502061E-2</v>
      </c>
    </row>
    <row r="133" spans="92:97" x14ac:dyDescent="0.45">
      <c r="CN133" s="2">
        <v>65</v>
      </c>
      <c r="CO133" s="14">
        <v>3.6780012704100286E-2</v>
      </c>
      <c r="CP133" s="14">
        <v>-5.8342999127839398E-3</v>
      </c>
      <c r="CQ133" s="14">
        <v>1.2641371006649874E-2</v>
      </c>
      <c r="CR133" s="14">
        <v>4.2915931971591596E-2</v>
      </c>
      <c r="CS133" s="14">
        <f t="shared" si="34"/>
        <v>8.6503015769557823E-2</v>
      </c>
    </row>
    <row r="134" spans="92:97" x14ac:dyDescent="0.45">
      <c r="CN134" s="2">
        <v>65.5</v>
      </c>
      <c r="CO134" s="14">
        <v>3.6780012704100286E-2</v>
      </c>
      <c r="CP134" s="14">
        <v>-5.7940117996533175E-3</v>
      </c>
      <c r="CQ134" s="14">
        <v>1.2582304753861252E-2</v>
      </c>
      <c r="CR134" s="14">
        <v>4.294221016397639E-2</v>
      </c>
      <c r="CS134" s="14">
        <f t="shared" ref="CS134:CS197" si="43">SUM(CO134:CR134)</f>
        <v>8.6510515822284612E-2</v>
      </c>
    </row>
    <row r="135" spans="92:97" x14ac:dyDescent="0.45">
      <c r="CN135" s="2">
        <v>66</v>
      </c>
      <c r="CO135" s="14">
        <v>3.6780012704100286E-2</v>
      </c>
      <c r="CP135" s="14">
        <v>-5.7542170938327418E-3</v>
      </c>
      <c r="CQ135" s="14">
        <v>1.2523379193358858E-2</v>
      </c>
      <c r="CR135" s="14">
        <v>4.2966422628661016E-2</v>
      </c>
      <c r="CS135" s="14">
        <f t="shared" si="43"/>
        <v>8.6515597432287414E-2</v>
      </c>
    </row>
    <row r="136" spans="92:97" x14ac:dyDescent="0.45">
      <c r="CN136" s="2">
        <v>66.5</v>
      </c>
      <c r="CO136" s="14">
        <v>3.6780012704100286E-2</v>
      </c>
      <c r="CP136" s="14">
        <v>-5.7149078891036795E-3</v>
      </c>
      <c r="CQ136" s="14">
        <v>1.2464604303740452E-2</v>
      </c>
      <c r="CR136" s="14">
        <v>4.2988603853164789E-2</v>
      </c>
      <c r="CS136" s="14">
        <f t="shared" si="43"/>
        <v>8.6518312971901851E-2</v>
      </c>
    </row>
    <row r="137" spans="92:97" x14ac:dyDescent="0.45">
      <c r="CN137" s="2">
        <v>67</v>
      </c>
      <c r="CO137" s="14">
        <v>3.6780012704100286E-2</v>
      </c>
      <c r="CP137" s="14">
        <v>-5.676076426464385E-3</v>
      </c>
      <c r="CQ137" s="14">
        <v>1.240598961344638E-2</v>
      </c>
      <c r="CR137" s="14">
        <v>4.3008787840759365E-2</v>
      </c>
      <c r="CS137" s="14">
        <f t="shared" si="43"/>
        <v>8.651871373184164E-2</v>
      </c>
    </row>
    <row r="138" spans="92:97" x14ac:dyDescent="0.45">
      <c r="CN138" s="2">
        <v>67.5</v>
      </c>
      <c r="CO138" s="14">
        <v>3.6780012704100286E-2</v>
      </c>
      <c r="CP138" s="14">
        <v>-5.637715091123408E-3</v>
      </c>
      <c r="CQ138" s="14">
        <v>1.2347544215842074E-2</v>
      </c>
      <c r="CR138" s="14">
        <v>4.3027008116882037E-2</v>
      </c>
      <c r="CS138" s="14">
        <f t="shared" si="43"/>
        <v>8.6516849945700997E-2</v>
      </c>
    </row>
    <row r="139" spans="92:97" x14ac:dyDescent="0.45">
      <c r="CN139" s="2">
        <v>68</v>
      </c>
      <c r="CO139" s="14">
        <v>3.6780012704100286E-2</v>
      </c>
      <c r="CP139" s="14">
        <v>-5.5998164095583496E-3</v>
      </c>
      <c r="CQ139" s="14">
        <v>1.2289276783838366E-2</v>
      </c>
      <c r="CR139" s="14">
        <v>4.3043297735466321E-2</v>
      </c>
      <c r="CS139" s="14">
        <f t="shared" si="43"/>
        <v>8.6512770813846618E-2</v>
      </c>
    </row>
    <row r="140" spans="92:97" x14ac:dyDescent="0.45">
      <c r="CN140" s="2">
        <v>68.5</v>
      </c>
      <c r="CO140" s="14">
        <v>3.6780012704100286E-2</v>
      </c>
      <c r="CP140" s="14">
        <v>-5.5623730466384117E-3</v>
      </c>
      <c r="CQ140" s="14">
        <v>1.223119558406317E-2</v>
      </c>
      <c r="CR140" s="14">
        <v>4.3057689285190721E-2</v>
      </c>
      <c r="CS140" s="14">
        <f t="shared" si="43"/>
        <v>8.6506524526715756E-2</v>
      </c>
    </row>
    <row r="141" spans="92:97" x14ac:dyDescent="0.45">
      <c r="CN141" s="2">
        <v>69</v>
      </c>
      <c r="CO141" s="14">
        <v>3.6780012704100286E-2</v>
      </c>
      <c r="CP141" s="14">
        <v>-5.5253778028092537E-3</v>
      </c>
      <c r="CQ141" s="14">
        <v>1.2173308490597853E-2</v>
      </c>
      <c r="CR141" s="14">
        <v>4.3070214895647135E-2</v>
      </c>
      <c r="CS141" s="14">
        <f t="shared" si="43"/>
        <v>8.6498158287536014E-2</v>
      </c>
    </row>
    <row r="142" spans="92:97" x14ac:dyDescent="0.45">
      <c r="CN142" s="2">
        <v>69.5</v>
      </c>
      <c r="CO142" s="14">
        <v>3.6780012704100286E-2</v>
      </c>
      <c r="CP142" s="14">
        <v>-5.4888236113387993E-3</v>
      </c>
      <c r="CQ142" s="14">
        <v>1.2115622998291055E-2</v>
      </c>
      <c r="CR142" s="14">
        <v>4.3080906243429501E-2</v>
      </c>
      <c r="CS142" s="14">
        <f t="shared" si="43"/>
        <v>8.6487718334482044E-2</v>
      </c>
    </row>
    <row r="143" spans="92:97" x14ac:dyDescent="0.45">
      <c r="CN143" s="2">
        <v>70</v>
      </c>
      <c r="CO143" s="14">
        <v>3.6780012704100286E-2</v>
      </c>
      <c r="CP143" s="14">
        <v>-5.4527035356225634E-3</v>
      </c>
      <c r="CQ143" s="14">
        <v>1.2058146235662502E-2</v>
      </c>
      <c r="CR143" s="14">
        <v>4.3089794558143962E-2</v>
      </c>
      <c r="CS143" s="14">
        <f t="shared" si="43"/>
        <v>8.6475249962284187E-2</v>
      </c>
    </row>
    <row r="144" spans="92:97" x14ac:dyDescent="0.45">
      <c r="CN144" s="2">
        <v>70.5</v>
      </c>
      <c r="CO144" s="14">
        <v>3.6780012704100286E-2</v>
      </c>
      <c r="CP144" s="14">
        <v>-5.417010766547211E-3</v>
      </c>
      <c r="CQ144" s="14">
        <v>1.2000884977408909E-2</v>
      </c>
      <c r="CR144" s="14">
        <v>4.3096910628341416E-2</v>
      </c>
      <c r="CS144" s="14">
        <f t="shared" si="43"/>
        <v>8.6460797543303408E-2</v>
      </c>
    </row>
    <row r="145" spans="3:97" x14ac:dyDescent="0.45">
      <c r="CN145" s="2">
        <v>71</v>
      </c>
      <c r="CO145" s="14">
        <v>3.6780012704100286E-2</v>
      </c>
      <c r="CP145" s="14">
        <v>-5.3817386199109798E-3</v>
      </c>
      <c r="CQ145" s="14">
        <v>1.1943845656523736E-2</v>
      </c>
      <c r="CR145" s="14">
        <v>4.3102284807373478E-2</v>
      </c>
      <c r="CS145" s="14">
        <f t="shared" si="43"/>
        <v>8.6444404548086523E-2</v>
      </c>
    </row>
    <row r="146" spans="3:97" x14ac:dyDescent="0.45">
      <c r="D146" s="40"/>
      <c r="E146" s="40"/>
      <c r="CN146" s="2">
        <v>71.5</v>
      </c>
      <c r="CO146" s="14">
        <v>3.6780012704100286E-2</v>
      </c>
      <c r="CP146" s="14">
        <v>-5.3468805338997257E-3</v>
      </c>
      <c r="CQ146" s="14">
        <v>1.1887034376042252E-2</v>
      </c>
      <c r="CR146" s="14">
        <v>4.310594701917287E-2</v>
      </c>
      <c r="CS146" s="14">
        <f t="shared" si="43"/>
        <v>8.6426113565415685E-2</v>
      </c>
    </row>
    <row r="147" spans="3:97" x14ac:dyDescent="0.45">
      <c r="C147" s="19"/>
      <c r="D147" s="19"/>
      <c r="E147" s="19"/>
      <c r="CN147" s="2">
        <v>72</v>
      </c>
      <c r="CO147" s="14">
        <v>3.6780012704100286E-2</v>
      </c>
      <c r="CP147" s="14">
        <v>-5.3124300666173175E-3</v>
      </c>
      <c r="CQ147" s="14">
        <v>1.1830456920422953E-2</v>
      </c>
      <c r="CR147" s="14">
        <v>4.3107926763959123E-2</v>
      </c>
      <c r="CS147" s="14">
        <f t="shared" si="43"/>
        <v>8.6405966321865049E-2</v>
      </c>
    </row>
    <row r="148" spans="3:97" x14ac:dyDescent="0.45">
      <c r="C148" s="19"/>
      <c r="D148" s="19"/>
      <c r="E148" s="19"/>
      <c r="CN148" s="2">
        <v>72.5</v>
      </c>
      <c r="CO148" s="14">
        <v>3.6780012704100286E-2</v>
      </c>
      <c r="CP148" s="14">
        <v>-5.2783808936691578E-3</v>
      </c>
      <c r="CQ148" s="14">
        <v>1.1774118766576159E-2</v>
      </c>
      <c r="CR148" s="14">
        <v>4.31082531238706E-2</v>
      </c>
      <c r="CS148" s="14">
        <f t="shared" si="43"/>
        <v>8.6384003700877884E-2</v>
      </c>
    </row>
    <row r="149" spans="3:97" x14ac:dyDescent="0.45">
      <c r="C149" s="19"/>
      <c r="D149" s="19"/>
      <c r="E149" s="19"/>
      <c r="CN149" s="2">
        <v>73</v>
      </c>
      <c r="CO149" s="14">
        <v>3.6780012704100286E-2</v>
      </c>
      <c r="CP149" s="14">
        <v>-5.2447268057976533E-3</v>
      </c>
      <c r="CQ149" s="14">
        <v>1.1718025094550243E-2</v>
      </c>
      <c r="CR149" s="14">
        <v>4.3106954768523748E-2</v>
      </c>
      <c r="CS149" s="14">
        <f t="shared" si="43"/>
        <v>8.636026576137662E-2</v>
      </c>
    </row>
    <row r="150" spans="3:97" x14ac:dyDescent="0.45">
      <c r="C150" s="19"/>
      <c r="D150" s="19"/>
      <c r="E150" s="19"/>
      <c r="CN150" s="2">
        <v>73.5</v>
      </c>
      <c r="CO150" s="14">
        <v>3.6780012704100286E-2</v>
      </c>
      <c r="CP150" s="14">
        <v>-5.2114617065684363E-3</v>
      </c>
      <c r="CQ150" s="14">
        <v>1.1662180797885609E-2</v>
      </c>
      <c r="CR150" s="14">
        <v>4.3104059960500506E-2</v>
      </c>
      <c r="CS150" s="14">
        <f t="shared" si="43"/>
        <v>8.6334791755917961E-2</v>
      </c>
    </row>
    <row r="151" spans="3:97" x14ac:dyDescent="0.45">
      <c r="C151" s="19"/>
      <c r="D151" s="19"/>
      <c r="E151" s="19"/>
      <c r="CN151" s="2">
        <v>74</v>
      </c>
      <c r="CO151" s="14">
        <v>3.6780012704100286E-2</v>
      </c>
      <c r="CP151" s="14">
        <v>-5.1785796101062277E-3</v>
      </c>
      <c r="CQ151" s="14">
        <v>1.1606590493646353E-2</v>
      </c>
      <c r="CR151" s="14">
        <v>4.3099596560764841E-2</v>
      </c>
      <c r="CS151" s="14">
        <f t="shared" si="43"/>
        <v>8.6307620148405262E-2</v>
      </c>
    </row>
    <row r="152" spans="3:97" x14ac:dyDescent="0.45">
      <c r="C152" s="19"/>
      <c r="D152" s="19"/>
      <c r="E152" s="19"/>
      <c r="CN152" s="2">
        <v>74.5</v>
      </c>
      <c r="CO152" s="14">
        <v>3.6780012704100286E-2</v>
      </c>
      <c r="CP152" s="14">
        <v>-5.1460746388792078E-3</v>
      </c>
      <c r="CQ152" s="14">
        <v>1.1551258532139133E-2</v>
      </c>
      <c r="CR152" s="14">
        <v>4.3093592034009164E-2</v>
      </c>
      <c r="CS152" s="14">
        <f t="shared" si="43"/>
        <v>8.6278788631369369E-2</v>
      </c>
    </row>
    <row r="153" spans="3:97" x14ac:dyDescent="0.45">
      <c r="CN153" s="2">
        <v>75</v>
      </c>
      <c r="CO153" s="14">
        <v>3.6780012704100286E-2</v>
      </c>
      <c r="CP153" s="14">
        <v>-5.113941021530813E-3</v>
      </c>
      <c r="CQ153" s="14">
        <v>1.149618900632856E-2</v>
      </c>
      <c r="CR153" s="14">
        <v>4.3086073453931721E-2</v>
      </c>
      <c r="CS153" s="14">
        <f t="shared" si="43"/>
        <v>8.6248334142829758E-2</v>
      </c>
    </row>
    <row r="154" spans="3:97" x14ac:dyDescent="0.45">
      <c r="C154" s="19"/>
      <c r="D154" s="19"/>
      <c r="E154" s="19"/>
      <c r="CN154" s="2">
        <v>75.5</v>
      </c>
      <c r="CO154" s="14">
        <v>3.6780012704100286E-2</v>
      </c>
      <c r="CP154" s="14">
        <v>-5.0821730907579018E-3</v>
      </c>
      <c r="CQ154" s="14">
        <v>1.1441385760958156E-2</v>
      </c>
      <c r="CR154" s="14">
        <v>4.3077067508445741E-2</v>
      </c>
      <c r="CS154" s="14">
        <f t="shared" si="43"/>
        <v>8.6216292882746279E-2</v>
      </c>
    </row>
    <row r="155" spans="3:97" x14ac:dyDescent="0.45">
      <c r="C155" s="19"/>
      <c r="D155" s="19"/>
      <c r="CN155" s="2">
        <v>76</v>
      </c>
      <c r="CO155" s="14">
        <v>3.6780012704100286E-2</v>
      </c>
      <c r="CP155" s="14">
        <v>-5.0507652812342395E-3</v>
      </c>
      <c r="CQ155" s="14">
        <v>1.1386852401385639E-2</v>
      </c>
      <c r="CR155" s="14">
        <v>4.3066600504821036E-2</v>
      </c>
      <c r="CS155" s="14">
        <f t="shared" si="43"/>
        <v>8.6182700329072714E-2</v>
      </c>
    </row>
    <row r="156" spans="3:97" x14ac:dyDescent="0.45">
      <c r="C156" s="19"/>
      <c r="D156" s="19"/>
      <c r="CN156" s="2">
        <v>76.5</v>
      </c>
      <c r="CO156" s="14">
        <v>3.6780012704100286E-2</v>
      </c>
      <c r="CP156" s="14">
        <v>-5.0197121275782994E-3</v>
      </c>
      <c r="CQ156" s="14">
        <v>1.1332592302141047E-2</v>
      </c>
      <c r="CR156" s="14">
        <v>4.3054698374759316E-2</v>
      </c>
      <c r="CS156" s="14">
        <f t="shared" si="43"/>
        <v>8.6147591253422362E-2</v>
      </c>
    </row>
    <row r="157" spans="3:97" x14ac:dyDescent="0.45">
      <c r="C157" s="19"/>
      <c r="D157" s="19"/>
      <c r="CN157" s="2">
        <v>77</v>
      </c>
      <c r="CO157" s="14">
        <v>3.6780012704100286E-2</v>
      </c>
      <c r="CP157" s="14">
        <v>-4.9890082623643816E-3</v>
      </c>
      <c r="CQ157" s="14">
        <v>1.1278608615215947E-2</v>
      </c>
      <c r="CR157" s="14">
        <v>4.3041386679403666E-2</v>
      </c>
      <c r="CS157" s="14">
        <f t="shared" si="43"/>
        <v>8.6110999736355526E-2</v>
      </c>
    </row>
    <row r="158" spans="3:97" x14ac:dyDescent="0.45">
      <c r="C158" s="19"/>
      <c r="D158" s="19"/>
      <c r="CN158" s="2">
        <v>77.5</v>
      </c>
      <c r="CO158" s="14">
        <v>3.6780012704100286E-2</v>
      </c>
      <c r="CP158" s="14">
        <v>-4.9586484141760897E-3</v>
      </c>
      <c r="CQ158" s="14">
        <v>1.1224904278091809E-2</v>
      </c>
      <c r="CR158" s="14">
        <v>4.3026690614283276E-2</v>
      </c>
      <c r="CS158" s="14">
        <f t="shared" si="43"/>
        <v>8.6072959182299277E-2</v>
      </c>
    </row>
    <row r="159" spans="3:97" x14ac:dyDescent="0.45">
      <c r="C159" s="19"/>
      <c r="D159" s="19"/>
      <c r="CN159" s="2">
        <v>78</v>
      </c>
      <c r="CO159" s="14">
        <v>3.6780012704100286E-2</v>
      </c>
      <c r="CP159" s="14">
        <v>-4.9286274057012049E-3</v>
      </c>
      <c r="CQ159" s="14">
        <v>1.117148202151527E-2</v>
      </c>
      <c r="CR159" s="14">
        <v>4.3010635014194047E-2</v>
      </c>
      <c r="CS159" s="14">
        <f t="shared" si="43"/>
        <v>8.6033502334108392E-2</v>
      </c>
    </row>
    <row r="160" spans="3:97" x14ac:dyDescent="0.45">
      <c r="C160" s="19"/>
      <c r="D160" s="19"/>
      <c r="CN160" s="2">
        <v>78.5</v>
      </c>
      <c r="CO160" s="14">
        <v>3.6780012704100286E-2</v>
      </c>
      <c r="CP160" s="14">
        <v>-4.8989401518670607E-3</v>
      </c>
      <c r="CQ160" s="14">
        <v>1.1118344377027916E-2</v>
      </c>
      <c r="CR160" s="14">
        <v>4.2993244358016186E-2</v>
      </c>
      <c r="CS160" s="14">
        <f t="shared" si="43"/>
        <v>8.5992661287277339E-2</v>
      </c>
    </row>
    <row r="161" spans="92:97" x14ac:dyDescent="0.45">
      <c r="CN161" s="2">
        <v>79</v>
      </c>
      <c r="CO161" s="14">
        <v>3.6780012704100286E-2</v>
      </c>
      <c r="CP161" s="14">
        <v>-4.8695816580154793E-3</v>
      </c>
      <c r="CQ161" s="14">
        <v>1.1065493684257856E-2</v>
      </c>
      <c r="CR161" s="14">
        <v>4.2974542773469203E-2</v>
      </c>
      <c r="CS161" s="14">
        <f t="shared" si="43"/>
        <v>8.5950467503811856E-2</v>
      </c>
    </row>
    <row r="162" spans="92:97" x14ac:dyDescent="0.45">
      <c r="CN162" s="2">
        <v>79.5</v>
      </c>
      <c r="CO162" s="14">
        <v>3.6780012704100286E-2</v>
      </c>
      <c r="CP162" s="14">
        <v>-4.84054701811643E-3</v>
      </c>
      <c r="CQ162" s="14">
        <v>1.1012932097980311E-2</v>
      </c>
      <c r="CR162" s="14">
        <v>4.2954554041805475E-2</v>
      </c>
      <c r="CS162" s="14">
        <f t="shared" si="43"/>
        <v>8.5906951825769629E-2</v>
      </c>
    </row>
    <row r="163" spans="92:97" x14ac:dyDescent="0.45">
      <c r="CN163" s="2">
        <v>80</v>
      </c>
      <c r="CO163" s="14">
        <v>3.6780012704100286E-2</v>
      </c>
      <c r="CP163" s="14">
        <v>-4.81183141301951E-3</v>
      </c>
      <c r="CQ163" s="14">
        <v>1.0960661594954041E-2</v>
      </c>
      <c r="CR163" s="14">
        <v>4.2933301602442901E-2</v>
      </c>
      <c r="CS163" s="14">
        <f t="shared" si="43"/>
        <v>8.5862144488477718E-2</v>
      </c>
    </row>
    <row r="164" spans="92:97" x14ac:dyDescent="0.45">
      <c r="CN164" s="2">
        <v>80.5</v>
      </c>
      <c r="CO164" s="14">
        <v>3.6780012704100286E-2</v>
      </c>
      <c r="CP164" s="14">
        <v>-4.7834301087424326E-3</v>
      </c>
      <c r="CQ164" s="14">
        <v>1.0908683980540417E-2</v>
      </c>
      <c r="CR164" s="14">
        <v>4.2910808557537553E-2</v>
      </c>
      <c r="CS164" s="14">
        <f t="shared" si="43"/>
        <v>8.5816075133435823E-2</v>
      </c>
    </row>
    <row r="165" spans="92:97" x14ac:dyDescent="0.45">
      <c r="CN165" s="2">
        <v>81</v>
      </c>
      <c r="CO165" s="14">
        <v>3.6780012704100286E-2</v>
      </c>
      <c r="CP165" s="14">
        <v>-4.7553384547956877E-3</v>
      </c>
      <c r="CQ165" s="14">
        <v>1.0857000895111603E-2</v>
      </c>
      <c r="CR165" s="14">
        <v>4.2887097676497121E-2</v>
      </c>
      <c r="CS165" s="14">
        <f t="shared" si="43"/>
        <v>8.576877282091333E-2</v>
      </c>
    </row>
    <row r="166" spans="92:97" x14ac:dyDescent="0.45">
      <c r="CN166" s="2">
        <v>81.5</v>
      </c>
      <c r="CO166" s="14">
        <v>3.6780012704100286E-2</v>
      </c>
      <c r="CP166" s="14">
        <v>-4.7275518825425824E-3</v>
      </c>
      <c r="CQ166" s="14">
        <v>1.0805613820254209E-2</v>
      </c>
      <c r="CR166" s="14">
        <v>4.2862191400435706E-2</v>
      </c>
      <c r="CS166" s="14">
        <f t="shared" si="43"/>
        <v>8.5720266042247611E-2</v>
      </c>
    </row>
    <row r="167" spans="92:97" x14ac:dyDescent="0.45">
      <c r="CN167" s="2">
        <v>82</v>
      </c>
      <c r="CO167" s="14">
        <v>3.6780012704100286E-2</v>
      </c>
      <c r="CP167" s="14">
        <v>-4.7000659035938575E-3</v>
      </c>
      <c r="CQ167" s="14">
        <v>1.0754524084774571E-2</v>
      </c>
      <c r="CR167" s="14">
        <v>4.2836111846570941E-2</v>
      </c>
      <c r="CS167" s="14">
        <f t="shared" si="43"/>
        <v>8.5670582731851935E-2</v>
      </c>
    </row>
    <row r="168" spans="92:97" x14ac:dyDescent="0.45">
      <c r="CN168" s="2">
        <v>82.5</v>
      </c>
      <c r="CO168" s="14">
        <v>3.6780012704100286E-2</v>
      </c>
      <c r="CP168" s="14">
        <v>-4.6728761082361434E-3</v>
      </c>
      <c r="CQ168" s="14">
        <v>1.070373287051161E-2</v>
      </c>
      <c r="CR168" s="14">
        <v>4.2808880812564107E-2</v>
      </c>
      <c r="CS168" s="14">
        <f t="shared" si="43"/>
        <v>8.5619750278939866E-2</v>
      </c>
    </row>
    <row r="169" spans="92:97" x14ac:dyDescent="0.45">
      <c r="CN169" s="2">
        <v>83</v>
      </c>
      <c r="CO169" s="14">
        <v>3.6780012704100286E-2</v>
      </c>
      <c r="CP169" s="14">
        <v>-4.6459781638934754E-3</v>
      </c>
      <c r="CQ169" s="14">
        <v>1.0653241217963077E-2</v>
      </c>
      <c r="CR169" s="14">
        <v>4.2780519780803862E-2</v>
      </c>
      <c r="CS169" s="14">
        <f t="shared" si="43"/>
        <v>8.5567795538973757E-2</v>
      </c>
    </row>
    <row r="170" spans="92:97" x14ac:dyDescent="0.45">
      <c r="CN170" s="2">
        <v>83.5</v>
      </c>
      <c r="CO170" s="14">
        <v>3.6780012704100286E-2</v>
      </c>
      <c r="CP170" s="14">
        <v>-4.6193678136211549E-3</v>
      </c>
      <c r="CQ170" s="14">
        <v>1.0603050031730794E-2</v>
      </c>
      <c r="CR170" s="14">
        <v>4.275104992263442E-2</v>
      </c>
      <c r="CS170" s="14">
        <f t="shared" si="43"/>
        <v>8.5514744844844337E-2</v>
      </c>
    </row>
    <row r="171" spans="92:97" x14ac:dyDescent="0.45">
      <c r="CN171" s="2">
        <v>84</v>
      </c>
      <c r="CO171" s="14">
        <v>3.6780012704100286E-2</v>
      </c>
      <c r="CP171" s="14">
        <v>-4.5930408746312481E-3</v>
      </c>
      <c r="CQ171" s="14">
        <v>1.0553160085790396E-2</v>
      </c>
      <c r="CR171" s="14">
        <v>4.2720492102528859E-2</v>
      </c>
      <c r="CS171" s="14">
        <f t="shared" si="43"/>
        <v>8.5460624017788284E-2</v>
      </c>
    </row>
    <row r="172" spans="92:97" x14ac:dyDescent="0.45">
      <c r="CN172" s="2">
        <v>84.5</v>
      </c>
      <c r="CO172" s="14">
        <v>3.6780012704100286E-2</v>
      </c>
      <c r="CP172" s="14">
        <v>-4.5669932368489954E-3</v>
      </c>
      <c r="CQ172" s="14">
        <v>1.0503572028590809E-2</v>
      </c>
      <c r="CR172" s="14">
        <v>4.2688866882208278E-2</v>
      </c>
      <c r="CS172" s="14">
        <f t="shared" si="43"/>
        <v>8.5405458378050386E-2</v>
      </c>
    </row>
    <row r="173" spans="92:97" x14ac:dyDescent="0.45">
      <c r="CN173" s="2">
        <v>85</v>
      </c>
      <c r="CO173" s="14">
        <v>3.6780012704100286E-2</v>
      </c>
      <c r="CP173" s="14">
        <v>-4.5412208614994754E-3</v>
      </c>
      <c r="CQ173" s="14">
        <v>1.0454286387988657E-2</v>
      </c>
      <c r="CR173" s="14">
        <v>4.2656194524707418E-2</v>
      </c>
      <c r="CS173" s="14">
        <f t="shared" si="43"/>
        <v>8.5349272755296884E-2</v>
      </c>
    </row>
    <row r="174" spans="92:97" x14ac:dyDescent="0.45">
      <c r="CN174" s="2">
        <v>85.5</v>
      </c>
      <c r="CO174" s="14">
        <v>3.6780012704100286E-2</v>
      </c>
      <c r="CP174" s="14">
        <v>-4.5157197797238572E-3</v>
      </c>
      <c r="CQ174" s="14">
        <v>1.0405303576022606E-2</v>
      </c>
      <c r="CR174" s="14">
        <v>4.2622494998387467E-2</v>
      </c>
      <c r="CS174" s="14">
        <f t="shared" si="43"/>
        <v>8.5292091498786499E-2</v>
      </c>
    </row>
    <row r="175" spans="92:97" x14ac:dyDescent="0.45">
      <c r="CN175" s="2">
        <v>86</v>
      </c>
      <c r="CO175" s="14">
        <v>3.6780012704100286E-2</v>
      </c>
      <c r="CP175" s="14">
        <v>-4.4904860912245619E-3</v>
      </c>
      <c r="CQ175" s="14">
        <v>1.0356623893532436E-2</v>
      </c>
      <c r="CR175" s="14">
        <v>4.2587787980896845E-2</v>
      </c>
      <c r="CS175" s="14">
        <f t="shared" si="43"/>
        <v>8.5233938487305011E-2</v>
      </c>
    </row>
    <row r="176" spans="92:97" x14ac:dyDescent="0.45">
      <c r="CN176" s="2">
        <v>86.5</v>
      </c>
      <c r="CO176" s="14">
        <v>3.6780012704100286E-2</v>
      </c>
      <c r="CP176" s="14">
        <v>-4.465515962938732E-3</v>
      </c>
      <c r="CQ176" s="14">
        <v>1.0308247534627604E-2</v>
      </c>
      <c r="CR176" s="14">
        <v>4.2552092863080392E-2</v>
      </c>
      <c r="CS176" s="14">
        <f t="shared" si="43"/>
        <v>8.5174837138869558E-2</v>
      </c>
    </row>
    <row r="177" spans="92:97" x14ac:dyDescent="0.45">
      <c r="CN177" s="2">
        <v>87</v>
      </c>
      <c r="CO177" s="14">
        <v>3.6780012704100286E-2</v>
      </c>
      <c r="CP177" s="14">
        <v>-4.4408056277393535E-3</v>
      </c>
      <c r="CQ177" s="14">
        <v>1.0260174591009837E-2</v>
      </c>
      <c r="CR177" s="14">
        <v>4.2515428752837842E-2</v>
      </c>
      <c r="CS177" s="14">
        <f t="shared" si="43"/>
        <v>8.5114810420208603E-2</v>
      </c>
    </row>
    <row r="178" spans="92:97" x14ac:dyDescent="0.45">
      <c r="CN178" s="2">
        <v>87.5</v>
      </c>
      <c r="CO178" s="14">
        <v>3.6780012704100286E-2</v>
      </c>
      <c r="CP178" s="14">
        <v>-4.4163513831634521E-3</v>
      </c>
      <c r="CQ178" s="14">
        <v>1.0212405056154198E-2</v>
      </c>
      <c r="CR178" s="14">
        <v>4.2477814478932112E-2</v>
      </c>
      <c r="CS178" s="14">
        <f t="shared" si="43"/>
        <v>8.505388085602314E-2</v>
      </c>
    </row>
    <row r="179" spans="92:97" x14ac:dyDescent="0.45">
      <c r="CN179" s="2">
        <v>88</v>
      </c>
      <c r="CO179" s="14">
        <v>3.6780012704100286E-2</v>
      </c>
      <c r="CP179" s="14">
        <v>-4.3921495901667502E-3</v>
      </c>
      <c r="CQ179" s="14">
        <v>1.0164938829352928E-2</v>
      </c>
      <c r="CR179" s="14">
        <v>4.2439268594748031E-2</v>
      </c>
      <c r="CS179" s="14">
        <f t="shared" si="43"/>
        <v>8.4992070538034495E-2</v>
      </c>
    </row>
    <row r="180" spans="92:97" x14ac:dyDescent="0.45">
      <c r="CN180" s="2">
        <v>88.5</v>
      </c>
      <c r="CO180" s="14">
        <v>3.6780012704100286E-2</v>
      </c>
      <c r="CP180" s="14">
        <v>-4.3681966719042072E-3</v>
      </c>
      <c r="CQ180" s="14">
        <v>1.011777571962626E-2</v>
      </c>
      <c r="CR180" s="14">
        <v>4.2399809382002288E-2</v>
      </c>
      <c r="CS180" s="14">
        <f t="shared" si="43"/>
        <v>8.492940113382462E-2</v>
      </c>
    </row>
    <row r="181" spans="92:97" x14ac:dyDescent="0.45">
      <c r="CN181" s="2">
        <v>89</v>
      </c>
      <c r="CO181" s="14">
        <v>3.6780012704100286E-2</v>
      </c>
      <c r="CP181" s="14">
        <v>-4.3444891125358851E-3</v>
      </c>
      <c r="CQ181" s="14">
        <v>1.0070915449504204E-2</v>
      </c>
      <c r="CR181" s="14">
        <v>4.2359454854404975E-2</v>
      </c>
      <c r="CS181" s="14">
        <f t="shared" si="43"/>
        <v>8.4865893895473582E-2</v>
      </c>
    </row>
    <row r="182" spans="92:97" x14ac:dyDescent="0.45">
      <c r="CN182" s="2">
        <v>89.5</v>
      </c>
      <c r="CO182" s="14">
        <v>3.6780012704100286E-2</v>
      </c>
      <c r="CP182" s="14">
        <v>-4.3210234560575704E-3</v>
      </c>
      <c r="CQ182" s="14">
        <v>1.0024357658683324E-2</v>
      </c>
      <c r="CR182" s="14">
        <v>4.2318222761273672E-2</v>
      </c>
      <c r="CS182" s="14">
        <f t="shared" si="43"/>
        <v>8.4801569667999718E-2</v>
      </c>
    </row>
    <row r="183" spans="92:97" x14ac:dyDescent="0.45">
      <c r="CN183" s="2">
        <v>90</v>
      </c>
      <c r="CO183" s="14">
        <v>3.6780012704100286E-2</v>
      </c>
      <c r="CP183" s="14">
        <v>-4.2977963051556243E-3</v>
      </c>
      <c r="CQ183" s="14">
        <v>9.978101907562242E-3</v>
      </c>
      <c r="CR183" s="14">
        <v>4.2276130591100275E-2</v>
      </c>
      <c r="CS183" s="14">
        <f t="shared" si="43"/>
        <v>8.4736448897607175E-2</v>
      </c>
    </row>
    <row r="184" spans="92:97" x14ac:dyDescent="0.45">
      <c r="CN184" s="2">
        <v>90.5</v>
      </c>
      <c r="CO184" s="14">
        <v>3.6780012704100286E-2</v>
      </c>
      <c r="CP184" s="14">
        <v>-4.2748043200855207E-3</v>
      </c>
      <c r="CQ184" s="14">
        <v>9.9321476806596264E-3</v>
      </c>
      <c r="CR184" s="14">
        <v>4.223319557507163E-2</v>
      </c>
      <c r="CS184" s="14">
        <f t="shared" si="43"/>
        <v>8.4670551639746017E-2</v>
      </c>
    </row>
    <row r="185" spans="92:97" x14ac:dyDescent="0.45">
      <c r="CN185" s="2">
        <v>91</v>
      </c>
      <c r="CO185" s="14">
        <v>3.6780012704100286E-2</v>
      </c>
      <c r="CP185" s="14">
        <v>-4.2520442175735702E-3</v>
      </c>
      <c r="CQ185" s="14">
        <v>9.8864943899182722E-3</v>
      </c>
      <c r="CR185" s="14">
        <v>4.2189434690544099E-2</v>
      </c>
      <c r="CS185" s="14">
        <f t="shared" si="43"/>
        <v>8.4603897566989078E-2</v>
      </c>
    </row>
    <row r="186" spans="92:97" x14ac:dyDescent="0.45">
      <c r="CN186" s="2">
        <v>91.5</v>
      </c>
      <c r="CO186" s="14">
        <v>3.6780012704100286E-2</v>
      </c>
      <c r="CP186" s="14">
        <v>-4.2295127697412945E-3</v>
      </c>
      <c r="CQ186" s="14">
        <v>9.8411413778987031E-3</v>
      </c>
      <c r="CR186" s="14">
        <v>4.2144864664473057E-2</v>
      </c>
      <c r="CS186" s="14">
        <f t="shared" si="43"/>
        <v>8.453650597673075E-2</v>
      </c>
    </row>
    <row r="187" spans="92:97" x14ac:dyDescent="0.45">
      <c r="CN187" s="2">
        <v>92</v>
      </c>
      <c r="CO187" s="14">
        <v>3.6780012704100286E-2</v>
      </c>
      <c r="CP187" s="14">
        <v>-4.207206803051998E-3</v>
      </c>
      <c r="CQ187" s="14">
        <v>9.7960879208657606E-3</v>
      </c>
      <c r="CR187" s="14">
        <v>4.2099501976797606E-2</v>
      </c>
      <c r="CS187" s="14">
        <f t="shared" si="43"/>
        <v>8.4468395798711654E-2</v>
      </c>
    </row>
    <row r="188" spans="92:97" x14ac:dyDescent="0.45">
      <c r="CN188" s="2">
        <v>92.5</v>
      </c>
      <c r="CO188" s="14">
        <v>3.6780012704100286E-2</v>
      </c>
      <c r="CP188" s="14">
        <v>-4.1851231972790176E-3</v>
      </c>
      <c r="CQ188" s="14">
        <v>9.7513332317714016E-3</v>
      </c>
      <c r="CR188" s="14">
        <v>4.2053362863781189E-2</v>
      </c>
      <c r="CS188" s="14">
        <f t="shared" si="43"/>
        <v>8.4399585602373858E-2</v>
      </c>
    </row>
    <row r="189" spans="92:97" x14ac:dyDescent="0.45">
      <c r="CN189" s="2">
        <v>93</v>
      </c>
      <c r="CO189" s="14">
        <v>3.6780012704100286E-2</v>
      </c>
      <c r="CP189" s="14">
        <v>-4.1632588844951971E-3</v>
      </c>
      <c r="CQ189" s="14">
        <v>9.7068764631369625E-3</v>
      </c>
      <c r="CR189" s="14">
        <v>4.2006463321308724E-2</v>
      </c>
      <c r="CS189" s="14">
        <f t="shared" si="43"/>
        <v>8.4330093604050776E-2</v>
      </c>
    </row>
    <row r="190" spans="92:97" x14ac:dyDescent="0.45">
      <c r="CN190" s="2">
        <v>93.5</v>
      </c>
      <c r="CO190" s="14">
        <v>3.6780012704100286E-2</v>
      </c>
      <c r="CP190" s="14">
        <v>-4.1416108480831172E-3</v>
      </c>
      <c r="CQ190" s="14">
        <v>9.662716709837909E-3</v>
      </c>
      <c r="CR190" s="14">
        <v>4.1958819108140762E-2</v>
      </c>
      <c r="CS190" s="14">
        <f t="shared" si="43"/>
        <v>8.4259937673995838E-2</v>
      </c>
    </row>
    <row r="191" spans="92:97" x14ac:dyDescent="0.45">
      <c r="CN191" s="2">
        <v>94</v>
      </c>
      <c r="CO191" s="14">
        <v>3.6780012704100286E-2</v>
      </c>
      <c r="CP191" s="14">
        <v>-4.120176121765645E-3</v>
      </c>
      <c r="CQ191" s="14">
        <v>9.6188530117941543E-3</v>
      </c>
      <c r="CR191" s="14">
        <v>4.191044574912503E-2</v>
      </c>
      <c r="CS191" s="14">
        <f t="shared" si="43"/>
        <v>8.4189135343253826E-2</v>
      </c>
    </row>
    <row r="192" spans="92:97" x14ac:dyDescent="0.45">
      <c r="CN192" s="2">
        <v>94.5</v>
      </c>
      <c r="CO192" s="14">
        <v>3.6780012704100286E-2</v>
      </c>
      <c r="CP192" s="14">
        <v>-4.0989517886563355E-3</v>
      </c>
      <c r="CQ192" s="14">
        <v>9.5752843565688125E-3</v>
      </c>
      <c r="CR192" s="14">
        <v>4.1861358538366387E-2</v>
      </c>
      <c r="CS192" s="14">
        <f t="shared" si="43"/>
        <v>8.4117703810379141E-2</v>
      </c>
    </row>
    <row r="193" spans="92:97" x14ac:dyDescent="0.45">
      <c r="CN193" s="2">
        <v>95</v>
      </c>
      <c r="CO193" s="14">
        <v>3.6780012704100286E-2</v>
      </c>
      <c r="CP193" s="14">
        <v>-4.0779349803292788E-3</v>
      </c>
      <c r="CQ193" s="14">
        <v>9.5320096818782337E-3</v>
      </c>
      <c r="CR193" s="14">
        <v>4.1811572542355173E-2</v>
      </c>
      <c r="CS193" s="14">
        <f t="shared" si="43"/>
        <v>8.404565994800442E-2</v>
      </c>
    </row>
    <row r="194" spans="92:97" x14ac:dyDescent="0.45">
      <c r="CN194" s="2">
        <v>95.5</v>
      </c>
      <c r="CO194" s="14">
        <v>3.6780012704100286E-2</v>
      </c>
      <c r="CP194" s="14">
        <v>-4.0571228759079614E-3</v>
      </c>
      <c r="CQ194" s="14">
        <v>9.4890278780160649E-3</v>
      </c>
      <c r="CR194" s="14">
        <v>4.1761102603054795E-2</v>
      </c>
      <c r="CS194" s="14">
        <f t="shared" si="43"/>
        <v>8.397302030926318E-2</v>
      </c>
    </row>
    <row r="195" spans="92:97" x14ac:dyDescent="0.45">
      <c r="CN195" s="2">
        <v>96</v>
      </c>
      <c r="CO195" s="14">
        <v>3.6780012704100286E-2</v>
      </c>
      <c r="CP195" s="14">
        <v>-4.0365127011727318E-3</v>
      </c>
      <c r="CQ195" s="14">
        <v>9.4463377901940048E-3</v>
      </c>
      <c r="CR195" s="14">
        <v>4.1709963340949126E-2</v>
      </c>
      <c r="CS195" s="14">
        <f t="shared" si="43"/>
        <v>8.3899801134070695E-2</v>
      </c>
    </row>
    <row r="196" spans="92:97" x14ac:dyDescent="0.45">
      <c r="CN196" s="2">
        <v>96.5</v>
      </c>
      <c r="CO196" s="14">
        <v>3.6780012704100286E-2</v>
      </c>
      <c r="CP196" s="14">
        <v>-4.0161017276864651E-3</v>
      </c>
      <c r="CQ196" s="14">
        <v>9.4039382208018288E-3</v>
      </c>
      <c r="CR196" s="14">
        <v>4.1658169158049936E-2</v>
      </c>
      <c r="CS196" s="14">
        <f t="shared" si="43"/>
        <v>8.3826018355265583E-2</v>
      </c>
    </row>
    <row r="197" spans="92:97" x14ac:dyDescent="0.45">
      <c r="CN197" s="2">
        <v>97</v>
      </c>
      <c r="CO197" s="14">
        <v>3.6780012704100286E-2</v>
      </c>
      <c r="CP197" s="14">
        <v>-3.9958872719380372E-3</v>
      </c>
      <c r="CQ197" s="14">
        <v>9.3618279315892169E-3</v>
      </c>
      <c r="CR197" s="14">
        <v>4.1605734240865215E-2</v>
      </c>
      <c r="CS197" s="14">
        <f t="shared" si="43"/>
        <v>8.3751687604616681E-2</v>
      </c>
    </row>
    <row r="198" spans="92:97" x14ac:dyDescent="0.45">
      <c r="CN198" s="2">
        <v>97.5</v>
      </c>
      <c r="CO198" s="14">
        <v>3.6780012704100286E-2</v>
      </c>
      <c r="CP198" s="14">
        <v>-3.9758666945032264E-3</v>
      </c>
      <c r="CQ198" s="14">
        <v>9.3200056457717773E-3</v>
      </c>
      <c r="CR198" s="14">
        <v>4.1552672563328563E-2</v>
      </c>
      <c r="CS198" s="14">
        <f t="shared" ref="CS198:CS261" si="44">SUM(CO198:CR198)</f>
        <v>8.3676824218697404E-2</v>
      </c>
    </row>
    <row r="199" spans="92:97" x14ac:dyDescent="0.45">
      <c r="CN199" s="2">
        <v>98</v>
      </c>
      <c r="CO199" s="14">
        <v>3.6780012704100286E-2</v>
      </c>
      <c r="CP199" s="14">
        <v>-3.9560373992226575E-3</v>
      </c>
      <c r="CQ199" s="14">
        <v>9.2784700500636742E-3</v>
      </c>
      <c r="CR199" s="14">
        <v>4.149899788969047E-2</v>
      </c>
      <c r="CS199" s="14">
        <f t="shared" si="44"/>
        <v>8.3601443244631771E-2</v>
      </c>
    </row>
    <row r="200" spans="92:97" x14ac:dyDescent="0.45">
      <c r="CN200" s="2">
        <v>98.5</v>
      </c>
      <c r="CO200" s="14">
        <v>3.6780012704100286E-2</v>
      </c>
      <c r="CP200" s="14">
        <v>-3.9363968323964322E-3</v>
      </c>
      <c r="CQ200" s="14">
        <v>9.237219796639112E-3</v>
      </c>
      <c r="CR200" s="14">
        <v>4.1444723777371649E-2</v>
      </c>
      <c r="CS200" s="14">
        <f t="shared" si="44"/>
        <v>8.3525559445714617E-2</v>
      </c>
    </row>
    <row r="201" spans="92:97" x14ac:dyDescent="0.45">
      <c r="CN201" s="2">
        <v>99</v>
      </c>
      <c r="CO201" s="14">
        <v>3.6780012704100286E-2</v>
      </c>
      <c r="CP201" s="14">
        <v>-3.9169424819950824E-3</v>
      </c>
      <c r="CQ201" s="14">
        <v>9.1962535050249365E-3</v>
      </c>
      <c r="CR201" s="14">
        <v>4.1389863579779161E-2</v>
      </c>
      <c r="CS201" s="14">
        <f t="shared" si="44"/>
        <v>8.3449187306909312E-2</v>
      </c>
    </row>
    <row r="202" spans="92:97" x14ac:dyDescent="0.45">
      <c r="CN202" s="2">
        <v>99.5</v>
      </c>
      <c r="CO202" s="14">
        <v>3.6780012704100286E-2</v>
      </c>
      <c r="CP202" s="14">
        <v>-3.8976718768864854E-3</v>
      </c>
      <c r="CQ202" s="14">
        <v>9.1555697639264712E-3</v>
      </c>
      <c r="CR202" s="14">
        <v>4.1334430449085684E-2</v>
      </c>
      <c r="CS202" s="14">
        <f t="shared" si="44"/>
        <v>8.337234104022595E-2</v>
      </c>
    </row>
    <row r="203" spans="92:97" x14ac:dyDescent="0.45">
      <c r="CN203" s="2">
        <v>100</v>
      </c>
      <c r="CO203" s="14">
        <v>3.6780012704100286E-2</v>
      </c>
      <c r="CP203" s="14">
        <v>-3.8785825860784186E-3</v>
      </c>
      <c r="CQ203" s="14">
        <v>9.1151671329887073E-3</v>
      </c>
      <c r="CR203" s="14">
        <v>4.1278437338972455E-2</v>
      </c>
      <c r="CS203" s="14">
        <f t="shared" si="44"/>
        <v>8.3295034589983025E-2</v>
      </c>
    </row>
    <row r="204" spans="92:97" x14ac:dyDescent="0.45">
      <c r="CN204" s="2">
        <v>100.5</v>
      </c>
      <c r="CO204" s="14">
        <v>3.6780012704100286E-2</v>
      </c>
      <c r="CP204" s="14">
        <v>-3.8596722179764032E-3</v>
      </c>
      <c r="CQ204" s="14">
        <v>9.0750441444948805E-3</v>
      </c>
      <c r="CR204" s="14">
        <v>4.1221897007336285E-2</v>
      </c>
      <c r="CS204" s="14">
        <f t="shared" si="44"/>
        <v>8.3217281637955054E-2</v>
      </c>
    </row>
    <row r="205" spans="92:97" x14ac:dyDescent="0.45">
      <c r="CN205" s="2">
        <v>101</v>
      </c>
      <c r="CO205" s="14">
        <v>3.6780012704100286E-2</v>
      </c>
      <c r="CP205" s="14">
        <v>-3.8409384196565091E-3</v>
      </c>
      <c r="CQ205" s="14">
        <v>9.0351993050043784E-3</v>
      </c>
      <c r="CR205" s="14">
        <v>4.1164822018961142E-2</v>
      </c>
      <c r="CS205" s="14">
        <f t="shared" si="44"/>
        <v>8.3139095608409291E-2</v>
      </c>
    </row>
    <row r="206" spans="92:97" x14ac:dyDescent="0.45">
      <c r="CN206" s="2">
        <v>101.5</v>
      </c>
      <c r="CO206" s="14">
        <v>3.6780012704100286E-2</v>
      </c>
      <c r="CP206" s="14">
        <v>-3.822378876152807E-3</v>
      </c>
      <c r="CQ206" s="14">
        <v>8.9956310969319178E-3</v>
      </c>
      <c r="CR206" s="14">
        <v>4.1107224748154814E-2</v>
      </c>
      <c r="CS206" s="14">
        <f t="shared" si="44"/>
        <v>8.3060489673034213E-2</v>
      </c>
    </row>
    <row r="207" spans="92:97" x14ac:dyDescent="0.45">
      <c r="CN207" s="2">
        <v>102</v>
      </c>
      <c r="CO207" s="14">
        <v>3.6780012704100286E-2</v>
      </c>
      <c r="CP207" s="14">
        <v>-3.803991309759155E-3</v>
      </c>
      <c r="CQ207" s="14">
        <v>8.956337980069836E-3</v>
      </c>
      <c r="CR207" s="14">
        <v>4.104911738135103E-2</v>
      </c>
      <c r="CS207" s="14">
        <f t="shared" si="44"/>
        <v>8.2981476755761993E-2</v>
      </c>
    </row>
    <row r="208" spans="92:97" x14ac:dyDescent="0.45">
      <c r="CN208" s="2">
        <v>102.5</v>
      </c>
      <c r="CO208" s="14">
        <v>3.6780012704100286E-2</v>
      </c>
      <c r="CP208" s="14">
        <v>-3.7857734793450026E-3</v>
      </c>
      <c r="CQ208" s="14">
        <v>8.917318393055278E-3</v>
      </c>
      <c r="CR208" s="14">
        <v>4.0990511919677404E-2</v>
      </c>
      <c r="CS208" s="14">
        <f t="shared" si="44"/>
        <v>8.2902069537487966E-2</v>
      </c>
    </row>
    <row r="209" spans="92:97" x14ac:dyDescent="0.45">
      <c r="CN209" s="2">
        <v>103</v>
      </c>
      <c r="CO209" s="14">
        <v>3.6780012704100286E-2</v>
      </c>
      <c r="CP209" s="14">
        <v>-3.7677231796849242E-3</v>
      </c>
      <c r="CQ209" s="14">
        <v>8.8785707547840379E-3</v>
      </c>
      <c r="CR209" s="14">
        <v>4.0931420181489923E-2</v>
      </c>
      <c r="CS209" s="14">
        <f t="shared" si="44"/>
        <v>8.2822280460689318E-2</v>
      </c>
    </row>
    <row r="210" spans="92:97" x14ac:dyDescent="0.45">
      <c r="CN210" s="2">
        <v>103.5</v>
      </c>
      <c r="CO210" s="14">
        <v>3.6780012704100286E-2</v>
      </c>
      <c r="CP210" s="14">
        <v>-3.7498382408015893E-3</v>
      </c>
      <c r="CQ210" s="14">
        <v>8.8400934657727765E-3</v>
      </c>
      <c r="CR210" s="14">
        <v>4.0871853804873987E-2</v>
      </c>
      <c r="CS210" s="14">
        <f t="shared" si="44"/>
        <v>8.2742121733945462E-2</v>
      </c>
    </row>
    <row r="211" spans="92:97" x14ac:dyDescent="0.45">
      <c r="CN211" s="2">
        <v>104</v>
      </c>
      <c r="CO211" s="14">
        <v>3.6780012704100286E-2</v>
      </c>
      <c r="CP211" s="14">
        <v>-3.7321165273218669E-3</v>
      </c>
      <c r="CQ211" s="14">
        <v>8.8018849094711783E-3</v>
      </c>
      <c r="CR211" s="14">
        <v>4.0811824250112899E-2</v>
      </c>
      <c r="CS211" s="14">
        <f t="shared" si="44"/>
        <v>8.2661605336362493E-2</v>
      </c>
    </row>
    <row r="212" spans="92:97" x14ac:dyDescent="0.45">
      <c r="CN212" s="2">
        <v>104.5</v>
      </c>
      <c r="CO212" s="14">
        <v>3.6780012704100286E-2</v>
      </c>
      <c r="CP212" s="14">
        <v>-3.7145559378458093E-3</v>
      </c>
      <c r="CQ212" s="14">
        <v>8.7639434535257254E-3</v>
      </c>
      <c r="CR212" s="14">
        <v>4.075134280212378E-2</v>
      </c>
      <c r="CS212" s="14">
        <f t="shared" si="44"/>
        <v>8.2580743021903991E-2</v>
      </c>
    </row>
    <row r="213" spans="92:97" x14ac:dyDescent="0.45">
      <c r="CN213" s="2">
        <v>105</v>
      </c>
      <c r="CO213" s="14">
        <v>3.6780012704100286E-2</v>
      </c>
      <c r="CP213" s="14">
        <v>-3.6971544043282174E-3</v>
      </c>
      <c r="CQ213" s="14">
        <v>8.7262674509965745E-3</v>
      </c>
      <c r="CR213" s="14">
        <v>4.0690420572861707E-2</v>
      </c>
      <c r="CS213" s="14">
        <f t="shared" si="44"/>
        <v>8.2499546323630352E-2</v>
      </c>
    </row>
    <row r="214" spans="92:97" x14ac:dyDescent="0.45">
      <c r="CN214" s="2">
        <v>105.5</v>
      </c>
      <c r="CO214" s="14">
        <v>3.6780012704100286E-2</v>
      </c>
      <c r="CP214" s="14">
        <v>-3.6799098914725411E-3</v>
      </c>
      <c r="CQ214" s="14">
        <v>8.688855241529056E-3</v>
      </c>
      <c r="CR214" s="14">
        <v>4.0629068503692148E-2</v>
      </c>
      <c r="CS214" s="14">
        <f t="shared" si="44"/>
        <v>8.2418026557848939E-2</v>
      </c>
    </row>
    <row r="215" spans="92:97" x14ac:dyDescent="0.45">
      <c r="CN215" s="2">
        <v>106</v>
      </c>
      <c r="CO215" s="14">
        <v>3.6780012704100286E-2</v>
      </c>
      <c r="CP215" s="14">
        <v>-3.6628203961368319E-3</v>
      </c>
      <c r="CQ215" s="14">
        <v>8.6517051524812559E-3</v>
      </c>
      <c r="CR215" s="14">
        <v>4.0567297367732388E-2</v>
      </c>
      <c r="CS215" s="14">
        <f t="shared" si="44"/>
        <v>8.2336194828177098E-2</v>
      </c>
    </row>
    <row r="216" spans="92:97" x14ac:dyDescent="0.45">
      <c r="CN216" s="2">
        <v>106.5</v>
      </c>
      <c r="CO216" s="14">
        <v>3.6780012704100286E-2</v>
      </c>
      <c r="CP216" s="14">
        <v>-3.6458839467515131E-3</v>
      </c>
      <c r="CQ216" s="14">
        <v>8.6148155000090633E-3</v>
      </c>
      <c r="CR216" s="14">
        <v>4.0505117772162161E-2</v>
      </c>
      <c r="CS216" s="14">
        <f t="shared" si="44"/>
        <v>8.225406202952E-2</v>
      </c>
    </row>
    <row r="217" spans="92:97" x14ac:dyDescent="0.45">
      <c r="CN217" s="2">
        <v>107</v>
      </c>
      <c r="CO217" s="14">
        <v>3.6780012704100286E-2</v>
      </c>
      <c r="CP217" s="14">
        <v>-3.6290986027487011E-3</v>
      </c>
      <c r="CQ217" s="14">
        <v>8.578184590110078E-3</v>
      </c>
      <c r="CR217" s="14">
        <v>4.0442540160503963E-2</v>
      </c>
      <c r="CS217" s="14">
        <f t="shared" si="44"/>
        <v>8.2171638851965628E-2</v>
      </c>
    </row>
    <row r="218" spans="92:97" x14ac:dyDescent="0.45">
      <c r="CN218" s="2">
        <v>107.5</v>
      </c>
      <c r="CO218" s="14">
        <v>3.6780012704100286E-2</v>
      </c>
      <c r="CP218" s="14">
        <v>-3.6124624540028417E-3</v>
      </c>
      <c r="CQ218" s="14">
        <v>8.5418107196276825E-3</v>
      </c>
      <c r="CR218" s="14">
        <v>4.0379574814873337E-2</v>
      </c>
      <c r="CS218" s="14">
        <f t="shared" si="44"/>
        <v>8.2088935784598471E-2</v>
      </c>
    </row>
    <row r="219" spans="92:97" x14ac:dyDescent="0.45">
      <c r="CN219" s="2">
        <v>108</v>
      </c>
      <c r="CO219" s="14">
        <v>3.6780012704100286E-2</v>
      </c>
      <c r="CP219" s="14">
        <v>-3.5959736202824184E-3</v>
      </c>
      <c r="CQ219" s="14">
        <v>8.5056921772165735E-3</v>
      </c>
      <c r="CR219" s="14">
        <v>4.0316231858199748E-2</v>
      </c>
      <c r="CS219" s="14">
        <f t="shared" si="44"/>
        <v>8.2005963119234193E-2</v>
      </c>
    </row>
    <row r="220" spans="92:97" x14ac:dyDescent="0.45">
      <c r="CN220" s="2">
        <v>108.5</v>
      </c>
      <c r="CO220" s="14">
        <v>3.6780012704100286E-2</v>
      </c>
      <c r="CP220" s="14">
        <v>-3.5796302507125036E-3</v>
      </c>
      <c r="CQ220" s="14">
        <v>8.4698272442709933E-3</v>
      </c>
      <c r="CR220" s="14">
        <v>4.0252521256418067E-2</v>
      </c>
      <c r="CS220" s="14">
        <f t="shared" si="44"/>
        <v>8.1922730954076844E-2</v>
      </c>
    </row>
    <row r="221" spans="92:97" x14ac:dyDescent="0.45">
      <c r="CN221" s="2">
        <v>109</v>
      </c>
      <c r="CO221" s="14">
        <v>3.6780012704100286E-2</v>
      </c>
      <c r="CP221" s="14">
        <v>-3.5634305232479157E-3</v>
      </c>
      <c r="CQ221" s="14">
        <v>8.4342141958168772E-3</v>
      </c>
      <c r="CR221" s="14">
        <v>4.0188452820631444E-2</v>
      </c>
      <c r="CS221" s="14">
        <f t="shared" si="44"/>
        <v>8.1839249197300692E-2</v>
      </c>
    </row>
    <row r="222" spans="92:97" x14ac:dyDescent="0.45">
      <c r="CN222" s="2">
        <v>109.5</v>
      </c>
      <c r="CO222" s="14">
        <v>3.6780012704100286E-2</v>
      </c>
      <c r="CP222" s="14">
        <v>-3.5473726441567701E-3</v>
      </c>
      <c r="CQ222" s="14">
        <v>8.3988513013690796E-3</v>
      </c>
      <c r="CR222" s="14">
        <v>4.0124036209245588E-2</v>
      </c>
      <c r="CS222" s="14">
        <f t="shared" si="44"/>
        <v>8.1755527570558179E-2</v>
      </c>
    </row>
    <row r="223" spans="92:97" x14ac:dyDescent="0.45">
      <c r="CN223" s="2">
        <v>110</v>
      </c>
      <c r="CO223" s="14">
        <v>3.6780012704100286E-2</v>
      </c>
      <c r="CP223" s="14">
        <v>-3.5314548475141906E-3</v>
      </c>
      <c r="CQ223" s="14">
        <v>8.3637368257548153E-3</v>
      </c>
      <c r="CR223" s="14">
        <v>4.0059280930075013E-2</v>
      </c>
      <c r="CS223" s="14">
        <f t="shared" si="44"/>
        <v>8.167157561241592E-2</v>
      </c>
    </row>
    <row r="224" spans="92:97" x14ac:dyDescent="0.45">
      <c r="CN224" s="2">
        <v>110.5</v>
      </c>
      <c r="CO224" s="14">
        <v>3.6780012704100286E-2</v>
      </c>
      <c r="CP224" s="14">
        <v>-3.5156753947059834E-3</v>
      </c>
      <c r="CQ224" s="14">
        <v>8.3288690299044271E-3</v>
      </c>
      <c r="CR224" s="14">
        <v>3.9994196342421635E-2</v>
      </c>
      <c r="CS224" s="14">
        <f t="shared" si="44"/>
        <v>8.1587402681720364E-2</v>
      </c>
    </row>
    <row r="225" spans="92:97" x14ac:dyDescent="0.45">
      <c r="CN225" s="2">
        <v>111</v>
      </c>
      <c r="CO225" s="14">
        <v>3.6780012704100286E-2</v>
      </c>
      <c r="CP225" s="14">
        <v>-3.5000325739420511E-3</v>
      </c>
      <c r="CQ225" s="14">
        <v>8.294246171610533E-3</v>
      </c>
      <c r="CR225" s="14">
        <v>3.9928791659125933E-2</v>
      </c>
      <c r="CS225" s="14">
        <f t="shared" si="44"/>
        <v>8.1503017960894708E-2</v>
      </c>
    </row>
    <row r="226" spans="92:97" x14ac:dyDescent="0.45">
      <c r="CN226" s="2">
        <v>111.5</v>
      </c>
      <c r="CO226" s="14">
        <v>3.6780012704100286E-2</v>
      </c>
      <c r="CP226" s="14">
        <v>-3.4845246997793509E-3</v>
      </c>
      <c r="CQ226" s="14">
        <v>8.2598665062566107E-3</v>
      </c>
      <c r="CR226" s="14">
        <v>3.9863075948591058E-2</v>
      </c>
      <c r="CS226" s="14">
        <f t="shared" si="44"/>
        <v>8.1418430459168606E-2</v>
      </c>
    </row>
    <row r="227" spans="92:97" x14ac:dyDescent="0.45">
      <c r="CN227" s="2">
        <v>112</v>
      </c>
      <c r="CO227" s="14">
        <v>3.6780012704100286E-2</v>
      </c>
      <c r="CP227" s="14">
        <v>-3.469150112654194E-3</v>
      </c>
      <c r="CQ227" s="14">
        <v>8.2257282875159952E-3</v>
      </c>
      <c r="CR227" s="14">
        <v>3.9797058136780465E-2</v>
      </c>
      <c r="CS227" s="14">
        <f t="shared" si="44"/>
        <v>8.1333649015742554E-2</v>
      </c>
    </row>
    <row r="228" spans="92:97" x14ac:dyDescent="0.45">
      <c r="CN228" s="2">
        <v>112.5</v>
      </c>
      <c r="CO228" s="14">
        <v>3.6780012704100286E-2</v>
      </c>
      <c r="CP228" s="14">
        <v>-3.4539071784236838E-3</v>
      </c>
      <c r="CQ228" s="14">
        <v>8.1918297680222789E-3</v>
      </c>
      <c r="CR228" s="14">
        <v>3.9730747009189028E-2</v>
      </c>
      <c r="CS228" s="14">
        <f t="shared" si="44"/>
        <v>8.1248682302887898E-2</v>
      </c>
    </row>
    <row r="229" spans="92:97" x14ac:dyDescent="0.45">
      <c r="CN229" s="2">
        <v>113</v>
      </c>
      <c r="CO229" s="14">
        <v>3.6780012704100286E-2</v>
      </c>
      <c r="CP229" s="14">
        <v>-3.43879428791612E-3</v>
      </c>
      <c r="CQ229" s="14">
        <v>8.158169200012064E-3</v>
      </c>
      <c r="CR229" s="14">
        <v>3.9664151212788275E-2</v>
      </c>
      <c r="CS229" s="14">
        <f t="shared" si="44"/>
        <v>8.1163538828984499E-2</v>
      </c>
    </row>
    <row r="230" spans="92:97" x14ac:dyDescent="0.45">
      <c r="CN230" s="2">
        <v>113.5</v>
      </c>
      <c r="CO230" s="14">
        <v>3.6780012704100286E-2</v>
      </c>
      <c r="CP230" s="14">
        <v>-3.4238098564901591E-3</v>
      </c>
      <c r="CQ230" s="14">
        <v>8.1247448359409724E-3</v>
      </c>
      <c r="CR230" s="14">
        <v>3.9597279257945976E-2</v>
      </c>
      <c r="CS230" s="14">
        <f t="shared" si="44"/>
        <v>8.1078226941497078E-2</v>
      </c>
    </row>
    <row r="231" spans="92:97" x14ac:dyDescent="0.45">
      <c r="CN231" s="2">
        <v>114</v>
      </c>
      <c r="CO231" s="14">
        <v>3.6780012704100286E-2</v>
      </c>
      <c r="CP231" s="14">
        <v>-3.4089523236025621E-3</v>
      </c>
      <c r="CQ231" s="14">
        <v>8.0915549290737805E-3</v>
      </c>
      <c r="CR231" s="14">
        <v>3.9530139520320383E-2</v>
      </c>
      <c r="CS231" s="14">
        <f t="shared" si="44"/>
        <v>8.0992754829891878E-2</v>
      </c>
    </row>
    <row r="232" spans="92:97" x14ac:dyDescent="0.45">
      <c r="CN232" s="2">
        <v>114.5</v>
      </c>
      <c r="CO232" s="14">
        <v>3.6780012704100286E-2</v>
      </c>
      <c r="CP232" s="14">
        <v>-3.3942201523843485E-3</v>
      </c>
      <c r="CQ232" s="14">
        <v>8.0585977340496013E-3</v>
      </c>
      <c r="CR232" s="14">
        <v>3.9462740242729541E-2</v>
      </c>
      <c r="CS232" s="14">
        <f t="shared" si="44"/>
        <v>8.0907130528495075E-2</v>
      </c>
    </row>
    <row r="233" spans="92:97" x14ac:dyDescent="0.45">
      <c r="CN233" s="2">
        <v>115</v>
      </c>
      <c r="CO233" s="14">
        <v>3.6780012704100286E-2</v>
      </c>
      <c r="CP233" s="14">
        <v>-3.3796118292251775E-3</v>
      </c>
      <c r="CQ233" s="14">
        <v>8.0258715074228576E-3</v>
      </c>
      <c r="CR233" s="14">
        <v>3.9395089536995831E-2</v>
      </c>
      <c r="CS233" s="14">
        <f t="shared" si="44"/>
        <v>8.0821361919293788E-2</v>
      </c>
    </row>
    <row r="234" spans="92:97" x14ac:dyDescent="0.45">
      <c r="CN234" s="2">
        <v>115.5</v>
      </c>
      <c r="CO234" s="14">
        <v>3.6780012704100286E-2</v>
      </c>
      <c r="CP234" s="14">
        <v>-3.3651258633657917E-3</v>
      </c>
      <c r="CQ234" s="14">
        <v>7.9933745081809393E-3</v>
      </c>
      <c r="CR234" s="14">
        <v>3.9327195385766282E-2</v>
      </c>
      <c r="CS234" s="14">
        <f t="shared" si="44"/>
        <v>8.0735456734681715E-2</v>
      </c>
    </row>
    <row r="235" spans="92:97" x14ac:dyDescent="0.45">
      <c r="CN235" s="2">
        <v>116</v>
      </c>
      <c r="CO235" s="14">
        <v>3.6780012704100286E-2</v>
      </c>
      <c r="CP235" s="14">
        <v>-3.3507607864983451E-3</v>
      </c>
      <c r="CQ235" s="14">
        <v>7.9611049982392639E-3</v>
      </c>
      <c r="CR235" s="14">
        <v>3.9259065644308769E-2</v>
      </c>
      <c r="CS235" s="14">
        <f t="shared" si="44"/>
        <v>8.064942256014998E-2</v>
      </c>
    </row>
    <row r="236" spans="92:97" x14ac:dyDescent="0.45">
      <c r="CN236" s="2">
        <v>116.5</v>
      </c>
      <c r="CO236" s="14">
        <v>3.6780012704100286E-2</v>
      </c>
      <c r="CP236" s="14">
        <v>-3.336515152374465E-3</v>
      </c>
      <c r="CQ236" s="14">
        <v>7.9290612429145438E-3</v>
      </c>
      <c r="CR236" s="14">
        <v>3.9190708042284514E-2</v>
      </c>
      <c r="CS236" s="14">
        <f t="shared" si="44"/>
        <v>8.0563266836924885E-2</v>
      </c>
    </row>
    <row r="237" spans="92:97" x14ac:dyDescent="0.45">
      <c r="CN237" s="2">
        <v>117</v>
      </c>
      <c r="CO237" s="14">
        <v>3.6780012704100286E-2</v>
      </c>
      <c r="CP237" s="14">
        <v>-3.3223875364208765E-3</v>
      </c>
      <c r="CQ237" s="14">
        <v>7.8972415113769592E-3</v>
      </c>
      <c r="CR237" s="14">
        <v>3.912213018549715E-2</v>
      </c>
      <c r="CS237" s="14">
        <f t="shared" si="44"/>
        <v>8.0476996864553521E-2</v>
      </c>
    </row>
    <row r="238" spans="92:97" x14ac:dyDescent="0.45">
      <c r="CN238" s="2">
        <v>117.5</v>
      </c>
      <c r="CO238" s="14">
        <v>3.6780012704100286E-2</v>
      </c>
      <c r="CP238" s="14">
        <v>-3.3083765353624376E-3</v>
      </c>
      <c r="CQ238" s="14">
        <v>7.8656440770819794E-3</v>
      </c>
      <c r="CR238" s="14">
        <v>3.905333955761868E-2</v>
      </c>
      <c r="CS238" s="14">
        <f t="shared" si="44"/>
        <v>8.0390619803438507E-2</v>
      </c>
    </row>
    <row r="239" spans="92:97" x14ac:dyDescent="0.45">
      <c r="CN239" s="2">
        <v>118</v>
      </c>
      <c r="CO239" s="14">
        <v>3.6780012704100286E-2</v>
      </c>
      <c r="CP239" s="14">
        <v>-3.2944807668524334E-3</v>
      </c>
      <c r="CQ239" s="14">
        <v>7.8342672181825109E-3</v>
      </c>
      <c r="CR239" s="14">
        <v>3.8984343521892624E-2</v>
      </c>
      <c r="CS239" s="14">
        <f t="shared" si="44"/>
        <v>8.0304142677322998E-2</v>
      </c>
    </row>
    <row r="240" spans="92:97" x14ac:dyDescent="0.45">
      <c r="CN240" s="2">
        <v>118.5</v>
      </c>
      <c r="CO240" s="14">
        <v>3.6780012704100286E-2</v>
      </c>
      <c r="CP240" s="14">
        <v>-3.2806988691099735E-3</v>
      </c>
      <c r="CQ240" s="14">
        <v>7.8031092179220258E-3</v>
      </c>
      <c r="CR240" s="14">
        <v>3.8915149322814646E-2</v>
      </c>
      <c r="CS240" s="14">
        <f t="shared" si="44"/>
        <v>8.0217572375726992E-2</v>
      </c>
    </row>
    <row r="241" spans="92:97" x14ac:dyDescent="0.45">
      <c r="CN241" s="2">
        <v>119</v>
      </c>
      <c r="CO241" s="14">
        <v>3.6780012704100286E-2</v>
      </c>
      <c r="CP241" s="14">
        <v>-3.2670295005643515E-3</v>
      </c>
      <c r="CQ241" s="14">
        <v>7.772168365009352E-3</v>
      </c>
      <c r="CR241" s="14">
        <v>3.884576408779087E-2</v>
      </c>
      <c r="CS241" s="14">
        <f t="shared" si="44"/>
        <v>8.0130915656336149E-2</v>
      </c>
    </row>
    <row r="242" spans="92:97" x14ac:dyDescent="0.45">
      <c r="CN242" s="2">
        <v>119.5</v>
      </c>
      <c r="CO242" s="14">
        <v>3.6780012704100286E-2</v>
      </c>
      <c r="CP242" s="14">
        <v>-3.2534713395062208E-3</v>
      </c>
      <c r="CQ242" s="14">
        <v>7.7414429539757268E-3</v>
      </c>
      <c r="CR242" s="14">
        <v>3.8776194828774369E-2</v>
      </c>
      <c r="CS242" s="14">
        <f t="shared" si="44"/>
        <v>8.0044179147344158E-2</v>
      </c>
    </row>
    <row r="243" spans="92:97" x14ac:dyDescent="0.45">
      <c r="CN243" s="2">
        <v>120</v>
      </c>
      <c r="CO243" s="14">
        <v>3.6780012704100286E-2</v>
      </c>
      <c r="CP243" s="14">
        <v>-3.2400230837454453E-3</v>
      </c>
      <c r="CQ243" s="14">
        <v>7.7109312855147393E-3</v>
      </c>
      <c r="CR243" s="14">
        <v>3.8706448443879909E-2</v>
      </c>
      <c r="CS243" s="14">
        <f t="shared" si="44"/>
        <v>7.9957369349749494E-2</v>
      </c>
    </row>
    <row r="244" spans="92:97" x14ac:dyDescent="0.45">
      <c r="CN244" s="2">
        <v>120.5</v>
      </c>
      <c r="CO244" s="14">
        <v>3.6780012704100286E-2</v>
      </c>
      <c r="CP244" s="14">
        <v>-3.2266834502754881E-3</v>
      </c>
      <c r="CQ244" s="14">
        <v>7.6806316668057255E-3</v>
      </c>
      <c r="CR244" s="14">
        <v>3.8636531718977296E-2</v>
      </c>
      <c r="CS244" s="14">
        <f t="shared" si="44"/>
        <v>7.9870492639607826E-2</v>
      </c>
    </row>
    <row r="245" spans="92:97" x14ac:dyDescent="0.45">
      <c r="CN245" s="2">
        <v>121</v>
      </c>
      <c r="CO245" s="14">
        <v>3.6780012704100286E-2</v>
      </c>
      <c r="CP245" s="14">
        <v>-3.2134511749442062E-3</v>
      </c>
      <c r="CQ245" s="14">
        <v>7.6505424118212349E-3</v>
      </c>
      <c r="CR245" s="14">
        <v>3.8566451329263687E-2</v>
      </c>
      <c r="CS245" s="14">
        <f t="shared" si="44"/>
        <v>7.9783555270241002E-2</v>
      </c>
    </row>
    <row r="246" spans="92:97" x14ac:dyDescent="0.45">
      <c r="CN246" s="2">
        <v>121.5</v>
      </c>
      <c r="CO246" s="14">
        <v>3.6780012704100286E-2</v>
      </c>
      <c r="CP246" s="14">
        <v>-3.2003250121309191E-3</v>
      </c>
      <c r="CQ246" s="14">
        <v>7.6206618416190678E-3</v>
      </c>
      <c r="CR246" s="14">
        <v>3.8496213840814975E-2</v>
      </c>
      <c r="CS246" s="14">
        <f t="shared" si="44"/>
        <v>7.9696563374403409E-2</v>
      </c>
    </row>
    <row r="247" spans="92:97" x14ac:dyDescent="0.45">
      <c r="CN247" s="2">
        <v>122</v>
      </c>
      <c r="CO247" s="14">
        <v>3.6780012704100286E-2</v>
      </c>
      <c r="CP247" s="14">
        <v>-3.1873037344296129E-3</v>
      </c>
      <c r="CQ247" s="14">
        <v>7.5909882846194633E-3</v>
      </c>
      <c r="CR247" s="14">
        <v>3.8425825712116675E-2</v>
      </c>
      <c r="CS247" s="14">
        <f t="shared" si="44"/>
        <v>7.9609522966406804E-2</v>
      </c>
    </row>
    <row r="248" spans="92:97" x14ac:dyDescent="0.45">
      <c r="CN248" s="2">
        <v>122.5</v>
      </c>
      <c r="CO248" s="14">
        <v>3.6780012704100286E-2</v>
      </c>
      <c r="CP248" s="14">
        <v>-3.1743861323381773E-3</v>
      </c>
      <c r="CQ248" s="14">
        <v>7.5615200768679334E-3</v>
      </c>
      <c r="CR248" s="14">
        <v>3.8355293295574446E-2</v>
      </c>
      <c r="CS248" s="14">
        <f t="shared" si="44"/>
        <v>7.9522439944204493E-2</v>
      </c>
    </row>
    <row r="249" spans="92:97" x14ac:dyDescent="0.45">
      <c r="CN249" s="2">
        <v>123</v>
      </c>
      <c r="CO249" s="14">
        <v>3.6780012704100286E-2</v>
      </c>
      <c r="CP249" s="14">
        <v>-3.1615710139535199E-3</v>
      </c>
      <c r="CQ249" s="14">
        <v>7.5322555622842442E-3</v>
      </c>
      <c r="CR249" s="14">
        <v>3.8284622839004655E-2</v>
      </c>
      <c r="CS249" s="14">
        <f t="shared" si="44"/>
        <v>7.9435320091435668E-2</v>
      </c>
    </row>
    <row r="250" spans="92:97" x14ac:dyDescent="0.45">
      <c r="CN250" s="2">
        <v>123.5</v>
      </c>
      <c r="CO250" s="14">
        <v>3.6780012704100286E-2</v>
      </c>
      <c r="CP250" s="14">
        <v>-3.1488572046724696E-3</v>
      </c>
      <c r="CQ250" s="14">
        <v>7.5031930928980677E-3</v>
      </c>
      <c r="CR250" s="14">
        <v>3.8213820487105088E-2</v>
      </c>
      <c r="CS250" s="14">
        <f t="shared" si="44"/>
        <v>7.9348169079430972E-2</v>
      </c>
    </row>
    <row r="251" spans="92:97" x14ac:dyDescent="0.45">
      <c r="CN251" s="2">
        <v>124</v>
      </c>
      <c r="CO251" s="14">
        <v>3.6780012704100286E-2</v>
      </c>
      <c r="CP251" s="14">
        <v>-3.1362435468983317E-3</v>
      </c>
      <c r="CQ251" s="14">
        <v>7.474331029071718E-3</v>
      </c>
      <c r="CR251" s="14">
        <v>3.8142892282906134E-2</v>
      </c>
      <c r="CS251" s="14">
        <f t="shared" si="44"/>
        <v>7.9260992469179808E-2</v>
      </c>
    </row>
    <row r="252" spans="92:97" x14ac:dyDescent="0.45">
      <c r="CN252" s="2">
        <v>124.5</v>
      </c>
      <c r="CO252" s="14">
        <v>3.6780012704100286E-2</v>
      </c>
      <c r="CP252" s="14">
        <v>-3.1237288997529762E-3</v>
      </c>
      <c r="CQ252" s="14">
        <v>7.4456677397104817E-3</v>
      </c>
      <c r="CR252" s="14">
        <v>3.8071844169202715E-2</v>
      </c>
      <c r="CS252" s="14">
        <f t="shared" si="44"/>
        <v>7.9173795713260497E-2</v>
      </c>
    </row>
    <row r="253" spans="92:97" x14ac:dyDescent="0.45">
      <c r="CN253" s="2">
        <v>125</v>
      </c>
      <c r="CO253" s="14">
        <v>3.6780012704100286E-2</v>
      </c>
      <c r="CP253" s="14">
        <v>-3.1113121387943703E-3</v>
      </c>
      <c r="CQ253" s="14">
        <v>7.4172016024609665E-3</v>
      </c>
      <c r="CR253" s="14">
        <v>3.8000681989967262E-2</v>
      </c>
      <c r="CS253" s="14">
        <f t="shared" si="44"/>
        <v>7.9086584157734147E-2</v>
      </c>
    </row>
    <row r="254" spans="92:97" x14ac:dyDescent="0.45">
      <c r="CN254" s="2">
        <v>125.5</v>
      </c>
      <c r="CO254" s="14">
        <v>3.6780012704100286E-2</v>
      </c>
      <c r="CP254" s="14">
        <v>-3.0989921557394145E-3</v>
      </c>
      <c r="CQ254" s="14">
        <v>7.3889310038978756E-3</v>
      </c>
      <c r="CR254" s="14">
        <v>3.7929411491743753E-2</v>
      </c>
      <c r="CS254" s="14">
        <f t="shared" si="44"/>
        <v>7.8999363044002499E-2</v>
      </c>
    </row>
    <row r="255" spans="92:97" x14ac:dyDescent="0.45">
      <c r="CN255" s="2">
        <v>126</v>
      </c>
      <c r="CO255" s="14">
        <v>3.6780012704100286E-2</v>
      </c>
      <c r="CP255" s="14">
        <v>-3.0867678581919947E-3</v>
      </c>
      <c r="CQ255" s="14">
        <v>7.360854339699666E-3</v>
      </c>
      <c r="CR255" s="14">
        <v>3.7858038325023352E-2</v>
      </c>
      <c r="CS255" s="14">
        <f t="shared" si="44"/>
        <v>7.8912137510631308E-2</v>
      </c>
    </row>
    <row r="256" spans="92:97" x14ac:dyDescent="0.45">
      <c r="CN256" s="2">
        <v>126.5</v>
      </c>
      <c r="CO256" s="14">
        <v>3.6780012704100286E-2</v>
      </c>
      <c r="CP256" s="14">
        <v>-3.0746381693761405E-3</v>
      </c>
      <c r="CQ256" s="14">
        <v>7.3329700148134606E-3</v>
      </c>
      <c r="CR256" s="14">
        <v>3.7786568045601689E-2</v>
      </c>
      <c r="CS256" s="14">
        <f t="shared" si="44"/>
        <v>7.8824912595139296E-2</v>
      </c>
    </row>
    <row r="257" spans="92:97" x14ac:dyDescent="0.45">
      <c r="CN257" s="2">
        <v>127</v>
      </c>
      <c r="CO257" s="14">
        <v>3.6780012704100286E-2</v>
      </c>
      <c r="CP257" s="14">
        <v>-3.062602027874178E-3</v>
      </c>
      <c r="CQ257" s="14">
        <v>7.3052764436096155E-3</v>
      </c>
      <c r="CR257" s="14">
        <v>3.7715006115918097E-2</v>
      </c>
      <c r="CS257" s="14">
        <f t="shared" si="44"/>
        <v>7.8737693235753817E-2</v>
      </c>
    </row>
    <row r="258" spans="92:97" x14ac:dyDescent="0.45">
      <c r="CN258" s="2">
        <v>127.5</v>
      </c>
      <c r="CO258" s="14">
        <v>3.6780012704100286E-2</v>
      </c>
      <c r="CP258" s="14">
        <v>-3.0506583873697864E-3</v>
      </c>
      <c r="CQ258" s="14">
        <v>7.2777720500263078E-3</v>
      </c>
      <c r="CR258" s="14">
        <v>3.7643357906377031E-2</v>
      </c>
      <c r="CS258" s="14">
        <f t="shared" si="44"/>
        <v>7.8650484273133842E-2</v>
      </c>
    </row>
    <row r="259" spans="92:97" x14ac:dyDescent="0.45">
      <c r="CN259" s="2">
        <v>128</v>
      </c>
      <c r="CO259" s="14">
        <v>3.6780012704100286E-2</v>
      </c>
      <c r="CP259" s="14">
        <v>-3.0388062163958546E-3</v>
      </c>
      <c r="CQ259" s="14">
        <v>7.2504552677045385E-3</v>
      </c>
      <c r="CR259" s="14">
        <v>3.7571628696651857E-2</v>
      </c>
      <c r="CS259" s="14">
        <f t="shared" si="44"/>
        <v>7.8563290452060827E-2</v>
      </c>
    </row>
    <row r="260" spans="92:97" x14ac:dyDescent="0.45">
      <c r="CN260" s="2">
        <v>128.5</v>
      </c>
      <c r="CO260" s="14">
        <v>3.6780012704100286E-2</v>
      </c>
      <c r="CP260" s="14">
        <v>-3.0270444980870391E-3</v>
      </c>
      <c r="CQ260" s="14">
        <v>7.2233245401138691E-3</v>
      </c>
      <c r="CR260" s="14">
        <v>3.7499823676971307E-2</v>
      </c>
      <c r="CS260" s="14">
        <f t="shared" si="44"/>
        <v>7.847611642309843E-2</v>
      </c>
    </row>
    <row r="261" spans="92:97" x14ac:dyDescent="0.45">
      <c r="CN261" s="2">
        <v>129</v>
      </c>
      <c r="CO261" s="14">
        <v>3.6780012704100286E-2</v>
      </c>
      <c r="CP261" s="14">
        <v>-3.0153722299369324E-3</v>
      </c>
      <c r="CQ261" s="14">
        <v>7.1963783206692514E-3</v>
      </c>
      <c r="CR261" s="14">
        <v>3.7427947949388793E-2</v>
      </c>
      <c r="CS261" s="14">
        <f t="shared" si="44"/>
        <v>7.8388966744221397E-2</v>
      </c>
    </row>
    <row r="262" spans="92:97" x14ac:dyDescent="0.45">
      <c r="CN262" s="2">
        <v>129.5</v>
      </c>
      <c r="CO262" s="14">
        <v>3.6780012704100286E-2</v>
      </c>
      <c r="CP262" s="14">
        <v>-3.0037884235597457E-3</v>
      </c>
      <c r="CQ262" s="14">
        <v>7.1696150728392926E-3</v>
      </c>
      <c r="CR262" s="14">
        <v>3.7356006529034751E-2</v>
      </c>
      <c r="CS262" s="14">
        <f t="shared" ref="CS262:CS325" si="45">SUM(CO262:CR262)</f>
        <v>7.8301845882414595E-2</v>
      </c>
    </row>
    <row r="263" spans="92:97" x14ac:dyDescent="0.45">
      <c r="CN263" s="2">
        <v>130</v>
      </c>
      <c r="CO263" s="14">
        <v>3.6780012704100286E-2</v>
      </c>
      <c r="CP263" s="14">
        <v>-2.9922921044564141E-3</v>
      </c>
      <c r="CQ263" s="14">
        <v>7.1430332702462386E-3</v>
      </c>
      <c r="CR263" s="14">
        <v>3.728400434535236E-2</v>
      </c>
      <c r="CS263" s="14">
        <f t="shared" si="45"/>
        <v>7.8214758215242458E-2</v>
      </c>
    </row>
    <row r="264" spans="92:97" x14ac:dyDescent="0.45">
      <c r="CN264" s="2">
        <v>130.5</v>
      </c>
      <c r="CO264" s="14">
        <v>3.6780012704100286E-2</v>
      </c>
      <c r="CP264" s="14">
        <v>-2.9808823117850438E-3</v>
      </c>
      <c r="CQ264" s="14">
        <v>7.1166313967580414E-3</v>
      </c>
      <c r="CR264" s="14">
        <v>3.7211946243316696E-2</v>
      </c>
      <c r="CS264" s="14">
        <f t="shared" si="45"/>
        <v>7.812770803238997E-2</v>
      </c>
    </row>
    <row r="265" spans="92:97" x14ac:dyDescent="0.45">
      <c r="CN265" s="2">
        <v>131</v>
      </c>
      <c r="CO265" s="14">
        <v>3.6780012704100286E-2</v>
      </c>
      <c r="CP265" s="14">
        <v>-2.9695580981356023E-3</v>
      </c>
      <c r="CQ265" s="14">
        <v>7.0904079465727637E-3</v>
      </c>
      <c r="CR265" s="14">
        <v>3.7139836984637652E-2</v>
      </c>
      <c r="CS265" s="14">
        <f t="shared" si="45"/>
        <v>7.8040699537175101E-2</v>
      </c>
    </row>
    <row r="266" spans="92:97" x14ac:dyDescent="0.45">
      <c r="CN266" s="2">
        <v>131.5</v>
      </c>
      <c r="CO266" s="14">
        <v>3.6780012704100286E-2</v>
      </c>
      <c r="CP266" s="14">
        <v>-2.9583185293087723E-3</v>
      </c>
      <c r="CQ266" s="14">
        <v>7.0643614242956124E-3</v>
      </c>
      <c r="CR266" s="14">
        <v>3.7067681248946847E-2</v>
      </c>
      <c r="CS266" s="14">
        <f t="shared" si="45"/>
        <v>7.7953736848033972E-2</v>
      </c>
    </row>
    <row r="267" spans="92:97" x14ac:dyDescent="0.45">
      <c r="CN267" s="2">
        <v>132</v>
      </c>
      <c r="CO267" s="14">
        <v>3.6780012704100286E-2</v>
      </c>
      <c r="CP267" s="14">
        <v>-2.9471626840988905E-3</v>
      </c>
      <c r="CQ267" s="14">
        <v>7.0384903450089421E-3</v>
      </c>
      <c r="CR267" s="14">
        <v>3.6995483634968573E-2</v>
      </c>
      <c r="CS267" s="14">
        <f t="shared" si="45"/>
        <v>7.7866823999978907E-2</v>
      </c>
    </row>
    <row r="268" spans="92:97" x14ac:dyDescent="0.45">
      <c r="CN268" s="2">
        <v>132.5</v>
      </c>
      <c r="CO268" s="14">
        <v>3.6780012704100286E-2</v>
      </c>
      <c r="CP268" s="14">
        <v>-2.9360896540808782E-3</v>
      </c>
      <c r="CQ268" s="14">
        <v>7.0127932343354103E-3</v>
      </c>
      <c r="CR268" s="14">
        <v>3.6923248661675137E-2</v>
      </c>
      <c r="CS268" s="14">
        <f t="shared" si="45"/>
        <v>7.7779964946029956E-2</v>
      </c>
    </row>
    <row r="269" spans="92:97" x14ac:dyDescent="0.45">
      <c r="CN269" s="2">
        <v>133</v>
      </c>
      <c r="CO269" s="14">
        <v>3.6780012704100286E-2</v>
      </c>
      <c r="CP269" s="14">
        <v>-2.9250985434010942E-3</v>
      </c>
      <c r="CQ269" s="14">
        <v>6.9872686284946266E-3</v>
      </c>
      <c r="CR269" s="14">
        <v>3.6850980769426861E-2</v>
      </c>
      <c r="CS269" s="14">
        <f t="shared" si="45"/>
        <v>7.7693163558620687E-2</v>
      </c>
    </row>
    <row r="270" spans="92:97" x14ac:dyDescent="0.45">
      <c r="CN270" s="2">
        <v>133.5</v>
      </c>
      <c r="CO270" s="14">
        <v>3.6780012704100286E-2</v>
      </c>
      <c r="CP270" s="14">
        <v>-2.91418846857203E-3</v>
      </c>
      <c r="CQ270" s="14">
        <v>6.9619150743534973E-3</v>
      </c>
      <c r="CR270" s="14">
        <v>3.6778684321096641E-2</v>
      </c>
      <c r="CS270" s="14">
        <f t="shared" si="45"/>
        <v>7.7606423630978388E-2</v>
      </c>
    </row>
    <row r="271" spans="92:97" x14ac:dyDescent="0.45">
      <c r="CN271" s="2">
        <v>134</v>
      </c>
      <c r="CO271" s="14">
        <v>3.6780012704100286E-2</v>
      </c>
      <c r="CP271" s="14">
        <v>-2.9033585582707634E-3</v>
      </c>
      <c r="CQ271" s="14">
        <v>6.9367311294705443E-3</v>
      </c>
      <c r="CR271" s="14">
        <v>3.670636360317963E-2</v>
      </c>
      <c r="CS271" s="14">
        <f t="shared" si="45"/>
        <v>7.7519748878479705E-2</v>
      </c>
    </row>
    <row r="272" spans="92:97" x14ac:dyDescent="0.45">
      <c r="CN272" s="2">
        <v>134.5</v>
      </c>
      <c r="CO272" s="14">
        <v>3.6780012704100286E-2</v>
      </c>
      <c r="CP272" s="14">
        <v>-2.8926079531411057E-3</v>
      </c>
      <c r="CQ272" s="14">
        <v>6.9117153621344254E-3</v>
      </c>
      <c r="CR272" s="14">
        <v>3.6634022826887998E-2</v>
      </c>
      <c r="CS272" s="14">
        <f t="shared" si="45"/>
        <v>7.7433142939981603E-2</v>
      </c>
    </row>
    <row r="273" spans="92:97" x14ac:dyDescent="0.45">
      <c r="CN273" s="2">
        <v>135</v>
      </c>
      <c r="CO273" s="14">
        <v>3.6780012704100286E-2</v>
      </c>
      <c r="CP273" s="14">
        <v>-2.8819358055993628E-3</v>
      </c>
      <c r="CQ273" s="14">
        <v>6.8868663513968779E-3</v>
      </c>
      <c r="CR273" s="14">
        <v>3.6561666129231028E-2</v>
      </c>
      <c r="CS273" s="14">
        <f t="shared" si="45"/>
        <v>7.7346609379128822E-2</v>
      </c>
    </row>
    <row r="274" spans="92:97" x14ac:dyDescent="0.45">
      <c r="CN274" s="2">
        <v>135.5</v>
      </c>
      <c r="CO274" s="14">
        <v>3.6780012704100286E-2</v>
      </c>
      <c r="CP274" s="14">
        <v>-2.8713412796436376E-3</v>
      </c>
      <c r="CQ274" s="14">
        <v>6.8621826871003294E-3</v>
      </c>
      <c r="CR274" s="14">
        <v>3.6489297574080759E-2</v>
      </c>
      <c r="CS274" s="14">
        <f t="shared" si="45"/>
        <v>7.726015168563774E-2</v>
      </c>
    </row>
    <row r="275" spans="92:97" x14ac:dyDescent="0.45">
      <c r="CN275" s="2">
        <v>136</v>
      </c>
      <c r="CO275" s="14">
        <v>3.6780012704100286E-2</v>
      </c>
      <c r="CP275" s="14">
        <v>-2.8608235506666119E-3</v>
      </c>
      <c r="CQ275" s="14">
        <v>6.8376629699003575E-3</v>
      </c>
      <c r="CR275" s="14">
        <v>3.6416921153223335E-2</v>
      </c>
      <c r="CS275" s="14">
        <f t="shared" si="45"/>
        <v>7.7173773276557361E-2</v>
      </c>
    </row>
    <row r="276" spans="92:97" x14ac:dyDescent="0.45">
      <c r="CN276" s="2">
        <v>136.5</v>
      </c>
      <c r="CO276" s="14">
        <v>3.6780012704100286E-2</v>
      </c>
      <c r="CP276" s="14">
        <v>-2.850381805271726E-3</v>
      </c>
      <c r="CQ276" s="14">
        <v>6.8133058112832641E-3</v>
      </c>
      <c r="CR276" s="14">
        <v>3.6344540787396289E-2</v>
      </c>
      <c r="CS276" s="14">
        <f t="shared" si="45"/>
        <v>7.7087477497508106E-2</v>
      </c>
    </row>
    <row r="277" spans="92:97" x14ac:dyDescent="0.45">
      <c r="CN277" s="2">
        <v>137</v>
      </c>
      <c r="CO277" s="14">
        <v>3.6780012704100286E-2</v>
      </c>
      <c r="CP277" s="14">
        <v>-2.8400152410927013E-3</v>
      </c>
      <c r="CQ277" s="14">
        <v>6.7891098335788906E-3</v>
      </c>
      <c r="CR277" s="14">
        <v>3.6272160327311891E-2</v>
      </c>
      <c r="CS277" s="14">
        <f t="shared" si="45"/>
        <v>7.7001267623898362E-2</v>
      </c>
    </row>
    <row r="278" spans="92:97" x14ac:dyDescent="0.45">
      <c r="CN278" s="2">
        <v>137.5</v>
      </c>
      <c r="CO278" s="14">
        <v>3.6780012704100286E-2</v>
      </c>
      <c r="CP278" s="14">
        <v>-2.8297230666163306E-3</v>
      </c>
      <c r="CQ278" s="14">
        <v>6.765073669968937E-3</v>
      </c>
      <c r="CR278" s="14">
        <v>3.6199783554666756E-2</v>
      </c>
      <c r="CS278" s="14">
        <f t="shared" si="45"/>
        <v>7.6915146862119643E-2</v>
      </c>
    </row>
    <row r="279" spans="92:97" x14ac:dyDescent="0.45">
      <c r="CN279" s="2">
        <v>138</v>
      </c>
      <c r="CO279" s="14">
        <v>3.6780012704100286E-2</v>
      </c>
      <c r="CP279" s="14">
        <v>-2.8195045010084769E-3</v>
      </c>
      <c r="CQ279" s="14">
        <v>6.74119596449093E-3</v>
      </c>
      <c r="CR279" s="14">
        <v>3.6127414183137897E-2</v>
      </c>
      <c r="CS279" s="14">
        <f t="shared" si="45"/>
        <v>7.6829118350720635E-2</v>
      </c>
    </row>
    <row r="280" spans="92:97" x14ac:dyDescent="0.45">
      <c r="CN280" s="2">
        <v>138.5</v>
      </c>
      <c r="CO280" s="14">
        <v>3.6780012704100286E-2</v>
      </c>
      <c r="CP280" s="14">
        <v>-2.8093587739432165E-3</v>
      </c>
      <c r="CQ280" s="14">
        <v>6.717475372038058E-3</v>
      </c>
      <c r="CR280" s="14">
        <v>3.6055055859365449E-2</v>
      </c>
      <c r="CS280" s="14">
        <f t="shared" si="45"/>
        <v>7.6743185161560576E-2</v>
      </c>
    </row>
    <row r="281" spans="92:97" x14ac:dyDescent="0.45">
      <c r="CN281" s="2">
        <v>139</v>
      </c>
      <c r="CO281" s="14">
        <v>3.6780012704100286E-2</v>
      </c>
      <c r="CP281" s="14">
        <v>-2.799285125435062E-3</v>
      </c>
      <c r="CQ281" s="14">
        <v>6.6939105583549924E-3</v>
      </c>
      <c r="CR281" s="14">
        <v>3.5982712163922133E-2</v>
      </c>
      <c r="CS281" s="14">
        <f t="shared" si="45"/>
        <v>7.665735030094234E-2</v>
      </c>
    </row>
    <row r="282" spans="92:97" x14ac:dyDescent="0.45">
      <c r="CN282" s="2">
        <v>139.5</v>
      </c>
      <c r="CO282" s="14">
        <v>3.6780012704100286E-2</v>
      </c>
      <c r="CP282" s="14">
        <v>-2.7892828056742076E-3</v>
      </c>
      <c r="CQ282" s="14">
        <v>6.6705002000299433E-3</v>
      </c>
      <c r="CR282" s="14">
        <v>3.5910386612269696E-2</v>
      </c>
      <c r="CS282" s="14">
        <f t="shared" si="45"/>
        <v>7.6571616710725723E-2</v>
      </c>
    </row>
    <row r="283" spans="92:97" x14ac:dyDescent="0.45">
      <c r="CN283" s="2">
        <v>140</v>
      </c>
      <c r="CO283" s="14">
        <v>3.6780012704100286E-2</v>
      </c>
      <c r="CP283" s="14">
        <v>-2.7793510748647375E-3</v>
      </c>
      <c r="CQ283" s="14">
        <v>6.6472429844830396E-3</v>
      </c>
      <c r="CR283" s="14">
        <v>3.5838082655702541E-2</v>
      </c>
      <c r="CS283" s="14">
        <f t="shared" si="45"/>
        <v>7.648598726942113E-2</v>
      </c>
    </row>
    <row r="284" spans="92:97" x14ac:dyDescent="0.45">
      <c r="CN284" s="2">
        <v>140.5</v>
      </c>
      <c r="CO284" s="14">
        <v>3.6780012704100286E-2</v>
      </c>
      <c r="CP284" s="14">
        <v>-2.7694892030657356E-3</v>
      </c>
      <c r="CQ284" s="14">
        <v>6.6241376099512523E-3</v>
      </c>
      <c r="CR284" s="14">
        <v>3.5765803682278594E-2</v>
      </c>
      <c r="CS284" s="14">
        <f t="shared" si="45"/>
        <v>7.64004647932644E-2</v>
      </c>
    </row>
    <row r="285" spans="92:97" x14ac:dyDescent="0.45">
      <c r="CN285" s="2">
        <v>141</v>
      </c>
      <c r="CO285" s="14">
        <v>3.6780012704100286E-2</v>
      </c>
      <c r="CP285" s="14">
        <v>-2.759696470035245E-3</v>
      </c>
      <c r="CQ285" s="14">
        <v>6.6011827854699614E-3</v>
      </c>
      <c r="CR285" s="14">
        <v>3.5693553017737689E-2</v>
      </c>
      <c r="CS285" s="14">
        <f t="shared" si="45"/>
        <v>7.6315052037272693E-2</v>
      </c>
    </row>
    <row r="286" spans="92:97" x14ac:dyDescent="0.45">
      <c r="CN286" s="2">
        <v>141.5</v>
      </c>
      <c r="CO286" s="14">
        <v>3.6780012704100286E-2</v>
      </c>
      <c r="CP286" s="14">
        <v>-2.7499721650770161E-3</v>
      </c>
      <c r="CQ286" s="14">
        <v>6.5783772308513665E-3</v>
      </c>
      <c r="CR286" s="14">
        <v>3.5621333926407532E-2</v>
      </c>
      <c r="CS286" s="14">
        <f t="shared" si="45"/>
        <v>7.6229751696282169E-2</v>
      </c>
    </row>
    <row r="287" spans="92:97" x14ac:dyDescent="0.45">
      <c r="CN287" s="2">
        <v>142</v>
      </c>
      <c r="CO287" s="14">
        <v>3.6780012704100286E-2</v>
      </c>
      <c r="CP287" s="14">
        <v>-2.7403155868899955E-3</v>
      </c>
      <c r="CQ287" s="14">
        <v>6.5557196766598399E-3</v>
      </c>
      <c r="CR287" s="14">
        <v>3.5549149612097576E-2</v>
      </c>
      <c r="CS287" s="14">
        <f t="shared" si="45"/>
        <v>7.6144566405967701E-2</v>
      </c>
    </row>
    <row r="288" spans="92:97" x14ac:dyDescent="0.45">
      <c r="CN288" s="2">
        <v>142.5</v>
      </c>
      <c r="CO288" s="14">
        <v>3.6780012704100286E-2</v>
      </c>
      <c r="CP288" s="14">
        <v>-2.7307260434204913E-3</v>
      </c>
      <c r="CQ288" s="14">
        <v>6.5332088641843981E-3</v>
      </c>
      <c r="CR288" s="14">
        <v>3.5477003218980681E-2</v>
      </c>
      <c r="CS288" s="14">
        <f t="shared" si="45"/>
        <v>7.6059498743844878E-2</v>
      </c>
    </row>
    <row r="289" spans="92:97" x14ac:dyDescent="0.45">
      <c r="CN289" s="2">
        <v>143</v>
      </c>
      <c r="CO289" s="14">
        <v>3.6780012704100286E-2</v>
      </c>
      <c r="CP289" s="14">
        <v>-2.7212028517169785E-3</v>
      </c>
      <c r="CQ289" s="14">
        <v>6.5108435454083822E-3</v>
      </c>
      <c r="CR289" s="14">
        <v>3.540489783246302E-2</v>
      </c>
      <c r="CS289" s="14">
        <f t="shared" si="45"/>
        <v>7.5974551230254705E-2</v>
      </c>
    </row>
    <row r="290" spans="92:97" x14ac:dyDescent="0.45">
      <c r="CN290" s="2">
        <v>143.5</v>
      </c>
      <c r="CO290" s="14">
        <v>3.6780012704100286E-2</v>
      </c>
      <c r="CP290" s="14">
        <v>-2.7117453377874792E-3</v>
      </c>
      <c r="CQ290" s="14">
        <v>6.4886224829765315E-3</v>
      </c>
      <c r="CR290" s="14">
        <v>3.53328364800422E-2</v>
      </c>
      <c r="CS290" s="14">
        <f t="shared" si="45"/>
        <v>7.5889726329331539E-2</v>
      </c>
    </row>
    <row r="291" spans="92:97" x14ac:dyDescent="0.45">
      <c r="CN291" s="2">
        <v>144</v>
      </c>
      <c r="CO291" s="14">
        <v>3.6780012704100286E-2</v>
      </c>
      <c r="CP291" s="14">
        <v>-2.7023528364594714E-3</v>
      </c>
      <c r="CQ291" s="14">
        <v>6.4665444501595271E-3</v>
      </c>
      <c r="CR291" s="14">
        <v>3.5260822132153813E-2</v>
      </c>
      <c r="CS291" s="14">
        <f t="shared" si="45"/>
        <v>7.5805026449954155E-2</v>
      </c>
    </row>
    <row r="292" spans="92:97" x14ac:dyDescent="0.45">
      <c r="CN292" s="2">
        <v>144.5</v>
      </c>
      <c r="CO292" s="14">
        <v>3.6780012704100286E-2</v>
      </c>
      <c r="CP292" s="14">
        <v>-2.6930246912422848E-3</v>
      </c>
      <c r="CQ292" s="14">
        <v>6.4446082308161415E-3</v>
      </c>
      <c r="CR292" s="14">
        <v>3.518885770300649E-2</v>
      </c>
      <c r="CS292" s="14">
        <f t="shared" si="45"/>
        <v>7.572045394668063E-2</v>
      </c>
    </row>
    <row r="293" spans="92:97" x14ac:dyDescent="0.45">
      <c r="CN293" s="2">
        <v>145</v>
      </c>
      <c r="CO293" s="14">
        <v>3.6780012704100286E-2</v>
      </c>
      <c r="CP293" s="14">
        <v>-2.6837602541919217E-3</v>
      </c>
      <c r="CQ293" s="14">
        <v>6.4228126193531295E-3</v>
      </c>
      <c r="CR293" s="14">
        <v>3.5116946051405827E-2</v>
      </c>
      <c r="CS293" s="14">
        <f t="shared" si="45"/>
        <v>7.5636011120667312E-2</v>
      </c>
    </row>
    <row r="294" spans="92:97" x14ac:dyDescent="0.45">
      <c r="CN294" s="2">
        <v>145.5</v>
      </c>
      <c r="CO294" s="14">
        <v>3.6780012704100286E-2</v>
      </c>
      <c r="CP294" s="14">
        <v>-2.6745588857782702E-3</v>
      </c>
      <c r="CQ294" s="14">
        <v>6.401156420682938E-3</v>
      </c>
      <c r="CR294" s="14">
        <v>3.504508998156701E-2</v>
      </c>
      <c r="CS294" s="14">
        <f t="shared" si="45"/>
        <v>7.5551700220571963E-2</v>
      </c>
    </row>
    <row r="295" spans="92:97" x14ac:dyDescent="0.45">
      <c r="CN295" s="2">
        <v>146</v>
      </c>
      <c r="CO295" s="14">
        <v>3.6780012704100286E-2</v>
      </c>
      <c r="CP295" s="14">
        <v>-2.6654199547546534E-3</v>
      </c>
      <c r="CQ295" s="14">
        <v>6.3796384501793721E-3</v>
      </c>
      <c r="CR295" s="14">
        <v>3.4973292243916529E-2</v>
      </c>
      <c r="CS295" s="14">
        <f t="shared" si="45"/>
        <v>7.5467523443441542E-2</v>
      </c>
    </row>
    <row r="296" spans="92:97" x14ac:dyDescent="0.45">
      <c r="CN296" s="2">
        <v>146.5</v>
      </c>
      <c r="CO296" s="14">
        <v>3.6780012704100286E-2</v>
      </c>
      <c r="CP296" s="14">
        <v>-2.6563428380296738E-3</v>
      </c>
      <c r="CQ296" s="14">
        <v>6.358257533631311E-3</v>
      </c>
      <c r="CR296" s="14">
        <v>3.4901555535883061E-2</v>
      </c>
      <c r="CS296" s="14">
        <f t="shared" si="45"/>
        <v>7.5383482935584986E-2</v>
      </c>
    </row>
    <row r="297" spans="92:97" x14ac:dyDescent="0.45">
      <c r="CN297" s="2">
        <v>147</v>
      </c>
      <c r="CO297" s="14">
        <v>3.6780012704100286E-2</v>
      </c>
      <c r="CP297" s="14">
        <v>-2.6473269205413087E-3</v>
      </c>
      <c r="CQ297" s="14">
        <v>6.3370125071945662E-3</v>
      </c>
      <c r="CR297" s="14">
        <v>3.4829882502677594E-2</v>
      </c>
      <c r="CS297" s="14">
        <f t="shared" si="45"/>
        <v>7.5299580793431131E-2</v>
      </c>
    </row>
    <row r="298" spans="92:97" x14ac:dyDescent="0.45">
      <c r="CN298" s="2">
        <v>147.5</v>
      </c>
      <c r="CO298" s="14">
        <v>3.6780012704100286E-2</v>
      </c>
      <c r="CP298" s="14">
        <v>-2.6383715951332123E-3</v>
      </c>
      <c r="CQ298" s="14">
        <v>6.3159022173420003E-3</v>
      </c>
      <c r="CR298" s="14">
        <v>3.4758275738063039E-2</v>
      </c>
      <c r="CS298" s="14">
        <f t="shared" si="45"/>
        <v>7.5215819064372108E-2</v>
      </c>
    </row>
    <row r="299" spans="92:97" x14ac:dyDescent="0.45">
      <c r="CN299" s="2">
        <v>148</v>
      </c>
      <c r="CO299" s="14">
        <v>3.6780012704100286E-2</v>
      </c>
      <c r="CP299" s="14">
        <v>-2.6294762624331819E-3</v>
      </c>
      <c r="CQ299" s="14">
        <v>6.2949255208119698E-3</v>
      </c>
      <c r="CR299" s="14">
        <v>3.46867377851134E-2</v>
      </c>
      <c r="CS299" s="14">
        <f t="shared" si="45"/>
        <v>7.5132199747592471E-2</v>
      </c>
    </row>
    <row r="300" spans="92:97" x14ac:dyDescent="0.45">
      <c r="CN300" s="2">
        <v>148.5</v>
      </c>
      <c r="CO300" s="14">
        <v>3.6780012704100286E-2</v>
      </c>
      <c r="CP300" s="14">
        <v>-2.620640330733749E-3</v>
      </c>
      <c r="CQ300" s="14">
        <v>6.2740812845552239E-3</v>
      </c>
      <c r="CR300" s="14">
        <v>3.4615271136962604E-2</v>
      </c>
      <c r="CS300" s="14">
        <f t="shared" si="45"/>
        <v>7.5048724794884364E-2</v>
      </c>
    </row>
    <row r="301" spans="92:97" x14ac:dyDescent="0.45">
      <c r="CN301" s="2">
        <v>149</v>
      </c>
      <c r="CO301" s="14">
        <v>3.6780012704100286E-2</v>
      </c>
      <c r="CP301" s="14">
        <v>-2.6118632158748482E-3</v>
      </c>
      <c r="CQ301" s="14">
        <v>6.2533683856802998E-3</v>
      </c>
      <c r="CR301" s="14">
        <v>3.4543878237543249E-2</v>
      </c>
      <c r="CS301" s="14">
        <f t="shared" si="45"/>
        <v>7.4965396111448993E-2</v>
      </c>
    </row>
    <row r="302" spans="92:97" x14ac:dyDescent="0.45">
      <c r="CN302" s="2">
        <v>149.5</v>
      </c>
      <c r="CO302" s="14">
        <v>3.6780012704100286E-2</v>
      </c>
      <c r="CP302" s="14">
        <v>-2.6031443411285351E-3</v>
      </c>
      <c r="CQ302" s="14">
        <v>6.2327857113975366E-3</v>
      </c>
      <c r="CR302" s="14">
        <v>3.4472561482315291E-2</v>
      </c>
      <c r="CS302" s="14">
        <f t="shared" si="45"/>
        <v>7.4882215556684575E-2</v>
      </c>
    </row>
    <row r="303" spans="92:97" x14ac:dyDescent="0.45">
      <c r="CN303" s="2">
        <v>150</v>
      </c>
      <c r="CO303" s="14">
        <v>3.6780012704100286E-2</v>
      </c>
      <c r="CP303" s="14">
        <v>-2.5944831370857029E-3</v>
      </c>
      <c r="CQ303" s="14">
        <v>6.2123321589617692E-3</v>
      </c>
      <c r="CR303" s="14">
        <v>3.4401323218984849E-2</v>
      </c>
      <c r="CS303" s="14">
        <f t="shared" si="45"/>
        <v>7.4799184944961197E-2</v>
      </c>
    </row>
    <row r="304" spans="92:97" x14ac:dyDescent="0.45">
      <c r="CN304" s="2">
        <v>150.5</v>
      </c>
      <c r="CO304" s="14">
        <v>3.6780012704100286E-2</v>
      </c>
      <c r="CP304" s="14">
        <v>-2.5858790415447656E-3</v>
      </c>
      <c r="CQ304" s="14">
        <v>6.192006635613782E-3</v>
      </c>
      <c r="CR304" s="14">
        <v>3.4330165748213209E-2</v>
      </c>
      <c r="CS304" s="14">
        <f t="shared" si="45"/>
        <v>7.4716306046382519E-2</v>
      </c>
    </row>
    <row r="305" spans="92:97" x14ac:dyDescent="0.45">
      <c r="CN305" s="2">
        <v>151</v>
      </c>
      <c r="CO305" s="14">
        <v>3.6780012704100286E-2</v>
      </c>
      <c r="CP305" s="14">
        <v>-2.5773314994022691E-3</v>
      </c>
      <c r="CQ305" s="14">
        <v>6.171808058520605E-3</v>
      </c>
      <c r="CR305" s="14">
        <v>3.4259091324316239E-2</v>
      </c>
      <c r="CS305" s="14">
        <f t="shared" si="45"/>
        <v>7.4633580587534859E-2</v>
      </c>
    </row>
    <row r="306" spans="92:97" x14ac:dyDescent="0.45">
      <c r="CN306" s="2">
        <v>151.5</v>
      </c>
      <c r="CO306" s="14">
        <v>3.6780012704100286E-2</v>
      </c>
      <c r="CP306" s="14">
        <v>-2.5688399625453948E-3</v>
      </c>
      <c r="CQ306" s="14">
        <v>6.1517353547147222E-3</v>
      </c>
      <c r="CR306" s="14">
        <v>3.4188102155954303E-2</v>
      </c>
      <c r="CS306" s="14">
        <f t="shared" si="45"/>
        <v>7.4551010252223909E-2</v>
      </c>
    </row>
    <row r="307" spans="92:97" x14ac:dyDescent="0.45">
      <c r="CN307" s="2">
        <v>152</v>
      </c>
      <c r="CO307" s="14">
        <v>3.6780012704100286E-2</v>
      </c>
      <c r="CP307" s="14">
        <v>-2.5604038897463158E-3</v>
      </c>
      <c r="CQ307" s="14">
        <v>6.1317874610322563E-3</v>
      </c>
      <c r="CR307" s="14">
        <v>3.411720040681273E-2</v>
      </c>
      <c r="CS307" s="14">
        <f t="shared" si="45"/>
        <v>7.4468596682198962E-2</v>
      </c>
    </row>
    <row r="308" spans="92:97" x14ac:dyDescent="0.45">
      <c r="CN308" s="2">
        <v>152.5</v>
      </c>
      <c r="CO308" s="14">
        <v>3.6780012704100286E-2</v>
      </c>
      <c r="CP308" s="14">
        <v>-2.5520227465583747E-3</v>
      </c>
      <c r="CQ308" s="14">
        <v>6.111963324050204E-3</v>
      </c>
      <c r="CR308" s="14">
        <v>3.4046388196273043E-2</v>
      </c>
      <c r="CS308" s="14">
        <f t="shared" si="45"/>
        <v>7.4386341477865159E-2</v>
      </c>
    </row>
    <row r="309" spans="92:97" x14ac:dyDescent="0.45">
      <c r="CN309" s="2">
        <v>153</v>
      </c>
      <c r="CO309" s="14">
        <v>3.6780012704100286E-2</v>
      </c>
      <c r="CP309" s="14">
        <v>-2.543696005214046E-3</v>
      </c>
      <c r="CQ309" s="14">
        <v>6.0922619000227827E-3</v>
      </c>
      <c r="CR309" s="14">
        <v>3.3975667600075116E-2</v>
      </c>
      <c r="CS309" s="14">
        <f t="shared" si="45"/>
        <v>7.4304246198984139E-2</v>
      </c>
    </row>
    <row r="310" spans="92:97" x14ac:dyDescent="0.45">
      <c r="CN310" s="2">
        <v>153.5</v>
      </c>
      <c r="CO310" s="14">
        <v>3.6780012704100286E-2</v>
      </c>
      <c r="CP310" s="14">
        <v>-2.5354231445246524E-3</v>
      </c>
      <c r="CQ310" s="14">
        <v>6.0726821548169555E-3</v>
      </c>
      <c r="CR310" s="14">
        <v>3.3905040650970206E-2</v>
      </c>
      <c r="CS310" s="14">
        <f t="shared" si="45"/>
        <v>7.4222312365362794E-2</v>
      </c>
    </row>
    <row r="311" spans="92:97" x14ac:dyDescent="0.45">
      <c r="CN311" s="2">
        <v>154</v>
      </c>
      <c r="CO311" s="14">
        <v>3.6780012704100286E-2</v>
      </c>
      <c r="CP311" s="14">
        <v>-2.5272036497817948E-3</v>
      </c>
      <c r="CQ311" s="14">
        <v>6.0532230638471853E-3</v>
      </c>
      <c r="CR311" s="14">
        <v>3.3834509339365125E-2</v>
      </c>
      <c r="CS311" s="14">
        <f t="shared" si="45"/>
        <v>7.4140541457530795E-2</v>
      </c>
    </row>
    <row r="312" spans="92:97" x14ac:dyDescent="0.45">
      <c r="CN312" s="2">
        <v>154.5</v>
      </c>
      <c r="CO312" s="14">
        <v>3.6780012704100286E-2</v>
      </c>
      <c r="CP312" s="14">
        <v>-2.5190370126604777E-3</v>
      </c>
      <c r="CQ312" s="14">
        <v>6.0338836120094998E-3</v>
      </c>
      <c r="CR312" s="14">
        <v>3.3764075613957653E-2</v>
      </c>
      <c r="CS312" s="14">
        <f t="shared" si="45"/>
        <v>7.4058934917406963E-2</v>
      </c>
    </row>
    <row r="313" spans="92:97" x14ac:dyDescent="0.45">
      <c r="CN313" s="2">
        <v>155</v>
      </c>
      <c r="CO313" s="14">
        <v>3.6780012704100286E-2</v>
      </c>
      <c r="CP313" s="14">
        <v>-2.5109227311238764E-3</v>
      </c>
      <c r="CQ313" s="14">
        <v>6.014662793614874E-3</v>
      </c>
      <c r="CR313" s="14">
        <v>3.3693741382363251E-2</v>
      </c>
      <c r="CS313" s="14">
        <f t="shared" si="45"/>
        <v>7.3977494148954534E-2</v>
      </c>
    </row>
    <row r="314" spans="92:97" x14ac:dyDescent="0.45">
      <c r="CN314" s="2">
        <v>155.5</v>
      </c>
      <c r="CO314" s="14">
        <v>3.6780012704100286E-2</v>
      </c>
      <c r="CP314" s="14">
        <v>-2.5028603093297367E-3</v>
      </c>
      <c r="CQ314" s="14">
        <v>5.9955596123220474E-3</v>
      </c>
      <c r="CR314" s="14">
        <v>3.3623508511733166E-2</v>
      </c>
      <c r="CS314" s="14">
        <f t="shared" si="45"/>
        <v>7.3896220518825759E-2</v>
      </c>
    </row>
    <row r="315" spans="92:97" x14ac:dyDescent="0.45">
      <c r="CN315" s="2">
        <v>156</v>
      </c>
      <c r="CO315" s="14">
        <v>3.6780012704100286E-2</v>
      </c>
      <c r="CP315" s="14">
        <v>-2.4948492575383673E-3</v>
      </c>
      <c r="CQ315" s="14">
        <v>5.9765730810697783E-3</v>
      </c>
      <c r="CR315" s="14">
        <v>3.3553378829364225E-2</v>
      </c>
      <c r="CS315" s="14">
        <f t="shared" si="45"/>
        <v>7.381511535699592E-2</v>
      </c>
    </row>
    <row r="316" spans="92:97" x14ac:dyDescent="0.45">
      <c r="CN316" s="2">
        <v>156.5</v>
      </c>
      <c r="CO316" s="14">
        <v>3.6780012704100286E-2</v>
      </c>
      <c r="CP316" s="14">
        <v>-2.486889092022188E-3</v>
      </c>
      <c r="CQ316" s="14">
        <v>5.9577022220086038E-3</v>
      </c>
      <c r="CR316" s="14">
        <v>3.3483354123300148E-2</v>
      </c>
      <c r="CS316" s="14">
        <f t="shared" si="45"/>
        <v>7.3734179957386847E-2</v>
      </c>
    </row>
    <row r="317" spans="92:97" x14ac:dyDescent="0.45">
      <c r="CN317" s="2">
        <v>157</v>
      </c>
      <c r="CO317" s="14">
        <v>3.6780012704100286E-2</v>
      </c>
      <c r="CP317" s="14">
        <v>-2.4789793349768189E-3</v>
      </c>
      <c r="CQ317" s="14">
        <v>5.9389460664321493E-3</v>
      </c>
      <c r="CR317" s="14">
        <v>3.3413436142924746E-2</v>
      </c>
      <c r="CS317" s="14">
        <f t="shared" si="45"/>
        <v>7.3653415578480375E-2</v>
      </c>
    </row>
    <row r="318" spans="92:97" x14ac:dyDescent="0.45">
      <c r="CN318" s="2">
        <v>157.5</v>
      </c>
      <c r="CO318" s="14">
        <v>3.6780012704100286E-2</v>
      </c>
      <c r="CP318" s="14">
        <v>-2.4711195144336714E-3</v>
      </c>
      <c r="CQ318" s="14">
        <v>5.920303654708043E-3</v>
      </c>
      <c r="CR318" s="14">
        <v>3.3343626599546886E-2</v>
      </c>
      <c r="CS318" s="14">
        <f t="shared" si="45"/>
        <v>7.3572823443921548E-2</v>
      </c>
    </row>
    <row r="319" spans="92:97" x14ac:dyDescent="0.45">
      <c r="CN319" s="2">
        <v>158</v>
      </c>
      <c r="CO319" s="14">
        <v>3.6780012704100286E-2</v>
      </c>
      <c r="CP319" s="14">
        <v>-2.4633091641740154E-3</v>
      </c>
      <c r="CQ319" s="14">
        <v>5.9017740362084662E-3</v>
      </c>
      <c r="CR319" s="14">
        <v>3.3273927166977579E-2</v>
      </c>
      <c r="CS319" s="14">
        <f t="shared" si="45"/>
        <v>7.3492404743112305E-2</v>
      </c>
    </row>
    <row r="320" spans="92:97" x14ac:dyDescent="0.45">
      <c r="CN320" s="2">
        <v>158.5</v>
      </c>
      <c r="CO320" s="14">
        <v>3.6780012704100286E-2</v>
      </c>
      <c r="CP320" s="14">
        <v>-2.4555478236444974E-3</v>
      </c>
      <c r="CQ320" s="14">
        <v>5.8833562692403776E-3</v>
      </c>
      <c r="CR320" s="14">
        <v>3.3204339482099068E-2</v>
      </c>
      <c r="CS320" s="14">
        <f t="shared" si="45"/>
        <v>7.3412160631795231E-2</v>
      </c>
    </row>
    <row r="321" spans="92:97" x14ac:dyDescent="0.45">
      <c r="CN321" s="2">
        <v>159</v>
      </c>
      <c r="CO321" s="14">
        <v>3.6780012704100286E-2</v>
      </c>
      <c r="CP321" s="14">
        <v>-2.4478350378740786E-3</v>
      </c>
      <c r="CQ321" s="14">
        <v>5.8650494209754808E-3</v>
      </c>
      <c r="CR321" s="14">
        <v>3.3134865145426143E-2</v>
      </c>
      <c r="CS321" s="14">
        <f t="shared" si="45"/>
        <v>7.3332092232627821E-2</v>
      </c>
    </row>
    <row r="322" spans="92:97" x14ac:dyDescent="0.45">
      <c r="CN322" s="2">
        <v>159.5</v>
      </c>
      <c r="CO322" s="14">
        <v>3.6780012704100286E-2</v>
      </c>
      <c r="CP322" s="14">
        <v>-2.4401703573923711E-3</v>
      </c>
      <c r="CQ322" s="14">
        <v>5.8468525673799334E-3</v>
      </c>
      <c r="CR322" s="14">
        <v>3.3065505721659727E-2</v>
      </c>
      <c r="CS322" s="14">
        <f t="shared" si="45"/>
        <v>7.3252200635747583E-2</v>
      </c>
    </row>
    <row r="323" spans="92:97" x14ac:dyDescent="0.45">
      <c r="CN323" s="2">
        <v>160</v>
      </c>
      <c r="CO323" s="14">
        <v>3.6780012704100286E-2</v>
      </c>
      <c r="CP323" s="14">
        <v>-2.4325533381493432E-3</v>
      </c>
      <c r="CQ323" s="14">
        <v>5.8287647931438702E-3</v>
      </c>
      <c r="CR323" s="14">
        <v>3.299626274023295E-2</v>
      </c>
      <c r="CS323" s="14">
        <f t="shared" si="45"/>
        <v>7.317248689932776E-2</v>
      </c>
    </row>
    <row r="324" spans="92:97" x14ac:dyDescent="0.45">
      <c r="CN324" s="2">
        <v>160.5</v>
      </c>
      <c r="CO324" s="14">
        <v>3.6780012704100286E-2</v>
      </c>
      <c r="CP324" s="14">
        <v>-2.4249835414363696E-3</v>
      </c>
      <c r="CQ324" s="14">
        <v>5.8107851916107574E-3</v>
      </c>
      <c r="CR324" s="14">
        <v>3.2927137695849616E-2</v>
      </c>
      <c r="CS324" s="14">
        <f t="shared" si="45"/>
        <v>7.3092952050124282E-2</v>
      </c>
    </row>
    <row r="325" spans="92:97" x14ac:dyDescent="0.45">
      <c r="CN325" s="2">
        <v>161</v>
      </c>
      <c r="CO325" s="14">
        <v>3.6780012704100286E-2</v>
      </c>
      <c r="CP325" s="14">
        <v>-2.4174605338085973E-3</v>
      </c>
      <c r="CQ325" s="14">
        <v>5.7929128647066144E-3</v>
      </c>
      <c r="CR325" s="14">
        <v>3.2858132049015304E-2</v>
      </c>
      <c r="CS325" s="14">
        <f t="shared" si="45"/>
        <v>7.3013597084013615E-2</v>
      </c>
    </row>
    <row r="326" spans="92:97" x14ac:dyDescent="0.45">
      <c r="CN326" s="2">
        <v>161.5</v>
      </c>
      <c r="CO326" s="14">
        <v>3.6780012704100286E-2</v>
      </c>
      <c r="CP326" s="14">
        <v>-2.4099838870086129E-3</v>
      </c>
      <c r="CQ326" s="14">
        <v>5.7751469228691423E-3</v>
      </c>
      <c r="CR326" s="14">
        <v>3.2789247226561249E-2</v>
      </c>
      <c r="CS326" s="14">
        <f t="shared" ref="CS326:CS389" si="46">SUM(CO326:CR326)</f>
        <v>7.2934422966522069E-2</v>
      </c>
    </row>
    <row r="327" spans="92:97" x14ac:dyDescent="0.45">
      <c r="CN327" s="2">
        <v>162</v>
      </c>
      <c r="CO327" s="14">
        <v>3.6780012704100286E-2</v>
      </c>
      <c r="CP327" s="14">
        <v>-2.4025531778913787E-3</v>
      </c>
      <c r="CQ327" s="14">
        <v>5.757486484976781E-3</v>
      </c>
      <c r="CR327" s="14">
        <v>3.2720484622160873E-2</v>
      </c>
      <c r="CS327" s="14">
        <f t="shared" si="46"/>
        <v>7.2855430633346568E-2</v>
      </c>
    </row>
    <row r="328" spans="92:97" x14ac:dyDescent="0.45">
      <c r="CN328" s="2">
        <v>162.5</v>
      </c>
      <c r="CO328" s="14">
        <v>3.6780012704100286E-2</v>
      </c>
      <c r="CP328" s="14">
        <v>-2.3951679883504129E-3</v>
      </c>
      <c r="CQ328" s="14">
        <v>5.7399306782777377E-3</v>
      </c>
      <c r="CR328" s="14">
        <v>3.2651845596839313E-2</v>
      </c>
      <c r="CS328" s="14">
        <f t="shared" si="46"/>
        <v>7.277662099086693E-2</v>
      </c>
    </row>
    <row r="329" spans="92:97" x14ac:dyDescent="0.45">
      <c r="CN329" s="2">
        <v>163</v>
      </c>
      <c r="CO329" s="14">
        <v>3.6780012704100286E-2</v>
      </c>
      <c r="CP329" s="14">
        <v>-2.3878279052451986E-3</v>
      </c>
      <c r="CQ329" s="14">
        <v>5.7224786383190058E-3</v>
      </c>
      <c r="CR329" s="14">
        <v>3.258333147947591E-2</v>
      </c>
      <c r="CS329" s="14">
        <f t="shared" si="46"/>
        <v>7.2697994916649994E-2</v>
      </c>
    </row>
    <row r="330" spans="92:97" x14ac:dyDescent="0.45">
      <c r="CN330" s="2">
        <v>163.5</v>
      </c>
      <c r="CO330" s="14">
        <v>3.6780012704100286E-2</v>
      </c>
      <c r="CP330" s="14">
        <v>-2.3805325203297961E-3</v>
      </c>
      <c r="CQ330" s="14">
        <v>5.7051295088754042E-3</v>
      </c>
      <c r="CR330" s="14">
        <v>3.2514943567299726E-2</v>
      </c>
      <c r="CS330" s="14">
        <f t="shared" si="46"/>
        <v>7.2619553259945624E-2</v>
      </c>
    </row>
    <row r="331" spans="92:97" x14ac:dyDescent="0.45">
      <c r="CN331" s="2">
        <v>164</v>
      </c>
      <c r="CO331" s="14">
        <v>3.6780012704100286E-2</v>
      </c>
      <c r="CP331" s="14">
        <v>-2.3732814301826309E-3</v>
      </c>
      <c r="CQ331" s="14">
        <v>5.6878824418786647E-3</v>
      </c>
      <c r="CR331" s="14">
        <v>3.2446683126378252E-2</v>
      </c>
      <c r="CS331" s="14">
        <f t="shared" si="46"/>
        <v>7.2541296842174571E-2</v>
      </c>
    </row>
    <row r="332" spans="92:97" x14ac:dyDescent="0.45">
      <c r="CN332" s="2">
        <v>164.5</v>
      </c>
      <c r="CO332" s="14">
        <v>3.6780012704100286E-2</v>
      </c>
      <c r="CP332" s="14">
        <v>-2.3660742361374444E-3</v>
      </c>
      <c r="CQ332" s="14">
        <v>5.6707365973465932E-3</v>
      </c>
      <c r="CR332" s="14">
        <v>3.2378551392099435E-2</v>
      </c>
      <c r="CS332" s="14">
        <f t="shared" si="46"/>
        <v>7.2463226457408866E-2</v>
      </c>
    </row>
    <row r="333" spans="92:97" x14ac:dyDescent="0.45">
      <c r="CN333" s="2">
        <v>165</v>
      </c>
      <c r="CO333" s="14">
        <v>3.6780012704100286E-2</v>
      </c>
      <c r="CP333" s="14">
        <v>-2.3589105442153803E-3</v>
      </c>
      <c r="CQ333" s="14">
        <v>5.653691143312327E-3</v>
      </c>
      <c r="CR333" s="14">
        <v>3.2310549569646914E-2</v>
      </c>
      <c r="CS333" s="14">
        <f t="shared" si="46"/>
        <v>7.2385342872844149E-2</v>
      </c>
    </row>
    <row r="334" spans="92:97" x14ac:dyDescent="0.45">
      <c r="CN334" s="2">
        <v>165.5</v>
      </c>
      <c r="CO334" s="14">
        <v>3.6780012704100286E-2</v>
      </c>
      <c r="CP334" s="14">
        <v>-2.3517899650581874E-3</v>
      </c>
      <c r="CQ334" s="14">
        <v>5.6367452557537188E-3</v>
      </c>
      <c r="CR334" s="14">
        <v>3.2242678834468831E-2</v>
      </c>
      <c r="CS334" s="14">
        <f t="shared" si="46"/>
        <v>7.230764682926466E-2</v>
      </c>
    </row>
    <row r="335" spans="92:97" x14ac:dyDescent="0.45">
      <c r="CN335" s="2">
        <v>166</v>
      </c>
      <c r="CO335" s="14">
        <v>3.6780012704100286E-2</v>
      </c>
      <c r="CP335" s="14">
        <v>-2.344712113862518E-3</v>
      </c>
      <c r="CQ335" s="14">
        <v>5.6198981185228468E-3</v>
      </c>
      <c r="CR335" s="14">
        <v>3.217494033274005E-2</v>
      </c>
      <c r="CS335" s="14">
        <f t="shared" si="46"/>
        <v>7.2230139041500663E-2</v>
      </c>
    </row>
    <row r="336" spans="92:97" x14ac:dyDescent="0.45">
      <c r="CN336" s="2">
        <v>166.5</v>
      </c>
      <c r="CO336" s="14">
        <v>3.6780012704100286E-2</v>
      </c>
      <c r="CP336" s="14">
        <v>-2.337676610315306E-3</v>
      </c>
      <c r="CQ336" s="14">
        <v>5.6031489232757107E-3</v>
      </c>
      <c r="CR336" s="14">
        <v>3.2107335181818054E-2</v>
      </c>
      <c r="CS336" s="14">
        <f t="shared" si="46"/>
        <v>7.2152820198878739E-2</v>
      </c>
    </row>
    <row r="337" spans="92:97" x14ac:dyDescent="0.45">
      <c r="CN337" s="2">
        <v>167</v>
      </c>
      <c r="CO337" s="14">
        <v>3.6780012704100286E-2</v>
      </c>
      <c r="CP337" s="14">
        <v>-2.3306830785301959E-3</v>
      </c>
      <c r="CQ337" s="14">
        <v>5.5864968694020961E-3</v>
      </c>
      <c r="CR337" s="14">
        <v>3.2039864470692472E-2</v>
      </c>
      <c r="CS337" s="14">
        <f t="shared" si="46"/>
        <v>7.2075690965664657E-2</v>
      </c>
    </row>
    <row r="338" spans="92:97" x14ac:dyDescent="0.45">
      <c r="CN338" s="2">
        <v>167.5</v>
      </c>
      <c r="CO338" s="14">
        <v>3.6780012704100286E-2</v>
      </c>
      <c r="CP338" s="14">
        <v>-2.3237311469850148E-3</v>
      </c>
      <c r="CQ338" s="14">
        <v>5.5699411639556443E-3</v>
      </c>
      <c r="CR338" s="14">
        <v>3.1972529260428449E-2</v>
      </c>
      <c r="CS338" s="14">
        <f t="shared" si="46"/>
        <v>7.1998751981499354E-2</v>
      </c>
    </row>
    <row r="339" spans="92:97" x14ac:dyDescent="0.45">
      <c r="CN339" s="2">
        <v>168</v>
      </c>
      <c r="CO339" s="14">
        <v>3.6780012704100286E-2</v>
      </c>
      <c r="CP339" s="14">
        <v>-2.3168204484602609E-3</v>
      </c>
      <c r="CQ339" s="14">
        <v>5.5534810215841493E-3</v>
      </c>
      <c r="CR339" s="14">
        <v>3.1905330584603764E-2</v>
      </c>
      <c r="CS339" s="14">
        <f t="shared" si="46"/>
        <v>7.1922003861827941E-2</v>
      </c>
    </row>
    <row r="340" spans="92:97" x14ac:dyDescent="0.45">
      <c r="CN340" s="2">
        <v>168.5</v>
      </c>
      <c r="CO340" s="14">
        <v>3.6780012704100286E-2</v>
      </c>
      <c r="CP340" s="14">
        <v>-2.3099506199785909E-3</v>
      </c>
      <c r="CQ340" s="14">
        <v>5.5371156644600872E-3</v>
      </c>
      <c r="CR340" s="14">
        <v>3.1838269449740025E-2</v>
      </c>
      <c r="CS340" s="14">
        <f t="shared" si="46"/>
        <v>7.184544719832181E-2</v>
      </c>
    </row>
    <row r="341" spans="92:97" x14ac:dyDescent="0.45">
      <c r="CN341" s="2">
        <v>169</v>
      </c>
      <c r="CO341" s="14">
        <v>3.6780012704100286E-2</v>
      </c>
      <c r="CP341" s="14">
        <v>-2.3031213027452906E-3</v>
      </c>
      <c r="CQ341" s="14">
        <v>5.5208443222114038E-3</v>
      </c>
      <c r="CR341" s="14">
        <v>3.1771346835727722E-2</v>
      </c>
      <c r="CS341" s="14">
        <f t="shared" si="46"/>
        <v>7.1769082559294123E-2</v>
      </c>
    </row>
    <row r="342" spans="92:97" x14ac:dyDescent="0.45">
      <c r="CN342" s="2">
        <v>169.5</v>
      </c>
      <c r="CO342" s="14">
        <v>3.6780012704100286E-2</v>
      </c>
      <c r="CP342" s="14">
        <v>-2.2963321420897127E-3</v>
      </c>
      <c r="CQ342" s="14">
        <v>5.5046662318525745E-3</v>
      </c>
      <c r="CR342" s="14">
        <v>3.1704563696245518E-2</v>
      </c>
      <c r="CS342" s="14">
        <f t="shared" si="46"/>
        <v>7.1692910490108674E-2</v>
      </c>
    </row>
    <row r="343" spans="92:97" x14ac:dyDescent="0.45">
      <c r="CN343" s="2">
        <v>170</v>
      </c>
      <c r="CO343" s="14">
        <v>3.6780012704100286E-2</v>
      </c>
      <c r="CP343" s="14">
        <v>-2.2895827874076543E-3</v>
      </c>
      <c r="CQ343" s="14">
        <v>5.4885806377159467E-3</v>
      </c>
      <c r="CR343" s="14">
        <v>3.1637920959173615E-2</v>
      </c>
      <c r="CS343" s="14">
        <f t="shared" si="46"/>
        <v>7.1616931513582199E-2</v>
      </c>
    </row>
    <row r="344" spans="92:97" x14ac:dyDescent="0.45">
      <c r="CN344" s="2">
        <v>170.5</v>
      </c>
      <c r="CO344" s="14">
        <v>3.6780012704100286E-2</v>
      </c>
      <c r="CP344" s="14">
        <v>-2.2828728921046727E-3</v>
      </c>
      <c r="CQ344" s="14">
        <v>5.4725867913833839E-3</v>
      </c>
      <c r="CR344" s="14">
        <v>3.1571419527001397E-2</v>
      </c>
      <c r="CS344" s="14">
        <f t="shared" si="46"/>
        <v>7.1541146130380401E-2</v>
      </c>
    </row>
    <row r="345" spans="92:97" x14ac:dyDescent="0.45">
      <c r="CN345" s="2">
        <v>171</v>
      </c>
      <c r="CO345" s="14">
        <v>3.6780012704100286E-2</v>
      </c>
      <c r="CP345" s="14">
        <v>-2.2762021135403093E-3</v>
      </c>
      <c r="CQ345" s="14">
        <v>5.4566839516182282E-3</v>
      </c>
      <c r="CR345" s="14">
        <v>3.1505060277229442E-2</v>
      </c>
      <c r="CS345" s="14">
        <f t="shared" si="46"/>
        <v>7.146555481940764E-2</v>
      </c>
    </row>
    <row r="346" spans="92:97" x14ac:dyDescent="0.45">
      <c r="CN346" s="2">
        <v>171.5</v>
      </c>
      <c r="CO346" s="14">
        <v>3.6780012704100286E-2</v>
      </c>
      <c r="CP346" s="14">
        <v>-2.2695701129732118E-3</v>
      </c>
      <c r="CQ346" s="14">
        <v>5.4408713842975798E-3</v>
      </c>
      <c r="CR346" s="14">
        <v>3.1438844062765842E-2</v>
      </c>
      <c r="CS346" s="14">
        <f t="shared" si="46"/>
        <v>7.1390158038190488E-2</v>
      </c>
    </row>
    <row r="347" spans="92:97" x14ac:dyDescent="0.45">
      <c r="CN347" s="2">
        <v>172</v>
      </c>
      <c r="CO347" s="14">
        <v>3.6780012704100286E-2</v>
      </c>
      <c r="CP347" s="14">
        <v>-2.2629765555071371E-3</v>
      </c>
      <c r="CQ347" s="14">
        <v>5.4251483623449252E-3</v>
      </c>
      <c r="CR347" s="14">
        <v>3.1372771712317102E-2</v>
      </c>
      <c r="CS347" s="14">
        <f t="shared" si="46"/>
        <v>7.1314956223255177E-2</v>
      </c>
    </row>
    <row r="348" spans="92:97" x14ac:dyDescent="0.45">
      <c r="CN348" s="2">
        <v>172.5</v>
      </c>
      <c r="CO348" s="14">
        <v>3.6780012704100286E-2</v>
      </c>
      <c r="CP348" s="14">
        <v>-2.2564211100378211E-3</v>
      </c>
      <c r="CQ348" s="14">
        <v>5.4095141656631115E-3</v>
      </c>
      <c r="CR348" s="14">
        <v>3.1306844030773481E-2</v>
      </c>
      <c r="CS348" s="14">
        <f t="shared" si="46"/>
        <v>7.1239949790499052E-2</v>
      </c>
    </row>
    <row r="349" spans="92:97" x14ac:dyDescent="0.45">
      <c r="CN349" s="2">
        <v>173</v>
      </c>
      <c r="CO349" s="14">
        <v>3.6780012704100286E-2</v>
      </c>
      <c r="CP349" s="14">
        <v>-2.2499034492006915E-3</v>
      </c>
      <c r="CQ349" s="14">
        <v>5.3939680810676741E-3</v>
      </c>
      <c r="CR349" s="14">
        <v>3.124106179958908E-2</v>
      </c>
      <c r="CS349" s="14">
        <f t="shared" si="46"/>
        <v>7.1165139135556346E-2</v>
      </c>
    </row>
    <row r="350" spans="92:97" x14ac:dyDescent="0.45">
      <c r="CN350" s="2">
        <v>173.5</v>
      </c>
      <c r="CO350" s="14">
        <v>3.6780012704100286E-2</v>
      </c>
      <c r="CP350" s="14">
        <v>-2.2434232493194254E-3</v>
      </c>
      <c r="CQ350" s="14">
        <v>5.3785094022205486E-3</v>
      </c>
      <c r="CR350" s="14">
        <v>3.1175425777156512E-2</v>
      </c>
      <c r="CS350" s="14">
        <f t="shared" si="46"/>
        <v>7.1090524634157923E-2</v>
      </c>
    </row>
    <row r="351" spans="92:97" x14ac:dyDescent="0.45">
      <c r="CN351" s="2">
        <v>174</v>
      </c>
      <c r="CO351" s="14">
        <v>3.6780012704100286E-2</v>
      </c>
      <c r="CP351" s="14">
        <v>-2.2369801903553165E-3</v>
      </c>
      <c r="CQ351" s="14">
        <v>5.3631374295641581E-3</v>
      </c>
      <c r="CR351" s="14">
        <v>3.110993669917635E-2</v>
      </c>
      <c r="CS351" s="14">
        <f t="shared" si="46"/>
        <v>7.1016106642485477E-2</v>
      </c>
    </row>
    <row r="352" spans="92:97" x14ac:dyDescent="0.45">
      <c r="CN352" s="2">
        <v>174.5</v>
      </c>
      <c r="CO352" s="14">
        <v>3.6780012704100286E-2</v>
      </c>
      <c r="CP352" s="14">
        <v>-2.2305739558574544E-3</v>
      </c>
      <c r="CQ352" s="14">
        <v>5.3478514702558835E-3</v>
      </c>
      <c r="CR352" s="14">
        <v>3.1044595279021463E-2</v>
      </c>
      <c r="CS352" s="14">
        <f t="shared" si="46"/>
        <v>7.0941885497520174E-2</v>
      </c>
    </row>
    <row r="353" spans="92:97" x14ac:dyDescent="0.45">
      <c r="CN353" s="2">
        <v>175</v>
      </c>
      <c r="CO353" s="14">
        <v>3.6780012704100286E-2</v>
      </c>
      <c r="CP353" s="14">
        <v>-2.2242042329136905E-3</v>
      </c>
      <c r="CQ353" s="14">
        <v>5.3326508381029425E-3</v>
      </c>
      <c r="CR353" s="14">
        <v>3.0979402208096224E-2</v>
      </c>
      <c r="CS353" s="14">
        <f t="shared" si="46"/>
        <v>7.0867861517385763E-2</v>
      </c>
    </row>
    <row r="354" spans="92:97" x14ac:dyDescent="0.45">
      <c r="CN354" s="2">
        <v>175.5</v>
      </c>
      <c r="CO354" s="14">
        <v>3.6780012704100286E-2</v>
      </c>
      <c r="CP354" s="14">
        <v>-2.2178707121023821E-3</v>
      </c>
      <c r="CQ354" s="14">
        <v>5.3175348534976732E-3</v>
      </c>
      <c r="CR354" s="14">
        <v>3.0914358156190633E-2</v>
      </c>
      <c r="CS354" s="14">
        <f t="shared" si="46"/>
        <v>7.0794035001686212E-2</v>
      </c>
    </row>
    <row r="355" spans="92:97" x14ac:dyDescent="0.45">
      <c r="CN355" s="2">
        <v>176</v>
      </c>
      <c r="CO355" s="14">
        <v>3.6780012704100286E-2</v>
      </c>
      <c r="CP355" s="14">
        <v>-2.2115730874448986E-3</v>
      </c>
      <c r="CQ355" s="14">
        <v>5.3025028433532186E-3</v>
      </c>
      <c r="CR355" s="14">
        <v>3.0849463771829577E-2</v>
      </c>
      <c r="CS355" s="14">
        <f t="shared" si="46"/>
        <v>7.0720406231838187E-2</v>
      </c>
    </row>
    <row r="356" spans="92:97" x14ac:dyDescent="0.45">
      <c r="CN356" s="2">
        <v>176.5</v>
      </c>
      <c r="CO356" s="14">
        <v>3.6780012704100286E-2</v>
      </c>
      <c r="CP356" s="14">
        <v>-2.20531105635888E-3</v>
      </c>
      <c r="CQ356" s="14">
        <v>5.2875541410396494E-3</v>
      </c>
      <c r="CR356" s="14">
        <v>3.078471968261709E-2</v>
      </c>
      <c r="CS356" s="14">
        <f t="shared" si="46"/>
        <v>7.0646975471398143E-2</v>
      </c>
    </row>
    <row r="357" spans="92:97" x14ac:dyDescent="0.45">
      <c r="CN357" s="2">
        <v>177</v>
      </c>
      <c r="CO357" s="14">
        <v>3.6780012704100286E-2</v>
      </c>
      <c r="CP357" s="14">
        <v>-2.1990843196122265E-3</v>
      </c>
      <c r="CQ357" s="14">
        <v>5.2726880863205056E-3</v>
      </c>
      <c r="CR357" s="14">
        <v>3.0720126495575855E-2</v>
      </c>
      <c r="CS357" s="14">
        <f t="shared" si="46"/>
        <v>7.0573742966384412E-2</v>
      </c>
    </row>
    <row r="358" spans="92:97" x14ac:dyDescent="0.45">
      <c r="CN358" s="2">
        <v>177.5</v>
      </c>
      <c r="CO358" s="14">
        <v>3.6780012704100286E-2</v>
      </c>
      <c r="CP358" s="14">
        <v>-2.1928925812778177E-3</v>
      </c>
      <c r="CQ358" s="14">
        <v>5.257904025289771E-3</v>
      </c>
      <c r="CR358" s="14">
        <v>3.0655684797481864E-2</v>
      </c>
      <c r="CS358" s="14">
        <f t="shared" si="46"/>
        <v>7.0500708945594098E-2</v>
      </c>
    </row>
    <row r="359" spans="92:97" x14ac:dyDescent="0.45">
      <c r="CN359" s="2">
        <v>178</v>
      </c>
      <c r="CO359" s="14">
        <v>3.6780012704100286E-2</v>
      </c>
      <c r="CP359" s="14">
        <v>-2.1867355486889345E-3</v>
      </c>
      <c r="CQ359" s="14">
        <v>5.2432013103092838E-3</v>
      </c>
      <c r="CR359" s="14">
        <v>3.0591395155194444E-2</v>
      </c>
      <c r="CS359" s="14">
        <f t="shared" si="46"/>
        <v>7.0427873620915071E-2</v>
      </c>
    </row>
    <row r="360" spans="92:97" x14ac:dyDescent="0.45">
      <c r="CN360" s="2">
        <v>178.5</v>
      </c>
      <c r="CO360" s="14">
        <v>3.6780012704100286E-2</v>
      </c>
      <c r="CP360" s="14">
        <v>-2.1806129323953889E-3</v>
      </c>
      <c r="CQ360" s="14">
        <v>5.2285792999466002E-3</v>
      </c>
      <c r="CR360" s="14">
        <v>3.0527258115981608E-2</v>
      </c>
      <c r="CS360" s="14">
        <f t="shared" si="46"/>
        <v>7.0355237187633105E-2</v>
      </c>
    </row>
    <row r="361" spans="92:97" x14ac:dyDescent="0.45">
      <c r="CN361" s="2">
        <v>179</v>
      </c>
      <c r="CO361" s="14">
        <v>3.6780012704100286E-2</v>
      </c>
      <c r="CP361" s="14">
        <v>-2.1745244461203296E-3</v>
      </c>
      <c r="CQ361" s="14">
        <v>5.2140373589132979E-3</v>
      </c>
      <c r="CR361" s="14">
        <v>3.0463274207840771E-2</v>
      </c>
      <c r="CS361" s="14">
        <f t="shared" si="46"/>
        <v>7.0282799824734024E-2</v>
      </c>
    </row>
    <row r="362" spans="92:97" x14ac:dyDescent="0.45">
      <c r="CN362" s="2">
        <v>179.5</v>
      </c>
      <c r="CO362" s="14">
        <v>3.6780012704100286E-2</v>
      </c>
      <c r="CP362" s="14">
        <v>-2.1684698067177305E-3</v>
      </c>
      <c r="CQ362" s="14">
        <v>5.199574858003742E-3</v>
      </c>
      <c r="CR362" s="14">
        <v>3.039944393981504E-2</v>
      </c>
      <c r="CS362" s="14">
        <f t="shared" si="46"/>
        <v>7.0210561695201332E-2</v>
      </c>
    </row>
    <row r="363" spans="92:97" x14ac:dyDescent="0.45">
      <c r="CN363" s="2">
        <v>180</v>
      </c>
      <c r="CO363" s="14">
        <v>3.6780012704100286E-2</v>
      </c>
      <c r="CP363" s="14">
        <v>-2.1624487341305324E-3</v>
      </c>
      <c r="CQ363" s="14">
        <v>5.1851911740342926E-3</v>
      </c>
      <c r="CR363" s="14">
        <v>3.0335767802304986E-2</v>
      </c>
      <c r="CS363" s="14">
        <f t="shared" si="46"/>
        <v>7.013852294630904E-2</v>
      </c>
    </row>
    <row r="364" spans="92:97" x14ac:dyDescent="0.45">
      <c r="CN364" s="2">
        <v>180.5</v>
      </c>
      <c r="CO364" s="14">
        <v>3.6780012704100286E-2</v>
      </c>
      <c r="CP364" s="14">
        <v>-2.1564609513494435E-3</v>
      </c>
      <c r="CQ364" s="14">
        <v>5.1708856897829947E-3</v>
      </c>
      <c r="CR364" s="14">
        <v>3.0272246267376013E-2</v>
      </c>
      <c r="CS364" s="14">
        <f t="shared" si="46"/>
        <v>7.0066683709909844E-2</v>
      </c>
    </row>
    <row r="365" spans="92:97" x14ac:dyDescent="0.45">
      <c r="CN365" s="2">
        <v>181</v>
      </c>
      <c r="CO365" s="14">
        <v>3.6780012704100286E-2</v>
      </c>
      <c r="CP365" s="14">
        <v>-2.1505061843723732E-3</v>
      </c>
      <c r="CQ365" s="14">
        <v>5.1566577939297113E-3</v>
      </c>
      <c r="CR365" s="14">
        <v>3.0208879789061376E-2</v>
      </c>
      <c r="CS365" s="14">
        <f t="shared" si="46"/>
        <v>6.9995044102718992E-2</v>
      </c>
    </row>
    <row r="366" spans="92:97" x14ac:dyDescent="0.45">
      <c r="CN366" s="2">
        <v>181.5</v>
      </c>
      <c r="CO366" s="14">
        <v>3.6780012704100286E-2</v>
      </c>
      <c r="CP366" s="14">
        <v>-2.1445841621644977E-3</v>
      </c>
      <c r="CQ366" s="14">
        <v>5.1425068809967433E-3</v>
      </c>
      <c r="CR366" s="14">
        <v>3.0145668803660992E-2</v>
      </c>
      <c r="CS366" s="14">
        <f t="shared" si="46"/>
        <v>6.9923604226593522E-2</v>
      </c>
    </row>
    <row r="367" spans="92:97" x14ac:dyDescent="0.45">
      <c r="CN367" s="2">
        <v>182</v>
      </c>
      <c r="CO367" s="14">
        <v>3.6780012704100286E-2</v>
      </c>
      <c r="CP367" s="14">
        <v>-2.1386946166189395E-3</v>
      </c>
      <c r="CQ367" s="14">
        <v>5.1284323512898996E-3</v>
      </c>
      <c r="CR367" s="14">
        <v>3.0082613730035897E-2</v>
      </c>
      <c r="CS367" s="14">
        <f t="shared" si="46"/>
        <v>6.9852364168807149E-2</v>
      </c>
    </row>
    <row r="368" spans="92:97" x14ac:dyDescent="0.45">
      <c r="CN368" s="2">
        <v>182.5</v>
      </c>
      <c r="CO368" s="14">
        <v>3.6780012704100286E-2</v>
      </c>
      <c r="CP368" s="14">
        <v>-2.1328372825180565E-3</v>
      </c>
      <c r="CQ368" s="14">
        <v>5.114433610840058E-3</v>
      </c>
      <c r="CR368" s="14">
        <v>3.0019714969898633E-2</v>
      </c>
      <c r="CS368" s="14">
        <f t="shared" si="46"/>
        <v>6.9781324002320927E-2</v>
      </c>
    </row>
    <row r="369" spans="92:97" x14ac:dyDescent="0.45">
      <c r="CN369" s="2">
        <v>183</v>
      </c>
      <c r="CO369" s="14">
        <v>3.6780012704100286E-2</v>
      </c>
      <c r="CP369" s="14">
        <v>-2.1270118974953257E-3</v>
      </c>
      <c r="CQ369" s="14">
        <v>5.1005100713451892E-3</v>
      </c>
      <c r="CR369" s="14">
        <v>2.9956972908099448E-2</v>
      </c>
      <c r="CS369" s="14">
        <f t="shared" si="46"/>
        <v>6.9710483786049604E-2</v>
      </c>
    </row>
    <row r="370" spans="92:97" x14ac:dyDescent="0.45">
      <c r="CN370" s="2">
        <v>183.5</v>
      </c>
      <c r="CO370" s="14">
        <v>3.6780012704100286E-2</v>
      </c>
      <c r="CP370" s="14">
        <v>-2.1212182019978102E-3</v>
      </c>
      <c r="CQ370" s="14">
        <v>5.0866611501128563E-3</v>
      </c>
      <c r="CR370" s="14">
        <v>2.9894387912908511E-2</v>
      </c>
      <c r="CS370" s="14">
        <f t="shared" si="46"/>
        <v>6.9639843565123843E-2</v>
      </c>
    </row>
    <row r="371" spans="92:97" x14ac:dyDescent="0.45">
      <c r="CN371" s="2">
        <v>184</v>
      </c>
      <c r="CO371" s="14">
        <v>3.6780012704100286E-2</v>
      </c>
      <c r="CP371" s="14">
        <v>-2.1154559392492075E-3</v>
      </c>
      <c r="CQ371" s="14">
        <v>5.0728862700032025E-3</v>
      </c>
      <c r="CR371" s="14">
        <v>2.983196033629406E-2</v>
      </c>
      <c r="CS371" s="14">
        <f t="shared" si="46"/>
        <v>6.9569403371148336E-2</v>
      </c>
    </row>
    <row r="372" spans="92:97" x14ac:dyDescent="0.45">
      <c r="CN372" s="2">
        <v>184.5</v>
      </c>
      <c r="CO372" s="14">
        <v>3.6780012704100286E-2</v>
      </c>
      <c r="CP372" s="14">
        <v>-2.1097248552134577E-3</v>
      </c>
      <c r="CQ372" s="14">
        <v>5.0591848593724096E-3</v>
      </c>
      <c r="CR372" s="14">
        <v>2.976969051419659E-2</v>
      </c>
      <c r="CS372" s="14">
        <f t="shared" si="46"/>
        <v>6.9499163222455834E-2</v>
      </c>
    </row>
    <row r="373" spans="92:97" x14ac:dyDescent="0.45">
      <c r="CN373" s="2">
        <v>185</v>
      </c>
      <c r="CO373" s="14">
        <v>3.6780012704100286E-2</v>
      </c>
      <c r="CP373" s="14">
        <v>-2.1040246985589103E-3</v>
      </c>
      <c r="CQ373" s="14">
        <v>5.0455563520166351E-3</v>
      </c>
      <c r="CR373" s="14">
        <v>2.9707578766799188E-2</v>
      </c>
      <c r="CS373" s="14">
        <f t="shared" si="46"/>
        <v>6.94291231243572E-2</v>
      </c>
    </row>
    <row r="374" spans="92:97" x14ac:dyDescent="0.45">
      <c r="CN374" s="2">
        <v>185.5</v>
      </c>
      <c r="CO374" s="14">
        <v>3.6780012704100286E-2</v>
      </c>
      <c r="CP374" s="14">
        <v>-2.0983552206230386E-3</v>
      </c>
      <c r="CQ374" s="14">
        <v>5.0320001871164361E-3</v>
      </c>
      <c r="CR374" s="14">
        <v>2.9645625398794003E-2</v>
      </c>
      <c r="CS374" s="14">
        <f t="shared" si="46"/>
        <v>6.9359283069387684E-2</v>
      </c>
    </row>
    <row r="375" spans="92:97" x14ac:dyDescent="0.45">
      <c r="CN375" s="2">
        <v>186</v>
      </c>
      <c r="CO375" s="14">
        <v>3.6780012704100286E-2</v>
      </c>
      <c r="CP375" s="14">
        <v>-2.0927161753776877E-3</v>
      </c>
      <c r="CQ375" s="14">
        <v>5.0185158091816725E-3</v>
      </c>
      <c r="CR375" s="14">
        <v>2.9583830699644879E-2</v>
      </c>
      <c r="CS375" s="14">
        <f t="shared" si="46"/>
        <v>6.9289643037549156E-2</v>
      </c>
    </row>
    <row r="376" spans="92:97" x14ac:dyDescent="0.45">
      <c r="CN376" s="2">
        <v>186.5</v>
      </c>
      <c r="CO376" s="14">
        <v>3.6780012704100286E-2</v>
      </c>
      <c r="CP376" s="14">
        <v>-2.0871073193948525E-3</v>
      </c>
      <c r="CQ376" s="14">
        <v>5.0051026679968878E-3</v>
      </c>
      <c r="CR376" s="14">
        <v>2.9522194943846298E-2</v>
      </c>
      <c r="CS376" s="14">
        <f t="shared" si="46"/>
        <v>6.9220202996548616E-2</v>
      </c>
    </row>
    <row r="377" spans="92:97" x14ac:dyDescent="0.45">
      <c r="CN377" s="2">
        <v>187</v>
      </c>
      <c r="CO377" s="14">
        <v>3.6780012704100286E-2</v>
      </c>
      <c r="CP377" s="14">
        <v>-2.0815284118129765E-3</v>
      </c>
      <c r="CQ377" s="14">
        <v>4.991760218567183E-3</v>
      </c>
      <c r="CR377" s="14">
        <v>2.9460718391178586E-2</v>
      </c>
      <c r="CS377" s="14">
        <f t="shared" si="46"/>
        <v>6.915096290203307E-2</v>
      </c>
    </row>
    <row r="378" spans="92:97" x14ac:dyDescent="0.45">
      <c r="CN378" s="2">
        <v>187.5</v>
      </c>
      <c r="CO378" s="14">
        <v>3.6780012704100286E-2</v>
      </c>
      <c r="CP378" s="14">
        <v>-2.0759792143037552E-3</v>
      </c>
      <c r="CQ378" s="14">
        <v>4.978487921064559E-3</v>
      </c>
      <c r="CR378" s="14">
        <v>2.939940128695951E-2</v>
      </c>
      <c r="CS378" s="14">
        <f t="shared" si="46"/>
        <v>6.9081922697820597E-2</v>
      </c>
    </row>
    <row r="379" spans="92:97" x14ac:dyDescent="0.45">
      <c r="CN379" s="2">
        <v>188</v>
      </c>
      <c r="CO379" s="14">
        <v>3.6780012704100286E-2</v>
      </c>
      <c r="CP379" s="14">
        <v>-2.0704594910394467E-3</v>
      </c>
      <c r="CQ379" s="14">
        <v>4.9652852407747463E-3</v>
      </c>
      <c r="CR379" s="14">
        <v>2.9338243862292231E-2</v>
      </c>
      <c r="CS379" s="14">
        <f t="shared" si="46"/>
        <v>6.9013082316127822E-2</v>
      </c>
    </row>
    <row r="380" spans="92:97" x14ac:dyDescent="0.45">
      <c r="CN380" s="2">
        <v>188.5</v>
      </c>
      <c r="CO380" s="14">
        <v>3.6780012704100286E-2</v>
      </c>
      <c r="CP380" s="14">
        <v>-2.0649690086606692E-3</v>
      </c>
      <c r="CQ380" s="14">
        <v>4.9521516480445183E-3</v>
      </c>
      <c r="CR380" s="14">
        <v>2.9277246334309739E-2</v>
      </c>
      <c r="CS380" s="14">
        <f t="shared" si="46"/>
        <v>6.8944441677793872E-2</v>
      </c>
    </row>
    <row r="381" spans="92:97" x14ac:dyDescent="0.45">
      <c r="CN381" s="2">
        <v>189</v>
      </c>
      <c r="CO381" s="14">
        <v>3.6780012704100286E-2</v>
      </c>
      <c r="CP381" s="14">
        <v>-2.0595075362446888E-3</v>
      </c>
      <c r="CQ381" s="14">
        <v>4.9390866182294864E-3</v>
      </c>
      <c r="CR381" s="14">
        <v>2.9216408906415789E-2</v>
      </c>
      <c r="CS381" s="14">
        <f t="shared" si="46"/>
        <v>6.8876000692500869E-2</v>
      </c>
    </row>
    <row r="382" spans="92:97" x14ac:dyDescent="0.45">
      <c r="CN382" s="2">
        <v>189.5</v>
      </c>
      <c r="CO382" s="14">
        <v>3.6780012704100286E-2</v>
      </c>
      <c r="CP382" s="14">
        <v>-2.0540748452741809E-3</v>
      </c>
      <c r="CQ382" s="14">
        <v>4.9260896316423658E-3</v>
      </c>
      <c r="CR382" s="14">
        <v>2.9155731768522368E-2</v>
      </c>
      <c r="CS382" s="14">
        <f t="shared" si="46"/>
        <v>6.8807759258990839E-2</v>
      </c>
    </row>
    <row r="383" spans="92:97" x14ac:dyDescent="0.45">
      <c r="CN383" s="2">
        <v>190</v>
      </c>
      <c r="CO383" s="14">
        <v>3.6780012704100286E-2</v>
      </c>
      <c r="CP383" s="14">
        <v>-2.0486707096064555E-3</v>
      </c>
      <c r="CQ383" s="14">
        <v>4.9131601735017284E-3</v>
      </c>
      <c r="CR383" s="14">
        <v>2.909521509728373E-2</v>
      </c>
      <c r="CS383" s="14">
        <f t="shared" si="46"/>
        <v>6.873971726527929E-2</v>
      </c>
    </row>
    <row r="384" spans="92:97" x14ac:dyDescent="0.45">
      <c r="CN384" s="2">
        <v>190.5</v>
      </c>
      <c r="CO384" s="14">
        <v>3.6780012704100286E-2</v>
      </c>
      <c r="CP384" s="14">
        <v>-2.0432949054431529E-3</v>
      </c>
      <c r="CQ384" s="14">
        <v>4.9002977338812349E-3</v>
      </c>
      <c r="CR384" s="14">
        <v>2.9034859056327141E-2</v>
      </c>
      <c r="CS384" s="14">
        <f t="shared" si="46"/>
        <v>6.8671874588865506E-2</v>
      </c>
    </row>
    <row r="385" spans="92:97" x14ac:dyDescent="0.45">
      <c r="CN385" s="2">
        <v>191</v>
      </c>
      <c r="CO385" s="14">
        <v>3.6780012704100286E-2</v>
      </c>
      <c r="CP385" s="14">
        <v>-2.03794721130038E-3</v>
      </c>
      <c r="CQ385" s="14">
        <v>4.8875018076593351E-3</v>
      </c>
      <c r="CR385" s="14">
        <v>2.8974663796480216E-2</v>
      </c>
      <c r="CS385" s="14">
        <f t="shared" si="46"/>
        <v>6.8604231096939458E-2</v>
      </c>
    </row>
    <row r="386" spans="92:97" x14ac:dyDescent="0.45">
      <c r="CN386" s="2">
        <v>191.5</v>
      </c>
      <c r="CO386" s="14">
        <v>3.6780012704100286E-2</v>
      </c>
      <c r="CP386" s="14">
        <v>-2.0326274079793013E-3</v>
      </c>
      <c r="CQ386" s="14">
        <v>4.8747718944694473E-3</v>
      </c>
      <c r="CR386" s="14">
        <v>2.8914629455995041E-2</v>
      </c>
      <c r="CS386" s="14">
        <f t="shared" si="46"/>
        <v>6.8536786646585482E-2</v>
      </c>
    </row>
    <row r="387" spans="92:97" x14ac:dyDescent="0.45">
      <c r="CN387" s="2">
        <v>192</v>
      </c>
      <c r="CO387" s="14">
        <v>3.6780012704100286E-2</v>
      </c>
      <c r="CP387" s="14">
        <v>-2.0273352785371594E-3</v>
      </c>
      <c r="CQ387" s="14">
        <v>4.8621074986506148E-3</v>
      </c>
      <c r="CR387" s="14">
        <v>2.8854756160769077E-2</v>
      </c>
      <c r="CS387" s="14">
        <f t="shared" si="46"/>
        <v>6.8469541084982821E-2</v>
      </c>
    </row>
    <row r="388" spans="92:97" x14ac:dyDescent="0.45">
      <c r="CN388" s="2">
        <v>192.5</v>
      </c>
      <c r="CO388" s="14">
        <v>3.6780012704100286E-2</v>
      </c>
      <c r="CP388" s="14">
        <v>-2.0220706082587337E-3</v>
      </c>
      <c r="CQ388" s="14">
        <v>4.8495081291986351E-3</v>
      </c>
      <c r="CR388" s="14">
        <v>2.8795044024562795E-2</v>
      </c>
      <c r="CS388" s="14">
        <f t="shared" si="46"/>
        <v>6.8402494249602985E-2</v>
      </c>
    </row>
    <row r="389" spans="92:97" x14ac:dyDescent="0.45">
      <c r="CN389" s="2">
        <v>193</v>
      </c>
      <c r="CO389" s="14">
        <v>3.6780012704100286E-2</v>
      </c>
      <c r="CP389" s="14">
        <v>-2.0168331846282146E-3</v>
      </c>
      <c r="CQ389" s="14">
        <v>4.8369732997176488E-3</v>
      </c>
      <c r="CR389" s="14">
        <v>2.8735493149214295E-2</v>
      </c>
      <c r="CS389" s="14">
        <f t="shared" si="46"/>
        <v>6.833564596840401E-2</v>
      </c>
    </row>
    <row r="390" spans="92:97" x14ac:dyDescent="0.45">
      <c r="CN390" s="2">
        <v>193.5</v>
      </c>
      <c r="CO390" s="14">
        <v>3.6780012704100286E-2</v>
      </c>
      <c r="CP390" s="14">
        <v>-2.0116227973014963E-3</v>
      </c>
      <c r="CQ390" s="14">
        <v>4.8245025283722076E-3</v>
      </c>
      <c r="CR390" s="14">
        <v>2.8676103624850683E-2</v>
      </c>
      <c r="CS390" s="14">
        <f t="shared" ref="CS390:CS453" si="47">SUM(CO390:CR390)</f>
        <v>6.8268996060021681E-2</v>
      </c>
    </row>
    <row r="391" spans="92:97" x14ac:dyDescent="0.45">
      <c r="CN391" s="2">
        <v>194</v>
      </c>
      <c r="CO391" s="14">
        <v>3.6780012704100286E-2</v>
      </c>
      <c r="CP391" s="14">
        <v>-2.0064392380788809E-3</v>
      </c>
      <c r="CQ391" s="14">
        <v>4.8120953378398088E-3</v>
      </c>
      <c r="CR391" s="14">
        <v>2.8616875530096515E-2</v>
      </c>
      <c r="CS391" s="14">
        <f t="shared" si="47"/>
        <v>6.8202544333957726E-2</v>
      </c>
    </row>
    <row r="392" spans="92:97" x14ac:dyDescent="0.45">
      <c r="CN392" s="2">
        <v>194.5</v>
      </c>
      <c r="CO392" s="14">
        <v>3.6780012704100286E-2</v>
      </c>
      <c r="CP392" s="14">
        <v>-2.0012823008781796E-3</v>
      </c>
      <c r="CQ392" s="14">
        <v>4.7997512552638835E-3</v>
      </c>
      <c r="CR392" s="14">
        <v>2.8557808932279143E-2</v>
      </c>
      <c r="CS392" s="14">
        <f t="shared" si="47"/>
        <v>6.8136290590765133E-2</v>
      </c>
    </row>
    <row r="393" spans="92:97" x14ac:dyDescent="0.45">
      <c r="CN393" s="2">
        <v>195</v>
      </c>
      <c r="CO393" s="14">
        <v>3.6780012704100286E-2</v>
      </c>
      <c r="CP393" s="14">
        <v>-1.9961517817082136E-3</v>
      </c>
      <c r="CQ393" s="14">
        <v>4.7874698122072632E-3</v>
      </c>
      <c r="CR393" s="14">
        <v>2.8498903887631107E-2</v>
      </c>
      <c r="CS393" s="14">
        <f t="shared" si="47"/>
        <v>6.8070234622230441E-2</v>
      </c>
    </row>
    <row r="394" spans="92:97" x14ac:dyDescent="0.45">
      <c r="CN394" s="2">
        <v>195.5</v>
      </c>
      <c r="CO394" s="14">
        <v>3.6780012704100286E-2</v>
      </c>
      <c r="CP394" s="14">
        <v>-1.9910474786427003E-3</v>
      </c>
      <c r="CQ394" s="14">
        <v>4.7752505446060876E-3</v>
      </c>
      <c r="CR394" s="14">
        <v>2.8440160441489611E-2</v>
      </c>
      <c r="CS394" s="14">
        <f t="shared" si="47"/>
        <v>6.8004376211553294E-2</v>
      </c>
    </row>
    <row r="395" spans="92:97" x14ac:dyDescent="0.45">
      <c r="CN395" s="2">
        <v>196</v>
      </c>
      <c r="CO395" s="14">
        <v>3.6780012704100286E-2</v>
      </c>
      <c r="CP395" s="14">
        <v>-1.9859691917945266E-3</v>
      </c>
      <c r="CQ395" s="14">
        <v>4.7630929927241902E-3</v>
      </c>
      <c r="CR395" s="14">
        <v>2.8381578628493061E-2</v>
      </c>
      <c r="CS395" s="14">
        <f t="shared" si="47"/>
        <v>6.7938715133523009E-2</v>
      </c>
    </row>
    <row r="396" spans="92:97" x14ac:dyDescent="0.45">
      <c r="CN396" s="2">
        <v>196.5</v>
      </c>
      <c r="CO396" s="14">
        <v>3.6780012704100286E-2</v>
      </c>
      <c r="CP396" s="14">
        <v>-1.9809167232903908E-3</v>
      </c>
      <c r="CQ396" s="14">
        <v>4.7509967011079195E-3</v>
      </c>
      <c r="CR396" s="14">
        <v>2.8323158472774768E-2</v>
      </c>
      <c r="CS396" s="14">
        <f t="shared" si="47"/>
        <v>6.7873251154692588E-2</v>
      </c>
    </row>
    <row r="397" spans="92:97" x14ac:dyDescent="0.45">
      <c r="CN397" s="2">
        <v>197</v>
      </c>
      <c r="CO397" s="14">
        <v>3.6780012704100286E-2</v>
      </c>
      <c r="CP397" s="14">
        <v>-1.9758898772458218E-3</v>
      </c>
      <c r="CQ397" s="14">
        <v>4.7389612185414322E-3</v>
      </c>
      <c r="CR397" s="14">
        <v>2.826489998815386E-2</v>
      </c>
      <c r="CS397" s="14">
        <f t="shared" si="47"/>
        <v>6.7807984033549762E-2</v>
      </c>
    </row>
    <row r="398" spans="92:97" x14ac:dyDescent="0.45">
      <c r="CN398" s="2">
        <v>197.5</v>
      </c>
      <c r="CO398" s="14">
        <v>3.6780012704100286E-2</v>
      </c>
      <c r="CP398" s="14">
        <v>-1.9708884597405569E-3</v>
      </c>
      <c r="CQ398" s="14">
        <v>4.7269860980024142E-3</v>
      </c>
      <c r="CR398" s="14">
        <v>2.8206803178323338E-2</v>
      </c>
      <c r="CS398" s="14">
        <f t="shared" si="47"/>
        <v>6.7742913520685483E-2</v>
      </c>
    </row>
    <row r="399" spans="92:97" x14ac:dyDescent="0.45">
      <c r="CN399" s="2">
        <v>198</v>
      </c>
      <c r="CO399" s="14">
        <v>3.6780012704100286E-2</v>
      </c>
      <c r="CP399" s="14">
        <v>-1.9659122787942813E-3</v>
      </c>
      <c r="CQ399" s="14">
        <v>4.7150708966182727E-3</v>
      </c>
      <c r="CR399" s="14">
        <v>2.8148868037035459E-2</v>
      </c>
      <c r="CS399" s="14">
        <f t="shared" si="47"/>
        <v>6.7678039358959746E-2</v>
      </c>
    </row>
    <row r="400" spans="92:97" x14ac:dyDescent="0.45">
      <c r="CN400" s="2">
        <v>198.5</v>
      </c>
      <c r="CO400" s="14">
        <v>3.6780012704100286E-2</v>
      </c>
      <c r="CP400" s="14">
        <v>-1.9609611443427146E-3</v>
      </c>
      <c r="CQ400" s="14">
        <v>4.7032151756227552E-3</v>
      </c>
      <c r="CR400" s="14">
        <v>2.8091094548284387E-2</v>
      </c>
      <c r="CS400" s="14">
        <f t="shared" si="47"/>
        <v>6.7613361283664714E-2</v>
      </c>
    </row>
    <row r="401" spans="92:97" x14ac:dyDescent="0.45">
      <c r="CN401" s="2">
        <v>199</v>
      </c>
      <c r="CO401" s="14">
        <v>3.6780012704100286E-2</v>
      </c>
      <c r="CP401" s="14">
        <v>-1.9560348682140468E-3</v>
      </c>
      <c r="CQ401" s="14">
        <v>4.6914185003130195E-3</v>
      </c>
      <c r="CR401" s="14">
        <v>2.8033482686486158E-2</v>
      </c>
      <c r="CS401" s="14">
        <f t="shared" si="47"/>
        <v>6.7548879022685415E-2</v>
      </c>
    </row>
    <row r="402" spans="92:97" x14ac:dyDescent="0.45">
      <c r="CN402" s="2">
        <v>199.5</v>
      </c>
      <c r="CO402" s="14">
        <v>3.6780012704100286E-2</v>
      </c>
      <c r="CP402" s="14">
        <v>-1.9511332641057155E-3</v>
      </c>
      <c r="CQ402" s="14">
        <v>4.6796804400071413E-3</v>
      </c>
      <c r="CR402" s="14">
        <v>2.7976032416656027E-2</v>
      </c>
      <c r="CS402" s="14">
        <f t="shared" si="47"/>
        <v>6.7484592296657736E-2</v>
      </c>
    </row>
    <row r="403" spans="92:97" x14ac:dyDescent="0.45">
      <c r="CN403" s="2">
        <v>200</v>
      </c>
      <c r="CO403" s="14">
        <v>3.6780012704100286E-2</v>
      </c>
      <c r="CP403" s="14">
        <v>-1.9462561475615133E-3</v>
      </c>
      <c r="CQ403" s="14">
        <v>4.6680005680020528E-3</v>
      </c>
      <c r="CR403" s="14">
        <v>2.7918743694583224E-2</v>
      </c>
      <c r="CS403" s="14">
        <f t="shared" si="47"/>
        <v>6.7420500819124055E-2</v>
      </c>
    </row>
    <row r="404" spans="92:97" x14ac:dyDescent="0.45">
      <c r="CN404" s="2">
        <v>200.5</v>
      </c>
      <c r="CO404" s="14">
        <v>3.6780012704100286E-2</v>
      </c>
      <c r="CP404" s="14">
        <v>-1.941403335949029E-3</v>
      </c>
      <c r="CQ404" s="14">
        <v>4.6563784615319221E-3</v>
      </c>
      <c r="CR404" s="14">
        <v>2.7861616467003122E-2</v>
      </c>
      <c r="CS404" s="14">
        <f t="shared" si="47"/>
        <v>6.7356604296686301E-2</v>
      </c>
    </row>
    <row r="405" spans="92:97" x14ac:dyDescent="0.45">
      <c r="CN405" s="2">
        <v>201</v>
      </c>
      <c r="CO405" s="14">
        <v>3.6780012704100286E-2</v>
      </c>
      <c r="CP405" s="14">
        <v>-1.9365746484374118E-3</v>
      </c>
      <c r="CQ405" s="14">
        <v>4.6448137017269606E-3</v>
      </c>
      <c r="CR405" s="14">
        <v>2.7804650671766913E-2</v>
      </c>
      <c r="CS405" s="14">
        <f t="shared" si="47"/>
        <v>6.7292902429156753E-2</v>
      </c>
    </row>
    <row r="406" spans="92:97" x14ac:dyDescent="0.45">
      <c r="CN406" s="2">
        <v>201.5</v>
      </c>
      <c r="CO406" s="14">
        <v>3.6780012704100286E-2</v>
      </c>
      <c r="CP406" s="14">
        <v>-1.9317699059754518E-3</v>
      </c>
      <c r="CQ406" s="14">
        <v>4.6333058735726559E-3</v>
      </c>
      <c r="CR406" s="14">
        <v>2.7747846238008751E-2</v>
      </c>
      <c r="CS406" s="14">
        <f t="shared" si="47"/>
        <v>6.7229394909706239E-2</v>
      </c>
    </row>
    <row r="407" spans="92:97" x14ac:dyDescent="0.45">
      <c r="CN407" s="2">
        <v>202</v>
      </c>
      <c r="CO407" s="14">
        <v>3.6780012704100286E-2</v>
      </c>
      <c r="CP407" s="14">
        <v>-1.9269889312699764E-3</v>
      </c>
      <c r="CQ407" s="14">
        <v>4.621854565869425E-3</v>
      </c>
      <c r="CR407" s="14">
        <v>2.7691203086310432E-2</v>
      </c>
      <c r="CS407" s="14">
        <f t="shared" si="47"/>
        <v>6.7166081425010168E-2</v>
      </c>
    </row>
    <row r="408" spans="92:97" x14ac:dyDescent="0.45">
      <c r="CN408" s="2">
        <v>202.5</v>
      </c>
      <c r="CO408" s="14">
        <v>3.6780012704100286E-2</v>
      </c>
      <c r="CP408" s="14">
        <v>-1.9222315487645552E-3</v>
      </c>
      <c r="CQ408" s="14">
        <v>4.610459371192705E-3</v>
      </c>
      <c r="CR408" s="14">
        <v>2.7634721128863716E-2</v>
      </c>
      <c r="CS408" s="14">
        <f t="shared" si="47"/>
        <v>6.7102961655392146E-2</v>
      </c>
    </row>
    <row r="409" spans="92:97" x14ac:dyDescent="0.45">
      <c r="CN409" s="2">
        <v>203</v>
      </c>
      <c r="CO409" s="14">
        <v>3.6780012704100286E-2</v>
      </c>
      <c r="CP409" s="14">
        <v>-1.9174975846185064E-3</v>
      </c>
      <c r="CQ409" s="14">
        <v>4.5991198858534345E-3</v>
      </c>
      <c r="CR409" s="14">
        <v>2.7578400269630168E-2</v>
      </c>
      <c r="CS409" s="14">
        <f t="shared" si="47"/>
        <v>6.7040035274965382E-2</v>
      </c>
    </row>
    <row r="410" spans="92:97" x14ac:dyDescent="0.45">
      <c r="CN410" s="2">
        <v>203.5</v>
      </c>
      <c r="CO410" s="14">
        <v>3.6780012704100286E-2</v>
      </c>
      <c r="CP410" s="14">
        <v>-1.9127868666862029E-3</v>
      </c>
      <c r="CQ410" s="14">
        <v>4.5878357098589825E-3</v>
      </c>
      <c r="CR410" s="14">
        <v>2.7522240404498681E-2</v>
      </c>
      <c r="CS410" s="14">
        <f t="shared" si="47"/>
        <v>6.6977301951771748E-2</v>
      </c>
    </row>
    <row r="411" spans="92:97" x14ac:dyDescent="0.45">
      <c r="CN411" s="2">
        <v>204</v>
      </c>
      <c r="CO411" s="14">
        <v>3.6780012704100286E-2</v>
      </c>
      <c r="CP411" s="14">
        <v>-1.9080992244966731E-3</v>
      </c>
      <c r="CQ411" s="14">
        <v>4.5766064468744571E-3</v>
      </c>
      <c r="CR411" s="14">
        <v>2.7466241421440656E-2</v>
      </c>
      <c r="CS411" s="14">
        <f t="shared" si="47"/>
        <v>6.6914761347918725E-2</v>
      </c>
    </row>
    <row r="412" spans="92:97" x14ac:dyDescent="0.45">
      <c r="CN412" s="2">
        <v>204.5</v>
      </c>
      <c r="CO412" s="14">
        <v>3.6780012704100286E-2</v>
      </c>
      <c r="CP412" s="14">
        <v>-1.9034344892334889E-3</v>
      </c>
      <c r="CQ412" s="14">
        <v>4.5654317041844495E-3</v>
      </c>
      <c r="CR412" s="14">
        <v>2.7410403200662924E-2</v>
      </c>
      <c r="CS412" s="14">
        <f t="shared" si="47"/>
        <v>6.6852413119714169E-2</v>
      </c>
    </row>
    <row r="413" spans="92:97" x14ac:dyDescent="0.45">
      <c r="CN413" s="2">
        <v>205</v>
      </c>
      <c r="CO413" s="14">
        <v>3.6780012704100286E-2</v>
      </c>
      <c r="CP413" s="14">
        <v>-1.8987924937149373E-3</v>
      </c>
      <c r="CQ413" s="14">
        <v>4.5543110926551606E-3</v>
      </c>
      <c r="CR413" s="14">
        <v>2.7354725614758314E-2</v>
      </c>
      <c r="CS413" s="14">
        <f t="shared" si="47"/>
        <v>6.6790256917798815E-2</v>
      </c>
    </row>
    <row r="414" spans="92:97" x14ac:dyDescent="0.45">
      <c r="CN414" s="2">
        <v>205.5</v>
      </c>
      <c r="CO414" s="14">
        <v>3.6780012704100286E-2</v>
      </c>
      <c r="CP414" s="14">
        <v>-1.8941730723744759E-3</v>
      </c>
      <c r="CQ414" s="14">
        <v>4.5432442266969495E-3</v>
      </c>
      <c r="CR414" s="14">
        <v>2.7299208528854101E-2</v>
      </c>
      <c r="CS414" s="14">
        <f t="shared" si="47"/>
        <v>6.6728292387276858E-2</v>
      </c>
    </row>
    <row r="415" spans="92:97" x14ac:dyDescent="0.45">
      <c r="CN415" s="2">
        <v>206</v>
      </c>
      <c r="CO415" s="14">
        <v>3.6780012704100286E-2</v>
      </c>
      <c r="CP415" s="14">
        <v>-1.8895760612414588E-3</v>
      </c>
      <c r="CQ415" s="14">
        <v>4.5322307242272666E-3</v>
      </c>
      <c r="CR415" s="14">
        <v>2.7243851800758133E-2</v>
      </c>
      <c r="CS415" s="14">
        <f t="shared" si="47"/>
        <v>6.6666519167844218E-2</v>
      </c>
    </row>
    <row r="416" spans="92:97" x14ac:dyDescent="0.45">
      <c r="CN416" s="2">
        <v>206.5</v>
      </c>
      <c r="CO416" s="14">
        <v>3.6780012704100286E-2</v>
      </c>
      <c r="CP416" s="14">
        <v>-1.8850012979221363E-3</v>
      </c>
      <c r="CQ416" s="14">
        <v>4.5212702066339825E-3</v>
      </c>
      <c r="CR416" s="14">
        <v>2.7188655281102873E-2</v>
      </c>
      <c r="CS416" s="14">
        <f t="shared" si="47"/>
        <v>6.6604936893915001E-2</v>
      </c>
    </row>
    <row r="417" spans="92:97" x14ac:dyDescent="0.45">
      <c r="CN417" s="2">
        <v>207</v>
      </c>
      <c r="CO417" s="14">
        <v>3.6780012704100286E-2</v>
      </c>
      <c r="CP417" s="14">
        <v>-1.88044862158092E-3</v>
      </c>
      <c r="CQ417" s="14">
        <v>4.510362298739125E-3</v>
      </c>
      <c r="CR417" s="14">
        <v>2.7133618813487245E-2</v>
      </c>
      <c r="CS417" s="14">
        <f t="shared" si="47"/>
        <v>6.6543545194745743E-2</v>
      </c>
    </row>
    <row r="418" spans="92:97" x14ac:dyDescent="0.45">
      <c r="CN418" s="2">
        <v>207.5</v>
      </c>
      <c r="CO418" s="14">
        <v>3.6780012704100286E-2</v>
      </c>
      <c r="CP418" s="14">
        <v>-1.8759178729219109E-3</v>
      </c>
      <c r="CQ418" s="14">
        <v>4.4995066287629787E-3</v>
      </c>
      <c r="CR418" s="14">
        <v>2.7078742234616371E-2</v>
      </c>
      <c r="CS418" s="14">
        <f t="shared" si="47"/>
        <v>6.6482343694557716E-2</v>
      </c>
    </row>
    <row r="419" spans="92:97" x14ac:dyDescent="0.45">
      <c r="CN419" s="2">
        <v>208</v>
      </c>
      <c r="CO419" s="14">
        <v>3.6780012704100286E-2</v>
      </c>
      <c r="CP419" s="14">
        <v>-1.8714088941706836E-3</v>
      </c>
      <c r="CQ419" s="14">
        <v>4.4887028282885929E-3</v>
      </c>
      <c r="CR419" s="14">
        <v>2.7024025374439247E-2</v>
      </c>
      <c r="CS419" s="14">
        <f t="shared" si="47"/>
        <v>6.6421332012657444E-2</v>
      </c>
    </row>
    <row r="420" spans="92:97" x14ac:dyDescent="0.45">
      <c r="CN420" s="2">
        <v>208.5</v>
      </c>
      <c r="CO420" s="14">
        <v>3.6780012704100286E-2</v>
      </c>
      <c r="CP420" s="14">
        <v>-1.8669215290563288E-3</v>
      </c>
      <c r="CQ420" s="14">
        <v>4.4779505322266634E-3</v>
      </c>
      <c r="CR420" s="14">
        <v>2.6969468056284317E-2</v>
      </c>
      <c r="CS420" s="14">
        <f t="shared" si="47"/>
        <v>6.636050976355494E-2</v>
      </c>
    </row>
    <row r="421" spans="92:97" x14ac:dyDescent="0.45">
      <c r="CN421" s="2">
        <v>209</v>
      </c>
      <c r="CO421" s="14">
        <v>3.6780012704100286E-2</v>
      </c>
      <c r="CP421" s="14">
        <v>-1.8624556227937409E-3</v>
      </c>
      <c r="CQ421" s="14">
        <v>4.4672493787807823E-3</v>
      </c>
      <c r="CR421" s="14">
        <v>2.6915070096993076E-2</v>
      </c>
      <c r="CS421" s="14">
        <f t="shared" si="47"/>
        <v>6.6299876557080403E-2</v>
      </c>
    </row>
    <row r="422" spans="92:97" x14ac:dyDescent="0.45">
      <c r="CN422" s="2">
        <v>209.5</v>
      </c>
      <c r="CO422" s="14">
        <v>3.6780012704100286E-2</v>
      </c>
      <c r="CP422" s="14">
        <v>-1.8580110220661541E-3</v>
      </c>
      <c r="CQ422" s="14">
        <v>4.4565990094130844E-3</v>
      </c>
      <c r="CR422" s="14">
        <v>2.6860831307051587E-2</v>
      </c>
      <c r="CS422" s="14">
        <f t="shared" si="47"/>
        <v>6.6239431998498799E-2</v>
      </c>
    </row>
    <row r="423" spans="92:97" x14ac:dyDescent="0.45">
      <c r="CN423" s="2">
        <v>210</v>
      </c>
      <c r="CO423" s="14">
        <v>3.6780012704100286E-2</v>
      </c>
      <c r="CP423" s="14">
        <v>-1.8535875750079209E-3</v>
      </c>
      <c r="CQ423" s="14">
        <v>4.4459990688102457E-3</v>
      </c>
      <c r="CR423" s="14">
        <v>2.6806751490720107E-2</v>
      </c>
      <c r="CS423" s="14">
        <f t="shared" si="47"/>
        <v>6.6179175688622721E-2</v>
      </c>
    </row>
    <row r="424" spans="92:97" x14ac:dyDescent="0.45">
      <c r="CN424" s="2">
        <v>210.5</v>
      </c>
      <c r="CO424" s="14">
        <v>3.6780012704100286E-2</v>
      </c>
      <c r="CP424" s="14">
        <v>-1.8491851311875276E-3</v>
      </c>
      <c r="CQ424" s="14">
        <v>4.4354492048498621E-3</v>
      </c>
      <c r="CR424" s="14">
        <v>2.6752830446160714E-2</v>
      </c>
      <c r="CS424" s="14">
        <f t="shared" si="47"/>
        <v>6.6119107223923335E-2</v>
      </c>
    </row>
    <row r="425" spans="92:97" x14ac:dyDescent="0.45">
      <c r="CN425" s="2">
        <v>211</v>
      </c>
      <c r="CO425" s="14">
        <v>3.6780012704100286E-2</v>
      </c>
      <c r="CP425" s="14">
        <v>-1.8448035415908454E-3</v>
      </c>
      <c r="CQ425" s="14">
        <v>4.4249490685671919E-3</v>
      </c>
      <c r="CR425" s="14">
        <v>2.6699067965563011E-2</v>
      </c>
      <c r="CS425" s="14">
        <f t="shared" si="47"/>
        <v>6.6059226196639648E-2</v>
      </c>
    </row>
    <row r="426" spans="92:97" x14ac:dyDescent="0.45">
      <c r="CN426" s="2">
        <v>211.5</v>
      </c>
      <c r="CO426" s="14">
        <v>3.6780012704100286E-2</v>
      </c>
      <c r="CP426" s="14">
        <v>-1.8404426586046115E-3</v>
      </c>
      <c r="CQ426" s="14">
        <v>4.4144983141222493E-3</v>
      </c>
      <c r="CR426" s="14">
        <v>2.6645463835267967E-2</v>
      </c>
      <c r="CS426" s="14">
        <f t="shared" si="47"/>
        <v>6.5999532194885885E-2</v>
      </c>
    </row>
    <row r="427" spans="92:97" x14ac:dyDescent="0.45">
      <c r="CN427" s="2">
        <v>212</v>
      </c>
      <c r="CO427" s="14">
        <v>3.6780012704100286E-2</v>
      </c>
      <c r="CP427" s="14">
        <v>-1.8361023360001388E-3</v>
      </c>
      <c r="CQ427" s="14">
        <v>4.4040965987672751E-3</v>
      </c>
      <c r="CR427" s="14">
        <v>2.659201783588987E-2</v>
      </c>
      <c r="CS427" s="14">
        <f t="shared" si="47"/>
        <v>6.5940024802757291E-2</v>
      </c>
    </row>
    <row r="428" spans="92:97" x14ac:dyDescent="0.45">
      <c r="CN428" s="2">
        <v>212.5</v>
      </c>
      <c r="CO428" s="14">
        <v>3.6780012704100286E-2</v>
      </c>
      <c r="CP428" s="14">
        <v>-1.831782428917248E-3</v>
      </c>
      <c r="CQ428" s="14">
        <v>4.3937435828145452E-3</v>
      </c>
      <c r="CR428" s="14">
        <v>2.6538729742436425E-2</v>
      </c>
      <c r="CS428" s="14">
        <f t="shared" si="47"/>
        <v>6.5880703600434007E-2</v>
      </c>
    </row>
    <row r="429" spans="92:97" x14ac:dyDescent="0.45">
      <c r="CN429" s="2">
        <v>213</v>
      </c>
      <c r="CO429" s="14">
        <v>3.6780012704100286E-2</v>
      </c>
      <c r="CP429" s="14">
        <v>-1.8274827938484194E-3</v>
      </c>
      <c r="CQ429" s="14">
        <v>4.3834389296045417E-3</v>
      </c>
      <c r="CR429" s="14">
        <v>2.6485599324427043E-2</v>
      </c>
      <c r="CS429" s="14">
        <f t="shared" si="47"/>
        <v>6.5821568164283459E-2</v>
      </c>
    </row>
    <row r="430" spans="92:97" x14ac:dyDescent="0.45">
      <c r="CN430" s="2">
        <v>213.5</v>
      </c>
      <c r="CO430" s="14">
        <v>3.6780012704100286E-2</v>
      </c>
      <c r="CP430" s="14">
        <v>-1.8232032886231625E-3</v>
      </c>
      <c r="CQ430" s="14">
        <v>4.3731823054744632E-3</v>
      </c>
      <c r="CR430" s="14">
        <v>2.643262634600934E-2</v>
      </c>
      <c r="CS430" s="14">
        <f t="shared" si="47"/>
        <v>6.5762618066960932E-2</v>
      </c>
    </row>
    <row r="431" spans="92:97" x14ac:dyDescent="0.45">
      <c r="CN431" s="2">
        <v>214</v>
      </c>
      <c r="CO431" s="14">
        <v>3.6780012704100286E-2</v>
      </c>
      <c r="CP431" s="14">
        <v>-1.8189437723926006E-3</v>
      </c>
      <c r="CQ431" s="14">
        <v>4.3629733797270944E-3</v>
      </c>
      <c r="CR431" s="14">
        <v>2.6379810566073872E-2</v>
      </c>
      <c r="CS431" s="14">
        <f t="shared" si="47"/>
        <v>6.5703852877508656E-2</v>
      </c>
    </row>
    <row r="432" spans="92:97" x14ac:dyDescent="0.45">
      <c r="CN432" s="2">
        <v>214.5</v>
      </c>
      <c r="CO432" s="14">
        <v>3.6780012704100286E-2</v>
      </c>
      <c r="CP432" s="14">
        <v>-1.8147041056142611E-3</v>
      </c>
      <c r="CQ432" s="14">
        <v>4.3528118245999958E-3</v>
      </c>
      <c r="CR432" s="14">
        <v>2.6327151738367117E-2</v>
      </c>
      <c r="CS432" s="14">
        <f t="shared" si="47"/>
        <v>6.5645272161453133E-2</v>
      </c>
    </row>
    <row r="433" spans="92:97" x14ac:dyDescent="0.45">
      <c r="CN433" s="2">
        <v>215</v>
      </c>
      <c r="CO433" s="14">
        <v>3.6780012704100286E-2</v>
      </c>
      <c r="CP433" s="14">
        <v>-1.8104841500370759E-3</v>
      </c>
      <c r="CQ433" s="14">
        <v>4.3426973152350563E-3</v>
      </c>
      <c r="CR433" s="14">
        <v>2.6274649611602707E-2</v>
      </c>
      <c r="CS433" s="14">
        <f t="shared" si="47"/>
        <v>6.5586875480900975E-2</v>
      </c>
    </row>
    <row r="434" spans="92:97" x14ac:dyDescent="0.45">
      <c r="CN434" s="2">
        <v>215.5</v>
      </c>
      <c r="CO434" s="14">
        <v>3.6780012704100286E-2</v>
      </c>
      <c r="CP434" s="14">
        <v>-1.8062837686865848E-3</v>
      </c>
      <c r="CQ434" s="14">
        <v>4.3326295296483592E-3</v>
      </c>
      <c r="CR434" s="14">
        <v>2.6222303929571051E-2</v>
      </c>
      <c r="CS434" s="14">
        <f t="shared" si="47"/>
        <v>6.5528662394633105E-2</v>
      </c>
    </row>
    <row r="435" spans="92:97" x14ac:dyDescent="0.45">
      <c r="CN435" s="2">
        <v>216</v>
      </c>
      <c r="CO435" s="14">
        <v>3.6780012704100286E-2</v>
      </c>
      <c r="CP435" s="14">
        <v>-1.8021028258503383E-3</v>
      </c>
      <c r="CQ435" s="14">
        <v>4.3226081487003961E-3</v>
      </c>
      <c r="CR435" s="14">
        <v>2.617011443124715E-2</v>
      </c>
      <c r="CS435" s="14">
        <f t="shared" si="47"/>
        <v>6.5470632458197495E-2</v>
      </c>
    </row>
    <row r="436" spans="92:97" x14ac:dyDescent="0.45">
      <c r="CN436" s="2">
        <v>216.5</v>
      </c>
      <c r="CO436" s="14">
        <v>3.6780012704100286E-2</v>
      </c>
      <c r="CP436" s="14">
        <v>-1.7979411870634996E-3</v>
      </c>
      <c r="CQ436" s="14">
        <v>4.3126328560665964E-3</v>
      </c>
      <c r="CR436" s="14">
        <v>2.6118080850896907E-2</v>
      </c>
      <c r="CS436" s="14">
        <f t="shared" si="47"/>
        <v>6.5412785224000292E-2</v>
      </c>
    </row>
    <row r="437" spans="92:97" x14ac:dyDescent="0.45">
      <c r="CN437" s="2">
        <v>217</v>
      </c>
      <c r="CO437" s="14">
        <v>3.6780012704100286E-2</v>
      </c>
      <c r="CP437" s="14">
        <v>-1.7937987190946377E-3</v>
      </c>
      <c r="CQ437" s="14">
        <v>4.3027033382081912E-3</v>
      </c>
      <c r="CR437" s="14">
        <v>2.6066202918181715E-2</v>
      </c>
      <c r="CS437" s="14">
        <f t="shared" si="47"/>
        <v>6.5355120241395559E-2</v>
      </c>
    </row>
    <row r="438" spans="92:97" x14ac:dyDescent="0.45">
      <c r="CN438" s="2">
        <v>217.5</v>
      </c>
      <c r="CO438" s="14">
        <v>3.6780012704100286E-2</v>
      </c>
      <c r="CP438" s="14">
        <v>-1.7896752899317153E-3</v>
      </c>
      <c r="CQ438" s="14">
        <v>4.2928192843433976E-3</v>
      </c>
      <c r="CR438" s="14">
        <v>2.6014480358261434E-2</v>
      </c>
      <c r="CS438" s="14">
        <f t="shared" si="47"/>
        <v>6.5297637056773411E-2</v>
      </c>
    </row>
    <row r="439" spans="92:97" x14ac:dyDescent="0.45">
      <c r="CN439" s="2">
        <v>218</v>
      </c>
      <c r="CO439" s="14">
        <v>3.6780012704100286E-2</v>
      </c>
      <c r="CP439" s="14">
        <v>-1.7855707687682626E-3</v>
      </c>
      <c r="CQ439" s="14">
        <v>4.282980386418913E-3</v>
      </c>
      <c r="CR439" s="14">
        <v>2.5962912891895864E-2</v>
      </c>
      <c r="CS439" s="14">
        <f t="shared" si="47"/>
        <v>6.5240335213646805E-2</v>
      </c>
    </row>
    <row r="440" spans="92:97" x14ac:dyDescent="0.45">
      <c r="CN440" s="2">
        <v>218.5</v>
      </c>
      <c r="CO440" s="14">
        <v>3.6780012704100286E-2</v>
      </c>
      <c r="CP440" s="14">
        <v>-1.7814850259897383E-3</v>
      </c>
      <c r="CQ440" s="14">
        <v>4.2731863390817418E-3</v>
      </c>
      <c r="CR440" s="14">
        <v>2.591150023554457E-2</v>
      </c>
      <c r="CS440" s="14">
        <f t="shared" si="47"/>
        <v>6.5183214252736862E-2</v>
      </c>
    </row>
    <row r="441" spans="92:97" x14ac:dyDescent="0.45">
      <c r="CN441" s="2">
        <v>219</v>
      </c>
      <c r="CO441" s="14">
        <v>3.6780012704100286E-2</v>
      </c>
      <c r="CP441" s="14">
        <v>-1.7774179331600708E-3</v>
      </c>
      <c r="CQ441" s="14">
        <v>4.2634368396513101E-3</v>
      </c>
      <c r="CR441" s="14">
        <v>2.586024210146522E-2</v>
      </c>
      <c r="CS441" s="14">
        <f t="shared" si="47"/>
        <v>6.5126273712056745E-2</v>
      </c>
    </row>
    <row r="442" spans="92:97" x14ac:dyDescent="0.45">
      <c r="CN442" s="2">
        <v>219.5</v>
      </c>
      <c r="CO442" s="14">
        <v>3.6780012704100286E-2</v>
      </c>
      <c r="CP442" s="14">
        <v>-1.7733693630083815E-3</v>
      </c>
      <c r="CQ442" s="14">
        <v>4.2537315880919165E-3</v>
      </c>
      <c r="CR442" s="14">
        <v>2.5809138197810395E-2</v>
      </c>
      <c r="CS442" s="14">
        <f t="shared" si="47"/>
        <v>6.5069513126994216E-2</v>
      </c>
    </row>
    <row r="443" spans="92:97" x14ac:dyDescent="0.45">
      <c r="CN443" s="2">
        <v>220</v>
      </c>
      <c r="CO443" s="14">
        <v>3.6780012704100286E-2</v>
      </c>
      <c r="CP443" s="14">
        <v>-1.7693391894158842E-3</v>
      </c>
      <c r="CQ443" s="14">
        <v>4.2440702869854649E-3</v>
      </c>
      <c r="CR443" s="14">
        <v>2.5758188228722886E-2</v>
      </c>
      <c r="CS443" s="14">
        <f t="shared" si="47"/>
        <v>6.5012932030392753E-2</v>
      </c>
    </row>
    <row r="444" spans="92:97" x14ac:dyDescent="0.45">
      <c r="CN444" s="2">
        <v>220.5</v>
      </c>
      <c r="CO444" s="14">
        <v>3.6780012704100286E-2</v>
      </c>
      <c r="CP444" s="14">
        <v>-1.7653272874029596E-3</v>
      </c>
      <c r="CQ444" s="14">
        <v>4.2344526415045193E-3</v>
      </c>
      <c r="CR444" s="14">
        <v>2.570739189442952E-2</v>
      </c>
      <c r="CS444" s="14">
        <f t="shared" si="47"/>
        <v>6.4956529952631376E-2</v>
      </c>
    </row>
    <row r="445" spans="92:97" x14ac:dyDescent="0.45">
      <c r="CN445" s="2">
        <v>221</v>
      </c>
      <c r="CO445" s="14">
        <v>3.6780012704100286E-2</v>
      </c>
      <c r="CP445" s="14">
        <v>-1.7613335331163992E-3</v>
      </c>
      <c r="CQ445" s="14">
        <v>4.2248783593856372E-3</v>
      </c>
      <c r="CR445" s="14">
        <v>2.5656748891333545E-2</v>
      </c>
      <c r="CS445" s="14">
        <f t="shared" si="47"/>
        <v>6.4900306421703066E-2</v>
      </c>
    </row>
    <row r="446" spans="92:97" x14ac:dyDescent="0.45">
      <c r="CN446" s="2">
        <v>221.5</v>
      </c>
      <c r="CO446" s="14">
        <v>3.6780012704100286E-2</v>
      </c>
      <c r="CP446" s="14">
        <v>-1.7573578038168215E-3</v>
      </c>
      <c r="CQ446" s="14">
        <v>4.2153471509030231E-3</v>
      </c>
      <c r="CR446" s="14">
        <v>2.5606258912105564E-2</v>
      </c>
      <c r="CS446" s="14">
        <f t="shared" si="47"/>
        <v>6.4844260963292044E-2</v>
      </c>
    </row>
    <row r="447" spans="92:97" x14ac:dyDescent="0.45">
      <c r="CN447" s="2">
        <v>222</v>
      </c>
      <c r="CO447" s="14">
        <v>3.6780012704100286E-2</v>
      </c>
      <c r="CP447" s="14">
        <v>-1.7533999778662525E-3</v>
      </c>
      <c r="CQ447" s="14">
        <v>4.2058587288424558E-3</v>
      </c>
      <c r="CR447" s="14">
        <v>2.5555921645773052E-2</v>
      </c>
      <c r="CS447" s="14">
        <f t="shared" si="47"/>
        <v>6.4788393100849537E-2</v>
      </c>
    </row>
    <row r="448" spans="92:97" x14ac:dyDescent="0.45">
      <c r="CN448" s="2">
        <v>222.5</v>
      </c>
      <c r="CO448" s="14">
        <v>3.6780012704100286E-2</v>
      </c>
      <c r="CP448" s="14">
        <v>-1.7494599347158708E-3</v>
      </c>
      <c r="CQ448" s="14">
        <v>4.1964128084755114E-3</v>
      </c>
      <c r="CR448" s="14">
        <v>2.5505736777808485E-2</v>
      </c>
      <c r="CS448" s="14">
        <f t="shared" si="47"/>
        <v>6.4732702355668414E-2</v>
      </c>
    </row>
    <row r="449" spans="92:97" x14ac:dyDescent="0.45">
      <c r="CN449" s="2">
        <v>223</v>
      </c>
      <c r="CO449" s="14">
        <v>3.6780012704100286E-2</v>
      </c>
      <c r="CP449" s="14">
        <v>-1.7455375548939144E-3</v>
      </c>
      <c r="CQ449" s="14">
        <v>4.1870091075340799E-3</v>
      </c>
      <c r="CR449" s="14">
        <v>2.5455703990216086E-2</v>
      </c>
      <c r="CS449" s="14">
        <f t="shared" si="47"/>
        <v>6.4677188246956535E-2</v>
      </c>
    </row>
    <row r="450" spans="92:97" x14ac:dyDescent="0.45">
      <c r="CN450" s="2">
        <v>223.5</v>
      </c>
      <c r="CO450" s="14">
        <v>3.6780012704100286E-2</v>
      </c>
      <c r="CP450" s="14">
        <v>-1.7416327199937464E-3</v>
      </c>
      <c r="CQ450" s="14">
        <v>4.1776473461851591E-3</v>
      </c>
      <c r="CR450" s="14">
        <v>2.5405822961617221E-2</v>
      </c>
      <c r="CS450" s="14">
        <f t="shared" si="47"/>
        <v>6.4621850291908922E-2</v>
      </c>
    </row>
    <row r="451" spans="92:97" x14ac:dyDescent="0.45">
      <c r="CN451" s="2">
        <v>224</v>
      </c>
      <c r="CO451" s="14">
        <v>3.6780012704100286E-2</v>
      </c>
      <c r="CP451" s="14">
        <v>-1.737745312662078E-3</v>
      </c>
      <c r="CQ451" s="14">
        <v>4.1683272470059264E-3</v>
      </c>
      <c r="CR451" s="14">
        <v>2.5356093367334444E-2</v>
      </c>
      <c r="CS451" s="14">
        <f t="shared" si="47"/>
        <v>6.4566688005778583E-2</v>
      </c>
    </row>
    <row r="452" spans="92:97" x14ac:dyDescent="0.45">
      <c r="CN452" s="2">
        <v>224.5</v>
      </c>
      <c r="CO452" s="14">
        <v>3.6780012704100286E-2</v>
      </c>
      <c r="CP452" s="14">
        <v>-1.7338752165873446E-3</v>
      </c>
      <c r="CQ452" s="14">
        <v>4.1590485349590998E-3</v>
      </c>
      <c r="CR452" s="14">
        <v>2.5306514879474218E-2</v>
      </c>
      <c r="CS452" s="14">
        <f t="shared" si="47"/>
        <v>6.4511700901946259E-2</v>
      </c>
    </row>
    <row r="453" spans="92:97" x14ac:dyDescent="0.45">
      <c r="CN453" s="2">
        <v>225</v>
      </c>
      <c r="CO453" s="14">
        <v>3.6780012704100286E-2</v>
      </c>
      <c r="CP453" s="14">
        <v>-1.7300223164882348E-3</v>
      </c>
      <c r="CQ453" s="14">
        <v>4.1498109373685581E-3</v>
      </c>
      <c r="CR453" s="14">
        <v>2.5257087167008366E-2</v>
      </c>
      <c r="CS453" s="14">
        <f t="shared" si="47"/>
        <v>6.4456888491988967E-2</v>
      </c>
    </row>
    <row r="454" spans="92:97" x14ac:dyDescent="0.45">
      <c r="CN454" s="2">
        <v>225.5</v>
      </c>
      <c r="CO454" s="14">
        <v>3.6780012704100286E-2</v>
      </c>
      <c r="CP454" s="14">
        <v>-1.7261864981023692E-3</v>
      </c>
      <c r="CQ454" s="14">
        <v>4.140614183895254E-3</v>
      </c>
      <c r="CR454" s="14">
        <v>2.5207809895854208E-2</v>
      </c>
      <c r="CS454" s="14">
        <f t="shared" ref="CS454:CS503" si="48">SUM(CO454:CR454)</f>
        <v>6.4402250285747378E-2</v>
      </c>
    </row>
    <row r="455" spans="92:97" x14ac:dyDescent="0.45">
      <c r="CN455" s="2">
        <v>226</v>
      </c>
      <c r="CO455" s="14">
        <v>3.6780012704100286E-2</v>
      </c>
      <c r="CP455" s="14">
        <v>-1.7223676481751258E-3</v>
      </c>
      <c r="CQ455" s="14">
        <v>4.1314580065133673E-3</v>
      </c>
      <c r="CR455" s="14">
        <v>2.515868272895341E-2</v>
      </c>
      <c r="CS455" s="14">
        <f t="shared" si="48"/>
        <v>6.4347785791391943E-2</v>
      </c>
    </row>
    <row r="456" spans="92:97" x14ac:dyDescent="0.45">
      <c r="CN456" s="2">
        <v>226.5</v>
      </c>
      <c r="CO456" s="14">
        <v>3.6780012704100286E-2</v>
      </c>
      <c r="CP456" s="14">
        <v>-1.7185656544486136E-3</v>
      </c>
      <c r="CQ456" s="14">
        <v>4.1223421394867565E-3</v>
      </c>
      <c r="CR456" s="14">
        <v>2.5109705326349662E-2</v>
      </c>
      <c r="CS456" s="14">
        <f t="shared" si="48"/>
        <v>6.4293494515488089E-2</v>
      </c>
    </row>
    <row r="457" spans="92:97" x14ac:dyDescent="0.45">
      <c r="CN457" s="2">
        <v>227</v>
      </c>
      <c r="CO457" s="14">
        <v>3.6780012704100286E-2</v>
      </c>
      <c r="CP457" s="14">
        <v>-1.7147804056507835E-3</v>
      </c>
      <c r="CQ457" s="14">
        <v>4.1132663193456497E-3</v>
      </c>
      <c r="CR457" s="14">
        <v>2.5060877345265062E-2</v>
      </c>
      <c r="CS457" s="14">
        <f t="shared" si="48"/>
        <v>6.4239375963060216E-2</v>
      </c>
    </row>
    <row r="458" spans="92:97" x14ac:dyDescent="0.45">
      <c r="CN458" s="2">
        <v>227.5</v>
      </c>
      <c r="CO458" s="14">
        <v>3.6780012704100286E-2</v>
      </c>
      <c r="CP458" s="14">
        <v>-1.7110117914846867E-3</v>
      </c>
      <c r="CQ458" s="14">
        <v>4.1042302848636027E-3</v>
      </c>
      <c r="CR458" s="14">
        <v>2.5012198440175267E-2</v>
      </c>
      <c r="CS458" s="14">
        <f t="shared" si="48"/>
        <v>6.4185429637654473E-2</v>
      </c>
    </row>
    <row r="459" spans="92:97" x14ac:dyDescent="0.45">
      <c r="CN459" s="2">
        <v>228</v>
      </c>
      <c r="CO459" s="14">
        <v>3.6780012704100286E-2</v>
      </c>
      <c r="CP459" s="14">
        <v>-1.707259702617868E-3</v>
      </c>
      <c r="CQ459" s="14">
        <v>4.0952337770347189E-3</v>
      </c>
      <c r="CR459" s="14">
        <v>2.4963668262883539E-2</v>
      </c>
      <c r="CS459" s="14">
        <f t="shared" si="48"/>
        <v>6.413165504140067E-2</v>
      </c>
    </row>
    <row r="460" spans="92:97" x14ac:dyDescent="0.45">
      <c r="CN460" s="2">
        <v>228.5</v>
      </c>
      <c r="CO460" s="14">
        <v>3.6780012704100286E-2</v>
      </c>
      <c r="CP460" s="14">
        <v>-1.7035240306718968E-3</v>
      </c>
      <c r="CQ460" s="14">
        <v>4.0862765390511178E-3</v>
      </c>
      <c r="CR460" s="14">
        <v>2.4915286462593507E-2</v>
      </c>
      <c r="CS460" s="14">
        <f t="shared" si="48"/>
        <v>6.4078051675073022E-2</v>
      </c>
    </row>
    <row r="461" spans="92:97" x14ac:dyDescent="0.45">
      <c r="CN461" s="2">
        <v>229</v>
      </c>
      <c r="CO461" s="14">
        <v>3.6780012704100286E-2</v>
      </c>
      <c r="CP461" s="14">
        <v>-1.6998046682120348E-3</v>
      </c>
      <c r="CQ461" s="14">
        <v>4.0773583162806611E-3</v>
      </c>
      <c r="CR461" s="14">
        <v>2.4867052685980856E-2</v>
      </c>
      <c r="CS461" s="14">
        <f t="shared" si="48"/>
        <v>6.4024619038149766E-2</v>
      </c>
    </row>
    <row r="462" spans="92:97" x14ac:dyDescent="0.45">
      <c r="CN462" s="2">
        <v>229.5</v>
      </c>
      <c r="CO462" s="14">
        <v>3.6780012704100286E-2</v>
      </c>
      <c r="CP462" s="14">
        <v>-1.6961015087370325E-3</v>
      </c>
      <c r="CQ462" s="14">
        <v>4.0684788562449191E-3</v>
      </c>
      <c r="CR462" s="14">
        <v>2.4818966577263773E-2</v>
      </c>
      <c r="CS462" s="14">
        <f t="shared" si="48"/>
        <v>6.3971356628871948E-2</v>
      </c>
    </row>
    <row r="463" spans="92:97" x14ac:dyDescent="0.45">
      <c r="CN463" s="2">
        <v>230</v>
      </c>
      <c r="CO463" s="14">
        <v>3.6780012704100286E-2</v>
      </c>
      <c r="CP463" s="14">
        <v>-1.6924144466690611E-3</v>
      </c>
      <c r="CQ463" s="14">
        <v>4.0596379085973931E-3</v>
      </c>
      <c r="CR463" s="14">
        <v>2.4771027778272361E-2</v>
      </c>
      <c r="CS463" s="14">
        <f t="shared" si="48"/>
        <v>6.3918263944300988E-2</v>
      </c>
    </row>
    <row r="464" spans="92:97" x14ac:dyDescent="0.45">
      <c r="CN464" s="2">
        <v>230.5</v>
      </c>
      <c r="CO464" s="14">
        <v>3.6780012704100286E-2</v>
      </c>
      <c r="CP464" s="14">
        <v>-1.6887433773437699E-3</v>
      </c>
      <c r="CQ464" s="14">
        <v>4.0508352251019744E-3</v>
      </c>
      <c r="CR464" s="14">
        <v>2.4723235928516874E-2</v>
      </c>
      <c r="CS464" s="14">
        <f t="shared" si="48"/>
        <v>6.3865340480375371E-2</v>
      </c>
    </row>
    <row r="465" spans="92:97" x14ac:dyDescent="0.45">
      <c r="CN465" s="2">
        <v>231</v>
      </c>
      <c r="CO465" s="14">
        <v>3.6780012704100286E-2</v>
      </c>
      <c r="CP465" s="14">
        <v>-1.6850881970004732E-3</v>
      </c>
      <c r="CQ465" s="14">
        <v>4.0420705596116487E-3</v>
      </c>
      <c r="CR465" s="14">
        <v>2.4675590665254873E-2</v>
      </c>
      <c r="CS465" s="14">
        <f t="shared" si="48"/>
        <v>6.381258573196634E-2</v>
      </c>
    </row>
    <row r="466" spans="92:97" x14ac:dyDescent="0.45">
      <c r="CN466" s="2">
        <v>231.5</v>
      </c>
      <c r="CO466" s="14">
        <v>3.6780012704100286E-2</v>
      </c>
      <c r="CP466" s="14">
        <v>-1.6814488027724604E-3</v>
      </c>
      <c r="CQ466" s="14">
        <v>4.0333436680474299E-3</v>
      </c>
      <c r="CR466" s="14">
        <v>2.462809162355729E-2</v>
      </c>
      <c r="CS466" s="14">
        <f t="shared" si="48"/>
        <v>6.3759999192932543E-2</v>
      </c>
    </row>
    <row r="467" spans="92:97" x14ac:dyDescent="0.45">
      <c r="CN467" s="2">
        <v>232</v>
      </c>
      <c r="CO467" s="14">
        <v>3.6780012704100286E-2</v>
      </c>
      <c r="CP467" s="14">
        <v>-1.6778250926774308E-3</v>
      </c>
      <c r="CQ467" s="14">
        <v>4.024654308377543E-3</v>
      </c>
      <c r="CR467" s="14">
        <v>2.4580738436373446E-2</v>
      </c>
      <c r="CS467" s="14">
        <f t="shared" si="48"/>
        <v>6.370758035617384E-2</v>
      </c>
    </row>
    <row r="468" spans="92:97" x14ac:dyDescent="0.45">
      <c r="CN468" s="2">
        <v>232.5</v>
      </c>
      <c r="CO468" s="14">
        <v>3.6780012704100286E-2</v>
      </c>
      <c r="CP468" s="14">
        <v>-1.67421696560805E-3</v>
      </c>
      <c r="CQ468" s="14">
        <v>4.0160022405968283E-3</v>
      </c>
      <c r="CR468" s="14">
        <v>2.4533530734594969E-2</v>
      </c>
      <c r="CS468" s="14">
        <f t="shared" si="48"/>
        <v>6.3655328713684026E-2</v>
      </c>
    </row>
    <row r="469" spans="92:97" x14ac:dyDescent="0.45">
      <c r="CN469" s="2">
        <v>233</v>
      </c>
      <c r="CO469" s="14">
        <v>3.6780012704100286E-2</v>
      </c>
      <c r="CP469" s="14">
        <v>-1.6706243213226238E-3</v>
      </c>
      <c r="CQ469" s="14">
        <v>4.0073872267063788E-3</v>
      </c>
      <c r="CR469" s="14">
        <v>2.4486468147118735E-2</v>
      </c>
      <c r="CS469" s="14">
        <f t="shared" si="48"/>
        <v>6.360324375660277E-2</v>
      </c>
    </row>
    <row r="470" spans="92:97" x14ac:dyDescent="0.45">
      <c r="CN470" s="2">
        <v>233.5</v>
      </c>
      <c r="CO470" s="14">
        <v>3.6780012704100286E-2</v>
      </c>
      <c r="CP470" s="14">
        <v>-1.6670470604358944E-3</v>
      </c>
      <c r="CQ470" s="14">
        <v>3.9988090306934078E-3</v>
      </c>
      <c r="CR470" s="14">
        <v>2.4439550300908722E-2</v>
      </c>
      <c r="CS470" s="14">
        <f t="shared" si="48"/>
        <v>6.3551324975266513E-2</v>
      </c>
    </row>
    <row r="471" spans="92:97" x14ac:dyDescent="0.45">
      <c r="CN471" s="2">
        <v>234</v>
      </c>
      <c r="CO471" s="14">
        <v>3.6780012704100286E-2</v>
      </c>
      <c r="CP471" s="14">
        <v>-1.6634850844099484E-3</v>
      </c>
      <c r="CQ471" s="14">
        <v>3.990267418511338E-3</v>
      </c>
      <c r="CR471" s="14">
        <v>2.4392776821056925E-2</v>
      </c>
      <c r="CS471" s="14">
        <f t="shared" si="48"/>
        <v>6.3499571859258599E-2</v>
      </c>
    </row>
    <row r="472" spans="92:97" x14ac:dyDescent="0.45">
      <c r="CN472" s="2">
        <v>234.5</v>
      </c>
      <c r="CO472" s="14">
        <v>3.6780012704100286E-2</v>
      </c>
      <c r="CP472" s="14">
        <v>-1.6599382955452427E-3</v>
      </c>
      <c r="CQ472" s="14">
        <v>3.9817621580601151E-3</v>
      </c>
      <c r="CR472" s="14">
        <v>2.4346147330843174E-2</v>
      </c>
      <c r="CS472" s="14">
        <f t="shared" si="48"/>
        <v>6.3447983897458329E-2</v>
      </c>
    </row>
    <row r="473" spans="92:97" x14ac:dyDescent="0.45">
      <c r="CN473" s="2">
        <v>235</v>
      </c>
      <c r="CO473" s="14">
        <v>3.6780012704100286E-2</v>
      </c>
      <c r="CP473" s="14">
        <v>-1.6564065969717414E-3</v>
      </c>
      <c r="CQ473" s="14">
        <v>3.9732930191667395E-3</v>
      </c>
      <c r="CR473" s="14">
        <v>2.4299661451794106E-2</v>
      </c>
      <c r="CS473" s="14">
        <f t="shared" si="48"/>
        <v>6.3396560578089386E-2</v>
      </c>
    </row>
    <row r="474" spans="92:97" x14ac:dyDescent="0.45">
      <c r="CN474" s="2">
        <v>235.5</v>
      </c>
      <c r="CO474" s="14">
        <v>3.6780012704100286E-2</v>
      </c>
      <c r="CP474" s="14">
        <v>-1.6528898926401652E-3</v>
      </c>
      <c r="CQ474" s="14">
        <v>3.9648597735660205E-3</v>
      </c>
      <c r="CR474" s="14">
        <v>2.4253318803741035E-2</v>
      </c>
      <c r="CS474" s="14">
        <f t="shared" si="48"/>
        <v>6.3345301388767178E-2</v>
      </c>
    </row>
    <row r="475" spans="92:97" x14ac:dyDescent="0.45">
      <c r="CN475" s="2">
        <v>236</v>
      </c>
      <c r="CO475" s="14">
        <v>3.6780012704100286E-2</v>
      </c>
      <c r="CP475" s="14">
        <v>-1.64938808731335E-3</v>
      </c>
      <c r="CQ475" s="14">
        <v>3.9564621948815319E-3</v>
      </c>
      <c r="CR475" s="14">
        <v>2.4207119004876949E-2</v>
      </c>
      <c r="CS475" s="14">
        <f t="shared" si="48"/>
        <v>6.3294205816545407E-2</v>
      </c>
    </row>
    <row r="476" spans="92:97" x14ac:dyDescent="0.45">
      <c r="CN476" s="2">
        <v>236.5</v>
      </c>
      <c r="CO476" s="14">
        <v>3.6780012704100286E-2</v>
      </c>
      <c r="CP476" s="14">
        <v>-1.6459010865577139E-3</v>
      </c>
      <c r="CQ476" s="14">
        <v>3.9481000586068004E-3</v>
      </c>
      <c r="CR476" s="14">
        <v>2.4161061671812568E-2</v>
      </c>
      <c r="CS476" s="14">
        <f t="shared" si="48"/>
        <v>6.3243273347961954E-2</v>
      </c>
    </row>
    <row r="477" spans="92:97" x14ac:dyDescent="0.45">
      <c r="CN477" s="2">
        <v>237</v>
      </c>
      <c r="CO477" s="14">
        <v>3.6780012704100286E-2</v>
      </c>
      <c r="CP477" s="14">
        <v>-1.6424287967348296E-3</v>
      </c>
      <c r="CQ477" s="14">
        <v>3.9397731420866833E-3</v>
      </c>
      <c r="CR477" s="14">
        <v>2.4115146419631424E-2</v>
      </c>
      <c r="CS477" s="14">
        <f t="shared" si="48"/>
        <v>6.3192503469083561E-2</v>
      </c>
    </row>
    <row r="478" spans="92:97" x14ac:dyDescent="0.45">
      <c r="CN478" s="2">
        <v>237.5</v>
      </c>
      <c r="CO478" s="14">
        <v>3.6780012704100286E-2</v>
      </c>
      <c r="CP478" s="14">
        <v>-1.6389711249931048E-3</v>
      </c>
      <c r="CQ478" s="14">
        <v>3.9314812244989729E-3</v>
      </c>
      <c r="CR478" s="14">
        <v>2.406937286194406E-2</v>
      </c>
      <c r="CS478" s="14">
        <f t="shared" si="48"/>
        <v>6.3141895665550216E-2</v>
      </c>
    </row>
    <row r="479" spans="92:97" x14ac:dyDescent="0.45">
      <c r="CN479" s="2">
        <v>238</v>
      </c>
      <c r="CO479" s="14">
        <v>3.6780012704100286E-2</v>
      </c>
      <c r="CP479" s="14">
        <v>-1.6355279792595622E-3</v>
      </c>
      <c r="CQ479" s="14">
        <v>3.923224086836187E-3</v>
      </c>
      <c r="CR479" s="14">
        <v>2.4023740610941344E-2</v>
      </c>
      <c r="CS479" s="14">
        <f t="shared" si="48"/>
        <v>6.3091449422618254E-2</v>
      </c>
    </row>
    <row r="480" spans="92:97" x14ac:dyDescent="0.45">
      <c r="CN480" s="2">
        <v>238.5</v>
      </c>
      <c r="CO480" s="14">
        <v>3.6780012704100286E-2</v>
      </c>
      <c r="CP480" s="14">
        <v>-1.6320992682317249E-3</v>
      </c>
      <c r="CQ480" s="14">
        <v>3.9150015118875779E-3</v>
      </c>
      <c r="CR480" s="14">
        <v>2.3978249277446864E-2</v>
      </c>
      <c r="CS480" s="14">
        <f t="shared" si="48"/>
        <v>6.3041164225203006E-2</v>
      </c>
    </row>
    <row r="481" spans="92:97" x14ac:dyDescent="0.45">
      <c r="CN481" s="2">
        <v>239</v>
      </c>
      <c r="CO481" s="14">
        <v>3.6780012704100286E-2</v>
      </c>
      <c r="CP481" s="14">
        <v>-1.6286849013696007E-3</v>
      </c>
      <c r="CQ481" s="14">
        <v>3.9068132842213325E-3</v>
      </c>
      <c r="CR481" s="14">
        <v>2.3932898470968453E-2</v>
      </c>
      <c r="CS481" s="14">
        <f t="shared" si="48"/>
        <v>6.2991039557920472E-2</v>
      </c>
    </row>
    <row r="482" spans="92:97" x14ac:dyDescent="0.45">
      <c r="CN482" s="2">
        <v>239.5</v>
      </c>
      <c r="CO482" s="14">
        <v>3.6780012704100286E-2</v>
      </c>
      <c r="CP482" s="14">
        <v>-1.6252847888877662E-3</v>
      </c>
      <c r="CQ482" s="14">
        <v>3.8986591901669773E-3</v>
      </c>
      <c r="CR482" s="14">
        <v>2.3887687799748876E-2</v>
      </c>
      <c r="CS482" s="14">
        <f t="shared" si="48"/>
        <v>6.2941074905128375E-2</v>
      </c>
    </row>
    <row r="483" spans="92:97" x14ac:dyDescent="0.45">
      <c r="CN483" s="2">
        <v>240</v>
      </c>
      <c r="CO483" s="14">
        <v>3.6780012704100286E-2</v>
      </c>
      <c r="CP483" s="14">
        <v>-1.6218988417475478E-3</v>
      </c>
      <c r="CQ483" s="14">
        <v>3.8905390177979755E-3</v>
      </c>
      <c r="CR483" s="14">
        <v>2.3842616870815632E-2</v>
      </c>
      <c r="CS483" s="14">
        <f t="shared" si="48"/>
        <v>6.2891269750966344E-2</v>
      </c>
    </row>
    <row r="484" spans="92:97" x14ac:dyDescent="0.45">
      <c r="CN484" s="2">
        <v>240.5</v>
      </c>
      <c r="CO484" s="14">
        <v>3.6780012704100286E-2</v>
      </c>
      <c r="CP484" s="14">
        <v>-1.6185269716493002E-3</v>
      </c>
      <c r="CQ484" s="14">
        <v>3.8824525569145112E-3</v>
      </c>
      <c r="CR484" s="14">
        <v>2.3797685290029947E-2</v>
      </c>
      <c r="CS484" s="14">
        <f t="shared" si="48"/>
        <v>6.2841623579395448E-2</v>
      </c>
    </row>
    <row r="485" spans="92:97" x14ac:dyDescent="0.45">
      <c r="CN485" s="2">
        <v>241</v>
      </c>
      <c r="CO485" s="14">
        <v>3.6780012704100286E-2</v>
      </c>
      <c r="CP485" s="14">
        <v>-1.6151690910247798E-3</v>
      </c>
      <c r="CQ485" s="14">
        <v>3.874399599026484E-3</v>
      </c>
      <c r="CR485" s="14">
        <v>2.3752892662134911E-2</v>
      </c>
      <c r="CS485" s="14">
        <f t="shared" si="48"/>
        <v>6.2792135874236904E-2</v>
      </c>
    </row>
    <row r="486" spans="92:97" x14ac:dyDescent="0.45">
      <c r="CN486" s="2">
        <v>241.5</v>
      </c>
      <c r="CO486" s="14">
        <v>3.6780012704100286E-2</v>
      </c>
      <c r="CP486" s="14">
        <v>-1.6118251130296103E-3</v>
      </c>
      <c r="CQ486" s="14">
        <v>3.8663799373366676E-3</v>
      </c>
      <c r="CR486" s="14">
        <v>2.370823859080284E-2</v>
      </c>
      <c r="CS486" s="14">
        <f t="shared" si="48"/>
        <v>6.2742806119210182E-2</v>
      </c>
    </row>
    <row r="487" spans="92:97" x14ac:dyDescent="0.45">
      <c r="CN487" s="2">
        <v>242</v>
      </c>
      <c r="CO487" s="14">
        <v>3.6780012704100286E-2</v>
      </c>
      <c r="CP487" s="14">
        <v>-1.6084949515358423E-3</v>
      </c>
      <c r="CQ487" s="14">
        <v>3.8583933667240798E-3</v>
      </c>
      <c r="CR487" s="14">
        <v>2.3663722678681789E-2</v>
      </c>
      <c r="CS487" s="14">
        <f t="shared" si="48"/>
        <v>6.2693633797970313E-2</v>
      </c>
    </row>
    <row r="488" spans="92:97" x14ac:dyDescent="0.45">
      <c r="CN488" s="2">
        <v>242.5</v>
      </c>
      <c r="CO488" s="14">
        <v>3.6780012704100286E-2</v>
      </c>
      <c r="CP488" s="14">
        <v>-1.605178521124604E-3</v>
      </c>
      <c r="CQ488" s="14">
        <v>3.8504396837275206E-3</v>
      </c>
      <c r="CR488" s="14">
        <v>2.3619344527441306E-2</v>
      </c>
      <c r="CS488" s="14">
        <f t="shared" si="48"/>
        <v>6.2644618394144508E-2</v>
      </c>
    </row>
    <row r="489" spans="92:97" x14ac:dyDescent="0.45">
      <c r="CN489" s="2">
        <v>243</v>
      </c>
      <c r="CO489" s="14">
        <v>3.6780012704100286E-2</v>
      </c>
      <c r="CP489" s="14">
        <v>-1.6018757370788396E-3</v>
      </c>
      <c r="CQ489" s="14">
        <v>3.8425186865292983E-3</v>
      </c>
      <c r="CR489" s="14">
        <v>2.3575103737817408E-2</v>
      </c>
      <c r="CS489" s="14">
        <f t="shared" si="48"/>
        <v>6.2595759391368147E-2</v>
      </c>
    </row>
    <row r="490" spans="92:97" x14ac:dyDescent="0.45">
      <c r="CN490" s="2">
        <v>243.5</v>
      </c>
      <c r="CO490" s="14">
        <v>3.6780012704100286E-2</v>
      </c>
      <c r="CP490" s="14">
        <v>-1.5985865153761386E-3</v>
      </c>
      <c r="CQ490" s="14">
        <v>3.8346301749391364E-3</v>
      </c>
      <c r="CR490" s="14">
        <v>2.353099990965676E-2</v>
      </c>
      <c r="CS490" s="14">
        <f t="shared" si="48"/>
        <v>6.2547056273320051E-2</v>
      </c>
    </row>
    <row r="491" spans="92:97" x14ac:dyDescent="0.45">
      <c r="CN491" s="2">
        <v>244</v>
      </c>
      <c r="CO491" s="14">
        <v>3.6780012704100286E-2</v>
      </c>
      <c r="CP491" s="14">
        <v>-1.595310772681651E-3</v>
      </c>
      <c r="CQ491" s="14">
        <v>3.8267739503782608E-3</v>
      </c>
      <c r="CR491" s="14">
        <v>2.3487032641960122E-2</v>
      </c>
      <c r="CS491" s="14">
        <f t="shared" si="48"/>
        <v>6.2498508523757018E-2</v>
      </c>
    </row>
    <row r="492" spans="92:97" x14ac:dyDescent="0.45">
      <c r="CN492" s="2">
        <v>244.5</v>
      </c>
      <c r="CO492" s="14">
        <v>3.6780012704100286E-2</v>
      </c>
      <c r="CP492" s="14">
        <v>-1.5920484263410885E-3</v>
      </c>
      <c r="CQ492" s="14">
        <v>3.8189498158636604E-3</v>
      </c>
      <c r="CR492" s="14">
        <v>2.3443201532925024E-2</v>
      </c>
      <c r="CS492" s="14">
        <f t="shared" si="48"/>
        <v>6.2450115626547884E-2</v>
      </c>
    </row>
    <row r="493" spans="92:97" x14ac:dyDescent="0.45">
      <c r="CN493" s="2">
        <v>245</v>
      </c>
      <c r="CO493" s="14">
        <v>3.6780012704100286E-2</v>
      </c>
      <c r="CP493" s="14">
        <v>-1.5887993943738113E-3</v>
      </c>
      <c r="CQ493" s="14">
        <v>3.8111575759925244E-3</v>
      </c>
      <c r="CR493" s="14">
        <v>2.3399506179987758E-2</v>
      </c>
      <c r="CS493" s="14">
        <f t="shared" si="48"/>
        <v>6.2401877065706754E-2</v>
      </c>
    </row>
    <row r="494" spans="92:97" x14ac:dyDescent="0.45">
      <c r="CN494" s="2">
        <v>245.5</v>
      </c>
      <c r="CO494" s="14">
        <v>3.6780012704100286E-2</v>
      </c>
      <c r="CP494" s="14">
        <v>-1.5855635954659982E-3</v>
      </c>
      <c r="CQ494" s="14">
        <v>3.8033970369268453E-3</v>
      </c>
      <c r="CR494" s="14">
        <v>2.3355946179864553E-2</v>
      </c>
      <c r="CS494" s="14">
        <f t="shared" si="48"/>
        <v>6.2353792325425678E-2</v>
      </c>
    </row>
    <row r="495" spans="92:97" x14ac:dyDescent="0.45">
      <c r="CN495" s="2">
        <v>246</v>
      </c>
      <c r="CO495" s="14">
        <v>3.6780012704100286E-2</v>
      </c>
      <c r="CP495" s="14">
        <v>-1.5823409489638981E-3</v>
      </c>
      <c r="CQ495" s="14">
        <v>3.795668006378206E-3</v>
      </c>
      <c r="CR495" s="14">
        <v>2.3312521128592143E-2</v>
      </c>
      <c r="CS495" s="14">
        <f t="shared" si="48"/>
        <v>6.2305860890106743E-2</v>
      </c>
    </row>
    <row r="496" spans="92:97" x14ac:dyDescent="0.45">
      <c r="CN496" s="2">
        <v>246.5</v>
      </c>
      <c r="CO496" s="14">
        <v>3.6780012704100286E-2</v>
      </c>
      <c r="CP496" s="14">
        <v>-1.5791313748671648E-3</v>
      </c>
      <c r="CQ496" s="14">
        <v>3.7879702935927164E-3</v>
      </c>
      <c r="CR496" s="14">
        <v>2.3269230621567539E-2</v>
      </c>
      <c r="CS496" s="14">
        <f t="shared" si="48"/>
        <v>6.2258082244393373E-2</v>
      </c>
    </row>
    <row r="497" spans="92:97" x14ac:dyDescent="0.45">
      <c r="CN497" s="2">
        <v>247</v>
      </c>
      <c r="CO497" s="14">
        <v>3.6780012704100286E-2</v>
      </c>
      <c r="CP497" s="14">
        <v>-1.57593479382227E-3</v>
      </c>
      <c r="CQ497" s="14">
        <v>3.7803037093361381E-3</v>
      </c>
      <c r="CR497" s="14">
        <v>2.3226074253587154E-2</v>
      </c>
      <c r="CS497" s="14">
        <f t="shared" si="48"/>
        <v>6.2210455873201301E-2</v>
      </c>
    </row>
    <row r="498" spans="92:97" x14ac:dyDescent="0.45">
      <c r="CN498" s="2">
        <v>247.5</v>
      </c>
      <c r="CO498" s="14">
        <v>3.6780012704100286E-2</v>
      </c>
      <c r="CP498" s="14">
        <v>-1.5727511271159977E-3</v>
      </c>
      <c r="CQ498" s="14">
        <v>3.7726680658791509E-3</v>
      </c>
      <c r="CR498" s="14">
        <v>2.3183051618885231E-2</v>
      </c>
      <c r="CS498" s="14">
        <f t="shared" si="48"/>
        <v>6.216298126174867E-2</v>
      </c>
    </row>
    <row r="499" spans="92:97" x14ac:dyDescent="0.45">
      <c r="CN499" s="2">
        <v>248</v>
      </c>
      <c r="CO499" s="14">
        <v>3.6780012704100286E-2</v>
      </c>
      <c r="CP499" s="14">
        <v>-1.5695802966690132E-3</v>
      </c>
      <c r="CQ499" s="14">
        <v>3.7650631769828016E-3</v>
      </c>
      <c r="CR499" s="14">
        <v>2.3140162311171608E-2</v>
      </c>
      <c r="CS499" s="14">
        <f t="shared" si="48"/>
        <v>6.211565789558568E-2</v>
      </c>
    </row>
    <row r="500" spans="92:97" x14ac:dyDescent="0.45">
      <c r="CN500" s="2">
        <v>248.5</v>
      </c>
      <c r="CO500" s="14">
        <v>3.6780012704100286E-2</v>
      </c>
      <c r="CP500" s="14">
        <v>-1.5664222250295135E-3</v>
      </c>
      <c r="CQ500" s="14">
        <v>3.7574888578840986E-3</v>
      </c>
      <c r="CR500" s="14">
        <v>2.3097405923668792E-2</v>
      </c>
      <c r="CS500" s="14">
        <f t="shared" si="48"/>
        <v>6.2068485260623668E-2</v>
      </c>
    </row>
    <row r="501" spans="92:97" x14ac:dyDescent="0.45">
      <c r="CN501" s="2">
        <v>249</v>
      </c>
      <c r="CO501" s="14">
        <v>3.6780012704100286E-2</v>
      </c>
      <c r="CP501" s="14">
        <v>-1.5632768353669474E-3</v>
      </c>
      <c r="CQ501" s="14">
        <v>3.7499449252817738E-3</v>
      </c>
      <c r="CR501" s="14">
        <v>2.30547820491484E-2</v>
      </c>
      <c r="CS501" s="14">
        <f t="shared" si="48"/>
        <v>6.2021462843163511E-2</v>
      </c>
    </row>
    <row r="502" spans="92:97" x14ac:dyDescent="0.45">
      <c r="CN502" s="2">
        <v>249.5</v>
      </c>
      <c r="CO502" s="14">
        <v>3.6780012704100286E-2</v>
      </c>
      <c r="CP502" s="14">
        <v>-1.5601440514658184E-3</v>
      </c>
      <c r="CQ502" s="14">
        <v>3.7424311973221968E-3</v>
      </c>
      <c r="CR502" s="14">
        <v>2.3012290279966961E-2</v>
      </c>
      <c r="CS502" s="14">
        <f t="shared" si="48"/>
        <v>6.1974590129923623E-2</v>
      </c>
    </row>
    <row r="503" spans="92:97" x14ac:dyDescent="0.45">
      <c r="CN503" s="2">
        <v>250</v>
      </c>
      <c r="CO503" s="14">
        <v>3.6780012704100286E-2</v>
      </c>
      <c r="CP503" s="14">
        <v>-1.5570237977195541E-3</v>
      </c>
      <c r="CQ503" s="14">
        <v>3.7349474935854513E-3</v>
      </c>
      <c r="CR503" s="14">
        <v>2.2969930208101039E-2</v>
      </c>
      <c r="CS503" s="14">
        <f t="shared" si="48"/>
        <v>6.192786660806722E-2</v>
      </c>
    </row>
  </sheetData>
  <mergeCells count="5">
    <mergeCell ref="CN1:CS1"/>
    <mergeCell ref="J79:K79"/>
    <mergeCell ref="J80:K80"/>
    <mergeCell ref="J81:K81"/>
    <mergeCell ref="K1:CK1"/>
  </mergeCells>
  <conditionalFormatting sqref="L3:CL71 CW67:DR77 DT67:FI77 DS68:DS78">
    <cfRule type="cellIs" dxfId="1" priority="4" operator="greaterThan">
      <formula>100</formula>
    </cfRule>
    <cfRule type="cellIs" dxfId="0" priority="5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DATA Goverment</vt:lpstr>
      <vt:lpstr>NSS Goverment</vt:lpstr>
      <vt:lpstr>DATA Corporate</vt:lpstr>
      <vt:lpstr>NSS Corporate</vt:lpstr>
      <vt:lpstr>'NSS Corporate'!b0_c</vt:lpstr>
      <vt:lpstr>'NSS Goverment'!b0_G</vt:lpstr>
      <vt:lpstr>'NSS Corporate'!b1_c</vt:lpstr>
      <vt:lpstr>'NSS Goverment'!b1_G</vt:lpstr>
      <vt:lpstr>'NSS Corporate'!b2_c</vt:lpstr>
      <vt:lpstr>'NSS Goverment'!b2_G</vt:lpstr>
      <vt:lpstr>'NSS Corporate'!b3_c</vt:lpstr>
      <vt:lpstr>'NSS Goverment'!b3_G</vt:lpstr>
      <vt:lpstr>'NSS Corporate'!tau1_c</vt:lpstr>
      <vt:lpstr>'NSS Goverment'!tau1_G</vt:lpstr>
      <vt:lpstr>'NSS Corporate'!tau2_c</vt:lpstr>
      <vt:lpstr>'NSS Goverment'!tau2_G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PG-Rota, Pietro</dc:creator>
  <cp:lastModifiedBy>PG-Rota, Pietro</cp:lastModifiedBy>
  <dcterms:created xsi:type="dcterms:W3CDTF">2026-03-20T14:08:36Z</dcterms:created>
  <dcterms:modified xsi:type="dcterms:W3CDTF">2026-03-20T16:03:03Z</dcterms:modified>
</cp:coreProperties>
</file>